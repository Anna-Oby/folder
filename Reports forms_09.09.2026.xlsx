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Human Resources\Reward, HRIS&amp;Reporting\HRIS\Budget\Бюджетная система 2026\Budget\Альбом отчетных форм\Forms_10.09.2026\"/>
    </mc:Choice>
  </mc:AlternateContent>
  <bookViews>
    <workbookView xWindow="0" yWindow="0" windowWidth="28800" windowHeight="12300" activeTab="7"/>
  </bookViews>
  <sheets>
    <sheet name="Regular_PL_by LE" sheetId="1" r:id="rId1"/>
    <sheet name="Regular_PL_by BU" sheetId="2" r:id="rId2"/>
    <sheet name="Regular_PL_by GD" sheetId="7" r:id="rId3"/>
    <sheet name="Regular_PL_Monthly_BU" sheetId="3" r:id="rId4"/>
    <sheet name="Regular_PL_Details" sheetId="6" state="hidden" r:id="rId5"/>
    <sheet name="Regular_PL_Monthly_GD" sheetId="8" r:id="rId6"/>
    <sheet name="PL_BUD" sheetId="5" r:id="rId7"/>
    <sheet name="PL_FC" sheetId="4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106__123Graph_LBL_AGRAFICO_20" hidden="1">[1]TASSI2!$AG$6:$AG$6</definedName>
    <definedName name="_107__123Graph_LBL_BGRAFICO_20" hidden="1">[1]TASSI2!$AH$6:$AH$6</definedName>
    <definedName name="_108__123Graph_LBL_CGRAFICO_20" hidden="1">[1]TASSI2!$AI$6:$AI$6</definedName>
    <definedName name="_109__123Graph_LBL_DGRAFICO_20" hidden="1">[1]TASSI2!$AJ$6:$AJ$6</definedName>
    <definedName name="_111__123Graph_LBL_FGRAFICO_20" hidden="1">[1]TASSI2!$AQ$5:$AQ$5</definedName>
    <definedName name="_112__123Graph_XGRAFICO_8" hidden="1">'[1]Tav.22 Rischio di Credito'!$AI$30:$AI$41</definedName>
    <definedName name="_45__123Graph_AGRAFICO_7" hidden="1">'[1]Tav.22 Rischio di Credito'!$AJ$7:$AJ$29</definedName>
    <definedName name="_46__123Graph_AGRAFICO_8" hidden="1">'[1]Tav.22 Rischio di Credito'!$AJ$30:$AJ$41</definedName>
    <definedName name="_AMO_UniqueIdentifier" hidden="1">"'501ab4d2-6692-452e-a7c0-668204650320'"</definedName>
    <definedName name="_Fill" localSheetId="6" hidden="1">#REF!</definedName>
    <definedName name="_Fill" localSheetId="7" hidden="1">#REF!</definedName>
    <definedName name="_Fill" localSheetId="1" hidden="1">#REF!</definedName>
    <definedName name="_Fill" localSheetId="2" hidden="1">#REF!</definedName>
    <definedName name="_Fill" localSheetId="0" hidden="1">#REF!</definedName>
    <definedName name="_Fill" localSheetId="4" hidden="1">#REF!</definedName>
    <definedName name="_Fill" localSheetId="3" hidden="1">#REF!</definedName>
    <definedName name="_Fill" localSheetId="5" hidden="1">#REF!</definedName>
    <definedName name="_Fill" hidden="1">#REF!</definedName>
    <definedName name="_xlnm._FilterDatabase" localSheetId="6" hidden="1">PL_BUD!$B$11:$C$72</definedName>
    <definedName name="_xlnm._FilterDatabase" localSheetId="7" hidden="1">PL_FC!$B$11:$O$72</definedName>
    <definedName name="_xlnm._FilterDatabase" localSheetId="1" hidden="1">'Regular_PL_by BU'!$B$12:$N$73</definedName>
    <definedName name="_xlnm._FilterDatabase" localSheetId="2" hidden="1">'Regular_PL_by GD'!$B$12:$N$73</definedName>
    <definedName name="_xlnm._FilterDatabase" localSheetId="0" hidden="1">'Regular_PL_by LE'!$B$11:$N$72</definedName>
    <definedName name="_xlnm._FilterDatabase" localSheetId="4" hidden="1">Regular_PL_Details!$B$12:$Y$13</definedName>
    <definedName name="_xlnm._FilterDatabase" localSheetId="3" hidden="1">Regular_PL_Monthly_BU!$B$12:$N$73</definedName>
    <definedName name="_xlnm._FilterDatabase" localSheetId="5" hidden="1">Regular_PL_Monthly_GD!$B$12:$N$73</definedName>
    <definedName name="_Key1" localSheetId="6" hidden="1">#REF!</definedName>
    <definedName name="_Key1" localSheetId="7" hidden="1">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localSheetId="4" hidden="1">#REF!</definedName>
    <definedName name="_Key1" localSheetId="3" hidden="1">#REF!</definedName>
    <definedName name="_Key1" localSheetId="5" hidden="1">#REF!</definedName>
    <definedName name="_Key1" hidden="1">#REF!</definedName>
    <definedName name="_Key2" localSheetId="6" hidden="1">#REF!</definedName>
    <definedName name="_Key2" localSheetId="7" hidden="1">#REF!</definedName>
    <definedName name="_Key2" localSheetId="1" hidden="1">#REF!</definedName>
    <definedName name="_Key2" localSheetId="2" hidden="1">#REF!</definedName>
    <definedName name="_Key2" localSheetId="0" hidden="1">#REF!</definedName>
    <definedName name="_Key2" localSheetId="4" hidden="1">#REF!</definedName>
    <definedName name="_Key2" localSheetId="3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Parse_In" localSheetId="6" hidden="1">#REF!</definedName>
    <definedName name="_Parse_In" localSheetId="7" hidden="1">#REF!</definedName>
    <definedName name="_Parse_In" localSheetId="1" hidden="1">#REF!</definedName>
    <definedName name="_Parse_In" localSheetId="2" hidden="1">#REF!</definedName>
    <definedName name="_Parse_In" localSheetId="0" hidden="1">#REF!</definedName>
    <definedName name="_Parse_In" localSheetId="4" hidden="1">#REF!</definedName>
    <definedName name="_Parse_In" localSheetId="3" hidden="1">#REF!</definedName>
    <definedName name="_Parse_In" localSheetId="5" hidden="1">#REF!</definedName>
    <definedName name="_Parse_In" hidden="1">#REF!</definedName>
    <definedName name="_Regression_Out" hidden="1">[2]PL!$E$71</definedName>
    <definedName name="_Regression_X" hidden="1">[2]PL!$C$60:$C$66</definedName>
    <definedName name="_Regression_Y" hidden="1">[2]PL!$D$60:$D$66</definedName>
    <definedName name="_Sort" localSheetId="6" hidden="1">#REF!</definedName>
    <definedName name="_Sort" localSheetId="7" hidden="1">#REF!</definedName>
    <definedName name="_Sort" localSheetId="1" hidden="1">#REF!</definedName>
    <definedName name="_Sort" localSheetId="2" hidden="1">#REF!</definedName>
    <definedName name="_Sort" localSheetId="0" hidden="1">#REF!</definedName>
    <definedName name="_Sort" localSheetId="4" hidden="1">#REF!</definedName>
    <definedName name="_Sort" localSheetId="3" hidden="1">#REF!</definedName>
    <definedName name="_Sort" localSheetId="5" hidden="1">#REF!</definedName>
    <definedName name="_Sort" hidden="1">#REF!</definedName>
    <definedName name="aaaaaa" hidden="1">#N/A</definedName>
    <definedName name="AccessDatabase" hidden="1">"H:\(p)\COMMON\ГФНП\КП в USD .mdb"</definedName>
    <definedName name="ag" hidden="1">#N/A</definedName>
    <definedName name="anscount" hidden="1">2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yncStepLS" hidden="1">0</definedName>
    <definedName name="AS2TickmarkLS" localSheetId="6" hidden="1">#REF!</definedName>
    <definedName name="AS2TickmarkLS" localSheetId="7" hidden="1">#REF!</definedName>
    <definedName name="AS2TickmarkLS" localSheetId="1" hidden="1">#REF!</definedName>
    <definedName name="AS2TickmarkLS" localSheetId="2" hidden="1">#REF!</definedName>
    <definedName name="AS2TickmarkLS" localSheetId="0" hidden="1">#REF!</definedName>
    <definedName name="AS2TickmarkLS" localSheetId="4" hidden="1">#REF!</definedName>
    <definedName name="AS2TickmarkLS" localSheetId="3" hidden="1">#REF!</definedName>
    <definedName name="AS2TickmarkLS" localSheetId="5" hidden="1">#REF!</definedName>
    <definedName name="AS2TickmarkLS" hidden="1">#REF!</definedName>
    <definedName name="AS2VersionLS" hidden="1">300</definedName>
    <definedName name="asfafq" hidden="1">#N/A</definedName>
    <definedName name="avaaaaav" hidden="1">#N/A</definedName>
    <definedName name="BG_Del" hidden="1">15</definedName>
    <definedName name="BG_Ins" hidden="1">4</definedName>
    <definedName name="BG_Mod" hidden="1">6</definedName>
    <definedName name="BLPH12" localSheetId="6" hidden="1">[3]Sheet3!#REF!</definedName>
    <definedName name="BLPH12" localSheetId="7" hidden="1">[3]Sheet3!#REF!</definedName>
    <definedName name="BLPH12" localSheetId="1" hidden="1">[3]Sheet3!#REF!</definedName>
    <definedName name="BLPH12" localSheetId="2" hidden="1">[3]Sheet3!#REF!</definedName>
    <definedName name="BLPH12" localSheetId="0" hidden="1">[3]Sheet3!#REF!</definedName>
    <definedName name="BLPH12" localSheetId="4" hidden="1">[3]Sheet3!#REF!</definedName>
    <definedName name="BLPH12" localSheetId="3" hidden="1">[3]Sheet3!#REF!</definedName>
    <definedName name="BLPH12" localSheetId="5" hidden="1">[3]Sheet3!#REF!</definedName>
    <definedName name="BLPH12" hidden="1">[3]Sheet3!#REF!</definedName>
    <definedName name="BLPH13" localSheetId="6" hidden="1">[3]Sheet3!#REF!</definedName>
    <definedName name="BLPH13" localSheetId="7" hidden="1">[3]Sheet3!#REF!</definedName>
    <definedName name="BLPH13" localSheetId="1" hidden="1">[3]Sheet3!#REF!</definedName>
    <definedName name="BLPH13" localSheetId="2" hidden="1">[3]Sheet3!#REF!</definedName>
    <definedName name="BLPH13" localSheetId="0" hidden="1">[3]Sheet3!#REF!</definedName>
    <definedName name="BLPH13" localSheetId="4" hidden="1">[3]Sheet3!#REF!</definedName>
    <definedName name="BLPH13" localSheetId="3" hidden="1">[3]Sheet3!#REF!</definedName>
    <definedName name="BLPH13" localSheetId="5" hidden="1">[3]Sheet3!#REF!</definedName>
    <definedName name="BLPH13" hidden="1">[3]Sheet3!#REF!</definedName>
    <definedName name="BLPH14" localSheetId="6" hidden="1">[3]Sheet3!#REF!</definedName>
    <definedName name="BLPH14" localSheetId="7" hidden="1">[3]Sheet3!#REF!</definedName>
    <definedName name="BLPH14" localSheetId="1" hidden="1">[3]Sheet3!#REF!</definedName>
    <definedName name="BLPH14" localSheetId="2" hidden="1">[3]Sheet3!#REF!</definedName>
    <definedName name="BLPH14" localSheetId="0" hidden="1">[3]Sheet3!#REF!</definedName>
    <definedName name="BLPH14" localSheetId="4" hidden="1">[3]Sheet3!#REF!</definedName>
    <definedName name="BLPH14" localSheetId="3" hidden="1">[3]Sheet3!#REF!</definedName>
    <definedName name="BLPH14" localSheetId="5" hidden="1">[3]Sheet3!#REF!</definedName>
    <definedName name="BLPH14" hidden="1">[3]Sheet3!#REF!</definedName>
    <definedName name="BLPH15" localSheetId="6" hidden="1">[3]Sheet3!#REF!</definedName>
    <definedName name="BLPH15" localSheetId="7" hidden="1">[3]Sheet3!#REF!</definedName>
    <definedName name="BLPH15" localSheetId="1" hidden="1">[3]Sheet3!#REF!</definedName>
    <definedName name="BLPH15" localSheetId="2" hidden="1">[3]Sheet3!#REF!</definedName>
    <definedName name="BLPH15" localSheetId="0" hidden="1">[3]Sheet3!#REF!</definedName>
    <definedName name="BLPH15" localSheetId="4" hidden="1">[3]Sheet3!#REF!</definedName>
    <definedName name="BLPH15" localSheetId="3" hidden="1">[3]Sheet3!#REF!</definedName>
    <definedName name="BLPH15" localSheetId="5" hidden="1">[3]Sheet3!#REF!</definedName>
    <definedName name="BLPH15" hidden="1">[3]Sheet3!#REF!</definedName>
    <definedName name="BLPH16" localSheetId="6" hidden="1">[3]Sheet3!#REF!</definedName>
    <definedName name="BLPH16" localSheetId="7" hidden="1">[3]Sheet3!#REF!</definedName>
    <definedName name="BLPH16" localSheetId="1" hidden="1">[3]Sheet3!#REF!</definedName>
    <definedName name="BLPH16" localSheetId="2" hidden="1">[3]Sheet3!#REF!</definedName>
    <definedName name="BLPH16" localSheetId="0" hidden="1">[3]Sheet3!#REF!</definedName>
    <definedName name="BLPH16" localSheetId="4" hidden="1">[3]Sheet3!#REF!</definedName>
    <definedName name="BLPH16" localSheetId="3" hidden="1">[3]Sheet3!#REF!</definedName>
    <definedName name="BLPH16" localSheetId="5" hidden="1">[3]Sheet3!#REF!</definedName>
    <definedName name="BLPH16" hidden="1">[3]Sheet3!#REF!</definedName>
    <definedName name="Ch_Dom_PM_share" localSheetId="6" hidden="1">'[4]Key Analyst Data'!#REF!</definedName>
    <definedName name="Ch_Dom_PM_share" localSheetId="7" hidden="1">'[4]Key Analyst Data'!#REF!</definedName>
    <definedName name="Ch_Dom_PM_share" localSheetId="1" hidden="1">'[4]Key Analyst Data'!#REF!</definedName>
    <definedName name="Ch_Dom_PM_share" localSheetId="2" hidden="1">'[4]Key Analyst Data'!#REF!</definedName>
    <definedName name="Ch_Dom_PM_share" localSheetId="0" hidden="1">'[4]Key Analyst Data'!#REF!</definedName>
    <definedName name="Ch_Dom_PM_share" localSheetId="4" hidden="1">'[4]Key Analyst Data'!#REF!</definedName>
    <definedName name="Ch_Dom_PM_share" localSheetId="3" hidden="1">'[4]Key Analyst Data'!#REF!</definedName>
    <definedName name="Ch_Dom_PM_share" localSheetId="5" hidden="1">'[4]Key Analyst Data'!#REF!</definedName>
    <definedName name="Ch_Dom_PM_share" hidden="1">'[4]Key Analyst Data'!#REF!</definedName>
    <definedName name="ChangeRange" hidden="1">#N/A</definedName>
    <definedName name="ContentsHelp" hidden="1">#N/A</definedName>
    <definedName name="CreateTable" hidden="1">#N/A</definedName>
    <definedName name="ddd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eleteRange" hidden="1">#N/A</definedName>
    <definedName name="DeleteTable" hidden="1">#N/A</definedName>
    <definedName name="df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fv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DGFSHDF" hidden="1">{#N/A,#N/A,FALSE,"Aging Summary";#N/A,#N/A,FALSE,"Ratio Analysis";#N/A,#N/A,FALSE,"Test 120 Day Accts";#N/A,#N/A,FALSE,"Tickmarks"}</definedName>
    <definedName name="eeee" hidden="1">{"'РП (2)'!$A$5:$S$150"}</definedName>
    <definedName name="eer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euyt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PMWorkbookOptions_1" hidden="1">"qB0BAB+LCAAAAAAABADtXW1z2rgW/r4z+x8yfAds3gIZkh3XMQlbwFxw0m0zHcaAk3hKbK5xmnR//RVYCdg41EInuZJQ25lQSz7W83Ae2VaOzmn+9fwwO/rpBAvX905zakHJHTnexJ+63t1p7jG8zau13F9nf/7R/OIHP8a+/8Och6jr4gid5y1Onhfuae4+DOcnxeLT01PhqVzwg7tiSVHU4j/dznBy7zzYeddbhLY3cXKvZ01/f1YOXfXo"</definedName>
    <definedName name="EPMWorkbookOptions_10" hidden="1">"3nlhSstECcJhtCxmMAplDTRsmkmHfQdW5CMkuJCzp8iHkbGYwShUJf2wYSadFZwTKWFQCZMViICRsIDxOXvVp8TWRPfQDJ1io0nv1Cxq8/nMndghsvN6PHb0pTuy5nseGjg6dm6H9svh1KPoeMTaw8xbnObuw3B+UiyGzsP8MXALfnBXvFo4wXpMhefFNHc2avW7o099vfdFVUY3+KSFPR8/Twt39r/zwH/Ie85tWJj5E3t2Ukcz+bK5OJ5P"</definedName>
    <definedName name="EPMWorkbookOptions_11" hidden="1">"it9HNxf9Xgn9QHPcQOsNW+agq1nLBa/RzaqwCHKemMM0N0ESjnSDwTQCXwk4Sw4mMYaIwTd9hriM7d4lMlio6rofXpo03JyiBsg1wy1yytwc3OIG2r/JLf43NniJDZpyUwy3uOmisjmGTRnFyi9y6rg/bqHTRkpxCxwisoRb8JQRChzjpvilLreo6X83yC10yl+l8IvbSD63WYbwmGnW2/lEvdcSJQtQd7RsNOwsLxzv+tqJuCQ0YX1cRotC"</definedName>
    <definedName name="EPMWorkbookOptions_12" hidden="1">"k1bWYxUGYUJodmGQpcNlFwdJBjR2URAlSmEXBsm+e5ZRkGw8ZhhH1j2X7EIg23LGLg6iDTfswiDZgcEyiuwh6OyiIApNZhcGUVQmwzAM/u/eBHF1jIIgiyyCBhHrvPPdcBPsjiCW4b2/vmgU4RSNNaVh16kr9ClnprCyOlH3vdB5Dlv2Tz9wQzSuVYRIdPJWW4bzW26wCDcGkN6eMPQBoaSEr9abZvaORBNxN9LecTXYJJPRaGBsCJIOnp34"</definedName>
    <definedName name="EPMWorkbookOptions_13" hidden="1">"0WgtaWD0dIoqIIpSqSsEVX9F3Ja15jFR37bTWbbw7rHgvHR0SUmCksHVJ945YW1io9qkVi5Xq5VKhSAyXtR5bf+4V2xYOusuOGe4OPpwoO/trLVjVanXj7M7q4gbsV5pTMTsjiyTe2+FJKW0KqfX5l/C8KRcSlK2SFlGVkhSktUo2zKnwBvD3P8OeG0MaF5Da7VymeA9VMCNjGseE89r2qikqNw7LDQtmm5d8b+8xpSMrXb3IxMKiJhlPCIx"</definedName>
    <definedName name="EPMWorkbookOptions_14" hidden="1">"7qklNLsVLNPi31uBaVFrhZbB/cIJNCmVwtDo804KQ/Pa55Gm6+bVh6YvEzPxOuYx8Xhiarw7KzQl7Z5SV9Tor+RmzU1tyU1rMJScxDn5NESPCKWVvxzuy/pb/lJo9QuIF7WglHjnhqmbIlEAP8hNUcwiBtRZNrBxJj0WnheZRAxayGRbWECULGYVA8qsMdg0kw4Lz0pHChlayIjbtvWRMhazrkNEY+K+o5aUCnq85t1fAWmprGhZ5deWtKxp"</definedName>
    <definedName name="EPMWorkbookOptions_15" hidden="1">"qUpa3vKWy7J66A+1b80tqgC0sHUv/Ogk9aqIOxLAMgLiSzDpt+DsyCdbaDUv8zJ+pJZF3KVAl90S22XSVWEpQZ8lIXEfaTQakpIkJTXeKWFqhifK3AIzyYu4ZYM6my82zaTDvgMr8lENXsiWbn6kjEXczIJpTLirfN9KY0WtNRoCPKAwJWKSBGQwKhYxHp82xTy2zKS7gpMi78TwIibJvwcjYxFD8gFKJmDjTPrsu/AixQwt5qxJKGF0LGb8"</definedName>
    <definedName name="EPMWorkbookOptions_16" hidden="1">"OX0BEGydSX8FJkZqGFrDZFlYYYQsZswsbTkbbJtJl4WnRSoZWslEeYhhhCxmyCxEeSZsn0mvBadGahlayyTJuGGkLGbYLGWxMWyaSX+FZkWKGF7E2XPRg4i4JGa4H1XlPGyYSW8F50RqGFrDRJUYYEQsZpwffSFIbJ1Jn30HYqSWobVMVI4ERstihnNRVjbFppl02HdgRQoZXMiZC/LAqFjMaC6KOr3YLJOeCsyIVC+4erOXooKRr5hhXFQl"</definedName>
    <definedName name="EPMWorkbookOptions_17" hidden="1">"p7FhJp0VnBMpYVAJkxVig5GwgCFce9VPx9ZE99AMnWKjSe/ULGrz+cyd2CGy83o8dvSlO7Lmex4aODp2bof26vDmQctPgm8OnNvAWdybnjl3vJcyevGDq376zLGDpVHTG9o/nZeeycOrvl/84MfY938gtwxXNL703m6I93+a4m+t2V5c24Frj2dO1wnu1ha2jv/5x9qsOY/Y+B92gwuPqB0BAA=="</definedName>
    <definedName name="EPMWorkbookOptions_2" hidden="1">"qKn7nudMlte0fP0xCBwvvHadp1VjrPncDm18FB3v2Q9OdLXXK4XOw/wxcFeXulo4QT9wbh1kb+IU0IByZ6NWvzv61Nd7X1RldINPWtjz8fO0cGf/Ow/8h7zn3IaFmT+xZyd1RVGWzcXxfFL8Prq56PdK6Mfn0blmaejDrT1bON+bxeVI1uPS5vOZO7E3OMw8vhcbcSsbhzHss2gIiStHbG0RmKEJNXadh7ETXHnufx+dldWbb8ZIN3vDi0H/"</definedName>
    <definedName name="EPMWorkbookOptions_3" hidden="1">"e+EG/bvomJ+0DoK71XXL2KXrBHYwuf+17nSE/OjEc2enuTB4RG5S3D7r3H1wvKWXZj+rWYTFezUYGD39K0Lb19An61JFHzu66KCtr30jjllHri806qV+hgN9jbqEPp532kLD/jzSdN286lmJL9vUhAatm0NL15KgLWX1R2jk50anfW0MEhPauSU6buOf7SnNwF+4cgDfe6tjfomjbylKo9EQGnS7p5vWoBvHjQ6K/mW3e5ZuJlAfgpN3tcFn"</definedName>
    <definedName name="EPMWorkbookOptions_4" hidden="1">"IzGrd/UDgG0ZgzZ6Eo8D16yR1hH58Rwhv/6WAH397UAmdLPdabWNznkcvyk+8P7APL/SEyofHMi3PjAu2mYvjn14ELiHW8/rA+Hv40Pjomsk383QwQP4wi0t5YEdHRQed9vqJFG3xX476xra8AoJPFpU/Gqd8wJ1R8tGw6U7nTre64UXO9h67XTtLtyxO3PDX5kgnK1XZpvFtPYU9paDOlsibhbxf3bA/v3AwGBEa498w3hdVeMdBl4n4x3G"</definedName>
    <definedName name="EPMWorkbookOptions_5" hidden="1">"y6IX7ziiRSzeUeBVGf5hWLrJO4hoxYR/FNECCPc4rr/xDuFlWYJ3HHiVgXcY0XoB/yiGAjyF4Ld53mHgN3PuYSxftLkG8fLe/P8BEeu88x13E+w6vmnrPXh4768vqvszP8BjTWnYdeoKfcqZKaysTtR9L3Sew5b90w/cEI1rFcQVnbzVluH8lhsswo0BpLcnDL2O8m2CsvYCWiLYNBORnldrVUUt19UNA2lfx+pcM5g6wZnSLEYfUq0v5jP7"</definedName>
    <definedName name="EPMWorkbookOptions_6" hidden="1">"Vz/w506AnEut1qq3zvg2X61NK/lK6baRr1cdJ6/YTqkyHR9Xjsfl5ZXjZ6UY7tiLcOjMnEnoTKN1pDSSfrNOhbtABsFhk3stXL39xWY7d9d6HSgbava16YPgoywGH81iFlVtTAzvOo/hoMz9JzJFqdQVJfs8poo5j1EEt2K7TDorOCVap7Ns4Z0X1kSc/TUiRcPlcrVaqVSya7gkqob3j9XGhpl0VnBORj2zZ/DOClMSxhHze0u4dqwq9fpx"</definedName>
    <definedName name="EPMWorkbookOptions_7" hidden="1">"dgmXhZQw3cYDbJlJbwUnpX0pSdkkZRW7P9AbkpQkKSPL5J4U5ib7a2NA885Vq5XLBC9dFWFne8Rj4uFEG5UUVeXdYaFp0XTriv+1NaZkbLW7+79zkS8AVwk0bDuNcaNRaeSn43E5X6mq9fz49tjO27VpedwoV0ul2ykbGl6SGPdUpN5K4W+tx7uvQpNSLmh97tdN4En5zyFP9WmcKLWCZVpyrn9jmPvM9YRBqCDTfU3ARza6LfLYrnTWXXCI"</definedName>
    <definedName name="EPMWorkbookOptions_8" hidden="1">"Q41BnPVYSGelTm2AjTPpsfC8yFVhaCGTBduDKLkupJIpU3Vg00w6LDwrHSlkaCEjbtvWR8q4IaSMIxoT9x11GSelHrKO02kpKRVJS5q3qJWapCVOy+Whxxru8JbjMve0sHUvJNjzAHIvVEUMnQZLw4YvwaTfgrMjn2yh1bxMhveRWhYxfJgupSC2y6SrQlOCHvQlJUkv4Z4SpiY0opQKMHOaiOHU1BlDsWkmHfYdWJFPJvBCzpxUBEbGIoZU"</definedName>
    <definedName name="EPMWorkbookOptions_9" hidden="1">"UyfAxaalu+6CQ5o+BsZfRQwKpU1cjC0z6a7gpMh7DryISbInwciYJC6UJxlTJuLGxpn02XfhRYoZWsxZU4jB6FjMgD/6tPLYOpP+CkyM1DC0hsly6MEIWcxgSNoiCdg2ky4LT4tUMrSSibJIwghZzFhIiKIf2L702l1wSJOGwjitmJF/lMVasGkm/RWaFXnrgRdx9py5ICIuiRmxRFV5CBuW3roLDnFuZBh3FTMoh75kFLbOpM9CE2MOo0B8"</definedName>
    <definedName name="e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tr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V__EVCOM_OPTIONS__" hidden="1">8</definedName>
    <definedName name="EV__EXPOPTIONS__" hidden="1">1</definedName>
    <definedName name="EV__LASTREFTIME__" hidden="1">"(GMT+04:00)25.05.2012 13:50:17"</definedName>
    <definedName name="EV__MAXEXPCOLS__" hidden="1">16383</definedName>
    <definedName name="EV__MAXEXPROWS__" hidden="1">1048575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134217728</definedName>
    <definedName name="EV__WBVERSION__" hidden="1">0</definedName>
    <definedName name="e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e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DP_107_1_aUrv" localSheetId="6" hidden="1">'[4]Key Analyst Data'!#REF!</definedName>
    <definedName name="FDP_107_1_aUrv" localSheetId="7" hidden="1">'[4]Key Analyst Data'!#REF!</definedName>
    <definedName name="FDP_107_1_aUrv" localSheetId="1" hidden="1">'[4]Key Analyst Data'!#REF!</definedName>
    <definedName name="FDP_107_1_aUrv" localSheetId="2" hidden="1">'[4]Key Analyst Data'!#REF!</definedName>
    <definedName name="FDP_107_1_aUrv" localSheetId="0" hidden="1">'[4]Key Analyst Data'!#REF!</definedName>
    <definedName name="FDP_107_1_aUrv" localSheetId="4" hidden="1">'[4]Key Analyst Data'!#REF!</definedName>
    <definedName name="FDP_107_1_aUrv" localSheetId="3" hidden="1">'[4]Key Analyst Data'!#REF!</definedName>
    <definedName name="FDP_107_1_aUrv" localSheetId="5" hidden="1">'[4]Key Analyst Data'!#REF!</definedName>
    <definedName name="FDP_107_1_aUrv" hidden="1">'[4]Key Analyst Data'!#REF!</definedName>
    <definedName name="FDP_108_1_aUrv" localSheetId="6" hidden="1">'[4]Key Analyst Data'!#REF!</definedName>
    <definedName name="FDP_108_1_aUrv" localSheetId="7" hidden="1">'[4]Key Analyst Data'!#REF!</definedName>
    <definedName name="FDP_108_1_aUrv" localSheetId="1" hidden="1">'[4]Key Analyst Data'!#REF!</definedName>
    <definedName name="FDP_108_1_aUrv" localSheetId="2" hidden="1">'[4]Key Analyst Data'!#REF!</definedName>
    <definedName name="FDP_108_1_aUrv" localSheetId="0" hidden="1">'[4]Key Analyst Data'!#REF!</definedName>
    <definedName name="FDP_108_1_aUrv" localSheetId="4" hidden="1">'[4]Key Analyst Data'!#REF!</definedName>
    <definedName name="FDP_108_1_aUrv" localSheetId="3" hidden="1">'[4]Key Analyst Data'!#REF!</definedName>
    <definedName name="FDP_108_1_aUrv" localSheetId="5" hidden="1">'[4]Key Analyst Data'!#REF!</definedName>
    <definedName name="FDP_108_1_aUrv" hidden="1">'[4]Key Analyst Data'!#REF!</definedName>
    <definedName name="FDP_109_1_aUrv" localSheetId="6" hidden="1">'[4]Key Analyst Data'!#REF!</definedName>
    <definedName name="FDP_109_1_aUrv" localSheetId="7" hidden="1">'[4]Key Analyst Data'!#REF!</definedName>
    <definedName name="FDP_109_1_aUrv" localSheetId="1" hidden="1">'[4]Key Analyst Data'!#REF!</definedName>
    <definedName name="FDP_109_1_aUrv" localSheetId="2" hidden="1">'[4]Key Analyst Data'!#REF!</definedName>
    <definedName name="FDP_109_1_aUrv" localSheetId="0" hidden="1">'[4]Key Analyst Data'!#REF!</definedName>
    <definedName name="FDP_109_1_aUrv" localSheetId="4" hidden="1">'[4]Key Analyst Data'!#REF!</definedName>
    <definedName name="FDP_109_1_aUrv" localSheetId="3" hidden="1">'[4]Key Analyst Data'!#REF!</definedName>
    <definedName name="FDP_109_1_aUrv" localSheetId="5" hidden="1">'[4]Key Analyst Data'!#REF!</definedName>
    <definedName name="FDP_109_1_aUrv" hidden="1">'[4]Key Analyst Data'!#REF!</definedName>
    <definedName name="FDP_11_1_aDrv" hidden="1">'[4]Key Analyst Data'!$D$3</definedName>
    <definedName name="FDP_110_1_aUrv" localSheetId="6" hidden="1">'[4]Key Analyst Data'!#REF!</definedName>
    <definedName name="FDP_110_1_aUrv" localSheetId="7" hidden="1">'[4]Key Analyst Data'!#REF!</definedName>
    <definedName name="FDP_110_1_aUrv" localSheetId="1" hidden="1">'[4]Key Analyst Data'!#REF!</definedName>
    <definedName name="FDP_110_1_aUrv" localSheetId="2" hidden="1">'[4]Key Analyst Data'!#REF!</definedName>
    <definedName name="FDP_110_1_aUrv" localSheetId="0" hidden="1">'[4]Key Analyst Data'!#REF!</definedName>
    <definedName name="FDP_110_1_aUrv" localSheetId="4" hidden="1">'[4]Key Analyst Data'!#REF!</definedName>
    <definedName name="FDP_110_1_aUrv" localSheetId="3" hidden="1">'[4]Key Analyst Data'!#REF!</definedName>
    <definedName name="FDP_110_1_aUrv" localSheetId="5" hidden="1">'[4]Key Analyst Data'!#REF!</definedName>
    <definedName name="FDP_110_1_aUrv" hidden="1">'[4]Key Analyst Data'!#REF!</definedName>
    <definedName name="FDP_111_1_aUrv" localSheetId="6" hidden="1">'[4]Key Analyst Data'!#REF!</definedName>
    <definedName name="FDP_111_1_aUrv" localSheetId="7" hidden="1">'[4]Key Analyst Data'!#REF!</definedName>
    <definedName name="FDP_111_1_aUrv" localSheetId="1" hidden="1">'[4]Key Analyst Data'!#REF!</definedName>
    <definedName name="FDP_111_1_aUrv" localSheetId="2" hidden="1">'[4]Key Analyst Data'!#REF!</definedName>
    <definedName name="FDP_111_1_aUrv" localSheetId="0" hidden="1">'[4]Key Analyst Data'!#REF!</definedName>
    <definedName name="FDP_111_1_aUrv" localSheetId="4" hidden="1">'[4]Key Analyst Data'!#REF!</definedName>
    <definedName name="FDP_111_1_aUrv" localSheetId="3" hidden="1">'[4]Key Analyst Data'!#REF!</definedName>
    <definedName name="FDP_111_1_aUrv" localSheetId="5" hidden="1">'[4]Key Analyst Data'!#REF!</definedName>
    <definedName name="FDP_111_1_aUrv" hidden="1">'[4]Key Analyst Data'!#REF!</definedName>
    <definedName name="FDP_112_1_aUrv" localSheetId="6" hidden="1">'[4]Key Analyst Data'!#REF!</definedName>
    <definedName name="FDP_112_1_aUrv" localSheetId="7" hidden="1">'[4]Key Analyst Data'!#REF!</definedName>
    <definedName name="FDP_112_1_aUrv" localSheetId="1" hidden="1">'[4]Key Analyst Data'!#REF!</definedName>
    <definedName name="FDP_112_1_aUrv" localSheetId="2" hidden="1">'[4]Key Analyst Data'!#REF!</definedName>
    <definedName name="FDP_112_1_aUrv" localSheetId="0" hidden="1">'[4]Key Analyst Data'!#REF!</definedName>
    <definedName name="FDP_112_1_aUrv" localSheetId="4" hidden="1">'[4]Key Analyst Data'!#REF!</definedName>
    <definedName name="FDP_112_1_aUrv" localSheetId="3" hidden="1">'[4]Key Analyst Data'!#REF!</definedName>
    <definedName name="FDP_112_1_aUrv" localSheetId="5" hidden="1">'[4]Key Analyst Data'!#REF!</definedName>
    <definedName name="FDP_112_1_aUrv" hidden="1">'[4]Key Analyst Data'!#REF!</definedName>
    <definedName name="FDP_113_1_aUrv" localSheetId="6" hidden="1">'[4]Key Analyst Data'!#REF!</definedName>
    <definedName name="FDP_113_1_aUrv" localSheetId="7" hidden="1">'[4]Key Analyst Data'!#REF!</definedName>
    <definedName name="FDP_113_1_aUrv" localSheetId="1" hidden="1">'[4]Key Analyst Data'!#REF!</definedName>
    <definedName name="FDP_113_1_aUrv" localSheetId="2" hidden="1">'[4]Key Analyst Data'!#REF!</definedName>
    <definedName name="FDP_113_1_aUrv" localSheetId="0" hidden="1">'[4]Key Analyst Data'!#REF!</definedName>
    <definedName name="FDP_113_1_aUrv" localSheetId="4" hidden="1">'[4]Key Analyst Data'!#REF!</definedName>
    <definedName name="FDP_113_1_aUrv" localSheetId="3" hidden="1">'[4]Key Analyst Data'!#REF!</definedName>
    <definedName name="FDP_113_1_aUrv" localSheetId="5" hidden="1">'[4]Key Analyst Data'!#REF!</definedName>
    <definedName name="FDP_113_1_aUrv" hidden="1">'[4]Key Analyst Data'!#REF!</definedName>
    <definedName name="FDP_114_1_aUrv" localSheetId="6" hidden="1">'[4]Key Analyst Data'!#REF!</definedName>
    <definedName name="FDP_114_1_aUrv" localSheetId="7" hidden="1">'[4]Key Analyst Data'!#REF!</definedName>
    <definedName name="FDP_114_1_aUrv" localSheetId="1" hidden="1">'[4]Key Analyst Data'!#REF!</definedName>
    <definedName name="FDP_114_1_aUrv" localSheetId="2" hidden="1">'[4]Key Analyst Data'!#REF!</definedName>
    <definedName name="FDP_114_1_aUrv" localSheetId="0" hidden="1">'[4]Key Analyst Data'!#REF!</definedName>
    <definedName name="FDP_114_1_aUrv" localSheetId="4" hidden="1">'[4]Key Analyst Data'!#REF!</definedName>
    <definedName name="FDP_114_1_aUrv" localSheetId="3" hidden="1">'[4]Key Analyst Data'!#REF!</definedName>
    <definedName name="FDP_114_1_aUrv" localSheetId="5" hidden="1">'[4]Key Analyst Data'!#REF!</definedName>
    <definedName name="FDP_114_1_aUrv" hidden="1">'[4]Key Analyst Data'!#REF!</definedName>
    <definedName name="FDP_115_1_aUrv" localSheetId="6" hidden="1">'[4]Key Analyst Data'!#REF!</definedName>
    <definedName name="FDP_115_1_aUrv" localSheetId="7" hidden="1">'[4]Key Analyst Data'!#REF!</definedName>
    <definedName name="FDP_115_1_aUrv" localSheetId="1" hidden="1">'[4]Key Analyst Data'!#REF!</definedName>
    <definedName name="FDP_115_1_aUrv" localSheetId="2" hidden="1">'[4]Key Analyst Data'!#REF!</definedName>
    <definedName name="FDP_115_1_aUrv" localSheetId="0" hidden="1">'[4]Key Analyst Data'!#REF!</definedName>
    <definedName name="FDP_115_1_aUrv" localSheetId="4" hidden="1">'[4]Key Analyst Data'!#REF!</definedName>
    <definedName name="FDP_115_1_aUrv" localSheetId="3" hidden="1">'[4]Key Analyst Data'!#REF!</definedName>
    <definedName name="FDP_115_1_aUrv" localSheetId="5" hidden="1">'[4]Key Analyst Data'!#REF!</definedName>
    <definedName name="FDP_115_1_aUrv" hidden="1">'[4]Key Analyst Data'!#REF!</definedName>
    <definedName name="FDP_116_1_aDrv" hidden="1">'[4]Key Analyst Data'!$G$20</definedName>
    <definedName name="FDP_116_1_aUrv" hidden="1">'[5]Key Analyst Data'!$AF$4</definedName>
    <definedName name="FDP_117_1_aUrv" localSheetId="6" hidden="1">'[4]Key Analyst Data'!#REF!</definedName>
    <definedName name="FDP_117_1_aUrv" localSheetId="7" hidden="1">'[4]Key Analyst Data'!#REF!</definedName>
    <definedName name="FDP_117_1_aUrv" localSheetId="1" hidden="1">'[4]Key Analyst Data'!#REF!</definedName>
    <definedName name="FDP_117_1_aUrv" localSheetId="2" hidden="1">'[4]Key Analyst Data'!#REF!</definedName>
    <definedName name="FDP_117_1_aUrv" localSheetId="0" hidden="1">'[4]Key Analyst Data'!#REF!</definedName>
    <definedName name="FDP_117_1_aUrv" localSheetId="4" hidden="1">'[4]Key Analyst Data'!#REF!</definedName>
    <definedName name="FDP_117_1_aUrv" localSheetId="3" hidden="1">'[4]Key Analyst Data'!#REF!</definedName>
    <definedName name="FDP_117_1_aUrv" localSheetId="5" hidden="1">'[4]Key Analyst Data'!#REF!</definedName>
    <definedName name="FDP_117_1_aUrv" hidden="1">'[4]Key Analyst Data'!#REF!</definedName>
    <definedName name="FDP_118_1_aDrv" localSheetId="6" hidden="1">'[4]Key Analyst Data'!#REF!</definedName>
    <definedName name="FDP_118_1_aDrv" localSheetId="7" hidden="1">'[4]Key Analyst Data'!#REF!</definedName>
    <definedName name="FDP_118_1_aDrv" localSheetId="1" hidden="1">'[4]Key Analyst Data'!#REF!</definedName>
    <definedName name="FDP_118_1_aDrv" localSheetId="2" hidden="1">'[4]Key Analyst Data'!#REF!</definedName>
    <definedName name="FDP_118_1_aDrv" localSheetId="0" hidden="1">'[4]Key Analyst Data'!#REF!</definedName>
    <definedName name="FDP_118_1_aDrv" localSheetId="4" hidden="1">'[4]Key Analyst Data'!#REF!</definedName>
    <definedName name="FDP_118_1_aDrv" localSheetId="3" hidden="1">'[4]Key Analyst Data'!#REF!</definedName>
    <definedName name="FDP_118_1_aDrv" localSheetId="5" hidden="1">'[4]Key Analyst Data'!#REF!</definedName>
    <definedName name="FDP_118_1_aDrv" hidden="1">'[4]Key Analyst Data'!#REF!</definedName>
    <definedName name="FDP_119_1_aDrv" localSheetId="6" hidden="1">'[4]Key Analyst Data'!#REF!</definedName>
    <definedName name="FDP_119_1_aDrv" localSheetId="7" hidden="1">'[4]Key Analyst Data'!#REF!</definedName>
    <definedName name="FDP_119_1_aDrv" localSheetId="1" hidden="1">'[4]Key Analyst Data'!#REF!</definedName>
    <definedName name="FDP_119_1_aDrv" localSheetId="2" hidden="1">'[4]Key Analyst Data'!#REF!</definedName>
    <definedName name="FDP_119_1_aDrv" localSheetId="0" hidden="1">'[4]Key Analyst Data'!#REF!</definedName>
    <definedName name="FDP_119_1_aDrv" localSheetId="4" hidden="1">'[4]Key Analyst Data'!#REF!</definedName>
    <definedName name="FDP_119_1_aDrv" localSheetId="3" hidden="1">'[4]Key Analyst Data'!#REF!</definedName>
    <definedName name="FDP_119_1_aDrv" localSheetId="5" hidden="1">'[4]Key Analyst Data'!#REF!</definedName>
    <definedName name="FDP_119_1_aDrv" hidden="1">'[4]Key Analyst Data'!#REF!</definedName>
    <definedName name="FDP_12_1_aDrv" hidden="1">'[4]Key Analyst Data'!$D$4</definedName>
    <definedName name="FDP_12_1_aUrv" hidden="1">'[5]Key Analyst Data'!$K$7</definedName>
    <definedName name="FDP_120_1_aDrv" localSheetId="6" hidden="1">'[4]Key Analyst Data'!#REF!</definedName>
    <definedName name="FDP_120_1_aDrv" localSheetId="7" hidden="1">'[4]Key Analyst Data'!#REF!</definedName>
    <definedName name="FDP_120_1_aDrv" localSheetId="1" hidden="1">'[4]Key Analyst Data'!#REF!</definedName>
    <definedName name="FDP_120_1_aDrv" localSheetId="2" hidden="1">'[4]Key Analyst Data'!#REF!</definedName>
    <definedName name="FDP_120_1_aDrv" localSheetId="0" hidden="1">'[4]Key Analyst Data'!#REF!</definedName>
    <definedName name="FDP_120_1_aDrv" localSheetId="4" hidden="1">'[4]Key Analyst Data'!#REF!</definedName>
    <definedName name="FDP_120_1_aDrv" localSheetId="3" hidden="1">'[4]Key Analyst Data'!#REF!</definedName>
    <definedName name="FDP_120_1_aDrv" localSheetId="5" hidden="1">'[4]Key Analyst Data'!#REF!</definedName>
    <definedName name="FDP_120_1_aDrv" hidden="1">'[4]Key Analyst Data'!#REF!</definedName>
    <definedName name="FDP_121_1_aUrv" localSheetId="6" hidden="1">'[4]Key Analyst Data'!#REF!</definedName>
    <definedName name="FDP_121_1_aUrv" localSheetId="7" hidden="1">'[4]Key Analyst Data'!#REF!</definedName>
    <definedName name="FDP_121_1_aUrv" localSheetId="1" hidden="1">'[4]Key Analyst Data'!#REF!</definedName>
    <definedName name="FDP_121_1_aUrv" localSheetId="2" hidden="1">'[4]Key Analyst Data'!#REF!</definedName>
    <definedName name="FDP_121_1_aUrv" localSheetId="0" hidden="1">'[4]Key Analyst Data'!#REF!</definedName>
    <definedName name="FDP_121_1_aUrv" localSheetId="4" hidden="1">'[4]Key Analyst Data'!#REF!</definedName>
    <definedName name="FDP_121_1_aUrv" localSheetId="3" hidden="1">'[4]Key Analyst Data'!#REF!</definedName>
    <definedName name="FDP_121_1_aUrv" localSheetId="5" hidden="1">'[4]Key Analyst Data'!#REF!</definedName>
    <definedName name="FDP_121_1_aUrv" hidden="1">'[4]Key Analyst Data'!#REF!</definedName>
    <definedName name="FDP_123_1_aDrv" localSheetId="6" hidden="1">#REF!</definedName>
    <definedName name="FDP_123_1_aDrv" localSheetId="7" hidden="1">#REF!</definedName>
    <definedName name="FDP_123_1_aDrv" localSheetId="1" hidden="1">#REF!</definedName>
    <definedName name="FDP_123_1_aDrv" localSheetId="2" hidden="1">#REF!</definedName>
    <definedName name="FDP_123_1_aDrv" localSheetId="0" hidden="1">#REF!</definedName>
    <definedName name="FDP_123_1_aDrv" localSheetId="4" hidden="1">#REF!</definedName>
    <definedName name="FDP_123_1_aDrv" localSheetId="3" hidden="1">#REF!</definedName>
    <definedName name="FDP_123_1_aDrv" localSheetId="5" hidden="1">#REF!</definedName>
    <definedName name="FDP_123_1_aDrv" hidden="1">#REF!</definedName>
    <definedName name="FDP_126_1_aDrv" hidden="1">'[5]Key Analyst Data'!$G$19</definedName>
    <definedName name="FDP_129_1_aUrv" localSheetId="6" hidden="1">#REF!</definedName>
    <definedName name="FDP_129_1_aUrv" localSheetId="7" hidden="1">#REF!</definedName>
    <definedName name="FDP_129_1_aUrv" localSheetId="1" hidden="1">#REF!</definedName>
    <definedName name="FDP_129_1_aUrv" localSheetId="2" hidden="1">#REF!</definedName>
    <definedName name="FDP_129_1_aUrv" localSheetId="0" hidden="1">#REF!</definedName>
    <definedName name="FDP_129_1_aUrv" localSheetId="4" hidden="1">#REF!</definedName>
    <definedName name="FDP_129_1_aUrv" localSheetId="3" hidden="1">#REF!</definedName>
    <definedName name="FDP_129_1_aUrv" localSheetId="5" hidden="1">#REF!</definedName>
    <definedName name="FDP_129_1_aUrv" hidden="1">#REF!</definedName>
    <definedName name="FDP_13_1_aDrv" hidden="1">'[4]Key Analyst Data'!$F$2</definedName>
    <definedName name="FDP_13_1_aUrv" hidden="1">'[5]Key Analyst Data'!$D$23</definedName>
    <definedName name="FDP_130_1_aUrv" localSheetId="6" hidden="1">#REF!</definedName>
    <definedName name="FDP_130_1_aUrv" localSheetId="7" hidden="1">#REF!</definedName>
    <definedName name="FDP_130_1_aUrv" localSheetId="1" hidden="1">#REF!</definedName>
    <definedName name="FDP_130_1_aUrv" localSheetId="2" hidden="1">#REF!</definedName>
    <definedName name="FDP_130_1_aUrv" localSheetId="0" hidden="1">#REF!</definedName>
    <definedName name="FDP_130_1_aUrv" localSheetId="4" hidden="1">#REF!</definedName>
    <definedName name="FDP_130_1_aUrv" localSheetId="3" hidden="1">#REF!</definedName>
    <definedName name="FDP_130_1_aUrv" localSheetId="5" hidden="1">#REF!</definedName>
    <definedName name="FDP_130_1_aUrv" hidden="1">#REF!</definedName>
    <definedName name="FDP_131_1_aUrv" localSheetId="6" hidden="1">#REF!</definedName>
    <definedName name="FDP_131_1_aUrv" localSheetId="7" hidden="1">#REF!</definedName>
    <definedName name="FDP_131_1_aUrv" localSheetId="1" hidden="1">#REF!</definedName>
    <definedName name="FDP_131_1_aUrv" localSheetId="2" hidden="1">#REF!</definedName>
    <definedName name="FDP_131_1_aUrv" localSheetId="0" hidden="1">#REF!</definedName>
    <definedName name="FDP_131_1_aUrv" localSheetId="4" hidden="1">#REF!</definedName>
    <definedName name="FDP_131_1_aUrv" localSheetId="3" hidden="1">#REF!</definedName>
    <definedName name="FDP_131_1_aUrv" localSheetId="5" hidden="1">#REF!</definedName>
    <definedName name="FDP_131_1_aUrv" hidden="1">#REF!</definedName>
    <definedName name="FDP_132_1_aUrv" hidden="1">'[5]Key Analyst Data'!$F$63</definedName>
    <definedName name="FDP_133_1_aUrv" hidden="1">'[5]Key Analyst Data'!$F$64</definedName>
    <definedName name="FDP_134_1_aUrv" hidden="1">'[5]Key Analyst Data'!$F$65</definedName>
    <definedName name="FDP_135_1_aUrv" hidden="1">'[5]Key Analyst Data'!$F$67</definedName>
    <definedName name="FDP_136_1_aUrv" hidden="1">'[5]Key Analyst Data'!$D$66</definedName>
    <definedName name="FDP_137_1_aUrv" hidden="1">'[5]Key Analyst Data'!$F$68</definedName>
    <definedName name="FDP_138_1_aUrv" hidden="1">'[5]Key Analyst Data'!$G$70</definedName>
    <definedName name="FDP_139_1_aUrv" hidden="1">'[5]Key Analyst Data'!$G$71</definedName>
    <definedName name="FDP_14_1_aDrv" hidden="1">'[4]Key Analyst Data'!$F$3</definedName>
    <definedName name="FDP_140_1_aDrv" hidden="1">'[5]Key Analyst Data'!$M$20</definedName>
    <definedName name="FDP_140_1_aUrv" localSheetId="6" hidden="1">#REF!</definedName>
    <definedName name="FDP_140_1_aUrv" localSheetId="7" hidden="1">#REF!</definedName>
    <definedName name="FDP_140_1_aUrv" localSheetId="1" hidden="1">#REF!</definedName>
    <definedName name="FDP_140_1_aUrv" localSheetId="2" hidden="1">#REF!</definedName>
    <definedName name="FDP_140_1_aUrv" localSheetId="0" hidden="1">#REF!</definedName>
    <definedName name="FDP_140_1_aUrv" localSheetId="4" hidden="1">#REF!</definedName>
    <definedName name="FDP_140_1_aUrv" localSheetId="3" hidden="1">#REF!</definedName>
    <definedName name="FDP_140_1_aUrv" localSheetId="5" hidden="1">#REF!</definedName>
    <definedName name="FDP_140_1_aUrv" hidden="1">#REF!</definedName>
    <definedName name="FDP_141_1_aUrv" hidden="1">'[5]Key Analyst Data'!$D$20</definedName>
    <definedName name="FDP_142_1_aUrv" hidden="1">'[5]Key Analyst Data'!$H$43</definedName>
    <definedName name="FDP_143_1_aUrv" hidden="1">'[5]Key Analyst Data'!$I$7</definedName>
    <definedName name="FDP_144_1_aUrv" hidden="1">'[5]Key Analyst Data'!$J$34</definedName>
    <definedName name="FDP_15_1_aDrv" hidden="1">'[4]Key Analyst Data'!$F$4</definedName>
    <definedName name="FDP_16_1_aDrv" hidden="1">'[4]Key Analyst Data'!$H$2</definedName>
    <definedName name="FDP_16_1_aUrv" localSheetId="6" hidden="1">#REF!</definedName>
    <definedName name="FDP_16_1_aUrv" localSheetId="7" hidden="1">#REF!</definedName>
    <definedName name="FDP_16_1_aUrv" localSheetId="1" hidden="1">#REF!</definedName>
    <definedName name="FDP_16_1_aUrv" localSheetId="2" hidden="1">#REF!</definedName>
    <definedName name="FDP_16_1_aUrv" localSheetId="0" hidden="1">#REF!</definedName>
    <definedName name="FDP_16_1_aUrv" localSheetId="4" hidden="1">#REF!</definedName>
    <definedName name="FDP_16_1_aUrv" localSheetId="3" hidden="1">#REF!</definedName>
    <definedName name="FDP_16_1_aUrv" localSheetId="5" hidden="1">#REF!</definedName>
    <definedName name="FDP_16_1_aUrv" hidden="1">#REF!</definedName>
    <definedName name="FDP_169_1_aUrv" localSheetId="6" hidden="1">#REF!</definedName>
    <definedName name="FDP_169_1_aUrv" localSheetId="7" hidden="1">#REF!</definedName>
    <definedName name="FDP_169_1_aUrv" localSheetId="1" hidden="1">#REF!</definedName>
    <definedName name="FDP_169_1_aUrv" localSheetId="2" hidden="1">#REF!</definedName>
    <definedName name="FDP_169_1_aUrv" localSheetId="0" hidden="1">#REF!</definedName>
    <definedName name="FDP_169_1_aUrv" localSheetId="4" hidden="1">#REF!</definedName>
    <definedName name="FDP_169_1_aUrv" localSheetId="3" hidden="1">#REF!</definedName>
    <definedName name="FDP_169_1_aUrv" localSheetId="5" hidden="1">#REF!</definedName>
    <definedName name="FDP_169_1_aUrv" hidden="1">#REF!</definedName>
    <definedName name="FDP_17_1_aDrv" hidden="1">'[4]Key Analyst Data'!$H$3</definedName>
    <definedName name="FDP_17_1_aUrv" localSheetId="6" hidden="1">#REF!</definedName>
    <definedName name="FDP_17_1_aUrv" localSheetId="7" hidden="1">#REF!</definedName>
    <definedName name="FDP_17_1_aUrv" localSheetId="1" hidden="1">#REF!</definedName>
    <definedName name="FDP_17_1_aUrv" localSheetId="2" hidden="1">#REF!</definedName>
    <definedName name="FDP_17_1_aUrv" localSheetId="0" hidden="1">#REF!</definedName>
    <definedName name="FDP_17_1_aUrv" localSheetId="4" hidden="1">#REF!</definedName>
    <definedName name="FDP_17_1_aUrv" localSheetId="3" hidden="1">#REF!</definedName>
    <definedName name="FDP_17_1_aUrv" localSheetId="5" hidden="1">#REF!</definedName>
    <definedName name="FDP_17_1_aUrv" hidden="1">#REF!</definedName>
    <definedName name="FDP_170_1_aUrv" localSheetId="6" hidden="1">#REF!</definedName>
    <definedName name="FDP_170_1_aUrv" localSheetId="7" hidden="1">#REF!</definedName>
    <definedName name="FDP_170_1_aUrv" localSheetId="1" hidden="1">#REF!</definedName>
    <definedName name="FDP_170_1_aUrv" localSheetId="2" hidden="1">#REF!</definedName>
    <definedName name="FDP_170_1_aUrv" localSheetId="0" hidden="1">#REF!</definedName>
    <definedName name="FDP_170_1_aUrv" localSheetId="4" hidden="1">#REF!</definedName>
    <definedName name="FDP_170_1_aUrv" localSheetId="3" hidden="1">#REF!</definedName>
    <definedName name="FDP_170_1_aUrv" localSheetId="5" hidden="1">#REF!</definedName>
    <definedName name="FDP_170_1_aUrv" hidden="1">#REF!</definedName>
    <definedName name="FDP_171_1_aUrv" localSheetId="6" hidden="1">#REF!</definedName>
    <definedName name="FDP_171_1_aUrv" localSheetId="7" hidden="1">#REF!</definedName>
    <definedName name="FDP_171_1_aUrv" localSheetId="1" hidden="1">#REF!</definedName>
    <definedName name="FDP_171_1_aUrv" localSheetId="2" hidden="1">#REF!</definedName>
    <definedName name="FDP_171_1_aUrv" localSheetId="0" hidden="1">#REF!</definedName>
    <definedName name="FDP_171_1_aUrv" localSheetId="4" hidden="1">#REF!</definedName>
    <definedName name="FDP_171_1_aUrv" localSheetId="3" hidden="1">#REF!</definedName>
    <definedName name="FDP_171_1_aUrv" localSheetId="5" hidden="1">#REF!</definedName>
    <definedName name="FDP_171_1_aUrv" hidden="1">#REF!</definedName>
    <definedName name="FDP_173_1_aUrv" hidden="1">'[5]Key Analyst Data'!$D$53</definedName>
    <definedName name="FDP_174_1_aUrv" hidden="1">'[5]Key Analyst Data'!$D$16</definedName>
    <definedName name="FDP_175_1_aUrv" hidden="1">'[5]Key Analyst Data'!$D$31</definedName>
    <definedName name="FDP_176_1_aUrv" hidden="1">'[5]Key Analyst Data'!$G$20</definedName>
    <definedName name="FDP_18_1_aDrv" hidden="1">'[4]Key Analyst Data'!$H$4</definedName>
    <definedName name="FDP_18_1_aUrv" localSheetId="6" hidden="1">#REF!</definedName>
    <definedName name="FDP_18_1_aUrv" localSheetId="7" hidden="1">#REF!</definedName>
    <definedName name="FDP_18_1_aUrv" localSheetId="1" hidden="1">#REF!</definedName>
    <definedName name="FDP_18_1_aUrv" localSheetId="2" hidden="1">#REF!</definedName>
    <definedName name="FDP_18_1_aUrv" localSheetId="0" hidden="1">#REF!</definedName>
    <definedName name="FDP_18_1_aUrv" localSheetId="4" hidden="1">#REF!</definedName>
    <definedName name="FDP_18_1_aUrv" localSheetId="3" hidden="1">#REF!</definedName>
    <definedName name="FDP_18_1_aUrv" localSheetId="5" hidden="1">#REF!</definedName>
    <definedName name="FDP_18_1_aUrv" hidden="1">#REF!</definedName>
    <definedName name="FDP_19_1_aUdv" localSheetId="6" hidden="1">#REF!</definedName>
    <definedName name="FDP_19_1_aUdv" localSheetId="7" hidden="1">#REF!</definedName>
    <definedName name="FDP_19_1_aUdv" localSheetId="1" hidden="1">#REF!</definedName>
    <definedName name="FDP_19_1_aUdv" localSheetId="2" hidden="1">#REF!</definedName>
    <definedName name="FDP_19_1_aUdv" localSheetId="0" hidden="1">#REF!</definedName>
    <definedName name="FDP_19_1_aUdv" localSheetId="4" hidden="1">#REF!</definedName>
    <definedName name="FDP_19_1_aUdv" localSheetId="3" hidden="1">#REF!</definedName>
    <definedName name="FDP_19_1_aUdv" localSheetId="5" hidden="1">#REF!</definedName>
    <definedName name="FDP_19_1_aUdv" hidden="1">#REF!</definedName>
    <definedName name="FDP_19_1_aUrv" hidden="1">'[4]Key Analyst Data'!$I$12</definedName>
    <definedName name="FDP_19_1_dUdv" localSheetId="6" hidden="1">#REF!</definedName>
    <definedName name="FDP_19_1_dUdv" localSheetId="7" hidden="1">#REF!</definedName>
    <definedName name="FDP_19_1_dUdv" localSheetId="1" hidden="1">#REF!</definedName>
    <definedName name="FDP_19_1_dUdv" localSheetId="2" hidden="1">#REF!</definedName>
    <definedName name="FDP_19_1_dUdv" localSheetId="0" hidden="1">#REF!</definedName>
    <definedName name="FDP_19_1_dUdv" localSheetId="4" hidden="1">#REF!</definedName>
    <definedName name="FDP_19_1_dUdv" localSheetId="3" hidden="1">#REF!</definedName>
    <definedName name="FDP_19_1_dUdv" localSheetId="5" hidden="1">#REF!</definedName>
    <definedName name="FDP_19_1_dUdv" hidden="1">#REF!</definedName>
    <definedName name="FDP_2_1_aSrv" hidden="1">'[5]Key Analyst Data'!$M$35</definedName>
    <definedName name="FDP_2_1_aUrv" localSheetId="6" hidden="1">'[4]Key Analyst Data'!#REF!</definedName>
    <definedName name="FDP_2_1_aUrv" localSheetId="7" hidden="1">'[4]Key Analyst Data'!#REF!</definedName>
    <definedName name="FDP_2_1_aUrv" localSheetId="1" hidden="1">'[4]Key Analyst Data'!#REF!</definedName>
    <definedName name="FDP_2_1_aUrv" localSheetId="2" hidden="1">'[4]Key Analyst Data'!#REF!</definedName>
    <definedName name="FDP_2_1_aUrv" localSheetId="0" hidden="1">'[4]Key Analyst Data'!#REF!</definedName>
    <definedName name="FDP_2_1_aUrv" localSheetId="4" hidden="1">'[4]Key Analyst Data'!#REF!</definedName>
    <definedName name="FDP_2_1_aUrv" localSheetId="3" hidden="1">'[4]Key Analyst Data'!#REF!</definedName>
    <definedName name="FDP_2_1_aUrv" localSheetId="5" hidden="1">'[4]Key Analyst Data'!#REF!</definedName>
    <definedName name="FDP_2_1_aUrv" hidden="1">'[4]Key Analyst Data'!#REF!</definedName>
    <definedName name="FDP_2_1_dSrv" hidden="1">'[5]Key Analyst Data'!$I$35</definedName>
    <definedName name="FDP_20_1_aUdv" localSheetId="6" hidden="1">#REF!</definedName>
    <definedName name="FDP_20_1_aUdv" localSheetId="7" hidden="1">#REF!</definedName>
    <definedName name="FDP_20_1_aUdv" localSheetId="1" hidden="1">#REF!</definedName>
    <definedName name="FDP_20_1_aUdv" localSheetId="2" hidden="1">#REF!</definedName>
    <definedName name="FDP_20_1_aUdv" localSheetId="0" hidden="1">#REF!</definedName>
    <definedName name="FDP_20_1_aUdv" localSheetId="4" hidden="1">#REF!</definedName>
    <definedName name="FDP_20_1_aUdv" localSheetId="3" hidden="1">#REF!</definedName>
    <definedName name="FDP_20_1_aUdv" localSheetId="5" hidden="1">#REF!</definedName>
    <definedName name="FDP_20_1_aUdv" hidden="1">#REF!</definedName>
    <definedName name="FDP_20_1_aUrv" hidden="1">'[4]Key Analyst Data'!$D$16</definedName>
    <definedName name="FDP_21_1_aDrv" localSheetId="6" hidden="1">#REF!</definedName>
    <definedName name="FDP_21_1_aDrv" localSheetId="7" hidden="1">#REF!</definedName>
    <definedName name="FDP_21_1_aDrv" localSheetId="1" hidden="1">#REF!</definedName>
    <definedName name="FDP_21_1_aDrv" localSheetId="2" hidden="1">#REF!</definedName>
    <definedName name="FDP_21_1_aDrv" localSheetId="0" hidden="1">#REF!</definedName>
    <definedName name="FDP_21_1_aDrv" localSheetId="4" hidden="1">#REF!</definedName>
    <definedName name="FDP_21_1_aDrv" localSheetId="3" hidden="1">#REF!</definedName>
    <definedName name="FDP_21_1_aDrv" localSheetId="5" hidden="1">#REF!</definedName>
    <definedName name="FDP_21_1_aDrv" hidden="1">#REF!</definedName>
    <definedName name="FDP_21_1_aUrv" hidden="1">'[4]Key Analyst Data'!$D$17</definedName>
    <definedName name="FDP_22_1_aDrv" localSheetId="6" hidden="1">#REF!</definedName>
    <definedName name="FDP_22_1_aDrv" localSheetId="7" hidden="1">#REF!</definedName>
    <definedName name="FDP_22_1_aDrv" localSheetId="1" hidden="1">#REF!</definedName>
    <definedName name="FDP_22_1_aDrv" localSheetId="2" hidden="1">#REF!</definedName>
    <definedName name="FDP_22_1_aDrv" localSheetId="0" hidden="1">#REF!</definedName>
    <definedName name="FDP_22_1_aDrv" localSheetId="4" hidden="1">#REF!</definedName>
    <definedName name="FDP_22_1_aDrv" localSheetId="3" hidden="1">#REF!</definedName>
    <definedName name="FDP_22_1_aDrv" localSheetId="5" hidden="1">#REF!</definedName>
    <definedName name="FDP_22_1_aDrv" hidden="1">#REF!</definedName>
    <definedName name="FDP_22_1_aUdv" hidden="1">'[5]Key Analyst Data'!$AU$3</definedName>
    <definedName name="FDP_22_1_aUrv" hidden="1">'[4]Key Analyst Data'!$D$18</definedName>
    <definedName name="FDP_22_1_dUdv" hidden="1">'[5]Key Analyst Data'!$AT$3</definedName>
    <definedName name="FDP_23_1_aDrv" localSheetId="6" hidden="1">#REF!</definedName>
    <definedName name="FDP_23_1_aDrv" localSheetId="7" hidden="1">#REF!</definedName>
    <definedName name="FDP_23_1_aDrv" localSheetId="1" hidden="1">#REF!</definedName>
    <definedName name="FDP_23_1_aDrv" localSheetId="2" hidden="1">#REF!</definedName>
    <definedName name="FDP_23_1_aDrv" localSheetId="0" hidden="1">#REF!</definedName>
    <definedName name="FDP_23_1_aDrv" localSheetId="4" hidden="1">#REF!</definedName>
    <definedName name="FDP_23_1_aDrv" localSheetId="3" hidden="1">#REF!</definedName>
    <definedName name="FDP_23_1_aDrv" localSheetId="5" hidden="1">#REF!</definedName>
    <definedName name="FDP_23_1_aDrv" hidden="1">#REF!</definedName>
    <definedName name="FDP_23_1_aUdv" hidden="1">'[5]Key Analyst Data'!$AV$3</definedName>
    <definedName name="FDP_23_1_aUrv" hidden="1">'[4]Key Analyst Data'!$D$19</definedName>
    <definedName name="FDP_24_1_aDrv" hidden="1">'[5]Key Analyst Data'!$D$3</definedName>
    <definedName name="FDP_24_1_aUrv" hidden="1">'[4]Key Analyst Data'!$D$21</definedName>
    <definedName name="FDP_25_1_aDrv" hidden="1">'[5]Key Analyst Data'!$D$4</definedName>
    <definedName name="FDP_25_1_aUrv" hidden="1">'[4]Key Analyst Data'!$D$22</definedName>
    <definedName name="FDP_26_1_aDrv" hidden="1">'[5]Key Analyst Data'!$D$5</definedName>
    <definedName name="FDP_26_1_aUrv" hidden="1">'[4]Key Analyst Data'!$D$23</definedName>
    <definedName name="FDP_27_1_aDrv" hidden="1">'[5]Key Analyst Data'!$F$3</definedName>
    <definedName name="FDP_27_1_aUrv" hidden="1">'[4]Key Analyst Data'!$D$24</definedName>
    <definedName name="FDP_28_1_aDrv" hidden="1">'[5]Key Analyst Data'!$F$4</definedName>
    <definedName name="FDP_28_1_aUrv" hidden="1">'[4]Key Analyst Data'!$D$27</definedName>
    <definedName name="FDP_29_1_aDrv" hidden="1">'[5]Key Analyst Data'!$F$5</definedName>
    <definedName name="FDP_29_1_aUrv" hidden="1">'[4]Key Analyst Data'!$D$29</definedName>
    <definedName name="FDP_3_1_aUrv" localSheetId="6" hidden="1">'[4]Key Analyst Data'!#REF!</definedName>
    <definedName name="FDP_3_1_aUrv" localSheetId="7" hidden="1">'[4]Key Analyst Data'!#REF!</definedName>
    <definedName name="FDP_3_1_aUrv" localSheetId="1" hidden="1">'[4]Key Analyst Data'!#REF!</definedName>
    <definedName name="FDP_3_1_aUrv" localSheetId="2" hidden="1">'[4]Key Analyst Data'!#REF!</definedName>
    <definedName name="FDP_3_1_aUrv" localSheetId="0" hidden="1">'[4]Key Analyst Data'!#REF!</definedName>
    <definedName name="FDP_3_1_aUrv" localSheetId="4" hidden="1">'[4]Key Analyst Data'!#REF!</definedName>
    <definedName name="FDP_3_1_aUrv" localSheetId="3" hidden="1">'[4]Key Analyst Data'!#REF!</definedName>
    <definedName name="FDP_3_1_aUrv" localSheetId="5" hidden="1">'[4]Key Analyst Data'!#REF!</definedName>
    <definedName name="FDP_3_1_aUrv" hidden="1">'[4]Key Analyst Data'!#REF!</definedName>
    <definedName name="FDP_30_1_aDrv" hidden="1">'[5]Key Analyst Data'!$H$3</definedName>
    <definedName name="FDP_30_1_aUrv" hidden="1">'[4]Key Analyst Data'!$D$31</definedName>
    <definedName name="FDP_31_1_aDrv" hidden="1">'[5]Key Analyst Data'!$H$4</definedName>
    <definedName name="FDP_31_1_aUrv" hidden="1">'[4]Key Analyst Data'!$D$32</definedName>
    <definedName name="FDP_32_1_aDrv" hidden="1">'[5]Key Analyst Data'!$H$5</definedName>
    <definedName name="FDP_32_1_aUrv" hidden="1">'[4]Key Analyst Data'!$G$32</definedName>
    <definedName name="FDP_33_1_aUrv" hidden="1">'[4]Key Analyst Data'!$D$34</definedName>
    <definedName name="FDP_34_1_aUrv" hidden="1">'[4]Key Analyst Data'!$D$35</definedName>
    <definedName name="FDP_35_1_aUrv" hidden="1">'[4]Key Analyst Data'!$D$36</definedName>
    <definedName name="FDP_36_1_aUrv" hidden="1">'[4]Key Analyst Data'!$G$36</definedName>
    <definedName name="FDP_37_1_aUrv" hidden="1">'[4]Key Analyst Data'!$G$34</definedName>
    <definedName name="FDP_38_1_aUrv" hidden="1">'[4]Key Analyst Data'!$I$31</definedName>
    <definedName name="FDP_39_1_aUrv" hidden="1">'[4]Key Analyst Data'!$I$34</definedName>
    <definedName name="FDP_4_1_aUrv" localSheetId="6" hidden="1">'[4]Key Analyst Data'!#REF!</definedName>
    <definedName name="FDP_4_1_aUrv" localSheetId="7" hidden="1">'[4]Key Analyst Data'!#REF!</definedName>
    <definedName name="FDP_4_1_aUrv" localSheetId="1" hidden="1">'[4]Key Analyst Data'!#REF!</definedName>
    <definedName name="FDP_4_1_aUrv" localSheetId="2" hidden="1">'[4]Key Analyst Data'!#REF!</definedName>
    <definedName name="FDP_4_1_aUrv" localSheetId="0" hidden="1">'[4]Key Analyst Data'!#REF!</definedName>
    <definedName name="FDP_4_1_aUrv" localSheetId="4" hidden="1">'[4]Key Analyst Data'!#REF!</definedName>
    <definedName name="FDP_4_1_aUrv" localSheetId="3" hidden="1">'[4]Key Analyst Data'!#REF!</definedName>
    <definedName name="FDP_4_1_aUrv" localSheetId="5" hidden="1">'[4]Key Analyst Data'!#REF!</definedName>
    <definedName name="FDP_4_1_aUrv" hidden="1">'[4]Key Analyst Data'!#REF!</definedName>
    <definedName name="FDP_40_1_aUrv" hidden="1">'[4]Key Analyst Data'!$D$38</definedName>
    <definedName name="FDP_41_1_aUrv" hidden="1">'[4]Key Analyst Data'!$D$39</definedName>
    <definedName name="FDP_42_1_aUrv" hidden="1">'[4]Key Analyst Data'!$G$39</definedName>
    <definedName name="FDP_43_1_aUrv" hidden="1">'[4]Key Analyst Data'!$D$43</definedName>
    <definedName name="FDP_44_1_aUrv" hidden="1">'[4]Key Analyst Data'!$G$43</definedName>
    <definedName name="FDP_45_1_aUrv" hidden="1">'[4]Key Analyst Data'!$D$44</definedName>
    <definedName name="FDP_46_1_aUrv" hidden="1">'[4]Key Analyst Data'!$G$44</definedName>
    <definedName name="FDP_47_1_aUrv" hidden="1">'[4]Key Analyst Data'!$D$45</definedName>
    <definedName name="FDP_48_1_aUrv" hidden="1">'[4]Key Analyst Data'!$G$45</definedName>
    <definedName name="FDP_49_1_aDrv" hidden="1">'[4]Key Analyst Data'!$D$42</definedName>
    <definedName name="FDP_49_1_aUrv" hidden="1">'[5]Key Analyst Data'!$D$38</definedName>
    <definedName name="FDP_5_1_aUrv" hidden="1">'[4]Key Analyst Data'!$D$28</definedName>
    <definedName name="FDP_50_1_aDrv" hidden="1">'[4]Key Analyst Data'!$G$42</definedName>
    <definedName name="FDP_50_1_aUrv" hidden="1">'[5]Key Analyst Data'!$D$39</definedName>
    <definedName name="FDP_51_1_aUrv" hidden="1">'[4]Key Analyst Data'!$D$12</definedName>
    <definedName name="FDP_52_1_aUrv" hidden="1">'[4]Key Analyst Data'!$D$14</definedName>
    <definedName name="FDP_52_1_rUrv" hidden="1">'[4]Key Analyst Data'!$D$15</definedName>
    <definedName name="FDP_53_1_aUrv" hidden="1">'[4]Key Analyst Data'!$D$49</definedName>
    <definedName name="FDP_54_1_aUrv" hidden="1">'[4]Key Analyst Data'!$D$50</definedName>
    <definedName name="FDP_55_1_aUrv" localSheetId="6" hidden="1">'[4]Key Analyst Data'!#REF!</definedName>
    <definedName name="FDP_55_1_aUrv" localSheetId="7" hidden="1">'[4]Key Analyst Data'!#REF!</definedName>
    <definedName name="FDP_55_1_aUrv" localSheetId="1" hidden="1">'[4]Key Analyst Data'!#REF!</definedName>
    <definedName name="FDP_55_1_aUrv" localSheetId="2" hidden="1">'[4]Key Analyst Data'!#REF!</definedName>
    <definedName name="FDP_55_1_aUrv" localSheetId="0" hidden="1">'[4]Key Analyst Data'!#REF!</definedName>
    <definedName name="FDP_55_1_aUrv" localSheetId="4" hidden="1">'[4]Key Analyst Data'!#REF!</definedName>
    <definedName name="FDP_55_1_aUrv" localSheetId="3" hidden="1">'[4]Key Analyst Data'!#REF!</definedName>
    <definedName name="FDP_55_1_aUrv" localSheetId="5" hidden="1">'[4]Key Analyst Data'!#REF!</definedName>
    <definedName name="FDP_55_1_aUrv" hidden="1">'[4]Key Analyst Data'!#REF!</definedName>
    <definedName name="FDP_56_1_aUrv" localSheetId="6" hidden="1">'[4]Key Analyst Data'!#REF!</definedName>
    <definedName name="FDP_56_1_aUrv" localSheetId="7" hidden="1">'[4]Key Analyst Data'!#REF!</definedName>
    <definedName name="FDP_56_1_aUrv" localSheetId="1" hidden="1">'[4]Key Analyst Data'!#REF!</definedName>
    <definedName name="FDP_56_1_aUrv" localSheetId="2" hidden="1">'[4]Key Analyst Data'!#REF!</definedName>
    <definedName name="FDP_56_1_aUrv" localSheetId="0" hidden="1">'[4]Key Analyst Data'!#REF!</definedName>
    <definedName name="FDP_56_1_aUrv" localSheetId="4" hidden="1">'[4]Key Analyst Data'!#REF!</definedName>
    <definedName name="FDP_56_1_aUrv" localSheetId="3" hidden="1">'[4]Key Analyst Data'!#REF!</definedName>
    <definedName name="FDP_56_1_aUrv" localSheetId="5" hidden="1">'[4]Key Analyst Data'!#REF!</definedName>
    <definedName name="FDP_56_1_aUrv" hidden="1">'[4]Key Analyst Data'!#REF!</definedName>
    <definedName name="FDP_57_1_aUrv" localSheetId="6" hidden="1">'[4]Key Analyst Data'!#REF!</definedName>
    <definedName name="FDP_57_1_aUrv" localSheetId="7" hidden="1">'[4]Key Analyst Data'!#REF!</definedName>
    <definedName name="FDP_57_1_aUrv" localSheetId="1" hidden="1">'[4]Key Analyst Data'!#REF!</definedName>
    <definedName name="FDP_57_1_aUrv" localSheetId="2" hidden="1">'[4]Key Analyst Data'!#REF!</definedName>
    <definedName name="FDP_57_1_aUrv" localSheetId="0" hidden="1">'[4]Key Analyst Data'!#REF!</definedName>
    <definedName name="FDP_57_1_aUrv" localSheetId="4" hidden="1">'[4]Key Analyst Data'!#REF!</definedName>
    <definedName name="FDP_57_1_aUrv" localSheetId="3" hidden="1">'[4]Key Analyst Data'!#REF!</definedName>
    <definedName name="FDP_57_1_aUrv" localSheetId="5" hidden="1">'[4]Key Analyst Data'!#REF!</definedName>
    <definedName name="FDP_57_1_aUrv" hidden="1">'[4]Key Analyst Data'!#REF!</definedName>
    <definedName name="FDP_58_1_aDrv" localSheetId="6" hidden="1">#REF!</definedName>
    <definedName name="FDP_58_1_aDrv" localSheetId="7" hidden="1">#REF!</definedName>
    <definedName name="FDP_58_1_aDrv" localSheetId="1" hidden="1">#REF!</definedName>
    <definedName name="FDP_58_1_aDrv" localSheetId="2" hidden="1">#REF!</definedName>
    <definedName name="FDP_58_1_aDrv" localSheetId="0" hidden="1">#REF!</definedName>
    <definedName name="FDP_58_1_aDrv" localSheetId="4" hidden="1">#REF!</definedName>
    <definedName name="FDP_58_1_aDrv" localSheetId="3" hidden="1">#REF!</definedName>
    <definedName name="FDP_58_1_aDrv" localSheetId="5" hidden="1">#REF!</definedName>
    <definedName name="FDP_58_1_aDrv" hidden="1">#REF!</definedName>
    <definedName name="FDP_58_1_aUrv" localSheetId="6" hidden="1">'[4]Key Analyst Data'!#REF!</definedName>
    <definedName name="FDP_58_1_aUrv" localSheetId="7" hidden="1">'[4]Key Analyst Data'!#REF!</definedName>
    <definedName name="FDP_58_1_aUrv" localSheetId="1" hidden="1">'[4]Key Analyst Data'!#REF!</definedName>
    <definedName name="FDP_58_1_aUrv" localSheetId="2" hidden="1">'[4]Key Analyst Data'!#REF!</definedName>
    <definedName name="FDP_58_1_aUrv" localSheetId="0" hidden="1">'[4]Key Analyst Data'!#REF!</definedName>
    <definedName name="FDP_58_1_aUrv" localSheetId="4" hidden="1">'[4]Key Analyst Data'!#REF!</definedName>
    <definedName name="FDP_58_1_aUrv" localSheetId="3" hidden="1">'[4]Key Analyst Data'!#REF!</definedName>
    <definedName name="FDP_58_1_aUrv" localSheetId="5" hidden="1">'[4]Key Analyst Data'!#REF!</definedName>
    <definedName name="FDP_58_1_aUrv" hidden="1">'[4]Key Analyst Data'!#REF!</definedName>
    <definedName name="FDP_59_1_aDrv" localSheetId="6" hidden="1">#REF!</definedName>
    <definedName name="FDP_59_1_aDrv" localSheetId="7" hidden="1">#REF!</definedName>
    <definedName name="FDP_59_1_aDrv" localSheetId="1" hidden="1">#REF!</definedName>
    <definedName name="FDP_59_1_aDrv" localSheetId="2" hidden="1">#REF!</definedName>
    <definedName name="FDP_59_1_aDrv" localSheetId="0" hidden="1">#REF!</definedName>
    <definedName name="FDP_59_1_aDrv" localSheetId="4" hidden="1">#REF!</definedName>
    <definedName name="FDP_59_1_aDrv" localSheetId="3" hidden="1">#REF!</definedName>
    <definedName name="FDP_59_1_aDrv" localSheetId="5" hidden="1">#REF!</definedName>
    <definedName name="FDP_59_1_aDrv" hidden="1">#REF!</definedName>
    <definedName name="FDP_59_1_aUrv" localSheetId="6" hidden="1">'[4]Key Analyst Data'!#REF!</definedName>
    <definedName name="FDP_59_1_aUrv" localSheetId="7" hidden="1">'[4]Key Analyst Data'!#REF!</definedName>
    <definedName name="FDP_59_1_aUrv" localSheetId="1" hidden="1">'[4]Key Analyst Data'!#REF!</definedName>
    <definedName name="FDP_59_1_aUrv" localSheetId="2" hidden="1">'[4]Key Analyst Data'!#REF!</definedName>
    <definedName name="FDP_59_1_aUrv" localSheetId="0" hidden="1">'[4]Key Analyst Data'!#REF!</definedName>
    <definedName name="FDP_59_1_aUrv" localSheetId="4" hidden="1">'[4]Key Analyst Data'!#REF!</definedName>
    <definedName name="FDP_59_1_aUrv" localSheetId="3" hidden="1">'[4]Key Analyst Data'!#REF!</definedName>
    <definedName name="FDP_59_1_aUrv" localSheetId="5" hidden="1">'[4]Key Analyst Data'!#REF!</definedName>
    <definedName name="FDP_59_1_aUrv" hidden="1">'[4]Key Analyst Data'!#REF!</definedName>
    <definedName name="FDP_6_1_aDrv" localSheetId="6" hidden="1">#REF!</definedName>
    <definedName name="FDP_6_1_aDrv" localSheetId="7" hidden="1">#REF!</definedName>
    <definedName name="FDP_6_1_aDrv" localSheetId="1" hidden="1">#REF!</definedName>
    <definedName name="FDP_6_1_aDrv" localSheetId="2" hidden="1">#REF!</definedName>
    <definedName name="FDP_6_1_aDrv" localSheetId="0" hidden="1">#REF!</definedName>
    <definedName name="FDP_6_1_aDrv" localSheetId="4" hidden="1">#REF!</definedName>
    <definedName name="FDP_6_1_aDrv" localSheetId="3" hidden="1">#REF!</definedName>
    <definedName name="FDP_6_1_aDrv" localSheetId="5" hidden="1">#REF!</definedName>
    <definedName name="FDP_6_1_aDrv" hidden="1">#REF!</definedName>
    <definedName name="FDP_6_1_aUrv" hidden="1">'[4]Key Analyst Data'!$D$26</definedName>
    <definedName name="FDP_60_1_aUrv" localSheetId="6" hidden="1">'[4]Key Analyst Data'!#REF!</definedName>
    <definedName name="FDP_60_1_aUrv" localSheetId="7" hidden="1">'[4]Key Analyst Data'!#REF!</definedName>
    <definedName name="FDP_60_1_aUrv" localSheetId="1" hidden="1">'[4]Key Analyst Data'!#REF!</definedName>
    <definedName name="FDP_60_1_aUrv" localSheetId="2" hidden="1">'[4]Key Analyst Data'!#REF!</definedName>
    <definedName name="FDP_60_1_aUrv" localSheetId="0" hidden="1">'[4]Key Analyst Data'!#REF!</definedName>
    <definedName name="FDP_60_1_aUrv" localSheetId="4" hidden="1">'[4]Key Analyst Data'!#REF!</definedName>
    <definedName name="FDP_60_1_aUrv" localSheetId="3" hidden="1">'[4]Key Analyst Data'!#REF!</definedName>
    <definedName name="FDP_60_1_aUrv" localSheetId="5" hidden="1">'[4]Key Analyst Data'!#REF!</definedName>
    <definedName name="FDP_60_1_aUrv" hidden="1">'[4]Key Analyst Data'!#REF!</definedName>
    <definedName name="FDP_61_1_aDrv" hidden="1">'[5]Key Analyst Data'!$D$46</definedName>
    <definedName name="FDP_61_1_aUrv" localSheetId="6" hidden="1">'[4]Key Analyst Data'!#REF!</definedName>
    <definedName name="FDP_61_1_aUrv" localSheetId="7" hidden="1">'[4]Key Analyst Data'!#REF!</definedName>
    <definedName name="FDP_61_1_aUrv" localSheetId="1" hidden="1">'[4]Key Analyst Data'!#REF!</definedName>
    <definedName name="FDP_61_1_aUrv" localSheetId="2" hidden="1">'[4]Key Analyst Data'!#REF!</definedName>
    <definedName name="FDP_61_1_aUrv" localSheetId="0" hidden="1">'[4]Key Analyst Data'!#REF!</definedName>
    <definedName name="FDP_61_1_aUrv" localSheetId="4" hidden="1">'[4]Key Analyst Data'!#REF!</definedName>
    <definedName name="FDP_61_1_aUrv" localSheetId="3" hidden="1">'[4]Key Analyst Data'!#REF!</definedName>
    <definedName name="FDP_61_1_aUrv" localSheetId="5" hidden="1">'[4]Key Analyst Data'!#REF!</definedName>
    <definedName name="FDP_61_1_aUrv" hidden="1">'[4]Key Analyst Data'!#REF!</definedName>
    <definedName name="FDP_61_1_rUrv" localSheetId="6" hidden="1">#REF!</definedName>
    <definedName name="FDP_61_1_rUrv" localSheetId="7" hidden="1">#REF!</definedName>
    <definedName name="FDP_61_1_rUrv" localSheetId="1" hidden="1">#REF!</definedName>
    <definedName name="FDP_61_1_rUrv" localSheetId="2" hidden="1">#REF!</definedName>
    <definedName name="FDP_61_1_rUrv" localSheetId="0" hidden="1">#REF!</definedName>
    <definedName name="FDP_61_1_rUrv" localSheetId="4" hidden="1">#REF!</definedName>
    <definedName name="FDP_61_1_rUrv" localSheetId="3" hidden="1">#REF!</definedName>
    <definedName name="FDP_61_1_rUrv" localSheetId="5" hidden="1">#REF!</definedName>
    <definedName name="FDP_61_1_rUrv" hidden="1">#REF!</definedName>
    <definedName name="FDP_62_1_aDrv" hidden="1">'[5]Key Analyst Data'!$G$46</definedName>
    <definedName name="FDP_62_1_aUrv" localSheetId="6" hidden="1">'[4]Key Analyst Data'!#REF!</definedName>
    <definedName name="FDP_62_1_aUrv" localSheetId="7" hidden="1">'[4]Key Analyst Data'!#REF!</definedName>
    <definedName name="FDP_62_1_aUrv" localSheetId="1" hidden="1">'[4]Key Analyst Data'!#REF!</definedName>
    <definedName name="FDP_62_1_aUrv" localSheetId="2" hidden="1">'[4]Key Analyst Data'!#REF!</definedName>
    <definedName name="FDP_62_1_aUrv" localSheetId="0" hidden="1">'[4]Key Analyst Data'!#REF!</definedName>
    <definedName name="FDP_62_1_aUrv" localSheetId="4" hidden="1">'[4]Key Analyst Data'!#REF!</definedName>
    <definedName name="FDP_62_1_aUrv" localSheetId="3" hidden="1">'[4]Key Analyst Data'!#REF!</definedName>
    <definedName name="FDP_62_1_aUrv" localSheetId="5" hidden="1">'[4]Key Analyst Data'!#REF!</definedName>
    <definedName name="FDP_62_1_aUrv" hidden="1">'[4]Key Analyst Data'!#REF!</definedName>
    <definedName name="FDP_63_1_aDrv" localSheetId="6" hidden="1">'[4]Key Analyst Data'!#REF!</definedName>
    <definedName name="FDP_63_1_aDrv" localSheetId="7" hidden="1">'[4]Key Analyst Data'!#REF!</definedName>
    <definedName name="FDP_63_1_aDrv" localSheetId="1" hidden="1">'[4]Key Analyst Data'!#REF!</definedName>
    <definedName name="FDP_63_1_aDrv" localSheetId="2" hidden="1">'[4]Key Analyst Data'!#REF!</definedName>
    <definedName name="FDP_63_1_aDrv" localSheetId="0" hidden="1">'[4]Key Analyst Data'!#REF!</definedName>
    <definedName name="FDP_63_1_aDrv" localSheetId="4" hidden="1">'[4]Key Analyst Data'!#REF!</definedName>
    <definedName name="FDP_63_1_aDrv" localSheetId="3" hidden="1">'[4]Key Analyst Data'!#REF!</definedName>
    <definedName name="FDP_63_1_aDrv" localSheetId="5" hidden="1">'[4]Key Analyst Data'!#REF!</definedName>
    <definedName name="FDP_63_1_aDrv" hidden="1">'[4]Key Analyst Data'!#REF!</definedName>
    <definedName name="FDP_63_1_aUrv" hidden="1">'[5]Key Analyst Data'!$D$10</definedName>
    <definedName name="FDP_64_1_aDrv" localSheetId="6" hidden="1">'[4]Key Analyst Data'!#REF!</definedName>
    <definedName name="FDP_64_1_aDrv" localSheetId="7" hidden="1">'[4]Key Analyst Data'!#REF!</definedName>
    <definedName name="FDP_64_1_aDrv" localSheetId="1" hidden="1">'[4]Key Analyst Data'!#REF!</definedName>
    <definedName name="FDP_64_1_aDrv" localSheetId="2" hidden="1">'[4]Key Analyst Data'!#REF!</definedName>
    <definedName name="FDP_64_1_aDrv" localSheetId="0" hidden="1">'[4]Key Analyst Data'!#REF!</definedName>
    <definedName name="FDP_64_1_aDrv" localSheetId="4" hidden="1">'[4]Key Analyst Data'!#REF!</definedName>
    <definedName name="FDP_64_1_aDrv" localSheetId="3" hidden="1">'[4]Key Analyst Data'!#REF!</definedName>
    <definedName name="FDP_64_1_aDrv" localSheetId="5" hidden="1">'[4]Key Analyst Data'!#REF!</definedName>
    <definedName name="FDP_64_1_aDrv" hidden="1">'[4]Key Analyst Data'!#REF!</definedName>
    <definedName name="FDP_64_1_aUrv" hidden="1">'[5]Key Analyst Data'!$D$12</definedName>
    <definedName name="FDP_64_1_rUrv" hidden="1">'[5]Key Analyst Data'!$D$13</definedName>
    <definedName name="FDP_65_1_aDrv" localSheetId="6" hidden="1">'[4]Key Analyst Data'!#REF!</definedName>
    <definedName name="FDP_65_1_aDrv" localSheetId="7" hidden="1">'[4]Key Analyst Data'!#REF!</definedName>
    <definedName name="FDP_65_1_aDrv" localSheetId="1" hidden="1">'[4]Key Analyst Data'!#REF!</definedName>
    <definedName name="FDP_65_1_aDrv" localSheetId="2" hidden="1">'[4]Key Analyst Data'!#REF!</definedName>
    <definedName name="FDP_65_1_aDrv" localSheetId="0" hidden="1">'[4]Key Analyst Data'!#REF!</definedName>
    <definedName name="FDP_65_1_aDrv" localSheetId="4" hidden="1">'[4]Key Analyst Data'!#REF!</definedName>
    <definedName name="FDP_65_1_aDrv" localSheetId="3" hidden="1">'[4]Key Analyst Data'!#REF!</definedName>
    <definedName name="FDP_65_1_aDrv" localSheetId="5" hidden="1">'[4]Key Analyst Data'!#REF!</definedName>
    <definedName name="FDP_65_1_aDrv" hidden="1">'[4]Key Analyst Data'!#REF!</definedName>
    <definedName name="FDP_65_1_aUrv" hidden="1">'[5]Key Analyst Data'!$D$55</definedName>
    <definedName name="FDP_66_1_aUrv" localSheetId="6" hidden="1">'[4]Key Analyst Data'!#REF!</definedName>
    <definedName name="FDP_66_1_aUrv" localSheetId="7" hidden="1">'[4]Key Analyst Data'!#REF!</definedName>
    <definedName name="FDP_66_1_aUrv" localSheetId="1" hidden="1">'[4]Key Analyst Data'!#REF!</definedName>
    <definedName name="FDP_66_1_aUrv" localSheetId="2" hidden="1">'[4]Key Analyst Data'!#REF!</definedName>
    <definedName name="FDP_66_1_aUrv" localSheetId="0" hidden="1">'[4]Key Analyst Data'!#REF!</definedName>
    <definedName name="FDP_66_1_aUrv" localSheetId="4" hidden="1">'[4]Key Analyst Data'!#REF!</definedName>
    <definedName name="FDP_66_1_aUrv" localSheetId="3" hidden="1">'[4]Key Analyst Data'!#REF!</definedName>
    <definedName name="FDP_66_1_aUrv" localSheetId="5" hidden="1">'[4]Key Analyst Data'!#REF!</definedName>
    <definedName name="FDP_66_1_aUrv" hidden="1">'[4]Key Analyst Data'!#REF!</definedName>
    <definedName name="FDP_67_1_aUrv" localSheetId="6" hidden="1">'[4]Key Analyst Data'!#REF!</definedName>
    <definedName name="FDP_67_1_aUrv" localSheetId="7" hidden="1">'[4]Key Analyst Data'!#REF!</definedName>
    <definedName name="FDP_67_1_aUrv" localSheetId="1" hidden="1">'[4]Key Analyst Data'!#REF!</definedName>
    <definedName name="FDP_67_1_aUrv" localSheetId="2" hidden="1">'[4]Key Analyst Data'!#REF!</definedName>
    <definedName name="FDP_67_1_aUrv" localSheetId="0" hidden="1">'[4]Key Analyst Data'!#REF!</definedName>
    <definedName name="FDP_67_1_aUrv" localSheetId="4" hidden="1">'[4]Key Analyst Data'!#REF!</definedName>
    <definedName name="FDP_67_1_aUrv" localSheetId="3" hidden="1">'[4]Key Analyst Data'!#REF!</definedName>
    <definedName name="FDP_67_1_aUrv" localSheetId="5" hidden="1">'[4]Key Analyst Data'!#REF!</definedName>
    <definedName name="FDP_67_1_aUrv" hidden="1">'[4]Key Analyst Data'!#REF!</definedName>
    <definedName name="FDP_68_1_aUrv" localSheetId="6" hidden="1">'[4]Key Analyst Data'!#REF!</definedName>
    <definedName name="FDP_68_1_aUrv" localSheetId="7" hidden="1">'[4]Key Analyst Data'!#REF!</definedName>
    <definedName name="FDP_68_1_aUrv" localSheetId="1" hidden="1">'[4]Key Analyst Data'!#REF!</definedName>
    <definedName name="FDP_68_1_aUrv" localSheetId="2" hidden="1">'[4]Key Analyst Data'!#REF!</definedName>
    <definedName name="FDP_68_1_aUrv" localSheetId="0" hidden="1">'[4]Key Analyst Data'!#REF!</definedName>
    <definedName name="FDP_68_1_aUrv" localSheetId="4" hidden="1">'[4]Key Analyst Data'!#REF!</definedName>
    <definedName name="FDP_68_1_aUrv" localSheetId="3" hidden="1">'[4]Key Analyst Data'!#REF!</definedName>
    <definedName name="FDP_68_1_aUrv" localSheetId="5" hidden="1">'[4]Key Analyst Data'!#REF!</definedName>
    <definedName name="FDP_68_1_aUrv" hidden="1">'[4]Key Analyst Data'!#REF!</definedName>
    <definedName name="FDP_69_1_aSrv" localSheetId="6" hidden="1">'[4]Key Analyst Data'!#REF!</definedName>
    <definedName name="FDP_69_1_aSrv" localSheetId="7" hidden="1">'[4]Key Analyst Data'!#REF!</definedName>
    <definedName name="FDP_69_1_aSrv" localSheetId="1" hidden="1">'[4]Key Analyst Data'!#REF!</definedName>
    <definedName name="FDP_69_1_aSrv" localSheetId="2" hidden="1">'[4]Key Analyst Data'!#REF!</definedName>
    <definedName name="FDP_69_1_aSrv" localSheetId="0" hidden="1">'[4]Key Analyst Data'!#REF!</definedName>
    <definedName name="FDP_69_1_aSrv" localSheetId="4" hidden="1">'[4]Key Analyst Data'!#REF!</definedName>
    <definedName name="FDP_69_1_aSrv" localSheetId="3" hidden="1">'[4]Key Analyst Data'!#REF!</definedName>
    <definedName name="FDP_69_1_aSrv" localSheetId="5" hidden="1">'[4]Key Analyst Data'!#REF!</definedName>
    <definedName name="FDP_69_1_aSrv" hidden="1">'[4]Key Analyst Data'!#REF!</definedName>
    <definedName name="FDP_7_1_aDrv" localSheetId="6" hidden="1">#REF!</definedName>
    <definedName name="FDP_7_1_aDrv" localSheetId="7" hidden="1">#REF!</definedName>
    <definedName name="FDP_7_1_aDrv" localSheetId="1" hidden="1">#REF!</definedName>
    <definedName name="FDP_7_1_aDrv" localSheetId="2" hidden="1">#REF!</definedName>
    <definedName name="FDP_7_1_aDrv" localSheetId="0" hidden="1">#REF!</definedName>
    <definedName name="FDP_7_1_aDrv" localSheetId="4" hidden="1">#REF!</definedName>
    <definedName name="FDP_7_1_aDrv" localSheetId="3" hidden="1">#REF!</definedName>
    <definedName name="FDP_7_1_aDrv" localSheetId="5" hidden="1">#REF!</definedName>
    <definedName name="FDP_7_1_aDrv" hidden="1">#REF!</definedName>
    <definedName name="FDP_7_1_aUrv" hidden="1">'[4]Key Analyst Data'!$D$25</definedName>
    <definedName name="FDP_70_1_aSrv" localSheetId="6" hidden="1">'[4]Key Analyst Data'!#REF!</definedName>
    <definedName name="FDP_70_1_aSrv" localSheetId="7" hidden="1">'[4]Key Analyst Data'!#REF!</definedName>
    <definedName name="FDP_70_1_aSrv" localSheetId="1" hidden="1">'[4]Key Analyst Data'!#REF!</definedName>
    <definedName name="FDP_70_1_aSrv" localSheetId="2" hidden="1">'[4]Key Analyst Data'!#REF!</definedName>
    <definedName name="FDP_70_1_aSrv" localSheetId="0" hidden="1">'[4]Key Analyst Data'!#REF!</definedName>
    <definedName name="FDP_70_1_aSrv" localSheetId="4" hidden="1">'[4]Key Analyst Data'!#REF!</definedName>
    <definedName name="FDP_70_1_aSrv" localSheetId="3" hidden="1">'[4]Key Analyst Data'!#REF!</definedName>
    <definedName name="FDP_70_1_aSrv" localSheetId="5" hidden="1">'[4]Key Analyst Data'!#REF!</definedName>
    <definedName name="FDP_70_1_aSrv" hidden="1">'[4]Key Analyst Data'!#REF!</definedName>
    <definedName name="FDP_70_1_aUrv" localSheetId="6" hidden="1">#REF!</definedName>
    <definedName name="FDP_70_1_aUrv" localSheetId="7" hidden="1">#REF!</definedName>
    <definedName name="FDP_70_1_aUrv" localSheetId="1" hidden="1">#REF!</definedName>
    <definedName name="FDP_70_1_aUrv" localSheetId="2" hidden="1">#REF!</definedName>
    <definedName name="FDP_70_1_aUrv" localSheetId="0" hidden="1">#REF!</definedName>
    <definedName name="FDP_70_1_aUrv" localSheetId="4" hidden="1">#REF!</definedName>
    <definedName name="FDP_70_1_aUrv" localSheetId="3" hidden="1">#REF!</definedName>
    <definedName name="FDP_70_1_aUrv" localSheetId="5" hidden="1">#REF!</definedName>
    <definedName name="FDP_70_1_aUrv" hidden="1">#REF!</definedName>
    <definedName name="FDP_71_1_aDrv" localSheetId="6" hidden="1">'[4]Key Analyst Data'!#REF!</definedName>
    <definedName name="FDP_71_1_aDrv" localSheetId="7" hidden="1">'[4]Key Analyst Data'!#REF!</definedName>
    <definedName name="FDP_71_1_aDrv" localSheetId="1" hidden="1">'[4]Key Analyst Data'!#REF!</definedName>
    <definedName name="FDP_71_1_aDrv" localSheetId="2" hidden="1">'[4]Key Analyst Data'!#REF!</definedName>
    <definedName name="FDP_71_1_aDrv" localSheetId="0" hidden="1">'[4]Key Analyst Data'!#REF!</definedName>
    <definedName name="FDP_71_1_aDrv" localSheetId="4" hidden="1">'[4]Key Analyst Data'!#REF!</definedName>
    <definedName name="FDP_71_1_aDrv" localSheetId="3" hidden="1">'[4]Key Analyst Data'!#REF!</definedName>
    <definedName name="FDP_71_1_aDrv" localSheetId="5" hidden="1">'[4]Key Analyst Data'!#REF!</definedName>
    <definedName name="FDP_71_1_aDrv" hidden="1">'[4]Key Analyst Data'!#REF!</definedName>
    <definedName name="FDP_72_1_aDrv" localSheetId="6" hidden="1">'[4]Key Analyst Data'!#REF!</definedName>
    <definedName name="FDP_72_1_aDrv" localSheetId="7" hidden="1">'[4]Key Analyst Data'!#REF!</definedName>
    <definedName name="FDP_72_1_aDrv" localSheetId="1" hidden="1">'[4]Key Analyst Data'!#REF!</definedName>
    <definedName name="FDP_72_1_aDrv" localSheetId="2" hidden="1">'[4]Key Analyst Data'!#REF!</definedName>
    <definedName name="FDP_72_1_aDrv" localSheetId="0" hidden="1">'[4]Key Analyst Data'!#REF!</definedName>
    <definedName name="FDP_72_1_aDrv" localSheetId="4" hidden="1">'[4]Key Analyst Data'!#REF!</definedName>
    <definedName name="FDP_72_1_aDrv" localSheetId="3" hidden="1">'[4]Key Analyst Data'!#REF!</definedName>
    <definedName name="FDP_72_1_aDrv" localSheetId="5" hidden="1">'[4]Key Analyst Data'!#REF!</definedName>
    <definedName name="FDP_72_1_aDrv" hidden="1">'[4]Key Analyst Data'!#REF!</definedName>
    <definedName name="FDP_73_1_aDrv" localSheetId="6" hidden="1">'[4]Key Analyst Data'!#REF!</definedName>
    <definedName name="FDP_73_1_aDrv" localSheetId="7" hidden="1">'[4]Key Analyst Data'!#REF!</definedName>
    <definedName name="FDP_73_1_aDrv" localSheetId="1" hidden="1">'[4]Key Analyst Data'!#REF!</definedName>
    <definedName name="FDP_73_1_aDrv" localSheetId="2" hidden="1">'[4]Key Analyst Data'!#REF!</definedName>
    <definedName name="FDP_73_1_aDrv" localSheetId="0" hidden="1">'[4]Key Analyst Data'!#REF!</definedName>
    <definedName name="FDP_73_1_aDrv" localSheetId="4" hidden="1">'[4]Key Analyst Data'!#REF!</definedName>
    <definedName name="FDP_73_1_aDrv" localSheetId="3" hidden="1">'[4]Key Analyst Data'!#REF!</definedName>
    <definedName name="FDP_73_1_aDrv" localSheetId="5" hidden="1">'[4]Key Analyst Data'!#REF!</definedName>
    <definedName name="FDP_73_1_aDrv" hidden="1">'[4]Key Analyst Data'!#REF!</definedName>
    <definedName name="FDP_73_1_aUrv" hidden="1">'[5]Key Analyst Data'!$D$58</definedName>
    <definedName name="FDP_74_1_aDrv" localSheetId="6" hidden="1">'[4]Key Analyst Data'!#REF!</definedName>
    <definedName name="FDP_74_1_aDrv" localSheetId="7" hidden="1">'[4]Key Analyst Data'!#REF!</definedName>
    <definedName name="FDP_74_1_aDrv" localSheetId="1" hidden="1">'[4]Key Analyst Data'!#REF!</definedName>
    <definedName name="FDP_74_1_aDrv" localSheetId="2" hidden="1">'[4]Key Analyst Data'!#REF!</definedName>
    <definedName name="FDP_74_1_aDrv" localSheetId="0" hidden="1">'[4]Key Analyst Data'!#REF!</definedName>
    <definedName name="FDP_74_1_aDrv" localSheetId="4" hidden="1">'[4]Key Analyst Data'!#REF!</definedName>
    <definedName name="FDP_74_1_aDrv" localSheetId="3" hidden="1">'[4]Key Analyst Data'!#REF!</definedName>
    <definedName name="FDP_74_1_aDrv" localSheetId="5" hidden="1">'[4]Key Analyst Data'!#REF!</definedName>
    <definedName name="FDP_74_1_aDrv" hidden="1">'[4]Key Analyst Data'!#REF!</definedName>
    <definedName name="FDP_75_1_aSrv" localSheetId="6" hidden="1">'[4]Key Analyst Data'!#REF!</definedName>
    <definedName name="FDP_75_1_aSrv" localSheetId="7" hidden="1">'[4]Key Analyst Data'!#REF!</definedName>
    <definedName name="FDP_75_1_aSrv" localSheetId="1" hidden="1">'[4]Key Analyst Data'!#REF!</definedName>
    <definedName name="FDP_75_1_aSrv" localSheetId="2" hidden="1">'[4]Key Analyst Data'!#REF!</definedName>
    <definedName name="FDP_75_1_aSrv" localSheetId="0" hidden="1">'[4]Key Analyst Data'!#REF!</definedName>
    <definedName name="FDP_75_1_aSrv" localSheetId="4" hidden="1">'[4]Key Analyst Data'!#REF!</definedName>
    <definedName name="FDP_75_1_aSrv" localSheetId="3" hidden="1">'[4]Key Analyst Data'!#REF!</definedName>
    <definedName name="FDP_75_1_aSrv" localSheetId="5" hidden="1">'[4]Key Analyst Data'!#REF!</definedName>
    <definedName name="FDP_75_1_aSrv" hidden="1">'[4]Key Analyst Data'!#REF!</definedName>
    <definedName name="FDP_76_1_aSrv" localSheetId="6" hidden="1">'[4]Key Analyst Data'!#REF!</definedName>
    <definedName name="FDP_76_1_aSrv" localSheetId="7" hidden="1">'[4]Key Analyst Data'!#REF!</definedName>
    <definedName name="FDP_76_1_aSrv" localSheetId="1" hidden="1">'[4]Key Analyst Data'!#REF!</definedName>
    <definedName name="FDP_76_1_aSrv" localSheetId="2" hidden="1">'[4]Key Analyst Data'!#REF!</definedName>
    <definedName name="FDP_76_1_aSrv" localSheetId="0" hidden="1">'[4]Key Analyst Data'!#REF!</definedName>
    <definedName name="FDP_76_1_aSrv" localSheetId="4" hidden="1">'[4]Key Analyst Data'!#REF!</definedName>
    <definedName name="FDP_76_1_aSrv" localSheetId="3" hidden="1">'[4]Key Analyst Data'!#REF!</definedName>
    <definedName name="FDP_76_1_aSrv" localSheetId="5" hidden="1">'[4]Key Analyst Data'!#REF!</definedName>
    <definedName name="FDP_76_1_aSrv" hidden="1">'[4]Key Analyst Data'!#REF!</definedName>
    <definedName name="FDP_77_1_aSrv" localSheetId="6" hidden="1">'[4]Key Analyst Data'!#REF!</definedName>
    <definedName name="FDP_77_1_aSrv" localSheetId="7" hidden="1">'[4]Key Analyst Data'!#REF!</definedName>
    <definedName name="FDP_77_1_aSrv" localSheetId="1" hidden="1">'[4]Key Analyst Data'!#REF!</definedName>
    <definedName name="FDP_77_1_aSrv" localSheetId="2" hidden="1">'[4]Key Analyst Data'!#REF!</definedName>
    <definedName name="FDP_77_1_aSrv" localSheetId="0" hidden="1">'[4]Key Analyst Data'!#REF!</definedName>
    <definedName name="FDP_77_1_aSrv" localSheetId="4" hidden="1">'[4]Key Analyst Data'!#REF!</definedName>
    <definedName name="FDP_77_1_aSrv" localSheetId="3" hidden="1">'[4]Key Analyst Data'!#REF!</definedName>
    <definedName name="FDP_77_1_aSrv" localSheetId="5" hidden="1">'[4]Key Analyst Data'!#REF!</definedName>
    <definedName name="FDP_77_1_aSrv" hidden="1">'[4]Key Analyst Data'!#REF!</definedName>
    <definedName name="FDP_78_1_aSrv" localSheetId="6" hidden="1">'[4]Key Analyst Data'!#REF!</definedName>
    <definedName name="FDP_78_1_aSrv" localSheetId="7" hidden="1">'[4]Key Analyst Data'!#REF!</definedName>
    <definedName name="FDP_78_1_aSrv" localSheetId="1" hidden="1">'[4]Key Analyst Data'!#REF!</definedName>
    <definedName name="FDP_78_1_aSrv" localSheetId="2" hidden="1">'[4]Key Analyst Data'!#REF!</definedName>
    <definedName name="FDP_78_1_aSrv" localSheetId="0" hidden="1">'[4]Key Analyst Data'!#REF!</definedName>
    <definedName name="FDP_78_1_aSrv" localSheetId="4" hidden="1">'[4]Key Analyst Data'!#REF!</definedName>
    <definedName name="FDP_78_1_aSrv" localSheetId="3" hidden="1">'[4]Key Analyst Data'!#REF!</definedName>
    <definedName name="FDP_78_1_aSrv" localSheetId="5" hidden="1">'[4]Key Analyst Data'!#REF!</definedName>
    <definedName name="FDP_78_1_aSrv" hidden="1">'[4]Key Analyst Data'!#REF!</definedName>
    <definedName name="FDP_79_1_aSrv" localSheetId="6" hidden="1">'[4]Key Analyst Data'!#REF!</definedName>
    <definedName name="FDP_79_1_aSrv" localSheetId="7" hidden="1">'[4]Key Analyst Data'!#REF!</definedName>
    <definedName name="FDP_79_1_aSrv" localSheetId="1" hidden="1">'[4]Key Analyst Data'!#REF!</definedName>
    <definedName name="FDP_79_1_aSrv" localSheetId="2" hidden="1">'[4]Key Analyst Data'!#REF!</definedName>
    <definedName name="FDP_79_1_aSrv" localSheetId="0" hidden="1">'[4]Key Analyst Data'!#REF!</definedName>
    <definedName name="FDP_79_1_aSrv" localSheetId="4" hidden="1">'[4]Key Analyst Data'!#REF!</definedName>
    <definedName name="FDP_79_1_aSrv" localSheetId="3" hidden="1">'[4]Key Analyst Data'!#REF!</definedName>
    <definedName name="FDP_79_1_aSrv" localSheetId="5" hidden="1">'[4]Key Analyst Data'!#REF!</definedName>
    <definedName name="FDP_79_1_aSrv" hidden="1">'[4]Key Analyst Data'!#REF!</definedName>
    <definedName name="FDP_8_1_aDrv" localSheetId="6" hidden="1">#REF!</definedName>
    <definedName name="FDP_8_1_aDrv" localSheetId="7" hidden="1">#REF!</definedName>
    <definedName name="FDP_8_1_aDrv" localSheetId="1" hidden="1">#REF!</definedName>
    <definedName name="FDP_8_1_aDrv" localSheetId="2" hidden="1">#REF!</definedName>
    <definedName name="FDP_8_1_aDrv" localSheetId="0" hidden="1">#REF!</definedName>
    <definedName name="FDP_8_1_aDrv" localSheetId="4" hidden="1">#REF!</definedName>
    <definedName name="FDP_8_1_aDrv" localSheetId="3" hidden="1">#REF!</definedName>
    <definedName name="FDP_8_1_aDrv" localSheetId="5" hidden="1">#REF!</definedName>
    <definedName name="FDP_8_1_aDrv" hidden="1">#REF!</definedName>
    <definedName name="FDP_8_1_aUdv" localSheetId="6" hidden="1">'[4]Key Analyst Data'!#REF!</definedName>
    <definedName name="FDP_8_1_aUdv" localSheetId="7" hidden="1">'[4]Key Analyst Data'!#REF!</definedName>
    <definedName name="FDP_8_1_aUdv" localSheetId="1" hidden="1">'[4]Key Analyst Data'!#REF!</definedName>
    <definedName name="FDP_8_1_aUdv" localSheetId="2" hidden="1">'[4]Key Analyst Data'!#REF!</definedName>
    <definedName name="FDP_8_1_aUdv" localSheetId="0" hidden="1">'[4]Key Analyst Data'!#REF!</definedName>
    <definedName name="FDP_8_1_aUdv" localSheetId="4" hidden="1">'[4]Key Analyst Data'!#REF!</definedName>
    <definedName name="FDP_8_1_aUdv" localSheetId="3" hidden="1">'[4]Key Analyst Data'!#REF!</definedName>
    <definedName name="FDP_8_1_aUdv" localSheetId="5" hidden="1">'[4]Key Analyst Data'!#REF!</definedName>
    <definedName name="FDP_8_1_aUdv" hidden="1">'[4]Key Analyst Data'!#REF!</definedName>
    <definedName name="FDP_8_1_dUdv" localSheetId="6" hidden="1">'[4]Key Analyst Data'!#REF!</definedName>
    <definedName name="FDP_8_1_dUdv" localSheetId="7" hidden="1">'[4]Key Analyst Data'!#REF!</definedName>
    <definedName name="FDP_8_1_dUdv" localSheetId="1" hidden="1">'[4]Key Analyst Data'!#REF!</definedName>
    <definedName name="FDP_8_1_dUdv" localSheetId="2" hidden="1">'[4]Key Analyst Data'!#REF!</definedName>
    <definedName name="FDP_8_1_dUdv" localSheetId="0" hidden="1">'[4]Key Analyst Data'!#REF!</definedName>
    <definedName name="FDP_8_1_dUdv" localSheetId="4" hidden="1">'[4]Key Analyst Data'!#REF!</definedName>
    <definedName name="FDP_8_1_dUdv" localSheetId="3" hidden="1">'[4]Key Analyst Data'!#REF!</definedName>
    <definedName name="FDP_8_1_dUdv" localSheetId="5" hidden="1">'[4]Key Analyst Data'!#REF!</definedName>
    <definedName name="FDP_8_1_dUdv" hidden="1">'[4]Key Analyst Data'!#REF!</definedName>
    <definedName name="FDP_80_1_aSrv" localSheetId="6" hidden="1">'[4]Key Analyst Data'!#REF!</definedName>
    <definedName name="FDP_80_1_aSrv" localSheetId="7" hidden="1">'[4]Key Analyst Data'!#REF!</definedName>
    <definedName name="FDP_80_1_aSrv" localSheetId="1" hidden="1">'[4]Key Analyst Data'!#REF!</definedName>
    <definedName name="FDP_80_1_aSrv" localSheetId="2" hidden="1">'[4]Key Analyst Data'!#REF!</definedName>
    <definedName name="FDP_80_1_aSrv" localSheetId="0" hidden="1">'[4]Key Analyst Data'!#REF!</definedName>
    <definedName name="FDP_80_1_aSrv" localSheetId="4" hidden="1">'[4]Key Analyst Data'!#REF!</definedName>
    <definedName name="FDP_80_1_aSrv" localSheetId="3" hidden="1">'[4]Key Analyst Data'!#REF!</definedName>
    <definedName name="FDP_80_1_aSrv" localSheetId="5" hidden="1">'[4]Key Analyst Data'!#REF!</definedName>
    <definedName name="FDP_80_1_aSrv" hidden="1">'[4]Key Analyst Data'!#REF!</definedName>
    <definedName name="FDP_81_1_aSrv" localSheetId="6" hidden="1">'[4]Key Analyst Data'!#REF!</definedName>
    <definedName name="FDP_81_1_aSrv" localSheetId="7" hidden="1">'[4]Key Analyst Data'!#REF!</definedName>
    <definedName name="FDP_81_1_aSrv" localSheetId="1" hidden="1">'[4]Key Analyst Data'!#REF!</definedName>
    <definedName name="FDP_81_1_aSrv" localSheetId="2" hidden="1">'[4]Key Analyst Data'!#REF!</definedName>
    <definedName name="FDP_81_1_aSrv" localSheetId="0" hidden="1">'[4]Key Analyst Data'!#REF!</definedName>
    <definedName name="FDP_81_1_aSrv" localSheetId="4" hidden="1">'[4]Key Analyst Data'!#REF!</definedName>
    <definedName name="FDP_81_1_aSrv" localSheetId="3" hidden="1">'[4]Key Analyst Data'!#REF!</definedName>
    <definedName name="FDP_81_1_aSrv" localSheetId="5" hidden="1">'[4]Key Analyst Data'!#REF!</definedName>
    <definedName name="FDP_81_1_aSrv" hidden="1">'[4]Key Analyst Data'!#REF!</definedName>
    <definedName name="FDP_82_1_aSrv" localSheetId="6" hidden="1">'[4]Key Analyst Data'!#REF!</definedName>
    <definedName name="FDP_82_1_aSrv" localSheetId="7" hidden="1">'[4]Key Analyst Data'!#REF!</definedName>
    <definedName name="FDP_82_1_aSrv" localSheetId="1" hidden="1">'[4]Key Analyst Data'!#REF!</definedName>
    <definedName name="FDP_82_1_aSrv" localSheetId="2" hidden="1">'[4]Key Analyst Data'!#REF!</definedName>
    <definedName name="FDP_82_1_aSrv" localSheetId="0" hidden="1">'[4]Key Analyst Data'!#REF!</definedName>
    <definedName name="FDP_82_1_aSrv" localSheetId="4" hidden="1">'[4]Key Analyst Data'!#REF!</definedName>
    <definedName name="FDP_82_1_aSrv" localSheetId="3" hidden="1">'[4]Key Analyst Data'!#REF!</definedName>
    <definedName name="FDP_82_1_aSrv" localSheetId="5" hidden="1">'[4]Key Analyst Data'!#REF!</definedName>
    <definedName name="FDP_82_1_aSrv" hidden="1">'[4]Key Analyst Data'!#REF!</definedName>
    <definedName name="FDP_83_1_aUrv" localSheetId="6" hidden="1">'[4]Key Analyst Data'!#REF!</definedName>
    <definedName name="FDP_83_1_aUrv" localSheetId="7" hidden="1">'[4]Key Analyst Data'!#REF!</definedName>
    <definedName name="FDP_83_1_aUrv" localSheetId="1" hidden="1">'[4]Key Analyst Data'!#REF!</definedName>
    <definedName name="FDP_83_1_aUrv" localSheetId="2" hidden="1">'[4]Key Analyst Data'!#REF!</definedName>
    <definedName name="FDP_83_1_aUrv" localSheetId="0" hidden="1">'[4]Key Analyst Data'!#REF!</definedName>
    <definedName name="FDP_83_1_aUrv" localSheetId="4" hidden="1">'[4]Key Analyst Data'!#REF!</definedName>
    <definedName name="FDP_83_1_aUrv" localSheetId="3" hidden="1">'[4]Key Analyst Data'!#REF!</definedName>
    <definedName name="FDP_83_1_aUrv" localSheetId="5" hidden="1">'[4]Key Analyst Data'!#REF!</definedName>
    <definedName name="FDP_83_1_aUrv" hidden="1">'[4]Key Analyst Data'!#REF!</definedName>
    <definedName name="FDP_84_1_aUrv" localSheetId="6" hidden="1">'[4]Key Analyst Data'!#REF!</definedName>
    <definedName name="FDP_84_1_aUrv" localSheetId="7" hidden="1">'[4]Key Analyst Data'!#REF!</definedName>
    <definedName name="FDP_84_1_aUrv" localSheetId="1" hidden="1">'[4]Key Analyst Data'!#REF!</definedName>
    <definedName name="FDP_84_1_aUrv" localSheetId="2" hidden="1">'[4]Key Analyst Data'!#REF!</definedName>
    <definedName name="FDP_84_1_aUrv" localSheetId="0" hidden="1">'[4]Key Analyst Data'!#REF!</definedName>
    <definedName name="FDP_84_1_aUrv" localSheetId="4" hidden="1">'[4]Key Analyst Data'!#REF!</definedName>
    <definedName name="FDP_84_1_aUrv" localSheetId="3" hidden="1">'[4]Key Analyst Data'!#REF!</definedName>
    <definedName name="FDP_84_1_aUrv" localSheetId="5" hidden="1">'[4]Key Analyst Data'!#REF!</definedName>
    <definedName name="FDP_84_1_aUrv" hidden="1">'[4]Key Analyst Data'!#REF!</definedName>
    <definedName name="FDP_9_1_aDrv" hidden="1">'[5]Key Analyst Data'!$M$10</definedName>
    <definedName name="FDP_9_1_aUdv" localSheetId="6" hidden="1">'[4]Key Analyst Data'!#REF!</definedName>
    <definedName name="FDP_9_1_aUdv" localSheetId="7" hidden="1">'[4]Key Analyst Data'!#REF!</definedName>
    <definedName name="FDP_9_1_aUdv" localSheetId="1" hidden="1">'[4]Key Analyst Data'!#REF!</definedName>
    <definedName name="FDP_9_1_aUdv" localSheetId="2" hidden="1">'[4]Key Analyst Data'!#REF!</definedName>
    <definedName name="FDP_9_1_aUdv" localSheetId="0" hidden="1">'[4]Key Analyst Data'!#REF!</definedName>
    <definedName name="FDP_9_1_aUdv" localSheetId="4" hidden="1">'[4]Key Analyst Data'!#REF!</definedName>
    <definedName name="FDP_9_1_aUdv" localSheetId="3" hidden="1">'[4]Key Analyst Data'!#REF!</definedName>
    <definedName name="FDP_9_1_aUdv" localSheetId="5" hidden="1">'[4]Key Analyst Data'!#REF!</definedName>
    <definedName name="FDP_9_1_aUdv" hidden="1">'[4]Key Analyst Data'!#REF!</definedName>
    <definedName name="FDP_9_1_aUrv" localSheetId="6" hidden="1">#REF!</definedName>
    <definedName name="FDP_9_1_aUrv" localSheetId="7" hidden="1">#REF!</definedName>
    <definedName name="FDP_9_1_aUrv" localSheetId="1" hidden="1">#REF!</definedName>
    <definedName name="FDP_9_1_aUrv" localSheetId="2" hidden="1">#REF!</definedName>
    <definedName name="FDP_9_1_aUrv" localSheetId="0" hidden="1">#REF!</definedName>
    <definedName name="FDP_9_1_aUrv" localSheetId="4" hidden="1">#REF!</definedName>
    <definedName name="FDP_9_1_aUrv" localSheetId="3" hidden="1">#REF!</definedName>
    <definedName name="FDP_9_1_aUrv" localSheetId="5" hidden="1">#REF!</definedName>
    <definedName name="FDP_9_1_aUrv" hidden="1">#REF!</definedName>
    <definedName name="fg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fhgj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gh" localSheetId="6" hidden="1">#REF!</definedName>
    <definedName name="gh" localSheetId="7" hidden="1">#REF!</definedName>
    <definedName name="gh" localSheetId="1" hidden="1">#REF!</definedName>
    <definedName name="gh" localSheetId="2" hidden="1">#REF!</definedName>
    <definedName name="gh" localSheetId="0" hidden="1">#REF!</definedName>
    <definedName name="gh" localSheetId="4" hidden="1">#REF!</definedName>
    <definedName name="gh" localSheetId="3" hidden="1">#REF!</definedName>
    <definedName name="gh" localSheetId="5" hidden="1">#REF!</definedName>
    <definedName name="gh" hidden="1">#REF!</definedName>
    <definedName name="h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h11jk" localSheetId="6" hidden="1">#REF!</definedName>
    <definedName name="h11jk" localSheetId="7" hidden="1">#REF!</definedName>
    <definedName name="h11jk" localSheetId="1" hidden="1">#REF!</definedName>
    <definedName name="h11jk" localSheetId="2" hidden="1">#REF!</definedName>
    <definedName name="h11jk" localSheetId="0" hidden="1">#REF!</definedName>
    <definedName name="h11jk" localSheetId="4" hidden="1">#REF!</definedName>
    <definedName name="h11jk" localSheetId="3" hidden="1">#REF!</definedName>
    <definedName name="h11jk" localSheetId="5" hidden="1">#REF!</definedName>
    <definedName name="h11jk" hidden="1">#REF!</definedName>
    <definedName name="hgdtgd" hidden="1">{"'РП (2)'!$A$5:$S$150"}</definedName>
    <definedName name="hj" localSheetId="6" hidden="1">#REF!</definedName>
    <definedName name="hj" localSheetId="7" hidden="1">#REF!</definedName>
    <definedName name="hj" localSheetId="1" hidden="1">#REF!</definedName>
    <definedName name="hj" localSheetId="2" hidden="1">#REF!</definedName>
    <definedName name="hj" localSheetId="0" hidden="1">#REF!</definedName>
    <definedName name="hj" localSheetId="4" hidden="1">#REF!</definedName>
    <definedName name="hj" localSheetId="3" hidden="1">#REF!</definedName>
    <definedName name="hj" localSheetId="5" hidden="1">#REF!</definedName>
    <definedName name="hj" hidden="1">#REF!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hjhf" hidden="1">{"'РП (2)'!$A$5:$S$150"}</definedName>
    <definedName name="Input1" hidden="1">{#N/A,#N/A,FALSE,"Aging Summary";#N/A,#N/A,FALSE,"Ratio Analysis";#N/A,#N/A,FALSE,"Test 120 Day Accts";#N/A,#N/A,FALSE,"Tickmarks"}</definedName>
    <definedName name="io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39043.6781134259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jfhytbvh" hidden="1">{"'РП (2)'!$A$5:$S$150"}</definedName>
    <definedName name="jgh" localSheetId="6" hidden="1">#REF!</definedName>
    <definedName name="jgh" localSheetId="7" hidden="1">#REF!</definedName>
    <definedName name="jgh" localSheetId="1" hidden="1">#REF!</definedName>
    <definedName name="jgh" localSheetId="2" hidden="1">#REF!</definedName>
    <definedName name="jgh" localSheetId="0" hidden="1">#REF!</definedName>
    <definedName name="jgh" localSheetId="4" hidden="1">#REF!</definedName>
    <definedName name="jgh" localSheetId="3" hidden="1">#REF!</definedName>
    <definedName name="jgh" localSheetId="5" hidden="1">#REF!</definedName>
    <definedName name="jgh" hidden="1">#REF!</definedName>
    <definedName name="jghyf" hidden="1">{"'РП (2)'!$A$5:$S$150"}</definedName>
    <definedName name="jh" localSheetId="6" hidden="1">#REF!</definedName>
    <definedName name="jh" localSheetId="7" hidden="1">#REF!</definedName>
    <definedName name="jh" localSheetId="1" hidden="1">#REF!</definedName>
    <definedName name="jh" localSheetId="2" hidden="1">#REF!</definedName>
    <definedName name="jh" localSheetId="0" hidden="1">#REF!</definedName>
    <definedName name="jh" localSheetId="4" hidden="1">#REF!</definedName>
    <definedName name="jh" localSheetId="3" hidden="1">#REF!</definedName>
    <definedName name="jh" localSheetId="5" hidden="1">#REF!</definedName>
    <definedName name="jh" hidden="1">#REF!</definedName>
    <definedName name="jhgytf" hidden="1">{"'РП (2)'!$A$5:$S$150"}</definedName>
    <definedName name="jhniu" localSheetId="6" hidden="1">'[6]Раздел 1'!#REF!</definedName>
    <definedName name="jhniu" localSheetId="7" hidden="1">'[6]Раздел 1'!#REF!</definedName>
    <definedName name="jhniu" localSheetId="1" hidden="1">'[6]Раздел 1'!#REF!</definedName>
    <definedName name="jhniu" localSheetId="2" hidden="1">'[6]Раздел 1'!#REF!</definedName>
    <definedName name="jhniu" localSheetId="0" hidden="1">'[6]Раздел 1'!#REF!</definedName>
    <definedName name="jhniu" localSheetId="4" hidden="1">'[6]Раздел 1'!#REF!</definedName>
    <definedName name="jhniu" localSheetId="3" hidden="1">'[6]Раздел 1'!#REF!</definedName>
    <definedName name="jhniu" localSheetId="5" hidden="1">'[6]Раздел 1'!#REF!</definedName>
    <definedName name="jhniu" hidden="1">'[6]Раздел 1'!#REF!</definedName>
    <definedName name="jmbj" hidden="1">{"'РП (2)'!$A$5:$S$150"}</definedName>
    <definedName name="k" localSheetId="6" hidden="1">#REF!</definedName>
    <definedName name="k" localSheetId="7" hidden="1">#REF!</definedName>
    <definedName name="k" localSheetId="1" hidden="1">#REF!</definedName>
    <definedName name="k" localSheetId="2" hidden="1">#REF!</definedName>
    <definedName name="k" localSheetId="0" hidden="1">#REF!</definedName>
    <definedName name="k" localSheetId="4" hidden="1">#REF!</definedName>
    <definedName name="k" localSheetId="3" hidden="1">#REF!</definedName>
    <definedName name="k" localSheetId="5" hidden="1">#REF!</definedName>
    <definedName name="k" hidden="1">#REF!</definedName>
    <definedName name="kBNT" hidden="1">{"'РП (2)'!$A$5:$S$150"}</definedName>
    <definedName name="kj" hidden="1">{"'РП (2)'!$A$5:$S$150"}</definedName>
    <definedName name="kjhjhgfgs" hidden="1">{"'РП (2)'!$A$5:$S$150"}</definedName>
    <definedName name="kjk" hidden="1">{"'РП (2)'!$A$5:$S$150"}</definedName>
    <definedName name="kkkk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kl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l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limcount" hidden="1">2</definedName>
    <definedName name="List" hidden="1">{#N/A,#N/A,FALSE,"Aging Summary";#N/A,#N/A,FALSE,"Ratio Analysis";#N/A,#N/A,FALSE,"Test 120 Day Accts";#N/A,#N/A,FALSE,"Tickmarks"}</definedName>
    <definedName name="lkjhgfd" hidden="1">{"'РП (2)'!$A$5:$S$150"}</definedName>
    <definedName name="lkjhug" hidden="1">{"'РП (2)'!$A$5:$S$150"}</definedName>
    <definedName name="lll" hidden="1">{"'РП (2)'!$A$5:$S$150"}</definedName>
    <definedName name="lnk_rData_Start_Driver" localSheetId="6" hidden="1">#REF!</definedName>
    <definedName name="lnk_rData_Start_Driver" localSheetId="7" hidden="1">#REF!</definedName>
    <definedName name="lnk_rData_Start_Driver" localSheetId="1" hidden="1">#REF!</definedName>
    <definedName name="lnk_rData_Start_Driver" localSheetId="2" hidden="1">#REF!</definedName>
    <definedName name="lnk_rData_Start_Driver" localSheetId="0" hidden="1">#REF!</definedName>
    <definedName name="lnk_rData_Start_Driver" localSheetId="4" hidden="1">#REF!</definedName>
    <definedName name="lnk_rData_Start_Driver" localSheetId="3" hidden="1">#REF!</definedName>
    <definedName name="lnk_rData_Start_Driver" localSheetId="5" hidden="1">#REF!</definedName>
    <definedName name="lnk_rData_Start_Driver" hidden="1">#REF!</definedName>
    <definedName name="lnk_rData_Start_Result" localSheetId="6" hidden="1">#REF!</definedName>
    <definedName name="lnk_rData_Start_Result" localSheetId="7" hidden="1">#REF!</definedName>
    <definedName name="lnk_rData_Start_Result" localSheetId="1" hidden="1">#REF!</definedName>
    <definedName name="lnk_rData_Start_Result" localSheetId="2" hidden="1">#REF!</definedName>
    <definedName name="lnk_rData_Start_Result" localSheetId="0" hidden="1">#REF!</definedName>
    <definedName name="lnk_rData_Start_Result" localSheetId="4" hidden="1">#REF!</definedName>
    <definedName name="lnk_rData_Start_Result" localSheetId="3" hidden="1">#REF!</definedName>
    <definedName name="lnk_rData_Start_Result" localSheetId="5" hidden="1">#REF!</definedName>
    <definedName name="lnk_rData_Start_Result" hidden="1">#REF!</definedName>
    <definedName name="lnk_rDataStart" localSheetId="6" hidden="1">#REF!</definedName>
    <definedName name="lnk_rDataStart" localSheetId="7" hidden="1">#REF!</definedName>
    <definedName name="lnk_rDataStart" localSheetId="1" hidden="1">#REF!</definedName>
    <definedName name="lnk_rDataStart" localSheetId="2" hidden="1">#REF!</definedName>
    <definedName name="lnk_rDataStart" localSheetId="0" hidden="1">#REF!</definedName>
    <definedName name="lnk_rDataStart" localSheetId="4" hidden="1">#REF!</definedName>
    <definedName name="lnk_rDataStart" localSheetId="3" hidden="1">#REF!</definedName>
    <definedName name="lnk_rDataStart" localSheetId="5" hidden="1">#REF!</definedName>
    <definedName name="lnk_rDataStart" hidden="1">#REF!</definedName>
    <definedName name="lnk_rSourceFore" localSheetId="6" hidden="1">#REF!</definedName>
    <definedName name="lnk_rSourceFore" localSheetId="7" hidden="1">#REF!</definedName>
    <definedName name="lnk_rSourceFore" localSheetId="1" hidden="1">#REF!</definedName>
    <definedName name="lnk_rSourceFore" localSheetId="2" hidden="1">#REF!</definedName>
    <definedName name="lnk_rSourceFore" localSheetId="0" hidden="1">#REF!</definedName>
    <definedName name="lnk_rSourceFore" localSheetId="4" hidden="1">#REF!</definedName>
    <definedName name="lnk_rSourceFore" localSheetId="3" hidden="1">#REF!</definedName>
    <definedName name="lnk_rSourceFore" localSheetId="5" hidden="1">#REF!</definedName>
    <definedName name="lnk_rSourceFore" hidden="1">#REF!</definedName>
    <definedName name="lnk_rSourceFore1st" localSheetId="6" hidden="1">#REF!</definedName>
    <definedName name="lnk_rSourceFore1st" localSheetId="7" hidden="1">#REF!</definedName>
    <definedName name="lnk_rSourceFore1st" localSheetId="1" hidden="1">#REF!</definedName>
    <definedName name="lnk_rSourceFore1st" localSheetId="2" hidden="1">#REF!</definedName>
    <definedName name="lnk_rSourceFore1st" localSheetId="0" hidden="1">#REF!</definedName>
    <definedName name="lnk_rSourceFore1st" localSheetId="4" hidden="1">#REF!</definedName>
    <definedName name="lnk_rSourceFore1st" localSheetId="3" hidden="1">#REF!</definedName>
    <definedName name="lnk_rSourceFore1st" localSheetId="5" hidden="1">#REF!</definedName>
    <definedName name="lnk_rSourceFore1st" hidden="1">#REF!</definedName>
    <definedName name="lnk_rSourceHist" localSheetId="6" hidden="1">#REF!</definedName>
    <definedName name="lnk_rSourceHist" localSheetId="7" hidden="1">#REF!</definedName>
    <definedName name="lnk_rSourceHist" localSheetId="1" hidden="1">#REF!</definedName>
    <definedName name="lnk_rSourceHist" localSheetId="2" hidden="1">#REF!</definedName>
    <definedName name="lnk_rSourceHist" localSheetId="0" hidden="1">#REF!</definedName>
    <definedName name="lnk_rSourceHist" localSheetId="4" hidden="1">#REF!</definedName>
    <definedName name="lnk_rSourceHist" localSheetId="3" hidden="1">#REF!</definedName>
    <definedName name="lnk_rSourceHist" localSheetId="5" hidden="1">#REF!</definedName>
    <definedName name="lnk_rSourceHist" hidden="1">#REF!</definedName>
    <definedName name="lnk_rYearRow" localSheetId="6" hidden="1">#REF!</definedName>
    <definedName name="lnk_rYearRow" localSheetId="7" hidden="1">#REF!</definedName>
    <definedName name="lnk_rYearRow" localSheetId="1" hidden="1">#REF!</definedName>
    <definedName name="lnk_rYearRow" localSheetId="2" hidden="1">#REF!</definedName>
    <definedName name="lnk_rYearRow" localSheetId="0" hidden="1">#REF!</definedName>
    <definedName name="lnk_rYearRow" localSheetId="4" hidden="1">#REF!</definedName>
    <definedName name="lnk_rYearRow" localSheetId="3" hidden="1">#REF!</definedName>
    <definedName name="lnk_rYearRow" localSheetId="5" hidden="1">#REF!</definedName>
    <definedName name="lnk_rYearRow" hidden="1">#REF!</definedName>
    <definedName name="lnk_rYearRow_Driver" localSheetId="6" hidden="1">#REF!</definedName>
    <definedName name="lnk_rYearRow_Driver" localSheetId="7" hidden="1">#REF!</definedName>
    <definedName name="lnk_rYearRow_Driver" localSheetId="1" hidden="1">#REF!</definedName>
    <definedName name="lnk_rYearRow_Driver" localSheetId="2" hidden="1">#REF!</definedName>
    <definedName name="lnk_rYearRow_Driver" localSheetId="0" hidden="1">#REF!</definedName>
    <definedName name="lnk_rYearRow_Driver" localSheetId="4" hidden="1">#REF!</definedName>
    <definedName name="lnk_rYearRow_Driver" localSheetId="3" hidden="1">#REF!</definedName>
    <definedName name="lnk_rYearRow_Driver" localSheetId="5" hidden="1">#REF!</definedName>
    <definedName name="lnk_rYearRow_Driver" hidden="1">#REF!</definedName>
    <definedName name="lnk_rYearRow_Result" localSheetId="6" hidden="1">#REF!</definedName>
    <definedName name="lnk_rYearRow_Result" localSheetId="7" hidden="1">#REF!</definedName>
    <definedName name="lnk_rYearRow_Result" localSheetId="1" hidden="1">#REF!</definedName>
    <definedName name="lnk_rYearRow_Result" localSheetId="2" hidden="1">#REF!</definedName>
    <definedName name="lnk_rYearRow_Result" localSheetId="0" hidden="1">#REF!</definedName>
    <definedName name="lnk_rYearRow_Result" localSheetId="4" hidden="1">#REF!</definedName>
    <definedName name="lnk_rYearRow_Result" localSheetId="3" hidden="1">#REF!</definedName>
    <definedName name="lnk_rYearRow_Result" localSheetId="5" hidden="1">#REF!</definedName>
    <definedName name="lnk_rYearRow_Result" hidden="1">#REF!</definedName>
    <definedName name="lnk_ScenarioName" localSheetId="6" hidden="1">#REF!</definedName>
    <definedName name="lnk_ScenarioName" localSheetId="7" hidden="1">#REF!</definedName>
    <definedName name="lnk_ScenarioName" localSheetId="1" hidden="1">#REF!</definedName>
    <definedName name="lnk_ScenarioName" localSheetId="2" hidden="1">#REF!</definedName>
    <definedName name="lnk_ScenarioName" localSheetId="0" hidden="1">#REF!</definedName>
    <definedName name="lnk_ScenarioName" localSheetId="4" hidden="1">#REF!</definedName>
    <definedName name="lnk_ScenarioName" localSheetId="3" hidden="1">#REF!</definedName>
    <definedName name="lnk_ScenarioName" localSheetId="5" hidden="1">#REF!</definedName>
    <definedName name="lnk_ScenarioName" hidden="1">#REF!</definedName>
    <definedName name="lnk_TICK" localSheetId="6" hidden="1">#REF!</definedName>
    <definedName name="lnk_TICK" localSheetId="7" hidden="1">#REF!</definedName>
    <definedName name="lnk_TICK" localSheetId="1" hidden="1">#REF!</definedName>
    <definedName name="lnk_TICK" localSheetId="2" hidden="1">#REF!</definedName>
    <definedName name="lnk_TICK" localSheetId="0" hidden="1">#REF!</definedName>
    <definedName name="lnk_TICK" localSheetId="4" hidden="1">#REF!</definedName>
    <definedName name="lnk_TICK" localSheetId="3" hidden="1">#REF!</definedName>
    <definedName name="lnk_TICK" localSheetId="5" hidden="1">#REF!</definedName>
    <definedName name="lnk_TICK" hidden="1">#REF!</definedName>
    <definedName name="lnk_update" localSheetId="6" hidden="1">#REF!</definedName>
    <definedName name="lnk_update" localSheetId="7" hidden="1">#REF!</definedName>
    <definedName name="lnk_update" localSheetId="1" hidden="1">#REF!</definedName>
    <definedName name="lnk_update" localSheetId="2" hidden="1">#REF!</definedName>
    <definedName name="lnk_update" localSheetId="0" hidden="1">#REF!</definedName>
    <definedName name="lnk_update" localSheetId="4" hidden="1">#REF!</definedName>
    <definedName name="lnk_update" localSheetId="3" hidden="1">#REF!</definedName>
    <definedName name="lnk_update" localSheetId="5" hidden="1">#REF!</definedName>
    <definedName name="lnk_update" hidden="1">#REF!</definedName>
    <definedName name="lnk_version" localSheetId="6" hidden="1">#REF!</definedName>
    <definedName name="lnk_version" localSheetId="7" hidden="1">#REF!</definedName>
    <definedName name="lnk_version" localSheetId="1" hidden="1">#REF!</definedName>
    <definedName name="lnk_version" localSheetId="2" hidden="1">#REF!</definedName>
    <definedName name="lnk_version" localSheetId="0" hidden="1">#REF!</definedName>
    <definedName name="lnk_version" localSheetId="4" hidden="1">#REF!</definedName>
    <definedName name="lnk_version" localSheetId="3" hidden="1">#REF!</definedName>
    <definedName name="lnk_version" localSheetId="5" hidden="1">#REF!</definedName>
    <definedName name="lnk_version" hidden="1">#REF!</definedName>
    <definedName name="m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MerrillPrintIt" hidden="1">#N/A</definedName>
    <definedName name="MEWarning" hidden="1">1</definedName>
    <definedName name="n" hidden="1">[2]PL!$E$71</definedName>
    <definedName name="nbbxx" hidden="1">{"'РП (2)'!$A$5:$S$150"}</definedName>
    <definedName name="NewRange" hidden="1">#N/A</definedName>
    <definedName name="nnb" hidden="1">{"'РП (2)'!$A$5:$S$150"}</definedName>
    <definedName name="o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oiuytrel" hidden="1">{"'РП (2)'!$A$5:$S$150"}</definedName>
    <definedName name="p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pl" localSheetId="6" hidden="1">#REF!</definedName>
    <definedName name="pl" localSheetId="7" hidden="1">#REF!</definedName>
    <definedName name="pl" localSheetId="1" hidden="1">#REF!</definedName>
    <definedName name="pl" localSheetId="2" hidden="1">#REF!</definedName>
    <definedName name="pl" localSheetId="0" hidden="1">#REF!</definedName>
    <definedName name="pl" localSheetId="4" hidden="1">#REF!</definedName>
    <definedName name="pl" localSheetId="3" hidden="1">#REF!</definedName>
    <definedName name="pl" localSheetId="5" hidden="1">#REF!</definedName>
    <definedName name="pl" hidden="1">#REF!</definedName>
    <definedName name="pokaz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qgq" hidden="1">#N/A</definedName>
    <definedName name="Quick0121" localSheetId="6" hidden="1">'[7]Раздел 1'!#REF!</definedName>
    <definedName name="Quick0121" localSheetId="7" hidden="1">'[7]Раздел 1'!#REF!</definedName>
    <definedName name="Quick0121" localSheetId="1" hidden="1">'[7]Раздел 1'!#REF!</definedName>
    <definedName name="Quick0121" localSheetId="2" hidden="1">'[7]Раздел 1'!#REF!</definedName>
    <definedName name="Quick0121" localSheetId="0" hidden="1">'[7]Раздел 1'!#REF!</definedName>
    <definedName name="Quick0121" localSheetId="4" hidden="1">'[7]Раздел 1'!#REF!</definedName>
    <definedName name="Quick0121" localSheetId="3" hidden="1">'[7]Раздел 1'!#REF!</definedName>
    <definedName name="Quick0121" localSheetId="5" hidden="1">'[7]Раздел 1'!#REF!</definedName>
    <definedName name="Quick0121" hidden="1">'[7]Раздел 1'!#REF!</definedName>
    <definedName name="QuickHL002" localSheetId="6" hidden="1">#REF!</definedName>
    <definedName name="QuickHL002" localSheetId="7" hidden="1">#REF!</definedName>
    <definedName name="QuickHL002" localSheetId="1" hidden="1">#REF!</definedName>
    <definedName name="QuickHL002" localSheetId="2" hidden="1">#REF!</definedName>
    <definedName name="QuickHL002" localSheetId="0" hidden="1">#REF!</definedName>
    <definedName name="QuickHL002" localSheetId="4" hidden="1">#REF!</definedName>
    <definedName name="QuickHL002" localSheetId="3" hidden="1">#REF!</definedName>
    <definedName name="QuickHL002" localSheetId="5" hidden="1">#REF!</definedName>
    <definedName name="QuickHL002" hidden="1">#REF!</definedName>
    <definedName name="QuickHL004" localSheetId="6" hidden="1">#REF!</definedName>
    <definedName name="QuickHL004" localSheetId="7" hidden="1">#REF!</definedName>
    <definedName name="QuickHL004" localSheetId="1" hidden="1">#REF!</definedName>
    <definedName name="QuickHL004" localSheetId="2" hidden="1">#REF!</definedName>
    <definedName name="QuickHL004" localSheetId="0" hidden="1">#REF!</definedName>
    <definedName name="QuickHL004" localSheetId="4" hidden="1">#REF!</definedName>
    <definedName name="QuickHL004" localSheetId="3" hidden="1">#REF!</definedName>
    <definedName name="QuickHL004" localSheetId="5" hidden="1">#REF!</definedName>
    <definedName name="QuickHL004" hidden="1">#REF!</definedName>
    <definedName name="QuickHL005" localSheetId="6" hidden="1">#REF!</definedName>
    <definedName name="QuickHL005" localSheetId="7" hidden="1">#REF!</definedName>
    <definedName name="QuickHL005" localSheetId="1" hidden="1">#REF!</definedName>
    <definedName name="QuickHL005" localSheetId="2" hidden="1">#REF!</definedName>
    <definedName name="QuickHL005" localSheetId="0" hidden="1">#REF!</definedName>
    <definedName name="QuickHL005" localSheetId="4" hidden="1">#REF!</definedName>
    <definedName name="QuickHL005" localSheetId="3" hidden="1">#REF!</definedName>
    <definedName name="QuickHL005" localSheetId="5" hidden="1">#REF!</definedName>
    <definedName name="QuickHL005" hidden="1">#REF!</definedName>
    <definedName name="QuickHL006" localSheetId="6" hidden="1">#REF!</definedName>
    <definedName name="QuickHL006" localSheetId="7" hidden="1">#REF!</definedName>
    <definedName name="QuickHL006" localSheetId="1" hidden="1">#REF!</definedName>
    <definedName name="QuickHL006" localSheetId="2" hidden="1">#REF!</definedName>
    <definedName name="QuickHL006" localSheetId="0" hidden="1">#REF!</definedName>
    <definedName name="QuickHL006" localSheetId="4" hidden="1">#REF!</definedName>
    <definedName name="QuickHL006" localSheetId="3" hidden="1">#REF!</definedName>
    <definedName name="QuickHL006" localSheetId="5" hidden="1">#REF!</definedName>
    <definedName name="QuickHL006" hidden="1">#REF!</definedName>
    <definedName name="QuickHL007" localSheetId="6" hidden="1">#REF!</definedName>
    <definedName name="QuickHL007" localSheetId="7" hidden="1">#REF!</definedName>
    <definedName name="QuickHL007" localSheetId="1" hidden="1">#REF!</definedName>
    <definedName name="QuickHL007" localSheetId="2" hidden="1">#REF!</definedName>
    <definedName name="QuickHL007" localSheetId="0" hidden="1">#REF!</definedName>
    <definedName name="QuickHL007" localSheetId="4" hidden="1">#REF!</definedName>
    <definedName name="QuickHL007" localSheetId="3" hidden="1">#REF!</definedName>
    <definedName name="QuickHL007" localSheetId="5" hidden="1">#REF!</definedName>
    <definedName name="QuickHL007" hidden="1">#REF!</definedName>
    <definedName name="QuickHL008" localSheetId="6" hidden="1">#REF!</definedName>
    <definedName name="QuickHL008" localSheetId="7" hidden="1">#REF!</definedName>
    <definedName name="QuickHL008" localSheetId="1" hidden="1">#REF!</definedName>
    <definedName name="QuickHL008" localSheetId="2" hidden="1">#REF!</definedName>
    <definedName name="QuickHL008" localSheetId="0" hidden="1">#REF!</definedName>
    <definedName name="QuickHL008" localSheetId="4" hidden="1">#REF!</definedName>
    <definedName name="QuickHL008" localSheetId="3" hidden="1">#REF!</definedName>
    <definedName name="QuickHL008" localSheetId="5" hidden="1">#REF!</definedName>
    <definedName name="QuickHL008" hidden="1">#REF!</definedName>
    <definedName name="QuickHL010" localSheetId="6" hidden="1">'[6]Раздел 1'!#REF!</definedName>
    <definedName name="QuickHL010" localSheetId="7" hidden="1">'[6]Раздел 1'!#REF!</definedName>
    <definedName name="QuickHL010" localSheetId="1" hidden="1">'[6]Раздел 1'!#REF!</definedName>
    <definedName name="QuickHL010" localSheetId="2" hidden="1">'[6]Раздел 1'!#REF!</definedName>
    <definedName name="QuickHL010" localSheetId="0" hidden="1">'[6]Раздел 1'!#REF!</definedName>
    <definedName name="QuickHL010" localSheetId="4" hidden="1">'[6]Раздел 1'!#REF!</definedName>
    <definedName name="QuickHL010" localSheetId="3" hidden="1">'[6]Раздел 1'!#REF!</definedName>
    <definedName name="QuickHL010" localSheetId="5" hidden="1">'[6]Раздел 1'!#REF!</definedName>
    <definedName name="QuickHL010" hidden="1">'[6]Раздел 1'!#REF!</definedName>
    <definedName name="QuickHL010_copy" localSheetId="6" hidden="1">'[7]Раздел 1'!#REF!</definedName>
    <definedName name="QuickHL010_copy" localSheetId="7" hidden="1">'[7]Раздел 1'!#REF!</definedName>
    <definedName name="QuickHL010_copy" localSheetId="1" hidden="1">'[7]Раздел 1'!#REF!</definedName>
    <definedName name="QuickHL010_copy" localSheetId="2" hidden="1">'[7]Раздел 1'!#REF!</definedName>
    <definedName name="QuickHL010_copy" localSheetId="0" hidden="1">'[7]Раздел 1'!#REF!</definedName>
    <definedName name="QuickHL010_copy" localSheetId="4" hidden="1">'[7]Раздел 1'!#REF!</definedName>
    <definedName name="QuickHL010_copy" localSheetId="3" hidden="1">'[7]Раздел 1'!#REF!</definedName>
    <definedName name="QuickHL010_copy" localSheetId="5" hidden="1">'[7]Раздел 1'!#REF!</definedName>
    <definedName name="QuickHL010_copy" hidden="1">'[7]Раздел 1'!#REF!</definedName>
    <definedName name="QuickHL012" localSheetId="6" hidden="1">'[6]Раздел 1'!#REF!</definedName>
    <definedName name="QuickHL012" localSheetId="7" hidden="1">'[6]Раздел 1'!#REF!</definedName>
    <definedName name="QuickHL012" localSheetId="1" hidden="1">'[6]Раздел 1'!#REF!</definedName>
    <definedName name="QuickHL012" localSheetId="2" hidden="1">'[6]Раздел 1'!#REF!</definedName>
    <definedName name="QuickHL012" localSheetId="0" hidden="1">'[6]Раздел 1'!#REF!</definedName>
    <definedName name="QuickHL012" localSheetId="4" hidden="1">'[6]Раздел 1'!#REF!</definedName>
    <definedName name="QuickHL012" localSheetId="3" hidden="1">'[6]Раздел 1'!#REF!</definedName>
    <definedName name="QuickHL012" localSheetId="5" hidden="1">'[6]Раздел 1'!#REF!</definedName>
    <definedName name="QuickHL012" hidden="1">'[6]Раздел 1'!#REF!</definedName>
    <definedName name="QuickHL015" localSheetId="6" hidden="1">#REF!</definedName>
    <definedName name="QuickHL015" localSheetId="7" hidden="1">#REF!</definedName>
    <definedName name="QuickHL015" localSheetId="1" hidden="1">#REF!</definedName>
    <definedName name="QuickHL015" localSheetId="2" hidden="1">#REF!</definedName>
    <definedName name="QuickHL015" localSheetId="0" hidden="1">#REF!</definedName>
    <definedName name="QuickHL015" localSheetId="4" hidden="1">#REF!</definedName>
    <definedName name="QuickHL015" localSheetId="3" hidden="1">#REF!</definedName>
    <definedName name="QuickHL015" localSheetId="5" hidden="1">#REF!</definedName>
    <definedName name="QuickHL015" hidden="1">#REF!</definedName>
    <definedName name="QuickHL017" localSheetId="6" hidden="1">#REF!</definedName>
    <definedName name="QuickHL017" localSheetId="7" hidden="1">#REF!</definedName>
    <definedName name="QuickHL017" localSheetId="1" hidden="1">#REF!</definedName>
    <definedName name="QuickHL017" localSheetId="2" hidden="1">#REF!</definedName>
    <definedName name="QuickHL017" localSheetId="0" hidden="1">#REF!</definedName>
    <definedName name="QuickHL017" localSheetId="4" hidden="1">#REF!</definedName>
    <definedName name="QuickHL017" localSheetId="3" hidden="1">#REF!</definedName>
    <definedName name="QuickHL017" localSheetId="5" hidden="1">#REF!</definedName>
    <definedName name="QuickHL017" hidden="1">#REF!</definedName>
    <definedName name="QuickHL019" localSheetId="6" hidden="1">#REF!</definedName>
    <definedName name="QuickHL019" localSheetId="7" hidden="1">#REF!</definedName>
    <definedName name="QuickHL019" localSheetId="1" hidden="1">#REF!</definedName>
    <definedName name="QuickHL019" localSheetId="2" hidden="1">#REF!</definedName>
    <definedName name="QuickHL019" localSheetId="0" hidden="1">#REF!</definedName>
    <definedName name="QuickHL019" localSheetId="4" hidden="1">#REF!</definedName>
    <definedName name="QuickHL019" localSheetId="3" hidden="1">#REF!</definedName>
    <definedName name="QuickHL019" localSheetId="5" hidden="1">#REF!</definedName>
    <definedName name="QuickHL019" hidden="1">#REF!</definedName>
    <definedName name="QuickHL023" localSheetId="6" hidden="1">#REF!</definedName>
    <definedName name="QuickHL023" localSheetId="7" hidden="1">#REF!</definedName>
    <definedName name="QuickHL023" localSheetId="1" hidden="1">#REF!</definedName>
    <definedName name="QuickHL023" localSheetId="2" hidden="1">#REF!</definedName>
    <definedName name="QuickHL023" localSheetId="0" hidden="1">#REF!</definedName>
    <definedName name="QuickHL023" localSheetId="4" hidden="1">#REF!</definedName>
    <definedName name="QuickHL023" localSheetId="3" hidden="1">#REF!</definedName>
    <definedName name="QuickHL023" localSheetId="5" hidden="1">#REF!</definedName>
    <definedName name="QuickHL023" hidden="1">#REF!</definedName>
    <definedName name="QuickHL025" localSheetId="6" hidden="1">#REF!</definedName>
    <definedName name="QuickHL025" localSheetId="7" hidden="1">#REF!</definedName>
    <definedName name="QuickHL025" localSheetId="1" hidden="1">#REF!</definedName>
    <definedName name="QuickHL025" localSheetId="2" hidden="1">#REF!</definedName>
    <definedName name="QuickHL025" localSheetId="0" hidden="1">#REF!</definedName>
    <definedName name="QuickHL025" localSheetId="4" hidden="1">#REF!</definedName>
    <definedName name="QuickHL025" localSheetId="3" hidden="1">#REF!</definedName>
    <definedName name="QuickHL025" localSheetId="5" hidden="1">#REF!</definedName>
    <definedName name="QuickHL025" hidden="1">#REF!</definedName>
    <definedName name="QuickHL031" localSheetId="6" hidden="1">#REF!</definedName>
    <definedName name="QuickHL031" localSheetId="7" hidden="1">#REF!</definedName>
    <definedName name="QuickHL031" localSheetId="1" hidden="1">#REF!</definedName>
    <definedName name="QuickHL031" localSheetId="2" hidden="1">#REF!</definedName>
    <definedName name="QuickHL031" localSheetId="0" hidden="1">#REF!</definedName>
    <definedName name="QuickHL031" localSheetId="4" hidden="1">#REF!</definedName>
    <definedName name="QuickHL031" localSheetId="3" hidden="1">#REF!</definedName>
    <definedName name="QuickHL031" localSheetId="5" hidden="1">#REF!</definedName>
    <definedName name="QuickHL031" hidden="1">#REF!</definedName>
    <definedName name="QuickHL032" localSheetId="6" hidden="1">'[6]Раздел 1'!#REF!</definedName>
    <definedName name="QuickHL032" localSheetId="7" hidden="1">'[6]Раздел 1'!#REF!</definedName>
    <definedName name="QuickHL032" localSheetId="1" hidden="1">'[6]Раздел 1'!#REF!</definedName>
    <definedName name="QuickHL032" localSheetId="2" hidden="1">'[6]Раздел 1'!#REF!</definedName>
    <definedName name="QuickHL032" localSheetId="0" hidden="1">'[6]Раздел 1'!#REF!</definedName>
    <definedName name="QuickHL032" localSheetId="4" hidden="1">'[6]Раздел 1'!#REF!</definedName>
    <definedName name="QuickHL032" localSheetId="3" hidden="1">'[6]Раздел 1'!#REF!</definedName>
    <definedName name="QuickHL032" localSheetId="5" hidden="1">'[6]Раздел 1'!#REF!</definedName>
    <definedName name="QuickHL032" hidden="1">'[6]Раздел 1'!#REF!</definedName>
    <definedName name="QuickHL034" localSheetId="6" hidden="1">'[6]Раздел 1'!#REF!</definedName>
    <definedName name="QuickHL034" localSheetId="7" hidden="1">'[6]Раздел 1'!#REF!</definedName>
    <definedName name="QuickHL034" localSheetId="1" hidden="1">'[6]Раздел 1'!#REF!</definedName>
    <definedName name="QuickHL034" localSheetId="2" hidden="1">'[6]Раздел 1'!#REF!</definedName>
    <definedName name="QuickHL034" localSheetId="0" hidden="1">'[6]Раздел 1'!#REF!</definedName>
    <definedName name="QuickHL034" localSheetId="4" hidden="1">'[6]Раздел 1'!#REF!</definedName>
    <definedName name="QuickHL034" localSheetId="3" hidden="1">'[6]Раздел 1'!#REF!</definedName>
    <definedName name="QuickHL034" localSheetId="5" hidden="1">'[6]Раздел 1'!#REF!</definedName>
    <definedName name="QuickHL034" hidden="1">'[6]Раздел 1'!#REF!</definedName>
    <definedName name="QuickHL035" localSheetId="6" hidden="1">[8]CF_МГР!#REF!</definedName>
    <definedName name="QuickHL035" localSheetId="7" hidden="1">[8]CF_МГР!#REF!</definedName>
    <definedName name="QuickHL035" localSheetId="1" hidden="1">[8]CF_МГР!#REF!</definedName>
    <definedName name="QuickHL035" localSheetId="2" hidden="1">[8]CF_МГР!#REF!</definedName>
    <definedName name="QuickHL035" localSheetId="0" hidden="1">[8]CF_МГР!#REF!</definedName>
    <definedName name="QuickHL035" localSheetId="4" hidden="1">[8]CF_МГР!#REF!</definedName>
    <definedName name="QuickHL035" localSheetId="3" hidden="1">[8]CF_МГР!#REF!</definedName>
    <definedName name="QuickHL035" localSheetId="5" hidden="1">[8]CF_МГР!#REF!</definedName>
    <definedName name="QuickHL035" hidden="1">[8]CF_МГР!#REF!</definedName>
    <definedName name="QuickHL037" localSheetId="6" hidden="1">#REF!</definedName>
    <definedName name="QuickHL037" localSheetId="7" hidden="1">#REF!</definedName>
    <definedName name="QuickHL037" localSheetId="1" hidden="1">#REF!</definedName>
    <definedName name="QuickHL037" localSheetId="2" hidden="1">#REF!</definedName>
    <definedName name="QuickHL037" localSheetId="0" hidden="1">#REF!</definedName>
    <definedName name="QuickHL037" localSheetId="4" hidden="1">#REF!</definedName>
    <definedName name="QuickHL037" localSheetId="3" hidden="1">#REF!</definedName>
    <definedName name="QuickHL037" localSheetId="5" hidden="1">#REF!</definedName>
    <definedName name="QuickHL037" hidden="1">#REF!</definedName>
    <definedName name="QuickHL038" localSheetId="6" hidden="1">#REF!</definedName>
    <definedName name="QuickHL038" localSheetId="7" hidden="1">#REF!</definedName>
    <definedName name="QuickHL038" localSheetId="1" hidden="1">#REF!</definedName>
    <definedName name="QuickHL038" localSheetId="2" hidden="1">#REF!</definedName>
    <definedName name="QuickHL038" localSheetId="0" hidden="1">#REF!</definedName>
    <definedName name="QuickHL038" localSheetId="4" hidden="1">#REF!</definedName>
    <definedName name="QuickHL038" localSheetId="3" hidden="1">#REF!</definedName>
    <definedName name="QuickHL038" localSheetId="5" hidden="1">#REF!</definedName>
    <definedName name="QuickHL038" hidden="1">#REF!</definedName>
    <definedName name="QuickHL039" localSheetId="6" hidden="1">#REF!</definedName>
    <definedName name="QuickHL039" localSheetId="7" hidden="1">#REF!</definedName>
    <definedName name="QuickHL039" localSheetId="1" hidden="1">#REF!</definedName>
    <definedName name="QuickHL039" localSheetId="2" hidden="1">#REF!</definedName>
    <definedName name="QuickHL039" localSheetId="0" hidden="1">#REF!</definedName>
    <definedName name="QuickHL039" localSheetId="4" hidden="1">#REF!</definedName>
    <definedName name="QuickHL039" localSheetId="3" hidden="1">#REF!</definedName>
    <definedName name="QuickHL039" localSheetId="5" hidden="1">#REF!</definedName>
    <definedName name="QuickHL039" hidden="1">#REF!</definedName>
    <definedName name="QuickHL040" localSheetId="6" hidden="1">#REF!</definedName>
    <definedName name="QuickHL040" localSheetId="7" hidden="1">#REF!</definedName>
    <definedName name="QuickHL040" localSheetId="1" hidden="1">#REF!</definedName>
    <definedName name="QuickHL040" localSheetId="2" hidden="1">#REF!</definedName>
    <definedName name="QuickHL040" localSheetId="0" hidden="1">#REF!</definedName>
    <definedName name="QuickHL040" localSheetId="4" hidden="1">#REF!</definedName>
    <definedName name="QuickHL040" localSheetId="3" hidden="1">#REF!</definedName>
    <definedName name="QuickHL040" localSheetId="5" hidden="1">#REF!</definedName>
    <definedName name="QuickHL040" hidden="1">#REF!</definedName>
    <definedName name="QuickHL041" localSheetId="6" hidden="1">#REF!</definedName>
    <definedName name="QuickHL041" localSheetId="7" hidden="1">#REF!</definedName>
    <definedName name="QuickHL041" localSheetId="1" hidden="1">#REF!</definedName>
    <definedName name="QuickHL041" localSheetId="2" hidden="1">#REF!</definedName>
    <definedName name="QuickHL041" localSheetId="0" hidden="1">#REF!</definedName>
    <definedName name="QuickHL041" localSheetId="4" hidden="1">#REF!</definedName>
    <definedName name="QuickHL041" localSheetId="3" hidden="1">#REF!</definedName>
    <definedName name="QuickHL041" localSheetId="5" hidden="1">#REF!</definedName>
    <definedName name="QuickHL041" hidden="1">#REF!</definedName>
    <definedName name="QuickHL042" localSheetId="6" hidden="1">#REF!</definedName>
    <definedName name="QuickHL042" localSheetId="7" hidden="1">#REF!</definedName>
    <definedName name="QuickHL042" localSheetId="1" hidden="1">#REF!</definedName>
    <definedName name="QuickHL042" localSheetId="2" hidden="1">#REF!</definedName>
    <definedName name="QuickHL042" localSheetId="0" hidden="1">#REF!</definedName>
    <definedName name="QuickHL042" localSheetId="4" hidden="1">#REF!</definedName>
    <definedName name="QuickHL042" localSheetId="3" hidden="1">#REF!</definedName>
    <definedName name="QuickHL042" localSheetId="5" hidden="1">#REF!</definedName>
    <definedName name="QuickHL042" hidden="1">#REF!</definedName>
    <definedName name="QuickHL044" localSheetId="6" hidden="1">#REF!</definedName>
    <definedName name="QuickHL044" localSheetId="7" hidden="1">#REF!</definedName>
    <definedName name="QuickHL044" localSheetId="1" hidden="1">#REF!</definedName>
    <definedName name="QuickHL044" localSheetId="2" hidden="1">#REF!</definedName>
    <definedName name="QuickHL044" localSheetId="0" hidden="1">#REF!</definedName>
    <definedName name="QuickHL044" localSheetId="4" hidden="1">#REF!</definedName>
    <definedName name="QuickHL044" localSheetId="3" hidden="1">#REF!</definedName>
    <definedName name="QuickHL044" localSheetId="5" hidden="1">#REF!</definedName>
    <definedName name="QuickHL044" hidden="1">#REF!</definedName>
    <definedName name="QuickHL046" localSheetId="6" hidden="1">#REF!</definedName>
    <definedName name="QuickHL046" localSheetId="7" hidden="1">#REF!</definedName>
    <definedName name="QuickHL046" localSheetId="1" hidden="1">#REF!</definedName>
    <definedName name="QuickHL046" localSheetId="2" hidden="1">#REF!</definedName>
    <definedName name="QuickHL046" localSheetId="0" hidden="1">#REF!</definedName>
    <definedName name="QuickHL046" localSheetId="4" hidden="1">#REF!</definedName>
    <definedName name="QuickHL046" localSheetId="3" hidden="1">#REF!</definedName>
    <definedName name="QuickHL046" localSheetId="5" hidden="1">#REF!</definedName>
    <definedName name="QuickHL046" hidden="1">#REF!</definedName>
    <definedName name="QuickHL047" localSheetId="6" hidden="1">#REF!</definedName>
    <definedName name="QuickHL047" localSheetId="7" hidden="1">#REF!</definedName>
    <definedName name="QuickHL047" localSheetId="1" hidden="1">#REF!</definedName>
    <definedName name="QuickHL047" localSheetId="2" hidden="1">#REF!</definedName>
    <definedName name="QuickHL047" localSheetId="0" hidden="1">#REF!</definedName>
    <definedName name="QuickHL047" localSheetId="4" hidden="1">#REF!</definedName>
    <definedName name="QuickHL047" localSheetId="3" hidden="1">#REF!</definedName>
    <definedName name="QuickHL047" localSheetId="5" hidden="1">#REF!</definedName>
    <definedName name="QuickHL047" hidden="1">#REF!</definedName>
    <definedName name="QuickHL048" localSheetId="6" hidden="1">#REF!</definedName>
    <definedName name="QuickHL048" localSheetId="7" hidden="1">#REF!</definedName>
    <definedName name="QuickHL048" localSheetId="1" hidden="1">#REF!</definedName>
    <definedName name="QuickHL048" localSheetId="2" hidden="1">#REF!</definedName>
    <definedName name="QuickHL048" localSheetId="0" hidden="1">#REF!</definedName>
    <definedName name="QuickHL048" localSheetId="4" hidden="1">#REF!</definedName>
    <definedName name="QuickHL048" localSheetId="3" hidden="1">#REF!</definedName>
    <definedName name="QuickHL048" localSheetId="5" hidden="1">#REF!</definedName>
    <definedName name="QuickHL048" hidden="1">#REF!</definedName>
    <definedName name="QuickHL049" localSheetId="6" hidden="1">#REF!</definedName>
    <definedName name="QuickHL049" localSheetId="7" hidden="1">#REF!</definedName>
    <definedName name="QuickHL049" localSheetId="1" hidden="1">#REF!</definedName>
    <definedName name="QuickHL049" localSheetId="2" hidden="1">#REF!</definedName>
    <definedName name="QuickHL049" localSheetId="0" hidden="1">#REF!</definedName>
    <definedName name="QuickHL049" localSheetId="4" hidden="1">#REF!</definedName>
    <definedName name="QuickHL049" localSheetId="3" hidden="1">#REF!</definedName>
    <definedName name="QuickHL049" localSheetId="5" hidden="1">#REF!</definedName>
    <definedName name="QuickHL049" hidden="1">#REF!</definedName>
    <definedName name="QuickHL050" localSheetId="6" hidden="1">#REF!</definedName>
    <definedName name="QuickHL050" localSheetId="7" hidden="1">#REF!</definedName>
    <definedName name="QuickHL050" localSheetId="1" hidden="1">#REF!</definedName>
    <definedName name="QuickHL050" localSheetId="2" hidden="1">#REF!</definedName>
    <definedName name="QuickHL050" localSheetId="0" hidden="1">#REF!</definedName>
    <definedName name="QuickHL050" localSheetId="4" hidden="1">#REF!</definedName>
    <definedName name="QuickHL050" localSheetId="3" hidden="1">#REF!</definedName>
    <definedName name="QuickHL050" localSheetId="5" hidden="1">#REF!</definedName>
    <definedName name="QuickHL050" hidden="1">#REF!</definedName>
    <definedName name="QuickHL052" localSheetId="6" hidden="1">#REF!</definedName>
    <definedName name="QuickHL052" localSheetId="7" hidden="1">#REF!</definedName>
    <definedName name="QuickHL052" localSheetId="1" hidden="1">#REF!</definedName>
    <definedName name="QuickHL052" localSheetId="2" hidden="1">#REF!</definedName>
    <definedName name="QuickHL052" localSheetId="0" hidden="1">#REF!</definedName>
    <definedName name="QuickHL052" localSheetId="4" hidden="1">#REF!</definedName>
    <definedName name="QuickHL052" localSheetId="3" hidden="1">#REF!</definedName>
    <definedName name="QuickHL052" localSheetId="5" hidden="1">#REF!</definedName>
    <definedName name="QuickHL052" hidden="1">#REF!</definedName>
    <definedName name="QuickHL053" localSheetId="6" hidden="1">#REF!</definedName>
    <definedName name="QuickHL053" localSheetId="7" hidden="1">#REF!</definedName>
    <definedName name="QuickHL053" localSheetId="1" hidden="1">#REF!</definedName>
    <definedName name="QuickHL053" localSheetId="2" hidden="1">#REF!</definedName>
    <definedName name="QuickHL053" localSheetId="0" hidden="1">#REF!</definedName>
    <definedName name="QuickHL053" localSheetId="4" hidden="1">#REF!</definedName>
    <definedName name="QuickHL053" localSheetId="3" hidden="1">#REF!</definedName>
    <definedName name="QuickHL053" localSheetId="5" hidden="1">#REF!</definedName>
    <definedName name="QuickHL053" hidden="1">#REF!</definedName>
    <definedName name="QuickHL054" localSheetId="6" hidden="1">#REF!</definedName>
    <definedName name="QuickHL054" localSheetId="7" hidden="1">#REF!</definedName>
    <definedName name="QuickHL054" localSheetId="1" hidden="1">#REF!</definedName>
    <definedName name="QuickHL054" localSheetId="2" hidden="1">#REF!</definedName>
    <definedName name="QuickHL054" localSheetId="0" hidden="1">#REF!</definedName>
    <definedName name="QuickHL054" localSheetId="4" hidden="1">#REF!</definedName>
    <definedName name="QuickHL054" localSheetId="3" hidden="1">#REF!</definedName>
    <definedName name="QuickHL054" localSheetId="5" hidden="1">#REF!</definedName>
    <definedName name="QuickHL054" hidden="1">#REF!</definedName>
    <definedName name="QuickHL055" localSheetId="6" hidden="1">#REF!</definedName>
    <definedName name="QuickHL055" localSheetId="7" hidden="1">#REF!</definedName>
    <definedName name="QuickHL055" localSheetId="1" hidden="1">#REF!</definedName>
    <definedName name="QuickHL055" localSheetId="2" hidden="1">#REF!</definedName>
    <definedName name="QuickHL055" localSheetId="0" hidden="1">#REF!</definedName>
    <definedName name="QuickHL055" localSheetId="4" hidden="1">#REF!</definedName>
    <definedName name="QuickHL055" localSheetId="3" hidden="1">#REF!</definedName>
    <definedName name="QuickHL055" localSheetId="5" hidden="1">#REF!</definedName>
    <definedName name="QuickHL055" hidden="1">#REF!</definedName>
    <definedName name="QuickHL056" localSheetId="6" hidden="1">#REF!</definedName>
    <definedName name="QuickHL056" localSheetId="7" hidden="1">#REF!</definedName>
    <definedName name="QuickHL056" localSheetId="1" hidden="1">#REF!</definedName>
    <definedName name="QuickHL056" localSheetId="2" hidden="1">#REF!</definedName>
    <definedName name="QuickHL056" localSheetId="0" hidden="1">#REF!</definedName>
    <definedName name="QuickHL056" localSheetId="4" hidden="1">#REF!</definedName>
    <definedName name="QuickHL056" localSheetId="3" hidden="1">#REF!</definedName>
    <definedName name="QuickHL056" localSheetId="5" hidden="1">#REF!</definedName>
    <definedName name="QuickHL056" hidden="1">#REF!</definedName>
    <definedName name="QuickHL057" localSheetId="6" hidden="1">#REF!</definedName>
    <definedName name="QuickHL057" localSheetId="7" hidden="1">#REF!</definedName>
    <definedName name="QuickHL057" localSheetId="1" hidden="1">#REF!</definedName>
    <definedName name="QuickHL057" localSheetId="2" hidden="1">#REF!</definedName>
    <definedName name="QuickHL057" localSheetId="0" hidden="1">#REF!</definedName>
    <definedName name="QuickHL057" localSheetId="4" hidden="1">#REF!</definedName>
    <definedName name="QuickHL057" localSheetId="3" hidden="1">#REF!</definedName>
    <definedName name="QuickHL057" localSheetId="5" hidden="1">#REF!</definedName>
    <definedName name="QuickHL057" hidden="1">#REF!</definedName>
    <definedName name="QuickHL063" localSheetId="6" hidden="1">#REF!</definedName>
    <definedName name="QuickHL063" localSheetId="7" hidden="1">#REF!</definedName>
    <definedName name="QuickHL063" localSheetId="1" hidden="1">#REF!</definedName>
    <definedName name="QuickHL063" localSheetId="2" hidden="1">#REF!</definedName>
    <definedName name="QuickHL063" localSheetId="0" hidden="1">#REF!</definedName>
    <definedName name="QuickHL063" localSheetId="4" hidden="1">#REF!</definedName>
    <definedName name="QuickHL063" localSheetId="3" hidden="1">#REF!</definedName>
    <definedName name="QuickHL063" localSheetId="5" hidden="1">#REF!</definedName>
    <definedName name="QuickHL063" hidden="1">#REF!</definedName>
    <definedName name="QuickHL065" localSheetId="6" hidden="1">#REF!</definedName>
    <definedName name="QuickHL065" localSheetId="7" hidden="1">#REF!</definedName>
    <definedName name="QuickHL065" localSheetId="1" hidden="1">#REF!</definedName>
    <definedName name="QuickHL065" localSheetId="2" hidden="1">#REF!</definedName>
    <definedName name="QuickHL065" localSheetId="0" hidden="1">#REF!</definedName>
    <definedName name="QuickHL065" localSheetId="4" hidden="1">#REF!</definedName>
    <definedName name="QuickHL065" localSheetId="3" hidden="1">#REF!</definedName>
    <definedName name="QuickHL065" localSheetId="5" hidden="1">#REF!</definedName>
    <definedName name="QuickHL065" hidden="1">#REF!</definedName>
    <definedName name="QuickHL067" localSheetId="6" hidden="1">'[9]Financial Statements'!#REF!</definedName>
    <definedName name="QuickHL067" localSheetId="7" hidden="1">'[9]Financial Statements'!#REF!</definedName>
    <definedName name="QuickHL067" localSheetId="1" hidden="1">'[9]Financial Statements'!#REF!</definedName>
    <definedName name="QuickHL067" localSheetId="2" hidden="1">'[9]Financial Statements'!#REF!</definedName>
    <definedName name="QuickHL067" localSheetId="0" hidden="1">'[9]Financial Statements'!#REF!</definedName>
    <definedName name="QuickHL067" localSheetId="4" hidden="1">'[9]Financial Statements'!#REF!</definedName>
    <definedName name="QuickHL067" localSheetId="3" hidden="1">'[9]Financial Statements'!#REF!</definedName>
    <definedName name="QuickHL067" localSheetId="5" hidden="1">'[9]Financial Statements'!#REF!</definedName>
    <definedName name="QuickHL067" hidden="1">'[9]Financial Statements'!#REF!</definedName>
    <definedName name="QuickHL068" localSheetId="6" hidden="1">'[10]Financial Statements'!#REF!</definedName>
    <definedName name="QuickHL068" localSheetId="7" hidden="1">'[10]Financial Statements'!#REF!</definedName>
    <definedName name="QuickHL068" localSheetId="1" hidden="1">'[10]Financial Statements'!#REF!</definedName>
    <definedName name="QuickHL068" localSheetId="2" hidden="1">'[10]Financial Statements'!#REF!</definedName>
    <definedName name="QuickHL068" localSheetId="0" hidden="1">'[10]Financial Statements'!#REF!</definedName>
    <definedName name="QuickHL068" localSheetId="4" hidden="1">'[10]Financial Statements'!#REF!</definedName>
    <definedName name="QuickHL068" localSheetId="3" hidden="1">'[10]Financial Statements'!#REF!</definedName>
    <definedName name="QuickHL068" localSheetId="5" hidden="1">'[10]Financial Statements'!#REF!</definedName>
    <definedName name="QuickHL068" hidden="1">'[10]Financial Statements'!#REF!</definedName>
    <definedName name="QuickHL069" localSheetId="6" hidden="1">'[9]Financial Statements'!#REF!</definedName>
    <definedName name="QuickHL069" localSheetId="7" hidden="1">'[9]Financial Statements'!#REF!</definedName>
    <definedName name="QuickHL069" localSheetId="1" hidden="1">'[9]Financial Statements'!#REF!</definedName>
    <definedName name="QuickHL069" localSheetId="2" hidden="1">'[9]Financial Statements'!#REF!</definedName>
    <definedName name="QuickHL069" localSheetId="0" hidden="1">'[9]Financial Statements'!#REF!</definedName>
    <definedName name="QuickHL069" localSheetId="4" hidden="1">'[9]Financial Statements'!#REF!</definedName>
    <definedName name="QuickHL069" localSheetId="3" hidden="1">'[9]Financial Statements'!#REF!</definedName>
    <definedName name="QuickHL069" localSheetId="5" hidden="1">'[9]Financial Statements'!#REF!</definedName>
    <definedName name="QuickHL069" hidden="1">'[9]Financial Statements'!#REF!</definedName>
    <definedName name="QuickHL070" localSheetId="6" hidden="1">'[9]Financial Statements'!#REF!</definedName>
    <definedName name="QuickHL070" localSheetId="7" hidden="1">'[9]Financial Statements'!#REF!</definedName>
    <definedName name="QuickHL070" localSheetId="1" hidden="1">'[9]Financial Statements'!#REF!</definedName>
    <definedName name="QuickHL070" localSheetId="2" hidden="1">'[9]Financial Statements'!#REF!</definedName>
    <definedName name="QuickHL070" localSheetId="0" hidden="1">'[9]Financial Statements'!#REF!</definedName>
    <definedName name="QuickHL070" localSheetId="4" hidden="1">'[9]Financial Statements'!#REF!</definedName>
    <definedName name="QuickHL070" localSheetId="3" hidden="1">'[9]Financial Statements'!#REF!</definedName>
    <definedName name="QuickHL070" localSheetId="5" hidden="1">'[9]Financial Statements'!#REF!</definedName>
    <definedName name="QuickHL070" hidden="1">'[9]Financial Statements'!#REF!</definedName>
    <definedName name="QuickHL071" localSheetId="6" hidden="1">'[9]Financial Statements'!#REF!</definedName>
    <definedName name="QuickHL071" localSheetId="7" hidden="1">'[9]Financial Statements'!#REF!</definedName>
    <definedName name="QuickHL071" localSheetId="1" hidden="1">'[9]Financial Statements'!#REF!</definedName>
    <definedName name="QuickHL071" localSheetId="2" hidden="1">'[9]Financial Statements'!#REF!</definedName>
    <definedName name="QuickHL071" localSheetId="0" hidden="1">'[9]Financial Statements'!#REF!</definedName>
    <definedName name="QuickHL071" localSheetId="4" hidden="1">'[9]Financial Statements'!#REF!</definedName>
    <definedName name="QuickHL071" localSheetId="3" hidden="1">'[9]Financial Statements'!#REF!</definedName>
    <definedName name="QuickHL071" localSheetId="5" hidden="1">'[9]Financial Statements'!#REF!</definedName>
    <definedName name="QuickHL071" hidden="1">'[9]Financial Statements'!#REF!</definedName>
    <definedName name="QuickHL073" localSheetId="6" hidden="1">[9]Audit!#REF!</definedName>
    <definedName name="QuickHL073" localSheetId="7" hidden="1">[9]Audit!#REF!</definedName>
    <definedName name="QuickHL073" localSheetId="1" hidden="1">[9]Audit!#REF!</definedName>
    <definedName name="QuickHL073" localSheetId="2" hidden="1">[9]Audit!#REF!</definedName>
    <definedName name="QuickHL073" localSheetId="0" hidden="1">[9]Audit!#REF!</definedName>
    <definedName name="QuickHL073" localSheetId="4" hidden="1">[9]Audit!#REF!</definedName>
    <definedName name="QuickHL073" localSheetId="3" hidden="1">[9]Audit!#REF!</definedName>
    <definedName name="QuickHL073" localSheetId="5" hidden="1">[9]Audit!#REF!</definedName>
    <definedName name="QuickHL073" hidden="1">[9]Audit!#REF!</definedName>
    <definedName name="QuickHL074" localSheetId="6" hidden="1">'[9]Auditors adjustments'!#REF!</definedName>
    <definedName name="QuickHL074" localSheetId="7" hidden="1">'[9]Auditors adjustments'!#REF!</definedName>
    <definedName name="QuickHL074" localSheetId="1" hidden="1">'[9]Auditors adjustments'!#REF!</definedName>
    <definedName name="QuickHL074" localSheetId="2" hidden="1">'[9]Auditors adjustments'!#REF!</definedName>
    <definedName name="QuickHL074" localSheetId="0" hidden="1">'[9]Auditors adjustments'!#REF!</definedName>
    <definedName name="QuickHL074" localSheetId="4" hidden="1">'[9]Auditors adjustments'!#REF!</definedName>
    <definedName name="QuickHL074" localSheetId="3" hidden="1">'[9]Auditors adjustments'!#REF!</definedName>
    <definedName name="QuickHL074" localSheetId="5" hidden="1">'[9]Auditors adjustments'!#REF!</definedName>
    <definedName name="QuickHL074" hidden="1">'[9]Auditors adjustments'!#REF!</definedName>
    <definedName name="QuickHL075" localSheetId="6" hidden="1">[9]Audit!#REF!</definedName>
    <definedName name="QuickHL075" localSheetId="7" hidden="1">[9]Audit!#REF!</definedName>
    <definedName name="QuickHL075" localSheetId="1" hidden="1">[9]Audit!#REF!</definedName>
    <definedName name="QuickHL075" localSheetId="2" hidden="1">[9]Audit!#REF!</definedName>
    <definedName name="QuickHL075" localSheetId="0" hidden="1">[9]Audit!#REF!</definedName>
    <definedName name="QuickHL075" localSheetId="4" hidden="1">[9]Audit!#REF!</definedName>
    <definedName name="QuickHL075" localSheetId="3" hidden="1">[9]Audit!#REF!</definedName>
    <definedName name="QuickHL075" localSheetId="5" hidden="1">[9]Audit!#REF!</definedName>
    <definedName name="QuickHL075" hidden="1">[9]Audit!#REF!</definedName>
    <definedName name="QuickHL076" localSheetId="6" hidden="1">'[9]Auditors adjustments'!#REF!</definedName>
    <definedName name="QuickHL076" localSheetId="7" hidden="1">'[9]Auditors adjustments'!#REF!</definedName>
    <definedName name="QuickHL076" localSheetId="1" hidden="1">'[9]Auditors adjustments'!#REF!</definedName>
    <definedName name="QuickHL076" localSheetId="2" hidden="1">'[9]Auditors adjustments'!#REF!</definedName>
    <definedName name="QuickHL076" localSheetId="0" hidden="1">'[9]Auditors adjustments'!#REF!</definedName>
    <definedName name="QuickHL076" localSheetId="4" hidden="1">'[9]Auditors adjustments'!#REF!</definedName>
    <definedName name="QuickHL076" localSheetId="3" hidden="1">'[9]Auditors adjustments'!#REF!</definedName>
    <definedName name="QuickHL076" localSheetId="5" hidden="1">'[9]Auditors adjustments'!#REF!</definedName>
    <definedName name="QuickHL076" hidden="1">'[9]Auditors adjustments'!#REF!</definedName>
    <definedName name="QuickHL077" localSheetId="6" hidden="1">[9]Audit!#REF!</definedName>
    <definedName name="QuickHL077" localSheetId="7" hidden="1">[9]Audit!#REF!</definedName>
    <definedName name="QuickHL077" localSheetId="1" hidden="1">[9]Audit!#REF!</definedName>
    <definedName name="QuickHL077" localSheetId="2" hidden="1">[9]Audit!#REF!</definedName>
    <definedName name="QuickHL077" localSheetId="0" hidden="1">[9]Audit!#REF!</definedName>
    <definedName name="QuickHL077" localSheetId="4" hidden="1">[9]Audit!#REF!</definedName>
    <definedName name="QuickHL077" localSheetId="3" hidden="1">[9]Audit!#REF!</definedName>
    <definedName name="QuickHL077" localSheetId="5" hidden="1">[9]Audit!#REF!</definedName>
    <definedName name="QuickHL077" hidden="1">[9]Audit!#REF!</definedName>
    <definedName name="QuickHL078" localSheetId="6" hidden="1">'[9]Auditors adjustments'!#REF!</definedName>
    <definedName name="QuickHL078" localSheetId="7" hidden="1">'[9]Auditors adjustments'!#REF!</definedName>
    <definedName name="QuickHL078" localSheetId="1" hidden="1">'[9]Auditors adjustments'!#REF!</definedName>
    <definedName name="QuickHL078" localSheetId="2" hidden="1">'[9]Auditors adjustments'!#REF!</definedName>
    <definedName name="QuickHL078" localSheetId="0" hidden="1">'[9]Auditors adjustments'!#REF!</definedName>
    <definedName name="QuickHL078" localSheetId="4" hidden="1">'[9]Auditors adjustments'!#REF!</definedName>
    <definedName name="QuickHL078" localSheetId="3" hidden="1">'[9]Auditors adjustments'!#REF!</definedName>
    <definedName name="QuickHL078" localSheetId="5" hidden="1">'[9]Auditors adjustments'!#REF!</definedName>
    <definedName name="QuickHL078" hidden="1">'[9]Auditors adjustments'!#REF!</definedName>
    <definedName name="QuickHL079" localSheetId="6" hidden="1">[9]Audit!#REF!</definedName>
    <definedName name="QuickHL079" localSheetId="7" hidden="1">[9]Audit!#REF!</definedName>
    <definedName name="QuickHL079" localSheetId="1" hidden="1">[9]Audit!#REF!</definedName>
    <definedName name="QuickHL079" localSheetId="2" hidden="1">[9]Audit!#REF!</definedName>
    <definedName name="QuickHL079" localSheetId="0" hidden="1">[9]Audit!#REF!</definedName>
    <definedName name="QuickHL079" localSheetId="4" hidden="1">[9]Audit!#REF!</definedName>
    <definedName name="QuickHL079" localSheetId="3" hidden="1">[9]Audit!#REF!</definedName>
    <definedName name="QuickHL079" localSheetId="5" hidden="1">[9]Audit!#REF!</definedName>
    <definedName name="QuickHL079" hidden="1">[9]Audit!#REF!</definedName>
    <definedName name="qw" hidden="1">{#N/A,#N/A,FALSE,"Aging Summary";#N/A,#N/A,FALSE,"Ratio Analysis";#N/A,#N/A,FALSE,"Test 120 Day Accts";#N/A,#N/A,FALSE,"Tickmarks"}</definedName>
    <definedName name="RedefinePrintTableRange" hidden="1">#N/A</definedName>
    <definedName name="rrrrrrrr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r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r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SAPBEXhrIndnt" hidden="1">"Wide"</definedName>
    <definedName name="SAPsysID" hidden="1">"708C5W7SBKP804JT78WJ0JNKI"</definedName>
    <definedName name="SAPwbID" hidden="1">"ARS"</definedName>
    <definedName name="sdfg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sencount" hidden="1">4</definedName>
    <definedName name="shshryhasyhj" hidden="1">#N/A</definedName>
    <definedName name="shss" hidden="1">#N/A</definedName>
    <definedName name="ssy" hidden="1">#N/A</definedName>
    <definedName name="test4" hidden="1">#N/A</definedName>
    <definedName name="test7" hidden="1">#N/A</definedName>
    <definedName name="test8" hidden="1">#N/A</definedName>
    <definedName name="tesy5" hidden="1">#N/A</definedName>
    <definedName name="TextRefCopyRangeCount" hidden="1">67</definedName>
    <definedName name="th" hidden="1">{#N/A,#N/A,FALSE,"Aging Summary";#N/A,#N/A,FALSE,"Ratio Analysis";#N/A,#N/A,FALSE,"Test 120 Day Accts";#N/A,#N/A,FALSE,"Tickmarks"}</definedName>
    <definedName name="tr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t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" hidden="1">{#N/A,#N/A,FALSE,"Aging Summary";#N/A,#N/A,FALSE,"Ratio Analysis";#N/A,#N/A,FALSE,"Test 120 Day Accts";#N/A,#N/A,FALSE,"Tickmarks"}</definedName>
    <definedName name="ui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uyg" hidden="1">{"'РП (2)'!$A$5:$S$150"}</definedName>
    <definedName name="uytrewq" hidden="1">{"'РП (2)'!$A$5:$S$150"}</definedName>
    <definedName name="v" hidden="1">[2]PL!$C$60:$C$66</definedName>
    <definedName name="vaaaaaavavv" hidden="1">#N/A</definedName>
    <definedName name="we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ergqerrgqwergr" hidden="1">#N/A</definedName>
    <definedName name="wrn.Aging._.and._.Trend._.Analysis." hidden="1">{#N/A,#N/A,FALSE,"Aging Summary";#N/A,#N/A,FALSE,"Ratio Analysis";#N/A,#N/A,FALSE,"Test 120 Day Accts";#N/A,#N/A,FALSE,"Tickmarks"}</definedName>
    <definedName name="wrn.ap." hidden="1">{#N/A,#N/A,FALSE,"EA-1-i";#N/A,#N/A,FALSE,"EA-2-i";#N/A,#N/A,FALSE,"II-1-na-i";#N/A,#N/A,FALSE,"IN-2-na-i";#N/A,#N/A,FALSE,"II-2-na-i ";#N/A,#N/A,FALSE,"AI-1-na-i";#N/A,#N/A,FALSE,"AI-1-na-i ";#N/A,#N/A,FALSE,"N_n-iia?-na-i";#N/A,#N/A,FALSE,"N_n-i?-na-i ";#N/A,#N/A,FALSE,"Aa-1-na-i ";#N/A,#N/A,FALSE,"E?-1-na-i";#N/A,#N/A,FALSE,"O?-1-na-i ";#N/A,#N/A,FALSE," I?i?-1-na-i ";#N/A,#N/A,FALSE,"O?oa-1-na-i ";#N/A,#N/A,FALSE,"EN-1-na-i ";#N/A,#N/A,FALSE,"?E-1-na-i";#N/A,#N/A,FALSE,"I-1-na-i ";#N/A,#N/A,FALSE,"AAN-1-na-i ";#N/A,#N/A,FALSE,"E?a-1-na-i ";#N/A,#N/A,FALSE,"Aa-1-na-i";#N/A,#N/A,FALSE,"NE-1-na-i";#N/A,#N/A,FALSE,"Ei-1-na-i ";#N/A,#N/A,FALSE," Ai-1-na-i ";#N/A,#N/A,FALSE,"Ao?-1-na-i ";#N/A,#N/A,FALSE,"EC-1_na_i";#N/A,#N/A,FALSE,"A?I-1-na-i";#N/A,#N/A,FALSE,"na-i";#N/A,#N/A,FALSE,"EC-2-a_na-i"}</definedName>
    <definedName name="wrn.REPORT1." hidden="1">{"PRINTME",#N/A,FALSE,"FINAL-10"}</definedName>
    <definedName name="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wwwwwwwww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xfhs" hidden="1">#N/A</definedName>
    <definedName name="XREF_COLUMN_1" localSheetId="6" hidden="1">#REF!</definedName>
    <definedName name="XREF_COLUMN_1" localSheetId="7" hidden="1">#REF!</definedName>
    <definedName name="XREF_COLUMN_1" localSheetId="1" hidden="1">#REF!</definedName>
    <definedName name="XREF_COLUMN_1" localSheetId="2" hidden="1">#REF!</definedName>
    <definedName name="XREF_COLUMN_1" localSheetId="0" hidden="1">#REF!</definedName>
    <definedName name="XREF_COLUMN_1" localSheetId="4" hidden="1">#REF!</definedName>
    <definedName name="XREF_COLUMN_1" localSheetId="3" hidden="1">#REF!</definedName>
    <definedName name="XREF_COLUMN_1" localSheetId="5" hidden="1">#REF!</definedName>
    <definedName name="XREF_COLUMN_1" hidden="1">#REF!</definedName>
    <definedName name="XRefActiveRow" localSheetId="6" hidden="1">#REF!</definedName>
    <definedName name="XRefActiveRow" localSheetId="7" hidden="1">#REF!</definedName>
    <definedName name="XRefActiveRow" localSheetId="1" hidden="1">#REF!</definedName>
    <definedName name="XRefActiveRow" localSheetId="2" hidden="1">#REF!</definedName>
    <definedName name="XRefActiveRow" localSheetId="0" hidden="1">#REF!</definedName>
    <definedName name="XRefActiveRow" localSheetId="4" hidden="1">#REF!</definedName>
    <definedName name="XRefActiveRow" localSheetId="3" hidden="1">#REF!</definedName>
    <definedName name="XRefActiveRow" localSheetId="5" hidden="1">#REF!</definedName>
    <definedName name="XRefActiveRow" hidden="1">#REF!</definedName>
    <definedName name="XRefColumnsCount" hidden="1">1</definedName>
    <definedName name="XRefCopy1" localSheetId="6" hidden="1">#REF!</definedName>
    <definedName name="XRefCopy1" localSheetId="7" hidden="1">#REF!</definedName>
    <definedName name="XRefCopy1" localSheetId="1" hidden="1">#REF!</definedName>
    <definedName name="XRefCopy1" localSheetId="2" hidden="1">#REF!</definedName>
    <definedName name="XRefCopy1" localSheetId="0" hidden="1">#REF!</definedName>
    <definedName name="XRefCopy1" localSheetId="4" hidden="1">#REF!</definedName>
    <definedName name="XRefCopy1" localSheetId="3" hidden="1">#REF!</definedName>
    <definedName name="XRefCopy1" localSheetId="5" hidden="1">#REF!</definedName>
    <definedName name="XRefCopy1" hidden="1">#REF!</definedName>
    <definedName name="XRefCopy1Row" localSheetId="6" hidden="1">#REF!</definedName>
    <definedName name="XRefCopy1Row" localSheetId="7" hidden="1">#REF!</definedName>
    <definedName name="XRefCopy1Row" localSheetId="1" hidden="1">#REF!</definedName>
    <definedName name="XRefCopy1Row" localSheetId="2" hidden="1">#REF!</definedName>
    <definedName name="XRefCopy1Row" localSheetId="0" hidden="1">#REF!</definedName>
    <definedName name="XRefCopy1Row" localSheetId="4" hidden="1">#REF!</definedName>
    <definedName name="XRefCopy1Row" localSheetId="3" hidden="1">#REF!</definedName>
    <definedName name="XRefCopy1Row" localSheetId="5" hidden="1">#REF!</definedName>
    <definedName name="XRefCopy1Row" hidden="1">#REF!</definedName>
    <definedName name="XRefCopy4Row" localSheetId="6" hidden="1">[11]XREF!#REF!</definedName>
    <definedName name="XRefCopy4Row" localSheetId="7" hidden="1">[11]XREF!#REF!</definedName>
    <definedName name="XRefCopy4Row" localSheetId="1" hidden="1">[11]XREF!#REF!</definedName>
    <definedName name="XRefCopy4Row" localSheetId="2" hidden="1">[11]XREF!#REF!</definedName>
    <definedName name="XRefCopy4Row" localSheetId="0" hidden="1">[11]XREF!#REF!</definedName>
    <definedName name="XRefCopy4Row" localSheetId="4" hidden="1">[11]XREF!#REF!</definedName>
    <definedName name="XRefCopy4Row" localSheetId="3" hidden="1">[11]XREF!#REF!</definedName>
    <definedName name="XRefCopy4Row" localSheetId="5" hidden="1">[11]XREF!#REF!</definedName>
    <definedName name="XRefCopy4Row" hidden="1">[11]XREF!#REF!</definedName>
    <definedName name="XRefCopyRangeCount" hidden="1">1</definedName>
    <definedName name="XRefPaste1" localSheetId="6" hidden="1">'[11]Rollforward ST'!#REF!</definedName>
    <definedName name="XRefPaste1" localSheetId="7" hidden="1">'[11]Rollforward ST'!#REF!</definedName>
    <definedName name="XRefPaste1" localSheetId="1" hidden="1">'[11]Rollforward ST'!#REF!</definedName>
    <definedName name="XRefPaste1" localSheetId="2" hidden="1">'[11]Rollforward ST'!#REF!</definedName>
    <definedName name="XRefPaste1" localSheetId="0" hidden="1">'[11]Rollforward ST'!#REF!</definedName>
    <definedName name="XRefPaste1" localSheetId="4" hidden="1">'[11]Rollforward ST'!#REF!</definedName>
    <definedName name="XRefPaste1" localSheetId="3" hidden="1">'[11]Rollforward ST'!#REF!</definedName>
    <definedName name="XRefPaste1" localSheetId="5" hidden="1">'[11]Rollforward ST'!#REF!</definedName>
    <definedName name="XRefPaste1" hidden="1">'[11]Rollforward ST'!#REF!</definedName>
    <definedName name="XRefPaste1Row" localSheetId="6" hidden="1">[11]XREF!#REF!</definedName>
    <definedName name="XRefPaste1Row" localSheetId="7" hidden="1">[11]XREF!#REF!</definedName>
    <definedName name="XRefPaste1Row" localSheetId="1" hidden="1">[11]XREF!#REF!</definedName>
    <definedName name="XRefPaste1Row" localSheetId="2" hidden="1">[11]XREF!#REF!</definedName>
    <definedName name="XRefPaste1Row" localSheetId="0" hidden="1">[11]XREF!#REF!</definedName>
    <definedName name="XRefPaste1Row" localSheetId="4" hidden="1">[11]XREF!#REF!</definedName>
    <definedName name="XRefPaste1Row" localSheetId="3" hidden="1">[11]XREF!#REF!</definedName>
    <definedName name="XRefPaste1Row" localSheetId="5" hidden="1">[11]XREF!#REF!</definedName>
    <definedName name="XRefPaste1Row" hidden="1">[11]XREF!#REF!</definedName>
    <definedName name="XRefPaste2Row" localSheetId="6" hidden="1">[11]XREF!#REF!</definedName>
    <definedName name="XRefPaste2Row" localSheetId="7" hidden="1">[11]XREF!#REF!</definedName>
    <definedName name="XRefPaste2Row" localSheetId="1" hidden="1">[11]XREF!#REF!</definedName>
    <definedName name="XRefPaste2Row" localSheetId="2" hidden="1">[11]XREF!#REF!</definedName>
    <definedName name="XRefPaste2Row" localSheetId="0" hidden="1">[11]XREF!#REF!</definedName>
    <definedName name="XRefPaste2Row" localSheetId="4" hidden="1">[11]XREF!#REF!</definedName>
    <definedName name="XRefPaste2Row" localSheetId="3" hidden="1">[11]XREF!#REF!</definedName>
    <definedName name="XRefPaste2Row" localSheetId="5" hidden="1">[11]XREF!#REF!</definedName>
    <definedName name="XRefPaste2Row" hidden="1">[11]XREF!#REF!</definedName>
    <definedName name="XRefPasteRangeCount" hidden="1">1</definedName>
    <definedName name="yt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tuity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yu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Z_30FEE15E_D26F_11D4_A6F7_00508B6A7686_.wvu.FilterData" localSheetId="6" hidden="1">#REF!</definedName>
    <definedName name="Z_30FEE15E_D26F_11D4_A6F7_00508B6A7686_.wvu.FilterData" localSheetId="7" hidden="1">#REF!</definedName>
    <definedName name="Z_30FEE15E_D26F_11D4_A6F7_00508B6A7686_.wvu.FilterData" localSheetId="1" hidden="1">#REF!</definedName>
    <definedName name="Z_30FEE15E_D26F_11D4_A6F7_00508B6A7686_.wvu.FilterData" localSheetId="2" hidden="1">#REF!</definedName>
    <definedName name="Z_30FEE15E_D26F_11D4_A6F7_00508B6A7686_.wvu.FilterData" localSheetId="0" hidden="1">#REF!</definedName>
    <definedName name="Z_30FEE15E_D26F_11D4_A6F7_00508B6A7686_.wvu.FilterData" localSheetId="4" hidden="1">#REF!</definedName>
    <definedName name="Z_30FEE15E_D26F_11D4_A6F7_00508B6A7686_.wvu.FilterData" localSheetId="3" hidden="1">#REF!</definedName>
    <definedName name="Z_30FEE15E_D26F_11D4_A6F7_00508B6A7686_.wvu.FilterData" localSheetId="5" hidden="1">#REF!</definedName>
    <definedName name="Z_30FEE15E_D26F_11D4_A6F7_00508B6A7686_.wvu.FilterData" hidden="1">#REF!</definedName>
    <definedName name="Z_30FEE15E_D26F_11D4_A6F7_00508B6A7686_.wvu.PrintArea" localSheetId="6" hidden="1">#REF!</definedName>
    <definedName name="Z_30FEE15E_D26F_11D4_A6F7_00508B6A7686_.wvu.PrintArea" localSheetId="7" hidden="1">#REF!</definedName>
    <definedName name="Z_30FEE15E_D26F_11D4_A6F7_00508B6A7686_.wvu.PrintArea" localSheetId="1" hidden="1">#REF!</definedName>
    <definedName name="Z_30FEE15E_D26F_11D4_A6F7_00508B6A7686_.wvu.PrintArea" localSheetId="2" hidden="1">#REF!</definedName>
    <definedName name="Z_30FEE15E_D26F_11D4_A6F7_00508B6A7686_.wvu.PrintArea" localSheetId="0" hidden="1">#REF!</definedName>
    <definedName name="Z_30FEE15E_D26F_11D4_A6F7_00508B6A7686_.wvu.PrintArea" localSheetId="4" hidden="1">#REF!</definedName>
    <definedName name="Z_30FEE15E_D26F_11D4_A6F7_00508B6A7686_.wvu.PrintArea" localSheetId="3" hidden="1">#REF!</definedName>
    <definedName name="Z_30FEE15E_D26F_11D4_A6F7_00508B6A7686_.wvu.PrintArea" localSheetId="5" hidden="1">#REF!</definedName>
    <definedName name="Z_30FEE15E_D26F_11D4_A6F7_00508B6A7686_.wvu.PrintArea" hidden="1">#REF!</definedName>
    <definedName name="Z_30FEE15E_D26F_11D4_A6F7_00508B6A7686_.wvu.PrintTitles" localSheetId="6" hidden="1">#REF!</definedName>
    <definedName name="Z_30FEE15E_D26F_11D4_A6F7_00508B6A7686_.wvu.PrintTitles" localSheetId="7" hidden="1">#REF!</definedName>
    <definedName name="Z_30FEE15E_D26F_11D4_A6F7_00508B6A7686_.wvu.PrintTitles" localSheetId="1" hidden="1">#REF!</definedName>
    <definedName name="Z_30FEE15E_D26F_11D4_A6F7_00508B6A7686_.wvu.PrintTitles" localSheetId="2" hidden="1">#REF!</definedName>
    <definedName name="Z_30FEE15E_D26F_11D4_A6F7_00508B6A7686_.wvu.PrintTitles" localSheetId="0" hidden="1">#REF!</definedName>
    <definedName name="Z_30FEE15E_D26F_11D4_A6F7_00508B6A7686_.wvu.PrintTitles" localSheetId="4" hidden="1">#REF!</definedName>
    <definedName name="Z_30FEE15E_D26F_11D4_A6F7_00508B6A7686_.wvu.PrintTitles" localSheetId="3" hidden="1">#REF!</definedName>
    <definedName name="Z_30FEE15E_D26F_11D4_A6F7_00508B6A7686_.wvu.PrintTitles" localSheetId="5" hidden="1">#REF!</definedName>
    <definedName name="Z_30FEE15E_D26F_11D4_A6F7_00508B6A7686_.wvu.PrintTitles" hidden="1">#REF!</definedName>
    <definedName name="Z_30FEE15E_D26F_11D4_A6F7_00508B6A7686_.wvu.Rows" localSheetId="6" hidden="1">#REF!</definedName>
    <definedName name="Z_30FEE15E_D26F_11D4_A6F7_00508B6A7686_.wvu.Rows" localSheetId="7" hidden="1">#REF!</definedName>
    <definedName name="Z_30FEE15E_D26F_11D4_A6F7_00508B6A7686_.wvu.Rows" localSheetId="1" hidden="1">#REF!</definedName>
    <definedName name="Z_30FEE15E_D26F_11D4_A6F7_00508B6A7686_.wvu.Rows" localSheetId="2" hidden="1">#REF!</definedName>
    <definedName name="Z_30FEE15E_D26F_11D4_A6F7_00508B6A7686_.wvu.Rows" localSheetId="0" hidden="1">#REF!</definedName>
    <definedName name="Z_30FEE15E_D26F_11D4_A6F7_00508B6A7686_.wvu.Rows" localSheetId="4" hidden="1">#REF!</definedName>
    <definedName name="Z_30FEE15E_D26F_11D4_A6F7_00508B6A7686_.wvu.Rows" localSheetId="3" hidden="1">#REF!</definedName>
    <definedName name="Z_30FEE15E_D26F_11D4_A6F7_00508B6A7686_.wvu.Rows" localSheetId="5" hidden="1">#REF!</definedName>
    <definedName name="Z_30FEE15E_D26F_11D4_A6F7_00508B6A7686_.wvu.Rows" hidden="1">#REF!</definedName>
    <definedName name="Z_AB45FFAE_19AD_47F2_A68A_497CFA02F912_.wvu.Rows" localSheetId="6" hidden="1">#REF!</definedName>
    <definedName name="Z_AB45FFAE_19AD_47F2_A68A_497CFA02F912_.wvu.Rows" localSheetId="7" hidden="1">#REF!</definedName>
    <definedName name="Z_AB45FFAE_19AD_47F2_A68A_497CFA02F912_.wvu.Rows" localSheetId="1" hidden="1">#REF!</definedName>
    <definedName name="Z_AB45FFAE_19AD_47F2_A68A_497CFA02F912_.wvu.Rows" localSheetId="2" hidden="1">#REF!</definedName>
    <definedName name="Z_AB45FFAE_19AD_47F2_A68A_497CFA02F912_.wvu.Rows" localSheetId="0" hidden="1">#REF!</definedName>
    <definedName name="Z_AB45FFAE_19AD_47F2_A68A_497CFA02F912_.wvu.Rows" localSheetId="4" hidden="1">#REF!</definedName>
    <definedName name="Z_AB45FFAE_19AD_47F2_A68A_497CFA02F912_.wvu.Rows" localSheetId="3" hidden="1">#REF!</definedName>
    <definedName name="Z_AB45FFAE_19AD_47F2_A68A_497CFA02F912_.wvu.Rows" localSheetId="5" hidden="1">#REF!</definedName>
    <definedName name="Z_AB45FFAE_19AD_47F2_A68A_497CFA02F912_.wvu.Rows" hidden="1">#REF!</definedName>
    <definedName name="zxc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авпавпа" hidden="1">{"'РП (2)'!$A$5:$S$150"}</definedName>
    <definedName name="бдолпи" hidden="1">{"'РП (2)'!$A$5:$S$150"}</definedName>
    <definedName name="бдс_завод" hidden="1">{"'РП (2)'!$A$5:$S$150"}</definedName>
    <definedName name="бртрвпауфц4" hidden="1">{"'РП (2)'!$A$5:$S$150"}</definedName>
    <definedName name="бьтимсч" hidden="1">{"'РП (2)'!$A$5:$S$150"}</definedName>
    <definedName name="бьторп" hidden="1">{"'РП (2)'!$A$5:$S$150"}</definedName>
    <definedName name="вапвапва" hidden="1">{"'РП (2)'!$A$5:$S$150"}</definedName>
    <definedName name="ваываывав" hidden="1">{#N/A,#N/A,FALSE,"Aging Summary";#N/A,#N/A,FALSE,"Ratio Analysis";#N/A,#N/A,FALSE,"Test 120 Day Accts";#N/A,#N/A,FALSE,"Tickmarks"}</definedName>
    <definedName name="ввв" hidden="1">{#N/A,#N/A,FALSE,"Aging Summary";#N/A,#N/A,FALSE,"Ratio Analysis";#N/A,#N/A,FALSE,"Test 120 Day Accts";#N/A,#N/A,FALSE,"Tickmarks"}</definedName>
    <definedName name="ВЫапвап" hidden="1">{"'РП (2)'!$A$5:$S$150"}</definedName>
    <definedName name="ВЫПР" hidden="1">{#N/A,#N/A,FALSE,"Aging Summary";#N/A,#N/A,FALSE,"Ratio Analysis";#N/A,#N/A,FALSE,"Test 120 Day Accts";#N/A,#N/A,FALSE,"Tickmarks"}</definedName>
    <definedName name="д11111д" localSheetId="6" hidden="1">'[6]Раздел 1'!#REF!</definedName>
    <definedName name="д11111д" localSheetId="7" hidden="1">'[6]Раздел 1'!#REF!</definedName>
    <definedName name="д11111д" localSheetId="1" hidden="1">'[6]Раздел 1'!#REF!</definedName>
    <definedName name="д11111д" localSheetId="2" hidden="1">'[6]Раздел 1'!#REF!</definedName>
    <definedName name="д11111д" localSheetId="0" hidden="1">'[6]Раздел 1'!#REF!</definedName>
    <definedName name="д11111д" localSheetId="4" hidden="1">'[6]Раздел 1'!#REF!</definedName>
    <definedName name="д11111д" localSheetId="3" hidden="1">'[6]Раздел 1'!#REF!</definedName>
    <definedName name="д11111д" localSheetId="5" hidden="1">'[6]Раздел 1'!#REF!</definedName>
    <definedName name="д11111д" hidden="1">'[6]Раздел 1'!#REF!</definedName>
    <definedName name="дгонеап" hidden="1">{"'РП (2)'!$A$5:$S$150"}</definedName>
    <definedName name="дело" hidden="1">{"'РП (2)'!$A$5:$S$150"}</definedName>
    <definedName name="длогне" hidden="1">{"'РП (2)'!$A$5:$S$150"}</definedName>
    <definedName name="длогнпе" hidden="1">{"'РП (2)'!$A$5:$S$150"}</definedName>
    <definedName name="длор" hidden="1">{"'РП (2)'!$A$5:$S$150"}</definedName>
    <definedName name="длорп" hidden="1">{"'РП (2)'!$A$5:$S$150"}</definedName>
    <definedName name="длорпавые" hidden="1">{"'РП (2)'!$A$5:$S$150"}</definedName>
    <definedName name="длорпн" hidden="1">{"'РП (2)'!$A$5:$S$150"}</definedName>
    <definedName name="еапв" hidden="1">{#N/A,#N/A,FALSE,"Aging Summary";#N/A,#N/A,FALSE,"Ratio Analysis";#N/A,#N/A,FALSE,"Test 120 Day Accts";#N/A,#N/A,FALSE,"Tickmarks"}</definedName>
    <definedName name="ииии" hidden="1">{"'РП (2)'!$A$5:$S$150"}</definedName>
    <definedName name="имився" hidden="1">{"'РП (2)'!$A$5:$S$150"}</definedName>
    <definedName name="исп" hidden="1">{"'РП (2)'!$A$5:$S$150"}</definedName>
    <definedName name="исп06" hidden="1">{"'РП (2)'!$A$5:$S$150"}</definedName>
    <definedName name="исп062" hidden="1">{"'РП (2)'!$A$5:$S$150"}</definedName>
    <definedName name="июлбиюнь" hidden="1">{"'РП (2)'!$A$5:$S$150"}</definedName>
    <definedName name="июль" hidden="1">{"'РП (2)'!$A$5:$S$150"}</definedName>
    <definedName name="й" hidden="1">{"'РП (2)'!$A$5:$S$150"}</definedName>
    <definedName name="й1" hidden="1">{#N/A,#N/A,FALSE,"Aging Summary";#N/A,#N/A,FALSE,"Ratio Analysis";#N/A,#N/A,FALSE,"Test 120 Day Accts";#N/A,#N/A,FALSE,"Tickmarks"}</definedName>
    <definedName name="й23ц" hidden="1">{"'РП (2)'!$A$5:$S$150"}</definedName>
    <definedName name="й3" hidden="1">{"'РП (2)'!$A$5:$S$150"}</definedName>
    <definedName name="ййй" hidden="1">{#N/A,#N/A,FALSE,"Aging Summary";#N/A,#N/A,FALSE,"Ratio Analysis";#N/A,#N/A,FALSE,"Test 120 Day Accts";#N/A,#N/A,FALSE,"Tickmarks"}</definedName>
    <definedName name="йц" hidden="1">{"'РП (2)'!$A$5:$S$150"}</definedName>
    <definedName name="йцйу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йцу" hidden="1">{#N/A,#N/A,FALSE,"Aging Summary";#N/A,#N/A,FALSE,"Ratio Analysis";#N/A,#N/A,FALSE,"Test 120 Day Accts";#N/A,#N/A,FALSE,"Tickmarks"}</definedName>
    <definedName name="йцуйцу" hidden="1">{#N/A,#N/A,FALSE,"Aging Summary";#N/A,#N/A,FALSE,"Ratio Analysis";#N/A,#N/A,FALSE,"Test 120 Day Accts";#N/A,#N/A,FALSE,"Tickmarks"}</definedName>
    <definedName name="йцуйцуйцуйуйууцуыфвфыв" hidden="1">{#N/A,#N/A,FALSE,"Aging Summary";#N/A,#N/A,FALSE,"Ratio Analysis";#N/A,#N/A,FALSE,"Test 120 Day Accts";#N/A,#N/A,FALSE,"Tickmarks"}</definedName>
    <definedName name="йцуйцуйцуйцуйуцйцу" hidden="1">{#N/A,#N/A,FALSE,"Aging Summary";#N/A,#N/A,FALSE,"Ratio Analysis";#N/A,#N/A,FALSE,"Test 120 Day Accts";#N/A,#N/A,FALSE,"Tickmarks"}</definedName>
    <definedName name="йцуйцуцуй" hidden="1">{#N/A,#N/A,FALSE,"Aging Summary";#N/A,#N/A,FALSE,"Ratio Analysis";#N/A,#N/A,FALSE,"Test 120 Day Accts";#N/A,#N/A,FALSE,"Tickmarks"}</definedName>
    <definedName name="йцуцуцу" hidden="1">{"'РП (2)'!$A$5:$S$150"}</definedName>
    <definedName name="кееннгш" hidden="1">{"'РП (2)'!$A$5:$S$150"}</definedName>
    <definedName name="ккккк" hidden="1">{#N/A,#N/A,FALSE,"Aging Summary";#N/A,#N/A,FALSE,"Ratio Analysis";#N/A,#N/A,FALSE,"Test 120 Day Accts";#N/A,#N/A,FALSE,"Tickmarks"}</definedName>
    <definedName name="куку" hidden="1">{"'РП (2)'!$A$5:$S$150"}</definedName>
    <definedName name="лаопнре" hidden="1">{"'РП (2)'!$A$5:$S$150"}</definedName>
    <definedName name="лопнав" hidden="1">{"'РП (2)'!$A$5:$S$150"}</definedName>
    <definedName name="лорп" hidden="1">{"'РП (2)'!$A$5:$S$150"}</definedName>
    <definedName name="лорпа" hidden="1">{"'РП (2)'!$A$5:$S$150"}</definedName>
    <definedName name="лпопге" hidden="1">{"'РП (2)'!$A$5:$S$150"}</definedName>
    <definedName name="лропг" hidden="1">{"'РП (2)'!$A$5:$S$150"}</definedName>
    <definedName name="люрпывпу" hidden="1">{"'РП (2)'!$A$5:$S$150"}</definedName>
    <definedName name="маотс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артм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моцарт" hidden="1">{"'РП (2)'!$A$5:$S$150"}</definedName>
    <definedName name="наташа" hidden="1">{"'РП (2)'!$A$5:$S$150"}</definedName>
    <definedName name="наш10" hidden="1">{"'РП (2)'!$A$5:$S$150"}</definedName>
    <definedName name="наш5" hidden="1">{"'РП (2)'!$A$5:$S$150"}</definedName>
    <definedName name="нек" hidden="1">{"'РП (2)'!$A$5:$S$150"}</definedName>
    <definedName name="некуцй" hidden="1">{"'РП (2)'!$A$5:$S$150"}</definedName>
    <definedName name="оарнкеим" hidden="1">{"'РП (2)'!$A$5:$S$150"}</definedName>
    <definedName name="олпрв" hidden="1">{"'РП (2)'!$A$5:$S$150"}</definedName>
    <definedName name="онраео" hidden="1">{"'РП (2)'!$A$5:$S$150"}</definedName>
    <definedName name="опрана" hidden="1">{"'РП (2)'!$A$5:$S$150"}</definedName>
    <definedName name="орев" hidden="1">{"'РП (2)'!$A$5:$S$150"}</definedName>
    <definedName name="орпнеамп" hidden="1">{"'РП (2)'!$A$5:$S$150"}</definedName>
    <definedName name="от" localSheetId="6" hidden="1">'[12]Раздел 2'!#REF!</definedName>
    <definedName name="от" localSheetId="7" hidden="1">'[12]Раздел 2'!#REF!</definedName>
    <definedName name="от" localSheetId="1" hidden="1">'[12]Раздел 2'!#REF!</definedName>
    <definedName name="от" localSheetId="2" hidden="1">'[12]Раздел 2'!#REF!</definedName>
    <definedName name="от" localSheetId="0" hidden="1">'[12]Раздел 2'!#REF!</definedName>
    <definedName name="от" localSheetId="4" hidden="1">'[12]Раздел 2'!#REF!</definedName>
    <definedName name="от" localSheetId="3" hidden="1">'[12]Раздел 2'!#REF!</definedName>
    <definedName name="от" localSheetId="5" hidden="1">'[12]Раздел 2'!#REF!</definedName>
    <definedName name="от" hidden="1">'[12]Раздел 2'!#REF!</definedName>
    <definedName name="отпртв" hidden="1">{"'РП (2)'!$A$5:$S$150"}</definedName>
    <definedName name="папав" hidden="1">{"'РП (2)'!$A$5:$S$150"}</definedName>
    <definedName name="пдзх" localSheetId="6" hidden="1">#REF!</definedName>
    <definedName name="пдзх" localSheetId="7" hidden="1">#REF!</definedName>
    <definedName name="пдзх" localSheetId="1" hidden="1">#REF!</definedName>
    <definedName name="пдзх" localSheetId="2" hidden="1">#REF!</definedName>
    <definedName name="пдзх" localSheetId="0" hidden="1">#REF!</definedName>
    <definedName name="пдзх" localSheetId="4" hidden="1">#REF!</definedName>
    <definedName name="пдзх" localSheetId="3" hidden="1">#REF!</definedName>
    <definedName name="пдзх" localSheetId="5" hidden="1">#REF!</definedName>
    <definedName name="пдзх" hidden="1">#REF!</definedName>
    <definedName name="пепвапа" hidden="1">{"'РП (2)'!$A$5:$S$150"}</definedName>
    <definedName name="план" hidden="1">{"'РП (2)'!$A$5:$S$150"}</definedName>
    <definedName name="план06" hidden="1">{"'РП (2)'!$A$5:$S$150"}</definedName>
    <definedName name="по" hidden="1">{#N/A,#N/A,FALSE,"Aging Summary";#N/A,#N/A,FALSE,"Ratio Analysis";#N/A,#N/A,FALSE,"Test 120 Day Accts";#N/A,#N/A,FALSE,"Tickmarks"}</definedName>
    <definedName name="ПРЛВПО" hidden="1">{#N/A,#N/A,FALSE,"Aging Summary";#N/A,#N/A,FALSE,"Ratio Analysis";#N/A,#N/A,FALSE,"Test 120 Day Accts";#N/A,#N/A,FALSE,"Tickmarks"}</definedName>
    <definedName name="прогноз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проро" hidden="1">{#N/A,#N/A,FALSE,"Aging Summary";#N/A,#N/A,FALSE,"Ratio Analysis";#N/A,#N/A,FALSE,"Test 120 Day Accts";#N/A,#N/A,FALSE,"Tickmarks"}</definedName>
    <definedName name="раб" hidden="1">{"'РП (2)'!$A$5:$S$150"}</definedName>
    <definedName name="рава" hidden="1">{"'РП (2)'!$A$5:$S$150"}</definedName>
    <definedName name="рамрт" hidden="1">{"'РП (2)'!$A$5:$S$150"}</definedName>
    <definedName name="ремонты" localSheetId="6" hidden="1">#REF!</definedName>
    <definedName name="ремонты" localSheetId="7" hidden="1">#REF!</definedName>
    <definedName name="ремонты" localSheetId="1" hidden="1">#REF!</definedName>
    <definedName name="ремонты" localSheetId="2" hidden="1">#REF!</definedName>
    <definedName name="ремонты" localSheetId="0" hidden="1">#REF!</definedName>
    <definedName name="ремонты" localSheetId="4" hidden="1">#REF!</definedName>
    <definedName name="ремонты" localSheetId="3" hidden="1">#REF!</definedName>
    <definedName name="ремонты" localSheetId="5" hidden="1">#REF!</definedName>
    <definedName name="ремонты" hidden="1">#REF!</definedName>
    <definedName name="рпа" hidden="1">{"'РП (2)'!$A$5:$S$150"}</definedName>
    <definedName name="рппа" hidden="1">{#N/A,#N/A,FALSE,"Aging Summary";#N/A,#N/A,FALSE,"Ratio Analysis";#N/A,#N/A,FALSE,"Test 120 Day Accts";#N/A,#N/A,FALSE,"Tickmarks"}</definedName>
    <definedName name="рппав" hidden="1">{"'РП (2)'!$A$5:$S$150"}</definedName>
    <definedName name="рпроп" hidden="1">{"'РП (2)'!$A$5:$S$150"}</definedName>
    <definedName name="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рррр" hidden="1">{#N/A,#N/A,FALSE,"КД-1-м";#N/A,#N/A,FALSE,"КД-2-м";#N/A,#N/A,FALSE,"ПП-1-сд-м";#N/A,#N/A,FALSE,"МС-2-сд-м";#N/A,#N/A,FALSE,"ПП-2-сд-м ";#N/A,#N/A,FALSE,"ГП-1-сд-м";#N/A,#N/A,FALSE,"ДМ-1-сд-м ";#N/A,#N/A,FALSE,"С_с-подр-сд-м";#N/A,#N/A,FALSE,"С_с-пр-сд-м ";#N/A,#N/A,FALSE,"Ад-1-сд-м ";#N/A,#N/A,FALSE,"КР-1-сд-м";#N/A,#N/A,FALSE,"ТР-1-сд-м ";#N/A,#N/A,FALSE," Проч-1-сд-м ";#N/A,#N/A,FALSE,"Труд-1-сд-м ";#N/A,#N/A,FALSE,"ИС-1-сд-м ";#N/A,#N/A,FALSE,"РК-1-сд-м";#N/A,#N/A,FALSE,"Н-1-сд-м ";#N/A,#N/A,FALSE,"ДДС-1-сд-м ";#N/A,#N/A,FALSE,"Крд-1-сд-м ";#N/A,#N/A,FALSE,"Дб-1-сд-м";#N/A,#N/A,FALSE,"СИ-1-сд-м";#N/A,#N/A,FALSE,"Ин-1-сд-м ";#N/A,#N/A,FALSE," Ам-1-сд-м ";#N/A,#N/A,FALSE,"ВхР-1-сд-м ";#N/A,#N/A,FALSE,"КЗ-1_сд_м";#N/A,#N/A,FALSE,"ГрП-1-сд-м";#N/A,#N/A,FALSE,"сд-м";#N/A,#N/A,FALSE,"КЗ-2-д_сд-м"}</definedName>
    <definedName name="ртмрьтм" hidden="1">{"'РП (2)'!$A$5:$S$150"}</definedName>
    <definedName name="Страх" hidden="1">{"'РП (2)'!$A$5:$S$150"}</definedName>
    <definedName name="сяасчсмчсм" hidden="1">{"'РП (2)'!$A$5:$S$150"}</definedName>
    <definedName name="сячсяфсяф" hidden="1">{"'РП (2)'!$A$5:$S$150"}</definedName>
    <definedName name="у" hidden="1">{#N/A,#N/A,FALSE,"Aging Summary";#N/A,#N/A,FALSE,"Ratio Analysis";#N/A,#N/A,FALSE,"Test 120 Day Accts";#N/A,#N/A,FALSE,"Tickmarks"}</definedName>
    <definedName name="уравне" hidden="1">{"'РП (2)'!$A$5:$S$150"}</definedName>
    <definedName name="ууу" hidden="1">{#N/A,#N/A,FALSE,"Aging Summary";#N/A,#N/A,FALSE,"Ratio Analysis";#N/A,#N/A,FALSE,"Test 120 Day Accts";#N/A,#N/A,FALSE,"Tickmarks"}</definedName>
    <definedName name="ф" hidden="1">{#N/A,#N/A,FALSE,"Aging Summary";#N/A,#N/A,FALSE,"Ratio Analysis";#N/A,#N/A,FALSE,"Test 120 Day Accts";#N/A,#N/A,FALSE,"Tickmarks"}</definedName>
    <definedName name="фвфыв" hidden="1">{"'РП (2)'!$A$5:$S$150"}</definedName>
    <definedName name="фц" hidden="1">{"'РП (2)'!$A$5:$S$150"}</definedName>
    <definedName name="фывфы" hidden="1">{"'РП (2)'!$A$5:$S$150"}</definedName>
    <definedName name="фывфыв" hidden="1">{"'РП (2)'!$A$5:$S$150"}</definedName>
    <definedName name="хдлортир" hidden="1">{"'РП (2)'!$A$5:$S$150"}</definedName>
    <definedName name="ц" hidden="1">{#N/A,#N/A,FALSE,"Aging Summary";#N/A,#N/A,FALSE,"Ratio Analysis";#N/A,#N/A,FALSE,"Test 120 Day Accts";#N/A,#N/A,FALSE,"Tickmarks"}</definedName>
    <definedName name="ца" hidden="1">{#N/A,#N/A,FALSE,"Aging Summary";#N/A,#N/A,FALSE,"Ratio Analysis";#N/A,#N/A,FALSE,"Test 120 Day Accts";#N/A,#N/A,FALSE,"Tickmarks"}</definedName>
    <definedName name="цу" hidden="1">{#N/A,#N/A,FALSE,"Aging Summary";#N/A,#N/A,FALSE,"Ratio Analysis";#N/A,#N/A,FALSE,"Test 120 Day Accts";#N/A,#N/A,FALSE,"Tickmarks"}</definedName>
    <definedName name="цуау" hidden="1">{#N/A,#N/A,FALSE,"Aging Summary";#N/A,#N/A,FALSE,"Ratio Analysis";#N/A,#N/A,FALSE,"Test 120 Day Accts";#N/A,#N/A,FALSE,"Tickmarks"}</definedName>
    <definedName name="цуйцуйцу" hidden="1">{#N/A,#N/A,FALSE,"Aging Summary";#N/A,#N/A,FALSE,"Ratio Analysis";#N/A,#N/A,FALSE,"Test 120 Day Accts";#N/A,#N/A,FALSE,"Tickmarks"}</definedName>
    <definedName name="цуйцуйцуйцуйцу" hidden="1">{#N/A,#N/A,FALSE,"Aging Summary";#N/A,#N/A,FALSE,"Ratio Analysis";#N/A,#N/A,FALSE,"Test 120 Day Accts";#N/A,#N/A,FALSE,"Tickmarks"}</definedName>
    <definedName name="цукенгшлщдщз" hidden="1">{"'РП (2)'!$A$5:$S$150"}</definedName>
    <definedName name="ьиотпг" hidden="1">{"'РП (2)'!$A$5:$S$150"}</definedName>
    <definedName name="ьлрв" hidden="1">{"'РП (2)'!$A$5:$S$150"}</definedName>
    <definedName name="ьпрапиыв" hidden="1">{"'РП (2)'!$A$5:$S$150"}</definedName>
    <definedName name="эдлэ" hidden="1">{#N/A,#N/A,FALSE,"Aging Summary";#N/A,#N/A,FALSE,"Ratio Analysis";#N/A,#N/A,FALSE,"Test 120 Day Accts";#N/A,#N/A,FALSE,"Tickmarks"}</definedName>
    <definedName name="юбьти" hidden="1">{"'РП (2)'!$A$5:$S$150"}</definedName>
    <definedName name="юбьтимс" hidden="1">{"'РП (2)'!$A$5:$S$150"}</definedName>
    <definedName name="юбьтор" hidden="1">{"'РП (2)'!$A$5:$S$150"}</definedName>
    <definedName name="я" hidden="1">{#N/A,#N/A,FALSE,"Aging Summary";#N/A,#N/A,FALSE,"Ratio Analysis";#N/A,#N/A,FALSE,"Test 120 Day Accts";#N/A,#N/A,FALSE,"Tickmarks"}</definedName>
    <definedName name="яфыв" hidden="1">{"'РП (2)'!$A$5:$S$150"}</definedName>
    <definedName name="яфывсф" hidden="1">{"'РП (2)'!$A$5:$S$150"}</definedName>
    <definedName name="ячсячс" hidden="1">{"'РП (2)'!$A$5:$S$150"}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72" i="5" l="1"/>
  <c r="BE71" i="5"/>
  <c r="BE70" i="5"/>
  <c r="BE68" i="5"/>
  <c r="AQ72" i="5"/>
  <c r="AQ71" i="5"/>
  <c r="AQ70" i="5"/>
  <c r="AQ68" i="5"/>
  <c r="BL183" i="5"/>
  <c r="BK183" i="5"/>
  <c r="BJ183" i="5"/>
  <c r="BI183" i="5"/>
  <c r="BR182" i="5"/>
  <c r="BQ182" i="5"/>
  <c r="BP182" i="5"/>
  <c r="BO182" i="5"/>
  <c r="BH182" i="5"/>
  <c r="BR180" i="5"/>
  <c r="BQ180" i="5"/>
  <c r="BP180" i="5"/>
  <c r="BO180" i="5"/>
  <c r="BN180" i="5"/>
  <c r="BM180" i="5"/>
  <c r="BL180" i="5"/>
  <c r="BK180" i="5"/>
  <c r="BJ180" i="5"/>
  <c r="BI180" i="5"/>
  <c r="BH180" i="5"/>
  <c r="BG180" i="5"/>
  <c r="BR179" i="5"/>
  <c r="BQ179" i="5"/>
  <c r="BP179" i="5"/>
  <c r="BO179" i="5"/>
  <c r="BN179" i="5"/>
  <c r="BM179" i="5"/>
  <c r="BL179" i="5"/>
  <c r="BK179" i="5"/>
  <c r="BJ179" i="5"/>
  <c r="BI179" i="5"/>
  <c r="BH179" i="5"/>
  <c r="BG179" i="5"/>
  <c r="BR177" i="5"/>
  <c r="BQ177" i="5"/>
  <c r="BP177" i="5"/>
  <c r="BO177" i="5"/>
  <c r="BN177" i="5"/>
  <c r="BM177" i="5"/>
  <c r="BL177" i="5"/>
  <c r="BK177" i="5"/>
  <c r="BJ177" i="5"/>
  <c r="BI177" i="5"/>
  <c r="BH177" i="5"/>
  <c r="BG177" i="5"/>
  <c r="BR176" i="5"/>
  <c r="BQ176" i="5"/>
  <c r="BP176" i="5"/>
  <c r="BO176" i="5"/>
  <c r="BN176" i="5"/>
  <c r="BM176" i="5"/>
  <c r="BL176" i="5"/>
  <c r="BK176" i="5"/>
  <c r="BJ176" i="5"/>
  <c r="BJ178" i="5" s="1"/>
  <c r="BI176" i="5"/>
  <c r="BI178" i="5" s="1"/>
  <c r="BH176" i="5"/>
  <c r="BR173" i="5"/>
  <c r="BQ173" i="5"/>
  <c r="BP173" i="5"/>
  <c r="BO173" i="5"/>
  <c r="BN173" i="5"/>
  <c r="BM173" i="5"/>
  <c r="BL173" i="5"/>
  <c r="BK173" i="5"/>
  <c r="BJ173" i="5"/>
  <c r="BI173" i="5"/>
  <c r="BH173" i="5"/>
  <c r="BG173" i="5"/>
  <c r="BR172" i="5"/>
  <c r="BQ172" i="5"/>
  <c r="BP172" i="5"/>
  <c r="BO172" i="5"/>
  <c r="BO174" i="5" s="1"/>
  <c r="BO175" i="5" s="1"/>
  <c r="BN172" i="5"/>
  <c r="BM172" i="5"/>
  <c r="BL172" i="5"/>
  <c r="BK172" i="5"/>
  <c r="BJ172" i="5"/>
  <c r="BI172" i="5"/>
  <c r="BH172" i="5"/>
  <c r="BG172" i="5"/>
  <c r="BR168" i="5"/>
  <c r="BQ168" i="5"/>
  <c r="BG168" i="5"/>
  <c r="BP167" i="5"/>
  <c r="BO167" i="5"/>
  <c r="BN167" i="5"/>
  <c r="BM167" i="5"/>
  <c r="BL167" i="5"/>
  <c r="BK167" i="5"/>
  <c r="BJ167" i="5"/>
  <c r="BH167" i="5"/>
  <c r="BG167" i="5"/>
  <c r="BR165" i="5"/>
  <c r="BQ165" i="5"/>
  <c r="BP165" i="5"/>
  <c r="BO165" i="5"/>
  <c r="BN165" i="5"/>
  <c r="BM165" i="5"/>
  <c r="BL165" i="5"/>
  <c r="BK165" i="5"/>
  <c r="BJ165" i="5"/>
  <c r="BI165" i="5"/>
  <c r="BH165" i="5"/>
  <c r="BG165" i="5"/>
  <c r="BR164" i="5"/>
  <c r="BQ164" i="5"/>
  <c r="BP164" i="5"/>
  <c r="BO164" i="5"/>
  <c r="BN164" i="5"/>
  <c r="BM164" i="5"/>
  <c r="BL164" i="5"/>
  <c r="BK164" i="5"/>
  <c r="BJ164" i="5"/>
  <c r="BJ166" i="5" s="1"/>
  <c r="BI164" i="5"/>
  <c r="BI166" i="5" s="1"/>
  <c r="BH164" i="5"/>
  <c r="BH166" i="5" s="1"/>
  <c r="BG164" i="5"/>
  <c r="BR162" i="5"/>
  <c r="BQ162" i="5"/>
  <c r="BP162" i="5"/>
  <c r="BO162" i="5"/>
  <c r="BN162" i="5"/>
  <c r="BM162" i="5"/>
  <c r="BL162" i="5"/>
  <c r="BK162" i="5"/>
  <c r="BJ162" i="5"/>
  <c r="BI162" i="5"/>
  <c r="BH162" i="5"/>
  <c r="BR161" i="5"/>
  <c r="BQ161" i="5"/>
  <c r="BP161" i="5"/>
  <c r="BO161" i="5"/>
  <c r="BN161" i="5"/>
  <c r="BN163" i="5" s="1"/>
  <c r="BM161" i="5"/>
  <c r="BM163" i="5" s="1"/>
  <c r="BL161" i="5"/>
  <c r="BK161" i="5"/>
  <c r="BJ161" i="5"/>
  <c r="BI161" i="5"/>
  <c r="BI163" i="5" s="1"/>
  <c r="BH161" i="5"/>
  <c r="BH163" i="5" s="1"/>
  <c r="BR158" i="5"/>
  <c r="BQ158" i="5"/>
  <c r="BP158" i="5"/>
  <c r="BO158" i="5"/>
  <c r="BN158" i="5"/>
  <c r="BM158" i="5"/>
  <c r="BL158" i="5"/>
  <c r="BK158" i="5"/>
  <c r="BJ158" i="5"/>
  <c r="BI158" i="5"/>
  <c r="BH158" i="5"/>
  <c r="BG158" i="5"/>
  <c r="BR157" i="5"/>
  <c r="BQ157" i="5"/>
  <c r="BP157" i="5"/>
  <c r="BO157" i="5"/>
  <c r="BN157" i="5"/>
  <c r="BM157" i="5"/>
  <c r="BL157" i="5"/>
  <c r="BK157" i="5"/>
  <c r="BJ157" i="5"/>
  <c r="BI157" i="5"/>
  <c r="BH157" i="5"/>
  <c r="BG157" i="5"/>
  <c r="BR155" i="5"/>
  <c r="BQ155" i="5"/>
  <c r="BP155" i="5"/>
  <c r="BO155" i="5"/>
  <c r="BN155" i="5"/>
  <c r="BM155" i="5"/>
  <c r="BL155" i="5"/>
  <c r="BK155" i="5"/>
  <c r="BK156" i="5" s="1"/>
  <c r="BJ155" i="5"/>
  <c r="BJ156" i="5" s="1"/>
  <c r="BI155" i="5"/>
  <c r="BH155" i="5"/>
  <c r="BG155" i="5"/>
  <c r="BR154" i="5"/>
  <c r="BQ154" i="5"/>
  <c r="BP154" i="5"/>
  <c r="BO154" i="5"/>
  <c r="BN154" i="5"/>
  <c r="BM154" i="5"/>
  <c r="BL154" i="5"/>
  <c r="BK154" i="5"/>
  <c r="BJ154" i="5"/>
  <c r="BI154" i="5"/>
  <c r="BH154" i="5"/>
  <c r="BG154" i="5"/>
  <c r="BR152" i="5"/>
  <c r="BQ152" i="5"/>
  <c r="BP152" i="5"/>
  <c r="BO152" i="5"/>
  <c r="BN152" i="5"/>
  <c r="BM152" i="5"/>
  <c r="BM153" i="5" s="1"/>
  <c r="BL152" i="5"/>
  <c r="BK152" i="5"/>
  <c r="BJ152" i="5"/>
  <c r="BI152" i="5"/>
  <c r="BH152" i="5"/>
  <c r="BG152" i="5"/>
  <c r="BR151" i="5"/>
  <c r="BQ151" i="5"/>
  <c r="BP151" i="5"/>
  <c r="BO151" i="5"/>
  <c r="BN151" i="5"/>
  <c r="BM151" i="5"/>
  <c r="BL151" i="5"/>
  <c r="BK151" i="5"/>
  <c r="BJ151" i="5"/>
  <c r="BI151" i="5"/>
  <c r="BH151" i="5"/>
  <c r="BG151" i="5"/>
  <c r="BR149" i="5"/>
  <c r="BQ149" i="5"/>
  <c r="BP149" i="5"/>
  <c r="BO149" i="5"/>
  <c r="BN149" i="5"/>
  <c r="BM149" i="5"/>
  <c r="BL149" i="5"/>
  <c r="BK149" i="5"/>
  <c r="BJ149" i="5"/>
  <c r="BI149" i="5"/>
  <c r="BH149" i="5"/>
  <c r="BG149" i="5"/>
  <c r="BR148" i="5"/>
  <c r="BQ148" i="5"/>
  <c r="BP148" i="5"/>
  <c r="BO148" i="5"/>
  <c r="BN148" i="5"/>
  <c r="BM148" i="5"/>
  <c r="BL148" i="5"/>
  <c r="BK148" i="5"/>
  <c r="BJ148" i="5"/>
  <c r="BI148" i="5"/>
  <c r="BH148" i="5"/>
  <c r="BG148" i="5"/>
  <c r="BR146" i="5"/>
  <c r="BQ146" i="5"/>
  <c r="BP146" i="5"/>
  <c r="BO146" i="5"/>
  <c r="BN146" i="5"/>
  <c r="BM146" i="5"/>
  <c r="BL146" i="5"/>
  <c r="BK146" i="5"/>
  <c r="BJ146" i="5"/>
  <c r="BI146" i="5"/>
  <c r="BH146" i="5"/>
  <c r="BG146" i="5"/>
  <c r="BR145" i="5"/>
  <c r="BQ145" i="5"/>
  <c r="BP145" i="5"/>
  <c r="BO145" i="5"/>
  <c r="BN145" i="5"/>
  <c r="BM145" i="5"/>
  <c r="BM147" i="5" s="1"/>
  <c r="BL145" i="5"/>
  <c r="BL147" i="5" s="1"/>
  <c r="BK145" i="5"/>
  <c r="BK147" i="5" s="1"/>
  <c r="BJ145" i="5"/>
  <c r="BI145" i="5"/>
  <c r="BH145" i="5"/>
  <c r="BG145" i="5"/>
  <c r="BR142" i="5"/>
  <c r="BQ142" i="5"/>
  <c r="BP142" i="5"/>
  <c r="BO142" i="5"/>
  <c r="BN142" i="5"/>
  <c r="BM142" i="5"/>
  <c r="BL142" i="5"/>
  <c r="BK142" i="5"/>
  <c r="BJ142" i="5"/>
  <c r="BI142" i="5"/>
  <c r="BH142" i="5"/>
  <c r="BG142" i="5"/>
  <c r="BR141" i="5"/>
  <c r="BQ141" i="5"/>
  <c r="BP141" i="5"/>
  <c r="BO141" i="5"/>
  <c r="BN141" i="5"/>
  <c r="BM141" i="5"/>
  <c r="BL141" i="5"/>
  <c r="BK141" i="5"/>
  <c r="BJ141" i="5"/>
  <c r="BI141" i="5"/>
  <c r="BH141" i="5"/>
  <c r="BG141" i="5"/>
  <c r="BR139" i="5"/>
  <c r="BQ139" i="5"/>
  <c r="BP139" i="5"/>
  <c r="BO139" i="5"/>
  <c r="BN139" i="5"/>
  <c r="BM139" i="5"/>
  <c r="BL139" i="5"/>
  <c r="BK139" i="5"/>
  <c r="BJ139" i="5"/>
  <c r="BI139" i="5"/>
  <c r="BH139" i="5"/>
  <c r="BG139" i="5"/>
  <c r="BR138" i="5"/>
  <c r="BQ138" i="5"/>
  <c r="BQ140" i="5" s="1"/>
  <c r="BP138" i="5"/>
  <c r="BO138" i="5"/>
  <c r="BN138" i="5"/>
  <c r="BM138" i="5"/>
  <c r="BL138" i="5"/>
  <c r="BK138" i="5"/>
  <c r="BJ138" i="5"/>
  <c r="BI138" i="5"/>
  <c r="BH138" i="5"/>
  <c r="BG138" i="5"/>
  <c r="BR136" i="5"/>
  <c r="BQ136" i="5"/>
  <c r="BP136" i="5"/>
  <c r="BO136" i="5"/>
  <c r="BN136" i="5"/>
  <c r="BM136" i="5"/>
  <c r="BL136" i="5"/>
  <c r="BK136" i="5"/>
  <c r="BJ136" i="5"/>
  <c r="BI136" i="5"/>
  <c r="BH136" i="5"/>
  <c r="BG136" i="5"/>
  <c r="BR135" i="5"/>
  <c r="BQ135" i="5"/>
  <c r="BP135" i="5"/>
  <c r="BO135" i="5"/>
  <c r="BN135" i="5"/>
  <c r="BM135" i="5"/>
  <c r="BL135" i="5"/>
  <c r="BK135" i="5"/>
  <c r="BJ135" i="5"/>
  <c r="BI135" i="5"/>
  <c r="BH135" i="5"/>
  <c r="BG135" i="5"/>
  <c r="BR133" i="5"/>
  <c r="BQ133" i="5"/>
  <c r="BQ134" i="5" s="1"/>
  <c r="BP133" i="5"/>
  <c r="BO133" i="5"/>
  <c r="BN133" i="5"/>
  <c r="BM133" i="5"/>
  <c r="BL133" i="5"/>
  <c r="BK133" i="5"/>
  <c r="BJ133" i="5"/>
  <c r="BI133" i="5"/>
  <c r="BH133" i="5"/>
  <c r="BG133" i="5"/>
  <c r="BR132" i="5"/>
  <c r="BQ132" i="5"/>
  <c r="BP132" i="5"/>
  <c r="BO132" i="5"/>
  <c r="BN132" i="5"/>
  <c r="BM132" i="5"/>
  <c r="BL132" i="5"/>
  <c r="BK132" i="5"/>
  <c r="BJ132" i="5"/>
  <c r="BI132" i="5"/>
  <c r="BH132" i="5"/>
  <c r="BG132" i="5"/>
  <c r="BH127" i="5"/>
  <c r="BR126" i="5"/>
  <c r="BQ126" i="5"/>
  <c r="BP126" i="5"/>
  <c r="BO126" i="5"/>
  <c r="BO183" i="5" s="1"/>
  <c r="BN126" i="5"/>
  <c r="BN183" i="5" s="1"/>
  <c r="BM126" i="5"/>
  <c r="BL126" i="5"/>
  <c r="BK126" i="5"/>
  <c r="BJ126" i="5"/>
  <c r="BI126" i="5"/>
  <c r="BH126" i="5"/>
  <c r="BE126" i="5"/>
  <c r="BR125" i="5"/>
  <c r="BR127" i="5" s="1"/>
  <c r="BQ125" i="5"/>
  <c r="BQ127" i="5" s="1"/>
  <c r="BP125" i="5"/>
  <c r="BP127" i="5" s="1"/>
  <c r="BO125" i="5"/>
  <c r="BO127" i="5" s="1"/>
  <c r="BN125" i="5"/>
  <c r="BN127" i="5" s="1"/>
  <c r="BM125" i="5"/>
  <c r="BM127" i="5" s="1"/>
  <c r="BL125" i="5"/>
  <c r="BK125" i="5"/>
  <c r="BK127" i="5" s="1"/>
  <c r="BJ125" i="5"/>
  <c r="BJ127" i="5" s="1"/>
  <c r="BI125" i="5"/>
  <c r="BI127" i="5" s="1"/>
  <c r="BH125" i="5"/>
  <c r="BE125" i="5"/>
  <c r="BR124" i="5"/>
  <c r="BQ124" i="5"/>
  <c r="BP124" i="5"/>
  <c r="BO124" i="5"/>
  <c r="BN124" i="5"/>
  <c r="BM124" i="5"/>
  <c r="BL124" i="5"/>
  <c r="BK124" i="5"/>
  <c r="BJ124" i="5"/>
  <c r="BI124" i="5"/>
  <c r="BH124" i="5"/>
  <c r="BG124" i="5"/>
  <c r="BE123" i="5"/>
  <c r="BE122" i="5"/>
  <c r="BR121" i="5"/>
  <c r="BQ121" i="5"/>
  <c r="BP121" i="5"/>
  <c r="BO121" i="5"/>
  <c r="BN121" i="5"/>
  <c r="BM121" i="5"/>
  <c r="BL121" i="5"/>
  <c r="BK121" i="5"/>
  <c r="BJ121" i="5"/>
  <c r="BI121" i="5"/>
  <c r="BH121" i="5"/>
  <c r="BG121" i="5"/>
  <c r="BE120" i="5"/>
  <c r="BE119" i="5"/>
  <c r="BR117" i="5"/>
  <c r="BR118" i="5" s="1"/>
  <c r="BQ117" i="5"/>
  <c r="BQ118" i="5" s="1"/>
  <c r="BP117" i="5"/>
  <c r="BP118" i="5" s="1"/>
  <c r="BO117" i="5"/>
  <c r="BO118" i="5" s="1"/>
  <c r="BN117" i="5"/>
  <c r="BN118" i="5" s="1"/>
  <c r="BM117" i="5"/>
  <c r="BM118" i="5" s="1"/>
  <c r="BL117" i="5"/>
  <c r="BL118" i="5" s="1"/>
  <c r="BK117" i="5"/>
  <c r="BK118" i="5" s="1"/>
  <c r="BJ117" i="5"/>
  <c r="BJ118" i="5" s="1"/>
  <c r="BI117" i="5"/>
  <c r="BI118" i="5" s="1"/>
  <c r="BH117" i="5"/>
  <c r="BH118" i="5" s="1"/>
  <c r="BG117" i="5"/>
  <c r="BG118" i="5" s="1"/>
  <c r="BE116" i="5"/>
  <c r="BE115" i="5"/>
  <c r="BR112" i="5"/>
  <c r="BQ112" i="5"/>
  <c r="BP112" i="5"/>
  <c r="BO112" i="5"/>
  <c r="BN112" i="5"/>
  <c r="BM112" i="5"/>
  <c r="BL112" i="5"/>
  <c r="BK112" i="5"/>
  <c r="BJ112" i="5"/>
  <c r="BI112" i="5"/>
  <c r="BH112" i="5"/>
  <c r="BG112" i="5"/>
  <c r="BE111" i="5"/>
  <c r="BE110" i="5"/>
  <c r="BR109" i="5"/>
  <c r="BQ109" i="5"/>
  <c r="BQ113" i="5" s="1"/>
  <c r="BP109" i="5"/>
  <c r="BO109" i="5"/>
  <c r="BN109" i="5"/>
  <c r="BM109" i="5"/>
  <c r="BL109" i="5"/>
  <c r="BK109" i="5"/>
  <c r="BJ109" i="5"/>
  <c r="BI109" i="5"/>
  <c r="BH109" i="5"/>
  <c r="BG109" i="5"/>
  <c r="BE108" i="5"/>
  <c r="BE107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E105" i="5"/>
  <c r="BE104" i="5"/>
  <c r="BR102" i="5"/>
  <c r="BQ102" i="5"/>
  <c r="BP102" i="5"/>
  <c r="BO102" i="5"/>
  <c r="BN102" i="5"/>
  <c r="BM102" i="5"/>
  <c r="BL102" i="5"/>
  <c r="BK102" i="5"/>
  <c r="BJ102" i="5"/>
  <c r="BI102" i="5"/>
  <c r="BH102" i="5"/>
  <c r="BG102" i="5"/>
  <c r="BE101" i="5"/>
  <c r="BE100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E98" i="5"/>
  <c r="BE97" i="5"/>
  <c r="BR96" i="5"/>
  <c r="BQ96" i="5"/>
  <c r="BP96" i="5"/>
  <c r="BO96" i="5"/>
  <c r="BN96" i="5"/>
  <c r="BM96" i="5"/>
  <c r="BL96" i="5"/>
  <c r="BK96" i="5"/>
  <c r="BJ96" i="5"/>
  <c r="BI96" i="5"/>
  <c r="BH96" i="5"/>
  <c r="BG96" i="5"/>
  <c r="BE95" i="5"/>
  <c r="BE94" i="5"/>
  <c r="BR93" i="5"/>
  <c r="BQ93" i="5"/>
  <c r="BP93" i="5"/>
  <c r="BO93" i="5"/>
  <c r="BN93" i="5"/>
  <c r="BM93" i="5"/>
  <c r="BL93" i="5"/>
  <c r="BK93" i="5"/>
  <c r="BJ93" i="5"/>
  <c r="BI93" i="5"/>
  <c r="BH93" i="5"/>
  <c r="BG93" i="5"/>
  <c r="BE92" i="5"/>
  <c r="BE91" i="5"/>
  <c r="BR90" i="5"/>
  <c r="BQ90" i="5"/>
  <c r="BP90" i="5"/>
  <c r="BO90" i="5"/>
  <c r="BN90" i="5"/>
  <c r="BM90" i="5"/>
  <c r="BL90" i="5"/>
  <c r="BK90" i="5"/>
  <c r="BJ90" i="5"/>
  <c r="BI90" i="5"/>
  <c r="BH90" i="5"/>
  <c r="BG90" i="5"/>
  <c r="BE89" i="5"/>
  <c r="BE88" i="5"/>
  <c r="BR86" i="5"/>
  <c r="BQ86" i="5"/>
  <c r="BP86" i="5"/>
  <c r="BO86" i="5"/>
  <c r="BN86" i="5"/>
  <c r="BM86" i="5"/>
  <c r="BL86" i="5"/>
  <c r="BK86" i="5"/>
  <c r="BJ86" i="5"/>
  <c r="BI86" i="5"/>
  <c r="BH86" i="5"/>
  <c r="BG86" i="5"/>
  <c r="BE85" i="5"/>
  <c r="BE84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E82" i="5"/>
  <c r="BE81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E79" i="5"/>
  <c r="BE78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E76" i="5"/>
  <c r="BE75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O64" i="5"/>
  <c r="BN64" i="5"/>
  <c r="BM64" i="5"/>
  <c r="BL64" i="5"/>
  <c r="BK64" i="5"/>
  <c r="BJ64" i="5"/>
  <c r="BI64" i="5"/>
  <c r="BR63" i="5"/>
  <c r="BR183" i="5" s="1"/>
  <c r="BQ63" i="5"/>
  <c r="BQ183" i="5" s="1"/>
  <c r="BP63" i="5"/>
  <c r="BP183" i="5" s="1"/>
  <c r="BO63" i="5"/>
  <c r="BN63" i="5"/>
  <c r="BM63" i="5"/>
  <c r="BM183" i="5" s="1"/>
  <c r="BL63" i="5"/>
  <c r="BK63" i="5"/>
  <c r="BJ63" i="5"/>
  <c r="BI63" i="5"/>
  <c r="BH63" i="5"/>
  <c r="BH183" i="5" s="1"/>
  <c r="BG63" i="5"/>
  <c r="BG183" i="5" s="1"/>
  <c r="BR62" i="5"/>
  <c r="BR64" i="5" s="1"/>
  <c r="BQ62" i="5"/>
  <c r="BQ64" i="5" s="1"/>
  <c r="BP62" i="5"/>
  <c r="BP64" i="5" s="1"/>
  <c r="BO62" i="5"/>
  <c r="BN62" i="5"/>
  <c r="BM62" i="5"/>
  <c r="BL62" i="5"/>
  <c r="BK62" i="5"/>
  <c r="BG62" i="5" s="1"/>
  <c r="BG182" i="5" s="1"/>
  <c r="BJ62" i="5"/>
  <c r="BJ182" i="5" s="1"/>
  <c r="BI62" i="5"/>
  <c r="BI182" i="5" s="1"/>
  <c r="BH62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G57" i="5"/>
  <c r="BG56" i="5"/>
  <c r="BG176" i="5" s="1"/>
  <c r="BR54" i="5"/>
  <c r="BR55" i="5" s="1"/>
  <c r="BQ54" i="5"/>
  <c r="BQ55" i="5" s="1"/>
  <c r="BP54" i="5"/>
  <c r="BP55" i="5" s="1"/>
  <c r="BO54" i="5"/>
  <c r="BO55" i="5" s="1"/>
  <c r="BN54" i="5"/>
  <c r="BN55" i="5" s="1"/>
  <c r="BM54" i="5"/>
  <c r="BM55" i="5" s="1"/>
  <c r="BL54" i="5"/>
  <c r="BL55" i="5" s="1"/>
  <c r="BK54" i="5"/>
  <c r="BK55" i="5" s="1"/>
  <c r="BJ54" i="5"/>
  <c r="BJ55" i="5" s="1"/>
  <c r="BI54" i="5"/>
  <c r="BI55" i="5" s="1"/>
  <c r="BH54" i="5"/>
  <c r="BH55" i="5" s="1"/>
  <c r="BG54" i="5"/>
  <c r="BG55" i="5" s="1"/>
  <c r="BQ49" i="5"/>
  <c r="BP49" i="5"/>
  <c r="BO49" i="5"/>
  <c r="BN49" i="5"/>
  <c r="BG49" i="5"/>
  <c r="BR48" i="5"/>
  <c r="BQ48" i="5"/>
  <c r="BP48" i="5"/>
  <c r="BP168" i="5" s="1"/>
  <c r="BO48" i="5"/>
  <c r="BO168" i="5" s="1"/>
  <c r="BN48" i="5"/>
  <c r="BN168" i="5" s="1"/>
  <c r="BM48" i="5"/>
  <c r="BM168" i="5" s="1"/>
  <c r="BL48" i="5"/>
  <c r="BL168" i="5" s="1"/>
  <c r="BK48" i="5"/>
  <c r="BK168" i="5" s="1"/>
  <c r="BJ48" i="5"/>
  <c r="BI48" i="5"/>
  <c r="BH48" i="5"/>
  <c r="BH168" i="5" s="1"/>
  <c r="BR47" i="5"/>
  <c r="BR167" i="5" s="1"/>
  <c r="BR169" i="5" s="1"/>
  <c r="BQ47" i="5"/>
  <c r="BQ167" i="5" s="1"/>
  <c r="BP47" i="5"/>
  <c r="BO47" i="5"/>
  <c r="BN47" i="5"/>
  <c r="BM47" i="5"/>
  <c r="BL47" i="5"/>
  <c r="BK47" i="5"/>
  <c r="BJ47" i="5"/>
  <c r="BI47" i="5"/>
  <c r="BI167" i="5" s="1"/>
  <c r="BH47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R43" i="5"/>
  <c r="BQ43" i="5"/>
  <c r="BP43" i="5"/>
  <c r="BO43" i="5"/>
  <c r="BN43" i="5"/>
  <c r="BM43" i="5"/>
  <c r="BL43" i="5"/>
  <c r="BK43" i="5"/>
  <c r="BJ43" i="5"/>
  <c r="BI43" i="5"/>
  <c r="BH43" i="5"/>
  <c r="BG42" i="5"/>
  <c r="BG162" i="5" s="1"/>
  <c r="BG41" i="5"/>
  <c r="BG161" i="5" s="1"/>
  <c r="BR39" i="5"/>
  <c r="BQ39" i="5"/>
  <c r="BP39" i="5"/>
  <c r="BO39" i="5"/>
  <c r="BN39" i="5"/>
  <c r="BM39" i="5"/>
  <c r="BL39" i="5"/>
  <c r="BK39" i="5"/>
  <c r="BJ39" i="5"/>
  <c r="BI39" i="5"/>
  <c r="BH39" i="5"/>
  <c r="BG39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I183" i="5"/>
  <c r="H183" i="5"/>
  <c r="G183" i="5"/>
  <c r="F183" i="5"/>
  <c r="P182" i="5"/>
  <c r="O182" i="5"/>
  <c r="N182" i="5"/>
  <c r="M182" i="5"/>
  <c r="L182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J178" i="5"/>
  <c r="P177" i="5"/>
  <c r="O177" i="5"/>
  <c r="N177" i="5"/>
  <c r="M177" i="5"/>
  <c r="L177" i="5"/>
  <c r="K177" i="5"/>
  <c r="J177" i="5"/>
  <c r="I177" i="5"/>
  <c r="H177" i="5"/>
  <c r="G177" i="5"/>
  <c r="F177" i="5"/>
  <c r="P176" i="5"/>
  <c r="O176" i="5"/>
  <c r="N176" i="5"/>
  <c r="M176" i="5"/>
  <c r="L176" i="5"/>
  <c r="K176" i="5"/>
  <c r="J176" i="5"/>
  <c r="I176" i="5"/>
  <c r="I178" i="5" s="1"/>
  <c r="H176" i="5"/>
  <c r="G176" i="5"/>
  <c r="F176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N168" i="5"/>
  <c r="M168" i="5"/>
  <c r="L168" i="5"/>
  <c r="K168" i="5"/>
  <c r="E168" i="5"/>
  <c r="K167" i="5"/>
  <c r="J167" i="5"/>
  <c r="I167" i="5"/>
  <c r="H167" i="5"/>
  <c r="G167" i="5"/>
  <c r="F167" i="5"/>
  <c r="E167" i="5"/>
  <c r="E169" i="5" s="1"/>
  <c r="P165" i="5"/>
  <c r="O165" i="5"/>
  <c r="N165" i="5"/>
  <c r="M165" i="5"/>
  <c r="L165" i="5"/>
  <c r="K165" i="5"/>
  <c r="J165" i="5"/>
  <c r="I165" i="5"/>
  <c r="H165" i="5"/>
  <c r="G165" i="5"/>
  <c r="F165" i="5"/>
  <c r="E165" i="5"/>
  <c r="P164" i="5"/>
  <c r="O164" i="5"/>
  <c r="N164" i="5"/>
  <c r="M164" i="5"/>
  <c r="L164" i="5"/>
  <c r="K164" i="5"/>
  <c r="J164" i="5"/>
  <c r="I164" i="5"/>
  <c r="I166" i="5" s="1"/>
  <c r="H164" i="5"/>
  <c r="G164" i="5"/>
  <c r="F164" i="5"/>
  <c r="F166" i="5" s="1"/>
  <c r="E164" i="5"/>
  <c r="E166" i="5" s="1"/>
  <c r="P162" i="5"/>
  <c r="O162" i="5"/>
  <c r="N162" i="5"/>
  <c r="M162" i="5"/>
  <c r="L162" i="5"/>
  <c r="K162" i="5"/>
  <c r="J162" i="5"/>
  <c r="I162" i="5"/>
  <c r="H162" i="5"/>
  <c r="G162" i="5"/>
  <c r="F162" i="5"/>
  <c r="P161" i="5"/>
  <c r="O161" i="5"/>
  <c r="N161" i="5"/>
  <c r="M161" i="5"/>
  <c r="L161" i="5"/>
  <c r="K161" i="5"/>
  <c r="J161" i="5"/>
  <c r="I161" i="5"/>
  <c r="H161" i="5"/>
  <c r="H163" i="5" s="1"/>
  <c r="G161" i="5"/>
  <c r="F161" i="5"/>
  <c r="E161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P152" i="5"/>
  <c r="O152" i="5"/>
  <c r="N152" i="5"/>
  <c r="M152" i="5"/>
  <c r="M153" i="5" s="1"/>
  <c r="L152" i="5"/>
  <c r="K152" i="5"/>
  <c r="K153" i="5" s="1"/>
  <c r="J152" i="5"/>
  <c r="J153" i="5" s="1"/>
  <c r="I152" i="5"/>
  <c r="H152" i="5"/>
  <c r="G152" i="5"/>
  <c r="F152" i="5"/>
  <c r="E152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P149" i="5"/>
  <c r="O149" i="5"/>
  <c r="N149" i="5"/>
  <c r="N150" i="5" s="1"/>
  <c r="M149" i="5"/>
  <c r="M150" i="5" s="1"/>
  <c r="L149" i="5"/>
  <c r="K149" i="5"/>
  <c r="K150" i="5" s="1"/>
  <c r="J149" i="5"/>
  <c r="I149" i="5"/>
  <c r="H149" i="5"/>
  <c r="G149" i="5"/>
  <c r="F149" i="5"/>
  <c r="E149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P145" i="5"/>
  <c r="O145" i="5"/>
  <c r="N145" i="5"/>
  <c r="M145" i="5"/>
  <c r="M147" i="5" s="1"/>
  <c r="L145" i="5"/>
  <c r="L147" i="5" s="1"/>
  <c r="K145" i="5"/>
  <c r="K147" i="5" s="1"/>
  <c r="J145" i="5"/>
  <c r="I145" i="5"/>
  <c r="H145" i="5"/>
  <c r="G145" i="5"/>
  <c r="F145" i="5"/>
  <c r="E145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P133" i="5"/>
  <c r="P134" i="5" s="1"/>
  <c r="O133" i="5"/>
  <c r="O134" i="5" s="1"/>
  <c r="N133" i="5"/>
  <c r="M133" i="5"/>
  <c r="L133" i="5"/>
  <c r="K133" i="5"/>
  <c r="J133" i="5"/>
  <c r="I133" i="5"/>
  <c r="H133" i="5"/>
  <c r="G133" i="5"/>
  <c r="F133" i="5"/>
  <c r="E133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J127" i="5"/>
  <c r="I127" i="5"/>
  <c r="P126" i="5"/>
  <c r="O126" i="5"/>
  <c r="N126" i="5"/>
  <c r="M126" i="5"/>
  <c r="L126" i="5"/>
  <c r="K126" i="5"/>
  <c r="J126" i="5"/>
  <c r="I126" i="5"/>
  <c r="H126" i="5"/>
  <c r="G126" i="5"/>
  <c r="F126" i="5"/>
  <c r="P125" i="5"/>
  <c r="O125" i="5"/>
  <c r="N125" i="5"/>
  <c r="M125" i="5"/>
  <c r="L125" i="5"/>
  <c r="K125" i="5"/>
  <c r="J125" i="5"/>
  <c r="I125" i="5"/>
  <c r="H125" i="5"/>
  <c r="H127" i="5" s="1"/>
  <c r="G125" i="5"/>
  <c r="G127" i="5" s="1"/>
  <c r="F125" i="5"/>
  <c r="F127" i="5" s="1"/>
  <c r="D125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3" i="5"/>
  <c r="D122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0" i="5"/>
  <c r="D119" i="5"/>
  <c r="H118" i="5"/>
  <c r="F118" i="5"/>
  <c r="P117" i="5"/>
  <c r="P118" i="5" s="1"/>
  <c r="O117" i="5"/>
  <c r="O118" i="5" s="1"/>
  <c r="N117" i="5"/>
  <c r="N118" i="5" s="1"/>
  <c r="M117" i="5"/>
  <c r="M118" i="5" s="1"/>
  <c r="L117" i="5"/>
  <c r="L118" i="5" s="1"/>
  <c r="K117" i="5"/>
  <c r="K118" i="5" s="1"/>
  <c r="J117" i="5"/>
  <c r="J118" i="5" s="1"/>
  <c r="I117" i="5"/>
  <c r="I118" i="5" s="1"/>
  <c r="H117" i="5"/>
  <c r="G117" i="5"/>
  <c r="G118" i="5" s="1"/>
  <c r="F117" i="5"/>
  <c r="E117" i="5"/>
  <c r="E118" i="5" s="1"/>
  <c r="D116" i="5"/>
  <c r="D115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1" i="5"/>
  <c r="D110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8" i="5"/>
  <c r="D107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5" i="5"/>
  <c r="D104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1" i="5"/>
  <c r="D100" i="5"/>
  <c r="P99" i="5"/>
  <c r="O99" i="5"/>
  <c r="N99" i="5"/>
  <c r="M99" i="5"/>
  <c r="L99" i="5"/>
  <c r="K99" i="5"/>
  <c r="J99" i="5"/>
  <c r="I99" i="5"/>
  <c r="H99" i="5"/>
  <c r="G99" i="5"/>
  <c r="F99" i="5"/>
  <c r="E99" i="5"/>
  <c r="D98" i="5"/>
  <c r="D97" i="5"/>
  <c r="P96" i="5"/>
  <c r="O96" i="5"/>
  <c r="N96" i="5"/>
  <c r="M96" i="5"/>
  <c r="L96" i="5"/>
  <c r="K96" i="5"/>
  <c r="J96" i="5"/>
  <c r="I96" i="5"/>
  <c r="H96" i="5"/>
  <c r="G96" i="5"/>
  <c r="F96" i="5"/>
  <c r="E96" i="5"/>
  <c r="D95" i="5"/>
  <c r="D94" i="5"/>
  <c r="P93" i="5"/>
  <c r="O93" i="5"/>
  <c r="N93" i="5"/>
  <c r="M93" i="5"/>
  <c r="L93" i="5"/>
  <c r="K93" i="5"/>
  <c r="J93" i="5"/>
  <c r="I93" i="5"/>
  <c r="H93" i="5"/>
  <c r="G93" i="5"/>
  <c r="F93" i="5"/>
  <c r="E93" i="5"/>
  <c r="D92" i="5"/>
  <c r="D91" i="5"/>
  <c r="P90" i="5"/>
  <c r="O90" i="5"/>
  <c r="N90" i="5"/>
  <c r="M90" i="5"/>
  <c r="L90" i="5"/>
  <c r="K90" i="5"/>
  <c r="J90" i="5"/>
  <c r="I90" i="5"/>
  <c r="H90" i="5"/>
  <c r="G90" i="5"/>
  <c r="F90" i="5"/>
  <c r="E90" i="5"/>
  <c r="D89" i="5"/>
  <c r="D88" i="5"/>
  <c r="D145" i="5" s="1"/>
  <c r="P86" i="5"/>
  <c r="O86" i="5"/>
  <c r="N86" i="5"/>
  <c r="M86" i="5"/>
  <c r="L86" i="5"/>
  <c r="K86" i="5"/>
  <c r="J86" i="5"/>
  <c r="I86" i="5"/>
  <c r="H86" i="5"/>
  <c r="G86" i="5"/>
  <c r="F86" i="5"/>
  <c r="E86" i="5"/>
  <c r="D85" i="5"/>
  <c r="D84" i="5"/>
  <c r="P83" i="5"/>
  <c r="O83" i="5"/>
  <c r="N83" i="5"/>
  <c r="M83" i="5"/>
  <c r="L83" i="5"/>
  <c r="K83" i="5"/>
  <c r="J83" i="5"/>
  <c r="I83" i="5"/>
  <c r="H83" i="5"/>
  <c r="G83" i="5"/>
  <c r="F83" i="5"/>
  <c r="E83" i="5"/>
  <c r="D82" i="5"/>
  <c r="D81" i="5"/>
  <c r="P80" i="5"/>
  <c r="O80" i="5"/>
  <c r="N80" i="5"/>
  <c r="M80" i="5"/>
  <c r="L80" i="5"/>
  <c r="K80" i="5"/>
  <c r="J80" i="5"/>
  <c r="I80" i="5"/>
  <c r="H80" i="5"/>
  <c r="G80" i="5"/>
  <c r="F80" i="5"/>
  <c r="E80" i="5"/>
  <c r="D79" i="5"/>
  <c r="D78" i="5"/>
  <c r="P77" i="5"/>
  <c r="O77" i="5"/>
  <c r="N77" i="5"/>
  <c r="M77" i="5"/>
  <c r="L77" i="5"/>
  <c r="K77" i="5"/>
  <c r="J77" i="5"/>
  <c r="I77" i="5"/>
  <c r="H77" i="5"/>
  <c r="G77" i="5"/>
  <c r="F77" i="5"/>
  <c r="E77" i="5"/>
  <c r="D76" i="5"/>
  <c r="D75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P67" i="5"/>
  <c r="O67" i="5"/>
  <c r="N67" i="5"/>
  <c r="M67" i="5"/>
  <c r="L67" i="5"/>
  <c r="K67" i="5"/>
  <c r="J67" i="5"/>
  <c r="I67" i="5"/>
  <c r="H67" i="5"/>
  <c r="G67" i="5"/>
  <c r="F67" i="5"/>
  <c r="E67" i="5"/>
  <c r="P63" i="5"/>
  <c r="P183" i="5" s="1"/>
  <c r="O63" i="5"/>
  <c r="N63" i="5"/>
  <c r="M63" i="5"/>
  <c r="L63" i="5"/>
  <c r="K63" i="5"/>
  <c r="J63" i="5"/>
  <c r="J183" i="5" s="1"/>
  <c r="I63" i="5"/>
  <c r="E63" i="5" s="1"/>
  <c r="E183" i="5" s="1"/>
  <c r="H63" i="5"/>
  <c r="G63" i="5"/>
  <c r="F63" i="5"/>
  <c r="P62" i="5"/>
  <c r="O62" i="5"/>
  <c r="N62" i="5"/>
  <c r="M62" i="5"/>
  <c r="L62" i="5"/>
  <c r="K62" i="5"/>
  <c r="K182" i="5" s="1"/>
  <c r="J62" i="5"/>
  <c r="J182" i="5" s="1"/>
  <c r="I62" i="5"/>
  <c r="I64" i="5" s="1"/>
  <c r="H62" i="5"/>
  <c r="G62" i="5"/>
  <c r="F62" i="5"/>
  <c r="E62" i="5"/>
  <c r="P61" i="5"/>
  <c r="O61" i="5"/>
  <c r="N61" i="5"/>
  <c r="M61" i="5"/>
  <c r="L61" i="5"/>
  <c r="K61" i="5"/>
  <c r="J61" i="5"/>
  <c r="I61" i="5"/>
  <c r="H61" i="5"/>
  <c r="G61" i="5"/>
  <c r="F61" i="5"/>
  <c r="E61" i="5"/>
  <c r="D60" i="5"/>
  <c r="D59" i="5"/>
  <c r="P58" i="5"/>
  <c r="O58" i="5"/>
  <c r="N58" i="5"/>
  <c r="M58" i="5"/>
  <c r="L58" i="5"/>
  <c r="K58" i="5"/>
  <c r="J58" i="5"/>
  <c r="I58" i="5"/>
  <c r="H58" i="5"/>
  <c r="G58" i="5"/>
  <c r="F58" i="5"/>
  <c r="E57" i="5"/>
  <c r="E177" i="5" s="1"/>
  <c r="D57" i="5"/>
  <c r="D177" i="5" s="1"/>
  <c r="E56" i="5"/>
  <c r="P54" i="5"/>
  <c r="P55" i="5" s="1"/>
  <c r="O54" i="5"/>
  <c r="O55" i="5" s="1"/>
  <c r="N54" i="5"/>
  <c r="N55" i="5" s="1"/>
  <c r="M54" i="5"/>
  <c r="M55" i="5" s="1"/>
  <c r="L54" i="5"/>
  <c r="L55" i="5" s="1"/>
  <c r="K54" i="5"/>
  <c r="K55" i="5" s="1"/>
  <c r="J54" i="5"/>
  <c r="J55" i="5" s="1"/>
  <c r="I54" i="5"/>
  <c r="I55" i="5" s="1"/>
  <c r="H54" i="5"/>
  <c r="H55" i="5" s="1"/>
  <c r="G54" i="5"/>
  <c r="G55" i="5" s="1"/>
  <c r="F54" i="5"/>
  <c r="F55" i="5" s="1"/>
  <c r="E54" i="5"/>
  <c r="E55" i="5" s="1"/>
  <c r="D53" i="5"/>
  <c r="D52" i="5"/>
  <c r="N49" i="5"/>
  <c r="F49" i="5"/>
  <c r="E49" i="5"/>
  <c r="P48" i="5"/>
  <c r="P168" i="5" s="1"/>
  <c r="O48" i="5"/>
  <c r="O168" i="5" s="1"/>
  <c r="N48" i="5"/>
  <c r="M48" i="5"/>
  <c r="L48" i="5"/>
  <c r="K48" i="5"/>
  <c r="J48" i="5"/>
  <c r="J168" i="5" s="1"/>
  <c r="I48" i="5"/>
  <c r="I168" i="5" s="1"/>
  <c r="H48" i="5"/>
  <c r="H168" i="5" s="1"/>
  <c r="G48" i="5"/>
  <c r="G168" i="5" s="1"/>
  <c r="F48" i="5"/>
  <c r="F168" i="5" s="1"/>
  <c r="P47" i="5"/>
  <c r="O47" i="5"/>
  <c r="N47" i="5"/>
  <c r="N167" i="5" s="1"/>
  <c r="M47" i="5"/>
  <c r="M49" i="5" s="1"/>
  <c r="L47" i="5"/>
  <c r="K47" i="5"/>
  <c r="K49" i="5" s="1"/>
  <c r="J47" i="5"/>
  <c r="J49" i="5" s="1"/>
  <c r="I47" i="5"/>
  <c r="H47" i="5"/>
  <c r="G47" i="5"/>
  <c r="G49" i="5" s="1"/>
  <c r="F47" i="5"/>
  <c r="D47" i="5" s="1"/>
  <c r="P46" i="5"/>
  <c r="O46" i="5"/>
  <c r="N46" i="5"/>
  <c r="M46" i="5"/>
  <c r="L46" i="5"/>
  <c r="K46" i="5"/>
  <c r="J46" i="5"/>
  <c r="I46" i="5"/>
  <c r="H46" i="5"/>
  <c r="G46" i="5"/>
  <c r="F46" i="5"/>
  <c r="E46" i="5"/>
  <c r="D45" i="5"/>
  <c r="D44" i="5"/>
  <c r="P43" i="5"/>
  <c r="O43" i="5"/>
  <c r="N43" i="5"/>
  <c r="M43" i="5"/>
  <c r="L43" i="5"/>
  <c r="K43" i="5"/>
  <c r="J43" i="5"/>
  <c r="I43" i="5"/>
  <c r="H43" i="5"/>
  <c r="G43" i="5"/>
  <c r="F43" i="5"/>
  <c r="E43" i="5"/>
  <c r="E42" i="5"/>
  <c r="E162" i="5" s="1"/>
  <c r="E41" i="5"/>
  <c r="D41" i="5"/>
  <c r="P39" i="5"/>
  <c r="O39" i="5"/>
  <c r="N39" i="5"/>
  <c r="M39" i="5"/>
  <c r="L39" i="5"/>
  <c r="K39" i="5"/>
  <c r="J39" i="5"/>
  <c r="I39" i="5"/>
  <c r="H39" i="5"/>
  <c r="G39" i="5"/>
  <c r="F39" i="5"/>
  <c r="E39" i="5"/>
  <c r="D38" i="5"/>
  <c r="D37" i="5"/>
  <c r="P36" i="5"/>
  <c r="O36" i="5"/>
  <c r="N36" i="5"/>
  <c r="M36" i="5"/>
  <c r="L36" i="5"/>
  <c r="K36" i="5"/>
  <c r="J36" i="5"/>
  <c r="I36" i="5"/>
  <c r="H36" i="5"/>
  <c r="G36" i="5"/>
  <c r="F36" i="5"/>
  <c r="E36" i="5"/>
  <c r="D35" i="5"/>
  <c r="D34" i="5"/>
  <c r="P33" i="5"/>
  <c r="O33" i="5"/>
  <c r="N33" i="5"/>
  <c r="M33" i="5"/>
  <c r="L33" i="5"/>
  <c r="K33" i="5"/>
  <c r="J33" i="5"/>
  <c r="I33" i="5"/>
  <c r="H33" i="5"/>
  <c r="G33" i="5"/>
  <c r="F33" i="5"/>
  <c r="E33" i="5"/>
  <c r="D32" i="5"/>
  <c r="D31" i="5"/>
  <c r="P30" i="5"/>
  <c r="O30" i="5"/>
  <c r="N30" i="5"/>
  <c r="M30" i="5"/>
  <c r="L30" i="5"/>
  <c r="K30" i="5"/>
  <c r="J30" i="5"/>
  <c r="I30" i="5"/>
  <c r="H30" i="5"/>
  <c r="G30" i="5"/>
  <c r="F30" i="5"/>
  <c r="E30" i="5"/>
  <c r="D29" i="5"/>
  <c r="D28" i="5"/>
  <c r="P27" i="5"/>
  <c r="O27" i="5"/>
  <c r="N27" i="5"/>
  <c r="M27" i="5"/>
  <c r="L27" i="5"/>
  <c r="K27" i="5"/>
  <c r="J27" i="5"/>
  <c r="I27" i="5"/>
  <c r="H27" i="5"/>
  <c r="G27" i="5"/>
  <c r="F27" i="5"/>
  <c r="E27" i="5"/>
  <c r="D26" i="5"/>
  <c r="D25" i="5"/>
  <c r="P23" i="5"/>
  <c r="O23" i="5"/>
  <c r="N23" i="5"/>
  <c r="M23" i="5"/>
  <c r="L23" i="5"/>
  <c r="K23" i="5"/>
  <c r="J23" i="5"/>
  <c r="I23" i="5"/>
  <c r="H23" i="5"/>
  <c r="G23" i="5"/>
  <c r="F23" i="5"/>
  <c r="E23" i="5"/>
  <c r="D22" i="5"/>
  <c r="D21" i="5"/>
  <c r="P20" i="5"/>
  <c r="O20" i="5"/>
  <c r="N20" i="5"/>
  <c r="M20" i="5"/>
  <c r="L20" i="5"/>
  <c r="K20" i="5"/>
  <c r="J20" i="5"/>
  <c r="I20" i="5"/>
  <c r="H20" i="5"/>
  <c r="G20" i="5"/>
  <c r="F20" i="5"/>
  <c r="E20" i="5"/>
  <c r="D19" i="5"/>
  <c r="D18" i="5"/>
  <c r="P17" i="5"/>
  <c r="O17" i="5"/>
  <c r="N17" i="5"/>
  <c r="M17" i="5"/>
  <c r="L17" i="5"/>
  <c r="K17" i="5"/>
  <c r="J17" i="5"/>
  <c r="I17" i="5"/>
  <c r="H17" i="5"/>
  <c r="G17" i="5"/>
  <c r="F17" i="5"/>
  <c r="E17" i="5"/>
  <c r="D16" i="5"/>
  <c r="D15" i="5"/>
  <c r="P14" i="5"/>
  <c r="O14" i="5"/>
  <c r="N14" i="5"/>
  <c r="M14" i="5"/>
  <c r="L14" i="5"/>
  <c r="K14" i="5"/>
  <c r="J14" i="5"/>
  <c r="I14" i="5"/>
  <c r="H14" i="5"/>
  <c r="G14" i="5"/>
  <c r="F14" i="5"/>
  <c r="E14" i="5"/>
  <c r="D13" i="5"/>
  <c r="D12" i="5"/>
  <c r="P70" i="8"/>
  <c r="K70" i="8"/>
  <c r="J70" i="8"/>
  <c r="I70" i="8"/>
  <c r="H70" i="8"/>
  <c r="G70" i="8"/>
  <c r="F70" i="8"/>
  <c r="E70" i="8"/>
  <c r="D70" i="8"/>
  <c r="K68" i="8"/>
  <c r="J68" i="8"/>
  <c r="I68" i="8"/>
  <c r="H68" i="8"/>
  <c r="G68" i="8"/>
  <c r="F68" i="8"/>
  <c r="E68" i="8"/>
  <c r="D68" i="8"/>
  <c r="O65" i="8"/>
  <c r="N65" i="8"/>
  <c r="N66" i="8" s="1"/>
  <c r="M65" i="8"/>
  <c r="M66" i="8" s="1"/>
  <c r="L65" i="8"/>
  <c r="L66" i="8" s="1"/>
  <c r="J65" i="8"/>
  <c r="J66" i="8" s="1"/>
  <c r="I65" i="8"/>
  <c r="I66" i="8" s="1"/>
  <c r="H65" i="8"/>
  <c r="G65" i="8"/>
  <c r="F65" i="8"/>
  <c r="E65" i="8"/>
  <c r="E66" i="8" s="1"/>
  <c r="K64" i="8"/>
  <c r="K65" i="8" s="1"/>
  <c r="K66" i="8" s="1"/>
  <c r="J64" i="8"/>
  <c r="I64" i="8"/>
  <c r="H64" i="8"/>
  <c r="D64" i="8" s="1"/>
  <c r="G64" i="8"/>
  <c r="F64" i="8"/>
  <c r="E64" i="8"/>
  <c r="K63" i="8"/>
  <c r="J63" i="8"/>
  <c r="I63" i="8"/>
  <c r="H63" i="8"/>
  <c r="G63" i="8"/>
  <c r="F63" i="8"/>
  <c r="E63" i="8"/>
  <c r="D63" i="8"/>
  <c r="P63" i="8" s="1"/>
  <c r="O62" i="8"/>
  <c r="O66" i="8" s="1"/>
  <c r="N62" i="8"/>
  <c r="M62" i="8"/>
  <c r="L62" i="8"/>
  <c r="K62" i="8"/>
  <c r="J62" i="8"/>
  <c r="I62" i="8"/>
  <c r="H62" i="8"/>
  <c r="G62" i="8"/>
  <c r="F62" i="8"/>
  <c r="E62" i="8"/>
  <c r="D62" i="8"/>
  <c r="P61" i="8"/>
  <c r="P60" i="8"/>
  <c r="O59" i="8"/>
  <c r="N59" i="8"/>
  <c r="M59" i="8"/>
  <c r="L59" i="8"/>
  <c r="K59" i="8"/>
  <c r="J59" i="8"/>
  <c r="I59" i="8"/>
  <c r="H59" i="8"/>
  <c r="G59" i="8"/>
  <c r="F59" i="8"/>
  <c r="E59" i="8"/>
  <c r="D58" i="8"/>
  <c r="D59" i="8" s="1"/>
  <c r="P57" i="8"/>
  <c r="D57" i="8"/>
  <c r="L56" i="8"/>
  <c r="K56" i="8"/>
  <c r="J56" i="8"/>
  <c r="I56" i="8"/>
  <c r="H56" i="8"/>
  <c r="G56" i="8"/>
  <c r="F56" i="8"/>
  <c r="E56" i="8"/>
  <c r="D56" i="8"/>
  <c r="O55" i="8"/>
  <c r="O56" i="8" s="1"/>
  <c r="N55" i="8"/>
  <c r="N56" i="8" s="1"/>
  <c r="M55" i="8"/>
  <c r="P55" i="8" s="1"/>
  <c r="L55" i="8"/>
  <c r="K55" i="8"/>
  <c r="J55" i="8"/>
  <c r="I55" i="8"/>
  <c r="H55" i="8"/>
  <c r="G55" i="8"/>
  <c r="F55" i="8"/>
  <c r="E55" i="8"/>
  <c r="D55" i="8"/>
  <c r="P54" i="8"/>
  <c r="P53" i="8"/>
  <c r="M51" i="8"/>
  <c r="L51" i="8"/>
  <c r="O50" i="8"/>
  <c r="O51" i="8" s="1"/>
  <c r="N50" i="8"/>
  <c r="M50" i="8"/>
  <c r="L50" i="8"/>
  <c r="D50" i="8"/>
  <c r="K49" i="8"/>
  <c r="J49" i="8"/>
  <c r="I49" i="8"/>
  <c r="H49" i="8"/>
  <c r="G49" i="8"/>
  <c r="F49" i="8"/>
  <c r="E49" i="8"/>
  <c r="K48" i="8"/>
  <c r="J48" i="8"/>
  <c r="I48" i="8"/>
  <c r="I50" i="8" s="1"/>
  <c r="I51" i="8" s="1"/>
  <c r="H48" i="8"/>
  <c r="H50" i="8" s="1"/>
  <c r="H51" i="8" s="1"/>
  <c r="H52" i="8" s="1"/>
  <c r="G48" i="8"/>
  <c r="G50" i="8" s="1"/>
  <c r="G51" i="8" s="1"/>
  <c r="F48" i="8"/>
  <c r="F50" i="8" s="1"/>
  <c r="F51" i="8" s="1"/>
  <c r="E48" i="8"/>
  <c r="E50" i="8" s="1"/>
  <c r="O47" i="8"/>
  <c r="N47" i="8"/>
  <c r="M47" i="8"/>
  <c r="L47" i="8"/>
  <c r="K47" i="8"/>
  <c r="J47" i="8"/>
  <c r="I47" i="8"/>
  <c r="H47" i="8"/>
  <c r="G47" i="8"/>
  <c r="F47" i="8"/>
  <c r="E47" i="8"/>
  <c r="D47" i="8"/>
  <c r="P46" i="8"/>
  <c r="P45" i="8"/>
  <c r="O44" i="8"/>
  <c r="N44" i="8"/>
  <c r="N51" i="8" s="1"/>
  <c r="M44" i="8"/>
  <c r="L44" i="8"/>
  <c r="K44" i="8"/>
  <c r="J44" i="8"/>
  <c r="I44" i="8"/>
  <c r="H44" i="8"/>
  <c r="G44" i="8"/>
  <c r="F44" i="8"/>
  <c r="E44" i="8"/>
  <c r="D43" i="8"/>
  <c r="P43" i="8" s="1"/>
  <c r="D42" i="8"/>
  <c r="P42" i="8" s="1"/>
  <c r="G41" i="8"/>
  <c r="O40" i="8"/>
  <c r="O41" i="8" s="1"/>
  <c r="N40" i="8"/>
  <c r="M40" i="8"/>
  <c r="L40" i="8"/>
  <c r="K40" i="8"/>
  <c r="J40" i="8"/>
  <c r="I40" i="8"/>
  <c r="H40" i="8"/>
  <c r="G40" i="8"/>
  <c r="F40" i="8"/>
  <c r="E40" i="8"/>
  <c r="D40" i="8"/>
  <c r="P39" i="8"/>
  <c r="P38" i="8"/>
  <c r="O37" i="8"/>
  <c r="N37" i="8"/>
  <c r="M37" i="8"/>
  <c r="L37" i="8"/>
  <c r="L41" i="8" s="1"/>
  <c r="K37" i="8"/>
  <c r="K41" i="8" s="1"/>
  <c r="J37" i="8"/>
  <c r="I37" i="8"/>
  <c r="I41" i="8" s="1"/>
  <c r="H37" i="8"/>
  <c r="H41" i="8" s="1"/>
  <c r="G37" i="8"/>
  <c r="F37" i="8"/>
  <c r="E37" i="8"/>
  <c r="D37" i="8"/>
  <c r="P36" i="8"/>
  <c r="P35" i="8"/>
  <c r="O34" i="8"/>
  <c r="N34" i="8"/>
  <c r="M34" i="8"/>
  <c r="L34" i="8"/>
  <c r="K34" i="8"/>
  <c r="J34" i="8"/>
  <c r="I34" i="8"/>
  <c r="H34" i="8"/>
  <c r="G34" i="8"/>
  <c r="F34" i="8"/>
  <c r="F41" i="8" s="1"/>
  <c r="E34" i="8"/>
  <c r="D34" i="8"/>
  <c r="D41" i="8" s="1"/>
  <c r="P33" i="8"/>
  <c r="P32" i="8"/>
  <c r="O31" i="8"/>
  <c r="N31" i="8"/>
  <c r="M31" i="8"/>
  <c r="L31" i="8"/>
  <c r="K31" i="8"/>
  <c r="J31" i="8"/>
  <c r="I31" i="8"/>
  <c r="H31" i="8"/>
  <c r="G31" i="8"/>
  <c r="F31" i="8"/>
  <c r="E31" i="8"/>
  <c r="D31" i="8"/>
  <c r="P30" i="8"/>
  <c r="P29" i="8"/>
  <c r="O28" i="8"/>
  <c r="N28" i="8"/>
  <c r="M28" i="8"/>
  <c r="L28" i="8"/>
  <c r="K28" i="8"/>
  <c r="J28" i="8"/>
  <c r="I28" i="8"/>
  <c r="H28" i="8"/>
  <c r="G28" i="8"/>
  <c r="F28" i="8"/>
  <c r="E28" i="8"/>
  <c r="D28" i="8"/>
  <c r="P27" i="8"/>
  <c r="P26" i="8"/>
  <c r="O24" i="8"/>
  <c r="N24" i="8"/>
  <c r="M24" i="8"/>
  <c r="L24" i="8"/>
  <c r="K24" i="8"/>
  <c r="J24" i="8"/>
  <c r="I24" i="8"/>
  <c r="H24" i="8"/>
  <c r="G24" i="8"/>
  <c r="F24" i="8"/>
  <c r="E24" i="8"/>
  <c r="D24" i="8"/>
  <c r="P23" i="8"/>
  <c r="P22" i="8"/>
  <c r="O21" i="8"/>
  <c r="N21" i="8"/>
  <c r="M21" i="8"/>
  <c r="L21" i="8"/>
  <c r="L25" i="8" s="1"/>
  <c r="K21" i="8"/>
  <c r="K25" i="8" s="1"/>
  <c r="J21" i="8"/>
  <c r="J25" i="8" s="1"/>
  <c r="I21" i="8"/>
  <c r="I25" i="8" s="1"/>
  <c r="H21" i="8"/>
  <c r="H25" i="8" s="1"/>
  <c r="G21" i="8"/>
  <c r="F21" i="8"/>
  <c r="P21" i="8" s="1"/>
  <c r="E21" i="8"/>
  <c r="D21" i="8"/>
  <c r="P20" i="8"/>
  <c r="P19" i="8"/>
  <c r="O18" i="8"/>
  <c r="N18" i="8"/>
  <c r="M18" i="8"/>
  <c r="L18" i="8"/>
  <c r="K18" i="8"/>
  <c r="J18" i="8"/>
  <c r="I18" i="8"/>
  <c r="H18" i="8"/>
  <c r="G18" i="8"/>
  <c r="F18" i="8"/>
  <c r="E18" i="8"/>
  <c r="E25" i="8" s="1"/>
  <c r="D18" i="8"/>
  <c r="P17" i="8"/>
  <c r="P16" i="8"/>
  <c r="O15" i="8"/>
  <c r="O25" i="8" s="1"/>
  <c r="N15" i="8"/>
  <c r="M15" i="8"/>
  <c r="L15" i="8"/>
  <c r="K15" i="8"/>
  <c r="J15" i="8"/>
  <c r="I15" i="8"/>
  <c r="H15" i="8"/>
  <c r="G15" i="8"/>
  <c r="F15" i="8"/>
  <c r="E15" i="8"/>
  <c r="D15" i="8"/>
  <c r="P14" i="8"/>
  <c r="P13" i="8"/>
  <c r="DH73" i="7"/>
  <c r="DI73" i="7" s="1"/>
  <c r="DF73" i="7"/>
  <c r="DE73" i="7"/>
  <c r="DB73" i="7"/>
  <c r="DA73" i="7"/>
  <c r="CW73" i="7"/>
  <c r="CX73" i="7" s="1"/>
  <c r="CU73" i="7"/>
  <c r="CT73" i="7"/>
  <c r="CQ73" i="7"/>
  <c r="CP73" i="7"/>
  <c r="CL73" i="7"/>
  <c r="CM73" i="7" s="1"/>
  <c r="CJ73" i="7"/>
  <c r="CI73" i="7"/>
  <c r="CF73" i="7"/>
  <c r="CE73" i="7"/>
  <c r="CA73" i="7"/>
  <c r="CB73" i="7" s="1"/>
  <c r="BY73" i="7"/>
  <c r="BX73" i="7"/>
  <c r="BU73" i="7"/>
  <c r="BT73" i="7"/>
  <c r="BP73" i="7"/>
  <c r="BQ73" i="7" s="1"/>
  <c r="BN73" i="7"/>
  <c r="BM73" i="7"/>
  <c r="BJ73" i="7"/>
  <c r="BI73" i="7"/>
  <c r="BE73" i="7"/>
  <c r="BF73" i="7" s="1"/>
  <c r="BC73" i="7"/>
  <c r="BB73" i="7"/>
  <c r="AY73" i="7"/>
  <c r="AX73" i="7"/>
  <c r="AT73" i="7"/>
  <c r="AU73" i="7" s="1"/>
  <c r="AR73" i="7"/>
  <c r="AQ73" i="7"/>
  <c r="AN73" i="7"/>
  <c r="AM73" i="7"/>
  <c r="AI73" i="7"/>
  <c r="AJ73" i="7" s="1"/>
  <c r="AG73" i="7"/>
  <c r="AF73" i="7"/>
  <c r="AC73" i="7"/>
  <c r="AB73" i="7"/>
  <c r="X73" i="7"/>
  <c r="Y73" i="7" s="1"/>
  <c r="V73" i="7"/>
  <c r="U73" i="7"/>
  <c r="R73" i="7"/>
  <c r="Q73" i="7"/>
  <c r="M73" i="7"/>
  <c r="N73" i="7" s="1"/>
  <c r="K73" i="7"/>
  <c r="J73" i="7"/>
  <c r="G73" i="7"/>
  <c r="F73" i="7"/>
  <c r="DH72" i="7"/>
  <c r="DI72" i="7" s="1"/>
  <c r="DF72" i="7"/>
  <c r="DE72" i="7"/>
  <c r="DB72" i="7"/>
  <c r="DA72" i="7"/>
  <c r="CW72" i="7"/>
  <c r="CX72" i="7" s="1"/>
  <c r="CU72" i="7"/>
  <c r="CT72" i="7"/>
  <c r="CQ72" i="7"/>
  <c r="CP72" i="7"/>
  <c r="CL72" i="7"/>
  <c r="CM72" i="7" s="1"/>
  <c r="CJ72" i="7"/>
  <c r="CI72" i="7"/>
  <c r="CF72" i="7"/>
  <c r="CE72" i="7"/>
  <c r="CA72" i="7"/>
  <c r="CB72" i="7" s="1"/>
  <c r="BY72" i="7"/>
  <c r="BX72" i="7"/>
  <c r="BU72" i="7"/>
  <c r="BT72" i="7"/>
  <c r="BP72" i="7"/>
  <c r="BQ72" i="7" s="1"/>
  <c r="BN72" i="7"/>
  <c r="BM72" i="7"/>
  <c r="BJ72" i="7"/>
  <c r="BI72" i="7"/>
  <c r="BE72" i="7"/>
  <c r="BF72" i="7" s="1"/>
  <c r="BC72" i="7"/>
  <c r="BB72" i="7"/>
  <c r="AY72" i="7"/>
  <c r="AX72" i="7"/>
  <c r="AT72" i="7"/>
  <c r="AU72" i="7" s="1"/>
  <c r="AR72" i="7"/>
  <c r="AQ72" i="7"/>
  <c r="AN72" i="7"/>
  <c r="AM72" i="7"/>
  <c r="AI72" i="7"/>
  <c r="AJ72" i="7" s="1"/>
  <c r="AG72" i="7"/>
  <c r="AF72" i="7"/>
  <c r="AC72" i="7"/>
  <c r="AB72" i="7"/>
  <c r="X72" i="7"/>
  <c r="Y72" i="7" s="1"/>
  <c r="V72" i="7"/>
  <c r="U72" i="7"/>
  <c r="R72" i="7"/>
  <c r="Q72" i="7"/>
  <c r="M72" i="7"/>
  <c r="N72" i="7" s="1"/>
  <c r="K72" i="7"/>
  <c r="J72" i="7"/>
  <c r="G72" i="7"/>
  <c r="F72" i="7"/>
  <c r="DH71" i="7"/>
  <c r="DI71" i="7" s="1"/>
  <c r="DF71" i="7"/>
  <c r="DE71" i="7"/>
  <c r="DB71" i="7"/>
  <c r="DA71" i="7"/>
  <c r="CW71" i="7"/>
  <c r="CX71" i="7" s="1"/>
  <c r="CU71" i="7"/>
  <c r="CT71" i="7"/>
  <c r="CQ71" i="7"/>
  <c r="CP71" i="7"/>
  <c r="CL71" i="7"/>
  <c r="CM71" i="7" s="1"/>
  <c r="CJ71" i="7"/>
  <c r="CI71" i="7"/>
  <c r="CF71" i="7"/>
  <c r="CE71" i="7"/>
  <c r="CA71" i="7"/>
  <c r="CB71" i="7" s="1"/>
  <c r="BY71" i="7"/>
  <c r="BX71" i="7"/>
  <c r="BU71" i="7"/>
  <c r="BT71" i="7"/>
  <c r="BP71" i="7"/>
  <c r="BQ71" i="7" s="1"/>
  <c r="BN71" i="7"/>
  <c r="BM71" i="7"/>
  <c r="BJ71" i="7"/>
  <c r="BI71" i="7"/>
  <c r="BE71" i="7"/>
  <c r="BF71" i="7" s="1"/>
  <c r="BC71" i="7"/>
  <c r="BB71" i="7"/>
  <c r="AY71" i="7"/>
  <c r="AX71" i="7"/>
  <c r="AT71" i="7"/>
  <c r="AU71" i="7" s="1"/>
  <c r="AR71" i="7"/>
  <c r="AQ71" i="7"/>
  <c r="AN71" i="7"/>
  <c r="AM71" i="7"/>
  <c r="AI71" i="7"/>
  <c r="AJ71" i="7" s="1"/>
  <c r="AG71" i="7"/>
  <c r="AF71" i="7"/>
  <c r="AC71" i="7"/>
  <c r="AB71" i="7"/>
  <c r="X71" i="7"/>
  <c r="Y71" i="7" s="1"/>
  <c r="V71" i="7"/>
  <c r="U71" i="7"/>
  <c r="R71" i="7"/>
  <c r="Q71" i="7"/>
  <c r="M71" i="7"/>
  <c r="N71" i="7" s="1"/>
  <c r="K71" i="7"/>
  <c r="J71" i="7"/>
  <c r="G71" i="7"/>
  <c r="F71" i="7"/>
  <c r="DG70" i="7"/>
  <c r="DD70" i="7"/>
  <c r="DC70" i="7"/>
  <c r="CZ70" i="7"/>
  <c r="CY70" i="7"/>
  <c r="CV70" i="7"/>
  <c r="CS70" i="7"/>
  <c r="CR70" i="7"/>
  <c r="CO70" i="7"/>
  <c r="CN70" i="7"/>
  <c r="CK70" i="7"/>
  <c r="CH70" i="7"/>
  <c r="CG70" i="7"/>
  <c r="CD70" i="7"/>
  <c r="CC70" i="7"/>
  <c r="BZ70" i="7"/>
  <c r="BW70" i="7"/>
  <c r="BV70" i="7"/>
  <c r="BS70" i="7"/>
  <c r="BR70" i="7"/>
  <c r="BO70" i="7"/>
  <c r="BL70" i="7"/>
  <c r="BK70" i="7"/>
  <c r="BM70" i="7" s="1"/>
  <c r="BH70" i="7"/>
  <c r="BG70" i="7"/>
  <c r="BD70" i="7"/>
  <c r="BA70" i="7"/>
  <c r="AZ70" i="7"/>
  <c r="AW70" i="7"/>
  <c r="AV70" i="7"/>
  <c r="AS70" i="7"/>
  <c r="AP70" i="7"/>
  <c r="AO70" i="7"/>
  <c r="AL70" i="7"/>
  <c r="AK70" i="7"/>
  <c r="AH70" i="7"/>
  <c r="AE70" i="7"/>
  <c r="AD70" i="7"/>
  <c r="AA70" i="7"/>
  <c r="Z70" i="7"/>
  <c r="W70" i="7"/>
  <c r="T70" i="7"/>
  <c r="S70" i="7"/>
  <c r="X70" i="7" s="1"/>
  <c r="Y70" i="7" s="1"/>
  <c r="P70" i="7"/>
  <c r="O70" i="7"/>
  <c r="L70" i="7"/>
  <c r="I70" i="7"/>
  <c r="H70" i="7"/>
  <c r="E70" i="7"/>
  <c r="D70" i="7"/>
  <c r="DH69" i="7"/>
  <c r="DI69" i="7" s="1"/>
  <c r="DF69" i="7"/>
  <c r="DE69" i="7"/>
  <c r="DB69" i="7"/>
  <c r="DA69" i="7"/>
  <c r="CW69" i="7"/>
  <c r="CX69" i="7" s="1"/>
  <c r="CU69" i="7"/>
  <c r="CT69" i="7"/>
  <c r="CQ69" i="7"/>
  <c r="CP69" i="7"/>
  <c r="CL69" i="7"/>
  <c r="CM69" i="7" s="1"/>
  <c r="CJ69" i="7"/>
  <c r="CI69" i="7"/>
  <c r="CF69" i="7"/>
  <c r="CE69" i="7"/>
  <c r="CA69" i="7"/>
  <c r="CB69" i="7" s="1"/>
  <c r="BY69" i="7"/>
  <c r="BX69" i="7"/>
  <c r="BU69" i="7"/>
  <c r="BT69" i="7"/>
  <c r="BP69" i="7"/>
  <c r="BQ69" i="7" s="1"/>
  <c r="BN69" i="7"/>
  <c r="BM69" i="7"/>
  <c r="BJ69" i="7"/>
  <c r="BI69" i="7"/>
  <c r="BE69" i="7"/>
  <c r="BF69" i="7" s="1"/>
  <c r="BC69" i="7"/>
  <c r="BB69" i="7"/>
  <c r="AY69" i="7"/>
  <c r="AX69" i="7"/>
  <c r="AT69" i="7"/>
  <c r="AU69" i="7" s="1"/>
  <c r="AR69" i="7"/>
  <c r="AQ69" i="7"/>
  <c r="AN69" i="7"/>
  <c r="AM69" i="7"/>
  <c r="AI69" i="7"/>
  <c r="AJ69" i="7" s="1"/>
  <c r="AG69" i="7"/>
  <c r="AF69" i="7"/>
  <c r="AC69" i="7"/>
  <c r="AB69" i="7"/>
  <c r="X69" i="7"/>
  <c r="Y69" i="7" s="1"/>
  <c r="V69" i="7"/>
  <c r="U69" i="7"/>
  <c r="R69" i="7"/>
  <c r="Q69" i="7"/>
  <c r="M69" i="7"/>
  <c r="N69" i="7" s="1"/>
  <c r="K69" i="7"/>
  <c r="J69" i="7"/>
  <c r="G69" i="7"/>
  <c r="F69" i="7"/>
  <c r="DG68" i="7"/>
  <c r="DD68" i="7"/>
  <c r="DC68" i="7"/>
  <c r="CZ68" i="7"/>
  <c r="CY68" i="7"/>
  <c r="CV68" i="7"/>
  <c r="CS68" i="7"/>
  <c r="CR68" i="7"/>
  <c r="CO68" i="7"/>
  <c r="CN68" i="7"/>
  <c r="CK68" i="7"/>
  <c r="CH68" i="7"/>
  <c r="CG68" i="7"/>
  <c r="CD68" i="7"/>
  <c r="CC68" i="7"/>
  <c r="BZ68" i="7"/>
  <c r="BW68" i="7"/>
  <c r="BV68" i="7"/>
  <c r="BS68" i="7"/>
  <c r="BR68" i="7"/>
  <c r="BO68" i="7"/>
  <c r="BL68" i="7"/>
  <c r="BK68" i="7"/>
  <c r="BH68" i="7"/>
  <c r="BG68" i="7"/>
  <c r="BD68" i="7"/>
  <c r="BA68" i="7"/>
  <c r="AZ68" i="7"/>
  <c r="AW68" i="7"/>
  <c r="AV68" i="7"/>
  <c r="AS68" i="7"/>
  <c r="AP68" i="7"/>
  <c r="AO68" i="7"/>
  <c r="AL68" i="7"/>
  <c r="AK68" i="7"/>
  <c r="AH68" i="7"/>
  <c r="AE68" i="7"/>
  <c r="AD68" i="7"/>
  <c r="AA68" i="7"/>
  <c r="Z68" i="7"/>
  <c r="W68" i="7"/>
  <c r="T68" i="7"/>
  <c r="S68" i="7"/>
  <c r="P68" i="7"/>
  <c r="O68" i="7"/>
  <c r="L68" i="7"/>
  <c r="I68" i="7"/>
  <c r="H68" i="7"/>
  <c r="E68" i="7"/>
  <c r="D68" i="7"/>
  <c r="DG65" i="7"/>
  <c r="DC65" i="7"/>
  <c r="CV65" i="7"/>
  <c r="CS65" i="7"/>
  <c r="CR65" i="7"/>
  <c r="CK65" i="7"/>
  <c r="CG65" i="7"/>
  <c r="BZ65" i="7"/>
  <c r="BV65" i="7"/>
  <c r="CA65" i="7" s="1"/>
  <c r="CB65" i="7" s="1"/>
  <c r="BS65" i="7"/>
  <c r="BO65" i="7"/>
  <c r="BK65" i="7"/>
  <c r="BD65" i="7"/>
  <c r="AZ65" i="7"/>
  <c r="AS65" i="7"/>
  <c r="AO65" i="7"/>
  <c r="AH65" i="7"/>
  <c r="AD65" i="7"/>
  <c r="AA65" i="7"/>
  <c r="W65" i="7"/>
  <c r="S65" i="7"/>
  <c r="L65" i="7"/>
  <c r="H65" i="7"/>
  <c r="DH64" i="7"/>
  <c r="DI64" i="7" s="1"/>
  <c r="DD64" i="7"/>
  <c r="DF64" i="7" s="1"/>
  <c r="CZ64" i="7"/>
  <c r="CY64" i="7"/>
  <c r="CW64" i="7"/>
  <c r="CX64" i="7" s="1"/>
  <c r="CU64" i="7"/>
  <c r="CT64" i="7"/>
  <c r="CS64" i="7"/>
  <c r="CO64" i="7"/>
  <c r="CN64" i="7"/>
  <c r="CL64" i="7"/>
  <c r="CM64" i="7" s="1"/>
  <c r="CH64" i="7"/>
  <c r="CD64" i="7"/>
  <c r="CC64" i="7"/>
  <c r="CF64" i="7" s="1"/>
  <c r="CA64" i="7"/>
  <c r="CB64" i="7" s="1"/>
  <c r="BW64" i="7"/>
  <c r="BX64" i="7" s="1"/>
  <c r="BS64" i="7"/>
  <c r="BR64" i="7"/>
  <c r="BU64" i="7" s="1"/>
  <c r="BP64" i="7"/>
  <c r="BQ64" i="7" s="1"/>
  <c r="BM64" i="7"/>
  <c r="BL64" i="7"/>
  <c r="BH64" i="7"/>
  <c r="BG64" i="7"/>
  <c r="BI64" i="7" s="1"/>
  <c r="BE64" i="7"/>
  <c r="BF64" i="7" s="1"/>
  <c r="BA64" i="7"/>
  <c r="AW64" i="7"/>
  <c r="AV64" i="7"/>
  <c r="AY64" i="7" s="1"/>
  <c r="AT64" i="7"/>
  <c r="AU64" i="7" s="1"/>
  <c r="AR64" i="7"/>
  <c r="AQ64" i="7"/>
  <c r="AP64" i="7"/>
  <c r="AL64" i="7"/>
  <c r="AK64" i="7"/>
  <c r="AI64" i="7"/>
  <c r="AJ64" i="7" s="1"/>
  <c r="AE64" i="7"/>
  <c r="AA64" i="7"/>
  <c r="Z64" i="7"/>
  <c r="AC64" i="7" s="1"/>
  <c r="X64" i="7"/>
  <c r="Y64" i="7" s="1"/>
  <c r="T64" i="7"/>
  <c r="P64" i="7"/>
  <c r="O64" i="7"/>
  <c r="Q64" i="7" s="1"/>
  <c r="M64" i="7"/>
  <c r="N64" i="7" s="1"/>
  <c r="I64" i="7"/>
  <c r="K64" i="7" s="1"/>
  <c r="E64" i="7"/>
  <c r="D64" i="7"/>
  <c r="DH63" i="7"/>
  <c r="DI63" i="7" s="1"/>
  <c r="DD63" i="7"/>
  <c r="DE63" i="7" s="1"/>
  <c r="CZ63" i="7"/>
  <c r="CY63" i="7"/>
  <c r="CW63" i="7"/>
  <c r="CX63" i="7" s="1"/>
  <c r="CS63" i="7"/>
  <c r="CU63" i="7" s="1"/>
  <c r="CO63" i="7"/>
  <c r="CN63" i="7"/>
  <c r="CL63" i="7"/>
  <c r="CM63" i="7" s="1"/>
  <c r="CJ63" i="7"/>
  <c r="CI63" i="7"/>
  <c r="CH63" i="7"/>
  <c r="CD63" i="7"/>
  <c r="CC63" i="7"/>
  <c r="CA63" i="7"/>
  <c r="CB63" i="7" s="1"/>
  <c r="BW63" i="7"/>
  <c r="BS63" i="7"/>
  <c r="BR63" i="7"/>
  <c r="BU63" i="7" s="1"/>
  <c r="BP63" i="7"/>
  <c r="BQ63" i="7" s="1"/>
  <c r="BL63" i="7"/>
  <c r="BH63" i="7"/>
  <c r="BG63" i="7"/>
  <c r="BE63" i="7"/>
  <c r="BF63" i="7" s="1"/>
  <c r="BA63" i="7"/>
  <c r="BB63" i="7" s="1"/>
  <c r="AW63" i="7"/>
  <c r="AW65" i="7" s="1"/>
  <c r="AV63" i="7"/>
  <c r="AT63" i="7"/>
  <c r="AU63" i="7" s="1"/>
  <c r="AP63" i="7"/>
  <c r="AL63" i="7"/>
  <c r="AK63" i="7"/>
  <c r="AN63" i="7" s="1"/>
  <c r="AI63" i="7"/>
  <c r="AJ63" i="7" s="1"/>
  <c r="AE63" i="7"/>
  <c r="AA63" i="7"/>
  <c r="Z63" i="7"/>
  <c r="X63" i="7"/>
  <c r="Y63" i="7" s="1"/>
  <c r="T63" i="7"/>
  <c r="U63" i="7" s="1"/>
  <c r="P63" i="7"/>
  <c r="O63" i="7"/>
  <c r="M63" i="7"/>
  <c r="N63" i="7" s="1"/>
  <c r="I63" i="7"/>
  <c r="I65" i="7" s="1"/>
  <c r="E63" i="7"/>
  <c r="D63" i="7"/>
  <c r="DG62" i="7"/>
  <c r="DD62" i="7"/>
  <c r="DC62" i="7"/>
  <c r="CZ62" i="7"/>
  <c r="CY62" i="7"/>
  <c r="CV62" i="7"/>
  <c r="CS62" i="7"/>
  <c r="CR62" i="7"/>
  <c r="CO62" i="7"/>
  <c r="CN62" i="7"/>
  <c r="CK62" i="7"/>
  <c r="CH62" i="7"/>
  <c r="CG62" i="7"/>
  <c r="CD62" i="7"/>
  <c r="CC62" i="7"/>
  <c r="BZ62" i="7"/>
  <c r="BW62" i="7"/>
  <c r="BV62" i="7"/>
  <c r="BS62" i="7"/>
  <c r="BR62" i="7"/>
  <c r="BO62" i="7"/>
  <c r="BL62" i="7"/>
  <c r="BK62" i="7"/>
  <c r="BN62" i="7" s="1"/>
  <c r="BH62" i="7"/>
  <c r="BG62" i="7"/>
  <c r="BD62" i="7"/>
  <c r="BA62" i="7"/>
  <c r="AZ62" i="7"/>
  <c r="BE62" i="7" s="1"/>
  <c r="BF62" i="7" s="1"/>
  <c r="AW62" i="7"/>
  <c r="AV62" i="7"/>
  <c r="AS62" i="7"/>
  <c r="AP62" i="7"/>
  <c r="AO62" i="7"/>
  <c r="AL62" i="7"/>
  <c r="AK62" i="7"/>
  <c r="AH62" i="7"/>
  <c r="AE62" i="7"/>
  <c r="AD62" i="7"/>
  <c r="AA62" i="7"/>
  <c r="Z62" i="7"/>
  <c r="W62" i="7"/>
  <c r="T62" i="7"/>
  <c r="S62" i="7"/>
  <c r="P62" i="7"/>
  <c r="O62" i="7"/>
  <c r="L62" i="7"/>
  <c r="I62" i="7"/>
  <c r="H62" i="7"/>
  <c r="M62" i="7" s="1"/>
  <c r="N62" i="7" s="1"/>
  <c r="E62" i="7"/>
  <c r="D62" i="7"/>
  <c r="DH61" i="7"/>
  <c r="DI61" i="7" s="1"/>
  <c r="DF61" i="7"/>
  <c r="DE61" i="7"/>
  <c r="DB61" i="7"/>
  <c r="DA61" i="7"/>
  <c r="CW61" i="7"/>
  <c r="CX61" i="7" s="1"/>
  <c r="CU61" i="7"/>
  <c r="CT61" i="7"/>
  <c r="CQ61" i="7"/>
  <c r="CP61" i="7"/>
  <c r="CL61" i="7"/>
  <c r="CM61" i="7" s="1"/>
  <c r="CJ61" i="7"/>
  <c r="CI61" i="7"/>
  <c r="CF61" i="7"/>
  <c r="CE61" i="7"/>
  <c r="CA61" i="7"/>
  <c r="CB61" i="7" s="1"/>
  <c r="BY61" i="7"/>
  <c r="BX61" i="7"/>
  <c r="BU61" i="7"/>
  <c r="BT61" i="7"/>
  <c r="BP61" i="7"/>
  <c r="BQ61" i="7" s="1"/>
  <c r="BN61" i="7"/>
  <c r="BM61" i="7"/>
  <c r="BJ61" i="7"/>
  <c r="BI61" i="7"/>
  <c r="BE61" i="7"/>
  <c r="BF61" i="7" s="1"/>
  <c r="BC61" i="7"/>
  <c r="BB61" i="7"/>
  <c r="AY61" i="7"/>
  <c r="AX61" i="7"/>
  <c r="AT61" i="7"/>
  <c r="AU61" i="7" s="1"/>
  <c r="AR61" i="7"/>
  <c r="AQ61" i="7"/>
  <c r="AN61" i="7"/>
  <c r="AM61" i="7"/>
  <c r="AI61" i="7"/>
  <c r="AJ61" i="7" s="1"/>
  <c r="AG61" i="7"/>
  <c r="AF61" i="7"/>
  <c r="AC61" i="7"/>
  <c r="AB61" i="7"/>
  <c r="X61" i="7"/>
  <c r="Y61" i="7" s="1"/>
  <c r="V61" i="7"/>
  <c r="U61" i="7"/>
  <c r="R61" i="7"/>
  <c r="Q61" i="7"/>
  <c r="M61" i="7"/>
  <c r="N61" i="7" s="1"/>
  <c r="K61" i="7"/>
  <c r="J61" i="7"/>
  <c r="G61" i="7"/>
  <c r="F61" i="7"/>
  <c r="DH60" i="7"/>
  <c r="DI60" i="7" s="1"/>
  <c r="DF60" i="7"/>
  <c r="DE60" i="7"/>
  <c r="DB60" i="7"/>
  <c r="DA60" i="7"/>
  <c r="CW60" i="7"/>
  <c r="CX60" i="7" s="1"/>
  <c r="CU60" i="7"/>
  <c r="CT60" i="7"/>
  <c r="CQ60" i="7"/>
  <c r="CP60" i="7"/>
  <c r="CL60" i="7"/>
  <c r="CM60" i="7" s="1"/>
  <c r="CJ60" i="7"/>
  <c r="CI60" i="7"/>
  <c r="CF60" i="7"/>
  <c r="CE60" i="7"/>
  <c r="CA60" i="7"/>
  <c r="CB60" i="7" s="1"/>
  <c r="BY60" i="7"/>
  <c r="BX60" i="7"/>
  <c r="BU60" i="7"/>
  <c r="BT60" i="7"/>
  <c r="BP60" i="7"/>
  <c r="BQ60" i="7" s="1"/>
  <c r="BN60" i="7"/>
  <c r="BM60" i="7"/>
  <c r="BJ60" i="7"/>
  <c r="BI60" i="7"/>
  <c r="BE60" i="7"/>
  <c r="BF60" i="7" s="1"/>
  <c r="BC60" i="7"/>
  <c r="BB60" i="7"/>
  <c r="AY60" i="7"/>
  <c r="AX60" i="7"/>
  <c r="AT60" i="7"/>
  <c r="AU60" i="7" s="1"/>
  <c r="AR60" i="7"/>
  <c r="AQ60" i="7"/>
  <c r="AN60" i="7"/>
  <c r="AM60" i="7"/>
  <c r="AI60" i="7"/>
  <c r="AJ60" i="7" s="1"/>
  <c r="AG60" i="7"/>
  <c r="AF60" i="7"/>
  <c r="AC60" i="7"/>
  <c r="AB60" i="7"/>
  <c r="X60" i="7"/>
  <c r="Y60" i="7" s="1"/>
  <c r="V60" i="7"/>
  <c r="U60" i="7"/>
  <c r="R60" i="7"/>
  <c r="Q60" i="7"/>
  <c r="M60" i="7"/>
  <c r="N60" i="7" s="1"/>
  <c r="K60" i="7"/>
  <c r="J60" i="7"/>
  <c r="G60" i="7"/>
  <c r="F60" i="7"/>
  <c r="DG59" i="7"/>
  <c r="DD59" i="7"/>
  <c r="CZ59" i="7"/>
  <c r="CV59" i="7"/>
  <c r="CS59" i="7"/>
  <c r="CO59" i="7"/>
  <c r="CK59" i="7"/>
  <c r="CH59" i="7"/>
  <c r="CD59" i="7"/>
  <c r="BZ59" i="7"/>
  <c r="BW59" i="7"/>
  <c r="BS59" i="7"/>
  <c r="BO59" i="7"/>
  <c r="BL59" i="7"/>
  <c r="BH59" i="7"/>
  <c r="BD59" i="7"/>
  <c r="BA59" i="7"/>
  <c r="AW59" i="7"/>
  <c r="AS59" i="7"/>
  <c r="AP59" i="7"/>
  <c r="AL59" i="7"/>
  <c r="AH59" i="7"/>
  <c r="AE59" i="7"/>
  <c r="AA59" i="7"/>
  <c r="W59" i="7"/>
  <c r="T59" i="7"/>
  <c r="P59" i="7"/>
  <c r="O59" i="7"/>
  <c r="L59" i="7"/>
  <c r="I59" i="7"/>
  <c r="E59" i="7"/>
  <c r="DC58" i="7"/>
  <c r="CY58" i="7"/>
  <c r="DB58" i="7" s="1"/>
  <c r="CW58" i="7"/>
  <c r="CX58" i="7" s="1"/>
  <c r="CU58" i="7"/>
  <c r="CR58" i="7"/>
  <c r="CT58" i="7" s="1"/>
  <c r="CN58" i="7"/>
  <c r="CG58" i="7"/>
  <c r="CC58" i="7"/>
  <c r="CE58" i="7" s="1"/>
  <c r="BV58" i="7"/>
  <c r="CA58" i="7" s="1"/>
  <c r="CB58" i="7" s="1"/>
  <c r="BR58" i="7"/>
  <c r="BK58" i="7"/>
  <c r="BG58" i="7"/>
  <c r="BJ58" i="7" s="1"/>
  <c r="AZ58" i="7"/>
  <c r="BB58" i="7" s="1"/>
  <c r="AV58" i="7"/>
  <c r="AO58" i="7"/>
  <c r="AT58" i="7" s="1"/>
  <c r="AU58" i="7" s="1"/>
  <c r="AK58" i="7"/>
  <c r="AM58" i="7" s="1"/>
  <c r="AD58" i="7"/>
  <c r="Z58" i="7"/>
  <c r="X58" i="7"/>
  <c r="Y58" i="7" s="1"/>
  <c r="V58" i="7"/>
  <c r="S58" i="7"/>
  <c r="O58" i="7"/>
  <c r="J58" i="7"/>
  <c r="H58" i="7"/>
  <c r="K58" i="7" s="1"/>
  <c r="D58" i="7"/>
  <c r="DC57" i="7"/>
  <c r="DF57" i="7" s="1"/>
  <c r="CY57" i="7"/>
  <c r="CR57" i="7"/>
  <c r="CR59" i="7" s="1"/>
  <c r="CN57" i="7"/>
  <c r="CP57" i="7" s="1"/>
  <c r="CL57" i="7"/>
  <c r="CM57" i="7" s="1"/>
  <c r="CJ57" i="7"/>
  <c r="CI57" i="7"/>
  <c r="CG57" i="7"/>
  <c r="CC57" i="7"/>
  <c r="BV57" i="7"/>
  <c r="BX57" i="7" s="1"/>
  <c r="BT57" i="7"/>
  <c r="BR57" i="7"/>
  <c r="BU57" i="7" s="1"/>
  <c r="BK57" i="7"/>
  <c r="BG57" i="7"/>
  <c r="AZ57" i="7"/>
  <c r="AV57" i="7"/>
  <c r="AT57" i="7"/>
  <c r="AU57" i="7" s="1"/>
  <c r="AQ57" i="7"/>
  <c r="AO57" i="7"/>
  <c r="AK57" i="7"/>
  <c r="AD57" i="7"/>
  <c r="AG57" i="7" s="1"/>
  <c r="AB57" i="7"/>
  <c r="Z57" i="7"/>
  <c r="S57" i="7"/>
  <c r="O57" i="7"/>
  <c r="K57" i="7"/>
  <c r="H57" i="7"/>
  <c r="J57" i="7" s="1"/>
  <c r="D57" i="7"/>
  <c r="DG55" i="7"/>
  <c r="DG56" i="7" s="1"/>
  <c r="DD55" i="7"/>
  <c r="DD56" i="7" s="1"/>
  <c r="DC55" i="7"/>
  <c r="DF55" i="7" s="1"/>
  <c r="CZ55" i="7"/>
  <c r="CZ56" i="7" s="1"/>
  <c r="CY55" i="7"/>
  <c r="CY56" i="7" s="1"/>
  <c r="CV55" i="7"/>
  <c r="CV56" i="7" s="1"/>
  <c r="CS55" i="7"/>
  <c r="CS56" i="7" s="1"/>
  <c r="CR55" i="7"/>
  <c r="CU55" i="7" s="1"/>
  <c r="CO55" i="7"/>
  <c r="CO56" i="7" s="1"/>
  <c r="CN55" i="7"/>
  <c r="CK55" i="7"/>
  <c r="CK56" i="7" s="1"/>
  <c r="CH55" i="7"/>
  <c r="CH56" i="7" s="1"/>
  <c r="CG55" i="7"/>
  <c r="CD55" i="7"/>
  <c r="CD56" i="7" s="1"/>
  <c r="CC55" i="7"/>
  <c r="BZ55" i="7"/>
  <c r="BZ56" i="7" s="1"/>
  <c r="BW55" i="7"/>
  <c r="BW56" i="7" s="1"/>
  <c r="BV55" i="7"/>
  <c r="BX55" i="7" s="1"/>
  <c r="BS55" i="7"/>
  <c r="BR55" i="7"/>
  <c r="BR56" i="7" s="1"/>
  <c r="BO55" i="7"/>
  <c r="BO56" i="7" s="1"/>
  <c r="BL55" i="7"/>
  <c r="BL56" i="7" s="1"/>
  <c r="BK55" i="7"/>
  <c r="BK56" i="7" s="1"/>
  <c r="BH55" i="7"/>
  <c r="BH56" i="7" s="1"/>
  <c r="BG55" i="7"/>
  <c r="BG56" i="7" s="1"/>
  <c r="BD55" i="7"/>
  <c r="BA55" i="7"/>
  <c r="BA56" i="7" s="1"/>
  <c r="AZ55" i="7"/>
  <c r="AZ56" i="7" s="1"/>
  <c r="AW55" i="7"/>
  <c r="AW56" i="7" s="1"/>
  <c r="AV55" i="7"/>
  <c r="AV56" i="7" s="1"/>
  <c r="AS55" i="7"/>
  <c r="AS56" i="7" s="1"/>
  <c r="AP55" i="7"/>
  <c r="AP56" i="7" s="1"/>
  <c r="AO55" i="7"/>
  <c r="AQ55" i="7" s="1"/>
  <c r="AL55" i="7"/>
  <c r="AL56" i="7" s="1"/>
  <c r="AK55" i="7"/>
  <c r="AK56" i="7" s="1"/>
  <c r="AH55" i="7"/>
  <c r="AH56" i="7" s="1"/>
  <c r="AE55" i="7"/>
  <c r="AE56" i="7" s="1"/>
  <c r="AD55" i="7"/>
  <c r="AG55" i="7" s="1"/>
  <c r="AA55" i="7"/>
  <c r="AA56" i="7" s="1"/>
  <c r="Z55" i="7"/>
  <c r="W55" i="7"/>
  <c r="W56" i="7" s="1"/>
  <c r="T55" i="7"/>
  <c r="T56" i="7" s="1"/>
  <c r="S55" i="7"/>
  <c r="U55" i="7" s="1"/>
  <c r="P55" i="7"/>
  <c r="P56" i="7" s="1"/>
  <c r="O55" i="7"/>
  <c r="O56" i="7" s="1"/>
  <c r="L55" i="7"/>
  <c r="L56" i="7" s="1"/>
  <c r="I55" i="7"/>
  <c r="I56" i="7" s="1"/>
  <c r="H55" i="7"/>
  <c r="H56" i="7" s="1"/>
  <c r="E55" i="7"/>
  <c r="E56" i="7" s="1"/>
  <c r="D55" i="7"/>
  <c r="D56" i="7" s="1"/>
  <c r="DH54" i="7"/>
  <c r="DI54" i="7" s="1"/>
  <c r="DF54" i="7"/>
  <c r="DE54" i="7"/>
  <c r="DB54" i="7"/>
  <c r="DA54" i="7"/>
  <c r="CW54" i="7"/>
  <c r="CX54" i="7" s="1"/>
  <c r="CU54" i="7"/>
  <c r="CT54" i="7"/>
  <c r="CQ54" i="7"/>
  <c r="CP54" i="7"/>
  <c r="CL54" i="7"/>
  <c r="CM54" i="7" s="1"/>
  <c r="CJ54" i="7"/>
  <c r="CI54" i="7"/>
  <c r="CF54" i="7"/>
  <c r="CE54" i="7"/>
  <c r="CA54" i="7"/>
  <c r="CB54" i="7" s="1"/>
  <c r="BY54" i="7"/>
  <c r="BX54" i="7"/>
  <c r="BU54" i="7"/>
  <c r="BT54" i="7"/>
  <c r="BP54" i="7"/>
  <c r="BQ54" i="7" s="1"/>
  <c r="BN54" i="7"/>
  <c r="BM54" i="7"/>
  <c r="BJ54" i="7"/>
  <c r="BI54" i="7"/>
  <c r="BE54" i="7"/>
  <c r="BF54" i="7" s="1"/>
  <c r="BC54" i="7"/>
  <c r="BB54" i="7"/>
  <c r="AY54" i="7"/>
  <c r="AX54" i="7"/>
  <c r="AT54" i="7"/>
  <c r="AU54" i="7" s="1"/>
  <c r="AR54" i="7"/>
  <c r="AQ54" i="7"/>
  <c r="AN54" i="7"/>
  <c r="AM54" i="7"/>
  <c r="AI54" i="7"/>
  <c r="AJ54" i="7" s="1"/>
  <c r="AG54" i="7"/>
  <c r="AF54" i="7"/>
  <c r="AC54" i="7"/>
  <c r="AB54" i="7"/>
  <c r="X54" i="7"/>
  <c r="Y54" i="7" s="1"/>
  <c r="V54" i="7"/>
  <c r="U54" i="7"/>
  <c r="R54" i="7"/>
  <c r="Q54" i="7"/>
  <c r="M54" i="7"/>
  <c r="N54" i="7" s="1"/>
  <c r="K54" i="7"/>
  <c r="J54" i="7"/>
  <c r="G54" i="7"/>
  <c r="F54" i="7"/>
  <c r="DH53" i="7"/>
  <c r="DI53" i="7" s="1"/>
  <c r="DF53" i="7"/>
  <c r="DE53" i="7"/>
  <c r="DB53" i="7"/>
  <c r="DA53" i="7"/>
  <c r="CW53" i="7"/>
  <c r="CX53" i="7" s="1"/>
  <c r="CU53" i="7"/>
  <c r="CT53" i="7"/>
  <c r="CQ53" i="7"/>
  <c r="CP53" i="7"/>
  <c r="CL53" i="7"/>
  <c r="CM53" i="7" s="1"/>
  <c r="CJ53" i="7"/>
  <c r="CI53" i="7"/>
  <c r="CF53" i="7"/>
  <c r="CE53" i="7"/>
  <c r="CA53" i="7"/>
  <c r="CB53" i="7" s="1"/>
  <c r="BY53" i="7"/>
  <c r="BX53" i="7"/>
  <c r="BU53" i="7"/>
  <c r="BT53" i="7"/>
  <c r="BP53" i="7"/>
  <c r="BQ53" i="7" s="1"/>
  <c r="BN53" i="7"/>
  <c r="BM53" i="7"/>
  <c r="BJ53" i="7"/>
  <c r="BI53" i="7"/>
  <c r="BE53" i="7"/>
  <c r="BF53" i="7" s="1"/>
  <c r="BC53" i="7"/>
  <c r="BB53" i="7"/>
  <c r="AY53" i="7"/>
  <c r="AX53" i="7"/>
  <c r="AT53" i="7"/>
  <c r="AU53" i="7" s="1"/>
  <c r="AR53" i="7"/>
  <c r="AQ53" i="7"/>
  <c r="AN53" i="7"/>
  <c r="AM53" i="7"/>
  <c r="AI53" i="7"/>
  <c r="AJ53" i="7" s="1"/>
  <c r="AG53" i="7"/>
  <c r="AF53" i="7"/>
  <c r="AC53" i="7"/>
  <c r="AB53" i="7"/>
  <c r="X53" i="7"/>
  <c r="Y53" i="7" s="1"/>
  <c r="V53" i="7"/>
  <c r="U53" i="7"/>
  <c r="R53" i="7"/>
  <c r="Q53" i="7"/>
  <c r="M53" i="7"/>
  <c r="N53" i="7" s="1"/>
  <c r="K53" i="7"/>
  <c r="J53" i="7"/>
  <c r="G53" i="7"/>
  <c r="F53" i="7"/>
  <c r="DG50" i="7"/>
  <c r="DD50" i="7"/>
  <c r="DC50" i="7"/>
  <c r="CY50" i="7"/>
  <c r="CV50" i="7"/>
  <c r="CS50" i="7"/>
  <c r="CR50" i="7"/>
  <c r="CO50" i="7"/>
  <c r="CN50" i="7"/>
  <c r="CK50" i="7"/>
  <c r="CH50" i="7"/>
  <c r="CG50" i="7"/>
  <c r="CJ50" i="7" s="1"/>
  <c r="CC50" i="7"/>
  <c r="BZ50" i="7"/>
  <c r="BW50" i="7"/>
  <c r="BV50" i="7"/>
  <c r="BR50" i="7"/>
  <c r="BO50" i="7"/>
  <c r="BL50" i="7"/>
  <c r="BK50" i="7"/>
  <c r="BG50" i="7"/>
  <c r="BD50" i="7"/>
  <c r="BA50" i="7"/>
  <c r="AZ50" i="7"/>
  <c r="AW50" i="7"/>
  <c r="AV50" i="7"/>
  <c r="AS50" i="7"/>
  <c r="AP50" i="7"/>
  <c r="AO50" i="7"/>
  <c r="AK50" i="7"/>
  <c r="AH50" i="7"/>
  <c r="AE50" i="7"/>
  <c r="AD50" i="7"/>
  <c r="Z50" i="7"/>
  <c r="W50" i="7"/>
  <c r="T50" i="7"/>
  <c r="S50" i="7"/>
  <c r="O50" i="7"/>
  <c r="L50" i="7"/>
  <c r="I50" i="7"/>
  <c r="H50" i="7"/>
  <c r="D50" i="7"/>
  <c r="DH49" i="7"/>
  <c r="DI49" i="7" s="1"/>
  <c r="DF49" i="7"/>
  <c r="DE49" i="7"/>
  <c r="DB49" i="7"/>
  <c r="DA49" i="7"/>
  <c r="CZ49" i="7"/>
  <c r="CW49" i="7"/>
  <c r="CX49" i="7" s="1"/>
  <c r="CU49" i="7"/>
  <c r="CT49" i="7"/>
  <c r="CO49" i="7"/>
  <c r="CP49" i="7" s="1"/>
  <c r="CL49" i="7"/>
  <c r="CM49" i="7" s="1"/>
  <c r="CJ49" i="7"/>
  <c r="CI49" i="7"/>
  <c r="CD49" i="7"/>
  <c r="CA49" i="7"/>
  <c r="CB49" i="7" s="1"/>
  <c r="BY49" i="7"/>
  <c r="BX49" i="7"/>
  <c r="BT49" i="7"/>
  <c r="BS49" i="7"/>
  <c r="BU49" i="7" s="1"/>
  <c r="BP49" i="7"/>
  <c r="BQ49" i="7" s="1"/>
  <c r="BN49" i="7"/>
  <c r="BM49" i="7"/>
  <c r="BH49" i="7"/>
  <c r="BE49" i="7"/>
  <c r="BF49" i="7" s="1"/>
  <c r="BC49" i="7"/>
  <c r="BB49" i="7"/>
  <c r="AW49" i="7"/>
  <c r="AT49" i="7"/>
  <c r="AU49" i="7" s="1"/>
  <c r="AR49" i="7"/>
  <c r="AQ49" i="7"/>
  <c r="AL49" i="7"/>
  <c r="AM49" i="7" s="1"/>
  <c r="AI49" i="7"/>
  <c r="AJ49" i="7" s="1"/>
  <c r="AG49" i="7"/>
  <c r="AF49" i="7"/>
  <c r="AA49" i="7"/>
  <c r="X49" i="7"/>
  <c r="Y49" i="7" s="1"/>
  <c r="V49" i="7"/>
  <c r="U49" i="7"/>
  <c r="R49" i="7"/>
  <c r="P49" i="7"/>
  <c r="Q49" i="7" s="1"/>
  <c r="M49" i="7"/>
  <c r="N49" i="7" s="1"/>
  <c r="K49" i="7"/>
  <c r="J49" i="7"/>
  <c r="E49" i="7"/>
  <c r="F49" i="7" s="1"/>
  <c r="DH48" i="7"/>
  <c r="DI48" i="7" s="1"/>
  <c r="DF48" i="7"/>
  <c r="DE48" i="7"/>
  <c r="CZ48" i="7"/>
  <c r="CZ50" i="7" s="1"/>
  <c r="CW48" i="7"/>
  <c r="CX48" i="7" s="1"/>
  <c r="CU48" i="7"/>
  <c r="CT48" i="7"/>
  <c r="CQ48" i="7"/>
  <c r="CP48" i="7"/>
  <c r="CO48" i="7"/>
  <c r="CL48" i="7"/>
  <c r="CM48" i="7" s="1"/>
  <c r="CJ48" i="7"/>
  <c r="CI48" i="7"/>
  <c r="CD48" i="7"/>
  <c r="CA48" i="7"/>
  <c r="CB48" i="7" s="1"/>
  <c r="BY48" i="7"/>
  <c r="BX48" i="7"/>
  <c r="BS48" i="7"/>
  <c r="BS50" i="7" s="1"/>
  <c r="BP48" i="7"/>
  <c r="BQ48" i="7" s="1"/>
  <c r="BN48" i="7"/>
  <c r="BM48" i="7"/>
  <c r="BH48" i="7"/>
  <c r="BE48" i="7"/>
  <c r="BF48" i="7" s="1"/>
  <c r="BC48" i="7"/>
  <c r="BB48" i="7"/>
  <c r="AY48" i="7"/>
  <c r="AW48" i="7"/>
  <c r="AX48" i="7" s="1"/>
  <c r="AT48" i="7"/>
  <c r="AU48" i="7" s="1"/>
  <c r="AR48" i="7"/>
  <c r="AQ48" i="7"/>
  <c r="AL48" i="7"/>
  <c r="AI48" i="7"/>
  <c r="AJ48" i="7" s="1"/>
  <c r="AG48" i="7"/>
  <c r="AF48" i="7"/>
  <c r="AA48" i="7"/>
  <c r="X48" i="7"/>
  <c r="Y48" i="7" s="1"/>
  <c r="V48" i="7"/>
  <c r="U48" i="7"/>
  <c r="P48" i="7"/>
  <c r="M48" i="7"/>
  <c r="N48" i="7" s="1"/>
  <c r="K48" i="7"/>
  <c r="J48" i="7"/>
  <c r="E48" i="7"/>
  <c r="DG47" i="7"/>
  <c r="DD47" i="7"/>
  <c r="CZ47" i="7"/>
  <c r="CY47" i="7"/>
  <c r="CV47" i="7"/>
  <c r="CS47" i="7"/>
  <c r="CO47" i="7"/>
  <c r="CN47" i="7"/>
  <c r="CK47" i="7"/>
  <c r="CH47" i="7"/>
  <c r="CD47" i="7"/>
  <c r="CC47" i="7"/>
  <c r="BZ47" i="7"/>
  <c r="BW47" i="7"/>
  <c r="BS47" i="7"/>
  <c r="BR47" i="7"/>
  <c r="BO47" i="7"/>
  <c r="BL47" i="7"/>
  <c r="BH47" i="7"/>
  <c r="BG47" i="7"/>
  <c r="BD47" i="7"/>
  <c r="BA47" i="7"/>
  <c r="AW47" i="7"/>
  <c r="AV47" i="7"/>
  <c r="AS47" i="7"/>
  <c r="AP47" i="7"/>
  <c r="AL47" i="7"/>
  <c r="AK47" i="7"/>
  <c r="AH47" i="7"/>
  <c r="AE47" i="7"/>
  <c r="AA47" i="7"/>
  <c r="Z47" i="7"/>
  <c r="W47" i="7"/>
  <c r="T47" i="7"/>
  <c r="P47" i="7"/>
  <c r="O47" i="7"/>
  <c r="L47" i="7"/>
  <c r="I47" i="7"/>
  <c r="E47" i="7"/>
  <c r="D47" i="7"/>
  <c r="F47" i="7" s="1"/>
  <c r="DB46" i="7"/>
  <c r="DA46" i="7"/>
  <c r="CQ46" i="7"/>
  <c r="CP46" i="7"/>
  <c r="CF46" i="7"/>
  <c r="CE46" i="7"/>
  <c r="BU46" i="7"/>
  <c r="BT46" i="7"/>
  <c r="BJ46" i="7"/>
  <c r="BI46" i="7"/>
  <c r="AZ46" i="7"/>
  <c r="BE46" i="7" s="1"/>
  <c r="BF46" i="7" s="1"/>
  <c r="AY46" i="7"/>
  <c r="AX46" i="7"/>
  <c r="AO46" i="7"/>
  <c r="AN46" i="7"/>
  <c r="AM46" i="7"/>
  <c r="AC46" i="7"/>
  <c r="AB46" i="7"/>
  <c r="S46" i="7"/>
  <c r="V46" i="7" s="1"/>
  <c r="R46" i="7"/>
  <c r="Q46" i="7"/>
  <c r="G46" i="7"/>
  <c r="F46" i="7"/>
  <c r="DB45" i="7"/>
  <c r="DA45" i="7"/>
  <c r="CQ45" i="7"/>
  <c r="CP45" i="7"/>
  <c r="CF45" i="7"/>
  <c r="CE45" i="7"/>
  <c r="BU45" i="7"/>
  <c r="BT45" i="7"/>
  <c r="BK45" i="7"/>
  <c r="BP45" i="7" s="1"/>
  <c r="BQ45" i="7" s="1"/>
  <c r="BJ45" i="7"/>
  <c r="BI45" i="7"/>
  <c r="AZ45" i="7"/>
  <c r="AY45" i="7"/>
  <c r="AX45" i="7"/>
  <c r="AN45" i="7"/>
  <c r="AM45" i="7"/>
  <c r="AC45" i="7"/>
  <c r="AB45" i="7"/>
  <c r="R45" i="7"/>
  <c r="Q45" i="7"/>
  <c r="H45" i="7"/>
  <c r="G45" i="7"/>
  <c r="F45" i="7"/>
  <c r="DG44" i="7"/>
  <c r="DD44" i="7"/>
  <c r="CZ44" i="7"/>
  <c r="CV44" i="7"/>
  <c r="CS44" i="7"/>
  <c r="CO44" i="7"/>
  <c r="CK44" i="7"/>
  <c r="CH44" i="7"/>
  <c r="CD44" i="7"/>
  <c r="BZ44" i="7"/>
  <c r="BW44" i="7"/>
  <c r="BS44" i="7"/>
  <c r="BO44" i="7"/>
  <c r="BL44" i="7"/>
  <c r="BH44" i="7"/>
  <c r="BD44" i="7"/>
  <c r="BA44" i="7"/>
  <c r="AW44" i="7"/>
  <c r="AS44" i="7"/>
  <c r="AP44" i="7"/>
  <c r="AL44" i="7"/>
  <c r="AH44" i="7"/>
  <c r="AE44" i="7"/>
  <c r="AA44" i="7"/>
  <c r="W44" i="7"/>
  <c r="T44" i="7"/>
  <c r="P44" i="7"/>
  <c r="O44" i="7"/>
  <c r="L44" i="7"/>
  <c r="I44" i="7"/>
  <c r="E44" i="7"/>
  <c r="CY43" i="7"/>
  <c r="CN43" i="7"/>
  <c r="CR46" i="7" s="1"/>
  <c r="CT46" i="7" s="1"/>
  <c r="CC43" i="7"/>
  <c r="BV43" i="7"/>
  <c r="BU43" i="7"/>
  <c r="BR43" i="7"/>
  <c r="BV46" i="7" s="1"/>
  <c r="BG43" i="7"/>
  <c r="BK46" i="7" s="1"/>
  <c r="AZ43" i="7"/>
  <c r="AV43" i="7"/>
  <c r="AX43" i="7" s="1"/>
  <c r="AO43" i="7"/>
  <c r="AT43" i="7" s="1"/>
  <c r="AU43" i="7" s="1"/>
  <c r="AK43" i="7"/>
  <c r="AD43" i="7"/>
  <c r="AC43" i="7"/>
  <c r="AB43" i="7"/>
  <c r="Z43" i="7"/>
  <c r="AD46" i="7" s="1"/>
  <c r="S43" i="7"/>
  <c r="O43" i="7"/>
  <c r="R43" i="7" s="1"/>
  <c r="D43" i="7"/>
  <c r="H46" i="7" s="1"/>
  <c r="CY42" i="7"/>
  <c r="DC45" i="7" s="1"/>
  <c r="CN42" i="7"/>
  <c r="CC42" i="7"/>
  <c r="CG45" i="7" s="1"/>
  <c r="BV42" i="7"/>
  <c r="BX42" i="7" s="1"/>
  <c r="BU42" i="7"/>
  <c r="BT42" i="7"/>
  <c r="BR42" i="7"/>
  <c r="BR44" i="7" s="1"/>
  <c r="BG42" i="7"/>
  <c r="BK42" i="7" s="1"/>
  <c r="BM42" i="7" s="1"/>
  <c r="AV42" i="7"/>
  <c r="AX42" i="7" s="1"/>
  <c r="AK42" i="7"/>
  <c r="AN42" i="7" s="1"/>
  <c r="Z42" i="7"/>
  <c r="AD45" i="7" s="1"/>
  <c r="S42" i="7"/>
  <c r="R42" i="7"/>
  <c r="Q42" i="7"/>
  <c r="O42" i="7"/>
  <c r="S45" i="7" s="1"/>
  <c r="H42" i="7"/>
  <c r="G42" i="7"/>
  <c r="F42" i="7"/>
  <c r="D42" i="7"/>
  <c r="DG40" i="7"/>
  <c r="DD40" i="7"/>
  <c r="DC40" i="7"/>
  <c r="CZ40" i="7"/>
  <c r="CY40" i="7"/>
  <c r="CV40" i="7"/>
  <c r="CS40" i="7"/>
  <c r="CR40" i="7"/>
  <c r="CO40" i="7"/>
  <c r="CN40" i="7"/>
  <c r="CK40" i="7"/>
  <c r="CH40" i="7"/>
  <c r="CG40" i="7"/>
  <c r="CD40" i="7"/>
  <c r="CC40" i="7"/>
  <c r="BZ40" i="7"/>
  <c r="BW40" i="7"/>
  <c r="BV40" i="7"/>
  <c r="BS40" i="7"/>
  <c r="BR40" i="7"/>
  <c r="BO40" i="7"/>
  <c r="BL40" i="7"/>
  <c r="BK40" i="7"/>
  <c r="BH40" i="7"/>
  <c r="BG40" i="7"/>
  <c r="BJ40" i="7" s="1"/>
  <c r="BD40" i="7"/>
  <c r="BA40" i="7"/>
  <c r="AZ40" i="7"/>
  <c r="AW40" i="7"/>
  <c r="AV40" i="7"/>
  <c r="AS40" i="7"/>
  <c r="AP40" i="7"/>
  <c r="AO40" i="7"/>
  <c r="AL40" i="7"/>
  <c r="AK40" i="7"/>
  <c r="AH40" i="7"/>
  <c r="AE40" i="7"/>
  <c r="AD40" i="7"/>
  <c r="AA40" i="7"/>
  <c r="Z40" i="7"/>
  <c r="W40" i="7"/>
  <c r="T40" i="7"/>
  <c r="S40" i="7"/>
  <c r="P40" i="7"/>
  <c r="O40" i="7"/>
  <c r="L40" i="7"/>
  <c r="I40" i="7"/>
  <c r="H40" i="7"/>
  <c r="E40" i="7"/>
  <c r="D40" i="7"/>
  <c r="DH39" i="7"/>
  <c r="DI39" i="7" s="1"/>
  <c r="DF39" i="7"/>
  <c r="DE39" i="7"/>
  <c r="DB39" i="7"/>
  <c r="DA39" i="7"/>
  <c r="CW39" i="7"/>
  <c r="CX39" i="7" s="1"/>
  <c r="CU39" i="7"/>
  <c r="CT39" i="7"/>
  <c r="CQ39" i="7"/>
  <c r="CP39" i="7"/>
  <c r="CL39" i="7"/>
  <c r="CM39" i="7" s="1"/>
  <c r="CJ39" i="7"/>
  <c r="CI39" i="7"/>
  <c r="CF39" i="7"/>
  <c r="CE39" i="7"/>
  <c r="CA39" i="7"/>
  <c r="CB39" i="7" s="1"/>
  <c r="BY39" i="7"/>
  <c r="BX39" i="7"/>
  <c r="BU39" i="7"/>
  <c r="BT39" i="7"/>
  <c r="BP39" i="7"/>
  <c r="BQ39" i="7" s="1"/>
  <c r="BN39" i="7"/>
  <c r="BM39" i="7"/>
  <c r="BJ39" i="7"/>
  <c r="BI39" i="7"/>
  <c r="BE39" i="7"/>
  <c r="BF39" i="7" s="1"/>
  <c r="BC39" i="7"/>
  <c r="BB39" i="7"/>
  <c r="AY39" i="7"/>
  <c r="AX39" i="7"/>
  <c r="AT39" i="7"/>
  <c r="AU39" i="7" s="1"/>
  <c r="AR39" i="7"/>
  <c r="AQ39" i="7"/>
  <c r="AN39" i="7"/>
  <c r="AM39" i="7"/>
  <c r="AI39" i="7"/>
  <c r="AJ39" i="7" s="1"/>
  <c r="AG39" i="7"/>
  <c r="AF39" i="7"/>
  <c r="AC39" i="7"/>
  <c r="AB39" i="7"/>
  <c r="X39" i="7"/>
  <c r="Y39" i="7" s="1"/>
  <c r="V39" i="7"/>
  <c r="U39" i="7"/>
  <c r="R39" i="7"/>
  <c r="Q39" i="7"/>
  <c r="M39" i="7"/>
  <c r="N39" i="7" s="1"/>
  <c r="K39" i="7"/>
  <c r="J39" i="7"/>
  <c r="G39" i="7"/>
  <c r="F39" i="7"/>
  <c r="DH38" i="7"/>
  <c r="DI38" i="7" s="1"/>
  <c r="DF38" i="7"/>
  <c r="DE38" i="7"/>
  <c r="DB38" i="7"/>
  <c r="DA38" i="7"/>
  <c r="CW38" i="7"/>
  <c r="CX38" i="7" s="1"/>
  <c r="CU38" i="7"/>
  <c r="CT38" i="7"/>
  <c r="CQ38" i="7"/>
  <c r="CP38" i="7"/>
  <c r="CL38" i="7"/>
  <c r="CM38" i="7" s="1"/>
  <c r="CJ38" i="7"/>
  <c r="CI38" i="7"/>
  <c r="CF38" i="7"/>
  <c r="CE38" i="7"/>
  <c r="CA38" i="7"/>
  <c r="CB38" i="7" s="1"/>
  <c r="BY38" i="7"/>
  <c r="BX38" i="7"/>
  <c r="BU38" i="7"/>
  <c r="BT38" i="7"/>
  <c r="BP38" i="7"/>
  <c r="BQ38" i="7" s="1"/>
  <c r="BN38" i="7"/>
  <c r="BM38" i="7"/>
  <c r="BJ38" i="7"/>
  <c r="BI38" i="7"/>
  <c r="BE38" i="7"/>
  <c r="BF38" i="7" s="1"/>
  <c r="BC38" i="7"/>
  <c r="BB38" i="7"/>
  <c r="AY38" i="7"/>
  <c r="AX38" i="7"/>
  <c r="AT38" i="7"/>
  <c r="AU38" i="7" s="1"/>
  <c r="AR38" i="7"/>
  <c r="AQ38" i="7"/>
  <c r="AN38" i="7"/>
  <c r="AM38" i="7"/>
  <c r="AI38" i="7"/>
  <c r="AJ38" i="7" s="1"/>
  <c r="AG38" i="7"/>
  <c r="AF38" i="7"/>
  <c r="AC38" i="7"/>
  <c r="AB38" i="7"/>
  <c r="X38" i="7"/>
  <c r="Y38" i="7" s="1"/>
  <c r="V38" i="7"/>
  <c r="U38" i="7"/>
  <c r="R38" i="7"/>
  <c r="Q38" i="7"/>
  <c r="M38" i="7"/>
  <c r="N38" i="7" s="1"/>
  <c r="K38" i="7"/>
  <c r="J38" i="7"/>
  <c r="G38" i="7"/>
  <c r="F38" i="7"/>
  <c r="DG37" i="7"/>
  <c r="DD37" i="7"/>
  <c r="DC37" i="7"/>
  <c r="CZ37" i="7"/>
  <c r="CY37" i="7"/>
  <c r="CV37" i="7"/>
  <c r="CS37" i="7"/>
  <c r="CR37" i="7"/>
  <c r="CO37" i="7"/>
  <c r="CN37" i="7"/>
  <c r="CK37" i="7"/>
  <c r="CH37" i="7"/>
  <c r="CG37" i="7"/>
  <c r="CD37" i="7"/>
  <c r="CC37" i="7"/>
  <c r="BZ37" i="7"/>
  <c r="BW37" i="7"/>
  <c r="BV37" i="7"/>
  <c r="BS37" i="7"/>
  <c r="BR37" i="7"/>
  <c r="BO37" i="7"/>
  <c r="BL37" i="7"/>
  <c r="BK37" i="7"/>
  <c r="BH37" i="7"/>
  <c r="BG37" i="7"/>
  <c r="BD37" i="7"/>
  <c r="BA37" i="7"/>
  <c r="AZ37" i="7"/>
  <c r="AW37" i="7"/>
  <c r="AV37" i="7"/>
  <c r="AS37" i="7"/>
  <c r="AP37" i="7"/>
  <c r="AO37" i="7"/>
  <c r="AL37" i="7"/>
  <c r="AK37" i="7"/>
  <c r="AH37" i="7"/>
  <c r="AE37" i="7"/>
  <c r="AD37" i="7"/>
  <c r="AA37" i="7"/>
  <c r="Z37" i="7"/>
  <c r="W37" i="7"/>
  <c r="T37" i="7"/>
  <c r="S37" i="7"/>
  <c r="P37" i="7"/>
  <c r="O37" i="7"/>
  <c r="L37" i="7"/>
  <c r="I37" i="7"/>
  <c r="H37" i="7"/>
  <c r="E37" i="7"/>
  <c r="D37" i="7"/>
  <c r="DH36" i="7"/>
  <c r="DI36" i="7" s="1"/>
  <c r="DF36" i="7"/>
  <c r="DE36" i="7"/>
  <c r="DB36" i="7"/>
  <c r="DA36" i="7"/>
  <c r="CW36" i="7"/>
  <c r="CX36" i="7" s="1"/>
  <c r="CU36" i="7"/>
  <c r="CT36" i="7"/>
  <c r="CQ36" i="7"/>
  <c r="CP36" i="7"/>
  <c r="CL36" i="7"/>
  <c r="CM36" i="7" s="1"/>
  <c r="CJ36" i="7"/>
  <c r="CI36" i="7"/>
  <c r="CF36" i="7"/>
  <c r="CE36" i="7"/>
  <c r="CA36" i="7"/>
  <c r="CB36" i="7" s="1"/>
  <c r="BY36" i="7"/>
  <c r="BX36" i="7"/>
  <c r="BU36" i="7"/>
  <c r="BT36" i="7"/>
  <c r="BP36" i="7"/>
  <c r="BQ36" i="7" s="1"/>
  <c r="BN36" i="7"/>
  <c r="BM36" i="7"/>
  <c r="BJ36" i="7"/>
  <c r="BI36" i="7"/>
  <c r="BE36" i="7"/>
  <c r="BF36" i="7" s="1"/>
  <c r="BC36" i="7"/>
  <c r="BB36" i="7"/>
  <c r="AY36" i="7"/>
  <c r="AX36" i="7"/>
  <c r="AT36" i="7"/>
  <c r="AU36" i="7" s="1"/>
  <c r="AR36" i="7"/>
  <c r="AQ36" i="7"/>
  <c r="AN36" i="7"/>
  <c r="AM36" i="7"/>
  <c r="AI36" i="7"/>
  <c r="AJ36" i="7" s="1"/>
  <c r="AG36" i="7"/>
  <c r="AF36" i="7"/>
  <c r="AC36" i="7"/>
  <c r="AB36" i="7"/>
  <c r="X36" i="7"/>
  <c r="Y36" i="7" s="1"/>
  <c r="V36" i="7"/>
  <c r="U36" i="7"/>
  <c r="R36" i="7"/>
  <c r="Q36" i="7"/>
  <c r="M36" i="7"/>
  <c r="N36" i="7" s="1"/>
  <c r="K36" i="7"/>
  <c r="J36" i="7"/>
  <c r="G36" i="7"/>
  <c r="F36" i="7"/>
  <c r="DH35" i="7"/>
  <c r="DI35" i="7" s="1"/>
  <c r="DF35" i="7"/>
  <c r="DE35" i="7"/>
  <c r="DB35" i="7"/>
  <c r="DA35" i="7"/>
  <c r="CW35" i="7"/>
  <c r="CX35" i="7" s="1"/>
  <c r="CU35" i="7"/>
  <c r="CT35" i="7"/>
  <c r="CQ35" i="7"/>
  <c r="CP35" i="7"/>
  <c r="CL35" i="7"/>
  <c r="CM35" i="7" s="1"/>
  <c r="CJ35" i="7"/>
  <c r="CI35" i="7"/>
  <c r="CF35" i="7"/>
  <c r="CE35" i="7"/>
  <c r="CA35" i="7"/>
  <c r="CB35" i="7" s="1"/>
  <c r="BY35" i="7"/>
  <c r="BX35" i="7"/>
  <c r="BU35" i="7"/>
  <c r="BT35" i="7"/>
  <c r="BP35" i="7"/>
  <c r="BQ35" i="7" s="1"/>
  <c r="BN35" i="7"/>
  <c r="BM35" i="7"/>
  <c r="BJ35" i="7"/>
  <c r="BI35" i="7"/>
  <c r="BE35" i="7"/>
  <c r="BF35" i="7" s="1"/>
  <c r="BC35" i="7"/>
  <c r="BB35" i="7"/>
  <c r="AY35" i="7"/>
  <c r="AX35" i="7"/>
  <c r="AT35" i="7"/>
  <c r="AU35" i="7" s="1"/>
  <c r="AR35" i="7"/>
  <c r="AQ35" i="7"/>
  <c r="AN35" i="7"/>
  <c r="AM35" i="7"/>
  <c r="AI35" i="7"/>
  <c r="AJ35" i="7" s="1"/>
  <c r="AG35" i="7"/>
  <c r="AF35" i="7"/>
  <c r="AC35" i="7"/>
  <c r="AB35" i="7"/>
  <c r="X35" i="7"/>
  <c r="Y35" i="7" s="1"/>
  <c r="V35" i="7"/>
  <c r="U35" i="7"/>
  <c r="R35" i="7"/>
  <c r="Q35" i="7"/>
  <c r="M35" i="7"/>
  <c r="N35" i="7" s="1"/>
  <c r="K35" i="7"/>
  <c r="J35" i="7"/>
  <c r="G35" i="7"/>
  <c r="F35" i="7"/>
  <c r="DG34" i="7"/>
  <c r="DD34" i="7"/>
  <c r="DC34" i="7"/>
  <c r="CZ34" i="7"/>
  <c r="CY34" i="7"/>
  <c r="CV34" i="7"/>
  <c r="CS34" i="7"/>
  <c r="CR34" i="7"/>
  <c r="CU34" i="7" s="1"/>
  <c r="CO34" i="7"/>
  <c r="CN34" i="7"/>
  <c r="CK34" i="7"/>
  <c r="CH34" i="7"/>
  <c r="CG34" i="7"/>
  <c r="CD34" i="7"/>
  <c r="CC34" i="7"/>
  <c r="BZ34" i="7"/>
  <c r="BW34" i="7"/>
  <c r="BV34" i="7"/>
  <c r="BS34" i="7"/>
  <c r="BR34" i="7"/>
  <c r="BO34" i="7"/>
  <c r="BL34" i="7"/>
  <c r="BK34" i="7"/>
  <c r="BH34" i="7"/>
  <c r="BG34" i="7"/>
  <c r="BD34" i="7"/>
  <c r="BA34" i="7"/>
  <c r="AZ34" i="7"/>
  <c r="AW34" i="7"/>
  <c r="AV34" i="7"/>
  <c r="AX34" i="7" s="1"/>
  <c r="AS34" i="7"/>
  <c r="AP34" i="7"/>
  <c r="AO34" i="7"/>
  <c r="AL34" i="7"/>
  <c r="AK34" i="7"/>
  <c r="AH34" i="7"/>
  <c r="AE34" i="7"/>
  <c r="AD34" i="7"/>
  <c r="AA34" i="7"/>
  <c r="Z34" i="7"/>
  <c r="AB34" i="7" s="1"/>
  <c r="W34" i="7"/>
  <c r="T34" i="7"/>
  <c r="S34" i="7"/>
  <c r="P34" i="7"/>
  <c r="O34" i="7"/>
  <c r="L34" i="7"/>
  <c r="I34" i="7"/>
  <c r="H34" i="7"/>
  <c r="E34" i="7"/>
  <c r="D34" i="7"/>
  <c r="G34" i="7" s="1"/>
  <c r="DH33" i="7"/>
  <c r="DI33" i="7" s="1"/>
  <c r="DF33" i="7"/>
  <c r="DE33" i="7"/>
  <c r="DB33" i="7"/>
  <c r="DA33" i="7"/>
  <c r="CW33" i="7"/>
  <c r="CX33" i="7" s="1"/>
  <c r="CU33" i="7"/>
  <c r="CT33" i="7"/>
  <c r="CQ33" i="7"/>
  <c r="CP33" i="7"/>
  <c r="CL33" i="7"/>
  <c r="CM33" i="7" s="1"/>
  <c r="CJ33" i="7"/>
  <c r="CI33" i="7"/>
  <c r="CF33" i="7"/>
  <c r="CE33" i="7"/>
  <c r="CA33" i="7"/>
  <c r="CB33" i="7" s="1"/>
  <c r="BY33" i="7"/>
  <c r="BX33" i="7"/>
  <c r="BU33" i="7"/>
  <c r="BT33" i="7"/>
  <c r="BP33" i="7"/>
  <c r="BQ33" i="7" s="1"/>
  <c r="BN33" i="7"/>
  <c r="BM33" i="7"/>
  <c r="BJ33" i="7"/>
  <c r="BI33" i="7"/>
  <c r="BE33" i="7"/>
  <c r="BF33" i="7" s="1"/>
  <c r="BC33" i="7"/>
  <c r="BB33" i="7"/>
  <c r="AY33" i="7"/>
  <c r="AX33" i="7"/>
  <c r="AT33" i="7"/>
  <c r="AU33" i="7" s="1"/>
  <c r="AR33" i="7"/>
  <c r="AQ33" i="7"/>
  <c r="AN33" i="7"/>
  <c r="AM33" i="7"/>
  <c r="AI33" i="7"/>
  <c r="AJ33" i="7" s="1"/>
  <c r="AG33" i="7"/>
  <c r="AF33" i="7"/>
  <c r="AC33" i="7"/>
  <c r="AB33" i="7"/>
  <c r="X33" i="7"/>
  <c r="Y33" i="7" s="1"/>
  <c r="V33" i="7"/>
  <c r="U33" i="7"/>
  <c r="R33" i="7"/>
  <c r="Q33" i="7"/>
  <c r="M33" i="7"/>
  <c r="N33" i="7" s="1"/>
  <c r="K33" i="7"/>
  <c r="J33" i="7"/>
  <c r="G33" i="7"/>
  <c r="F33" i="7"/>
  <c r="DH32" i="7"/>
  <c r="DI32" i="7" s="1"/>
  <c r="DF32" i="7"/>
  <c r="DE32" i="7"/>
  <c r="DB32" i="7"/>
  <c r="DA32" i="7"/>
  <c r="CW32" i="7"/>
  <c r="CX32" i="7" s="1"/>
  <c r="CU32" i="7"/>
  <c r="CT32" i="7"/>
  <c r="CQ32" i="7"/>
  <c r="CP32" i="7"/>
  <c r="CL32" i="7"/>
  <c r="CM32" i="7" s="1"/>
  <c r="CJ32" i="7"/>
  <c r="CI32" i="7"/>
  <c r="CF32" i="7"/>
  <c r="CE32" i="7"/>
  <c r="CA32" i="7"/>
  <c r="CB32" i="7" s="1"/>
  <c r="BY32" i="7"/>
  <c r="BX32" i="7"/>
  <c r="BU32" i="7"/>
  <c r="BT32" i="7"/>
  <c r="BP32" i="7"/>
  <c r="BQ32" i="7" s="1"/>
  <c r="BN32" i="7"/>
  <c r="BM32" i="7"/>
  <c r="BJ32" i="7"/>
  <c r="BI32" i="7"/>
  <c r="BE32" i="7"/>
  <c r="BF32" i="7" s="1"/>
  <c r="BC32" i="7"/>
  <c r="BB32" i="7"/>
  <c r="AY32" i="7"/>
  <c r="AX32" i="7"/>
  <c r="AT32" i="7"/>
  <c r="AU32" i="7" s="1"/>
  <c r="AR32" i="7"/>
  <c r="AQ32" i="7"/>
  <c r="AN32" i="7"/>
  <c r="AM32" i="7"/>
  <c r="AI32" i="7"/>
  <c r="AJ32" i="7" s="1"/>
  <c r="AG32" i="7"/>
  <c r="AF32" i="7"/>
  <c r="AC32" i="7"/>
  <c r="AB32" i="7"/>
  <c r="X32" i="7"/>
  <c r="Y32" i="7" s="1"/>
  <c r="V32" i="7"/>
  <c r="U32" i="7"/>
  <c r="R32" i="7"/>
  <c r="Q32" i="7"/>
  <c r="M32" i="7"/>
  <c r="N32" i="7" s="1"/>
  <c r="K32" i="7"/>
  <c r="J32" i="7"/>
  <c r="G32" i="7"/>
  <c r="F32" i="7"/>
  <c r="DG31" i="7"/>
  <c r="DD31" i="7"/>
  <c r="DC31" i="7"/>
  <c r="CZ31" i="7"/>
  <c r="CY31" i="7"/>
  <c r="CV31" i="7"/>
  <c r="CS31" i="7"/>
  <c r="CR31" i="7"/>
  <c r="CO31" i="7"/>
  <c r="CN31" i="7"/>
  <c r="CK31" i="7"/>
  <c r="CH31" i="7"/>
  <c r="CG31" i="7"/>
  <c r="CD31" i="7"/>
  <c r="CC31" i="7"/>
  <c r="BZ31" i="7"/>
  <c r="BW31" i="7"/>
  <c r="BV31" i="7"/>
  <c r="BS31" i="7"/>
  <c r="BR31" i="7"/>
  <c r="BO31" i="7"/>
  <c r="BL31" i="7"/>
  <c r="BK31" i="7"/>
  <c r="BH31" i="7"/>
  <c r="BG31" i="7"/>
  <c r="BD31" i="7"/>
  <c r="BA31" i="7"/>
  <c r="AZ31" i="7"/>
  <c r="AW31" i="7"/>
  <c r="AV31" i="7"/>
  <c r="AS31" i="7"/>
  <c r="AP31" i="7"/>
  <c r="AO31" i="7"/>
  <c r="AL31" i="7"/>
  <c r="AK31" i="7"/>
  <c r="AH31" i="7"/>
  <c r="AE31" i="7"/>
  <c r="AD31" i="7"/>
  <c r="AF31" i="7" s="1"/>
  <c r="AA31" i="7"/>
  <c r="Z31" i="7"/>
  <c r="W31" i="7"/>
  <c r="T31" i="7"/>
  <c r="S31" i="7"/>
  <c r="P31" i="7"/>
  <c r="O31" i="7"/>
  <c r="L31" i="7"/>
  <c r="I31" i="7"/>
  <c r="H31" i="7"/>
  <c r="E31" i="7"/>
  <c r="D31" i="7"/>
  <c r="F31" i="7" s="1"/>
  <c r="DH30" i="7"/>
  <c r="DI30" i="7" s="1"/>
  <c r="DF30" i="7"/>
  <c r="DE30" i="7"/>
  <c r="DB30" i="7"/>
  <c r="DA30" i="7"/>
  <c r="CW30" i="7"/>
  <c r="CX30" i="7" s="1"/>
  <c r="CU30" i="7"/>
  <c r="CT30" i="7"/>
  <c r="CQ30" i="7"/>
  <c r="CP30" i="7"/>
  <c r="CL30" i="7"/>
  <c r="CM30" i="7" s="1"/>
  <c r="CJ30" i="7"/>
  <c r="CI30" i="7"/>
  <c r="CF30" i="7"/>
  <c r="CE30" i="7"/>
  <c r="CA30" i="7"/>
  <c r="CB30" i="7" s="1"/>
  <c r="BY30" i="7"/>
  <c r="BX30" i="7"/>
  <c r="BU30" i="7"/>
  <c r="BT30" i="7"/>
  <c r="BP30" i="7"/>
  <c r="BQ30" i="7" s="1"/>
  <c r="BN30" i="7"/>
  <c r="BM30" i="7"/>
  <c r="BJ30" i="7"/>
  <c r="BI30" i="7"/>
  <c r="BE30" i="7"/>
  <c r="BF30" i="7" s="1"/>
  <c r="BC30" i="7"/>
  <c r="BB30" i="7"/>
  <c r="AY30" i="7"/>
  <c r="AX30" i="7"/>
  <c r="AT30" i="7"/>
  <c r="AU30" i="7" s="1"/>
  <c r="AR30" i="7"/>
  <c r="AQ30" i="7"/>
  <c r="AN30" i="7"/>
  <c r="AM30" i="7"/>
  <c r="AI30" i="7"/>
  <c r="AJ30" i="7" s="1"/>
  <c r="AG30" i="7"/>
  <c r="AF30" i="7"/>
  <c r="AC30" i="7"/>
  <c r="AB30" i="7"/>
  <c r="X30" i="7"/>
  <c r="Y30" i="7" s="1"/>
  <c r="V30" i="7"/>
  <c r="U30" i="7"/>
  <c r="R30" i="7"/>
  <c r="Q30" i="7"/>
  <c r="M30" i="7"/>
  <c r="N30" i="7" s="1"/>
  <c r="K30" i="7"/>
  <c r="J30" i="7"/>
  <c r="G30" i="7"/>
  <c r="F30" i="7"/>
  <c r="DH29" i="7"/>
  <c r="DI29" i="7" s="1"/>
  <c r="DF29" i="7"/>
  <c r="DE29" i="7"/>
  <c r="DB29" i="7"/>
  <c r="DA29" i="7"/>
  <c r="CW29" i="7"/>
  <c r="CX29" i="7" s="1"/>
  <c r="CU29" i="7"/>
  <c r="CT29" i="7"/>
  <c r="CQ29" i="7"/>
  <c r="CP29" i="7"/>
  <c r="CL29" i="7"/>
  <c r="CM29" i="7" s="1"/>
  <c r="CJ29" i="7"/>
  <c r="CI29" i="7"/>
  <c r="CF29" i="7"/>
  <c r="CE29" i="7"/>
  <c r="CA29" i="7"/>
  <c r="CB29" i="7" s="1"/>
  <c r="BY29" i="7"/>
  <c r="BX29" i="7"/>
  <c r="BU29" i="7"/>
  <c r="BT29" i="7"/>
  <c r="BP29" i="7"/>
  <c r="BQ29" i="7" s="1"/>
  <c r="BN29" i="7"/>
  <c r="BM29" i="7"/>
  <c r="BJ29" i="7"/>
  <c r="BI29" i="7"/>
  <c r="BE29" i="7"/>
  <c r="BF29" i="7" s="1"/>
  <c r="BC29" i="7"/>
  <c r="BB29" i="7"/>
  <c r="AY29" i="7"/>
  <c r="AX29" i="7"/>
  <c r="AT29" i="7"/>
  <c r="AU29" i="7" s="1"/>
  <c r="AR29" i="7"/>
  <c r="AQ29" i="7"/>
  <c r="AN29" i="7"/>
  <c r="AM29" i="7"/>
  <c r="AI29" i="7"/>
  <c r="AJ29" i="7" s="1"/>
  <c r="AG29" i="7"/>
  <c r="AF29" i="7"/>
  <c r="AC29" i="7"/>
  <c r="AB29" i="7"/>
  <c r="X29" i="7"/>
  <c r="Y29" i="7" s="1"/>
  <c r="V29" i="7"/>
  <c r="U29" i="7"/>
  <c r="R29" i="7"/>
  <c r="Q29" i="7"/>
  <c r="M29" i="7"/>
  <c r="N29" i="7" s="1"/>
  <c r="K29" i="7"/>
  <c r="J29" i="7"/>
  <c r="G29" i="7"/>
  <c r="F29" i="7"/>
  <c r="DG28" i="7"/>
  <c r="DD28" i="7"/>
  <c r="CZ28" i="7"/>
  <c r="CY28" i="7"/>
  <c r="CV28" i="7"/>
  <c r="CS28" i="7"/>
  <c r="CO28" i="7"/>
  <c r="CN28" i="7"/>
  <c r="CQ28" i="7" s="1"/>
  <c r="CK28" i="7"/>
  <c r="CH28" i="7"/>
  <c r="CD28" i="7"/>
  <c r="CC28" i="7"/>
  <c r="CF28" i="7" s="1"/>
  <c r="BZ28" i="7"/>
  <c r="BW28" i="7"/>
  <c r="BS28" i="7"/>
  <c r="BR28" i="7"/>
  <c r="BO28" i="7"/>
  <c r="BL28" i="7"/>
  <c r="BH28" i="7"/>
  <c r="BG28" i="7"/>
  <c r="BD28" i="7"/>
  <c r="BA28" i="7"/>
  <c r="AW28" i="7"/>
  <c r="AV28" i="7"/>
  <c r="AS28" i="7"/>
  <c r="AP28" i="7"/>
  <c r="AL28" i="7"/>
  <c r="AK28" i="7"/>
  <c r="AH28" i="7"/>
  <c r="AE28" i="7"/>
  <c r="AA28" i="7"/>
  <c r="Z28" i="7"/>
  <c r="W28" i="7"/>
  <c r="T28" i="7"/>
  <c r="P28" i="7"/>
  <c r="O28" i="7"/>
  <c r="L28" i="7"/>
  <c r="I28" i="7"/>
  <c r="E28" i="7"/>
  <c r="D28" i="7"/>
  <c r="G28" i="7" s="1"/>
  <c r="DH27" i="7"/>
  <c r="DI27" i="7" s="1"/>
  <c r="DF27" i="7"/>
  <c r="DE27" i="7"/>
  <c r="DB27" i="7"/>
  <c r="DA27" i="7"/>
  <c r="CW27" i="7"/>
  <c r="CX27" i="7" s="1"/>
  <c r="CU27" i="7"/>
  <c r="CT27" i="7"/>
  <c r="CQ27" i="7"/>
  <c r="CP27" i="7"/>
  <c r="CL27" i="7"/>
  <c r="CM27" i="7" s="1"/>
  <c r="CJ27" i="7"/>
  <c r="CI27" i="7"/>
  <c r="CF27" i="7"/>
  <c r="CE27" i="7"/>
  <c r="CA27" i="7"/>
  <c r="CB27" i="7" s="1"/>
  <c r="BY27" i="7"/>
  <c r="BX27" i="7"/>
  <c r="BU27" i="7"/>
  <c r="BT27" i="7"/>
  <c r="BP27" i="7"/>
  <c r="BQ27" i="7" s="1"/>
  <c r="BN27" i="7"/>
  <c r="BM27" i="7"/>
  <c r="BJ27" i="7"/>
  <c r="BI27" i="7"/>
  <c r="BE27" i="7"/>
  <c r="BF27" i="7" s="1"/>
  <c r="BC27" i="7"/>
  <c r="BB27" i="7"/>
  <c r="AY27" i="7"/>
  <c r="AX27" i="7"/>
  <c r="AT27" i="7"/>
  <c r="AU27" i="7" s="1"/>
  <c r="AR27" i="7"/>
  <c r="AQ27" i="7"/>
  <c r="AN27" i="7"/>
  <c r="AM27" i="7"/>
  <c r="AI27" i="7"/>
  <c r="AJ27" i="7" s="1"/>
  <c r="AG27" i="7"/>
  <c r="AF27" i="7"/>
  <c r="AC27" i="7"/>
  <c r="AB27" i="7"/>
  <c r="X27" i="7"/>
  <c r="Y27" i="7" s="1"/>
  <c r="V27" i="7"/>
  <c r="U27" i="7"/>
  <c r="R27" i="7"/>
  <c r="Q27" i="7"/>
  <c r="M27" i="7"/>
  <c r="N27" i="7" s="1"/>
  <c r="K27" i="7"/>
  <c r="J27" i="7"/>
  <c r="G27" i="7"/>
  <c r="F27" i="7"/>
  <c r="DC26" i="7"/>
  <c r="DB26" i="7"/>
  <c r="DA26" i="7"/>
  <c r="CR26" i="7"/>
  <c r="CQ26" i="7"/>
  <c r="CP26" i="7"/>
  <c r="CG26" i="7"/>
  <c r="CG28" i="7" s="1"/>
  <c r="CF26" i="7"/>
  <c r="CE26" i="7"/>
  <c r="BV26" i="7"/>
  <c r="BX26" i="7" s="1"/>
  <c r="BU26" i="7"/>
  <c r="BT26" i="7"/>
  <c r="BK26" i="7"/>
  <c r="BJ26" i="7"/>
  <c r="BI26" i="7"/>
  <c r="AZ26" i="7"/>
  <c r="AZ28" i="7" s="1"/>
  <c r="AY26" i="7"/>
  <c r="AX26" i="7"/>
  <c r="AO26" i="7"/>
  <c r="AN26" i="7"/>
  <c r="AM26" i="7"/>
  <c r="AD26" i="7"/>
  <c r="AC26" i="7"/>
  <c r="AB26" i="7"/>
  <c r="S26" i="7"/>
  <c r="X26" i="7" s="1"/>
  <c r="Y26" i="7" s="1"/>
  <c r="R26" i="7"/>
  <c r="Q26" i="7"/>
  <c r="H26" i="7"/>
  <c r="J26" i="7" s="1"/>
  <c r="G26" i="7"/>
  <c r="F26" i="7"/>
  <c r="DG24" i="7"/>
  <c r="DD24" i="7"/>
  <c r="DC24" i="7"/>
  <c r="CZ24" i="7"/>
  <c r="CY24" i="7"/>
  <c r="CV24" i="7"/>
  <c r="CS24" i="7"/>
  <c r="CR24" i="7"/>
  <c r="CO24" i="7"/>
  <c r="CN24" i="7"/>
  <c r="CQ24" i="7" s="1"/>
  <c r="CK24" i="7"/>
  <c r="CH24" i="7"/>
  <c r="CG24" i="7"/>
  <c r="CD24" i="7"/>
  <c r="CC24" i="7"/>
  <c r="BZ24" i="7"/>
  <c r="BW24" i="7"/>
  <c r="BV24" i="7"/>
  <c r="BS24" i="7"/>
  <c r="BR24" i="7"/>
  <c r="BO24" i="7"/>
  <c r="BL24" i="7"/>
  <c r="BK24" i="7"/>
  <c r="BH24" i="7"/>
  <c r="BG24" i="7"/>
  <c r="BD24" i="7"/>
  <c r="BA24" i="7"/>
  <c r="AZ24" i="7"/>
  <c r="AW24" i="7"/>
  <c r="AV24" i="7"/>
  <c r="AS24" i="7"/>
  <c r="AP24" i="7"/>
  <c r="AO24" i="7"/>
  <c r="AL24" i="7"/>
  <c r="AK24" i="7"/>
  <c r="AH24" i="7"/>
  <c r="AE24" i="7"/>
  <c r="AD24" i="7"/>
  <c r="AA24" i="7"/>
  <c r="Z24" i="7"/>
  <c r="W24" i="7"/>
  <c r="T24" i="7"/>
  <c r="S24" i="7"/>
  <c r="P24" i="7"/>
  <c r="O24" i="7"/>
  <c r="L24" i="7"/>
  <c r="I24" i="7"/>
  <c r="H24" i="7"/>
  <c r="E24" i="7"/>
  <c r="D24" i="7"/>
  <c r="DH23" i="7"/>
  <c r="DI23" i="7" s="1"/>
  <c r="DF23" i="7"/>
  <c r="DE23" i="7"/>
  <c r="DB23" i="7"/>
  <c r="DA23" i="7"/>
  <c r="CW23" i="7"/>
  <c r="CX23" i="7" s="1"/>
  <c r="CU23" i="7"/>
  <c r="CT23" i="7"/>
  <c r="CQ23" i="7"/>
  <c r="CP23" i="7"/>
  <c r="CL23" i="7"/>
  <c r="CM23" i="7" s="1"/>
  <c r="CJ23" i="7"/>
  <c r="CI23" i="7"/>
  <c r="CF23" i="7"/>
  <c r="CE23" i="7"/>
  <c r="CA23" i="7"/>
  <c r="CB23" i="7" s="1"/>
  <c r="BY23" i="7"/>
  <c r="BX23" i="7"/>
  <c r="BU23" i="7"/>
  <c r="BT23" i="7"/>
  <c r="BP23" i="7"/>
  <c r="BQ23" i="7" s="1"/>
  <c r="BN23" i="7"/>
  <c r="BM23" i="7"/>
  <c r="BJ23" i="7"/>
  <c r="BI23" i="7"/>
  <c r="BE23" i="7"/>
  <c r="BF23" i="7" s="1"/>
  <c r="BC23" i="7"/>
  <c r="BB23" i="7"/>
  <c r="AY23" i="7"/>
  <c r="AX23" i="7"/>
  <c r="AT23" i="7"/>
  <c r="AU23" i="7" s="1"/>
  <c r="AR23" i="7"/>
  <c r="AQ23" i="7"/>
  <c r="AN23" i="7"/>
  <c r="AM23" i="7"/>
  <c r="AI23" i="7"/>
  <c r="AJ23" i="7" s="1"/>
  <c r="AG23" i="7"/>
  <c r="AF23" i="7"/>
  <c r="AC23" i="7"/>
  <c r="AB23" i="7"/>
  <c r="X23" i="7"/>
  <c r="Y23" i="7" s="1"/>
  <c r="V23" i="7"/>
  <c r="U23" i="7"/>
  <c r="R23" i="7"/>
  <c r="Q23" i="7"/>
  <c r="M23" i="7"/>
  <c r="N23" i="7" s="1"/>
  <c r="K23" i="7"/>
  <c r="J23" i="7"/>
  <c r="G23" i="7"/>
  <c r="F23" i="7"/>
  <c r="DH22" i="7"/>
  <c r="DI22" i="7" s="1"/>
  <c r="DF22" i="7"/>
  <c r="DE22" i="7"/>
  <c r="DB22" i="7"/>
  <c r="DA22" i="7"/>
  <c r="CW22" i="7"/>
  <c r="CX22" i="7" s="1"/>
  <c r="CU22" i="7"/>
  <c r="CT22" i="7"/>
  <c r="CQ22" i="7"/>
  <c r="CP22" i="7"/>
  <c r="CL22" i="7"/>
  <c r="CM22" i="7" s="1"/>
  <c r="CJ22" i="7"/>
  <c r="CI22" i="7"/>
  <c r="CF22" i="7"/>
  <c r="CE22" i="7"/>
  <c r="CA22" i="7"/>
  <c r="CB22" i="7" s="1"/>
  <c r="BY22" i="7"/>
  <c r="BX22" i="7"/>
  <c r="BU22" i="7"/>
  <c r="BT22" i="7"/>
  <c r="BP22" i="7"/>
  <c r="BQ22" i="7" s="1"/>
  <c r="BN22" i="7"/>
  <c r="BM22" i="7"/>
  <c r="BJ22" i="7"/>
  <c r="BI22" i="7"/>
  <c r="BE22" i="7"/>
  <c r="BF22" i="7" s="1"/>
  <c r="BC22" i="7"/>
  <c r="BB22" i="7"/>
  <c r="AY22" i="7"/>
  <c r="AX22" i="7"/>
  <c r="AT22" i="7"/>
  <c r="AU22" i="7" s="1"/>
  <c r="AR22" i="7"/>
  <c r="AQ22" i="7"/>
  <c r="AN22" i="7"/>
  <c r="AM22" i="7"/>
  <c r="AI22" i="7"/>
  <c r="AJ22" i="7" s="1"/>
  <c r="AG22" i="7"/>
  <c r="AF22" i="7"/>
  <c r="AC22" i="7"/>
  <c r="AB22" i="7"/>
  <c r="X22" i="7"/>
  <c r="Y22" i="7" s="1"/>
  <c r="V22" i="7"/>
  <c r="U22" i="7"/>
  <c r="R22" i="7"/>
  <c r="Q22" i="7"/>
  <c r="M22" i="7"/>
  <c r="N22" i="7" s="1"/>
  <c r="K22" i="7"/>
  <c r="J22" i="7"/>
  <c r="G22" i="7"/>
  <c r="F22" i="7"/>
  <c r="DG21" i="7"/>
  <c r="DD21" i="7"/>
  <c r="DC21" i="7"/>
  <c r="CZ21" i="7"/>
  <c r="CY21" i="7"/>
  <c r="CV21" i="7"/>
  <c r="CS21" i="7"/>
  <c r="CR21" i="7"/>
  <c r="CO21" i="7"/>
  <c r="CN21" i="7"/>
  <c r="CK21" i="7"/>
  <c r="CH21" i="7"/>
  <c r="CG21" i="7"/>
  <c r="CD21" i="7"/>
  <c r="CC21" i="7"/>
  <c r="BZ21" i="7"/>
  <c r="BW21" i="7"/>
  <c r="BV21" i="7"/>
  <c r="BS21" i="7"/>
  <c r="BR21" i="7"/>
  <c r="BO21" i="7"/>
  <c r="BL21" i="7"/>
  <c r="BK21" i="7"/>
  <c r="BH21" i="7"/>
  <c r="BG21" i="7"/>
  <c r="BD21" i="7"/>
  <c r="BA21" i="7"/>
  <c r="AZ21" i="7"/>
  <c r="AW21" i="7"/>
  <c r="AV21" i="7"/>
  <c r="AS21" i="7"/>
  <c r="AP21" i="7"/>
  <c r="AO21" i="7"/>
  <c r="AL21" i="7"/>
  <c r="AK21" i="7"/>
  <c r="AH21" i="7"/>
  <c r="AE21" i="7"/>
  <c r="AD21" i="7"/>
  <c r="AA21" i="7"/>
  <c r="Z21" i="7"/>
  <c r="W21" i="7"/>
  <c r="T21" i="7"/>
  <c r="S21" i="7"/>
  <c r="P21" i="7"/>
  <c r="O21" i="7"/>
  <c r="L21" i="7"/>
  <c r="I21" i="7"/>
  <c r="H21" i="7"/>
  <c r="E21" i="7"/>
  <c r="D21" i="7"/>
  <c r="F21" i="7" s="1"/>
  <c r="DH20" i="7"/>
  <c r="DI20" i="7" s="1"/>
  <c r="DF20" i="7"/>
  <c r="DE20" i="7"/>
  <c r="DB20" i="7"/>
  <c r="DA20" i="7"/>
  <c r="CW20" i="7"/>
  <c r="CX20" i="7" s="1"/>
  <c r="CU20" i="7"/>
  <c r="CT20" i="7"/>
  <c r="CQ20" i="7"/>
  <c r="CP20" i="7"/>
  <c r="CL20" i="7"/>
  <c r="CM20" i="7" s="1"/>
  <c r="CJ20" i="7"/>
  <c r="CI20" i="7"/>
  <c r="CF20" i="7"/>
  <c r="CE20" i="7"/>
  <c r="CA20" i="7"/>
  <c r="CB20" i="7" s="1"/>
  <c r="BY20" i="7"/>
  <c r="BX20" i="7"/>
  <c r="BU20" i="7"/>
  <c r="BT20" i="7"/>
  <c r="BP20" i="7"/>
  <c r="BQ20" i="7" s="1"/>
  <c r="BN20" i="7"/>
  <c r="BM20" i="7"/>
  <c r="BJ20" i="7"/>
  <c r="BI20" i="7"/>
  <c r="BE20" i="7"/>
  <c r="BF20" i="7" s="1"/>
  <c r="BC20" i="7"/>
  <c r="BB20" i="7"/>
  <c r="AY20" i="7"/>
  <c r="AX20" i="7"/>
  <c r="AT20" i="7"/>
  <c r="AU20" i="7" s="1"/>
  <c r="AR20" i="7"/>
  <c r="AQ20" i="7"/>
  <c r="AN20" i="7"/>
  <c r="AM20" i="7"/>
  <c r="AI20" i="7"/>
  <c r="AJ20" i="7" s="1"/>
  <c r="AG20" i="7"/>
  <c r="AF20" i="7"/>
  <c r="AC20" i="7"/>
  <c r="AB20" i="7"/>
  <c r="X20" i="7"/>
  <c r="Y20" i="7" s="1"/>
  <c r="V20" i="7"/>
  <c r="U20" i="7"/>
  <c r="R20" i="7"/>
  <c r="Q20" i="7"/>
  <c r="M20" i="7"/>
  <c r="N20" i="7" s="1"/>
  <c r="K20" i="7"/>
  <c r="J20" i="7"/>
  <c r="G20" i="7"/>
  <c r="F20" i="7"/>
  <c r="DH19" i="7"/>
  <c r="DI19" i="7" s="1"/>
  <c r="DF19" i="7"/>
  <c r="DE19" i="7"/>
  <c r="DB19" i="7"/>
  <c r="DA19" i="7"/>
  <c r="CW19" i="7"/>
  <c r="CX19" i="7" s="1"/>
  <c r="CU19" i="7"/>
  <c r="CT19" i="7"/>
  <c r="CQ19" i="7"/>
  <c r="CP19" i="7"/>
  <c r="CL19" i="7"/>
  <c r="CM19" i="7" s="1"/>
  <c r="CJ19" i="7"/>
  <c r="CI19" i="7"/>
  <c r="CF19" i="7"/>
  <c r="CE19" i="7"/>
  <c r="CA19" i="7"/>
  <c r="CB19" i="7" s="1"/>
  <c r="BY19" i="7"/>
  <c r="BX19" i="7"/>
  <c r="BU19" i="7"/>
  <c r="BT19" i="7"/>
  <c r="BP19" i="7"/>
  <c r="BQ19" i="7" s="1"/>
  <c r="BN19" i="7"/>
  <c r="BM19" i="7"/>
  <c r="BJ19" i="7"/>
  <c r="BI19" i="7"/>
  <c r="BE19" i="7"/>
  <c r="BF19" i="7" s="1"/>
  <c r="BC19" i="7"/>
  <c r="BB19" i="7"/>
  <c r="AY19" i="7"/>
  <c r="AX19" i="7"/>
  <c r="AT19" i="7"/>
  <c r="AU19" i="7" s="1"/>
  <c r="AR19" i="7"/>
  <c r="AQ19" i="7"/>
  <c r="AN19" i="7"/>
  <c r="AM19" i="7"/>
  <c r="AI19" i="7"/>
  <c r="AJ19" i="7" s="1"/>
  <c r="AG19" i="7"/>
  <c r="AF19" i="7"/>
  <c r="AC19" i="7"/>
  <c r="AB19" i="7"/>
  <c r="X19" i="7"/>
  <c r="Y19" i="7" s="1"/>
  <c r="V19" i="7"/>
  <c r="U19" i="7"/>
  <c r="R19" i="7"/>
  <c r="Q19" i="7"/>
  <c r="M19" i="7"/>
  <c r="N19" i="7" s="1"/>
  <c r="K19" i="7"/>
  <c r="J19" i="7"/>
  <c r="G19" i="7"/>
  <c r="F19" i="7"/>
  <c r="DG18" i="7"/>
  <c r="DD18" i="7"/>
  <c r="DC18" i="7"/>
  <c r="CZ18" i="7"/>
  <c r="CY18" i="7"/>
  <c r="CV18" i="7"/>
  <c r="CS18" i="7"/>
  <c r="CR18" i="7"/>
  <c r="CT18" i="7" s="1"/>
  <c r="CO18" i="7"/>
  <c r="CN18" i="7"/>
  <c r="CK18" i="7"/>
  <c r="CH18" i="7"/>
  <c r="CG18" i="7"/>
  <c r="CD18" i="7"/>
  <c r="CC18" i="7"/>
  <c r="BZ18" i="7"/>
  <c r="BW18" i="7"/>
  <c r="BV18" i="7"/>
  <c r="BS18" i="7"/>
  <c r="BR18" i="7"/>
  <c r="BO18" i="7"/>
  <c r="BL18" i="7"/>
  <c r="BK18" i="7"/>
  <c r="BH18" i="7"/>
  <c r="BG18" i="7"/>
  <c r="BD18" i="7"/>
  <c r="BA18" i="7"/>
  <c r="AZ18" i="7"/>
  <c r="BC18" i="7" s="1"/>
  <c r="AW18" i="7"/>
  <c r="AV18" i="7"/>
  <c r="AS18" i="7"/>
  <c r="AP18" i="7"/>
  <c r="AO18" i="7"/>
  <c r="AL18" i="7"/>
  <c r="AK18" i="7"/>
  <c r="AH18" i="7"/>
  <c r="AE18" i="7"/>
  <c r="AD18" i="7"/>
  <c r="AA18" i="7"/>
  <c r="Z18" i="7"/>
  <c r="W18" i="7"/>
  <c r="T18" i="7"/>
  <c r="S18" i="7"/>
  <c r="P18" i="7"/>
  <c r="O18" i="7"/>
  <c r="L18" i="7"/>
  <c r="I18" i="7"/>
  <c r="H18" i="7"/>
  <c r="E18" i="7"/>
  <c r="D18" i="7"/>
  <c r="G18" i="7" s="1"/>
  <c r="DH17" i="7"/>
  <c r="DI17" i="7" s="1"/>
  <c r="DF17" i="7"/>
  <c r="DE17" i="7"/>
  <c r="DB17" i="7"/>
  <c r="DA17" i="7"/>
  <c r="CW17" i="7"/>
  <c r="CX17" i="7" s="1"/>
  <c r="CU17" i="7"/>
  <c r="CT17" i="7"/>
  <c r="CQ17" i="7"/>
  <c r="CP17" i="7"/>
  <c r="CL17" i="7"/>
  <c r="CM17" i="7" s="1"/>
  <c r="CJ17" i="7"/>
  <c r="CI17" i="7"/>
  <c r="CF17" i="7"/>
  <c r="CE17" i="7"/>
  <c r="CA17" i="7"/>
  <c r="CB17" i="7" s="1"/>
  <c r="BY17" i="7"/>
  <c r="BX17" i="7"/>
  <c r="BU17" i="7"/>
  <c r="BT17" i="7"/>
  <c r="BP17" i="7"/>
  <c r="BQ17" i="7" s="1"/>
  <c r="BN17" i="7"/>
  <c r="BM17" i="7"/>
  <c r="BJ17" i="7"/>
  <c r="BI17" i="7"/>
  <c r="BE17" i="7"/>
  <c r="BF17" i="7" s="1"/>
  <c r="BC17" i="7"/>
  <c r="BB17" i="7"/>
  <c r="AY17" i="7"/>
  <c r="AX17" i="7"/>
  <c r="AT17" i="7"/>
  <c r="AU17" i="7" s="1"/>
  <c r="AR17" i="7"/>
  <c r="AQ17" i="7"/>
  <c r="AN17" i="7"/>
  <c r="AM17" i="7"/>
  <c r="AI17" i="7"/>
  <c r="AJ17" i="7" s="1"/>
  <c r="AG17" i="7"/>
  <c r="AF17" i="7"/>
  <c r="AC17" i="7"/>
  <c r="AB17" i="7"/>
  <c r="X17" i="7"/>
  <c r="Y17" i="7" s="1"/>
  <c r="V17" i="7"/>
  <c r="U17" i="7"/>
  <c r="R17" i="7"/>
  <c r="Q17" i="7"/>
  <c r="M17" i="7"/>
  <c r="N17" i="7" s="1"/>
  <c r="K17" i="7"/>
  <c r="J17" i="7"/>
  <c r="G17" i="7"/>
  <c r="F17" i="7"/>
  <c r="DH16" i="7"/>
  <c r="DI16" i="7" s="1"/>
  <c r="DF16" i="7"/>
  <c r="DE16" i="7"/>
  <c r="DB16" i="7"/>
  <c r="DA16" i="7"/>
  <c r="CW16" i="7"/>
  <c r="CX16" i="7" s="1"/>
  <c r="CU16" i="7"/>
  <c r="CT16" i="7"/>
  <c r="CQ16" i="7"/>
  <c r="CP16" i="7"/>
  <c r="CL16" i="7"/>
  <c r="CM16" i="7" s="1"/>
  <c r="CJ16" i="7"/>
  <c r="CI16" i="7"/>
  <c r="CF16" i="7"/>
  <c r="CE16" i="7"/>
  <c r="CA16" i="7"/>
  <c r="CB16" i="7" s="1"/>
  <c r="BY16" i="7"/>
  <c r="BX16" i="7"/>
  <c r="BU16" i="7"/>
  <c r="BT16" i="7"/>
  <c r="BP16" i="7"/>
  <c r="BQ16" i="7" s="1"/>
  <c r="BN16" i="7"/>
  <c r="BM16" i="7"/>
  <c r="BJ16" i="7"/>
  <c r="BI16" i="7"/>
  <c r="BE16" i="7"/>
  <c r="BF16" i="7" s="1"/>
  <c r="BC16" i="7"/>
  <c r="BB16" i="7"/>
  <c r="AY16" i="7"/>
  <c r="AX16" i="7"/>
  <c r="AT16" i="7"/>
  <c r="AU16" i="7" s="1"/>
  <c r="AR16" i="7"/>
  <c r="AQ16" i="7"/>
  <c r="AN16" i="7"/>
  <c r="AM16" i="7"/>
  <c r="AI16" i="7"/>
  <c r="AJ16" i="7" s="1"/>
  <c r="AG16" i="7"/>
  <c r="AF16" i="7"/>
  <c r="AC16" i="7"/>
  <c r="AB16" i="7"/>
  <c r="X16" i="7"/>
  <c r="Y16" i="7" s="1"/>
  <c r="V16" i="7"/>
  <c r="U16" i="7"/>
  <c r="R16" i="7"/>
  <c r="Q16" i="7"/>
  <c r="M16" i="7"/>
  <c r="N16" i="7" s="1"/>
  <c r="K16" i="7"/>
  <c r="J16" i="7"/>
  <c r="G16" i="7"/>
  <c r="F16" i="7"/>
  <c r="DG15" i="7"/>
  <c r="DD15" i="7"/>
  <c r="DC15" i="7"/>
  <c r="CZ15" i="7"/>
  <c r="CY15" i="7"/>
  <c r="CV15" i="7"/>
  <c r="CS15" i="7"/>
  <c r="CR15" i="7"/>
  <c r="CO15" i="7"/>
  <c r="CN15" i="7"/>
  <c r="CK15" i="7"/>
  <c r="CH15" i="7"/>
  <c r="CG15" i="7"/>
  <c r="CD15" i="7"/>
  <c r="CC15" i="7"/>
  <c r="BZ15" i="7"/>
  <c r="BW15" i="7"/>
  <c r="BV15" i="7"/>
  <c r="BS15" i="7"/>
  <c r="BR15" i="7"/>
  <c r="BO15" i="7"/>
  <c r="BL15" i="7"/>
  <c r="BK15" i="7"/>
  <c r="BH15" i="7"/>
  <c r="BG15" i="7"/>
  <c r="BD15" i="7"/>
  <c r="BA15" i="7"/>
  <c r="AZ15" i="7"/>
  <c r="AW15" i="7"/>
  <c r="AV15" i="7"/>
  <c r="AS15" i="7"/>
  <c r="AP15" i="7"/>
  <c r="AO15" i="7"/>
  <c r="AL15" i="7"/>
  <c r="AK15" i="7"/>
  <c r="AH15" i="7"/>
  <c r="AE15" i="7"/>
  <c r="AD15" i="7"/>
  <c r="AA15" i="7"/>
  <c r="Z15" i="7"/>
  <c r="W15" i="7"/>
  <c r="T15" i="7"/>
  <c r="S15" i="7"/>
  <c r="P15" i="7"/>
  <c r="O15" i="7"/>
  <c r="L15" i="7"/>
  <c r="I15" i="7"/>
  <c r="H15" i="7"/>
  <c r="E15" i="7"/>
  <c r="D15" i="7"/>
  <c r="G15" i="7" s="1"/>
  <c r="DH14" i="7"/>
  <c r="DI14" i="7" s="1"/>
  <c r="DF14" i="7"/>
  <c r="DE14" i="7"/>
  <c r="DB14" i="7"/>
  <c r="DA14" i="7"/>
  <c r="CW14" i="7"/>
  <c r="CX14" i="7" s="1"/>
  <c r="CU14" i="7"/>
  <c r="CT14" i="7"/>
  <c r="CQ14" i="7"/>
  <c r="CP14" i="7"/>
  <c r="CL14" i="7"/>
  <c r="CM14" i="7" s="1"/>
  <c r="CJ14" i="7"/>
  <c r="CI14" i="7"/>
  <c r="CF14" i="7"/>
  <c r="CE14" i="7"/>
  <c r="CA14" i="7"/>
  <c r="CB14" i="7" s="1"/>
  <c r="BY14" i="7"/>
  <c r="BX14" i="7"/>
  <c r="BU14" i="7"/>
  <c r="BT14" i="7"/>
  <c r="BP14" i="7"/>
  <c r="BQ14" i="7" s="1"/>
  <c r="BN14" i="7"/>
  <c r="BM14" i="7"/>
  <c r="BJ14" i="7"/>
  <c r="BI14" i="7"/>
  <c r="BE14" i="7"/>
  <c r="BF14" i="7" s="1"/>
  <c r="BC14" i="7"/>
  <c r="BB14" i="7"/>
  <c r="AY14" i="7"/>
  <c r="AX14" i="7"/>
  <c r="AT14" i="7"/>
  <c r="AU14" i="7" s="1"/>
  <c r="AR14" i="7"/>
  <c r="AQ14" i="7"/>
  <c r="AN14" i="7"/>
  <c r="AM14" i="7"/>
  <c r="AI14" i="7"/>
  <c r="AJ14" i="7" s="1"/>
  <c r="AG14" i="7"/>
  <c r="AF14" i="7"/>
  <c r="AC14" i="7"/>
  <c r="AB14" i="7"/>
  <c r="X14" i="7"/>
  <c r="Y14" i="7" s="1"/>
  <c r="V14" i="7"/>
  <c r="U14" i="7"/>
  <c r="R14" i="7"/>
  <c r="Q14" i="7"/>
  <c r="M14" i="7"/>
  <c r="N14" i="7" s="1"/>
  <c r="K14" i="7"/>
  <c r="J14" i="7"/>
  <c r="G14" i="7"/>
  <c r="F14" i="7"/>
  <c r="DH13" i="7"/>
  <c r="DI13" i="7" s="1"/>
  <c r="DF13" i="7"/>
  <c r="DE13" i="7"/>
  <c r="DB13" i="7"/>
  <c r="DA13" i="7"/>
  <c r="CW13" i="7"/>
  <c r="CX13" i="7" s="1"/>
  <c r="CU13" i="7"/>
  <c r="CT13" i="7"/>
  <c r="CQ13" i="7"/>
  <c r="CP13" i="7"/>
  <c r="CL13" i="7"/>
  <c r="CM13" i="7" s="1"/>
  <c r="CJ13" i="7"/>
  <c r="CI13" i="7"/>
  <c r="CF13" i="7"/>
  <c r="CE13" i="7"/>
  <c r="CA13" i="7"/>
  <c r="CB13" i="7" s="1"/>
  <c r="BY13" i="7"/>
  <c r="BX13" i="7"/>
  <c r="BU13" i="7"/>
  <c r="BT13" i="7"/>
  <c r="BP13" i="7"/>
  <c r="BQ13" i="7" s="1"/>
  <c r="BN13" i="7"/>
  <c r="BM13" i="7"/>
  <c r="BJ13" i="7"/>
  <c r="BI13" i="7"/>
  <c r="BE13" i="7"/>
  <c r="BF13" i="7" s="1"/>
  <c r="BC13" i="7"/>
  <c r="BB13" i="7"/>
  <c r="AY13" i="7"/>
  <c r="AX13" i="7"/>
  <c r="AT13" i="7"/>
  <c r="AU13" i="7" s="1"/>
  <c r="AR13" i="7"/>
  <c r="AQ13" i="7"/>
  <c r="AN13" i="7"/>
  <c r="AM13" i="7"/>
  <c r="AI13" i="7"/>
  <c r="AJ13" i="7" s="1"/>
  <c r="AG13" i="7"/>
  <c r="AF13" i="7"/>
  <c r="AC13" i="7"/>
  <c r="AB13" i="7"/>
  <c r="X13" i="7"/>
  <c r="Y13" i="7" s="1"/>
  <c r="V13" i="7"/>
  <c r="U13" i="7"/>
  <c r="R13" i="7"/>
  <c r="Q13" i="7"/>
  <c r="M13" i="7"/>
  <c r="N13" i="7" s="1"/>
  <c r="K13" i="7"/>
  <c r="J13" i="7"/>
  <c r="G13" i="7"/>
  <c r="F13" i="7"/>
  <c r="BM15" i="7" l="1"/>
  <c r="CL15" i="7"/>
  <c r="CM15" i="7" s="1"/>
  <c r="BP18" i="7"/>
  <c r="BQ18" i="7" s="1"/>
  <c r="AR21" i="7"/>
  <c r="BM21" i="7"/>
  <c r="AT24" i="7"/>
  <c r="AU24" i="7" s="1"/>
  <c r="CL24" i="7"/>
  <c r="CM24" i="7" s="1"/>
  <c r="X31" i="7"/>
  <c r="Y31" i="7" s="1"/>
  <c r="AQ34" i="7"/>
  <c r="CJ34" i="7"/>
  <c r="AT37" i="7"/>
  <c r="AU37" i="7" s="1"/>
  <c r="CJ37" i="7"/>
  <c r="AC62" i="7"/>
  <c r="AB70" i="7"/>
  <c r="BU70" i="7"/>
  <c r="Q62" i="7"/>
  <c r="DB70" i="7"/>
  <c r="DF62" i="7"/>
  <c r="AN18" i="7"/>
  <c r="BJ18" i="7"/>
  <c r="DB18" i="7"/>
  <c r="DA21" i="7"/>
  <c r="DA24" i="7"/>
  <c r="Q31" i="7"/>
  <c r="DA31" i="7"/>
  <c r="AM37" i="7"/>
  <c r="M56" i="7"/>
  <c r="N56" i="7" s="1"/>
  <c r="Z65" i="7"/>
  <c r="AB65" i="7" s="1"/>
  <c r="DA28" i="7"/>
  <c r="CW50" i="7"/>
  <c r="CX50" i="7" s="1"/>
  <c r="M156" i="5"/>
  <c r="L178" i="5"/>
  <c r="BO184" i="5"/>
  <c r="BM178" i="5"/>
  <c r="BP169" i="5"/>
  <c r="F103" i="5"/>
  <c r="BK103" i="5"/>
  <c r="BI181" i="5"/>
  <c r="BK150" i="5"/>
  <c r="D152" i="5"/>
  <c r="L113" i="5"/>
  <c r="D164" i="5"/>
  <c r="D173" i="5"/>
  <c r="E134" i="5"/>
  <c r="I140" i="5"/>
  <c r="I147" i="5"/>
  <c r="BG143" i="5"/>
  <c r="BN159" i="5"/>
  <c r="H87" i="5"/>
  <c r="BQ163" i="5"/>
  <c r="I87" i="5"/>
  <c r="P147" i="5"/>
  <c r="BR147" i="5"/>
  <c r="BO134" i="5"/>
  <c r="BG140" i="5"/>
  <c r="BO150" i="5"/>
  <c r="P113" i="5"/>
  <c r="F140" i="5"/>
  <c r="BH140" i="5"/>
  <c r="BP150" i="5"/>
  <c r="BK159" i="5"/>
  <c r="G140" i="5"/>
  <c r="BI40" i="5"/>
  <c r="BP113" i="5"/>
  <c r="BP156" i="5"/>
  <c r="BL159" i="5"/>
  <c r="H140" i="5"/>
  <c r="P140" i="5"/>
  <c r="H147" i="5"/>
  <c r="BN153" i="5"/>
  <c r="BI156" i="5"/>
  <c r="K24" i="5"/>
  <c r="D141" i="5"/>
  <c r="O40" i="5"/>
  <c r="M40" i="5"/>
  <c r="D165" i="5"/>
  <c r="BH143" i="5"/>
  <c r="BH150" i="5"/>
  <c r="BG159" i="5"/>
  <c r="BO159" i="5"/>
  <c r="F137" i="5"/>
  <c r="M134" i="5"/>
  <c r="BM181" i="5"/>
  <c r="BN181" i="5"/>
  <c r="D142" i="5"/>
  <c r="D158" i="5"/>
  <c r="F159" i="5"/>
  <c r="G166" i="5"/>
  <c r="BI24" i="5"/>
  <c r="BP65" i="5"/>
  <c r="BN65" i="5"/>
  <c r="BI143" i="5"/>
  <c r="BI150" i="5"/>
  <c r="BH159" i="5"/>
  <c r="BP159" i="5"/>
  <c r="BH153" i="5"/>
  <c r="BJ181" i="5"/>
  <c r="D154" i="5"/>
  <c r="H103" i="5"/>
  <c r="N156" i="5"/>
  <c r="BJ65" i="5"/>
  <c r="D172" i="5"/>
  <c r="D174" i="5" s="1"/>
  <c r="D175" i="5" s="1"/>
  <c r="G103" i="5"/>
  <c r="H166" i="5"/>
  <c r="BJ24" i="5"/>
  <c r="BP24" i="5"/>
  <c r="BO65" i="5"/>
  <c r="BN140" i="5"/>
  <c r="BM156" i="5"/>
  <c r="BL150" i="5"/>
  <c r="BN178" i="5"/>
  <c r="M113" i="5"/>
  <c r="E140" i="5"/>
  <c r="O140" i="5"/>
  <c r="I150" i="5"/>
  <c r="K178" i="5"/>
  <c r="P87" i="5"/>
  <c r="F153" i="5"/>
  <c r="BH147" i="5"/>
  <c r="BM150" i="5"/>
  <c r="BM160" i="5" s="1"/>
  <c r="BO163" i="5"/>
  <c r="BM174" i="5"/>
  <c r="BM175" i="5" s="1"/>
  <c r="K87" i="5"/>
  <c r="D138" i="5"/>
  <c r="D161" i="5"/>
  <c r="O113" i="5"/>
  <c r="L150" i="5"/>
  <c r="I159" i="5"/>
  <c r="BM65" i="5"/>
  <c r="BN150" i="5"/>
  <c r="BN160" i="5" s="1"/>
  <c r="BP163" i="5"/>
  <c r="BN174" i="5"/>
  <c r="BN175" i="5" s="1"/>
  <c r="F24" i="5"/>
  <c r="BK143" i="5"/>
  <c r="BQ166" i="5"/>
  <c r="BR87" i="5"/>
  <c r="BG87" i="5"/>
  <c r="N40" i="5"/>
  <c r="D146" i="5"/>
  <c r="D147" i="5" s="1"/>
  <c r="BQ159" i="5"/>
  <c r="BO181" i="5"/>
  <c r="E181" i="5"/>
  <c r="BR159" i="5"/>
  <c r="BP181" i="5"/>
  <c r="BJ87" i="5"/>
  <c r="BI134" i="5"/>
  <c r="BQ181" i="5"/>
  <c r="N166" i="5"/>
  <c r="G181" i="5"/>
  <c r="BG127" i="5"/>
  <c r="BG128" i="5" s="1"/>
  <c r="H128" i="5"/>
  <c r="F143" i="5"/>
  <c r="J147" i="5"/>
  <c r="O156" i="5"/>
  <c r="O166" i="5"/>
  <c r="BK113" i="5"/>
  <c r="BK134" i="5"/>
  <c r="BG137" i="5"/>
  <c r="BN147" i="5"/>
  <c r="BR156" i="5"/>
  <c r="BR65" i="5"/>
  <c r="BK181" i="5"/>
  <c r="J150" i="5"/>
  <c r="BP140" i="5"/>
  <c r="BQ178" i="5"/>
  <c r="J140" i="5"/>
  <c r="G128" i="5"/>
  <c r="BO128" i="5"/>
  <c r="J169" i="5"/>
  <c r="BK169" i="5"/>
  <c r="BI184" i="5"/>
  <c r="BL113" i="5"/>
  <c r="BL134" i="5"/>
  <c r="BH137" i="5"/>
  <c r="BO147" i="5"/>
  <c r="BH181" i="5"/>
  <c r="M50" i="5"/>
  <c r="BJ143" i="5"/>
  <c r="BL181" i="5"/>
  <c r="H178" i="5"/>
  <c r="BL87" i="5"/>
  <c r="BH87" i="5"/>
  <c r="BJ147" i="5"/>
  <c r="BI159" i="5"/>
  <c r="L156" i="5"/>
  <c r="F169" i="5"/>
  <c r="BO156" i="5"/>
  <c r="BG169" i="5"/>
  <c r="BN128" i="5"/>
  <c r="M140" i="5"/>
  <c r="M178" i="5"/>
  <c r="P143" i="5"/>
  <c r="N153" i="5"/>
  <c r="L159" i="5"/>
  <c r="K169" i="5"/>
  <c r="BG40" i="5"/>
  <c r="BM40" i="5"/>
  <c r="BM113" i="5"/>
  <c r="BM134" i="5"/>
  <c r="BQ137" i="5"/>
  <c r="BP147" i="5"/>
  <c r="BQ65" i="5"/>
  <c r="G178" i="5"/>
  <c r="F40" i="5"/>
  <c r="BN156" i="5"/>
  <c r="BP134" i="5"/>
  <c r="F128" i="5"/>
  <c r="M166" i="5"/>
  <c r="BH169" i="5"/>
  <c r="BH170" i="5" s="1"/>
  <c r="P174" i="5"/>
  <c r="P175" i="5" s="1"/>
  <c r="BJ134" i="5"/>
  <c r="BQ156" i="5"/>
  <c r="K113" i="5"/>
  <c r="N134" i="5"/>
  <c r="BI65" i="5"/>
  <c r="BN113" i="5"/>
  <c r="BR137" i="5"/>
  <c r="BQ147" i="5"/>
  <c r="BL163" i="5"/>
  <c r="BG166" i="5"/>
  <c r="G169" i="5"/>
  <c r="D80" i="5"/>
  <c r="BO153" i="5"/>
  <c r="D112" i="5"/>
  <c r="BP153" i="5"/>
  <c r="BQ153" i="5"/>
  <c r="E24" i="5"/>
  <c r="D99" i="5"/>
  <c r="BM128" i="5"/>
  <c r="BK24" i="5"/>
  <c r="L24" i="5"/>
  <c r="D151" i="5"/>
  <c r="N87" i="5"/>
  <c r="BQ169" i="5"/>
  <c r="BO87" i="5"/>
  <c r="G143" i="5"/>
  <c r="BG163" i="5"/>
  <c r="BK178" i="5"/>
  <c r="H143" i="5"/>
  <c r="H159" i="5"/>
  <c r="BL178" i="5"/>
  <c r="N140" i="5"/>
  <c r="E143" i="5"/>
  <c r="E147" i="5"/>
  <c r="G153" i="5"/>
  <c r="E159" i="5"/>
  <c r="M159" i="5"/>
  <c r="M160" i="5" s="1"/>
  <c r="P166" i="5"/>
  <c r="F181" i="5"/>
  <c r="BG147" i="5"/>
  <c r="BR163" i="5"/>
  <c r="BQ24" i="5"/>
  <c r="BL166" i="5"/>
  <c r="D93" i="5"/>
  <c r="BR24" i="5"/>
  <c r="BQ103" i="5"/>
  <c r="BR134" i="5"/>
  <c r="BN143" i="5"/>
  <c r="D14" i="5"/>
  <c r="I134" i="5"/>
  <c r="J181" i="5"/>
  <c r="BL137" i="5"/>
  <c r="J134" i="5"/>
  <c r="F178" i="5"/>
  <c r="BN103" i="5"/>
  <c r="BP143" i="5"/>
  <c r="BN137" i="5"/>
  <c r="BH156" i="5"/>
  <c r="J103" i="5"/>
  <c r="F163" i="5"/>
  <c r="D17" i="5"/>
  <c r="D179" i="5"/>
  <c r="E113" i="5"/>
  <c r="G163" i="5"/>
  <c r="D167" i="5"/>
  <c r="D180" i="5"/>
  <c r="L103" i="5"/>
  <c r="O137" i="5"/>
  <c r="N147" i="5"/>
  <c r="F150" i="5"/>
  <c r="P153" i="5"/>
  <c r="I156" i="5"/>
  <c r="N159" i="5"/>
  <c r="M174" i="5"/>
  <c r="M175" i="5" s="1"/>
  <c r="BI140" i="5"/>
  <c r="BI147" i="5"/>
  <c r="BJ153" i="5"/>
  <c r="BH174" i="5"/>
  <c r="BH175" i="5" s="1"/>
  <c r="BR103" i="5"/>
  <c r="BO143" i="5"/>
  <c r="BR153" i="5"/>
  <c r="BN166" i="5"/>
  <c r="H24" i="5"/>
  <c r="K181" i="5"/>
  <c r="BP40" i="5"/>
  <c r="BH128" i="5"/>
  <c r="BO178" i="5"/>
  <c r="O150" i="5"/>
  <c r="BO103" i="5"/>
  <c r="BQ143" i="5"/>
  <c r="D136" i="5"/>
  <c r="D39" i="5"/>
  <c r="J184" i="5"/>
  <c r="P103" i="5"/>
  <c r="P114" i="5" s="1"/>
  <c r="M181" i="5"/>
  <c r="E150" i="5"/>
  <c r="H156" i="5"/>
  <c r="BN87" i="5"/>
  <c r="BR166" i="5"/>
  <c r="BR178" i="5"/>
  <c r="D27" i="5"/>
  <c r="G113" i="5"/>
  <c r="P137" i="5"/>
  <c r="O143" i="5"/>
  <c r="G150" i="5"/>
  <c r="J156" i="5"/>
  <c r="O159" i="5"/>
  <c r="I163" i="5"/>
  <c r="N174" i="5"/>
  <c r="N175" i="5" s="1"/>
  <c r="BP184" i="5"/>
  <c r="BQ128" i="5"/>
  <c r="BJ140" i="5"/>
  <c r="BQ150" i="5"/>
  <c r="BL156" i="5"/>
  <c r="BI174" i="5"/>
  <c r="BI175" i="5" s="1"/>
  <c r="BP174" i="5"/>
  <c r="BP175" i="5" s="1"/>
  <c r="BG178" i="5"/>
  <c r="BL143" i="5"/>
  <c r="BK166" i="5"/>
  <c r="BR181" i="5"/>
  <c r="D46" i="5"/>
  <c r="K103" i="5"/>
  <c r="G159" i="5"/>
  <c r="H181" i="5"/>
  <c r="BL24" i="5"/>
  <c r="BP103" i="5"/>
  <c r="BP128" i="5"/>
  <c r="BM143" i="5"/>
  <c r="H134" i="5"/>
  <c r="I181" i="5"/>
  <c r="BI87" i="5"/>
  <c r="BJ128" i="5"/>
  <c r="BK137" i="5"/>
  <c r="BJ150" i="5"/>
  <c r="BM166" i="5"/>
  <c r="D102" i="5"/>
  <c r="P156" i="5"/>
  <c r="BK128" i="5"/>
  <c r="BO24" i="5"/>
  <c r="BM137" i="5"/>
  <c r="BO166" i="5"/>
  <c r="D135" i="5"/>
  <c r="I65" i="5"/>
  <c r="BP166" i="5"/>
  <c r="L134" i="5"/>
  <c r="P150" i="5"/>
  <c r="G156" i="5"/>
  <c r="BM87" i="5"/>
  <c r="N137" i="5"/>
  <c r="O153" i="5"/>
  <c r="P163" i="5"/>
  <c r="BO113" i="5"/>
  <c r="BI153" i="5"/>
  <c r="BG174" i="5"/>
  <c r="BG175" i="5" s="1"/>
  <c r="H113" i="5"/>
  <c r="H150" i="5"/>
  <c r="K156" i="5"/>
  <c r="P159" i="5"/>
  <c r="J163" i="5"/>
  <c r="O174" i="5"/>
  <c r="O175" i="5" s="1"/>
  <c r="BJ184" i="5"/>
  <c r="BR113" i="5"/>
  <c r="BH113" i="5"/>
  <c r="BR128" i="5"/>
  <c r="BK140" i="5"/>
  <c r="BR140" i="5"/>
  <c r="BR150" i="5"/>
  <c r="BL153" i="5"/>
  <c r="BJ174" i="5"/>
  <c r="BJ175" i="5" s="1"/>
  <c r="BQ174" i="5"/>
  <c r="BQ175" i="5" s="1"/>
  <c r="BH178" i="5"/>
  <c r="BI137" i="5"/>
  <c r="M87" i="5"/>
  <c r="BI128" i="5"/>
  <c r="BJ137" i="5"/>
  <c r="D43" i="5"/>
  <c r="BM24" i="5"/>
  <c r="BL103" i="5"/>
  <c r="BG103" i="5"/>
  <c r="D157" i="5"/>
  <c r="M103" i="5"/>
  <c r="BN24" i="5"/>
  <c r="BM103" i="5"/>
  <c r="BM159" i="5"/>
  <c r="J159" i="5"/>
  <c r="K134" i="5"/>
  <c r="E163" i="5"/>
  <c r="E170" i="5" s="1"/>
  <c r="L181" i="5"/>
  <c r="BQ40" i="5"/>
  <c r="BJ103" i="5"/>
  <c r="BP178" i="5"/>
  <c r="E137" i="5"/>
  <c r="N50" i="5"/>
  <c r="L153" i="5"/>
  <c r="BH40" i="5"/>
  <c r="BR40" i="5"/>
  <c r="BI113" i="5"/>
  <c r="BG134" i="5"/>
  <c r="BL140" i="5"/>
  <c r="BJ163" i="5"/>
  <c r="BK174" i="5"/>
  <c r="BK175" i="5" s="1"/>
  <c r="J24" i="5"/>
  <c r="L40" i="5"/>
  <c r="I128" i="5"/>
  <c r="E156" i="5"/>
  <c r="BJ113" i="5"/>
  <c r="BH134" i="5"/>
  <c r="BM140" i="5"/>
  <c r="BG153" i="5"/>
  <c r="BK163" i="5"/>
  <c r="BL174" i="5"/>
  <c r="BL175" i="5" s="1"/>
  <c r="BM49" i="5"/>
  <c r="BM50" i="5" s="1"/>
  <c r="BN169" i="5"/>
  <c r="BN50" i="5"/>
  <c r="BO169" i="5"/>
  <c r="BN40" i="5"/>
  <c r="BO50" i="5"/>
  <c r="BP50" i="5"/>
  <c r="BG113" i="5"/>
  <c r="BL127" i="5"/>
  <c r="BL128" i="5" s="1"/>
  <c r="BL182" i="5"/>
  <c r="BL184" i="5" s="1"/>
  <c r="BO140" i="5"/>
  <c r="BJ159" i="5"/>
  <c r="BQ50" i="5"/>
  <c r="BH103" i="5"/>
  <c r="BL40" i="5"/>
  <c r="BR49" i="5"/>
  <c r="BR50" i="5" s="1"/>
  <c r="BK87" i="5"/>
  <c r="BI103" i="5"/>
  <c r="BG43" i="5"/>
  <c r="BG50" i="5" s="1"/>
  <c r="BI168" i="5"/>
  <c r="BI169" i="5" s="1"/>
  <c r="BI170" i="5" s="1"/>
  <c r="BI49" i="5"/>
  <c r="BI50" i="5" s="1"/>
  <c r="BN134" i="5"/>
  <c r="BG156" i="5"/>
  <c r="BH184" i="5"/>
  <c r="BH49" i="5"/>
  <c r="BH50" i="5" s="1"/>
  <c r="BM182" i="5"/>
  <c r="BM184" i="5" s="1"/>
  <c r="BM185" i="5" s="1"/>
  <c r="BG64" i="5"/>
  <c r="BG65" i="5" s="1"/>
  <c r="BR184" i="5"/>
  <c r="BG24" i="5"/>
  <c r="BN182" i="5"/>
  <c r="BN184" i="5" s="1"/>
  <c r="BH64" i="5"/>
  <c r="BH65" i="5" s="1"/>
  <c r="BP87" i="5"/>
  <c r="BO137" i="5"/>
  <c r="BR143" i="5"/>
  <c r="BG181" i="5"/>
  <c r="BH24" i="5"/>
  <c r="BQ87" i="5"/>
  <c r="BP137" i="5"/>
  <c r="BK49" i="5"/>
  <c r="BK50" i="5" s="1"/>
  <c r="BK153" i="5"/>
  <c r="BK160" i="5" s="1"/>
  <c r="BR174" i="5"/>
  <c r="BR175" i="5" s="1"/>
  <c r="BJ40" i="5"/>
  <c r="BO40" i="5"/>
  <c r="BK65" i="5"/>
  <c r="BG150" i="5"/>
  <c r="BL169" i="5"/>
  <c r="BJ168" i="5"/>
  <c r="BJ169" i="5" s="1"/>
  <c r="BJ49" i="5"/>
  <c r="BJ50" i="5" s="1"/>
  <c r="BJ51" i="5" s="1"/>
  <c r="BG184" i="5"/>
  <c r="BQ184" i="5"/>
  <c r="BK40" i="5"/>
  <c r="BL49" i="5"/>
  <c r="BL50" i="5" s="1"/>
  <c r="BL65" i="5"/>
  <c r="BM169" i="5"/>
  <c r="BK182" i="5"/>
  <c r="BK184" i="5" s="1"/>
  <c r="D121" i="5"/>
  <c r="D83" i="5"/>
  <c r="D118" i="5"/>
  <c r="O103" i="5"/>
  <c r="K140" i="5"/>
  <c r="F156" i="5"/>
  <c r="D109" i="5"/>
  <c r="J113" i="5"/>
  <c r="L87" i="5"/>
  <c r="H169" i="5"/>
  <c r="D148" i="5"/>
  <c r="D126" i="5"/>
  <c r="I169" i="5"/>
  <c r="G24" i="5"/>
  <c r="K50" i="5"/>
  <c r="F147" i="5"/>
  <c r="E50" i="5"/>
  <c r="G147" i="5"/>
  <c r="H153" i="5"/>
  <c r="K159" i="5"/>
  <c r="P40" i="5"/>
  <c r="I153" i="5"/>
  <c r="D149" i="5"/>
  <c r="N103" i="5"/>
  <c r="N113" i="5"/>
  <c r="I103" i="5"/>
  <c r="I24" i="5"/>
  <c r="E174" i="5"/>
  <c r="E175" i="5" s="1"/>
  <c r="N181" i="5"/>
  <c r="H49" i="5"/>
  <c r="H50" i="5" s="1"/>
  <c r="L140" i="5"/>
  <c r="O147" i="5"/>
  <c r="K163" i="5"/>
  <c r="I49" i="5"/>
  <c r="I50" i="5" s="1"/>
  <c r="F50" i="5"/>
  <c r="D61" i="5"/>
  <c r="L163" i="5"/>
  <c r="D36" i="5"/>
  <c r="J50" i="5"/>
  <c r="D90" i="5"/>
  <c r="D117" i="5"/>
  <c r="E40" i="5"/>
  <c r="K40" i="5"/>
  <c r="N169" i="5"/>
  <c r="I113" i="5"/>
  <c r="G50" i="5"/>
  <c r="J87" i="5"/>
  <c r="D77" i="5"/>
  <c r="D155" i="5"/>
  <c r="D156" i="5" s="1"/>
  <c r="E182" i="5"/>
  <c r="E184" i="5" s="1"/>
  <c r="E64" i="5"/>
  <c r="N183" i="5"/>
  <c r="N184" i="5" s="1"/>
  <c r="F182" i="5"/>
  <c r="F184" i="5" s="1"/>
  <c r="F64" i="5"/>
  <c r="F65" i="5" s="1"/>
  <c r="O183" i="5"/>
  <c r="O184" i="5" s="1"/>
  <c r="D132" i="5"/>
  <c r="G182" i="5"/>
  <c r="G184" i="5" s="1"/>
  <c r="G64" i="5"/>
  <c r="G65" i="5" s="1"/>
  <c r="D133" i="5"/>
  <c r="D67" i="5"/>
  <c r="H182" i="5"/>
  <c r="H184" i="5" s="1"/>
  <c r="H64" i="5"/>
  <c r="H65" i="5" s="1"/>
  <c r="D86" i="5"/>
  <c r="P184" i="5"/>
  <c r="D63" i="5"/>
  <c r="F113" i="5"/>
  <c r="D23" i="5"/>
  <c r="D33" i="5"/>
  <c r="K183" i="5"/>
  <c r="K184" i="5" s="1"/>
  <c r="O87" i="5"/>
  <c r="E103" i="5"/>
  <c r="D124" i="5"/>
  <c r="J128" i="5"/>
  <c r="E153" i="5"/>
  <c r="L183" i="5"/>
  <c r="L184" i="5" s="1"/>
  <c r="F174" i="5"/>
  <c r="F175" i="5" s="1"/>
  <c r="L49" i="5"/>
  <c r="L50" i="5" s="1"/>
  <c r="L167" i="5"/>
  <c r="L169" i="5" s="1"/>
  <c r="D62" i="5"/>
  <c r="D182" i="5" s="1"/>
  <c r="M183" i="5"/>
  <c r="M184" i="5" s="1"/>
  <c r="E176" i="5"/>
  <c r="E178" i="5" s="1"/>
  <c r="E58" i="5"/>
  <c r="D58" i="5" s="1"/>
  <c r="O64" i="5"/>
  <c r="O65" i="5" s="1"/>
  <c r="D96" i="5"/>
  <c r="D106" i="5"/>
  <c r="M127" i="5"/>
  <c r="M128" i="5" s="1"/>
  <c r="M137" i="5"/>
  <c r="K143" i="5"/>
  <c r="O178" i="5"/>
  <c r="O24" i="5"/>
  <c r="D20" i="5"/>
  <c r="P64" i="5"/>
  <c r="P65" i="5" s="1"/>
  <c r="E87" i="5"/>
  <c r="N127" i="5"/>
  <c r="N128" i="5" s="1"/>
  <c r="L143" i="5"/>
  <c r="J166" i="5"/>
  <c r="P178" i="5"/>
  <c r="I182" i="5"/>
  <c r="I184" i="5" s="1"/>
  <c r="P24" i="5"/>
  <c r="F87" i="5"/>
  <c r="O127" i="5"/>
  <c r="O128" i="5" s="1"/>
  <c r="F134" i="5"/>
  <c r="M143" i="5"/>
  <c r="K166" i="5"/>
  <c r="G87" i="5"/>
  <c r="P127" i="5"/>
  <c r="P128" i="5" s="1"/>
  <c r="G134" i="5"/>
  <c r="N143" i="5"/>
  <c r="L166" i="5"/>
  <c r="G174" i="5"/>
  <c r="G175" i="5" s="1"/>
  <c r="H40" i="5"/>
  <c r="H137" i="5"/>
  <c r="I40" i="5"/>
  <c r="O49" i="5"/>
  <c r="O50" i="5" s="1"/>
  <c r="K64" i="5"/>
  <c r="K65" i="5" s="1"/>
  <c r="E127" i="5"/>
  <c r="I137" i="5"/>
  <c r="O163" i="5"/>
  <c r="I174" i="5"/>
  <c r="I175" i="5" s="1"/>
  <c r="P181" i="5"/>
  <c r="M24" i="5"/>
  <c r="G40" i="5"/>
  <c r="G137" i="5"/>
  <c r="M163" i="5"/>
  <c r="M167" i="5"/>
  <c r="M169" i="5" s="1"/>
  <c r="J40" i="5"/>
  <c r="D42" i="5"/>
  <c r="D162" i="5" s="1"/>
  <c r="P49" i="5"/>
  <c r="P50" i="5" s="1"/>
  <c r="D54" i="5"/>
  <c r="L64" i="5"/>
  <c r="L65" i="5" s="1"/>
  <c r="J137" i="5"/>
  <c r="O167" i="5"/>
  <c r="O169" i="5" s="1"/>
  <c r="J174" i="5"/>
  <c r="J175" i="5" s="1"/>
  <c r="N24" i="5"/>
  <c r="J64" i="5"/>
  <c r="J65" i="5" s="1"/>
  <c r="N163" i="5"/>
  <c r="H174" i="5"/>
  <c r="H175" i="5" s="1"/>
  <c r="O181" i="5"/>
  <c r="D48" i="5"/>
  <c r="D168" i="5" s="1"/>
  <c r="D55" i="5"/>
  <c r="M64" i="5"/>
  <c r="M65" i="5" s="1"/>
  <c r="K127" i="5"/>
  <c r="K128" i="5" s="1"/>
  <c r="K137" i="5"/>
  <c r="I143" i="5"/>
  <c r="P167" i="5"/>
  <c r="P169" i="5" s="1"/>
  <c r="K174" i="5"/>
  <c r="K175" i="5" s="1"/>
  <c r="D139" i="5"/>
  <c r="D140" i="5" s="1"/>
  <c r="D56" i="5"/>
  <c r="D176" i="5" s="1"/>
  <c r="D178" i="5" s="1"/>
  <c r="N64" i="5"/>
  <c r="N65" i="5" s="1"/>
  <c r="L127" i="5"/>
  <c r="L128" i="5" s="1"/>
  <c r="L137" i="5"/>
  <c r="J143" i="5"/>
  <c r="L174" i="5"/>
  <c r="L175" i="5" s="1"/>
  <c r="N178" i="5"/>
  <c r="D30" i="5"/>
  <c r="F52" i="8"/>
  <c r="I52" i="8"/>
  <c r="I67" i="8" s="1"/>
  <c r="O52" i="8"/>
  <c r="O67" i="8" s="1"/>
  <c r="P37" i="8"/>
  <c r="P34" i="8"/>
  <c r="P48" i="8"/>
  <c r="G66" i="8"/>
  <c r="D51" i="8"/>
  <c r="P28" i="8"/>
  <c r="L52" i="8"/>
  <c r="L67" i="8" s="1"/>
  <c r="P59" i="8"/>
  <c r="F25" i="8"/>
  <c r="G25" i="8"/>
  <c r="G52" i="8" s="1"/>
  <c r="G67" i="8" s="1"/>
  <c r="P49" i="8"/>
  <c r="D44" i="8"/>
  <c r="P44" i="8" s="1"/>
  <c r="P47" i="8"/>
  <c r="K50" i="8"/>
  <c r="K51" i="8" s="1"/>
  <c r="K52" i="8" s="1"/>
  <c r="K67" i="8" s="1"/>
  <c r="P31" i="8"/>
  <c r="N41" i="8"/>
  <c r="N52" i="8" s="1"/>
  <c r="N67" i="8" s="1"/>
  <c r="P58" i="8"/>
  <c r="P18" i="8"/>
  <c r="D25" i="8"/>
  <c r="F66" i="8"/>
  <c r="P15" i="8"/>
  <c r="N25" i="8"/>
  <c r="H66" i="8"/>
  <c r="H67" i="8" s="1"/>
  <c r="M56" i="8"/>
  <c r="P56" i="8" s="1"/>
  <c r="D52" i="8"/>
  <c r="D65" i="8"/>
  <c r="P64" i="8"/>
  <c r="P62" i="8"/>
  <c r="M25" i="8"/>
  <c r="P68" i="8"/>
  <c r="J41" i="8"/>
  <c r="E51" i="8"/>
  <c r="P40" i="8"/>
  <c r="E41" i="8"/>
  <c r="J50" i="8"/>
  <c r="J51" i="8" s="1"/>
  <c r="J52" i="8" s="1"/>
  <c r="J67" i="8" s="1"/>
  <c r="M41" i="8"/>
  <c r="M52" i="8" s="1"/>
  <c r="P24" i="8"/>
  <c r="BY18" i="7"/>
  <c r="J21" i="7"/>
  <c r="BC21" i="7"/>
  <c r="CT31" i="7"/>
  <c r="AG34" i="7"/>
  <c r="BX40" i="7"/>
  <c r="AN62" i="7"/>
  <c r="CF62" i="7"/>
  <c r="CU65" i="7"/>
  <c r="CF37" i="7"/>
  <c r="CQ62" i="7"/>
  <c r="CA50" i="7"/>
  <c r="CB50" i="7" s="1"/>
  <c r="BE24" i="7"/>
  <c r="BF24" i="7" s="1"/>
  <c r="R15" i="7"/>
  <c r="DA15" i="7"/>
  <c r="BU28" i="7"/>
  <c r="CQ55" i="7"/>
  <c r="AN40" i="7"/>
  <c r="V50" i="7"/>
  <c r="BP56" i="7"/>
  <c r="BQ56" i="7" s="1"/>
  <c r="BN34" i="7"/>
  <c r="DH34" i="7"/>
  <c r="DI34" i="7" s="1"/>
  <c r="AN70" i="7"/>
  <c r="CF70" i="7"/>
  <c r="BU47" i="7"/>
  <c r="CP37" i="7"/>
  <c r="AL25" i="7"/>
  <c r="X24" i="7"/>
  <c r="Y24" i="7" s="1"/>
  <c r="BD41" i="7"/>
  <c r="AF21" i="7"/>
  <c r="AX40" i="7"/>
  <c r="AS51" i="7"/>
  <c r="G62" i="7"/>
  <c r="BE70" i="7"/>
  <c r="BF70" i="7" s="1"/>
  <c r="DG51" i="7"/>
  <c r="AI40" i="7"/>
  <c r="AJ40" i="7" s="1"/>
  <c r="S25" i="7"/>
  <c r="DH21" i="7"/>
  <c r="DI21" i="7" s="1"/>
  <c r="DA37" i="7"/>
  <c r="AE51" i="7"/>
  <c r="AD56" i="7"/>
  <c r="AF56" i="7" s="1"/>
  <c r="BC56" i="7"/>
  <c r="M65" i="7"/>
  <c r="N65" i="7" s="1"/>
  <c r="BI34" i="7"/>
  <c r="CQ18" i="7"/>
  <c r="BP55" i="7"/>
  <c r="BQ55" i="7" s="1"/>
  <c r="G21" i="7"/>
  <c r="CK66" i="7"/>
  <c r="DB34" i="7"/>
  <c r="AT21" i="7"/>
  <c r="AU21" i="7" s="1"/>
  <c r="BT31" i="7"/>
  <c r="X37" i="7"/>
  <c r="Y37" i="7" s="1"/>
  <c r="G70" i="7"/>
  <c r="CQ70" i="7"/>
  <c r="BM24" i="7"/>
  <c r="BZ51" i="7"/>
  <c r="F56" i="7"/>
  <c r="O65" i="7"/>
  <c r="O66" i="7" s="1"/>
  <c r="CH41" i="7"/>
  <c r="R34" i="7"/>
  <c r="BC34" i="7"/>
  <c r="AA41" i="7"/>
  <c r="BZ41" i="7"/>
  <c r="AM62" i="7"/>
  <c r="CH25" i="7"/>
  <c r="K21" i="7"/>
  <c r="Q24" i="7"/>
  <c r="G31" i="7"/>
  <c r="BE34" i="7"/>
  <c r="BF34" i="7" s="1"/>
  <c r="AI37" i="7"/>
  <c r="AJ37" i="7" s="1"/>
  <c r="M50" i="7"/>
  <c r="N50" i="7" s="1"/>
  <c r="BR65" i="7"/>
  <c r="BU65" i="7" s="1"/>
  <c r="CF15" i="7"/>
  <c r="M21" i="7"/>
  <c r="N21" i="7" s="1"/>
  <c r="CQ31" i="7"/>
  <c r="DA34" i="7"/>
  <c r="BP50" i="7"/>
  <c r="BQ50" i="7" s="1"/>
  <c r="F62" i="7"/>
  <c r="CL62" i="7"/>
  <c r="CM62" i="7" s="1"/>
  <c r="AR55" i="7"/>
  <c r="J62" i="7"/>
  <c r="BV56" i="7"/>
  <c r="BX56" i="7" s="1"/>
  <c r="BT64" i="7"/>
  <c r="CV25" i="7"/>
  <c r="AG21" i="7"/>
  <c r="BL51" i="7"/>
  <c r="BN15" i="7"/>
  <c r="AI18" i="7"/>
  <c r="AJ18" i="7" s="1"/>
  <c r="CF21" i="7"/>
  <c r="D65" i="7"/>
  <c r="AB63" i="7"/>
  <c r="AC34" i="7"/>
  <c r="I41" i="7"/>
  <c r="DB21" i="7"/>
  <c r="CP28" i="7"/>
  <c r="M40" i="7"/>
  <c r="N40" i="7" s="1"/>
  <c r="G55" i="7"/>
  <c r="O41" i="7"/>
  <c r="BR25" i="7"/>
  <c r="AK41" i="7"/>
  <c r="CQ37" i="7"/>
  <c r="BU44" i="7"/>
  <c r="BM62" i="7"/>
  <c r="CL26" i="7"/>
  <c r="CM26" i="7" s="1"/>
  <c r="BP15" i="7"/>
  <c r="BQ15" i="7" s="1"/>
  <c r="CL34" i="7"/>
  <c r="CM34" i="7" s="1"/>
  <c r="S41" i="7"/>
  <c r="X41" i="7" s="1"/>
  <c r="Y41" i="7" s="1"/>
  <c r="BU62" i="7"/>
  <c r="CP70" i="7"/>
  <c r="K62" i="7"/>
  <c r="BN21" i="7"/>
  <c r="CW65" i="7"/>
  <c r="CX65" i="7" s="1"/>
  <c r="BM18" i="7"/>
  <c r="AI34" i="7"/>
  <c r="AJ34" i="7" s="1"/>
  <c r="F37" i="7"/>
  <c r="Q15" i="7"/>
  <c r="M26" i="7"/>
  <c r="N26" i="7" s="1"/>
  <c r="BU31" i="7"/>
  <c r="DB40" i="7"/>
  <c r="CR56" i="7"/>
  <c r="CU56" i="7" s="1"/>
  <c r="CZ25" i="7"/>
  <c r="CO51" i="7"/>
  <c r="CL21" i="7"/>
  <c r="CM21" i="7" s="1"/>
  <c r="S28" i="7"/>
  <c r="V28" i="7" s="1"/>
  <c r="AQ31" i="7"/>
  <c r="DE37" i="7"/>
  <c r="AW51" i="7"/>
  <c r="AH66" i="7"/>
  <c r="I66" i="7"/>
  <c r="BD25" i="7"/>
  <c r="BE31" i="7"/>
  <c r="BF31" i="7" s="1"/>
  <c r="DA64" i="7"/>
  <c r="CW18" i="7"/>
  <c r="CX18" i="7" s="1"/>
  <c r="CL37" i="7"/>
  <c r="CM37" i="7" s="1"/>
  <c r="BA25" i="7"/>
  <c r="DB31" i="7"/>
  <c r="CS25" i="7"/>
  <c r="K26" i="7"/>
  <c r="BI40" i="7"/>
  <c r="DA62" i="7"/>
  <c r="AI15" i="7"/>
  <c r="AJ15" i="7" s="1"/>
  <c r="AQ18" i="7"/>
  <c r="BC24" i="7"/>
  <c r="CU24" i="7"/>
  <c r="BV28" i="7"/>
  <c r="CA28" i="7" s="1"/>
  <c r="CB28" i="7" s="1"/>
  <c r="AM40" i="7"/>
  <c r="CA55" i="7"/>
  <c r="CB55" i="7" s="1"/>
  <c r="CQ63" i="7"/>
  <c r="CN65" i="7"/>
  <c r="BN24" i="7"/>
  <c r="AY40" i="7"/>
  <c r="CL40" i="7"/>
  <c r="CM40" i="7" s="1"/>
  <c r="CI40" i="7"/>
  <c r="CJ40" i="7"/>
  <c r="V45" i="7"/>
  <c r="U45" i="7"/>
  <c r="BU24" i="7"/>
  <c r="X42" i="7"/>
  <c r="Y42" i="7" s="1"/>
  <c r="S44" i="7"/>
  <c r="U44" i="7" s="1"/>
  <c r="U42" i="7"/>
  <c r="V64" i="7"/>
  <c r="U64" i="7"/>
  <c r="CT15" i="7"/>
  <c r="CU26" i="7"/>
  <c r="CW26" i="7"/>
  <c r="CX26" i="7" s="1"/>
  <c r="CT26" i="7"/>
  <c r="CR28" i="7"/>
  <c r="CW28" i="7" s="1"/>
  <c r="CX28" i="7" s="1"/>
  <c r="CL45" i="7"/>
  <c r="CM45" i="7" s="1"/>
  <c r="CI45" i="7"/>
  <c r="X45" i="7"/>
  <c r="Y45" i="7" s="1"/>
  <c r="DE64" i="7"/>
  <c r="CU15" i="7"/>
  <c r="CA34" i="7"/>
  <c r="CB34" i="7" s="1"/>
  <c r="BX34" i="7"/>
  <c r="BY34" i="7"/>
  <c r="CG42" i="7"/>
  <c r="CL42" i="7" s="1"/>
  <c r="CM42" i="7" s="1"/>
  <c r="U18" i="7"/>
  <c r="V18" i="7"/>
  <c r="J56" i="7"/>
  <c r="AX62" i="7"/>
  <c r="AY62" i="7"/>
  <c r="BS51" i="7"/>
  <c r="CJ21" i="7"/>
  <c r="W41" i="7"/>
  <c r="BG41" i="7"/>
  <c r="AB47" i="7"/>
  <c r="BE50" i="7"/>
  <c r="BF50" i="7" s="1"/>
  <c r="BC50" i="7"/>
  <c r="BB50" i="7"/>
  <c r="BZ66" i="7"/>
  <c r="BW51" i="7"/>
  <c r="CQ15" i="7"/>
  <c r="CP15" i="7"/>
  <c r="AC55" i="7"/>
  <c r="Z56" i="7"/>
  <c r="AB56" i="7" s="1"/>
  <c r="H43" i="7"/>
  <c r="J43" i="7" s="1"/>
  <c r="D44" i="7"/>
  <c r="D51" i="7" s="1"/>
  <c r="DB15" i="7"/>
  <c r="CA40" i="7"/>
  <c r="CB40" i="7" s="1"/>
  <c r="F43" i="7"/>
  <c r="CC56" i="7"/>
  <c r="CF55" i="7"/>
  <c r="CE55" i="7"/>
  <c r="K63" i="7"/>
  <c r="AQ70" i="7"/>
  <c r="AR70" i="7"/>
  <c r="AG24" i="7"/>
  <c r="J55" i="7"/>
  <c r="K55" i="7"/>
  <c r="M55" i="7"/>
  <c r="N55" i="7" s="1"/>
  <c r="AI24" i="7"/>
  <c r="AJ24" i="7" s="1"/>
  <c r="BY24" i="7"/>
  <c r="BX24" i="7"/>
  <c r="BC40" i="7"/>
  <c r="BB40" i="7"/>
  <c r="CL50" i="7"/>
  <c r="CM50" i="7" s="1"/>
  <c r="CU37" i="7"/>
  <c r="AX57" i="7"/>
  <c r="AV59" i="7"/>
  <c r="AX59" i="7" s="1"/>
  <c r="DA58" i="7"/>
  <c r="CT34" i="7"/>
  <c r="BJ37" i="7"/>
  <c r="BI37" i="7"/>
  <c r="CW37" i="7"/>
  <c r="CX37" i="7" s="1"/>
  <c r="V40" i="7"/>
  <c r="U40" i="7"/>
  <c r="BC57" i="7"/>
  <c r="BB57" i="7"/>
  <c r="CI18" i="7"/>
  <c r="CJ18" i="7"/>
  <c r="BB46" i="7"/>
  <c r="BD66" i="7"/>
  <c r="CI21" i="7"/>
  <c r="CW34" i="7"/>
  <c r="CX34" i="7" s="1"/>
  <c r="BM37" i="7"/>
  <c r="BN37" i="7"/>
  <c r="DB28" i="7"/>
  <c r="CW15" i="7"/>
  <c r="CX15" i="7" s="1"/>
  <c r="CR25" i="7"/>
  <c r="CT25" i="7" s="1"/>
  <c r="Q21" i="7"/>
  <c r="R21" i="7"/>
  <c r="AF34" i="7"/>
  <c r="BP34" i="7"/>
  <c r="BQ34" i="7" s="1"/>
  <c r="BT43" i="7"/>
  <c r="AA50" i="7"/>
  <c r="AA51" i="7" s="1"/>
  <c r="BS66" i="7"/>
  <c r="CU70" i="7"/>
  <c r="BW41" i="7"/>
  <c r="BY31" i="7"/>
  <c r="BX31" i="7"/>
  <c r="CU50" i="7"/>
  <c r="BN70" i="7"/>
  <c r="CW70" i="7"/>
  <c r="CX70" i="7" s="1"/>
  <c r="AE25" i="7"/>
  <c r="BA51" i="7"/>
  <c r="BA52" i="7" s="1"/>
  <c r="I51" i="7"/>
  <c r="BI58" i="7"/>
  <c r="V63" i="7"/>
  <c r="F24" i="7"/>
  <c r="G24" i="7"/>
  <c r="AN28" i="7"/>
  <c r="AM28" i="7"/>
  <c r="F34" i="7"/>
  <c r="BP37" i="7"/>
  <c r="BQ37" i="7" s="1"/>
  <c r="BP70" i="7"/>
  <c r="BQ70" i="7" s="1"/>
  <c r="BW25" i="7"/>
  <c r="BE21" i="7"/>
  <c r="BF21" i="7" s="1"/>
  <c r="CD41" i="7"/>
  <c r="AF37" i="7"/>
  <c r="AB42" i="7"/>
  <c r="CE64" i="7"/>
  <c r="DE70" i="7"/>
  <c r="DH70" i="7"/>
  <c r="DI70" i="7" s="1"/>
  <c r="J34" i="7"/>
  <c r="K34" i="7"/>
  <c r="BU37" i="7"/>
  <c r="DA40" i="7"/>
  <c r="AC42" i="7"/>
  <c r="T51" i="7"/>
  <c r="R55" i="7"/>
  <c r="BT58" i="7"/>
  <c r="BU58" i="7"/>
  <c r="R62" i="7"/>
  <c r="CP62" i="7"/>
  <c r="BY63" i="7"/>
  <c r="BX63" i="7"/>
  <c r="J64" i="7"/>
  <c r="AR15" i="7"/>
  <c r="AT15" i="7"/>
  <c r="AU15" i="7" s="1"/>
  <c r="BX37" i="7"/>
  <c r="BY37" i="7"/>
  <c r="AX64" i="7"/>
  <c r="BT70" i="7"/>
  <c r="DF70" i="7"/>
  <c r="BA41" i="7"/>
  <c r="H25" i="7"/>
  <c r="K15" i="7"/>
  <c r="J15" i="7"/>
  <c r="AR18" i="7"/>
  <c r="CJ26" i="7"/>
  <c r="G37" i="7"/>
  <c r="BT47" i="7"/>
  <c r="CS51" i="7"/>
  <c r="AG37" i="7"/>
  <c r="CI62" i="7"/>
  <c r="CK51" i="7"/>
  <c r="BB56" i="7"/>
  <c r="F15" i="7"/>
  <c r="BX18" i="7"/>
  <c r="CL28" i="7"/>
  <c r="CM28" i="7" s="1"/>
  <c r="CJ28" i="7"/>
  <c r="CI28" i="7"/>
  <c r="BC31" i="7"/>
  <c r="CK41" i="7"/>
  <c r="L51" i="7"/>
  <c r="AN49" i="7"/>
  <c r="BJ55" i="7"/>
  <c r="BI55" i="7"/>
  <c r="DE57" i="7"/>
  <c r="CC65" i="7"/>
  <c r="AM70" i="7"/>
  <c r="AX56" i="7"/>
  <c r="AY56" i="7"/>
  <c r="BB55" i="7"/>
  <c r="CI26" i="7"/>
  <c r="R31" i="7"/>
  <c r="AN37" i="7"/>
  <c r="BP42" i="7"/>
  <c r="BQ42" i="7" s="1"/>
  <c r="BN42" i="7"/>
  <c r="BO51" i="7"/>
  <c r="BI62" i="7"/>
  <c r="BJ62" i="7"/>
  <c r="BA65" i="7"/>
  <c r="BA66" i="7" s="1"/>
  <c r="BC64" i="7"/>
  <c r="AM21" i="7"/>
  <c r="BU21" i="7"/>
  <c r="BD51" i="7"/>
  <c r="U70" i="7"/>
  <c r="BG25" i="7"/>
  <c r="BJ24" i="7"/>
  <c r="G47" i="7"/>
  <c r="T25" i="7"/>
  <c r="BH25" i="7"/>
  <c r="BU18" i="7"/>
  <c r="BP24" i="7"/>
  <c r="BQ24" i="7" s="1"/>
  <c r="R28" i="7"/>
  <c r="K40" i="7"/>
  <c r="BU40" i="7"/>
  <c r="Q44" i="7"/>
  <c r="AT50" i="7"/>
  <c r="AU50" i="7" s="1"/>
  <c r="BY55" i="7"/>
  <c r="DG66" i="7"/>
  <c r="BI18" i="7"/>
  <c r="AQ24" i="7"/>
  <c r="BL41" i="7"/>
  <c r="AB48" i="7"/>
  <c r="BN50" i="7"/>
  <c r="X18" i="7"/>
  <c r="Y18" i="7" s="1"/>
  <c r="BC26" i="7"/>
  <c r="F28" i="7"/>
  <c r="AG31" i="7"/>
  <c r="L41" i="7"/>
  <c r="AT34" i="7"/>
  <c r="AU34" i="7" s="1"/>
  <c r="DE34" i="7"/>
  <c r="AV41" i="7"/>
  <c r="CA37" i="7"/>
  <c r="CB37" i="7" s="1"/>
  <c r="AY42" i="7"/>
  <c r="CQ43" i="7"/>
  <c r="BV45" i="7"/>
  <c r="U46" i="7"/>
  <c r="DC56" i="7"/>
  <c r="DH56" i="7" s="1"/>
  <c r="DI56" i="7" s="1"/>
  <c r="CT63" i="7"/>
  <c r="Z25" i="7"/>
  <c r="BE26" i="7"/>
  <c r="BF26" i="7" s="1"/>
  <c r="AY34" i="7"/>
  <c r="DF34" i="7"/>
  <c r="AZ42" i="7"/>
  <c r="BE42" i="7" s="1"/>
  <c r="BF42" i="7" s="1"/>
  <c r="Q43" i="7"/>
  <c r="CR43" i="7"/>
  <c r="CT43" i="7" s="1"/>
  <c r="AF55" i="7"/>
  <c r="BY58" i="7"/>
  <c r="AT70" i="7"/>
  <c r="AU70" i="7" s="1"/>
  <c r="I25" i="7"/>
  <c r="CO25" i="7"/>
  <c r="BT48" i="7"/>
  <c r="W51" i="7"/>
  <c r="L25" i="7"/>
  <c r="CJ15" i="7"/>
  <c r="BN18" i="7"/>
  <c r="H28" i="7"/>
  <c r="AY28" i="7"/>
  <c r="DG41" i="7"/>
  <c r="R37" i="7"/>
  <c r="AZ41" i="7"/>
  <c r="AF40" i="7"/>
  <c r="CP40" i="7"/>
  <c r="DD51" i="7"/>
  <c r="DG25" i="7"/>
  <c r="CS66" i="7"/>
  <c r="BT63" i="7"/>
  <c r="CE70" i="7"/>
  <c r="AR37" i="7"/>
  <c r="O25" i="7"/>
  <c r="AZ25" i="7"/>
  <c r="AG18" i="7"/>
  <c r="AH25" i="7"/>
  <c r="BO25" i="7"/>
  <c r="AL41" i="7"/>
  <c r="CA31" i="7"/>
  <c r="CB31" i="7" s="1"/>
  <c r="AG40" i="7"/>
  <c r="CQ40" i="7"/>
  <c r="CV51" i="7"/>
  <c r="CW55" i="7"/>
  <c r="CX55" i="7" s="1"/>
  <c r="BT62" i="7"/>
  <c r="AA25" i="7"/>
  <c r="AB15" i="7"/>
  <c r="AY21" i="7"/>
  <c r="AX21" i="7"/>
  <c r="R24" i="7"/>
  <c r="AW41" i="7"/>
  <c r="AN34" i="7"/>
  <c r="BR41" i="7"/>
  <c r="BU34" i="7"/>
  <c r="BT34" i="7"/>
  <c r="P41" i="7"/>
  <c r="AW66" i="7"/>
  <c r="CQ21" i="7"/>
  <c r="CP21" i="7"/>
  <c r="CI64" i="7"/>
  <c r="CJ64" i="7"/>
  <c r="M46" i="7"/>
  <c r="N46" i="7" s="1"/>
  <c r="AE65" i="7"/>
  <c r="AE66" i="7" s="1"/>
  <c r="R44" i="7"/>
  <c r="K46" i="7"/>
  <c r="AN48" i="7"/>
  <c r="AL50" i="7"/>
  <c r="AL51" i="7" s="1"/>
  <c r="R56" i="7"/>
  <c r="Q56" i="7"/>
  <c r="CF57" i="7"/>
  <c r="CE57" i="7"/>
  <c r="DB63" i="7"/>
  <c r="CY65" i="7"/>
  <c r="BX15" i="7"/>
  <c r="CE48" i="7"/>
  <c r="CF48" i="7"/>
  <c r="BY15" i="7"/>
  <c r="AM24" i="7"/>
  <c r="AN24" i="7"/>
  <c r="DA63" i="7"/>
  <c r="X65" i="7"/>
  <c r="Y65" i="7" s="1"/>
  <c r="BJ70" i="7"/>
  <c r="BI70" i="7"/>
  <c r="DB37" i="7"/>
  <c r="X43" i="7"/>
  <c r="Y43" i="7" s="1"/>
  <c r="CL58" i="7"/>
  <c r="CM58" i="7" s="1"/>
  <c r="CG59" i="7"/>
  <c r="AC70" i="7"/>
  <c r="AY18" i="7"/>
  <c r="AX18" i="7"/>
  <c r="V43" i="7"/>
  <c r="CA21" i="7"/>
  <c r="CB21" i="7" s="1"/>
  <c r="BY21" i="7"/>
  <c r="BV25" i="7"/>
  <c r="BX21" i="7"/>
  <c r="AR24" i="7"/>
  <c r="DB56" i="7"/>
  <c r="DA56" i="7"/>
  <c r="AG45" i="7"/>
  <c r="AD47" i="7"/>
  <c r="AI45" i="7"/>
  <c r="AJ45" i="7" s="1"/>
  <c r="AF45" i="7"/>
  <c r="AM34" i="7"/>
  <c r="AB18" i="7"/>
  <c r="AK25" i="7"/>
  <c r="CG41" i="7"/>
  <c r="CL31" i="7"/>
  <c r="CM31" i="7" s="1"/>
  <c r="AC40" i="7"/>
  <c r="AB40" i="7"/>
  <c r="CR45" i="7"/>
  <c r="CN44" i="7"/>
  <c r="CQ42" i="7"/>
  <c r="CR42" i="7"/>
  <c r="BU15" i="7"/>
  <c r="BS25" i="7"/>
  <c r="AC31" i="7"/>
  <c r="AB31" i="7"/>
  <c r="Z41" i="7"/>
  <c r="BJ31" i="7"/>
  <c r="BI31" i="7"/>
  <c r="CL70" i="7"/>
  <c r="CM70" i="7" s="1"/>
  <c r="CJ70" i="7"/>
  <c r="CI70" i="7"/>
  <c r="AG63" i="7"/>
  <c r="BT37" i="7"/>
  <c r="DB47" i="7"/>
  <c r="DA47" i="7"/>
  <c r="P25" i="7"/>
  <c r="R18" i="7"/>
  <c r="Q18" i="7"/>
  <c r="DH24" i="7"/>
  <c r="DI24" i="7" s="1"/>
  <c r="DF24" i="7"/>
  <c r="BH41" i="7"/>
  <c r="AV25" i="7"/>
  <c r="AX15" i="7"/>
  <c r="AI21" i="7"/>
  <c r="AJ21" i="7" s="1"/>
  <c r="CN25" i="7"/>
  <c r="CG43" i="7"/>
  <c r="CC44" i="7"/>
  <c r="CG46" i="7"/>
  <c r="CG47" i="7" s="1"/>
  <c r="DA18" i="7"/>
  <c r="AC28" i="7"/>
  <c r="AB28" i="7"/>
  <c r="AX37" i="7"/>
  <c r="U43" i="7"/>
  <c r="AN58" i="7"/>
  <c r="AK59" i="7"/>
  <c r="AY37" i="7"/>
  <c r="CF43" i="7"/>
  <c r="E65" i="7"/>
  <c r="E66" i="7" s="1"/>
  <c r="F63" i="7"/>
  <c r="AI70" i="7"/>
  <c r="AJ70" i="7" s="1"/>
  <c r="AG70" i="7"/>
  <c r="AF70" i="7"/>
  <c r="CQ34" i="7"/>
  <c r="CO41" i="7"/>
  <c r="AO45" i="7"/>
  <c r="AK44" i="7"/>
  <c r="AK51" i="7" s="1"/>
  <c r="AQ58" i="7"/>
  <c r="CP34" i="7"/>
  <c r="CZ51" i="7"/>
  <c r="U62" i="7"/>
  <c r="X62" i="7"/>
  <c r="Y62" i="7" s="1"/>
  <c r="V62" i="7"/>
  <c r="BT28" i="7"/>
  <c r="CL65" i="7"/>
  <c r="CM65" i="7" s="1"/>
  <c r="CF18" i="7"/>
  <c r="CE18" i="7"/>
  <c r="AS41" i="7"/>
  <c r="AT31" i="7"/>
  <c r="AU31" i="7" s="1"/>
  <c r="M34" i="7"/>
  <c r="N34" i="7" s="1"/>
  <c r="DB55" i="7"/>
  <c r="DA55" i="7"/>
  <c r="BE18" i="7"/>
  <c r="BF18" i="7" s="1"/>
  <c r="DH50" i="7"/>
  <c r="DI50" i="7" s="1"/>
  <c r="DE50" i="7"/>
  <c r="DF50" i="7"/>
  <c r="CY59" i="7"/>
  <c r="DB57" i="7"/>
  <c r="DA57" i="7"/>
  <c r="AC18" i="7"/>
  <c r="V24" i="7"/>
  <c r="U24" i="7"/>
  <c r="BK28" i="7"/>
  <c r="BP26" i="7"/>
  <c r="BQ26" i="7" s="1"/>
  <c r="Q34" i="7"/>
  <c r="M42" i="7"/>
  <c r="N42" i="7" s="1"/>
  <c r="CP42" i="7"/>
  <c r="AY50" i="7"/>
  <c r="BG59" i="7"/>
  <c r="BJ57" i="7"/>
  <c r="BI57" i="7"/>
  <c r="CU59" i="7"/>
  <c r="CT59" i="7"/>
  <c r="CW59" i="7"/>
  <c r="CX59" i="7" s="1"/>
  <c r="AZ66" i="7"/>
  <c r="BE65" i="7"/>
  <c r="BF65" i="7" s="1"/>
  <c r="BM26" i="7"/>
  <c r="CI31" i="7"/>
  <c r="J42" i="7"/>
  <c r="DH45" i="7"/>
  <c r="DI45" i="7" s="1"/>
  <c r="DF45" i="7"/>
  <c r="DE45" i="7"/>
  <c r="AZ47" i="7"/>
  <c r="CD50" i="7"/>
  <c r="CD51" i="7" s="1"/>
  <c r="BJ56" i="7"/>
  <c r="BI56" i="7"/>
  <c r="BP57" i="7"/>
  <c r="BQ57" i="7" s="1"/>
  <c r="BK59" i="7"/>
  <c r="BN57" i="7"/>
  <c r="BM57" i="7"/>
  <c r="BN26" i="7"/>
  <c r="CJ31" i="7"/>
  <c r="K42" i="7"/>
  <c r="BE43" i="7"/>
  <c r="BF43" i="7" s="1"/>
  <c r="BC43" i="7"/>
  <c r="BB43" i="7"/>
  <c r="CE49" i="7"/>
  <c r="CF49" i="7"/>
  <c r="AX50" i="7"/>
  <c r="BP40" i="7"/>
  <c r="BQ40" i="7" s="1"/>
  <c r="BN40" i="7"/>
  <c r="BM40" i="7"/>
  <c r="CT40" i="7"/>
  <c r="CW40" i="7"/>
  <c r="CX40" i="7" s="1"/>
  <c r="CU40" i="7"/>
  <c r="CR41" i="7"/>
  <c r="E50" i="7"/>
  <c r="E51" i="7" s="1"/>
  <c r="X50" i="7"/>
  <c r="Y50" i="7" s="1"/>
  <c r="BT15" i="7"/>
  <c r="BK41" i="7"/>
  <c r="BP31" i="7"/>
  <c r="BQ31" i="7" s="1"/>
  <c r="BN31" i="7"/>
  <c r="BM31" i="7"/>
  <c r="G40" i="7"/>
  <c r="F40" i="7"/>
  <c r="J46" i="7"/>
  <c r="G49" i="7"/>
  <c r="U50" i="7"/>
  <c r="CL55" i="7"/>
  <c r="CM55" i="7" s="1"/>
  <c r="CJ55" i="7"/>
  <c r="CG56" i="7"/>
  <c r="CI55" i="7"/>
  <c r="AF63" i="7"/>
  <c r="BY43" i="7"/>
  <c r="BX43" i="7"/>
  <c r="DB24" i="7"/>
  <c r="CA43" i="7"/>
  <c r="CB43" i="7" s="1"/>
  <c r="AM48" i="7"/>
  <c r="BY62" i="7"/>
  <c r="CA62" i="7"/>
  <c r="CB62" i="7" s="1"/>
  <c r="BX62" i="7"/>
  <c r="CZ65" i="7"/>
  <c r="CZ66" i="7" s="1"/>
  <c r="AI26" i="7"/>
  <c r="AJ26" i="7" s="1"/>
  <c r="AG26" i="7"/>
  <c r="AD28" i="7"/>
  <c r="AF26" i="7"/>
  <c r="BZ25" i="7"/>
  <c r="CA15" i="7"/>
  <c r="CB15" i="7" s="1"/>
  <c r="R59" i="7"/>
  <c r="Q59" i="7"/>
  <c r="DE24" i="7"/>
  <c r="E41" i="7"/>
  <c r="V37" i="7"/>
  <c r="U37" i="7"/>
  <c r="CE43" i="7"/>
  <c r="CI58" i="7"/>
  <c r="AY15" i="7"/>
  <c r="CJ58" i="7"/>
  <c r="BE15" i="7"/>
  <c r="BF15" i="7" s="1"/>
  <c r="BC15" i="7"/>
  <c r="BB15" i="7"/>
  <c r="BV44" i="7"/>
  <c r="CA42" i="7"/>
  <c r="CB42" i="7" s="1"/>
  <c r="BY42" i="7"/>
  <c r="CQ57" i="7"/>
  <c r="CN59" i="7"/>
  <c r="X15" i="7"/>
  <c r="Y15" i="7" s="1"/>
  <c r="V15" i="7"/>
  <c r="U15" i="7"/>
  <c r="DC41" i="7"/>
  <c r="DH31" i="7"/>
  <c r="DI31" i="7" s="1"/>
  <c r="DF31" i="7"/>
  <c r="DE31" i="7"/>
  <c r="AM42" i="7"/>
  <c r="AI55" i="7"/>
  <c r="AJ55" i="7" s="1"/>
  <c r="AR58" i="7"/>
  <c r="CC59" i="7"/>
  <c r="CF24" i="7"/>
  <c r="CE24" i="7"/>
  <c r="AB37" i="7"/>
  <c r="AC37" i="7"/>
  <c r="CY41" i="7"/>
  <c r="DA50" i="7"/>
  <c r="AO42" i="7"/>
  <c r="AN47" i="7"/>
  <c r="AM47" i="7"/>
  <c r="DB50" i="7"/>
  <c r="CF31" i="7"/>
  <c r="CE31" i="7"/>
  <c r="CC41" i="7"/>
  <c r="CW46" i="7"/>
  <c r="CX46" i="7" s="1"/>
  <c r="CU46" i="7"/>
  <c r="AC21" i="7"/>
  <c r="AB21" i="7"/>
  <c r="BC46" i="7"/>
  <c r="O51" i="7"/>
  <c r="BB64" i="7"/>
  <c r="AN15" i="7"/>
  <c r="AM15" i="7"/>
  <c r="X21" i="7"/>
  <c r="Y21" i="7" s="1"/>
  <c r="V21" i="7"/>
  <c r="U21" i="7"/>
  <c r="BJ28" i="7"/>
  <c r="BI28" i="7"/>
  <c r="T41" i="7"/>
  <c r="AT46" i="7"/>
  <c r="AU46" i="7" s="1"/>
  <c r="R70" i="7"/>
  <c r="Q70" i="7"/>
  <c r="DE21" i="7"/>
  <c r="DF21" i="7"/>
  <c r="M24" i="7"/>
  <c r="N24" i="7" s="1"/>
  <c r="K24" i="7"/>
  <c r="J24" i="7"/>
  <c r="AD25" i="7"/>
  <c r="U31" i="7"/>
  <c r="M37" i="7"/>
  <c r="N37" i="7" s="1"/>
  <c r="K37" i="7"/>
  <c r="J37" i="7"/>
  <c r="BE40" i="7"/>
  <c r="BF40" i="7" s="1"/>
  <c r="CF40" i="7"/>
  <c r="CE40" i="7"/>
  <c r="DH40" i="7"/>
  <c r="DI40" i="7" s="1"/>
  <c r="DF40" i="7"/>
  <c r="DE40" i="7"/>
  <c r="BM45" i="7"/>
  <c r="BK47" i="7"/>
  <c r="AQ46" i="7"/>
  <c r="AR50" i="7"/>
  <c r="AQ50" i="7"/>
  <c r="DH58" i="7"/>
  <c r="DI58" i="7" s="1"/>
  <c r="DF58" i="7"/>
  <c r="DE58" i="7"/>
  <c r="BI63" i="7"/>
  <c r="BG65" i="7"/>
  <c r="BJ63" i="7"/>
  <c r="AY70" i="7"/>
  <c r="AX70" i="7"/>
  <c r="M15" i="7"/>
  <c r="N15" i="7" s="1"/>
  <c r="AT18" i="7"/>
  <c r="AU18" i="7" s="1"/>
  <c r="CA18" i="7"/>
  <c r="CB18" i="7" s="1"/>
  <c r="V31" i="7"/>
  <c r="AY31" i="7"/>
  <c r="AX31" i="7"/>
  <c r="BJ34" i="7"/>
  <c r="BN45" i="7"/>
  <c r="AR46" i="7"/>
  <c r="AP51" i="7"/>
  <c r="BT50" i="7"/>
  <c r="BR51" i="7"/>
  <c r="BU50" i="7"/>
  <c r="CD25" i="7"/>
  <c r="CA46" i="7"/>
  <c r="CB46" i="7" s="1"/>
  <c r="BY46" i="7"/>
  <c r="BX46" i="7"/>
  <c r="D59" i="7"/>
  <c r="AA66" i="7"/>
  <c r="Q57" i="7"/>
  <c r="R57" i="7"/>
  <c r="BC62" i="7"/>
  <c r="BB62" i="7"/>
  <c r="AP65" i="7"/>
  <c r="AQ65" i="7" s="1"/>
  <c r="M31" i="7"/>
  <c r="N31" i="7" s="1"/>
  <c r="K31" i="7"/>
  <c r="J31" i="7"/>
  <c r="H41" i="7"/>
  <c r="X34" i="7"/>
  <c r="Y34" i="7" s="1"/>
  <c r="V34" i="7"/>
  <c r="U34" i="7"/>
  <c r="BB37" i="7"/>
  <c r="BE37" i="7"/>
  <c r="BF37" i="7" s="1"/>
  <c r="BC37" i="7"/>
  <c r="DH37" i="7"/>
  <c r="DI37" i="7" s="1"/>
  <c r="DF37" i="7"/>
  <c r="DC42" i="7"/>
  <c r="DB42" i="7"/>
  <c r="AQ43" i="7"/>
  <c r="S59" i="7"/>
  <c r="V57" i="7"/>
  <c r="U57" i="7"/>
  <c r="AY58" i="7"/>
  <c r="AX58" i="7"/>
  <c r="CQ58" i="7"/>
  <c r="AB62" i="7"/>
  <c r="AQ63" i="7"/>
  <c r="D25" i="7"/>
  <c r="DE15" i="7"/>
  <c r="DC25" i="7"/>
  <c r="AC24" i="7"/>
  <c r="AB24" i="7"/>
  <c r="AR40" i="7"/>
  <c r="AQ40" i="7"/>
  <c r="DA42" i="7"/>
  <c r="AR43" i="7"/>
  <c r="CY44" i="7"/>
  <c r="Q55" i="7"/>
  <c r="X57" i="7"/>
  <c r="Y57" i="7" s="1"/>
  <c r="BE58" i="7"/>
  <c r="BF58" i="7" s="1"/>
  <c r="CP58" i="7"/>
  <c r="AR63" i="7"/>
  <c r="E25" i="7"/>
  <c r="DD25" i="7"/>
  <c r="F18" i="7"/>
  <c r="BP21" i="7"/>
  <c r="BQ21" i="7" s="1"/>
  <c r="CW21" i="7"/>
  <c r="CX21" i="7" s="1"/>
  <c r="CU21" i="7"/>
  <c r="AO28" i="7"/>
  <c r="AT26" i="7"/>
  <c r="AU26" i="7" s="1"/>
  <c r="AR26" i="7"/>
  <c r="AQ26" i="7"/>
  <c r="Q28" i="7"/>
  <c r="AN31" i="7"/>
  <c r="AF15" i="7"/>
  <c r="CG25" i="7"/>
  <c r="DF15" i="7"/>
  <c r="BI24" i="7"/>
  <c r="AX28" i="7"/>
  <c r="AO41" i="7"/>
  <c r="BO41" i="7"/>
  <c r="CU31" i="7"/>
  <c r="CW31" i="7"/>
  <c r="CX31" i="7" s="1"/>
  <c r="BY40" i="7"/>
  <c r="AD41" i="7"/>
  <c r="AC57" i="7"/>
  <c r="Z59" i="7"/>
  <c r="F58" i="7"/>
  <c r="BC58" i="7"/>
  <c r="AF62" i="7"/>
  <c r="AI62" i="7"/>
  <c r="AJ62" i="7" s="1"/>
  <c r="AG62" i="7"/>
  <c r="Q63" i="7"/>
  <c r="R63" i="7"/>
  <c r="AG15" i="7"/>
  <c r="CT21" i="7"/>
  <c r="CI24" i="7"/>
  <c r="AP41" i="7"/>
  <c r="CS41" i="7"/>
  <c r="CE37" i="7"/>
  <c r="R40" i="7"/>
  <c r="Q40" i="7"/>
  <c r="AT40" i="7"/>
  <c r="AU40" i="7" s="1"/>
  <c r="AE41" i="7"/>
  <c r="R47" i="7"/>
  <c r="Q47" i="7"/>
  <c r="Q48" i="7"/>
  <c r="P50" i="7"/>
  <c r="P51" i="7" s="1"/>
  <c r="R48" i="7"/>
  <c r="DE55" i="7"/>
  <c r="G58" i="7"/>
  <c r="DC59" i="7"/>
  <c r="DC66" i="7" s="1"/>
  <c r="AI65" i="7"/>
  <c r="AJ65" i="7" s="1"/>
  <c r="BJ15" i="7"/>
  <c r="BI15" i="7"/>
  <c r="CI15" i="7"/>
  <c r="DH15" i="7"/>
  <c r="DI15" i="7" s="1"/>
  <c r="CU18" i="7"/>
  <c r="BT21" i="7"/>
  <c r="CJ24" i="7"/>
  <c r="BE28" i="7"/>
  <c r="BF28" i="7" s="1"/>
  <c r="BC28" i="7"/>
  <c r="BB28" i="7"/>
  <c r="X40" i="7"/>
  <c r="Y40" i="7" s="1"/>
  <c r="DC46" i="7"/>
  <c r="DC47" i="7" s="1"/>
  <c r="DC43" i="7"/>
  <c r="DA43" i="7"/>
  <c r="DB43" i="7"/>
  <c r="BB45" i="7"/>
  <c r="BE45" i="7"/>
  <c r="BF45" i="7" s="1"/>
  <c r="AD59" i="7"/>
  <c r="AI57" i="7"/>
  <c r="AJ57" i="7" s="1"/>
  <c r="DH65" i="7"/>
  <c r="DI65" i="7" s="1"/>
  <c r="AR31" i="7"/>
  <c r="CV41" i="7"/>
  <c r="BB34" i="7"/>
  <c r="CF34" i="7"/>
  <c r="CE34" i="7"/>
  <c r="AY43" i="7"/>
  <c r="BC45" i="7"/>
  <c r="CQ47" i="7"/>
  <c r="CP47" i="7"/>
  <c r="BH50" i="7"/>
  <c r="BI50" i="7" s="1"/>
  <c r="BI48" i="7"/>
  <c r="BJ48" i="7"/>
  <c r="BM50" i="7"/>
  <c r="BC55" i="7"/>
  <c r="DH55" i="7"/>
  <c r="DI55" i="7" s="1"/>
  <c r="AF57" i="7"/>
  <c r="BY64" i="7"/>
  <c r="BW65" i="7"/>
  <c r="W25" i="7"/>
  <c r="AW25" i="7"/>
  <c r="BJ21" i="7"/>
  <c r="BI21" i="7"/>
  <c r="DD41" i="7"/>
  <c r="AN43" i="7"/>
  <c r="CW57" i="7"/>
  <c r="CX57" i="7" s="1"/>
  <c r="CU57" i="7"/>
  <c r="R64" i="7"/>
  <c r="AC15" i="7"/>
  <c r="AN21" i="7"/>
  <c r="AM31" i="7"/>
  <c r="AM43" i="7"/>
  <c r="AI46" i="7"/>
  <c r="AJ46" i="7" s="1"/>
  <c r="AG46" i="7"/>
  <c r="AF46" i="7"/>
  <c r="CQ50" i="7"/>
  <c r="CP50" i="7"/>
  <c r="V55" i="7"/>
  <c r="X55" i="7"/>
  <c r="Y55" i="7" s="1"/>
  <c r="S56" i="7"/>
  <c r="CT57" i="7"/>
  <c r="BX58" i="7"/>
  <c r="CO65" i="7"/>
  <c r="CO66" i="7" s="1"/>
  <c r="CV66" i="7"/>
  <c r="BL25" i="7"/>
  <c r="CK25" i="7"/>
  <c r="F48" i="7"/>
  <c r="G48" i="7"/>
  <c r="AH51" i="7"/>
  <c r="CH51" i="7"/>
  <c r="G56" i="7"/>
  <c r="AX63" i="7"/>
  <c r="AY63" i="7"/>
  <c r="AV65" i="7"/>
  <c r="DH18" i="7"/>
  <c r="DI18" i="7" s="1"/>
  <c r="DF18" i="7"/>
  <c r="CF47" i="7"/>
  <c r="CE47" i="7"/>
  <c r="AN56" i="7"/>
  <c r="AM56" i="7"/>
  <c r="BN56" i="7"/>
  <c r="BM56" i="7"/>
  <c r="AY57" i="7"/>
  <c r="AQ62" i="7"/>
  <c r="CW62" i="7"/>
  <c r="CX62" i="7" s="1"/>
  <c r="CT62" i="7"/>
  <c r="P65" i="7"/>
  <c r="P66" i="7" s="1"/>
  <c r="AM64" i="7"/>
  <c r="AN64" i="7"/>
  <c r="W66" i="7"/>
  <c r="M18" i="7"/>
  <c r="N18" i="7" s="1"/>
  <c r="K18" i="7"/>
  <c r="J18" i="7"/>
  <c r="DH26" i="7"/>
  <c r="DI26" i="7" s="1"/>
  <c r="DF26" i="7"/>
  <c r="DE26" i="7"/>
  <c r="DC28" i="7"/>
  <c r="D41" i="7"/>
  <c r="AP25" i="7"/>
  <c r="DE18" i="7"/>
  <c r="BB21" i="7"/>
  <c r="CT24" i="7"/>
  <c r="CI37" i="7"/>
  <c r="CJ45" i="7"/>
  <c r="X46" i="7"/>
  <c r="Y46" i="7" s="1"/>
  <c r="S47" i="7"/>
  <c r="AX49" i="7"/>
  <c r="CI50" i="7"/>
  <c r="AM55" i="7"/>
  <c r="BM55" i="7"/>
  <c r="BE57" i="7"/>
  <c r="BF57" i="7" s="1"/>
  <c r="AZ59" i="7"/>
  <c r="Q58" i="7"/>
  <c r="AR62" i="7"/>
  <c r="CU62" i="7"/>
  <c r="G64" i="7"/>
  <c r="BH65" i="7"/>
  <c r="BH66" i="7" s="1"/>
  <c r="AS25" i="7"/>
  <c r="AM18" i="7"/>
  <c r="CL18" i="7"/>
  <c r="CM18" i="7" s="1"/>
  <c r="AY24" i="7"/>
  <c r="AX24" i="7"/>
  <c r="CA24" i="7"/>
  <c r="CB24" i="7" s="1"/>
  <c r="CZ41" i="7"/>
  <c r="BI42" i="7"/>
  <c r="BJ42" i="7"/>
  <c r="BP46" i="7"/>
  <c r="BQ46" i="7" s="1"/>
  <c r="BN46" i="7"/>
  <c r="BM46" i="7"/>
  <c r="AY49" i="7"/>
  <c r="AN55" i="7"/>
  <c r="BN55" i="7"/>
  <c r="R58" i="7"/>
  <c r="CW24" i="7"/>
  <c r="CX24" i="7" s="1"/>
  <c r="CA26" i="7"/>
  <c r="CB26" i="7" s="1"/>
  <c r="BY26" i="7"/>
  <c r="AQ37" i="7"/>
  <c r="Z44" i="7"/>
  <c r="AD42" i="7"/>
  <c r="BG44" i="7"/>
  <c r="BJ47" i="7"/>
  <c r="BI47" i="7"/>
  <c r="AO56" i="7"/>
  <c r="AT55" i="7"/>
  <c r="AU55" i="7" s="1"/>
  <c r="AT62" i="7"/>
  <c r="AU62" i="7" s="1"/>
  <c r="BX70" i="7"/>
  <c r="CA70" i="7"/>
  <c r="CB70" i="7" s="1"/>
  <c r="BY70" i="7"/>
  <c r="BS41" i="7"/>
  <c r="CN41" i="7"/>
  <c r="AC47" i="7"/>
  <c r="AX47" i="7"/>
  <c r="AY47" i="7"/>
  <c r="BD56" i="7"/>
  <c r="BE56" i="7" s="1"/>
  <c r="BF56" i="7" s="1"/>
  <c r="BE55" i="7"/>
  <c r="BF55" i="7" s="1"/>
  <c r="M58" i="7"/>
  <c r="N58" i="7" s="1"/>
  <c r="H59" i="7"/>
  <c r="G63" i="7"/>
  <c r="BM63" i="7"/>
  <c r="BL65" i="7"/>
  <c r="BM65" i="7" s="1"/>
  <c r="BN63" i="7"/>
  <c r="AR34" i="7"/>
  <c r="AV44" i="7"/>
  <c r="AV51" i="7" s="1"/>
  <c r="AC48" i="7"/>
  <c r="K50" i="7"/>
  <c r="CN56" i="7"/>
  <c r="CP55" i="7"/>
  <c r="K56" i="7"/>
  <c r="AC58" i="7"/>
  <c r="AB58" i="7"/>
  <c r="DB62" i="7"/>
  <c r="AB64" i="7"/>
  <c r="AO25" i="7"/>
  <c r="CC25" i="7"/>
  <c r="AF50" i="7"/>
  <c r="BP58" i="7"/>
  <c r="BQ58" i="7" s="1"/>
  <c r="AO59" i="7"/>
  <c r="DD65" i="7"/>
  <c r="DD66" i="7" s="1"/>
  <c r="F70" i="7"/>
  <c r="AF18" i="7"/>
  <c r="BT18" i="7"/>
  <c r="AF24" i="7"/>
  <c r="BT24" i="7"/>
  <c r="CT37" i="7"/>
  <c r="BK43" i="7"/>
  <c r="BK44" i="7" s="1"/>
  <c r="H47" i="7"/>
  <c r="J50" i="7"/>
  <c r="BU55" i="7"/>
  <c r="BS56" i="7"/>
  <c r="BT56" i="7" s="1"/>
  <c r="BT55" i="7"/>
  <c r="G57" i="7"/>
  <c r="AF58" i="7"/>
  <c r="BM58" i="7"/>
  <c r="CD65" i="7"/>
  <c r="K65" i="7"/>
  <c r="AQ15" i="7"/>
  <c r="CE15" i="7"/>
  <c r="AQ21" i="7"/>
  <c r="CE21" i="7"/>
  <c r="BK25" i="7"/>
  <c r="CY25" i="7"/>
  <c r="CE28" i="7"/>
  <c r="BM34" i="7"/>
  <c r="Q37" i="7"/>
  <c r="V42" i="7"/>
  <c r="AI43" i="7"/>
  <c r="AJ43" i="7" s="1"/>
  <c r="BI43" i="7"/>
  <c r="J45" i="7"/>
  <c r="AC49" i="7"/>
  <c r="BI49" i="7"/>
  <c r="AG50" i="7"/>
  <c r="BX50" i="7"/>
  <c r="AX55" i="7"/>
  <c r="AY55" i="7"/>
  <c r="F57" i="7"/>
  <c r="BV59" i="7"/>
  <c r="BV66" i="7" s="1"/>
  <c r="BY57" i="7"/>
  <c r="AG58" i="7"/>
  <c r="BN58" i="7"/>
  <c r="DH62" i="7"/>
  <c r="DI62" i="7" s="1"/>
  <c r="BC63" i="7"/>
  <c r="CE63" i="7"/>
  <c r="DF63" i="7"/>
  <c r="AG64" i="7"/>
  <c r="AF64" i="7"/>
  <c r="BN64" i="7"/>
  <c r="BO66" i="7"/>
  <c r="M70" i="7"/>
  <c r="N70" i="7" s="1"/>
  <c r="K70" i="7"/>
  <c r="J70" i="7"/>
  <c r="BB18" i="7"/>
  <c r="CP18" i="7"/>
  <c r="BB24" i="7"/>
  <c r="CP24" i="7"/>
  <c r="U26" i="7"/>
  <c r="AH41" i="7"/>
  <c r="BB31" i="7"/>
  <c r="BV41" i="7"/>
  <c r="CP31" i="7"/>
  <c r="CI34" i="7"/>
  <c r="J40" i="7"/>
  <c r="BT40" i="7"/>
  <c r="CE42" i="7"/>
  <c r="AF43" i="7"/>
  <c r="BJ43" i="7"/>
  <c r="K45" i="7"/>
  <c r="DB48" i="7"/>
  <c r="AB49" i="7"/>
  <c r="BJ49" i="7"/>
  <c r="BY50" i="7"/>
  <c r="CT50" i="7"/>
  <c r="F55" i="7"/>
  <c r="AB55" i="7"/>
  <c r="AI58" i="7"/>
  <c r="AJ58" i="7" s="1"/>
  <c r="CE62" i="7"/>
  <c r="CF63" i="7"/>
  <c r="CQ64" i="7"/>
  <c r="J65" i="7"/>
  <c r="V26" i="7"/>
  <c r="BB26" i="7"/>
  <c r="AI31" i="7"/>
  <c r="AJ31" i="7" s="1"/>
  <c r="CF42" i="7"/>
  <c r="G43" i="7"/>
  <c r="AG43" i="7"/>
  <c r="CP43" i="7"/>
  <c r="M45" i="7"/>
  <c r="N45" i="7" s="1"/>
  <c r="BU48" i="7"/>
  <c r="DA48" i="7"/>
  <c r="AI50" i="7"/>
  <c r="AJ50" i="7" s="1"/>
  <c r="CT55" i="7"/>
  <c r="AR57" i="7"/>
  <c r="CA57" i="7"/>
  <c r="CB57" i="7" s="1"/>
  <c r="DE62" i="7"/>
  <c r="AC63" i="7"/>
  <c r="F64" i="7"/>
  <c r="CP64" i="7"/>
  <c r="AT65" i="7"/>
  <c r="AU65" i="7" s="1"/>
  <c r="CT65" i="7"/>
  <c r="CR66" i="7"/>
  <c r="DH57" i="7"/>
  <c r="DI57" i="7" s="1"/>
  <c r="DB64" i="7"/>
  <c r="AS66" i="7"/>
  <c r="BC70" i="7"/>
  <c r="BB70" i="7"/>
  <c r="DA70" i="7"/>
  <c r="AN57" i="7"/>
  <c r="AM63" i="7"/>
  <c r="BP65" i="7"/>
  <c r="BQ65" i="7" s="1"/>
  <c r="BT44" i="7"/>
  <c r="CQ49" i="7"/>
  <c r="M57" i="7"/>
  <c r="N57" i="7" s="1"/>
  <c r="AM57" i="7"/>
  <c r="BR59" i="7"/>
  <c r="U58" i="7"/>
  <c r="CF58" i="7"/>
  <c r="J63" i="7"/>
  <c r="AL65" i="7"/>
  <c r="AL66" i="7" s="1"/>
  <c r="CP63" i="7"/>
  <c r="L66" i="7"/>
  <c r="AK65" i="7"/>
  <c r="BP62" i="7"/>
  <c r="BQ62" i="7" s="1"/>
  <c r="CJ62" i="7"/>
  <c r="V70" i="7"/>
  <c r="T65" i="7"/>
  <c r="T66" i="7" s="1"/>
  <c r="CH65" i="7"/>
  <c r="CH66" i="7" s="1"/>
  <c r="CT70" i="7"/>
  <c r="BJ64" i="7"/>
  <c r="Z66" i="7" l="1"/>
  <c r="V25" i="7"/>
  <c r="AC65" i="7"/>
  <c r="Q41" i="7"/>
  <c r="BJ66" i="5"/>
  <c r="BG144" i="5"/>
  <c r="D150" i="5"/>
  <c r="E185" i="5"/>
  <c r="H170" i="5"/>
  <c r="J185" i="5"/>
  <c r="BO114" i="5"/>
  <c r="D166" i="5"/>
  <c r="BH160" i="5"/>
  <c r="D153" i="5"/>
  <c r="D160" i="5" s="1"/>
  <c r="D143" i="5"/>
  <c r="BK185" i="5"/>
  <c r="BJ185" i="5"/>
  <c r="BL114" i="5"/>
  <c r="BO185" i="5"/>
  <c r="D159" i="5"/>
  <c r="BI185" i="5"/>
  <c r="G114" i="5"/>
  <c r="G129" i="5" s="1"/>
  <c r="BN170" i="5"/>
  <c r="BO144" i="5"/>
  <c r="BH144" i="5"/>
  <c r="BR160" i="5"/>
  <c r="G185" i="5"/>
  <c r="D181" i="5"/>
  <c r="N51" i="5"/>
  <c r="N66" i="5" s="1"/>
  <c r="O51" i="5"/>
  <c r="O66" i="5" s="1"/>
  <c r="F51" i="5"/>
  <c r="F66" i="5" s="1"/>
  <c r="BN185" i="5"/>
  <c r="BR170" i="5"/>
  <c r="BR171" i="5" s="1"/>
  <c r="BO170" i="5"/>
  <c r="BI51" i="5"/>
  <c r="BJ144" i="5"/>
  <c r="H114" i="5"/>
  <c r="H129" i="5" s="1"/>
  <c r="P129" i="5"/>
  <c r="L160" i="5"/>
  <c r="BM51" i="5"/>
  <c r="BM66" i="5" s="1"/>
  <c r="M114" i="5"/>
  <c r="M129" i="5" s="1"/>
  <c r="BI160" i="5"/>
  <c r="BK144" i="5"/>
  <c r="N160" i="5"/>
  <c r="BP160" i="5"/>
  <c r="F170" i="5"/>
  <c r="O114" i="5"/>
  <c r="O129" i="5" s="1"/>
  <c r="M51" i="5"/>
  <c r="M66" i="5" s="1"/>
  <c r="BP144" i="5"/>
  <c r="E144" i="5"/>
  <c r="BO129" i="5"/>
  <c r="BL144" i="5"/>
  <c r="D169" i="5"/>
  <c r="D170" i="5" s="1"/>
  <c r="H185" i="5"/>
  <c r="BK114" i="5"/>
  <c r="BK129" i="5" s="1"/>
  <c r="BQ144" i="5"/>
  <c r="F160" i="5"/>
  <c r="BO160" i="5"/>
  <c r="BO171" i="5" s="1"/>
  <c r="J160" i="5"/>
  <c r="K114" i="5"/>
  <c r="K129" i="5" s="1"/>
  <c r="K160" i="5"/>
  <c r="BR144" i="5"/>
  <c r="BM144" i="5"/>
  <c r="BM114" i="5"/>
  <c r="BM129" i="5" s="1"/>
  <c r="O144" i="5"/>
  <c r="BQ160" i="5"/>
  <c r="BM170" i="5"/>
  <c r="BI144" i="5"/>
  <c r="BI114" i="5"/>
  <c r="BI129" i="5" s="1"/>
  <c r="E51" i="5"/>
  <c r="BK170" i="5"/>
  <c r="BK171" i="5" s="1"/>
  <c r="BQ185" i="5"/>
  <c r="M185" i="5"/>
  <c r="I185" i="5"/>
  <c r="I114" i="5"/>
  <c r="I129" i="5" s="1"/>
  <c r="BN144" i="5"/>
  <c r="BN171" i="5" s="1"/>
  <c r="BN186" i="5" s="1"/>
  <c r="L170" i="5"/>
  <c r="N114" i="5"/>
  <c r="N129" i="5" s="1"/>
  <c r="BI66" i="5"/>
  <c r="BN114" i="5"/>
  <c r="BN129" i="5" s="1"/>
  <c r="J170" i="5"/>
  <c r="L51" i="5"/>
  <c r="L66" i="5" s="1"/>
  <c r="H160" i="5"/>
  <c r="BL185" i="5"/>
  <c r="BP170" i="5"/>
  <c r="G160" i="5"/>
  <c r="D163" i="5"/>
  <c r="BH114" i="5"/>
  <c r="BH129" i="5" s="1"/>
  <c r="G170" i="5"/>
  <c r="BL160" i="5"/>
  <c r="O160" i="5"/>
  <c r="BJ114" i="5"/>
  <c r="BJ129" i="5" s="1"/>
  <c r="P160" i="5"/>
  <c r="BP114" i="5"/>
  <c r="BP129" i="5" s="1"/>
  <c r="BR185" i="5"/>
  <c r="BQ114" i="5"/>
  <c r="BQ129" i="5" s="1"/>
  <c r="BG170" i="5"/>
  <c r="F144" i="5"/>
  <c r="BG114" i="5"/>
  <c r="BG129" i="5" s="1"/>
  <c r="BR114" i="5"/>
  <c r="P144" i="5"/>
  <c r="BP51" i="5"/>
  <c r="BP66" i="5" s="1"/>
  <c r="BQ170" i="5"/>
  <c r="I160" i="5"/>
  <c r="BH185" i="5"/>
  <c r="BJ160" i="5"/>
  <c r="BP185" i="5"/>
  <c r="H144" i="5"/>
  <c r="I170" i="5"/>
  <c r="K185" i="5"/>
  <c r="K51" i="5"/>
  <c r="K66" i="5" s="1"/>
  <c r="BH51" i="5"/>
  <c r="BH66" i="5" s="1"/>
  <c r="BQ51" i="5"/>
  <c r="BQ66" i="5" s="1"/>
  <c r="D137" i="5"/>
  <c r="BJ170" i="5"/>
  <c r="BR51" i="5"/>
  <c r="BR66" i="5" s="1"/>
  <c r="N144" i="5"/>
  <c r="J51" i="5"/>
  <c r="J66" i="5" s="1"/>
  <c r="F185" i="5"/>
  <c r="L114" i="5"/>
  <c r="L129" i="5" s="1"/>
  <c r="BL170" i="5"/>
  <c r="G51" i="5"/>
  <c r="G66" i="5" s="1"/>
  <c r="P170" i="5"/>
  <c r="L185" i="5"/>
  <c r="E160" i="5"/>
  <c r="BR129" i="5"/>
  <c r="N170" i="5"/>
  <c r="BO51" i="5"/>
  <c r="BO66" i="5" s="1"/>
  <c r="BG185" i="5"/>
  <c r="BG51" i="5"/>
  <c r="BG66" i="5" s="1"/>
  <c r="BN51" i="5"/>
  <c r="BN66" i="5" s="1"/>
  <c r="BG160" i="5"/>
  <c r="BH171" i="5"/>
  <c r="BK51" i="5"/>
  <c r="BK66" i="5" s="1"/>
  <c r="BL129" i="5"/>
  <c r="BL51" i="5"/>
  <c r="BL66" i="5" s="1"/>
  <c r="D183" i="5"/>
  <c r="D184" i="5" s="1"/>
  <c r="I51" i="5"/>
  <c r="I66" i="5" s="1"/>
  <c r="K170" i="5"/>
  <c r="P185" i="5"/>
  <c r="P51" i="5"/>
  <c r="P66" i="5" s="1"/>
  <c r="G144" i="5"/>
  <c r="M144" i="5"/>
  <c r="J114" i="5"/>
  <c r="J129" i="5" s="1"/>
  <c r="F114" i="5"/>
  <c r="F129" i="5" s="1"/>
  <c r="D87" i="5"/>
  <c r="O170" i="5"/>
  <c r="H51" i="5"/>
  <c r="H66" i="5" s="1"/>
  <c r="M170" i="5"/>
  <c r="D113" i="5"/>
  <c r="L144" i="5"/>
  <c r="J144" i="5"/>
  <c r="D24" i="5"/>
  <c r="D49" i="5"/>
  <c r="D40" i="5"/>
  <c r="K144" i="5"/>
  <c r="D127" i="5"/>
  <c r="E128" i="5"/>
  <c r="D128" i="5" s="1"/>
  <c r="E65" i="5"/>
  <c r="D65" i="5" s="1"/>
  <c r="D64" i="5"/>
  <c r="D134" i="5"/>
  <c r="D103" i="5"/>
  <c r="E114" i="5"/>
  <c r="D50" i="5"/>
  <c r="O185" i="5"/>
  <c r="N185" i="5"/>
  <c r="I144" i="5"/>
  <c r="P25" i="8"/>
  <c r="M67" i="8"/>
  <c r="F67" i="8"/>
  <c r="P41" i="8"/>
  <c r="P51" i="8"/>
  <c r="E52" i="8"/>
  <c r="E67" i="8" s="1"/>
  <c r="P50" i="8"/>
  <c r="D66" i="8"/>
  <c r="P66" i="8" s="1"/>
  <c r="P65" i="8"/>
  <c r="CE65" i="7"/>
  <c r="AN41" i="7"/>
  <c r="R25" i="7"/>
  <c r="K43" i="7"/>
  <c r="BE41" i="7"/>
  <c r="BF41" i="7" s="1"/>
  <c r="BL52" i="7"/>
  <c r="AG56" i="7"/>
  <c r="BY56" i="7"/>
  <c r="F44" i="7"/>
  <c r="AC56" i="7"/>
  <c r="AY59" i="7"/>
  <c r="R41" i="7"/>
  <c r="X44" i="7"/>
  <c r="Y44" i="7" s="1"/>
  <c r="BC25" i="7"/>
  <c r="G44" i="7"/>
  <c r="AM41" i="7"/>
  <c r="CW56" i="7"/>
  <c r="CX56" i="7" s="1"/>
  <c r="BD52" i="7"/>
  <c r="BD67" i="7" s="1"/>
  <c r="F65" i="7"/>
  <c r="AI56" i="7"/>
  <c r="AJ56" i="7" s="1"/>
  <c r="BI25" i="7"/>
  <c r="CA56" i="7"/>
  <c r="CB56" i="7" s="1"/>
  <c r="M43" i="7"/>
  <c r="N43" i="7" s="1"/>
  <c r="CT56" i="7"/>
  <c r="CI42" i="7"/>
  <c r="DE65" i="7"/>
  <c r="DF65" i="7"/>
  <c r="CH52" i="7"/>
  <c r="U41" i="7"/>
  <c r="BK51" i="7"/>
  <c r="BM51" i="7" s="1"/>
  <c r="D66" i="7"/>
  <c r="G66" i="7" s="1"/>
  <c r="Q50" i="7"/>
  <c r="CU28" i="7"/>
  <c r="Q25" i="7"/>
  <c r="BW52" i="7"/>
  <c r="R50" i="7"/>
  <c r="R65" i="7"/>
  <c r="AX41" i="7"/>
  <c r="CS52" i="7"/>
  <c r="CS67" i="7" s="1"/>
  <c r="CO52" i="7"/>
  <c r="CO67" i="7" s="1"/>
  <c r="BE25" i="7"/>
  <c r="BF25" i="7" s="1"/>
  <c r="T52" i="7"/>
  <c r="T67" i="7" s="1"/>
  <c r="AW52" i="7"/>
  <c r="AW67" i="7" s="1"/>
  <c r="U25" i="7"/>
  <c r="J25" i="7"/>
  <c r="I52" i="7"/>
  <c r="I67" i="7" s="1"/>
  <c r="BX28" i="7"/>
  <c r="L52" i="7"/>
  <c r="L67" i="7" s="1"/>
  <c r="X28" i="7"/>
  <c r="Y28" i="7" s="1"/>
  <c r="BT65" i="7"/>
  <c r="AM50" i="7"/>
  <c r="BZ52" i="7"/>
  <c r="BZ67" i="7" s="1"/>
  <c r="H44" i="7"/>
  <c r="J44" i="7" s="1"/>
  <c r="BJ41" i="7"/>
  <c r="CV52" i="7"/>
  <c r="CV67" i="7" s="1"/>
  <c r="DG52" i="7"/>
  <c r="DG67" i="7" s="1"/>
  <c r="AN50" i="7"/>
  <c r="AS52" i="7"/>
  <c r="AS67" i="7" s="1"/>
  <c r="M25" i="7"/>
  <c r="N25" i="7" s="1"/>
  <c r="CZ52" i="7"/>
  <c r="CZ67" i="7" s="1"/>
  <c r="BY28" i="7"/>
  <c r="BJ25" i="7"/>
  <c r="V41" i="7"/>
  <c r="CT28" i="7"/>
  <c r="BB25" i="7"/>
  <c r="U28" i="7"/>
  <c r="W52" i="7"/>
  <c r="W67" i="7" s="1"/>
  <c r="AB50" i="7"/>
  <c r="BU25" i="7"/>
  <c r="AC50" i="7"/>
  <c r="DF56" i="7"/>
  <c r="M28" i="7"/>
  <c r="N28" i="7" s="1"/>
  <c r="J28" i="7"/>
  <c r="K28" i="7"/>
  <c r="CD52" i="7"/>
  <c r="BS52" i="7"/>
  <c r="BS67" i="7" s="1"/>
  <c r="BO52" i="7"/>
  <c r="BO67" i="7" s="1"/>
  <c r="BB65" i="7"/>
  <c r="CA45" i="7"/>
  <c r="CB45" i="7" s="1"/>
  <c r="BY45" i="7"/>
  <c r="BX45" i="7"/>
  <c r="BV47" i="7"/>
  <c r="BB42" i="7"/>
  <c r="CJ42" i="7"/>
  <c r="CU25" i="7"/>
  <c r="CW25" i="7"/>
  <c r="CX25" i="7" s="1"/>
  <c r="G50" i="7"/>
  <c r="AL52" i="7"/>
  <c r="AL67" i="7" s="1"/>
  <c r="CK52" i="7"/>
  <c r="CK67" i="7" s="1"/>
  <c r="V44" i="7"/>
  <c r="K25" i="7"/>
  <c r="CE56" i="7"/>
  <c r="CF56" i="7"/>
  <c r="AE52" i="7"/>
  <c r="AE67" i="7" s="1"/>
  <c r="BU56" i="7"/>
  <c r="DE56" i="7"/>
  <c r="BC65" i="7"/>
  <c r="CC66" i="7"/>
  <c r="BB41" i="7"/>
  <c r="BC41" i="7"/>
  <c r="DD52" i="7"/>
  <c r="DD67" i="7" s="1"/>
  <c r="CU43" i="7"/>
  <c r="CW43" i="7"/>
  <c r="CX43" i="7" s="1"/>
  <c r="CP65" i="7"/>
  <c r="BT25" i="7"/>
  <c r="AZ44" i="7"/>
  <c r="BB44" i="7" s="1"/>
  <c r="BC42" i="7"/>
  <c r="AH52" i="7"/>
  <c r="AH67" i="7" s="1"/>
  <c r="BA67" i="7"/>
  <c r="AA52" i="7"/>
  <c r="AA67" i="7" s="1"/>
  <c r="CA66" i="7"/>
  <c r="CB66" i="7" s="1"/>
  <c r="BK52" i="7"/>
  <c r="BN51" i="7"/>
  <c r="BP51" i="7"/>
  <c r="BQ51" i="7" s="1"/>
  <c r="DF47" i="7"/>
  <c r="DE47" i="7"/>
  <c r="DH47" i="7"/>
  <c r="DI47" i="7" s="1"/>
  <c r="CL59" i="7"/>
  <c r="CM59" i="7" s="1"/>
  <c r="CJ59" i="7"/>
  <c r="CI59" i="7"/>
  <c r="CQ59" i="7"/>
  <c r="CP59" i="7"/>
  <c r="AT59" i="7"/>
  <c r="AU59" i="7" s="1"/>
  <c r="AR59" i="7"/>
  <c r="AQ59" i="7"/>
  <c r="AI25" i="7"/>
  <c r="AJ25" i="7" s="1"/>
  <c r="AG25" i="7"/>
  <c r="AF25" i="7"/>
  <c r="AT41" i="7"/>
  <c r="AU41" i="7" s="1"/>
  <c r="AR41" i="7"/>
  <c r="AQ41" i="7"/>
  <c r="AK52" i="7"/>
  <c r="AM51" i="7"/>
  <c r="AN51" i="7"/>
  <c r="CT42" i="7"/>
  <c r="CR44" i="7"/>
  <c r="CW42" i="7"/>
  <c r="CX42" i="7" s="1"/>
  <c r="CU42" i="7"/>
  <c r="BM28" i="7"/>
  <c r="BN28" i="7"/>
  <c r="BP28" i="7"/>
  <c r="BQ28" i="7" s="1"/>
  <c r="AM44" i="7"/>
  <c r="AN44" i="7"/>
  <c r="K47" i="7"/>
  <c r="M47" i="7"/>
  <c r="N47" i="7" s="1"/>
  <c r="J47" i="7"/>
  <c r="AQ42" i="7"/>
  <c r="AO44" i="7"/>
  <c r="AR42" i="7"/>
  <c r="AT42" i="7"/>
  <c r="AU42" i="7" s="1"/>
  <c r="DB44" i="7"/>
  <c r="DA44" i="7"/>
  <c r="AP66" i="7"/>
  <c r="AR65" i="7"/>
  <c r="BE47" i="7"/>
  <c r="BF47" i="7" s="1"/>
  <c r="BC47" i="7"/>
  <c r="BB47" i="7"/>
  <c r="AT56" i="7"/>
  <c r="AU56" i="7" s="1"/>
  <c r="AQ56" i="7"/>
  <c r="AR56" i="7"/>
  <c r="AX51" i="7"/>
  <c r="AV52" i="7"/>
  <c r="AY51" i="7"/>
  <c r="CQ25" i="7"/>
  <c r="CP25" i="7"/>
  <c r="BT41" i="7"/>
  <c r="BU41" i="7"/>
  <c r="J59" i="7"/>
  <c r="M59" i="7"/>
  <c r="N59" i="7" s="1"/>
  <c r="K59" i="7"/>
  <c r="P52" i="7"/>
  <c r="P67" i="7" s="1"/>
  <c r="CF41" i="7"/>
  <c r="CE41" i="7"/>
  <c r="CL56" i="7"/>
  <c r="CM56" i="7" s="1"/>
  <c r="CJ56" i="7"/>
  <c r="CI56" i="7"/>
  <c r="CU66" i="7"/>
  <c r="CW66" i="7"/>
  <c r="CX66" i="7" s="1"/>
  <c r="CT66" i="7"/>
  <c r="AI41" i="7"/>
  <c r="AJ41" i="7" s="1"/>
  <c r="AF41" i="7"/>
  <c r="AG41" i="7"/>
  <c r="V59" i="7"/>
  <c r="X59" i="7"/>
  <c r="Y59" i="7" s="1"/>
  <c r="U59" i="7"/>
  <c r="BJ65" i="7"/>
  <c r="BG66" i="7"/>
  <c r="BI65" i="7"/>
  <c r="CH67" i="7"/>
  <c r="X56" i="7"/>
  <c r="Y56" i="7" s="1"/>
  <c r="V56" i="7"/>
  <c r="U56" i="7"/>
  <c r="AY25" i="7"/>
  <c r="AX25" i="7"/>
  <c r="V47" i="7"/>
  <c r="U47" i="7"/>
  <c r="X47" i="7"/>
  <c r="Y47" i="7" s="1"/>
  <c r="BW66" i="7"/>
  <c r="BY66" i="7" s="1"/>
  <c r="BY65" i="7"/>
  <c r="BX65" i="7"/>
  <c r="AB25" i="7"/>
  <c r="BP59" i="7"/>
  <c r="BQ59" i="7" s="1"/>
  <c r="BN59" i="7"/>
  <c r="BM59" i="7"/>
  <c r="BK66" i="7"/>
  <c r="BU59" i="7"/>
  <c r="BT59" i="7"/>
  <c r="BR66" i="7"/>
  <c r="AF42" i="7"/>
  <c r="AD44" i="7"/>
  <c r="AD51" i="7" s="1"/>
  <c r="AI42" i="7"/>
  <c r="AJ42" i="7" s="1"/>
  <c r="AG42" i="7"/>
  <c r="AN59" i="7"/>
  <c r="AM59" i="7"/>
  <c r="AB44" i="7"/>
  <c r="AC44" i="7"/>
  <c r="Z51" i="7"/>
  <c r="CL47" i="7"/>
  <c r="CM47" i="7" s="1"/>
  <c r="CJ47" i="7"/>
  <c r="CI47" i="7"/>
  <c r="O52" i="7"/>
  <c r="Q51" i="7"/>
  <c r="R51" i="7"/>
  <c r="CF59" i="7"/>
  <c r="CE59" i="7"/>
  <c r="BJ44" i="7"/>
  <c r="BG51" i="7"/>
  <c r="BI44" i="7"/>
  <c r="AF59" i="7"/>
  <c r="AI59" i="7"/>
  <c r="AJ59" i="7" s="1"/>
  <c r="AG59" i="7"/>
  <c r="AC25" i="7"/>
  <c r="DH42" i="7"/>
  <c r="DI42" i="7" s="1"/>
  <c r="DF42" i="7"/>
  <c r="DE42" i="7"/>
  <c r="DC44" i="7"/>
  <c r="DC51" i="7" s="1"/>
  <c r="BC66" i="7"/>
  <c r="BE66" i="7"/>
  <c r="BF66" i="7" s="1"/>
  <c r="BB66" i="7"/>
  <c r="CY66" i="7"/>
  <c r="DB65" i="7"/>
  <c r="DA65" i="7"/>
  <c r="DA25" i="7"/>
  <c r="DB25" i="7"/>
  <c r="AR25" i="7"/>
  <c r="AQ25" i="7"/>
  <c r="AT25" i="7"/>
  <c r="AU25" i="7" s="1"/>
  <c r="AG65" i="7"/>
  <c r="BR52" i="7"/>
  <c r="BU51" i="7"/>
  <c r="BT51" i="7"/>
  <c r="DB41" i="7"/>
  <c r="DA41" i="7"/>
  <c r="AG28" i="7"/>
  <c r="AF28" i="7"/>
  <c r="AI28" i="7"/>
  <c r="AJ28" i="7" s="1"/>
  <c r="BJ59" i="7"/>
  <c r="BI59" i="7"/>
  <c r="S66" i="7"/>
  <c r="AN65" i="7"/>
  <c r="AM65" i="7"/>
  <c r="AK66" i="7"/>
  <c r="BY41" i="7"/>
  <c r="BX41" i="7"/>
  <c r="CA41" i="7"/>
  <c r="CB41" i="7" s="1"/>
  <c r="CQ65" i="7"/>
  <c r="BM25" i="7"/>
  <c r="BN25" i="7"/>
  <c r="BP25" i="7"/>
  <c r="BQ25" i="7" s="1"/>
  <c r="F50" i="7"/>
  <c r="DB59" i="7"/>
  <c r="DA59" i="7"/>
  <c r="U65" i="7"/>
  <c r="AY41" i="7"/>
  <c r="CF25" i="7"/>
  <c r="CE25" i="7"/>
  <c r="BL66" i="7"/>
  <c r="BN65" i="7"/>
  <c r="BE59" i="7"/>
  <c r="BF59" i="7" s="1"/>
  <c r="BB59" i="7"/>
  <c r="BC59" i="7"/>
  <c r="G41" i="7"/>
  <c r="F41" i="7"/>
  <c r="DH59" i="7"/>
  <c r="DI59" i="7" s="1"/>
  <c r="DE59" i="7"/>
  <c r="DF59" i="7"/>
  <c r="AP52" i="7"/>
  <c r="G51" i="7"/>
  <c r="F51" i="7"/>
  <c r="D52" i="7"/>
  <c r="DE41" i="7"/>
  <c r="DF41" i="7"/>
  <c r="DH41" i="7"/>
  <c r="DI41" i="7" s="1"/>
  <c r="S51" i="7"/>
  <c r="G65" i="7"/>
  <c r="CJ65" i="7"/>
  <c r="X25" i="7"/>
  <c r="Y25" i="7" s="1"/>
  <c r="CJ46" i="7"/>
  <c r="CI46" i="7"/>
  <c r="CL46" i="7"/>
  <c r="CM46" i="7" s="1"/>
  <c r="CJ41" i="7"/>
  <c r="CI41" i="7"/>
  <c r="CL41" i="7"/>
  <c r="CM41" i="7" s="1"/>
  <c r="BY25" i="7"/>
  <c r="BX25" i="7"/>
  <c r="CA25" i="7"/>
  <c r="CB25" i="7" s="1"/>
  <c r="CN66" i="7"/>
  <c r="DE28" i="7"/>
  <c r="DF28" i="7"/>
  <c r="DH28" i="7"/>
  <c r="DI28" i="7" s="1"/>
  <c r="AO66" i="7"/>
  <c r="AB59" i="7"/>
  <c r="AC59" i="7"/>
  <c r="DE25" i="7"/>
  <c r="DH25" i="7"/>
  <c r="DI25" i="7" s="1"/>
  <c r="DF25" i="7"/>
  <c r="K41" i="7"/>
  <c r="M41" i="7"/>
  <c r="N41" i="7" s="1"/>
  <c r="J41" i="7"/>
  <c r="E52" i="7"/>
  <c r="E67" i="7" s="1"/>
  <c r="CF50" i="7"/>
  <c r="CG66" i="7"/>
  <c r="CF44" i="7"/>
  <c r="CE44" i="7"/>
  <c r="AN25" i="7"/>
  <c r="AM25" i="7"/>
  <c r="V65" i="7"/>
  <c r="CQ44" i="7"/>
  <c r="CP44" i="7"/>
  <c r="CN51" i="7"/>
  <c r="BM43" i="7"/>
  <c r="BN43" i="7"/>
  <c r="BP43" i="7"/>
  <c r="BQ43" i="7" s="1"/>
  <c r="H66" i="7"/>
  <c r="AY44" i="7"/>
  <c r="AX44" i="7"/>
  <c r="AV66" i="7"/>
  <c r="AY65" i="7"/>
  <c r="AX65" i="7"/>
  <c r="R66" i="7"/>
  <c r="Q66" i="7"/>
  <c r="CE50" i="7"/>
  <c r="CL43" i="7"/>
  <c r="CM43" i="7" s="1"/>
  <c r="CJ43" i="7"/>
  <c r="CI43" i="7"/>
  <c r="CG44" i="7"/>
  <c r="AF47" i="7"/>
  <c r="AI47" i="7"/>
  <c r="AJ47" i="7" s="1"/>
  <c r="AG47" i="7"/>
  <c r="DH66" i="7"/>
  <c r="DI66" i="7" s="1"/>
  <c r="DE66" i="7"/>
  <c r="DF66" i="7"/>
  <c r="AT45" i="7"/>
  <c r="AU45" i="7" s="1"/>
  <c r="AR45" i="7"/>
  <c r="AO47" i="7"/>
  <c r="AQ45" i="7"/>
  <c r="CT45" i="7"/>
  <c r="CU45" i="7"/>
  <c r="CR47" i="7"/>
  <c r="CW45" i="7"/>
  <c r="CX45" i="7" s="1"/>
  <c r="BX59" i="7"/>
  <c r="CA59" i="7"/>
  <c r="CB59" i="7" s="1"/>
  <c r="BY59" i="7"/>
  <c r="BP44" i="7"/>
  <c r="BQ44" i="7" s="1"/>
  <c r="BM44" i="7"/>
  <c r="BN44" i="7"/>
  <c r="BI41" i="7"/>
  <c r="AC41" i="7"/>
  <c r="AB41" i="7"/>
  <c r="CP41" i="7"/>
  <c r="CQ41" i="7"/>
  <c r="DF43" i="7"/>
  <c r="DE43" i="7"/>
  <c r="DH43" i="7"/>
  <c r="DI43" i="7" s="1"/>
  <c r="AF65" i="7"/>
  <c r="CJ25" i="7"/>
  <c r="CI25" i="7"/>
  <c r="CL25" i="7"/>
  <c r="CM25" i="7" s="1"/>
  <c r="CA44" i="7"/>
  <c r="CB44" i="7" s="1"/>
  <c r="BY44" i="7"/>
  <c r="BX44" i="7"/>
  <c r="CI65" i="7"/>
  <c r="CQ56" i="7"/>
  <c r="CP56" i="7"/>
  <c r="BJ50" i="7"/>
  <c r="BH51" i="7"/>
  <c r="BH52" i="7" s="1"/>
  <c r="BH67" i="7" s="1"/>
  <c r="DH46" i="7"/>
  <c r="DI46" i="7" s="1"/>
  <c r="DF46" i="7"/>
  <c r="DE46" i="7"/>
  <c r="AD66" i="7"/>
  <c r="AB66" i="7"/>
  <c r="AC66" i="7"/>
  <c r="F59" i="7"/>
  <c r="G59" i="7"/>
  <c r="BN47" i="7"/>
  <c r="BM47" i="7"/>
  <c r="BP47" i="7"/>
  <c r="BQ47" i="7" s="1"/>
  <c r="BN41" i="7"/>
  <c r="BM41" i="7"/>
  <c r="BP41" i="7"/>
  <c r="BQ41" i="7" s="1"/>
  <c r="CD66" i="7"/>
  <c r="CF65" i="7"/>
  <c r="AR28" i="7"/>
  <c r="AQ28" i="7"/>
  <c r="AT28" i="7"/>
  <c r="AU28" i="7" s="1"/>
  <c r="G25" i="7"/>
  <c r="F25" i="7"/>
  <c r="Q65" i="7"/>
  <c r="CW41" i="7"/>
  <c r="CX41" i="7" s="1"/>
  <c r="CU41" i="7"/>
  <c r="CT41" i="7"/>
  <c r="CC51" i="7"/>
  <c r="CY51" i="7"/>
  <c r="F66" i="7" l="1"/>
  <c r="BW67" i="7"/>
  <c r="H171" i="5"/>
  <c r="BO186" i="5"/>
  <c r="F171" i="5"/>
  <c r="F186" i="5" s="1"/>
  <c r="BK186" i="5"/>
  <c r="N171" i="5"/>
  <c r="E171" i="5"/>
  <c r="E186" i="5" s="1"/>
  <c r="BI171" i="5"/>
  <c r="BI186" i="5" s="1"/>
  <c r="BM171" i="5"/>
  <c r="BM186" i="5" s="1"/>
  <c r="K171" i="5"/>
  <c r="D185" i="5"/>
  <c r="BG171" i="5"/>
  <c r="BG186" i="5" s="1"/>
  <c r="BR186" i="5"/>
  <c r="M171" i="5"/>
  <c r="M186" i="5" s="1"/>
  <c r="H186" i="5"/>
  <c r="G171" i="5"/>
  <c r="G186" i="5" s="1"/>
  <c r="P171" i="5"/>
  <c r="P186" i="5" s="1"/>
  <c r="BP171" i="5"/>
  <c r="K186" i="5"/>
  <c r="BP186" i="5"/>
  <c r="O171" i="5"/>
  <c r="O186" i="5" s="1"/>
  <c r="BJ171" i="5"/>
  <c r="BJ186" i="5" s="1"/>
  <c r="I171" i="5"/>
  <c r="I186" i="5" s="1"/>
  <c r="J171" i="5"/>
  <c r="J186" i="5" s="1"/>
  <c r="BL171" i="5"/>
  <c r="BL186" i="5" s="1"/>
  <c r="L171" i="5"/>
  <c r="L186" i="5" s="1"/>
  <c r="BQ171" i="5"/>
  <c r="BQ186" i="5" s="1"/>
  <c r="BH186" i="5"/>
  <c r="D144" i="5"/>
  <c r="D171" i="5" s="1"/>
  <c r="E66" i="5"/>
  <c r="D51" i="5"/>
  <c r="E129" i="5"/>
  <c r="D129" i="5" s="1"/>
  <c r="D114" i="5"/>
  <c r="N186" i="5"/>
  <c r="D66" i="5"/>
  <c r="D67" i="8"/>
  <c r="P67" i="8" s="1"/>
  <c r="P52" i="8"/>
  <c r="BL67" i="7"/>
  <c r="K44" i="7"/>
  <c r="CD67" i="7"/>
  <c r="H51" i="7"/>
  <c r="H52" i="7" s="1"/>
  <c r="AP67" i="7"/>
  <c r="M44" i="7"/>
  <c r="N44" i="7" s="1"/>
  <c r="BC44" i="7"/>
  <c r="BE44" i="7"/>
  <c r="BF44" i="7" s="1"/>
  <c r="AZ51" i="7"/>
  <c r="BB51" i="7" s="1"/>
  <c r="CA47" i="7"/>
  <c r="CB47" i="7" s="1"/>
  <c r="BX47" i="7"/>
  <c r="BV51" i="7"/>
  <c r="BY47" i="7"/>
  <c r="AD52" i="7"/>
  <c r="AI51" i="7"/>
  <c r="AJ51" i="7" s="1"/>
  <c r="AG51" i="7"/>
  <c r="AF51" i="7"/>
  <c r="CQ66" i="7"/>
  <c r="CP66" i="7"/>
  <c r="BT66" i="7"/>
  <c r="BU66" i="7"/>
  <c r="CJ66" i="7"/>
  <c r="CL66" i="7"/>
  <c r="CM66" i="7" s="1"/>
  <c r="CI66" i="7"/>
  <c r="DB66" i="7"/>
  <c r="DA66" i="7"/>
  <c r="BP66" i="7"/>
  <c r="BQ66" i="7" s="1"/>
  <c r="BN66" i="7"/>
  <c r="BM66" i="7"/>
  <c r="DA51" i="7"/>
  <c r="DB51" i="7"/>
  <c r="CY52" i="7"/>
  <c r="V66" i="7"/>
  <c r="U66" i="7"/>
  <c r="X66" i="7"/>
  <c r="Y66" i="7" s="1"/>
  <c r="CE66" i="7"/>
  <c r="AF66" i="7"/>
  <c r="AG66" i="7"/>
  <c r="AI66" i="7"/>
  <c r="AJ66" i="7" s="1"/>
  <c r="CF66" i="7"/>
  <c r="AC51" i="7"/>
  <c r="AB51" i="7"/>
  <c r="Z52" i="7"/>
  <c r="CL44" i="7"/>
  <c r="CM44" i="7" s="1"/>
  <c r="CJ44" i="7"/>
  <c r="CI44" i="7"/>
  <c r="BN52" i="7"/>
  <c r="BM52" i="7"/>
  <c r="BK67" i="7"/>
  <c r="BP52" i="7"/>
  <c r="BQ52" i="7" s="1"/>
  <c r="AQ44" i="7"/>
  <c r="AR44" i="7"/>
  <c r="AT44" i="7"/>
  <c r="AU44" i="7" s="1"/>
  <c r="DF51" i="7"/>
  <c r="DE51" i="7"/>
  <c r="DC52" i="7"/>
  <c r="DH51" i="7"/>
  <c r="DI51" i="7" s="1"/>
  <c r="AF44" i="7"/>
  <c r="AG44" i="7"/>
  <c r="AI44" i="7"/>
  <c r="AJ44" i="7" s="1"/>
  <c r="AY66" i="7"/>
  <c r="AX66" i="7"/>
  <c r="D67" i="7"/>
  <c r="F52" i="7"/>
  <c r="G52" i="7"/>
  <c r="BT52" i="7"/>
  <c r="BR67" i="7"/>
  <c r="BU52" i="7"/>
  <c r="AN52" i="7"/>
  <c r="AM52" i="7"/>
  <c r="AK67" i="7"/>
  <c r="CT47" i="7"/>
  <c r="CW47" i="7"/>
  <c r="CX47" i="7" s="1"/>
  <c r="CU47" i="7"/>
  <c r="CR51" i="7"/>
  <c r="K66" i="7"/>
  <c r="M66" i="7"/>
  <c r="N66" i="7" s="1"/>
  <c r="J66" i="7"/>
  <c r="CE51" i="7"/>
  <c r="CC52" i="7"/>
  <c r="CF51" i="7"/>
  <c r="CG51" i="7"/>
  <c r="R52" i="7"/>
  <c r="Q52" i="7"/>
  <c r="O67" i="7"/>
  <c r="CN52" i="7"/>
  <c r="CP51" i="7"/>
  <c r="CQ51" i="7"/>
  <c r="AN66" i="7"/>
  <c r="AM66" i="7"/>
  <c r="AR47" i="7"/>
  <c r="AQ47" i="7"/>
  <c r="AT47" i="7"/>
  <c r="AU47" i="7" s="1"/>
  <c r="AO51" i="7"/>
  <c r="BJ51" i="7"/>
  <c r="BG52" i="7"/>
  <c r="BI51" i="7"/>
  <c r="AY52" i="7"/>
  <c r="AV67" i="7"/>
  <c r="AX52" i="7"/>
  <c r="J51" i="7"/>
  <c r="M51" i="7"/>
  <c r="N51" i="7" s="1"/>
  <c r="CW44" i="7"/>
  <c r="CX44" i="7" s="1"/>
  <c r="CU44" i="7"/>
  <c r="CT44" i="7"/>
  <c r="BX66" i="7"/>
  <c r="V51" i="7"/>
  <c r="X51" i="7"/>
  <c r="Y51" i="7" s="1"/>
  <c r="U51" i="7"/>
  <c r="S52" i="7"/>
  <c r="AR66" i="7"/>
  <c r="AT66" i="7"/>
  <c r="AU66" i="7" s="1"/>
  <c r="AQ66" i="7"/>
  <c r="DH44" i="7"/>
  <c r="DI44" i="7" s="1"/>
  <c r="DF44" i="7"/>
  <c r="DE44" i="7"/>
  <c r="BJ66" i="7"/>
  <c r="BI66" i="7"/>
  <c r="D186" i="5" l="1"/>
  <c r="K51" i="7"/>
  <c r="BC51" i="7"/>
  <c r="BE51" i="7"/>
  <c r="BF51" i="7" s="1"/>
  <c r="AZ52" i="7"/>
  <c r="BE52" i="7" s="1"/>
  <c r="BF52" i="7" s="1"/>
  <c r="BV52" i="7"/>
  <c r="CA51" i="7"/>
  <c r="CB51" i="7" s="1"/>
  <c r="BY51" i="7"/>
  <c r="BX51" i="7"/>
  <c r="X52" i="7"/>
  <c r="Y52" i="7" s="1"/>
  <c r="V52" i="7"/>
  <c r="U52" i="7"/>
  <c r="S67" i="7"/>
  <c r="R67" i="7"/>
  <c r="Q67" i="7"/>
  <c r="CY67" i="7"/>
  <c r="DB52" i="7"/>
  <c r="DA52" i="7"/>
  <c r="AX67" i="7"/>
  <c r="AY67" i="7"/>
  <c r="AO52" i="7"/>
  <c r="AR51" i="7"/>
  <c r="AQ51" i="7"/>
  <c r="AT51" i="7"/>
  <c r="AU51" i="7" s="1"/>
  <c r="H67" i="7"/>
  <c r="M52" i="7"/>
  <c r="N52" i="7" s="1"/>
  <c r="J52" i="7"/>
  <c r="K52" i="7"/>
  <c r="BP67" i="7"/>
  <c r="BQ67" i="7" s="1"/>
  <c r="BN67" i="7"/>
  <c r="BM67" i="7"/>
  <c r="AM67" i="7"/>
  <c r="AN67" i="7"/>
  <c r="BU67" i="7"/>
  <c r="BT67" i="7"/>
  <c r="CL51" i="7"/>
  <c r="CM51" i="7" s="1"/>
  <c r="CG52" i="7"/>
  <c r="CJ51" i="7"/>
  <c r="CI51" i="7"/>
  <c r="F67" i="7"/>
  <c r="G67" i="7"/>
  <c r="CR52" i="7"/>
  <c r="CW51" i="7"/>
  <c r="CX51" i="7" s="1"/>
  <c r="CU51" i="7"/>
  <c r="CT51" i="7"/>
  <c r="DH52" i="7"/>
  <c r="DI52" i="7" s="1"/>
  <c r="DF52" i="7"/>
  <c r="DE52" i="7"/>
  <c r="DC67" i="7"/>
  <c r="AZ67" i="7"/>
  <c r="CQ52" i="7"/>
  <c r="CP52" i="7"/>
  <c r="CN67" i="7"/>
  <c r="BG67" i="7"/>
  <c r="BJ52" i="7"/>
  <c r="BI52" i="7"/>
  <c r="Z67" i="7"/>
  <c r="AC52" i="7"/>
  <c r="AB52" i="7"/>
  <c r="CC67" i="7"/>
  <c r="CF52" i="7"/>
  <c r="CE52" i="7"/>
  <c r="AF52" i="7"/>
  <c r="AD67" i="7"/>
  <c r="AI52" i="7"/>
  <c r="AJ52" i="7" s="1"/>
  <c r="AG52" i="7"/>
  <c r="BC52" i="7" l="1"/>
  <c r="BB52" i="7"/>
  <c r="BX52" i="7"/>
  <c r="CA52" i="7"/>
  <c r="CB52" i="7" s="1"/>
  <c r="BY52" i="7"/>
  <c r="BV67" i="7"/>
  <c r="K67" i="7"/>
  <c r="J67" i="7"/>
  <c r="M67" i="7"/>
  <c r="N67" i="7" s="1"/>
  <c r="CL52" i="7"/>
  <c r="CM52" i="7" s="1"/>
  <c r="CJ52" i="7"/>
  <c r="CI52" i="7"/>
  <c r="CG67" i="7"/>
  <c r="DH67" i="7"/>
  <c r="DI67" i="7" s="1"/>
  <c r="DF67" i="7"/>
  <c r="DE67" i="7"/>
  <c r="CR67" i="7"/>
  <c r="CU52" i="7"/>
  <c r="CT52" i="7"/>
  <c r="CW52" i="7"/>
  <c r="CX52" i="7" s="1"/>
  <c r="CF67" i="7"/>
  <c r="CE67" i="7"/>
  <c r="AT52" i="7"/>
  <c r="AU52" i="7" s="1"/>
  <c r="AR52" i="7"/>
  <c r="AQ52" i="7"/>
  <c r="AO67" i="7"/>
  <c r="CQ67" i="7"/>
  <c r="CP67" i="7"/>
  <c r="BE67" i="7"/>
  <c r="BF67" i="7" s="1"/>
  <c r="BC67" i="7"/>
  <c r="BB67" i="7"/>
  <c r="BJ67" i="7"/>
  <c r="BI67" i="7"/>
  <c r="AG67" i="7"/>
  <c r="AF67" i="7"/>
  <c r="AI67" i="7"/>
  <c r="AJ67" i="7" s="1"/>
  <c r="AC67" i="7"/>
  <c r="AB67" i="7"/>
  <c r="DA67" i="7"/>
  <c r="DB67" i="7"/>
  <c r="V67" i="7"/>
  <c r="X67" i="7"/>
  <c r="Y67" i="7" s="1"/>
  <c r="U67" i="7"/>
  <c r="BX67" i="7" l="1"/>
  <c r="BY67" i="7"/>
  <c r="CA67" i="7"/>
  <c r="CB67" i="7" s="1"/>
  <c r="CT67" i="7"/>
  <c r="CW67" i="7"/>
  <c r="CX67" i="7" s="1"/>
  <c r="CU67" i="7"/>
  <c r="AT67" i="7"/>
  <c r="AU67" i="7" s="1"/>
  <c r="AR67" i="7"/>
  <c r="AQ67" i="7"/>
  <c r="CL67" i="7"/>
  <c r="CM67" i="7" s="1"/>
  <c r="CJ67" i="7"/>
  <c r="CI67" i="7"/>
  <c r="AA13" i="6" l="1"/>
  <c r="AA12" i="6"/>
  <c r="C186" i="5"/>
  <c r="B186" i="5"/>
  <c r="C185" i="5"/>
  <c r="B185" i="5"/>
  <c r="C184" i="5"/>
  <c r="B184" i="5"/>
  <c r="C183" i="5"/>
  <c r="B183" i="5"/>
  <c r="AM182" i="5"/>
  <c r="AL182" i="5"/>
  <c r="C182" i="5"/>
  <c r="B182" i="5"/>
  <c r="AZ181" i="5"/>
  <c r="C181" i="5"/>
  <c r="B181" i="5"/>
  <c r="BD180" i="5"/>
  <c r="BC180" i="5"/>
  <c r="BB180" i="5"/>
  <c r="BA180" i="5"/>
  <c r="AZ180" i="5"/>
  <c r="AY180" i="5"/>
  <c r="AX180" i="5"/>
  <c r="AW180" i="5"/>
  <c r="AV180" i="5"/>
  <c r="AU180" i="5"/>
  <c r="AT180" i="5"/>
  <c r="AS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BE180" i="5" s="1"/>
  <c r="AC180" i="5"/>
  <c r="AB180" i="5"/>
  <c r="AB181" i="5" s="1"/>
  <c r="AA180" i="5"/>
  <c r="Z180" i="5"/>
  <c r="Y180" i="5"/>
  <c r="X180" i="5"/>
  <c r="W180" i="5"/>
  <c r="V180" i="5"/>
  <c r="U180" i="5"/>
  <c r="T180" i="5"/>
  <c r="S180" i="5"/>
  <c r="R180" i="5"/>
  <c r="C180" i="5"/>
  <c r="B180" i="5"/>
  <c r="BD179" i="5"/>
  <c r="BD181" i="5" s="1"/>
  <c r="BC179" i="5"/>
  <c r="BB179" i="5"/>
  <c r="BA179" i="5"/>
  <c r="AZ179" i="5"/>
  <c r="AY179" i="5"/>
  <c r="AX179" i="5"/>
  <c r="AW179" i="5"/>
  <c r="AV179" i="5"/>
  <c r="AU179" i="5"/>
  <c r="AT179" i="5"/>
  <c r="AS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BE179" i="5" s="1"/>
  <c r="AC179" i="5"/>
  <c r="AB179" i="5"/>
  <c r="AA179" i="5"/>
  <c r="Z179" i="5"/>
  <c r="Y179" i="5"/>
  <c r="Y181" i="5" s="1"/>
  <c r="X179" i="5"/>
  <c r="W179" i="5"/>
  <c r="V179" i="5"/>
  <c r="U179" i="5"/>
  <c r="T179" i="5"/>
  <c r="S179" i="5"/>
  <c r="R179" i="5"/>
  <c r="C179" i="5"/>
  <c r="B179" i="5"/>
  <c r="C178" i="5"/>
  <c r="B178" i="5"/>
  <c r="BD177" i="5"/>
  <c r="BC177" i="5"/>
  <c r="BB177" i="5"/>
  <c r="BA177" i="5"/>
  <c r="AZ177" i="5"/>
  <c r="AY177" i="5"/>
  <c r="AX177" i="5"/>
  <c r="AW177" i="5"/>
  <c r="AV177" i="5"/>
  <c r="AU177" i="5"/>
  <c r="AT177" i="5"/>
  <c r="AP177" i="5"/>
  <c r="AO177" i="5"/>
  <c r="AN177" i="5"/>
  <c r="AM177" i="5"/>
  <c r="AM178" i="5" s="1"/>
  <c r="AL177" i="5"/>
  <c r="AK177" i="5"/>
  <c r="AJ177" i="5"/>
  <c r="AI177" i="5"/>
  <c r="AH177" i="5"/>
  <c r="AG177" i="5"/>
  <c r="AF177" i="5"/>
  <c r="AC177" i="5"/>
  <c r="AB177" i="5"/>
  <c r="AA177" i="5"/>
  <c r="Z177" i="5"/>
  <c r="Y177" i="5"/>
  <c r="X177" i="5"/>
  <c r="W177" i="5"/>
  <c r="V177" i="5"/>
  <c r="U177" i="5"/>
  <c r="T177" i="5"/>
  <c r="S177" i="5"/>
  <c r="C177" i="5"/>
  <c r="B177" i="5"/>
  <c r="BD176" i="5"/>
  <c r="BC176" i="5"/>
  <c r="BB176" i="5"/>
  <c r="BA176" i="5"/>
  <c r="AZ176" i="5"/>
  <c r="AZ178" i="5" s="1"/>
  <c r="AY176" i="5"/>
  <c r="AX176" i="5"/>
  <c r="AW176" i="5"/>
  <c r="AV176" i="5"/>
  <c r="AU176" i="5"/>
  <c r="AT176" i="5"/>
  <c r="AP176" i="5"/>
  <c r="AO176" i="5"/>
  <c r="AN176" i="5"/>
  <c r="AM176" i="5"/>
  <c r="AL176" i="5"/>
  <c r="AK176" i="5"/>
  <c r="AJ176" i="5"/>
  <c r="AI176" i="5"/>
  <c r="AH176" i="5"/>
  <c r="AG176" i="5"/>
  <c r="AF176" i="5"/>
  <c r="AC176" i="5"/>
  <c r="AC178" i="5" s="1"/>
  <c r="AB176" i="5"/>
  <c r="AA176" i="5"/>
  <c r="AA178" i="5" s="1"/>
  <c r="Z176" i="5"/>
  <c r="Y176" i="5"/>
  <c r="Y178" i="5" s="1"/>
  <c r="X176" i="5"/>
  <c r="W176" i="5"/>
  <c r="V176" i="5"/>
  <c r="U176" i="5"/>
  <c r="T176" i="5"/>
  <c r="S176" i="5"/>
  <c r="C176" i="5"/>
  <c r="B176" i="5"/>
  <c r="C175" i="5"/>
  <c r="B175" i="5"/>
  <c r="C174" i="5"/>
  <c r="B174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P173" i="5"/>
  <c r="AO173" i="5"/>
  <c r="AN173" i="5"/>
  <c r="AM173" i="5"/>
  <c r="AL173" i="5"/>
  <c r="AK173" i="5"/>
  <c r="AJ173" i="5"/>
  <c r="AI173" i="5"/>
  <c r="AH173" i="5"/>
  <c r="AH174" i="5" s="1"/>
  <c r="AH175" i="5" s="1"/>
  <c r="AG173" i="5"/>
  <c r="AF173" i="5"/>
  <c r="AE173" i="5"/>
  <c r="BE173" i="5" s="1"/>
  <c r="AC173" i="5"/>
  <c r="AB173" i="5"/>
  <c r="AA173" i="5"/>
  <c r="Z173" i="5"/>
  <c r="Y173" i="5"/>
  <c r="X173" i="5"/>
  <c r="W173" i="5"/>
  <c r="V173" i="5"/>
  <c r="U173" i="5"/>
  <c r="T173" i="5"/>
  <c r="S173" i="5"/>
  <c r="R173" i="5"/>
  <c r="C173" i="5"/>
  <c r="B173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S174" i="5" s="1"/>
  <c r="AS175" i="5" s="1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C172" i="5"/>
  <c r="B172" i="5"/>
  <c r="C171" i="5"/>
  <c r="B171" i="5"/>
  <c r="C170" i="5"/>
  <c r="B170" i="5"/>
  <c r="C169" i="5"/>
  <c r="B169" i="5"/>
  <c r="AS168" i="5"/>
  <c r="AE168" i="5"/>
  <c r="BE168" i="5" s="1"/>
  <c r="R168" i="5"/>
  <c r="C168" i="5"/>
  <c r="B168" i="5"/>
  <c r="AS167" i="5"/>
  <c r="AE167" i="5"/>
  <c r="BE167" i="5" s="1"/>
  <c r="R167" i="5"/>
  <c r="C167" i="5"/>
  <c r="B167" i="5"/>
  <c r="C166" i="5"/>
  <c r="B166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BE165" i="5" s="1"/>
  <c r="AC165" i="5"/>
  <c r="AB165" i="5"/>
  <c r="AA165" i="5"/>
  <c r="Z165" i="5"/>
  <c r="Y165" i="5"/>
  <c r="X165" i="5"/>
  <c r="W165" i="5"/>
  <c r="V165" i="5"/>
  <c r="U165" i="5"/>
  <c r="T165" i="5"/>
  <c r="S165" i="5"/>
  <c r="R165" i="5"/>
  <c r="C165" i="5"/>
  <c r="B165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BE164" i="5" s="1"/>
  <c r="AC164" i="5"/>
  <c r="AB164" i="5"/>
  <c r="AA164" i="5"/>
  <c r="Z164" i="5"/>
  <c r="Y164" i="5"/>
  <c r="X164" i="5"/>
  <c r="W164" i="5"/>
  <c r="V164" i="5"/>
  <c r="U164" i="5"/>
  <c r="T164" i="5"/>
  <c r="S164" i="5"/>
  <c r="R164" i="5"/>
  <c r="C164" i="5"/>
  <c r="B164" i="5"/>
  <c r="C163" i="5"/>
  <c r="B163" i="5"/>
  <c r="BD162" i="5"/>
  <c r="BC162" i="5"/>
  <c r="BB162" i="5"/>
  <c r="BA162" i="5"/>
  <c r="AZ162" i="5"/>
  <c r="AY162" i="5"/>
  <c r="AX162" i="5"/>
  <c r="AW162" i="5"/>
  <c r="AV162" i="5"/>
  <c r="AU162" i="5"/>
  <c r="AT162" i="5"/>
  <c r="AP162" i="5"/>
  <c r="AO162" i="5"/>
  <c r="AN162" i="5"/>
  <c r="AM162" i="5"/>
  <c r="AL162" i="5"/>
  <c r="AK162" i="5"/>
  <c r="AJ162" i="5"/>
  <c r="AI162" i="5"/>
  <c r="AH162" i="5"/>
  <c r="AG162" i="5"/>
  <c r="AF162" i="5"/>
  <c r="AC162" i="5"/>
  <c r="AB162" i="5"/>
  <c r="AA162" i="5"/>
  <c r="Z162" i="5"/>
  <c r="Y162" i="5"/>
  <c r="X162" i="5"/>
  <c r="W162" i="5"/>
  <c r="V162" i="5"/>
  <c r="U162" i="5"/>
  <c r="T162" i="5"/>
  <c r="S162" i="5"/>
  <c r="C162" i="5"/>
  <c r="B162" i="5"/>
  <c r="BD161" i="5"/>
  <c r="BC161" i="5"/>
  <c r="BB161" i="5"/>
  <c r="BA161" i="5"/>
  <c r="AZ161" i="5"/>
  <c r="AY161" i="5"/>
  <c r="AX161" i="5"/>
  <c r="AW161" i="5"/>
  <c r="AV161" i="5"/>
  <c r="AU161" i="5"/>
  <c r="AT161" i="5"/>
  <c r="AP161" i="5"/>
  <c r="AO161" i="5"/>
  <c r="AN161" i="5"/>
  <c r="AM161" i="5"/>
  <c r="AL161" i="5"/>
  <c r="AK161" i="5"/>
  <c r="AJ161" i="5"/>
  <c r="AI161" i="5"/>
  <c r="AH161" i="5"/>
  <c r="AG161" i="5"/>
  <c r="AF161" i="5"/>
  <c r="AC161" i="5"/>
  <c r="AB161" i="5"/>
  <c r="AA161" i="5"/>
  <c r="Z161" i="5"/>
  <c r="Y161" i="5"/>
  <c r="X161" i="5"/>
  <c r="W161" i="5"/>
  <c r="V161" i="5"/>
  <c r="U161" i="5"/>
  <c r="T161" i="5"/>
  <c r="S161" i="5"/>
  <c r="C161" i="5"/>
  <c r="B161" i="5"/>
  <c r="C160" i="5"/>
  <c r="B160" i="5"/>
  <c r="C159" i="5"/>
  <c r="B159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BE158" i="5" s="1"/>
  <c r="AC158" i="5"/>
  <c r="AB158" i="5"/>
  <c r="AA158" i="5"/>
  <c r="Z158" i="5"/>
  <c r="Y158" i="5"/>
  <c r="X158" i="5"/>
  <c r="W158" i="5"/>
  <c r="V158" i="5"/>
  <c r="U158" i="5"/>
  <c r="T158" i="5"/>
  <c r="S158" i="5"/>
  <c r="R158" i="5"/>
  <c r="C158" i="5"/>
  <c r="B158" i="5"/>
  <c r="BD157" i="5"/>
  <c r="BC157" i="5"/>
  <c r="BB157" i="5"/>
  <c r="BA157" i="5"/>
  <c r="AZ157" i="5"/>
  <c r="AY157" i="5"/>
  <c r="AX157" i="5"/>
  <c r="AX159" i="5" s="1"/>
  <c r="AW157" i="5"/>
  <c r="AW159" i="5" s="1"/>
  <c r="AV157" i="5"/>
  <c r="AU157" i="5"/>
  <c r="AT157" i="5"/>
  <c r="AS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BE157" i="5" s="1"/>
  <c r="AC157" i="5"/>
  <c r="AB157" i="5"/>
  <c r="AA157" i="5"/>
  <c r="Z157" i="5"/>
  <c r="Y157" i="5"/>
  <c r="X157" i="5"/>
  <c r="W157" i="5"/>
  <c r="V157" i="5"/>
  <c r="U157" i="5"/>
  <c r="T157" i="5"/>
  <c r="S157" i="5"/>
  <c r="R157" i="5"/>
  <c r="C157" i="5"/>
  <c r="B157" i="5"/>
  <c r="C156" i="5"/>
  <c r="B156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BE155" i="5" s="1"/>
  <c r="AC155" i="5"/>
  <c r="AB155" i="5"/>
  <c r="AA155" i="5"/>
  <c r="Z155" i="5"/>
  <c r="Y155" i="5"/>
  <c r="X155" i="5"/>
  <c r="W155" i="5"/>
  <c r="V155" i="5"/>
  <c r="U155" i="5"/>
  <c r="T155" i="5"/>
  <c r="S155" i="5"/>
  <c r="R155" i="5"/>
  <c r="C155" i="5"/>
  <c r="B155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BE154" i="5" s="1"/>
  <c r="AC154" i="5"/>
  <c r="AB154" i="5"/>
  <c r="AA154" i="5"/>
  <c r="Z154" i="5"/>
  <c r="Z156" i="5" s="1"/>
  <c r="Y154" i="5"/>
  <c r="X154" i="5"/>
  <c r="W154" i="5"/>
  <c r="V154" i="5"/>
  <c r="U154" i="5"/>
  <c r="T154" i="5"/>
  <c r="S154" i="5"/>
  <c r="R154" i="5"/>
  <c r="C154" i="5"/>
  <c r="B154" i="5"/>
  <c r="C153" i="5"/>
  <c r="B153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BE152" i="5" s="1"/>
  <c r="AC152" i="5"/>
  <c r="AB152" i="5"/>
  <c r="AA152" i="5"/>
  <c r="Z152" i="5"/>
  <c r="Y152" i="5"/>
  <c r="X152" i="5"/>
  <c r="W152" i="5"/>
  <c r="V152" i="5"/>
  <c r="U152" i="5"/>
  <c r="T152" i="5"/>
  <c r="S152" i="5"/>
  <c r="R152" i="5"/>
  <c r="C152" i="5"/>
  <c r="B152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BE151" i="5" s="1"/>
  <c r="AC151" i="5"/>
  <c r="AB151" i="5"/>
  <c r="AA151" i="5"/>
  <c r="Z151" i="5"/>
  <c r="Y151" i="5"/>
  <c r="X151" i="5"/>
  <c r="W151" i="5"/>
  <c r="V151" i="5"/>
  <c r="U151" i="5"/>
  <c r="T151" i="5"/>
  <c r="S151" i="5"/>
  <c r="R151" i="5"/>
  <c r="C151" i="5"/>
  <c r="B151" i="5"/>
  <c r="C150" i="5"/>
  <c r="B150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BE149" i="5" s="1"/>
  <c r="AC149" i="5"/>
  <c r="AB149" i="5"/>
  <c r="AA149" i="5"/>
  <c r="AA150" i="5" s="1"/>
  <c r="Z149" i="5"/>
  <c r="Y149" i="5"/>
  <c r="X149" i="5"/>
  <c r="W149" i="5"/>
  <c r="V149" i="5"/>
  <c r="U149" i="5"/>
  <c r="T149" i="5"/>
  <c r="S149" i="5"/>
  <c r="R149" i="5"/>
  <c r="C149" i="5"/>
  <c r="B149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BE148" i="5" s="1"/>
  <c r="AC148" i="5"/>
  <c r="AB148" i="5"/>
  <c r="AA148" i="5"/>
  <c r="Z148" i="5"/>
  <c r="Y148" i="5"/>
  <c r="Y150" i="5" s="1"/>
  <c r="X148" i="5"/>
  <c r="W148" i="5"/>
  <c r="V148" i="5"/>
  <c r="U148" i="5"/>
  <c r="T148" i="5"/>
  <c r="S148" i="5"/>
  <c r="R148" i="5"/>
  <c r="C148" i="5"/>
  <c r="B148" i="5"/>
  <c r="C147" i="5"/>
  <c r="B147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BE146" i="5" s="1"/>
  <c r="AC146" i="5"/>
  <c r="AB146" i="5"/>
  <c r="AA146" i="5"/>
  <c r="Z146" i="5"/>
  <c r="Y146" i="5"/>
  <c r="X146" i="5"/>
  <c r="W146" i="5"/>
  <c r="V146" i="5"/>
  <c r="U146" i="5"/>
  <c r="T146" i="5"/>
  <c r="S146" i="5"/>
  <c r="R146" i="5"/>
  <c r="C146" i="5"/>
  <c r="B146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BE145" i="5" s="1"/>
  <c r="AC145" i="5"/>
  <c r="AB145" i="5"/>
  <c r="AA145" i="5"/>
  <c r="Z145" i="5"/>
  <c r="Y145" i="5"/>
  <c r="X145" i="5"/>
  <c r="W145" i="5"/>
  <c r="W147" i="5" s="1"/>
  <c r="V145" i="5"/>
  <c r="U145" i="5"/>
  <c r="T145" i="5"/>
  <c r="S145" i="5"/>
  <c r="R145" i="5"/>
  <c r="C145" i="5"/>
  <c r="B145" i="5"/>
  <c r="C144" i="5"/>
  <c r="B144" i="5"/>
  <c r="C143" i="5"/>
  <c r="B143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BE142" i="5" s="1"/>
  <c r="AC142" i="5"/>
  <c r="AB142" i="5"/>
  <c r="AA142" i="5"/>
  <c r="Z142" i="5"/>
  <c r="Y142" i="5"/>
  <c r="X142" i="5"/>
  <c r="W142" i="5"/>
  <c r="V142" i="5"/>
  <c r="U142" i="5"/>
  <c r="T142" i="5"/>
  <c r="S142" i="5"/>
  <c r="R142" i="5"/>
  <c r="C142" i="5"/>
  <c r="B142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BE141" i="5" s="1"/>
  <c r="AC141" i="5"/>
  <c r="AB141" i="5"/>
  <c r="AA141" i="5"/>
  <c r="Z141" i="5"/>
  <c r="Y141" i="5"/>
  <c r="X141" i="5"/>
  <c r="W141" i="5"/>
  <c r="V141" i="5"/>
  <c r="U141" i="5"/>
  <c r="T141" i="5"/>
  <c r="S141" i="5"/>
  <c r="R141" i="5"/>
  <c r="C141" i="5"/>
  <c r="B141" i="5"/>
  <c r="C140" i="5"/>
  <c r="B140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BE139" i="5" s="1"/>
  <c r="AC139" i="5"/>
  <c r="AB139" i="5"/>
  <c r="AA139" i="5"/>
  <c r="Z139" i="5"/>
  <c r="Y139" i="5"/>
  <c r="X139" i="5"/>
  <c r="W139" i="5"/>
  <c r="V139" i="5"/>
  <c r="U139" i="5"/>
  <c r="T139" i="5"/>
  <c r="S139" i="5"/>
  <c r="R139" i="5"/>
  <c r="C139" i="5"/>
  <c r="B139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BE138" i="5" s="1"/>
  <c r="AC138" i="5"/>
  <c r="AB138" i="5"/>
  <c r="AA138" i="5"/>
  <c r="Z138" i="5"/>
  <c r="Y138" i="5"/>
  <c r="X138" i="5"/>
  <c r="W138" i="5"/>
  <c r="V138" i="5"/>
  <c r="U138" i="5"/>
  <c r="T138" i="5"/>
  <c r="S138" i="5"/>
  <c r="R138" i="5"/>
  <c r="C138" i="5"/>
  <c r="B138" i="5"/>
  <c r="C137" i="5"/>
  <c r="B137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BE136" i="5" s="1"/>
  <c r="AC136" i="5"/>
  <c r="AB136" i="5"/>
  <c r="AA136" i="5"/>
  <c r="Z136" i="5"/>
  <c r="Y136" i="5"/>
  <c r="X136" i="5"/>
  <c r="W136" i="5"/>
  <c r="V136" i="5"/>
  <c r="U136" i="5"/>
  <c r="T136" i="5"/>
  <c r="S136" i="5"/>
  <c r="R136" i="5"/>
  <c r="C136" i="5"/>
  <c r="B136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BE135" i="5" s="1"/>
  <c r="AC135" i="5"/>
  <c r="AB135" i="5"/>
  <c r="AA135" i="5"/>
  <c r="Z135" i="5"/>
  <c r="Y135" i="5"/>
  <c r="X135" i="5"/>
  <c r="W135" i="5"/>
  <c r="V135" i="5"/>
  <c r="U135" i="5"/>
  <c r="T135" i="5"/>
  <c r="S135" i="5"/>
  <c r="R135" i="5"/>
  <c r="C135" i="5"/>
  <c r="B135" i="5"/>
  <c r="C134" i="5"/>
  <c r="B134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BE133" i="5" s="1"/>
  <c r="AC133" i="5"/>
  <c r="AB133" i="5"/>
  <c r="AA133" i="5"/>
  <c r="Z133" i="5"/>
  <c r="Y133" i="5"/>
  <c r="X133" i="5"/>
  <c r="X134" i="5" s="1"/>
  <c r="W133" i="5"/>
  <c r="V133" i="5"/>
  <c r="U133" i="5"/>
  <c r="T133" i="5"/>
  <c r="S133" i="5"/>
  <c r="R133" i="5"/>
  <c r="C133" i="5"/>
  <c r="B133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BE132" i="5" s="1"/>
  <c r="AC132" i="5"/>
  <c r="AB132" i="5"/>
  <c r="AA132" i="5"/>
  <c r="Z132" i="5"/>
  <c r="Y132" i="5"/>
  <c r="X132" i="5"/>
  <c r="W132" i="5"/>
  <c r="V132" i="5"/>
  <c r="U132" i="5"/>
  <c r="T132" i="5"/>
  <c r="S132" i="5"/>
  <c r="R132" i="5"/>
  <c r="C132" i="5"/>
  <c r="B132" i="5"/>
  <c r="C129" i="5"/>
  <c r="B129" i="5"/>
  <c r="C128" i="5"/>
  <c r="B128" i="5"/>
  <c r="C127" i="5"/>
  <c r="B127" i="5"/>
  <c r="BD126" i="5"/>
  <c r="BC126" i="5"/>
  <c r="BB126" i="5"/>
  <c r="BA126" i="5"/>
  <c r="AZ126" i="5"/>
  <c r="AY126" i="5"/>
  <c r="AX126" i="5"/>
  <c r="AW126" i="5"/>
  <c r="AV126" i="5"/>
  <c r="AU126" i="5"/>
  <c r="AT126" i="5"/>
  <c r="AP126" i="5"/>
  <c r="AO126" i="5"/>
  <c r="AN126" i="5"/>
  <c r="AM126" i="5"/>
  <c r="AL126" i="5"/>
  <c r="AK126" i="5"/>
  <c r="AJ126" i="5"/>
  <c r="AI126" i="5"/>
  <c r="AH126" i="5"/>
  <c r="AG126" i="5"/>
  <c r="AF126" i="5"/>
  <c r="AC126" i="5"/>
  <c r="AB126" i="5"/>
  <c r="AA126" i="5"/>
  <c r="AA127" i="5" s="1"/>
  <c r="Z126" i="5"/>
  <c r="Y126" i="5"/>
  <c r="X126" i="5"/>
  <c r="W126" i="5"/>
  <c r="V126" i="5"/>
  <c r="U126" i="5"/>
  <c r="T126" i="5"/>
  <c r="S126" i="5"/>
  <c r="C126" i="5"/>
  <c r="B126" i="5"/>
  <c r="BD125" i="5"/>
  <c r="BC125" i="5"/>
  <c r="BB125" i="5"/>
  <c r="BA125" i="5"/>
  <c r="AZ125" i="5"/>
  <c r="AY125" i="5"/>
  <c r="AX125" i="5"/>
  <c r="AW125" i="5"/>
  <c r="AV125" i="5"/>
  <c r="AU125" i="5"/>
  <c r="AT125" i="5"/>
  <c r="AP125" i="5"/>
  <c r="AO125" i="5"/>
  <c r="AN125" i="5"/>
  <c r="AN182" i="5" s="1"/>
  <c r="AM125" i="5"/>
  <c r="AL125" i="5"/>
  <c r="AL127" i="5" s="1"/>
  <c r="AK125" i="5"/>
  <c r="AK127" i="5" s="1"/>
  <c r="AJ125" i="5"/>
  <c r="AI125" i="5"/>
  <c r="AI127" i="5" s="1"/>
  <c r="AH125" i="5"/>
  <c r="AG125" i="5"/>
  <c r="AF125" i="5"/>
  <c r="AC125" i="5"/>
  <c r="AB125" i="5"/>
  <c r="AA125" i="5"/>
  <c r="Z125" i="5"/>
  <c r="Y125" i="5"/>
  <c r="X125" i="5"/>
  <c r="W125" i="5"/>
  <c r="V125" i="5"/>
  <c r="U125" i="5"/>
  <c r="T125" i="5"/>
  <c r="S125" i="5"/>
  <c r="S127" i="5" s="1"/>
  <c r="C125" i="5"/>
  <c r="B125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BE124" i="5" s="1"/>
  <c r="AC124" i="5"/>
  <c r="AB124" i="5"/>
  <c r="AA124" i="5"/>
  <c r="Z124" i="5"/>
  <c r="Y124" i="5"/>
  <c r="X124" i="5"/>
  <c r="W124" i="5"/>
  <c r="V124" i="5"/>
  <c r="U124" i="5"/>
  <c r="T124" i="5"/>
  <c r="S124" i="5"/>
  <c r="R124" i="5"/>
  <c r="C124" i="5"/>
  <c r="B124" i="5"/>
  <c r="AD123" i="5"/>
  <c r="Q123" i="5"/>
  <c r="C123" i="5"/>
  <c r="B123" i="5"/>
  <c r="AD122" i="5"/>
  <c r="Q122" i="5"/>
  <c r="C122" i="5"/>
  <c r="B122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BE121" i="5" s="1"/>
  <c r="AC121" i="5"/>
  <c r="AB121" i="5"/>
  <c r="AA121" i="5"/>
  <c r="Z121" i="5"/>
  <c r="Y121" i="5"/>
  <c r="X121" i="5"/>
  <c r="W121" i="5"/>
  <c r="V121" i="5"/>
  <c r="U121" i="5"/>
  <c r="T121" i="5"/>
  <c r="S121" i="5"/>
  <c r="R121" i="5"/>
  <c r="C121" i="5"/>
  <c r="B121" i="5"/>
  <c r="AD120" i="5"/>
  <c r="Q120" i="5"/>
  <c r="C120" i="5"/>
  <c r="B120" i="5"/>
  <c r="AD119" i="5"/>
  <c r="Q119" i="5"/>
  <c r="C119" i="5"/>
  <c r="B119" i="5"/>
  <c r="C118" i="5"/>
  <c r="B118" i="5"/>
  <c r="BD117" i="5"/>
  <c r="BD118" i="5" s="1"/>
  <c r="BC117" i="5"/>
  <c r="BC118" i="5" s="1"/>
  <c r="BB117" i="5"/>
  <c r="BB118" i="5" s="1"/>
  <c r="BA117" i="5"/>
  <c r="BA118" i="5" s="1"/>
  <c r="AZ117" i="5"/>
  <c r="AZ118" i="5" s="1"/>
  <c r="AY117" i="5"/>
  <c r="AY118" i="5" s="1"/>
  <c r="AX117" i="5"/>
  <c r="AX118" i="5" s="1"/>
  <c r="AW117" i="5"/>
  <c r="AW118" i="5" s="1"/>
  <c r="AV117" i="5"/>
  <c r="AV118" i="5" s="1"/>
  <c r="AU117" i="5"/>
  <c r="AU118" i="5" s="1"/>
  <c r="AT117" i="5"/>
  <c r="AT118" i="5" s="1"/>
  <c r="AS117" i="5"/>
  <c r="AS118" i="5" s="1"/>
  <c r="AP117" i="5"/>
  <c r="AP118" i="5" s="1"/>
  <c r="AO117" i="5"/>
  <c r="AO118" i="5" s="1"/>
  <c r="AN117" i="5"/>
  <c r="AN118" i="5" s="1"/>
  <c r="AM117" i="5"/>
  <c r="AM118" i="5" s="1"/>
  <c r="AL117" i="5"/>
  <c r="AL118" i="5" s="1"/>
  <c r="AK117" i="5"/>
  <c r="AK118" i="5" s="1"/>
  <c r="AJ117" i="5"/>
  <c r="AJ118" i="5" s="1"/>
  <c r="AI117" i="5"/>
  <c r="AI118" i="5" s="1"/>
  <c r="AH117" i="5"/>
  <c r="AH118" i="5" s="1"/>
  <c r="AG117" i="5"/>
  <c r="AG118" i="5" s="1"/>
  <c r="AF117" i="5"/>
  <c r="AF118" i="5" s="1"/>
  <c r="AE117" i="5"/>
  <c r="AC117" i="5"/>
  <c r="AC118" i="5" s="1"/>
  <c r="AB117" i="5"/>
  <c r="AB118" i="5" s="1"/>
  <c r="AA117" i="5"/>
  <c r="AA118" i="5" s="1"/>
  <c r="Z117" i="5"/>
  <c r="Z118" i="5" s="1"/>
  <c r="Y117" i="5"/>
  <c r="Y118" i="5" s="1"/>
  <c r="X117" i="5"/>
  <c r="X118" i="5" s="1"/>
  <c r="W117" i="5"/>
  <c r="W118" i="5" s="1"/>
  <c r="V117" i="5"/>
  <c r="V118" i="5" s="1"/>
  <c r="U117" i="5"/>
  <c r="U118" i="5" s="1"/>
  <c r="T117" i="5"/>
  <c r="T118" i="5" s="1"/>
  <c r="S117" i="5"/>
  <c r="S118" i="5" s="1"/>
  <c r="R117" i="5"/>
  <c r="R118" i="5" s="1"/>
  <c r="C117" i="5"/>
  <c r="B117" i="5"/>
  <c r="AD116" i="5"/>
  <c r="Q116" i="5"/>
  <c r="AQ116" i="5" s="1"/>
  <c r="C116" i="5"/>
  <c r="B116" i="5"/>
  <c r="AD115" i="5"/>
  <c r="Q115" i="5"/>
  <c r="C115" i="5"/>
  <c r="B115" i="5"/>
  <c r="C114" i="5"/>
  <c r="B114" i="5"/>
  <c r="C113" i="5"/>
  <c r="B113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BE112" i="5" s="1"/>
  <c r="AC112" i="5"/>
  <c r="AB112" i="5"/>
  <c r="AA112" i="5"/>
  <c r="Z112" i="5"/>
  <c r="Y112" i="5"/>
  <c r="X112" i="5"/>
  <c r="W112" i="5"/>
  <c r="V112" i="5"/>
  <c r="U112" i="5"/>
  <c r="T112" i="5"/>
  <c r="S112" i="5"/>
  <c r="R112" i="5"/>
  <c r="C112" i="5"/>
  <c r="B112" i="5"/>
  <c r="AD111" i="5"/>
  <c r="Q111" i="5"/>
  <c r="C111" i="5"/>
  <c r="B111" i="5"/>
  <c r="AD110" i="5"/>
  <c r="Q110" i="5"/>
  <c r="C110" i="5"/>
  <c r="B110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BE109" i="5" s="1"/>
  <c r="AC109" i="5"/>
  <c r="AB109" i="5"/>
  <c r="AA109" i="5"/>
  <c r="Z109" i="5"/>
  <c r="Y109" i="5"/>
  <c r="X109" i="5"/>
  <c r="W109" i="5"/>
  <c r="V109" i="5"/>
  <c r="U109" i="5"/>
  <c r="T109" i="5"/>
  <c r="S109" i="5"/>
  <c r="R109" i="5"/>
  <c r="C109" i="5"/>
  <c r="B109" i="5"/>
  <c r="AD108" i="5"/>
  <c r="Q108" i="5"/>
  <c r="C108" i="5"/>
  <c r="B108" i="5"/>
  <c r="AD107" i="5"/>
  <c r="Q107" i="5"/>
  <c r="C107" i="5"/>
  <c r="B107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BE106" i="5" s="1"/>
  <c r="AC106" i="5"/>
  <c r="AB106" i="5"/>
  <c r="AA106" i="5"/>
  <c r="Z106" i="5"/>
  <c r="Y106" i="5"/>
  <c r="X106" i="5"/>
  <c r="W106" i="5"/>
  <c r="V106" i="5"/>
  <c r="U106" i="5"/>
  <c r="T106" i="5"/>
  <c r="S106" i="5"/>
  <c r="R106" i="5"/>
  <c r="C106" i="5"/>
  <c r="B106" i="5"/>
  <c r="AD105" i="5"/>
  <c r="Q105" i="5"/>
  <c r="C105" i="5"/>
  <c r="B105" i="5"/>
  <c r="AD104" i="5"/>
  <c r="Q104" i="5"/>
  <c r="C104" i="5"/>
  <c r="B104" i="5"/>
  <c r="C103" i="5"/>
  <c r="B103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BE102" i="5" s="1"/>
  <c r="AC102" i="5"/>
  <c r="AB102" i="5"/>
  <c r="AA102" i="5"/>
  <c r="Z102" i="5"/>
  <c r="Y102" i="5"/>
  <c r="X102" i="5"/>
  <c r="W102" i="5"/>
  <c r="V102" i="5"/>
  <c r="U102" i="5"/>
  <c r="T102" i="5"/>
  <c r="S102" i="5"/>
  <c r="R102" i="5"/>
  <c r="C102" i="5"/>
  <c r="B102" i="5"/>
  <c r="AD101" i="5"/>
  <c r="Q101" i="5"/>
  <c r="C101" i="5"/>
  <c r="B101" i="5"/>
  <c r="AD100" i="5"/>
  <c r="Q100" i="5"/>
  <c r="C100" i="5"/>
  <c r="B100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BE99" i="5" s="1"/>
  <c r="AC99" i="5"/>
  <c r="AB99" i="5"/>
  <c r="AA99" i="5"/>
  <c r="Z99" i="5"/>
  <c r="Y99" i="5"/>
  <c r="X99" i="5"/>
  <c r="W99" i="5"/>
  <c r="V99" i="5"/>
  <c r="U99" i="5"/>
  <c r="T99" i="5"/>
  <c r="S99" i="5"/>
  <c r="R99" i="5"/>
  <c r="C99" i="5"/>
  <c r="B99" i="5"/>
  <c r="AD98" i="5"/>
  <c r="Q98" i="5"/>
  <c r="C98" i="5"/>
  <c r="B98" i="5"/>
  <c r="AD97" i="5"/>
  <c r="Q97" i="5"/>
  <c r="C97" i="5"/>
  <c r="B97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BE96" i="5" s="1"/>
  <c r="AC96" i="5"/>
  <c r="AB96" i="5"/>
  <c r="AA96" i="5"/>
  <c r="Z96" i="5"/>
  <c r="Y96" i="5"/>
  <c r="X96" i="5"/>
  <c r="W96" i="5"/>
  <c r="V96" i="5"/>
  <c r="U96" i="5"/>
  <c r="T96" i="5"/>
  <c r="S96" i="5"/>
  <c r="R96" i="5"/>
  <c r="C96" i="5"/>
  <c r="B96" i="5"/>
  <c r="AD95" i="5"/>
  <c r="Q95" i="5"/>
  <c r="C95" i="5"/>
  <c r="B95" i="5"/>
  <c r="AD94" i="5"/>
  <c r="Q94" i="5"/>
  <c r="C94" i="5"/>
  <c r="B94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BE93" i="5" s="1"/>
  <c r="AC93" i="5"/>
  <c r="AB93" i="5"/>
  <c r="AA93" i="5"/>
  <c r="Z93" i="5"/>
  <c r="Y93" i="5"/>
  <c r="X93" i="5"/>
  <c r="W93" i="5"/>
  <c r="V93" i="5"/>
  <c r="U93" i="5"/>
  <c r="T93" i="5"/>
  <c r="S93" i="5"/>
  <c r="R93" i="5"/>
  <c r="C93" i="5"/>
  <c r="B93" i="5"/>
  <c r="AD92" i="5"/>
  <c r="Q92" i="5"/>
  <c r="C92" i="5"/>
  <c r="B92" i="5"/>
  <c r="AD91" i="5"/>
  <c r="Q91" i="5"/>
  <c r="C91" i="5"/>
  <c r="B91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BE90" i="5" s="1"/>
  <c r="AC90" i="5"/>
  <c r="AB90" i="5"/>
  <c r="AA90" i="5"/>
  <c r="Z90" i="5"/>
  <c r="Y90" i="5"/>
  <c r="X90" i="5"/>
  <c r="W90" i="5"/>
  <c r="V90" i="5"/>
  <c r="U90" i="5"/>
  <c r="T90" i="5"/>
  <c r="S90" i="5"/>
  <c r="R90" i="5"/>
  <c r="C90" i="5"/>
  <c r="B90" i="5"/>
  <c r="AD89" i="5"/>
  <c r="Q89" i="5"/>
  <c r="C89" i="5"/>
  <c r="B89" i="5"/>
  <c r="AD88" i="5"/>
  <c r="Q88" i="5"/>
  <c r="C88" i="5"/>
  <c r="B88" i="5"/>
  <c r="C87" i="5"/>
  <c r="B87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BE86" i="5" s="1"/>
  <c r="AC86" i="5"/>
  <c r="AB86" i="5"/>
  <c r="AA86" i="5"/>
  <c r="Z86" i="5"/>
  <c r="Y86" i="5"/>
  <c r="X86" i="5"/>
  <c r="W86" i="5"/>
  <c r="V86" i="5"/>
  <c r="U86" i="5"/>
  <c r="T86" i="5"/>
  <c r="S86" i="5"/>
  <c r="R86" i="5"/>
  <c r="C86" i="5"/>
  <c r="B86" i="5"/>
  <c r="AD85" i="5"/>
  <c r="Q85" i="5"/>
  <c r="AQ85" i="5" s="1"/>
  <c r="C85" i="5"/>
  <c r="B85" i="5"/>
  <c r="AD84" i="5"/>
  <c r="Q84" i="5"/>
  <c r="C84" i="5"/>
  <c r="B84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BE83" i="5" s="1"/>
  <c r="AC83" i="5"/>
  <c r="AB83" i="5"/>
  <c r="AA83" i="5"/>
  <c r="Z83" i="5"/>
  <c r="Y83" i="5"/>
  <c r="X83" i="5"/>
  <c r="W83" i="5"/>
  <c r="V83" i="5"/>
  <c r="U83" i="5"/>
  <c r="T83" i="5"/>
  <c r="S83" i="5"/>
  <c r="R83" i="5"/>
  <c r="C83" i="5"/>
  <c r="B83" i="5"/>
  <c r="AD82" i="5"/>
  <c r="Q82" i="5"/>
  <c r="C82" i="5"/>
  <c r="B82" i="5"/>
  <c r="AD81" i="5"/>
  <c r="Q81" i="5"/>
  <c r="C81" i="5"/>
  <c r="B81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BE80" i="5" s="1"/>
  <c r="AC80" i="5"/>
  <c r="AB80" i="5"/>
  <c r="AA80" i="5"/>
  <c r="Z80" i="5"/>
  <c r="Y80" i="5"/>
  <c r="X80" i="5"/>
  <c r="W80" i="5"/>
  <c r="V80" i="5"/>
  <c r="U80" i="5"/>
  <c r="T80" i="5"/>
  <c r="S80" i="5"/>
  <c r="R80" i="5"/>
  <c r="C80" i="5"/>
  <c r="B80" i="5"/>
  <c r="AD79" i="5"/>
  <c r="Q79" i="5"/>
  <c r="C79" i="5"/>
  <c r="B79" i="5"/>
  <c r="AD78" i="5"/>
  <c r="Q78" i="5"/>
  <c r="C78" i="5"/>
  <c r="B78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BE77" i="5" s="1"/>
  <c r="AC77" i="5"/>
  <c r="AB77" i="5"/>
  <c r="AA77" i="5"/>
  <c r="Z77" i="5"/>
  <c r="Y77" i="5"/>
  <c r="X77" i="5"/>
  <c r="W77" i="5"/>
  <c r="V77" i="5"/>
  <c r="U77" i="5"/>
  <c r="T77" i="5"/>
  <c r="S77" i="5"/>
  <c r="R77" i="5"/>
  <c r="C77" i="5"/>
  <c r="B77" i="5"/>
  <c r="AD76" i="5"/>
  <c r="Q76" i="5"/>
  <c r="AQ76" i="5" s="1"/>
  <c r="C76" i="5"/>
  <c r="B76" i="5"/>
  <c r="AD75" i="5"/>
  <c r="Q75" i="5"/>
  <c r="C75" i="5"/>
  <c r="B75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C67" i="5"/>
  <c r="AB67" i="5"/>
  <c r="AA67" i="5"/>
  <c r="Z67" i="5"/>
  <c r="Y67" i="5"/>
  <c r="X67" i="5"/>
  <c r="W67" i="5"/>
  <c r="V67" i="5"/>
  <c r="U67" i="5"/>
  <c r="T67" i="5"/>
  <c r="S67" i="5"/>
  <c r="R67" i="5"/>
  <c r="BD63" i="5"/>
  <c r="BD183" i="5" s="1"/>
  <c r="BC63" i="5"/>
  <c r="BB63" i="5"/>
  <c r="BA63" i="5"/>
  <c r="AZ63" i="5"/>
  <c r="AY63" i="5"/>
  <c r="AX63" i="5"/>
  <c r="AW63" i="5"/>
  <c r="AV63" i="5"/>
  <c r="AU63" i="5"/>
  <c r="AT63" i="5"/>
  <c r="AP63" i="5"/>
  <c r="AO63" i="5"/>
  <c r="AN63" i="5"/>
  <c r="AN183" i="5" s="1"/>
  <c r="AM63" i="5"/>
  <c r="AM183" i="5" s="1"/>
  <c r="AL63" i="5"/>
  <c r="AL183" i="5" s="1"/>
  <c r="AK63" i="5"/>
  <c r="AJ63" i="5"/>
  <c r="AJ183" i="5" s="1"/>
  <c r="AI63" i="5"/>
  <c r="AI183" i="5" s="1"/>
  <c r="AH63" i="5"/>
  <c r="AH183" i="5" s="1"/>
  <c r="AG63" i="5"/>
  <c r="AF63" i="5"/>
  <c r="AC63" i="5"/>
  <c r="AB63" i="5"/>
  <c r="AA63" i="5"/>
  <c r="Z63" i="5"/>
  <c r="Y63" i="5"/>
  <c r="X63" i="5"/>
  <c r="W63" i="5"/>
  <c r="V63" i="5"/>
  <c r="R63" i="5" s="1"/>
  <c r="R183" i="5" s="1"/>
  <c r="U63" i="5"/>
  <c r="T63" i="5"/>
  <c r="S63" i="5"/>
  <c r="BD62" i="5"/>
  <c r="BC62" i="5"/>
  <c r="BB62" i="5"/>
  <c r="BA62" i="5"/>
  <c r="BA182" i="5" s="1"/>
  <c r="AZ62" i="5"/>
  <c r="AZ182" i="5" s="1"/>
  <c r="AY62" i="5"/>
  <c r="AY64" i="5" s="1"/>
  <c r="AX62" i="5"/>
  <c r="AW62" i="5"/>
  <c r="AV62" i="5"/>
  <c r="AU62" i="5"/>
  <c r="AT62" i="5"/>
  <c r="AS62" i="5"/>
  <c r="AP62" i="5"/>
  <c r="AO62" i="5"/>
  <c r="AN62" i="5"/>
  <c r="AM62" i="5"/>
  <c r="AL62" i="5"/>
  <c r="AK62" i="5"/>
  <c r="AJ62" i="5"/>
  <c r="AI62" i="5"/>
  <c r="AE62" i="5" s="1"/>
  <c r="AH62" i="5"/>
  <c r="AG62" i="5"/>
  <c r="AF62" i="5"/>
  <c r="AF182" i="5" s="1"/>
  <c r="AC62" i="5"/>
  <c r="AC182" i="5" s="1"/>
  <c r="AB62" i="5"/>
  <c r="AB64" i="5" s="1"/>
  <c r="AA62" i="5"/>
  <c r="Z62" i="5"/>
  <c r="Z64" i="5" s="1"/>
  <c r="Y62" i="5"/>
  <c r="X62" i="5"/>
  <c r="W62" i="5"/>
  <c r="V62" i="5"/>
  <c r="U62" i="5"/>
  <c r="T62" i="5"/>
  <c r="S62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C61" i="5"/>
  <c r="AB61" i="5"/>
  <c r="AA61" i="5"/>
  <c r="Z61" i="5"/>
  <c r="Y61" i="5"/>
  <c r="X61" i="5"/>
  <c r="W61" i="5"/>
  <c r="V61" i="5"/>
  <c r="U61" i="5"/>
  <c r="T61" i="5"/>
  <c r="S61" i="5"/>
  <c r="R61" i="5"/>
  <c r="AD60" i="5"/>
  <c r="Q60" i="5"/>
  <c r="AD59" i="5"/>
  <c r="Q59" i="5"/>
  <c r="BD58" i="5"/>
  <c r="BC58" i="5"/>
  <c r="BB58" i="5"/>
  <c r="BA58" i="5"/>
  <c r="AZ58" i="5"/>
  <c r="AY58" i="5"/>
  <c r="AX58" i="5"/>
  <c r="AW58" i="5"/>
  <c r="AV58" i="5"/>
  <c r="AU58" i="5"/>
  <c r="AT58" i="5"/>
  <c r="AP58" i="5"/>
  <c r="AO58" i="5"/>
  <c r="AN58" i="5"/>
  <c r="AM58" i="5"/>
  <c r="AL58" i="5"/>
  <c r="AK58" i="5"/>
  <c r="AJ58" i="5"/>
  <c r="AI58" i="5"/>
  <c r="AH58" i="5"/>
  <c r="AG58" i="5"/>
  <c r="AF58" i="5"/>
  <c r="AC58" i="5"/>
  <c r="AB58" i="5"/>
  <c r="AA58" i="5"/>
  <c r="Z58" i="5"/>
  <c r="Y58" i="5"/>
  <c r="X58" i="5"/>
  <c r="W58" i="5"/>
  <c r="V58" i="5"/>
  <c r="U58" i="5"/>
  <c r="T58" i="5"/>
  <c r="S58" i="5"/>
  <c r="AS57" i="5"/>
  <c r="AS177" i="5" s="1"/>
  <c r="AE57" i="5"/>
  <c r="AE177" i="5" s="1"/>
  <c r="BE177" i="5" s="1"/>
  <c r="AD57" i="5"/>
  <c r="R57" i="5"/>
  <c r="AS56" i="5"/>
  <c r="AS176" i="5" s="1"/>
  <c r="AE56" i="5"/>
  <c r="AE176" i="5" s="1"/>
  <c r="BE176" i="5" s="1"/>
  <c r="R56" i="5"/>
  <c r="R176" i="5" s="1"/>
  <c r="BD54" i="5"/>
  <c r="BD55" i="5" s="1"/>
  <c r="BC54" i="5"/>
  <c r="BC55" i="5" s="1"/>
  <c r="BB54" i="5"/>
  <c r="BB55" i="5" s="1"/>
  <c r="BA54" i="5"/>
  <c r="BA55" i="5" s="1"/>
  <c r="AZ54" i="5"/>
  <c r="AZ55" i="5" s="1"/>
  <c r="AY54" i="5"/>
  <c r="AY55" i="5" s="1"/>
  <c r="AX54" i="5"/>
  <c r="AX55" i="5" s="1"/>
  <c r="AW54" i="5"/>
  <c r="AW55" i="5" s="1"/>
  <c r="AV54" i="5"/>
  <c r="AV55" i="5" s="1"/>
  <c r="AU54" i="5"/>
  <c r="AU55" i="5" s="1"/>
  <c r="AT54" i="5"/>
  <c r="AT55" i="5" s="1"/>
  <c r="AS54" i="5"/>
  <c r="AS55" i="5" s="1"/>
  <c r="AP54" i="5"/>
  <c r="AP55" i="5" s="1"/>
  <c r="AO54" i="5"/>
  <c r="AO55" i="5" s="1"/>
  <c r="AN54" i="5"/>
  <c r="AN55" i="5" s="1"/>
  <c r="AM54" i="5"/>
  <c r="AM55" i="5" s="1"/>
  <c r="AL54" i="5"/>
  <c r="AL55" i="5" s="1"/>
  <c r="AK54" i="5"/>
  <c r="AK55" i="5" s="1"/>
  <c r="AJ54" i="5"/>
  <c r="AJ55" i="5" s="1"/>
  <c r="AI54" i="5"/>
  <c r="AI55" i="5" s="1"/>
  <c r="AH54" i="5"/>
  <c r="AH55" i="5" s="1"/>
  <c r="AG54" i="5"/>
  <c r="AG55" i="5" s="1"/>
  <c r="AF54" i="5"/>
  <c r="AF55" i="5" s="1"/>
  <c r="AE54" i="5"/>
  <c r="AC54" i="5"/>
  <c r="AC55" i="5" s="1"/>
  <c r="AB54" i="5"/>
  <c r="AB55" i="5" s="1"/>
  <c r="AA54" i="5"/>
  <c r="AA55" i="5" s="1"/>
  <c r="Z54" i="5"/>
  <c r="Z55" i="5" s="1"/>
  <c r="Y54" i="5"/>
  <c r="Y55" i="5" s="1"/>
  <c r="X54" i="5"/>
  <c r="X55" i="5" s="1"/>
  <c r="W54" i="5"/>
  <c r="W55" i="5" s="1"/>
  <c r="V54" i="5"/>
  <c r="V55" i="5" s="1"/>
  <c r="U54" i="5"/>
  <c r="U55" i="5" s="1"/>
  <c r="T54" i="5"/>
  <c r="T55" i="5" s="1"/>
  <c r="S54" i="5"/>
  <c r="S55" i="5" s="1"/>
  <c r="R54" i="5"/>
  <c r="AD53" i="5"/>
  <c r="Q53" i="5"/>
  <c r="AD52" i="5"/>
  <c r="Q52" i="5"/>
  <c r="AS49" i="5"/>
  <c r="AE49" i="5"/>
  <c r="R49" i="5"/>
  <c r="BD48" i="5"/>
  <c r="BD168" i="5" s="1"/>
  <c r="BC48" i="5"/>
  <c r="BC168" i="5" s="1"/>
  <c r="BB48" i="5"/>
  <c r="BA48" i="5"/>
  <c r="BA168" i="5" s="1"/>
  <c r="AZ48" i="5"/>
  <c r="AZ168" i="5" s="1"/>
  <c r="AY48" i="5"/>
  <c r="AY168" i="5" s="1"/>
  <c r="AX48" i="5"/>
  <c r="AX168" i="5" s="1"/>
  <c r="AW48" i="5"/>
  <c r="AW168" i="5" s="1"/>
  <c r="AV48" i="5"/>
  <c r="AV168" i="5" s="1"/>
  <c r="AU48" i="5"/>
  <c r="AU168" i="5" s="1"/>
  <c r="AT48" i="5"/>
  <c r="AT168" i="5" s="1"/>
  <c r="AP48" i="5"/>
  <c r="AP168" i="5" s="1"/>
  <c r="AO48" i="5"/>
  <c r="AO168" i="5" s="1"/>
  <c r="AN48" i="5"/>
  <c r="AN168" i="5" s="1"/>
  <c r="AM48" i="5"/>
  <c r="AM168" i="5" s="1"/>
  <c r="AL48" i="5"/>
  <c r="AL168" i="5" s="1"/>
  <c r="AK48" i="5"/>
  <c r="AK168" i="5" s="1"/>
  <c r="AJ48" i="5"/>
  <c r="AJ168" i="5" s="1"/>
  <c r="AI48" i="5"/>
  <c r="AI168" i="5" s="1"/>
  <c r="AH48" i="5"/>
  <c r="AH168" i="5" s="1"/>
  <c r="AG48" i="5"/>
  <c r="AG168" i="5" s="1"/>
  <c r="AF48" i="5"/>
  <c r="AC48" i="5"/>
  <c r="AC168" i="5" s="1"/>
  <c r="AB48" i="5"/>
  <c r="AB168" i="5" s="1"/>
  <c r="AA48" i="5"/>
  <c r="AA168" i="5" s="1"/>
  <c r="Z48" i="5"/>
  <c r="Z168" i="5" s="1"/>
  <c r="Y48" i="5"/>
  <c r="Y168" i="5" s="1"/>
  <c r="X48" i="5"/>
  <c r="X168" i="5" s="1"/>
  <c r="W48" i="5"/>
  <c r="W168" i="5" s="1"/>
  <c r="V48" i="5"/>
  <c r="V168" i="5" s="1"/>
  <c r="U48" i="5"/>
  <c r="U168" i="5" s="1"/>
  <c r="T48" i="5"/>
  <c r="T168" i="5" s="1"/>
  <c r="S48" i="5"/>
  <c r="S168" i="5" s="1"/>
  <c r="BD47" i="5"/>
  <c r="BD167" i="5" s="1"/>
  <c r="BC47" i="5"/>
  <c r="BB47" i="5"/>
  <c r="BB167" i="5" s="1"/>
  <c r="BA47" i="5"/>
  <c r="AZ47" i="5"/>
  <c r="AY47" i="5"/>
  <c r="AX47" i="5"/>
  <c r="AW47" i="5"/>
  <c r="AV47" i="5"/>
  <c r="AU47" i="5"/>
  <c r="AT47" i="5"/>
  <c r="AP47" i="5"/>
  <c r="AO47" i="5"/>
  <c r="AO167" i="5" s="1"/>
  <c r="AN47" i="5"/>
  <c r="AM47" i="5"/>
  <c r="AL47" i="5"/>
  <c r="AK47" i="5"/>
  <c r="AJ47" i="5"/>
  <c r="AI47" i="5"/>
  <c r="AI167" i="5" s="1"/>
  <c r="AH47" i="5"/>
  <c r="AG47" i="5"/>
  <c r="AF47" i="5"/>
  <c r="AC47" i="5"/>
  <c r="AC167" i="5" s="1"/>
  <c r="AB47" i="5"/>
  <c r="AA47" i="5"/>
  <c r="AA167" i="5" s="1"/>
  <c r="Z47" i="5"/>
  <c r="Z167" i="5" s="1"/>
  <c r="Y47" i="5"/>
  <c r="Y167" i="5" s="1"/>
  <c r="X47" i="5"/>
  <c r="X167" i="5" s="1"/>
  <c r="W47" i="5"/>
  <c r="V47" i="5"/>
  <c r="U47" i="5"/>
  <c r="T47" i="5"/>
  <c r="S47" i="5"/>
  <c r="S167" i="5" s="1"/>
  <c r="BD46" i="5"/>
  <c r="BC46" i="5"/>
  <c r="BB46" i="5"/>
  <c r="BA46" i="5"/>
  <c r="AZ46" i="5"/>
  <c r="AY46" i="5"/>
  <c r="AX46" i="5"/>
  <c r="AW46" i="5"/>
  <c r="AV46" i="5"/>
  <c r="AU46" i="5"/>
  <c r="AT46" i="5"/>
  <c r="AS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C46" i="5"/>
  <c r="AB46" i="5"/>
  <c r="AA46" i="5"/>
  <c r="Z46" i="5"/>
  <c r="Y46" i="5"/>
  <c r="X46" i="5"/>
  <c r="W46" i="5"/>
  <c r="V46" i="5"/>
  <c r="U46" i="5"/>
  <c r="T46" i="5"/>
  <c r="S46" i="5"/>
  <c r="R46" i="5"/>
  <c r="AD45" i="5"/>
  <c r="Q45" i="5"/>
  <c r="AD44" i="5"/>
  <c r="Q44" i="5"/>
  <c r="BD43" i="5"/>
  <c r="BC43" i="5"/>
  <c r="BB43" i="5"/>
  <c r="BA43" i="5"/>
  <c r="AZ43" i="5"/>
  <c r="AY43" i="5"/>
  <c r="AX43" i="5"/>
  <c r="AW43" i="5"/>
  <c r="AV43" i="5"/>
  <c r="AU43" i="5"/>
  <c r="AT43" i="5"/>
  <c r="AP43" i="5"/>
  <c r="AO43" i="5"/>
  <c r="AN43" i="5"/>
  <c r="AM43" i="5"/>
  <c r="AL43" i="5"/>
  <c r="AK43" i="5"/>
  <c r="AJ43" i="5"/>
  <c r="AI43" i="5"/>
  <c r="AH43" i="5"/>
  <c r="AG43" i="5"/>
  <c r="AF43" i="5"/>
  <c r="AC43" i="5"/>
  <c r="AB43" i="5"/>
  <c r="AA43" i="5"/>
  <c r="Z43" i="5"/>
  <c r="Y43" i="5"/>
  <c r="X43" i="5"/>
  <c r="W43" i="5"/>
  <c r="V43" i="5"/>
  <c r="U43" i="5"/>
  <c r="T43" i="5"/>
  <c r="S43" i="5"/>
  <c r="AS42" i="5"/>
  <c r="AS162" i="5" s="1"/>
  <c r="AE42" i="5"/>
  <c r="R42" i="5"/>
  <c r="R43" i="5" s="1"/>
  <c r="AS41" i="5"/>
  <c r="AS161" i="5" s="1"/>
  <c r="AE41" i="5"/>
  <c r="R41" i="5"/>
  <c r="R161" i="5" s="1"/>
  <c r="Q41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C39" i="5"/>
  <c r="AB39" i="5"/>
  <c r="AA39" i="5"/>
  <c r="Z39" i="5"/>
  <c r="Y39" i="5"/>
  <c r="X39" i="5"/>
  <c r="W39" i="5"/>
  <c r="V39" i="5"/>
  <c r="U39" i="5"/>
  <c r="T39" i="5"/>
  <c r="S39" i="5"/>
  <c r="R39" i="5"/>
  <c r="AD38" i="5"/>
  <c r="Q38" i="5"/>
  <c r="AD37" i="5"/>
  <c r="Q37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C36" i="5"/>
  <c r="AB36" i="5"/>
  <c r="AA36" i="5"/>
  <c r="Z36" i="5"/>
  <c r="Y36" i="5"/>
  <c r="X36" i="5"/>
  <c r="W36" i="5"/>
  <c r="V36" i="5"/>
  <c r="U36" i="5"/>
  <c r="T36" i="5"/>
  <c r="S36" i="5"/>
  <c r="R36" i="5"/>
  <c r="AD35" i="5"/>
  <c r="Q35" i="5"/>
  <c r="AD34" i="5"/>
  <c r="Q34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C33" i="5"/>
  <c r="AB33" i="5"/>
  <c r="AA33" i="5"/>
  <c r="Z33" i="5"/>
  <c r="Y33" i="5"/>
  <c r="X33" i="5"/>
  <c r="W33" i="5"/>
  <c r="V33" i="5"/>
  <c r="U33" i="5"/>
  <c r="T33" i="5"/>
  <c r="S33" i="5"/>
  <c r="R33" i="5"/>
  <c r="AD32" i="5"/>
  <c r="Q32" i="5"/>
  <c r="AD31" i="5"/>
  <c r="Q31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C30" i="5"/>
  <c r="AB30" i="5"/>
  <c r="AA30" i="5"/>
  <c r="Z30" i="5"/>
  <c r="Y30" i="5"/>
  <c r="X30" i="5"/>
  <c r="W30" i="5"/>
  <c r="V30" i="5"/>
  <c r="U30" i="5"/>
  <c r="T30" i="5"/>
  <c r="S30" i="5"/>
  <c r="R30" i="5"/>
  <c r="AD29" i="5"/>
  <c r="Q29" i="5"/>
  <c r="AD28" i="5"/>
  <c r="Q28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C27" i="5"/>
  <c r="AB27" i="5"/>
  <c r="AA27" i="5"/>
  <c r="Z27" i="5"/>
  <c r="Y27" i="5"/>
  <c r="X27" i="5"/>
  <c r="W27" i="5"/>
  <c r="V27" i="5"/>
  <c r="U27" i="5"/>
  <c r="T27" i="5"/>
  <c r="S27" i="5"/>
  <c r="R27" i="5"/>
  <c r="AD26" i="5"/>
  <c r="Q26" i="5"/>
  <c r="AD25" i="5"/>
  <c r="Q25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C23" i="5"/>
  <c r="AB23" i="5"/>
  <c r="AA23" i="5"/>
  <c r="Z23" i="5"/>
  <c r="Y23" i="5"/>
  <c r="X23" i="5"/>
  <c r="W23" i="5"/>
  <c r="V23" i="5"/>
  <c r="U23" i="5"/>
  <c r="T23" i="5"/>
  <c r="S23" i="5"/>
  <c r="R23" i="5"/>
  <c r="AD22" i="5"/>
  <c r="Q22" i="5"/>
  <c r="AD21" i="5"/>
  <c r="Q21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C20" i="5"/>
  <c r="AB20" i="5"/>
  <c r="AA20" i="5"/>
  <c r="Z20" i="5"/>
  <c r="Y20" i="5"/>
  <c r="X20" i="5"/>
  <c r="W20" i="5"/>
  <c r="V20" i="5"/>
  <c r="U20" i="5"/>
  <c r="T20" i="5"/>
  <c r="S20" i="5"/>
  <c r="R20" i="5"/>
  <c r="AD19" i="5"/>
  <c r="Q19" i="5"/>
  <c r="AD18" i="5"/>
  <c r="Q18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C17" i="5"/>
  <c r="AB17" i="5"/>
  <c r="AA17" i="5"/>
  <c r="Z17" i="5"/>
  <c r="Y17" i="5"/>
  <c r="X17" i="5"/>
  <c r="W17" i="5"/>
  <c r="V17" i="5"/>
  <c r="U17" i="5"/>
  <c r="T17" i="5"/>
  <c r="S17" i="5"/>
  <c r="R17" i="5"/>
  <c r="AD16" i="5"/>
  <c r="Q16" i="5"/>
  <c r="AD15" i="5"/>
  <c r="Q15" i="5"/>
  <c r="BD14" i="5"/>
  <c r="BC14" i="5"/>
  <c r="BB14" i="5"/>
  <c r="BA14" i="5"/>
  <c r="AZ14" i="5"/>
  <c r="AY14" i="5"/>
  <c r="AX14" i="5"/>
  <c r="AW14" i="5"/>
  <c r="AW24" i="5" s="1"/>
  <c r="AV14" i="5"/>
  <c r="AU14" i="5"/>
  <c r="AT14" i="5"/>
  <c r="AS14" i="5"/>
  <c r="AP14" i="5"/>
  <c r="AO14" i="5"/>
  <c r="AO24" i="5" s="1"/>
  <c r="AN14" i="5"/>
  <c r="AM14" i="5"/>
  <c r="AM24" i="5" s="1"/>
  <c r="AL14" i="5"/>
  <c r="AL24" i="5" s="1"/>
  <c r="AK14" i="5"/>
  <c r="AJ14" i="5"/>
  <c r="AI14" i="5"/>
  <c r="AH14" i="5"/>
  <c r="AG14" i="5"/>
  <c r="AF14" i="5"/>
  <c r="AE14" i="5"/>
  <c r="AC14" i="5"/>
  <c r="AB14" i="5"/>
  <c r="AA14" i="5"/>
  <c r="Z14" i="5"/>
  <c r="Y14" i="5"/>
  <c r="X14" i="5"/>
  <c r="W14" i="5"/>
  <c r="V14" i="5"/>
  <c r="U14" i="5"/>
  <c r="T14" i="5"/>
  <c r="S14" i="5"/>
  <c r="R14" i="5"/>
  <c r="AD13" i="5"/>
  <c r="Q13" i="5"/>
  <c r="AD12" i="5"/>
  <c r="Q12" i="5"/>
  <c r="BE12" i="5" s="1"/>
  <c r="BE72" i="4"/>
  <c r="BE71" i="4"/>
  <c r="BE70" i="4"/>
  <c r="BE68" i="4"/>
  <c r="BL183" i="4"/>
  <c r="BK183" i="4"/>
  <c r="BJ183" i="4"/>
  <c r="BI183" i="4"/>
  <c r="BH183" i="4"/>
  <c r="BR182" i="4"/>
  <c r="BQ182" i="4"/>
  <c r="BP182" i="4"/>
  <c r="BO182" i="4"/>
  <c r="BN182" i="4"/>
  <c r="BM182" i="4"/>
  <c r="BL182" i="4"/>
  <c r="BR180" i="4"/>
  <c r="BQ180" i="4"/>
  <c r="BP180" i="4"/>
  <c r="BO180" i="4"/>
  <c r="BN180" i="4"/>
  <c r="BM180" i="4"/>
  <c r="BL180" i="4"/>
  <c r="BK180" i="4"/>
  <c r="BJ180" i="4"/>
  <c r="BI180" i="4"/>
  <c r="BH180" i="4"/>
  <c r="BG180" i="4"/>
  <c r="BR179" i="4"/>
  <c r="BQ179" i="4"/>
  <c r="BP179" i="4"/>
  <c r="BO179" i="4"/>
  <c r="BN179" i="4"/>
  <c r="BM179" i="4"/>
  <c r="BL179" i="4"/>
  <c r="BK179" i="4"/>
  <c r="BJ179" i="4"/>
  <c r="BI179" i="4"/>
  <c r="BH179" i="4"/>
  <c r="BG179" i="4"/>
  <c r="BR177" i="4"/>
  <c r="BQ177" i="4"/>
  <c r="BP177" i="4"/>
  <c r="BO177" i="4"/>
  <c r="BN177" i="4"/>
  <c r="BM177" i="4"/>
  <c r="BL177" i="4"/>
  <c r="BK177" i="4"/>
  <c r="BJ177" i="4"/>
  <c r="BI177" i="4"/>
  <c r="BH177" i="4"/>
  <c r="BR176" i="4"/>
  <c r="BQ176" i="4"/>
  <c r="BP176" i="4"/>
  <c r="BO176" i="4"/>
  <c r="BN176" i="4"/>
  <c r="BM176" i="4"/>
  <c r="BL176" i="4"/>
  <c r="BK176" i="4"/>
  <c r="BJ176" i="4"/>
  <c r="BI176" i="4"/>
  <c r="BH176" i="4"/>
  <c r="BR173" i="4"/>
  <c r="BQ173" i="4"/>
  <c r="BQ174" i="4" s="1"/>
  <c r="BQ175" i="4" s="1"/>
  <c r="BP173" i="4"/>
  <c r="BO173" i="4"/>
  <c r="BN173" i="4"/>
  <c r="BM173" i="4"/>
  <c r="BL173" i="4"/>
  <c r="BK173" i="4"/>
  <c r="BJ173" i="4"/>
  <c r="BI173" i="4"/>
  <c r="BH173" i="4"/>
  <c r="BG173" i="4"/>
  <c r="BR172" i="4"/>
  <c r="BQ172" i="4"/>
  <c r="BP172" i="4"/>
  <c r="BO172" i="4"/>
  <c r="BN172" i="4"/>
  <c r="BM172" i="4"/>
  <c r="BL172" i="4"/>
  <c r="BK172" i="4"/>
  <c r="BJ172" i="4"/>
  <c r="BI172" i="4"/>
  <c r="BH172" i="4"/>
  <c r="BG172" i="4"/>
  <c r="BR168" i="4"/>
  <c r="BQ168" i="4"/>
  <c r="BP168" i="4"/>
  <c r="BO168" i="4"/>
  <c r="BN168" i="4"/>
  <c r="BG168" i="4"/>
  <c r="BP167" i="4"/>
  <c r="BM167" i="4"/>
  <c r="BL167" i="4"/>
  <c r="BK167" i="4"/>
  <c r="BJ167" i="4"/>
  <c r="BI167" i="4"/>
  <c r="BH167" i="4"/>
  <c r="BG167" i="4"/>
  <c r="BR165" i="4"/>
  <c r="BQ165" i="4"/>
  <c r="BP165" i="4"/>
  <c r="BO165" i="4"/>
  <c r="BN165" i="4"/>
  <c r="BM165" i="4"/>
  <c r="BL165" i="4"/>
  <c r="BK165" i="4"/>
  <c r="BJ165" i="4"/>
  <c r="BI165" i="4"/>
  <c r="BH165" i="4"/>
  <c r="BG165" i="4"/>
  <c r="BR164" i="4"/>
  <c r="BQ164" i="4"/>
  <c r="BP164" i="4"/>
  <c r="BO164" i="4"/>
  <c r="BN164" i="4"/>
  <c r="BM164" i="4"/>
  <c r="BL164" i="4"/>
  <c r="BK164" i="4"/>
  <c r="BJ164" i="4"/>
  <c r="BI164" i="4"/>
  <c r="BH164" i="4"/>
  <c r="BH166" i="4" s="1"/>
  <c r="BG164" i="4"/>
  <c r="BG166" i="4" s="1"/>
  <c r="BR162" i="4"/>
  <c r="BQ162" i="4"/>
  <c r="BP162" i="4"/>
  <c r="BO162" i="4"/>
  <c r="BN162" i="4"/>
  <c r="BM162" i="4"/>
  <c r="BL162" i="4"/>
  <c r="BK162" i="4"/>
  <c r="BJ162" i="4"/>
  <c r="BI162" i="4"/>
  <c r="BH162" i="4"/>
  <c r="BR161" i="4"/>
  <c r="BQ161" i="4"/>
  <c r="BP161" i="4"/>
  <c r="BO161" i="4"/>
  <c r="BN161" i="4"/>
  <c r="BM161" i="4"/>
  <c r="BL161" i="4"/>
  <c r="BK161" i="4"/>
  <c r="BJ161" i="4"/>
  <c r="BI161" i="4"/>
  <c r="BI163" i="4" s="1"/>
  <c r="BH161" i="4"/>
  <c r="BR158" i="4"/>
  <c r="BQ158" i="4"/>
  <c r="BP158" i="4"/>
  <c r="BO158" i="4"/>
  <c r="BN158" i="4"/>
  <c r="BM158" i="4"/>
  <c r="BL158" i="4"/>
  <c r="BK158" i="4"/>
  <c r="BJ158" i="4"/>
  <c r="BI158" i="4"/>
  <c r="BH158" i="4"/>
  <c r="BG158" i="4"/>
  <c r="BR157" i="4"/>
  <c r="BQ157" i="4"/>
  <c r="BP157" i="4"/>
  <c r="BO157" i="4"/>
  <c r="BO159" i="4" s="1"/>
  <c r="BN157" i="4"/>
  <c r="BN159" i="4" s="1"/>
  <c r="BM157" i="4"/>
  <c r="BL157" i="4"/>
  <c r="BK157" i="4"/>
  <c r="BJ157" i="4"/>
  <c r="BI157" i="4"/>
  <c r="BH157" i="4"/>
  <c r="BG157" i="4"/>
  <c r="BR155" i="4"/>
  <c r="BQ155" i="4"/>
  <c r="BP155" i="4"/>
  <c r="BO155" i="4"/>
  <c r="BN155" i="4"/>
  <c r="BM155" i="4"/>
  <c r="BL155" i="4"/>
  <c r="BK155" i="4"/>
  <c r="BJ155" i="4"/>
  <c r="BI155" i="4"/>
  <c r="BH155" i="4"/>
  <c r="BG155" i="4"/>
  <c r="BR154" i="4"/>
  <c r="BQ154" i="4"/>
  <c r="BP154" i="4"/>
  <c r="BO154" i="4"/>
  <c r="BN154" i="4"/>
  <c r="BM154" i="4"/>
  <c r="BL154" i="4"/>
  <c r="BK154" i="4"/>
  <c r="BJ154" i="4"/>
  <c r="BI154" i="4"/>
  <c r="BH154" i="4"/>
  <c r="BG154" i="4"/>
  <c r="BR152" i="4"/>
  <c r="BQ152" i="4"/>
  <c r="BP152" i="4"/>
  <c r="BO152" i="4"/>
  <c r="BN152" i="4"/>
  <c r="BM152" i="4"/>
  <c r="BL152" i="4"/>
  <c r="BK152" i="4"/>
  <c r="BJ152" i="4"/>
  <c r="BI152" i="4"/>
  <c r="BH152" i="4"/>
  <c r="BG152" i="4"/>
  <c r="BR151" i="4"/>
  <c r="BQ151" i="4"/>
  <c r="BP151" i="4"/>
  <c r="BO151" i="4"/>
  <c r="BN151" i="4"/>
  <c r="BM151" i="4"/>
  <c r="BL151" i="4"/>
  <c r="BK151" i="4"/>
  <c r="BJ151" i="4"/>
  <c r="BI151" i="4"/>
  <c r="BH151" i="4"/>
  <c r="BG151" i="4"/>
  <c r="BR149" i="4"/>
  <c r="BQ149" i="4"/>
  <c r="BP149" i="4"/>
  <c r="BO149" i="4"/>
  <c r="BN149" i="4"/>
  <c r="BN150" i="4" s="1"/>
  <c r="BM149" i="4"/>
  <c r="BL149" i="4"/>
  <c r="BK149" i="4"/>
  <c r="BJ149" i="4"/>
  <c r="BI149" i="4"/>
  <c r="BH149" i="4"/>
  <c r="BG149" i="4"/>
  <c r="BR148" i="4"/>
  <c r="BQ148" i="4"/>
  <c r="BP148" i="4"/>
  <c r="BO148" i="4"/>
  <c r="BN148" i="4"/>
  <c r="BM148" i="4"/>
  <c r="BL148" i="4"/>
  <c r="BK148" i="4"/>
  <c r="BJ148" i="4"/>
  <c r="BI148" i="4"/>
  <c r="BH148" i="4"/>
  <c r="BG148" i="4"/>
  <c r="BR146" i="4"/>
  <c r="BQ146" i="4"/>
  <c r="BP146" i="4"/>
  <c r="BO146" i="4"/>
  <c r="BN146" i="4"/>
  <c r="BM146" i="4"/>
  <c r="BL146" i="4"/>
  <c r="BK146" i="4"/>
  <c r="BJ146" i="4"/>
  <c r="BI146" i="4"/>
  <c r="BH146" i="4"/>
  <c r="BG146" i="4"/>
  <c r="BR145" i="4"/>
  <c r="BQ145" i="4"/>
  <c r="BP145" i="4"/>
  <c r="BO145" i="4"/>
  <c r="BN145" i="4"/>
  <c r="BM145" i="4"/>
  <c r="BL145" i="4"/>
  <c r="BK145" i="4"/>
  <c r="BK147" i="4" s="1"/>
  <c r="BJ145" i="4"/>
  <c r="BI145" i="4"/>
  <c r="BI147" i="4" s="1"/>
  <c r="BH145" i="4"/>
  <c r="BH147" i="4" s="1"/>
  <c r="BG145" i="4"/>
  <c r="BR142" i="4"/>
  <c r="BQ142" i="4"/>
  <c r="BP142" i="4"/>
  <c r="BO142" i="4"/>
  <c r="BN142" i="4"/>
  <c r="BM142" i="4"/>
  <c r="BL142" i="4"/>
  <c r="BK142" i="4"/>
  <c r="BJ142" i="4"/>
  <c r="BI142" i="4"/>
  <c r="BH142" i="4"/>
  <c r="BH143" i="4" s="1"/>
  <c r="BG142" i="4"/>
  <c r="BR141" i="4"/>
  <c r="BQ141" i="4"/>
  <c r="BP141" i="4"/>
  <c r="BO141" i="4"/>
  <c r="BO143" i="4" s="1"/>
  <c r="BN141" i="4"/>
  <c r="BM141" i="4"/>
  <c r="BL141" i="4"/>
  <c r="BK141" i="4"/>
  <c r="BJ141" i="4"/>
  <c r="BI141" i="4"/>
  <c r="BH141" i="4"/>
  <c r="BG141" i="4"/>
  <c r="BG143" i="4" s="1"/>
  <c r="BR139" i="4"/>
  <c r="BQ139" i="4"/>
  <c r="BP139" i="4"/>
  <c r="BO139" i="4"/>
  <c r="BN139" i="4"/>
  <c r="BM139" i="4"/>
  <c r="BL139" i="4"/>
  <c r="BK139" i="4"/>
  <c r="BJ139" i="4"/>
  <c r="BI139" i="4"/>
  <c r="BH139" i="4"/>
  <c r="BG139" i="4"/>
  <c r="BR138" i="4"/>
  <c r="BQ138" i="4"/>
  <c r="BP138" i="4"/>
  <c r="BO138" i="4"/>
  <c r="BN138" i="4"/>
  <c r="BM138" i="4"/>
  <c r="BL138" i="4"/>
  <c r="BK138" i="4"/>
  <c r="BJ138" i="4"/>
  <c r="BI138" i="4"/>
  <c r="BH138" i="4"/>
  <c r="BG138" i="4"/>
  <c r="BR136" i="4"/>
  <c r="BQ136" i="4"/>
  <c r="BP136" i="4"/>
  <c r="BO136" i="4"/>
  <c r="BN136" i="4"/>
  <c r="BM136" i="4"/>
  <c r="BL136" i="4"/>
  <c r="BK136" i="4"/>
  <c r="BJ136" i="4"/>
  <c r="BI136" i="4"/>
  <c r="BH136" i="4"/>
  <c r="BG136" i="4"/>
  <c r="BR135" i="4"/>
  <c r="BQ135" i="4"/>
  <c r="BP135" i="4"/>
  <c r="BO135" i="4"/>
  <c r="BN135" i="4"/>
  <c r="BM135" i="4"/>
  <c r="BL135" i="4"/>
  <c r="BK135" i="4"/>
  <c r="BJ135" i="4"/>
  <c r="BI135" i="4"/>
  <c r="BH135" i="4"/>
  <c r="BG135" i="4"/>
  <c r="BR133" i="4"/>
  <c r="BQ133" i="4"/>
  <c r="BP133" i="4"/>
  <c r="BO133" i="4"/>
  <c r="BN133" i="4"/>
  <c r="BM133" i="4"/>
  <c r="BL133" i="4"/>
  <c r="BK133" i="4"/>
  <c r="BJ133" i="4"/>
  <c r="BI133" i="4"/>
  <c r="BH133" i="4"/>
  <c r="BG133" i="4"/>
  <c r="BR132" i="4"/>
  <c r="BQ132" i="4"/>
  <c r="BP132" i="4"/>
  <c r="BO132" i="4"/>
  <c r="BN132" i="4"/>
  <c r="BM132" i="4"/>
  <c r="BL132" i="4"/>
  <c r="BK132" i="4"/>
  <c r="BJ132" i="4"/>
  <c r="BI132" i="4"/>
  <c r="BH132" i="4"/>
  <c r="BG132" i="4"/>
  <c r="BJ127" i="4"/>
  <c r="BR126" i="4"/>
  <c r="BQ126" i="4"/>
  <c r="BP126" i="4"/>
  <c r="BO126" i="4"/>
  <c r="BN126" i="4"/>
  <c r="BM126" i="4"/>
  <c r="BL126" i="4"/>
  <c r="BK126" i="4"/>
  <c r="BJ126" i="4"/>
  <c r="BI126" i="4"/>
  <c r="BH126" i="4"/>
  <c r="BR125" i="4"/>
  <c r="BR127" i="4" s="1"/>
  <c r="BQ125" i="4"/>
  <c r="BP125" i="4"/>
  <c r="BO125" i="4"/>
  <c r="BN125" i="4"/>
  <c r="BM125" i="4"/>
  <c r="BM127" i="4" s="1"/>
  <c r="BL125" i="4"/>
  <c r="BL127" i="4" s="1"/>
  <c r="BK125" i="4"/>
  <c r="BK127" i="4" s="1"/>
  <c r="BJ125" i="4"/>
  <c r="BI125" i="4"/>
  <c r="BI127" i="4" s="1"/>
  <c r="BH125" i="4"/>
  <c r="BH127" i="4" s="1"/>
  <c r="BR124" i="4"/>
  <c r="BQ124" i="4"/>
  <c r="BP124" i="4"/>
  <c r="BO124" i="4"/>
  <c r="BN124" i="4"/>
  <c r="BM124" i="4"/>
  <c r="BL124" i="4"/>
  <c r="BK124" i="4"/>
  <c r="BJ124" i="4"/>
  <c r="BI124" i="4"/>
  <c r="BH124" i="4"/>
  <c r="BG124" i="4"/>
  <c r="BR121" i="4"/>
  <c r="BQ121" i="4"/>
  <c r="BP121" i="4"/>
  <c r="BO121" i="4"/>
  <c r="BN121" i="4"/>
  <c r="BM121" i="4"/>
  <c r="BL121" i="4"/>
  <c r="BK121" i="4"/>
  <c r="BJ121" i="4"/>
  <c r="BI121" i="4"/>
  <c r="BH121" i="4"/>
  <c r="BG121" i="4"/>
  <c r="BR117" i="4"/>
  <c r="BR118" i="4" s="1"/>
  <c r="BQ117" i="4"/>
  <c r="BQ118" i="4" s="1"/>
  <c r="BP117" i="4"/>
  <c r="BP118" i="4" s="1"/>
  <c r="BO117" i="4"/>
  <c r="BO118" i="4" s="1"/>
  <c r="BN117" i="4"/>
  <c r="BN118" i="4" s="1"/>
  <c r="BM117" i="4"/>
  <c r="BM118" i="4" s="1"/>
  <c r="BL117" i="4"/>
  <c r="BL118" i="4" s="1"/>
  <c r="BK117" i="4"/>
  <c r="BK118" i="4" s="1"/>
  <c r="BJ117" i="4"/>
  <c r="BJ118" i="4" s="1"/>
  <c r="BI117" i="4"/>
  <c r="BI118" i="4" s="1"/>
  <c r="BH117" i="4"/>
  <c r="BH118" i="4" s="1"/>
  <c r="BG117" i="4"/>
  <c r="BG118" i="4" s="1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M64" i="4"/>
  <c r="BL64" i="4"/>
  <c r="BI64" i="4"/>
  <c r="BH64" i="4"/>
  <c r="BR63" i="4"/>
  <c r="BR183" i="4" s="1"/>
  <c r="BQ63" i="4"/>
  <c r="BQ183" i="4" s="1"/>
  <c r="BP63" i="4"/>
  <c r="BP183" i="4" s="1"/>
  <c r="BO63" i="4"/>
  <c r="BO183" i="4" s="1"/>
  <c r="BN63" i="4"/>
  <c r="BN183" i="4" s="1"/>
  <c r="BM63" i="4"/>
  <c r="BM183" i="4" s="1"/>
  <c r="BL63" i="4"/>
  <c r="BK63" i="4"/>
  <c r="BJ63" i="4"/>
  <c r="BI63" i="4"/>
  <c r="BH63" i="4"/>
  <c r="BG63" i="4"/>
  <c r="BG183" i="4" s="1"/>
  <c r="BR62" i="4"/>
  <c r="BR64" i="4" s="1"/>
  <c r="BQ62" i="4"/>
  <c r="BP62" i="4"/>
  <c r="BP64" i="4" s="1"/>
  <c r="BO62" i="4"/>
  <c r="BO64" i="4" s="1"/>
  <c r="BN62" i="4"/>
  <c r="BN64" i="4" s="1"/>
  <c r="BM62" i="4"/>
  <c r="BL62" i="4"/>
  <c r="BK62" i="4"/>
  <c r="BJ62" i="4"/>
  <c r="BJ182" i="4" s="1"/>
  <c r="BI62" i="4"/>
  <c r="BI182" i="4" s="1"/>
  <c r="BH62" i="4"/>
  <c r="BH182" i="4" s="1"/>
  <c r="BR61" i="4"/>
  <c r="BQ61" i="4"/>
  <c r="BP61" i="4"/>
  <c r="BO61" i="4"/>
  <c r="BN61" i="4"/>
  <c r="BM61" i="4"/>
  <c r="BL61" i="4"/>
  <c r="BK61" i="4"/>
  <c r="BJ61" i="4"/>
  <c r="BI61" i="4"/>
  <c r="BH61" i="4"/>
  <c r="BG61" i="4"/>
  <c r="BR58" i="4"/>
  <c r="BQ58" i="4"/>
  <c r="BP58" i="4"/>
  <c r="BO58" i="4"/>
  <c r="BN58" i="4"/>
  <c r="BM58" i="4"/>
  <c r="BL58" i="4"/>
  <c r="BK58" i="4"/>
  <c r="BJ58" i="4"/>
  <c r="BI58" i="4"/>
  <c r="BH58" i="4"/>
  <c r="BG57" i="4"/>
  <c r="BG177" i="4" s="1"/>
  <c r="BG56" i="4"/>
  <c r="BG176" i="4" s="1"/>
  <c r="BR54" i="4"/>
  <c r="BR55" i="4" s="1"/>
  <c r="BQ54" i="4"/>
  <c r="BQ55" i="4" s="1"/>
  <c r="BP54" i="4"/>
  <c r="BP55" i="4" s="1"/>
  <c r="BO54" i="4"/>
  <c r="BO55" i="4" s="1"/>
  <c r="BN54" i="4"/>
  <c r="BN55" i="4" s="1"/>
  <c r="BM54" i="4"/>
  <c r="BM55" i="4" s="1"/>
  <c r="BL54" i="4"/>
  <c r="BL55" i="4" s="1"/>
  <c r="BK54" i="4"/>
  <c r="BK55" i="4" s="1"/>
  <c r="BJ54" i="4"/>
  <c r="BJ55" i="4" s="1"/>
  <c r="BI54" i="4"/>
  <c r="BI55" i="4" s="1"/>
  <c r="BH54" i="4"/>
  <c r="BH55" i="4" s="1"/>
  <c r="BG54" i="4"/>
  <c r="BG55" i="4" s="1"/>
  <c r="BR49" i="4"/>
  <c r="BP49" i="4"/>
  <c r="BO49" i="4"/>
  <c r="BN49" i="4"/>
  <c r="BM49" i="4"/>
  <c r="BL49" i="4"/>
  <c r="BI49" i="4"/>
  <c r="BG49" i="4"/>
  <c r="BR48" i="4"/>
  <c r="BQ48" i="4"/>
  <c r="BP48" i="4"/>
  <c r="BO48" i="4"/>
  <c r="BN48" i="4"/>
  <c r="BM48" i="4"/>
  <c r="BM168" i="4" s="1"/>
  <c r="BL48" i="4"/>
  <c r="BL168" i="4" s="1"/>
  <c r="BK48" i="4"/>
  <c r="BJ48" i="4"/>
  <c r="BI48" i="4"/>
  <c r="BI168" i="4" s="1"/>
  <c r="BH48" i="4"/>
  <c r="BH168" i="4" s="1"/>
  <c r="BR47" i="4"/>
  <c r="BR167" i="4" s="1"/>
  <c r="BQ47" i="4"/>
  <c r="BQ167" i="4" s="1"/>
  <c r="BP47" i="4"/>
  <c r="BO47" i="4"/>
  <c r="BO167" i="4" s="1"/>
  <c r="BN47" i="4"/>
  <c r="BN167" i="4" s="1"/>
  <c r="BM47" i="4"/>
  <c r="BL47" i="4"/>
  <c r="BK47" i="4"/>
  <c r="BJ47" i="4"/>
  <c r="BI47" i="4"/>
  <c r="BH47" i="4"/>
  <c r="BH49" i="4" s="1"/>
  <c r="BR46" i="4"/>
  <c r="BQ46" i="4"/>
  <c r="BP46" i="4"/>
  <c r="BO46" i="4"/>
  <c r="BN46" i="4"/>
  <c r="BM46" i="4"/>
  <c r="BL46" i="4"/>
  <c r="BK46" i="4"/>
  <c r="BJ46" i="4"/>
  <c r="BI46" i="4"/>
  <c r="BH46" i="4"/>
  <c r="BG46" i="4"/>
  <c r="BR43" i="4"/>
  <c r="BQ43" i="4"/>
  <c r="BP43" i="4"/>
  <c r="BO43" i="4"/>
  <c r="BN43" i="4"/>
  <c r="BM43" i="4"/>
  <c r="BL43" i="4"/>
  <c r="BK43" i="4"/>
  <c r="BJ43" i="4"/>
  <c r="BI43" i="4"/>
  <c r="BH43" i="4"/>
  <c r="BG42" i="4"/>
  <c r="BG162" i="4" s="1"/>
  <c r="BG41" i="4"/>
  <c r="BG161" i="4" s="1"/>
  <c r="BR39" i="4"/>
  <c r="BQ39" i="4"/>
  <c r="BP39" i="4"/>
  <c r="BO39" i="4"/>
  <c r="BN39" i="4"/>
  <c r="BM39" i="4"/>
  <c r="BL39" i="4"/>
  <c r="BK39" i="4"/>
  <c r="BJ39" i="4"/>
  <c r="BI39" i="4"/>
  <c r="BH39" i="4"/>
  <c r="BG39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AQ72" i="4"/>
  <c r="AQ71" i="4"/>
  <c r="AQ70" i="4"/>
  <c r="AQ68" i="4"/>
  <c r="BD180" i="4"/>
  <c r="BC180" i="4"/>
  <c r="BB180" i="4"/>
  <c r="BA180" i="4"/>
  <c r="AZ180" i="4"/>
  <c r="AY180" i="4"/>
  <c r="AX180" i="4"/>
  <c r="AW180" i="4"/>
  <c r="AV180" i="4"/>
  <c r="AU180" i="4"/>
  <c r="AT180" i="4"/>
  <c r="AS180" i="4"/>
  <c r="BD179" i="4"/>
  <c r="BC179" i="4"/>
  <c r="BB179" i="4"/>
  <c r="BA179" i="4"/>
  <c r="AZ179" i="4"/>
  <c r="AY179" i="4"/>
  <c r="AX179" i="4"/>
  <c r="AW179" i="4"/>
  <c r="AV179" i="4"/>
  <c r="AU179" i="4"/>
  <c r="AT179" i="4"/>
  <c r="AS179" i="4"/>
  <c r="BD177" i="4"/>
  <c r="BC177" i="4"/>
  <c r="BB177" i="4"/>
  <c r="BA177" i="4"/>
  <c r="AZ177" i="4"/>
  <c r="AY177" i="4"/>
  <c r="AX177" i="4"/>
  <c r="AW177" i="4"/>
  <c r="AV177" i="4"/>
  <c r="AU177" i="4"/>
  <c r="AT177" i="4"/>
  <c r="BD176" i="4"/>
  <c r="BC176" i="4"/>
  <c r="BB176" i="4"/>
  <c r="BA176" i="4"/>
  <c r="AZ176" i="4"/>
  <c r="AY176" i="4"/>
  <c r="AX176" i="4"/>
  <c r="AW176" i="4"/>
  <c r="AV176" i="4"/>
  <c r="AU176" i="4"/>
  <c r="AT176" i="4"/>
  <c r="BD173" i="4"/>
  <c r="BC173" i="4"/>
  <c r="BB173" i="4"/>
  <c r="BA173" i="4"/>
  <c r="AZ173" i="4"/>
  <c r="AY173" i="4"/>
  <c r="AX173" i="4"/>
  <c r="AW173" i="4"/>
  <c r="AV173" i="4"/>
  <c r="AU173" i="4"/>
  <c r="AT173" i="4"/>
  <c r="AS173" i="4"/>
  <c r="BD172" i="4"/>
  <c r="BC172" i="4"/>
  <c r="BB172" i="4"/>
  <c r="BA172" i="4"/>
  <c r="AZ172" i="4"/>
  <c r="AY172" i="4"/>
  <c r="AX172" i="4"/>
  <c r="AW172" i="4"/>
  <c r="AV172" i="4"/>
  <c r="AU172" i="4"/>
  <c r="AT172" i="4"/>
  <c r="AS172" i="4"/>
  <c r="BD168" i="4"/>
  <c r="BC168" i="4"/>
  <c r="AS168" i="4"/>
  <c r="AT167" i="4"/>
  <c r="AS167" i="4"/>
  <c r="BD165" i="4"/>
  <c r="BC165" i="4"/>
  <c r="BB165" i="4"/>
  <c r="BA165" i="4"/>
  <c r="AZ165" i="4"/>
  <c r="AY165" i="4"/>
  <c r="AX165" i="4"/>
  <c r="AW165" i="4"/>
  <c r="AV165" i="4"/>
  <c r="AU165" i="4"/>
  <c r="AT165" i="4"/>
  <c r="AS165" i="4"/>
  <c r="BD164" i="4"/>
  <c r="BC164" i="4"/>
  <c r="BB164" i="4"/>
  <c r="BA164" i="4"/>
  <c r="AZ164" i="4"/>
  <c r="AY164" i="4"/>
  <c r="AX164" i="4"/>
  <c r="AW164" i="4"/>
  <c r="AV164" i="4"/>
  <c r="AU164" i="4"/>
  <c r="AT164" i="4"/>
  <c r="AS164" i="4"/>
  <c r="BD162" i="4"/>
  <c r="BC162" i="4"/>
  <c r="BB162" i="4"/>
  <c r="BA162" i="4"/>
  <c r="AZ162" i="4"/>
  <c r="AY162" i="4"/>
  <c r="AX162" i="4"/>
  <c r="AW162" i="4"/>
  <c r="AV162" i="4"/>
  <c r="AU162" i="4"/>
  <c r="AT162" i="4"/>
  <c r="BD161" i="4"/>
  <c r="BC161" i="4"/>
  <c r="BB161" i="4"/>
  <c r="BA161" i="4"/>
  <c r="AZ161" i="4"/>
  <c r="AY161" i="4"/>
  <c r="AX161" i="4"/>
  <c r="AW161" i="4"/>
  <c r="AV161" i="4"/>
  <c r="AU161" i="4"/>
  <c r="AT161" i="4"/>
  <c r="BD158" i="4"/>
  <c r="BC158" i="4"/>
  <c r="BB158" i="4"/>
  <c r="BA158" i="4"/>
  <c r="AZ158" i="4"/>
  <c r="AY158" i="4"/>
  <c r="AX158" i="4"/>
  <c r="AW158" i="4"/>
  <c r="AV158" i="4"/>
  <c r="AU158" i="4"/>
  <c r="AT158" i="4"/>
  <c r="AS158" i="4"/>
  <c r="BD157" i="4"/>
  <c r="BC157" i="4"/>
  <c r="BB157" i="4"/>
  <c r="BA157" i="4"/>
  <c r="AZ157" i="4"/>
  <c r="AY157" i="4"/>
  <c r="AX157" i="4"/>
  <c r="AW157" i="4"/>
  <c r="AV157" i="4"/>
  <c r="AU157" i="4"/>
  <c r="AT157" i="4"/>
  <c r="AS157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BD154" i="4"/>
  <c r="BC154" i="4"/>
  <c r="BB154" i="4"/>
  <c r="BA154" i="4"/>
  <c r="AZ154" i="4"/>
  <c r="AY154" i="4"/>
  <c r="AX154" i="4"/>
  <c r="AW154" i="4"/>
  <c r="AV154" i="4"/>
  <c r="AU154" i="4"/>
  <c r="AT154" i="4"/>
  <c r="AS154" i="4"/>
  <c r="BD152" i="4"/>
  <c r="BC152" i="4"/>
  <c r="BB152" i="4"/>
  <c r="BA152" i="4"/>
  <c r="AZ152" i="4"/>
  <c r="AY152" i="4"/>
  <c r="AX152" i="4"/>
  <c r="AW152" i="4"/>
  <c r="AV152" i="4"/>
  <c r="AU152" i="4"/>
  <c r="AT152" i="4"/>
  <c r="AS152" i="4"/>
  <c r="BD151" i="4"/>
  <c r="BC151" i="4"/>
  <c r="BB151" i="4"/>
  <c r="BA151" i="4"/>
  <c r="AZ151" i="4"/>
  <c r="AY151" i="4"/>
  <c r="AX151" i="4"/>
  <c r="AW151" i="4"/>
  <c r="AV151" i="4"/>
  <c r="AU151" i="4"/>
  <c r="AT151" i="4"/>
  <c r="AS151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BD148" i="4"/>
  <c r="BC148" i="4"/>
  <c r="BB148" i="4"/>
  <c r="BA148" i="4"/>
  <c r="AZ148" i="4"/>
  <c r="AY148" i="4"/>
  <c r="AX148" i="4"/>
  <c r="AW148" i="4"/>
  <c r="AV148" i="4"/>
  <c r="AU148" i="4"/>
  <c r="AT148" i="4"/>
  <c r="AS148" i="4"/>
  <c r="BD146" i="4"/>
  <c r="BC146" i="4"/>
  <c r="BB146" i="4"/>
  <c r="BA146" i="4"/>
  <c r="AZ146" i="4"/>
  <c r="AY146" i="4"/>
  <c r="AX146" i="4"/>
  <c r="AW146" i="4"/>
  <c r="AV146" i="4"/>
  <c r="AU146" i="4"/>
  <c r="AT146" i="4"/>
  <c r="AS146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BD142" i="4"/>
  <c r="BC142" i="4"/>
  <c r="BB142" i="4"/>
  <c r="BA142" i="4"/>
  <c r="AZ142" i="4"/>
  <c r="AY142" i="4"/>
  <c r="AX142" i="4"/>
  <c r="AW142" i="4"/>
  <c r="AV142" i="4"/>
  <c r="AU142" i="4"/>
  <c r="AT142" i="4"/>
  <c r="AS142" i="4"/>
  <c r="BD141" i="4"/>
  <c r="BC141" i="4"/>
  <c r="BB141" i="4"/>
  <c r="BA141" i="4"/>
  <c r="AZ141" i="4"/>
  <c r="AY141" i="4"/>
  <c r="AX141" i="4"/>
  <c r="AW141" i="4"/>
  <c r="AV141" i="4"/>
  <c r="AU141" i="4"/>
  <c r="AT141" i="4"/>
  <c r="AS141" i="4"/>
  <c r="BD139" i="4"/>
  <c r="BC139" i="4"/>
  <c r="BB139" i="4"/>
  <c r="BA139" i="4"/>
  <c r="AZ139" i="4"/>
  <c r="AY139" i="4"/>
  <c r="AX139" i="4"/>
  <c r="AW139" i="4"/>
  <c r="AV139" i="4"/>
  <c r="AU139" i="4"/>
  <c r="AT139" i="4"/>
  <c r="AS139" i="4"/>
  <c r="BD138" i="4"/>
  <c r="BC138" i="4"/>
  <c r="BB138" i="4"/>
  <c r="BA138" i="4"/>
  <c r="AZ138" i="4"/>
  <c r="AY138" i="4"/>
  <c r="AX138" i="4"/>
  <c r="AW138" i="4"/>
  <c r="AV138" i="4"/>
  <c r="AU138" i="4"/>
  <c r="AT138" i="4"/>
  <c r="AS138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BD126" i="4"/>
  <c r="BC126" i="4"/>
  <c r="BB126" i="4"/>
  <c r="BA126" i="4"/>
  <c r="AZ126" i="4"/>
  <c r="AY126" i="4"/>
  <c r="AX126" i="4"/>
  <c r="AW126" i="4"/>
  <c r="AV126" i="4"/>
  <c r="AU126" i="4"/>
  <c r="AT126" i="4"/>
  <c r="AT127" i="4" s="1"/>
  <c r="BD125" i="4"/>
  <c r="BC125" i="4"/>
  <c r="BB125" i="4"/>
  <c r="BB127" i="4" s="1"/>
  <c r="BA125" i="4"/>
  <c r="AZ125" i="4"/>
  <c r="AY125" i="4"/>
  <c r="AX125" i="4"/>
  <c r="AW125" i="4"/>
  <c r="AV125" i="4"/>
  <c r="AU125" i="4"/>
  <c r="AT125" i="4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BD117" i="4"/>
  <c r="BD118" i="4" s="1"/>
  <c r="BC117" i="4"/>
  <c r="BC118" i="4" s="1"/>
  <c r="BB117" i="4"/>
  <c r="BB118" i="4" s="1"/>
  <c r="BA117" i="4"/>
  <c r="BA118" i="4" s="1"/>
  <c r="AZ117" i="4"/>
  <c r="AZ118" i="4" s="1"/>
  <c r="AY117" i="4"/>
  <c r="AY118" i="4" s="1"/>
  <c r="AX117" i="4"/>
  <c r="AX118" i="4" s="1"/>
  <c r="AW117" i="4"/>
  <c r="AW118" i="4" s="1"/>
  <c r="AV117" i="4"/>
  <c r="AV118" i="4" s="1"/>
  <c r="AU117" i="4"/>
  <c r="AU118" i="4" s="1"/>
  <c r="AT117" i="4"/>
  <c r="AT118" i="4" s="1"/>
  <c r="AS117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BD63" i="4"/>
  <c r="BD183" i="4" s="1"/>
  <c r="BC63" i="4"/>
  <c r="BC183" i="4" s="1"/>
  <c r="BB63" i="4"/>
  <c r="BB183" i="4" s="1"/>
  <c r="BA63" i="4"/>
  <c r="BA183" i="4" s="1"/>
  <c r="AZ63" i="4"/>
  <c r="AY63" i="4"/>
  <c r="AX63" i="4"/>
  <c r="AW63" i="4"/>
  <c r="AS63" i="4" s="1"/>
  <c r="AS183" i="4" s="1"/>
  <c r="AV63" i="4"/>
  <c r="AU63" i="4"/>
  <c r="AT63" i="4"/>
  <c r="BD62" i="4"/>
  <c r="BC62" i="4"/>
  <c r="BB62" i="4"/>
  <c r="BA62" i="4"/>
  <c r="AZ62" i="4"/>
  <c r="AY62" i="4"/>
  <c r="AX62" i="4"/>
  <c r="AW62" i="4"/>
  <c r="AS62" i="4" s="1"/>
  <c r="AS182" i="4" s="1"/>
  <c r="AV62" i="4"/>
  <c r="AV182" i="4" s="1"/>
  <c r="AU62" i="4"/>
  <c r="AU182" i="4" s="1"/>
  <c r="AT62" i="4"/>
  <c r="AT182" i="4" s="1"/>
  <c r="BD61" i="4"/>
  <c r="BC61" i="4"/>
  <c r="BB61" i="4"/>
  <c r="BA61" i="4"/>
  <c r="AZ61" i="4"/>
  <c r="AY61" i="4"/>
  <c r="AX61" i="4"/>
  <c r="AW61" i="4"/>
  <c r="AV61" i="4"/>
  <c r="AU61" i="4"/>
  <c r="AT61" i="4"/>
  <c r="AS61" i="4"/>
  <c r="BD58" i="4"/>
  <c r="BC58" i="4"/>
  <c r="BB58" i="4"/>
  <c r="BA58" i="4"/>
  <c r="AZ58" i="4"/>
  <c r="AY58" i="4"/>
  <c r="AX58" i="4"/>
  <c r="AW58" i="4"/>
  <c r="AV58" i="4"/>
  <c r="AU58" i="4"/>
  <c r="AT58" i="4"/>
  <c r="AS57" i="4"/>
  <c r="AS177" i="4" s="1"/>
  <c r="AS56" i="4"/>
  <c r="BD54" i="4"/>
  <c r="BD55" i="4" s="1"/>
  <c r="BC54" i="4"/>
  <c r="BC55" i="4" s="1"/>
  <c r="BB54" i="4"/>
  <c r="BB55" i="4" s="1"/>
  <c r="BA54" i="4"/>
  <c r="BA55" i="4" s="1"/>
  <c r="AZ54" i="4"/>
  <c r="AZ55" i="4" s="1"/>
  <c r="AY54" i="4"/>
  <c r="AY55" i="4" s="1"/>
  <c r="AX54" i="4"/>
  <c r="AX55" i="4" s="1"/>
  <c r="AW54" i="4"/>
  <c r="AW55" i="4" s="1"/>
  <c r="AV54" i="4"/>
  <c r="AV55" i="4" s="1"/>
  <c r="AU54" i="4"/>
  <c r="AU55" i="4" s="1"/>
  <c r="AT54" i="4"/>
  <c r="AT55" i="4" s="1"/>
  <c r="AS54" i="4"/>
  <c r="AS49" i="4"/>
  <c r="BD48" i="4"/>
  <c r="BC48" i="4"/>
  <c r="BB48" i="4"/>
  <c r="BB168" i="4" s="1"/>
  <c r="BA48" i="4"/>
  <c r="BA168" i="4" s="1"/>
  <c r="AZ48" i="4"/>
  <c r="AZ168" i="4" s="1"/>
  <c r="AY48" i="4"/>
  <c r="AY168" i="4" s="1"/>
  <c r="AX48" i="4"/>
  <c r="AX168" i="4" s="1"/>
  <c r="AW48" i="4"/>
  <c r="AW168" i="4" s="1"/>
  <c r="AV48" i="4"/>
  <c r="AV168" i="4" s="1"/>
  <c r="AU48" i="4"/>
  <c r="AU168" i="4" s="1"/>
  <c r="AT48" i="4"/>
  <c r="AT168" i="4" s="1"/>
  <c r="BD47" i="4"/>
  <c r="BD167" i="4" s="1"/>
  <c r="BC47" i="4"/>
  <c r="BB47" i="4"/>
  <c r="BB167" i="4" s="1"/>
  <c r="BA47" i="4"/>
  <c r="AZ47" i="4"/>
  <c r="AY47" i="4"/>
  <c r="AY167" i="4" s="1"/>
  <c r="AX47" i="4"/>
  <c r="AX167" i="4" s="1"/>
  <c r="AW47" i="4"/>
  <c r="AW167" i="4" s="1"/>
  <c r="AV47" i="4"/>
  <c r="AU47" i="4"/>
  <c r="AU167" i="4" s="1"/>
  <c r="AT47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BD43" i="4"/>
  <c r="BC43" i="4"/>
  <c r="BB43" i="4"/>
  <c r="BA43" i="4"/>
  <c r="AZ43" i="4"/>
  <c r="AY43" i="4"/>
  <c r="AX43" i="4"/>
  <c r="AW43" i="4"/>
  <c r="AV43" i="4"/>
  <c r="AU43" i="4"/>
  <c r="AT43" i="4"/>
  <c r="AS42" i="4"/>
  <c r="AS162" i="4" s="1"/>
  <c r="AS41" i="4"/>
  <c r="AS161" i="4" s="1"/>
  <c r="AS163" i="4" s="1"/>
  <c r="BD39" i="4"/>
  <c r="BC39" i="4"/>
  <c r="BB39" i="4"/>
  <c r="BA39" i="4"/>
  <c r="AZ39" i="4"/>
  <c r="AY39" i="4"/>
  <c r="AX39" i="4"/>
  <c r="AW39" i="4"/>
  <c r="AV39" i="4"/>
  <c r="AU39" i="4"/>
  <c r="AT39" i="4"/>
  <c r="AS39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P177" i="4"/>
  <c r="AO177" i="4"/>
  <c r="AN177" i="4"/>
  <c r="AM177" i="4"/>
  <c r="AL177" i="4"/>
  <c r="AK177" i="4"/>
  <c r="AJ177" i="4"/>
  <c r="AI177" i="4"/>
  <c r="AH177" i="4"/>
  <c r="AG177" i="4"/>
  <c r="AF177" i="4"/>
  <c r="AP176" i="4"/>
  <c r="AO176" i="4"/>
  <c r="AN176" i="4"/>
  <c r="AM176" i="4"/>
  <c r="AL176" i="4"/>
  <c r="AK176" i="4"/>
  <c r="AJ176" i="4"/>
  <c r="AI176" i="4"/>
  <c r="AH176" i="4"/>
  <c r="AG176" i="4"/>
  <c r="AF176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P168" i="4"/>
  <c r="AO168" i="4"/>
  <c r="AE168" i="4"/>
  <c r="AE167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P162" i="4"/>
  <c r="AO162" i="4"/>
  <c r="AN162" i="4"/>
  <c r="AM162" i="4"/>
  <c r="AL162" i="4"/>
  <c r="AK162" i="4"/>
  <c r="AJ162" i="4"/>
  <c r="AI162" i="4"/>
  <c r="AH162" i="4"/>
  <c r="AG162" i="4"/>
  <c r="AF162" i="4"/>
  <c r="AP161" i="4"/>
  <c r="AO161" i="4"/>
  <c r="AN161" i="4"/>
  <c r="AM161" i="4"/>
  <c r="AL161" i="4"/>
  <c r="AK161" i="4"/>
  <c r="AJ161" i="4"/>
  <c r="AI161" i="4"/>
  <c r="AH161" i="4"/>
  <c r="AG161" i="4"/>
  <c r="AF161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P126" i="4"/>
  <c r="AO126" i="4"/>
  <c r="AN126" i="4"/>
  <c r="AM126" i="4"/>
  <c r="AL126" i="4"/>
  <c r="AK126" i="4"/>
  <c r="AJ126" i="4"/>
  <c r="AI126" i="4"/>
  <c r="AH126" i="4"/>
  <c r="AG126" i="4"/>
  <c r="AF126" i="4"/>
  <c r="AP125" i="4"/>
  <c r="AP127" i="4" s="1"/>
  <c r="AO125" i="4"/>
  <c r="AO127" i="4" s="1"/>
  <c r="AN125" i="4"/>
  <c r="AN127" i="4" s="1"/>
  <c r="AM125" i="4"/>
  <c r="AM127" i="4" s="1"/>
  <c r="AL125" i="4"/>
  <c r="AL127" i="4" s="1"/>
  <c r="AK125" i="4"/>
  <c r="AK127" i="4" s="1"/>
  <c r="AJ125" i="4"/>
  <c r="AI125" i="4"/>
  <c r="AH125" i="4"/>
  <c r="AH127" i="4" s="1"/>
  <c r="AG125" i="4"/>
  <c r="AF125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3" i="4"/>
  <c r="AD122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0" i="4"/>
  <c r="AD119" i="4"/>
  <c r="AP117" i="4"/>
  <c r="AP118" i="4" s="1"/>
  <c r="AO117" i="4"/>
  <c r="AO118" i="4" s="1"/>
  <c r="AN117" i="4"/>
  <c r="AN118" i="4" s="1"/>
  <c r="AM117" i="4"/>
  <c r="AM118" i="4" s="1"/>
  <c r="AL117" i="4"/>
  <c r="AL118" i="4" s="1"/>
  <c r="AK117" i="4"/>
  <c r="AK118" i="4" s="1"/>
  <c r="AJ117" i="4"/>
  <c r="AJ118" i="4" s="1"/>
  <c r="AI117" i="4"/>
  <c r="AI118" i="4" s="1"/>
  <c r="AH117" i="4"/>
  <c r="AH118" i="4" s="1"/>
  <c r="AG117" i="4"/>
  <c r="AG118" i="4" s="1"/>
  <c r="AF117" i="4"/>
  <c r="AF118" i="4" s="1"/>
  <c r="AE117" i="4"/>
  <c r="AD116" i="4"/>
  <c r="AD115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1" i="4"/>
  <c r="AD110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8" i="4"/>
  <c r="AD107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5" i="4"/>
  <c r="AD104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1" i="4"/>
  <c r="AD100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8" i="4"/>
  <c r="AD97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5" i="4"/>
  <c r="AD94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2" i="4"/>
  <c r="AD91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89" i="4"/>
  <c r="AD88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5" i="4"/>
  <c r="AQ85" i="4" s="1"/>
  <c r="AD84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2" i="4"/>
  <c r="AD81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79" i="4"/>
  <c r="AD78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6" i="4"/>
  <c r="AD75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P63" i="4"/>
  <c r="AP183" i="4" s="1"/>
  <c r="AO63" i="4"/>
  <c r="AN63" i="4"/>
  <c r="AM63" i="4"/>
  <c r="AL63" i="4"/>
  <c r="AK63" i="4"/>
  <c r="AJ63" i="4"/>
  <c r="AJ183" i="4" s="1"/>
  <c r="AI63" i="4"/>
  <c r="AI183" i="4" s="1"/>
  <c r="AH63" i="4"/>
  <c r="AH183" i="4" s="1"/>
  <c r="AG63" i="4"/>
  <c r="AG183" i="4" s="1"/>
  <c r="AF63" i="4"/>
  <c r="AP62" i="4"/>
  <c r="AO62" i="4"/>
  <c r="AO182" i="4" s="1"/>
  <c r="AN62" i="4"/>
  <c r="AN182" i="4" s="1"/>
  <c r="AM62" i="4"/>
  <c r="AM182" i="4" s="1"/>
  <c r="AL62" i="4"/>
  <c r="AL182" i="4" s="1"/>
  <c r="AK62" i="4"/>
  <c r="AJ62" i="4"/>
  <c r="AI62" i="4"/>
  <c r="AH62" i="4"/>
  <c r="AG62" i="4"/>
  <c r="AF62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0" i="4"/>
  <c r="AD59" i="4"/>
  <c r="AP58" i="4"/>
  <c r="AO58" i="4"/>
  <c r="AN58" i="4"/>
  <c r="AM58" i="4"/>
  <c r="AL58" i="4"/>
  <c r="AK58" i="4"/>
  <c r="AJ58" i="4"/>
  <c r="AI58" i="4"/>
  <c r="AH58" i="4"/>
  <c r="AG58" i="4"/>
  <c r="AF58" i="4"/>
  <c r="AE57" i="4"/>
  <c r="AE177" i="4" s="1"/>
  <c r="AE56" i="4"/>
  <c r="AD56" i="4" s="1"/>
  <c r="AP54" i="4"/>
  <c r="AP55" i="4" s="1"/>
  <c r="AO54" i="4"/>
  <c r="AO55" i="4" s="1"/>
  <c r="AN54" i="4"/>
  <c r="AN55" i="4" s="1"/>
  <c r="AM54" i="4"/>
  <c r="AL54" i="4"/>
  <c r="AL55" i="4" s="1"/>
  <c r="AK54" i="4"/>
  <c r="AK55" i="4" s="1"/>
  <c r="AJ54" i="4"/>
  <c r="AJ55" i="4" s="1"/>
  <c r="AI54" i="4"/>
  <c r="AI55" i="4" s="1"/>
  <c r="AH54" i="4"/>
  <c r="AH55" i="4" s="1"/>
  <c r="AG54" i="4"/>
  <c r="AG55" i="4" s="1"/>
  <c r="AF54" i="4"/>
  <c r="AF55" i="4" s="1"/>
  <c r="AE54" i="4"/>
  <c r="AE55" i="4" s="1"/>
  <c r="AD53" i="4"/>
  <c r="AD52" i="4"/>
  <c r="AE49" i="4"/>
  <c r="AP48" i="4"/>
  <c r="AO48" i="4"/>
  <c r="AN48" i="4"/>
  <c r="AN168" i="4" s="1"/>
  <c r="AM48" i="4"/>
  <c r="AM168" i="4" s="1"/>
  <c r="AL48" i="4"/>
  <c r="AL168" i="4" s="1"/>
  <c r="AK48" i="4"/>
  <c r="AK168" i="4" s="1"/>
  <c r="AJ48" i="4"/>
  <c r="AJ168" i="4" s="1"/>
  <c r="AI48" i="4"/>
  <c r="AI168" i="4" s="1"/>
  <c r="AH48" i="4"/>
  <c r="AH168" i="4" s="1"/>
  <c r="AG48" i="4"/>
  <c r="AG168" i="4" s="1"/>
  <c r="AF48" i="4"/>
  <c r="AF168" i="4" s="1"/>
  <c r="AP47" i="4"/>
  <c r="AP167" i="4" s="1"/>
  <c r="AO47" i="4"/>
  <c r="AO49" i="4" s="1"/>
  <c r="AN47" i="4"/>
  <c r="AM47" i="4"/>
  <c r="AL47" i="4"/>
  <c r="AK47" i="4"/>
  <c r="AK167" i="4" s="1"/>
  <c r="AJ47" i="4"/>
  <c r="AJ167" i="4" s="1"/>
  <c r="AI47" i="4"/>
  <c r="AI167" i="4" s="1"/>
  <c r="AH47" i="4"/>
  <c r="AH167" i="4" s="1"/>
  <c r="AG47" i="4"/>
  <c r="AF47" i="4"/>
  <c r="AF167" i="4" s="1"/>
  <c r="AP46" i="4"/>
  <c r="AO46" i="4"/>
  <c r="AN46" i="4"/>
  <c r="AM46" i="4"/>
  <c r="AL46" i="4"/>
  <c r="AK46" i="4"/>
  <c r="AJ46" i="4"/>
  <c r="AI46" i="4"/>
  <c r="AH46" i="4"/>
  <c r="AG46" i="4"/>
  <c r="AF46" i="4"/>
  <c r="AE46" i="4"/>
  <c r="AD45" i="4"/>
  <c r="AD44" i="4"/>
  <c r="AP43" i="4"/>
  <c r="AO43" i="4"/>
  <c r="AN43" i="4"/>
  <c r="AM43" i="4"/>
  <c r="AL43" i="4"/>
  <c r="AK43" i="4"/>
  <c r="AJ43" i="4"/>
  <c r="AI43" i="4"/>
  <c r="AH43" i="4"/>
  <c r="AG43" i="4"/>
  <c r="AF43" i="4"/>
  <c r="AE42" i="4"/>
  <c r="AE162" i="4" s="1"/>
  <c r="AD42" i="4"/>
  <c r="AE41" i="4"/>
  <c r="AD41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8" i="4"/>
  <c r="AD37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5" i="4"/>
  <c r="AD34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2" i="4"/>
  <c r="AD31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29" i="4"/>
  <c r="AD28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6" i="4"/>
  <c r="AD25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2" i="4"/>
  <c r="AD21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19" i="4"/>
  <c r="AD18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6" i="4"/>
  <c r="AD15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3" i="4"/>
  <c r="AD12" i="4"/>
  <c r="AC126" i="4"/>
  <c r="AB126" i="4"/>
  <c r="AA126" i="4"/>
  <c r="Z126" i="4"/>
  <c r="AC125" i="4"/>
  <c r="AB125" i="4"/>
  <c r="AA125" i="4"/>
  <c r="AA182" i="4" s="1"/>
  <c r="Z125" i="4"/>
  <c r="AC124" i="4"/>
  <c r="AB124" i="4"/>
  <c r="AA124" i="4"/>
  <c r="Z124" i="4"/>
  <c r="AC121" i="4"/>
  <c r="AB121" i="4"/>
  <c r="AA121" i="4"/>
  <c r="Z121" i="4"/>
  <c r="AC117" i="4"/>
  <c r="AC118" i="4" s="1"/>
  <c r="AB117" i="4"/>
  <c r="AB118" i="4" s="1"/>
  <c r="AA117" i="4"/>
  <c r="AA118" i="4" s="1"/>
  <c r="Z117" i="4"/>
  <c r="Z118" i="4" s="1"/>
  <c r="AC112" i="4"/>
  <c r="AB112" i="4"/>
  <c r="AA112" i="4"/>
  <c r="Z112" i="4"/>
  <c r="AC109" i="4"/>
  <c r="AB109" i="4"/>
  <c r="AA109" i="4"/>
  <c r="Z109" i="4"/>
  <c r="AC106" i="4"/>
  <c r="AB106" i="4"/>
  <c r="AA106" i="4"/>
  <c r="Z106" i="4"/>
  <c r="AC102" i="4"/>
  <c r="AB102" i="4"/>
  <c r="AA102" i="4"/>
  <c r="Z102" i="4"/>
  <c r="AC99" i="4"/>
  <c r="AB99" i="4"/>
  <c r="AA99" i="4"/>
  <c r="Z99" i="4"/>
  <c r="AC96" i="4"/>
  <c r="AB96" i="4"/>
  <c r="AA96" i="4"/>
  <c r="Z96" i="4"/>
  <c r="AC93" i="4"/>
  <c r="AB93" i="4"/>
  <c r="AA93" i="4"/>
  <c r="Z93" i="4"/>
  <c r="AC90" i="4"/>
  <c r="AB90" i="4"/>
  <c r="AA90" i="4"/>
  <c r="Z90" i="4"/>
  <c r="AC86" i="4"/>
  <c r="AB86" i="4"/>
  <c r="AA86" i="4"/>
  <c r="Z86" i="4"/>
  <c r="AC83" i="4"/>
  <c r="AB83" i="4"/>
  <c r="AA83" i="4"/>
  <c r="Z83" i="4"/>
  <c r="AC80" i="4"/>
  <c r="AB80" i="4"/>
  <c r="AA80" i="4"/>
  <c r="Z80" i="4"/>
  <c r="AC77" i="4"/>
  <c r="AB77" i="4"/>
  <c r="AA77" i="4"/>
  <c r="Z77" i="4"/>
  <c r="AC69" i="4"/>
  <c r="AB69" i="4"/>
  <c r="AA69" i="4"/>
  <c r="AC67" i="4"/>
  <c r="AB67" i="4"/>
  <c r="AA67" i="4"/>
  <c r="AB64" i="4"/>
  <c r="AA64" i="4"/>
  <c r="AC63" i="4"/>
  <c r="AB63" i="4"/>
  <c r="AA63" i="4"/>
  <c r="AC62" i="4"/>
  <c r="AB62" i="4"/>
  <c r="AA62" i="4"/>
  <c r="AC61" i="4"/>
  <c r="AB61" i="4"/>
  <c r="AA61" i="4"/>
  <c r="AC58" i="4"/>
  <c r="AB58" i="4"/>
  <c r="AA58" i="4"/>
  <c r="AC54" i="4"/>
  <c r="AC55" i="4" s="1"/>
  <c r="AB54" i="4"/>
  <c r="AB55" i="4" s="1"/>
  <c r="AA54" i="4"/>
  <c r="AA55" i="4" s="1"/>
  <c r="AC48" i="4"/>
  <c r="AC168" i="4" s="1"/>
  <c r="AB48" i="4"/>
  <c r="AB168" i="4" s="1"/>
  <c r="AA48" i="4"/>
  <c r="AA168" i="4" s="1"/>
  <c r="AC47" i="4"/>
  <c r="AC167" i="4" s="1"/>
  <c r="AB47" i="4"/>
  <c r="AB49" i="4" s="1"/>
  <c r="AA47" i="4"/>
  <c r="AC46" i="4"/>
  <c r="AB46" i="4"/>
  <c r="AA46" i="4"/>
  <c r="AC43" i="4"/>
  <c r="AB43" i="4"/>
  <c r="AA43" i="4"/>
  <c r="AC39" i="4"/>
  <c r="AB39" i="4"/>
  <c r="AA39" i="4"/>
  <c r="AC36" i="4"/>
  <c r="AB36" i="4"/>
  <c r="AA36" i="4"/>
  <c r="AC33" i="4"/>
  <c r="AB33" i="4"/>
  <c r="AA33" i="4"/>
  <c r="AC30" i="4"/>
  <c r="AB30" i="4"/>
  <c r="AA30" i="4"/>
  <c r="AC27" i="4"/>
  <c r="AB27" i="4"/>
  <c r="AA27" i="4"/>
  <c r="AC23" i="4"/>
  <c r="AB23" i="4"/>
  <c r="AA23" i="4"/>
  <c r="AC20" i="4"/>
  <c r="AB20" i="4"/>
  <c r="AA20" i="4"/>
  <c r="AC17" i="4"/>
  <c r="AB17" i="4"/>
  <c r="AA17" i="4"/>
  <c r="AC14" i="4"/>
  <c r="AB14" i="4"/>
  <c r="AA14" i="4"/>
  <c r="Z69" i="4"/>
  <c r="Z67" i="4"/>
  <c r="Z63" i="4"/>
  <c r="Z62" i="4"/>
  <c r="Z64" i="4" s="1"/>
  <c r="Z61" i="4"/>
  <c r="Z58" i="4"/>
  <c r="Z54" i="4"/>
  <c r="Z48" i="4"/>
  <c r="Z168" i="4" s="1"/>
  <c r="Z47" i="4"/>
  <c r="Z167" i="4" s="1"/>
  <c r="Z46" i="4"/>
  <c r="Z43" i="4"/>
  <c r="Z39" i="4"/>
  <c r="Z36" i="4"/>
  <c r="Z33" i="4"/>
  <c r="Z30" i="4"/>
  <c r="Z27" i="4"/>
  <c r="Z23" i="4"/>
  <c r="Z20" i="4"/>
  <c r="Z17" i="4"/>
  <c r="Z14" i="4"/>
  <c r="P126" i="4"/>
  <c r="P183" i="4" s="1"/>
  <c r="O126" i="4"/>
  <c r="O183" i="4" s="1"/>
  <c r="N126" i="4"/>
  <c r="M126" i="4"/>
  <c r="P125" i="4"/>
  <c r="O125" i="4"/>
  <c r="N125" i="4"/>
  <c r="M125" i="4"/>
  <c r="P124" i="4"/>
  <c r="O124" i="4"/>
  <c r="N124" i="4"/>
  <c r="M124" i="4"/>
  <c r="P121" i="4"/>
  <c r="O121" i="4"/>
  <c r="N121" i="4"/>
  <c r="M121" i="4"/>
  <c r="P117" i="4"/>
  <c r="P118" i="4" s="1"/>
  <c r="O117" i="4"/>
  <c r="O118" i="4" s="1"/>
  <c r="N117" i="4"/>
  <c r="N118" i="4" s="1"/>
  <c r="M117" i="4"/>
  <c r="M118" i="4" s="1"/>
  <c r="P112" i="4"/>
  <c r="O112" i="4"/>
  <c r="N112" i="4"/>
  <c r="M112" i="4"/>
  <c r="P109" i="4"/>
  <c r="O109" i="4"/>
  <c r="N109" i="4"/>
  <c r="M109" i="4"/>
  <c r="P106" i="4"/>
  <c r="O106" i="4"/>
  <c r="N106" i="4"/>
  <c r="M106" i="4"/>
  <c r="P102" i="4"/>
  <c r="O102" i="4"/>
  <c r="N102" i="4"/>
  <c r="M102" i="4"/>
  <c r="P99" i="4"/>
  <c r="O99" i="4"/>
  <c r="N99" i="4"/>
  <c r="M99" i="4"/>
  <c r="P96" i="4"/>
  <c r="O96" i="4"/>
  <c r="N96" i="4"/>
  <c r="M96" i="4"/>
  <c r="P93" i="4"/>
  <c r="O93" i="4"/>
  <c r="N93" i="4"/>
  <c r="M93" i="4"/>
  <c r="P90" i="4"/>
  <c r="O90" i="4"/>
  <c r="N90" i="4"/>
  <c r="M90" i="4"/>
  <c r="P86" i="4"/>
  <c r="O86" i="4"/>
  <c r="N86" i="4"/>
  <c r="M86" i="4"/>
  <c r="P83" i="4"/>
  <c r="O83" i="4"/>
  <c r="N83" i="4"/>
  <c r="M83" i="4"/>
  <c r="P80" i="4"/>
  <c r="O80" i="4"/>
  <c r="N80" i="4"/>
  <c r="M80" i="4"/>
  <c r="P77" i="4"/>
  <c r="O77" i="4"/>
  <c r="N77" i="4"/>
  <c r="M77" i="4"/>
  <c r="P69" i="4"/>
  <c r="O69" i="4"/>
  <c r="N69" i="4"/>
  <c r="M69" i="4"/>
  <c r="P67" i="4"/>
  <c r="O67" i="4"/>
  <c r="N67" i="4"/>
  <c r="M67" i="4"/>
  <c r="P63" i="4"/>
  <c r="O63" i="4"/>
  <c r="N63" i="4"/>
  <c r="M63" i="4"/>
  <c r="P62" i="4"/>
  <c r="P64" i="4" s="1"/>
  <c r="O62" i="4"/>
  <c r="O64" i="4" s="1"/>
  <c r="N62" i="4"/>
  <c r="M62" i="4"/>
  <c r="M182" i="4" s="1"/>
  <c r="P61" i="4"/>
  <c r="O61" i="4"/>
  <c r="N61" i="4"/>
  <c r="M61" i="4"/>
  <c r="P58" i="4"/>
  <c r="O58" i="4"/>
  <c r="N58" i="4"/>
  <c r="M58" i="4"/>
  <c r="P54" i="4"/>
  <c r="P55" i="4" s="1"/>
  <c r="O54" i="4"/>
  <c r="O55" i="4" s="1"/>
  <c r="N54" i="4"/>
  <c r="N55" i="4" s="1"/>
  <c r="M54" i="4"/>
  <c r="M55" i="4" s="1"/>
  <c r="P48" i="4"/>
  <c r="P168" i="4" s="1"/>
  <c r="O48" i="4"/>
  <c r="O168" i="4" s="1"/>
  <c r="N48" i="4"/>
  <c r="N168" i="4" s="1"/>
  <c r="M48" i="4"/>
  <c r="P47" i="4"/>
  <c r="P167" i="4" s="1"/>
  <c r="O47" i="4"/>
  <c r="N47" i="4"/>
  <c r="N167" i="4" s="1"/>
  <c r="M47" i="4"/>
  <c r="M167" i="4" s="1"/>
  <c r="P46" i="4"/>
  <c r="O46" i="4"/>
  <c r="N46" i="4"/>
  <c r="M46" i="4"/>
  <c r="P43" i="4"/>
  <c r="O43" i="4"/>
  <c r="N43" i="4"/>
  <c r="M43" i="4"/>
  <c r="P39" i="4"/>
  <c r="O39" i="4"/>
  <c r="N39" i="4"/>
  <c r="M39" i="4"/>
  <c r="P36" i="4"/>
  <c r="O36" i="4"/>
  <c r="N36" i="4"/>
  <c r="M36" i="4"/>
  <c r="P33" i="4"/>
  <c r="O33" i="4"/>
  <c r="N33" i="4"/>
  <c r="M33" i="4"/>
  <c r="P30" i="4"/>
  <c r="O30" i="4"/>
  <c r="N30" i="4"/>
  <c r="M30" i="4"/>
  <c r="P27" i="4"/>
  <c r="O27" i="4"/>
  <c r="N27" i="4"/>
  <c r="M27" i="4"/>
  <c r="P23" i="4"/>
  <c r="O23" i="4"/>
  <c r="N23" i="4"/>
  <c r="M23" i="4"/>
  <c r="P20" i="4"/>
  <c r="O20" i="4"/>
  <c r="N20" i="4"/>
  <c r="M20" i="4"/>
  <c r="P17" i="4"/>
  <c r="O17" i="4"/>
  <c r="N17" i="4"/>
  <c r="M17" i="4"/>
  <c r="P14" i="4"/>
  <c r="O14" i="4"/>
  <c r="N14" i="4"/>
  <c r="M14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AC177" i="4"/>
  <c r="AB177" i="4"/>
  <c r="AA177" i="4"/>
  <c r="Z177" i="4"/>
  <c r="Y177" i="4"/>
  <c r="X177" i="4"/>
  <c r="W177" i="4"/>
  <c r="V177" i="4"/>
  <c r="U177" i="4"/>
  <c r="T177" i="4"/>
  <c r="S177" i="4"/>
  <c r="AC176" i="4"/>
  <c r="AB176" i="4"/>
  <c r="AA176" i="4"/>
  <c r="Z176" i="4"/>
  <c r="Y176" i="4"/>
  <c r="X176" i="4"/>
  <c r="W176" i="4"/>
  <c r="V176" i="4"/>
  <c r="U176" i="4"/>
  <c r="T176" i="4"/>
  <c r="S176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R168" i="4"/>
  <c r="R167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AC162" i="4"/>
  <c r="AB162" i="4"/>
  <c r="AA162" i="4"/>
  <c r="Z162" i="4"/>
  <c r="Y162" i="4"/>
  <c r="X162" i="4"/>
  <c r="W162" i="4"/>
  <c r="V162" i="4"/>
  <c r="U162" i="4"/>
  <c r="T162" i="4"/>
  <c r="S162" i="4"/>
  <c r="AC161" i="4"/>
  <c r="AB161" i="4"/>
  <c r="AA161" i="4"/>
  <c r="Z161" i="4"/>
  <c r="Y161" i="4"/>
  <c r="X161" i="4"/>
  <c r="W161" i="4"/>
  <c r="V161" i="4"/>
  <c r="U161" i="4"/>
  <c r="T161" i="4"/>
  <c r="S161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S127" i="4"/>
  <c r="Y126" i="4"/>
  <c r="Y127" i="4" s="1"/>
  <c r="X126" i="4"/>
  <c r="X127" i="4" s="1"/>
  <c r="W126" i="4"/>
  <c r="W127" i="4" s="1"/>
  <c r="V126" i="4"/>
  <c r="U126" i="4"/>
  <c r="T126" i="4"/>
  <c r="T183" i="4" s="1"/>
  <c r="S126" i="4"/>
  <c r="Y125" i="4"/>
  <c r="X125" i="4"/>
  <c r="W125" i="4"/>
  <c r="V125" i="4"/>
  <c r="U125" i="4"/>
  <c r="T125" i="4"/>
  <c r="S125" i="4"/>
  <c r="Q125" i="4" s="1"/>
  <c r="Y124" i="4"/>
  <c r="X124" i="4"/>
  <c r="W124" i="4"/>
  <c r="V124" i="4"/>
  <c r="U124" i="4"/>
  <c r="T124" i="4"/>
  <c r="S124" i="4"/>
  <c r="R124" i="4"/>
  <c r="Q123" i="4"/>
  <c r="Q122" i="4"/>
  <c r="Y121" i="4"/>
  <c r="X121" i="4"/>
  <c r="W121" i="4"/>
  <c r="V121" i="4"/>
  <c r="U121" i="4"/>
  <c r="T121" i="4"/>
  <c r="S121" i="4"/>
  <c r="R121" i="4"/>
  <c r="Q120" i="4"/>
  <c r="Q119" i="4"/>
  <c r="Y117" i="4"/>
  <c r="Y118" i="4" s="1"/>
  <c r="X117" i="4"/>
  <c r="X118" i="4" s="1"/>
  <c r="W117" i="4"/>
  <c r="W118" i="4" s="1"/>
  <c r="V117" i="4"/>
  <c r="V118" i="4" s="1"/>
  <c r="U117" i="4"/>
  <c r="U118" i="4" s="1"/>
  <c r="T117" i="4"/>
  <c r="T118" i="4" s="1"/>
  <c r="S117" i="4"/>
  <c r="S118" i="4" s="1"/>
  <c r="R117" i="4"/>
  <c r="R118" i="4" s="1"/>
  <c r="Q116" i="4"/>
  <c r="Q115" i="4"/>
  <c r="Y112" i="4"/>
  <c r="X112" i="4"/>
  <c r="W112" i="4"/>
  <c r="V112" i="4"/>
  <c r="U112" i="4"/>
  <c r="T112" i="4"/>
  <c r="S112" i="4"/>
  <c r="R112" i="4"/>
  <c r="Q111" i="4"/>
  <c r="Q110" i="4"/>
  <c r="Y109" i="4"/>
  <c r="X109" i="4"/>
  <c r="W109" i="4"/>
  <c r="V109" i="4"/>
  <c r="U109" i="4"/>
  <c r="T109" i="4"/>
  <c r="S109" i="4"/>
  <c r="R109" i="4"/>
  <c r="Q108" i="4"/>
  <c r="Q107" i="4"/>
  <c r="Y106" i="4"/>
  <c r="X106" i="4"/>
  <c r="W106" i="4"/>
  <c r="V106" i="4"/>
  <c r="U106" i="4"/>
  <c r="T106" i="4"/>
  <c r="S106" i="4"/>
  <c r="R106" i="4"/>
  <c r="Q105" i="4"/>
  <c r="Q104" i="4"/>
  <c r="Y102" i="4"/>
  <c r="X102" i="4"/>
  <c r="W102" i="4"/>
  <c r="V102" i="4"/>
  <c r="U102" i="4"/>
  <c r="T102" i="4"/>
  <c r="S102" i="4"/>
  <c r="R102" i="4"/>
  <c r="Q101" i="4"/>
  <c r="Q100" i="4"/>
  <c r="Y99" i="4"/>
  <c r="X99" i="4"/>
  <c r="W99" i="4"/>
  <c r="V99" i="4"/>
  <c r="U99" i="4"/>
  <c r="T99" i="4"/>
  <c r="S99" i="4"/>
  <c r="R99" i="4"/>
  <c r="Q98" i="4"/>
  <c r="Q97" i="4"/>
  <c r="Y96" i="4"/>
  <c r="X96" i="4"/>
  <c r="W96" i="4"/>
  <c r="V96" i="4"/>
  <c r="U96" i="4"/>
  <c r="T96" i="4"/>
  <c r="S96" i="4"/>
  <c r="R96" i="4"/>
  <c r="Q95" i="4"/>
  <c r="Q94" i="4"/>
  <c r="Y93" i="4"/>
  <c r="X93" i="4"/>
  <c r="W93" i="4"/>
  <c r="V93" i="4"/>
  <c r="U93" i="4"/>
  <c r="T93" i="4"/>
  <c r="S93" i="4"/>
  <c r="R93" i="4"/>
  <c r="Q92" i="4"/>
  <c r="Q91" i="4"/>
  <c r="BE91" i="4" s="1"/>
  <c r="Y90" i="4"/>
  <c r="X90" i="4"/>
  <c r="W90" i="4"/>
  <c r="V90" i="4"/>
  <c r="U90" i="4"/>
  <c r="T90" i="4"/>
  <c r="S90" i="4"/>
  <c r="R90" i="4"/>
  <c r="Q89" i="4"/>
  <c r="Q88" i="4"/>
  <c r="Y86" i="4"/>
  <c r="X86" i="4"/>
  <c r="W86" i="4"/>
  <c r="V86" i="4"/>
  <c r="U86" i="4"/>
  <c r="T86" i="4"/>
  <c r="S86" i="4"/>
  <c r="R86" i="4"/>
  <c r="Q85" i="4"/>
  <c r="Q84" i="4"/>
  <c r="Y83" i="4"/>
  <c r="X83" i="4"/>
  <c r="W83" i="4"/>
  <c r="V83" i="4"/>
  <c r="U83" i="4"/>
  <c r="T83" i="4"/>
  <c r="S83" i="4"/>
  <c r="R83" i="4"/>
  <c r="Q82" i="4"/>
  <c r="Q81" i="4"/>
  <c r="Y80" i="4"/>
  <c r="X80" i="4"/>
  <c r="W80" i="4"/>
  <c r="V80" i="4"/>
  <c r="U80" i="4"/>
  <c r="T80" i="4"/>
  <c r="S80" i="4"/>
  <c r="R80" i="4"/>
  <c r="Q79" i="4"/>
  <c r="Q78" i="4"/>
  <c r="Y77" i="4"/>
  <c r="X77" i="4"/>
  <c r="W77" i="4"/>
  <c r="V77" i="4"/>
  <c r="U77" i="4"/>
  <c r="T77" i="4"/>
  <c r="S77" i="4"/>
  <c r="R77" i="4"/>
  <c r="Q76" i="4"/>
  <c r="Q75" i="4"/>
  <c r="Y69" i="4"/>
  <c r="X69" i="4"/>
  <c r="W69" i="4"/>
  <c r="V69" i="4"/>
  <c r="U69" i="4"/>
  <c r="T69" i="4"/>
  <c r="S69" i="4"/>
  <c r="R69" i="4"/>
  <c r="Q69" i="4"/>
  <c r="Y67" i="4"/>
  <c r="X67" i="4"/>
  <c r="W67" i="4"/>
  <c r="V67" i="4"/>
  <c r="U67" i="4"/>
  <c r="T67" i="4"/>
  <c r="S67" i="4"/>
  <c r="R67" i="4"/>
  <c r="Y63" i="4"/>
  <c r="X63" i="4"/>
  <c r="W63" i="4"/>
  <c r="V63" i="4"/>
  <c r="R63" i="4" s="1"/>
  <c r="R183" i="4" s="1"/>
  <c r="U63" i="4"/>
  <c r="T63" i="4"/>
  <c r="S63" i="4"/>
  <c r="S183" i="4" s="1"/>
  <c r="Y62" i="4"/>
  <c r="X62" i="4"/>
  <c r="W62" i="4"/>
  <c r="V62" i="4"/>
  <c r="U62" i="4"/>
  <c r="T62" i="4"/>
  <c r="S62" i="4"/>
  <c r="Y61" i="4"/>
  <c r="X61" i="4"/>
  <c r="W61" i="4"/>
  <c r="V61" i="4"/>
  <c r="U61" i="4"/>
  <c r="T61" i="4"/>
  <c r="S61" i="4"/>
  <c r="R61" i="4"/>
  <c r="Q60" i="4"/>
  <c r="Q59" i="4"/>
  <c r="Y58" i="4"/>
  <c r="X58" i="4"/>
  <c r="W58" i="4"/>
  <c r="V58" i="4"/>
  <c r="U58" i="4"/>
  <c r="T58" i="4"/>
  <c r="S58" i="4"/>
  <c r="R57" i="4"/>
  <c r="R177" i="4" s="1"/>
  <c r="Q57" i="4"/>
  <c r="R56" i="4"/>
  <c r="R176" i="4" s="1"/>
  <c r="Q56" i="4"/>
  <c r="Y54" i="4"/>
  <c r="Y55" i="4" s="1"/>
  <c r="X54" i="4"/>
  <c r="X55" i="4" s="1"/>
  <c r="W54" i="4"/>
  <c r="W55" i="4" s="1"/>
  <c r="V54" i="4"/>
  <c r="V55" i="4" s="1"/>
  <c r="U54" i="4"/>
  <c r="U55" i="4" s="1"/>
  <c r="T54" i="4"/>
  <c r="T55" i="4" s="1"/>
  <c r="S54" i="4"/>
  <c r="S55" i="4" s="1"/>
  <c r="R54" i="4"/>
  <c r="R55" i="4" s="1"/>
  <c r="Q53" i="4"/>
  <c r="Q52" i="4"/>
  <c r="R49" i="4"/>
  <c r="Y48" i="4"/>
  <c r="X48" i="4"/>
  <c r="X168" i="4" s="1"/>
  <c r="W48" i="4"/>
  <c r="W168" i="4" s="1"/>
  <c r="V48" i="4"/>
  <c r="V168" i="4" s="1"/>
  <c r="U48" i="4"/>
  <c r="U168" i="4" s="1"/>
  <c r="T48" i="4"/>
  <c r="S48" i="4"/>
  <c r="S168" i="4" s="1"/>
  <c r="Y47" i="4"/>
  <c r="Y167" i="4" s="1"/>
  <c r="X47" i="4"/>
  <c r="X167" i="4" s="1"/>
  <c r="W47" i="4"/>
  <c r="W167" i="4" s="1"/>
  <c r="V47" i="4"/>
  <c r="V49" i="4" s="1"/>
  <c r="U47" i="4"/>
  <c r="U49" i="4" s="1"/>
  <c r="T47" i="4"/>
  <c r="T167" i="4" s="1"/>
  <c r="S47" i="4"/>
  <c r="Y46" i="4"/>
  <c r="X46" i="4"/>
  <c r="W46" i="4"/>
  <c r="V46" i="4"/>
  <c r="U46" i="4"/>
  <c r="T46" i="4"/>
  <c r="S46" i="4"/>
  <c r="R46" i="4"/>
  <c r="Q45" i="4"/>
  <c r="Q44" i="4"/>
  <c r="Y43" i="4"/>
  <c r="X43" i="4"/>
  <c r="W43" i="4"/>
  <c r="V43" i="4"/>
  <c r="U43" i="4"/>
  <c r="T43" i="4"/>
  <c r="S43" i="4"/>
  <c r="R42" i="4"/>
  <c r="R162" i="4" s="1"/>
  <c r="R41" i="4"/>
  <c r="R161" i="4" s="1"/>
  <c r="Q41" i="4"/>
  <c r="BE41" i="4" s="1"/>
  <c r="Y39" i="4"/>
  <c r="X39" i="4"/>
  <c r="W39" i="4"/>
  <c r="V39" i="4"/>
  <c r="U39" i="4"/>
  <c r="T39" i="4"/>
  <c r="S39" i="4"/>
  <c r="R39" i="4"/>
  <c r="Q38" i="4"/>
  <c r="Q37" i="4"/>
  <c r="Y36" i="4"/>
  <c r="X36" i="4"/>
  <c r="W36" i="4"/>
  <c r="V36" i="4"/>
  <c r="U36" i="4"/>
  <c r="T36" i="4"/>
  <c r="S36" i="4"/>
  <c r="R36" i="4"/>
  <c r="Q35" i="4"/>
  <c r="Q34" i="4"/>
  <c r="Y33" i="4"/>
  <c r="X33" i="4"/>
  <c r="W33" i="4"/>
  <c r="V33" i="4"/>
  <c r="U33" i="4"/>
  <c r="T33" i="4"/>
  <c r="S33" i="4"/>
  <c r="R33" i="4"/>
  <c r="Q32" i="4"/>
  <c r="Q31" i="4"/>
  <c r="Y30" i="4"/>
  <c r="X30" i="4"/>
  <c r="W30" i="4"/>
  <c r="V30" i="4"/>
  <c r="U30" i="4"/>
  <c r="T30" i="4"/>
  <c r="S30" i="4"/>
  <c r="R30" i="4"/>
  <c r="Q29" i="4"/>
  <c r="Q28" i="4"/>
  <c r="Y27" i="4"/>
  <c r="X27" i="4"/>
  <c r="W27" i="4"/>
  <c r="V27" i="4"/>
  <c r="U27" i="4"/>
  <c r="T27" i="4"/>
  <c r="S27" i="4"/>
  <c r="R27" i="4"/>
  <c r="Q26" i="4"/>
  <c r="BE26" i="4" s="1"/>
  <c r="Q25" i="4"/>
  <c r="BE25" i="4" s="1"/>
  <c r="Y23" i="4"/>
  <c r="X23" i="4"/>
  <c r="W23" i="4"/>
  <c r="V23" i="4"/>
  <c r="U23" i="4"/>
  <c r="T23" i="4"/>
  <c r="S23" i="4"/>
  <c r="R23" i="4"/>
  <c r="Q22" i="4"/>
  <c r="Q21" i="4"/>
  <c r="Y20" i="4"/>
  <c r="X20" i="4"/>
  <c r="W20" i="4"/>
  <c r="V20" i="4"/>
  <c r="U20" i="4"/>
  <c r="T20" i="4"/>
  <c r="S20" i="4"/>
  <c r="R20" i="4"/>
  <c r="Q19" i="4"/>
  <c r="Q18" i="4"/>
  <c r="Y17" i="4"/>
  <c r="X17" i="4"/>
  <c r="W17" i="4"/>
  <c r="V17" i="4"/>
  <c r="U17" i="4"/>
  <c r="T17" i="4"/>
  <c r="S17" i="4"/>
  <c r="R17" i="4"/>
  <c r="Q16" i="4"/>
  <c r="Q15" i="4"/>
  <c r="Y14" i="4"/>
  <c r="X14" i="4"/>
  <c r="W14" i="4"/>
  <c r="V14" i="4"/>
  <c r="U14" i="4"/>
  <c r="T14" i="4"/>
  <c r="S14" i="4"/>
  <c r="R14" i="4"/>
  <c r="Q13" i="4"/>
  <c r="Q12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C180" i="4"/>
  <c r="B180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C179" i="4"/>
  <c r="B179" i="4"/>
  <c r="C178" i="4"/>
  <c r="B178" i="4"/>
  <c r="P177" i="4"/>
  <c r="O177" i="4"/>
  <c r="N177" i="4"/>
  <c r="M177" i="4"/>
  <c r="L177" i="4"/>
  <c r="K177" i="4"/>
  <c r="J177" i="4"/>
  <c r="I177" i="4"/>
  <c r="H177" i="4"/>
  <c r="G177" i="4"/>
  <c r="F177" i="4"/>
  <c r="C177" i="4"/>
  <c r="B177" i="4"/>
  <c r="P176" i="4"/>
  <c r="O176" i="4"/>
  <c r="N176" i="4"/>
  <c r="M176" i="4"/>
  <c r="L176" i="4"/>
  <c r="K176" i="4"/>
  <c r="J176" i="4"/>
  <c r="I176" i="4"/>
  <c r="H176" i="4"/>
  <c r="G176" i="4"/>
  <c r="F176" i="4"/>
  <c r="C176" i="4"/>
  <c r="B176" i="4"/>
  <c r="C175" i="4"/>
  <c r="B175" i="4"/>
  <c r="C174" i="4"/>
  <c r="B174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C173" i="4"/>
  <c r="B173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C172" i="4"/>
  <c r="B172" i="4"/>
  <c r="C171" i="4"/>
  <c r="B171" i="4"/>
  <c r="C170" i="4"/>
  <c r="B170" i="4"/>
  <c r="C169" i="4"/>
  <c r="B169" i="4"/>
  <c r="E168" i="4"/>
  <c r="C168" i="4"/>
  <c r="B168" i="4"/>
  <c r="O167" i="4"/>
  <c r="E167" i="4"/>
  <c r="C167" i="4"/>
  <c r="B167" i="4"/>
  <c r="C166" i="4"/>
  <c r="B166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C165" i="4"/>
  <c r="B165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C164" i="4"/>
  <c r="B164" i="4"/>
  <c r="C163" i="4"/>
  <c r="B163" i="4"/>
  <c r="P162" i="4"/>
  <c r="O162" i="4"/>
  <c r="N162" i="4"/>
  <c r="M162" i="4"/>
  <c r="L162" i="4"/>
  <c r="K162" i="4"/>
  <c r="J162" i="4"/>
  <c r="I162" i="4"/>
  <c r="H162" i="4"/>
  <c r="G162" i="4"/>
  <c r="F162" i="4"/>
  <c r="C162" i="4"/>
  <c r="B162" i="4"/>
  <c r="P161" i="4"/>
  <c r="O161" i="4"/>
  <c r="N161" i="4"/>
  <c r="M161" i="4"/>
  <c r="L161" i="4"/>
  <c r="K161" i="4"/>
  <c r="J161" i="4"/>
  <c r="I161" i="4"/>
  <c r="H161" i="4"/>
  <c r="G161" i="4"/>
  <c r="F161" i="4"/>
  <c r="C161" i="4"/>
  <c r="B161" i="4"/>
  <c r="C160" i="4"/>
  <c r="B160" i="4"/>
  <c r="C159" i="4"/>
  <c r="B159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C158" i="4"/>
  <c r="B158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C157" i="4"/>
  <c r="B157" i="4"/>
  <c r="C156" i="4"/>
  <c r="B156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C155" i="4"/>
  <c r="B155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C154" i="4"/>
  <c r="B154" i="4"/>
  <c r="C153" i="4"/>
  <c r="B153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C152" i="4"/>
  <c r="B152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C151" i="4"/>
  <c r="B151" i="4"/>
  <c r="C150" i="4"/>
  <c r="B150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C149" i="4"/>
  <c r="B149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C148" i="4"/>
  <c r="B148" i="4"/>
  <c r="C147" i="4"/>
  <c r="B147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C146" i="4"/>
  <c r="B146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C145" i="4"/>
  <c r="B145" i="4"/>
  <c r="C144" i="4"/>
  <c r="B144" i="4"/>
  <c r="C143" i="4"/>
  <c r="B143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C142" i="4"/>
  <c r="B142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C141" i="4"/>
  <c r="B141" i="4"/>
  <c r="C140" i="4"/>
  <c r="B140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C139" i="4"/>
  <c r="B139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C138" i="4"/>
  <c r="B138" i="4"/>
  <c r="C137" i="4"/>
  <c r="B137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C136" i="4"/>
  <c r="B136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C135" i="4"/>
  <c r="B135" i="4"/>
  <c r="C134" i="4"/>
  <c r="B134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C133" i="4"/>
  <c r="B133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C132" i="4"/>
  <c r="B132" i="4"/>
  <c r="C129" i="4"/>
  <c r="B129" i="4"/>
  <c r="C128" i="4"/>
  <c r="B128" i="4"/>
  <c r="C127" i="4"/>
  <c r="B127" i="4"/>
  <c r="L126" i="4"/>
  <c r="K126" i="4"/>
  <c r="J126" i="4"/>
  <c r="I126" i="4"/>
  <c r="H126" i="4"/>
  <c r="G126" i="4"/>
  <c r="F126" i="4"/>
  <c r="C126" i="4"/>
  <c r="B126" i="4"/>
  <c r="L125" i="4"/>
  <c r="K125" i="4"/>
  <c r="J125" i="4"/>
  <c r="I125" i="4"/>
  <c r="I182" i="4" s="1"/>
  <c r="H125" i="4"/>
  <c r="G125" i="4"/>
  <c r="F125" i="4"/>
  <c r="C125" i="4"/>
  <c r="B125" i="4"/>
  <c r="L124" i="4"/>
  <c r="K124" i="4"/>
  <c r="J124" i="4"/>
  <c r="I124" i="4"/>
  <c r="H124" i="4"/>
  <c r="G124" i="4"/>
  <c r="F124" i="4"/>
  <c r="E124" i="4"/>
  <c r="C124" i="4"/>
  <c r="B124" i="4"/>
  <c r="D123" i="4"/>
  <c r="C123" i="4"/>
  <c r="B123" i="4"/>
  <c r="D122" i="4"/>
  <c r="C122" i="4"/>
  <c r="B122" i="4"/>
  <c r="L121" i="4"/>
  <c r="K121" i="4"/>
  <c r="J121" i="4"/>
  <c r="I121" i="4"/>
  <c r="H121" i="4"/>
  <c r="G121" i="4"/>
  <c r="F121" i="4"/>
  <c r="E121" i="4"/>
  <c r="C121" i="4"/>
  <c r="B121" i="4"/>
  <c r="D120" i="4"/>
  <c r="C120" i="4"/>
  <c r="B120" i="4"/>
  <c r="D119" i="4"/>
  <c r="C119" i="4"/>
  <c r="B119" i="4"/>
  <c r="C118" i="4"/>
  <c r="B118" i="4"/>
  <c r="L117" i="4"/>
  <c r="L118" i="4" s="1"/>
  <c r="K117" i="4"/>
  <c r="K118" i="4" s="1"/>
  <c r="J117" i="4"/>
  <c r="J118" i="4" s="1"/>
  <c r="I117" i="4"/>
  <c r="I118" i="4" s="1"/>
  <c r="H117" i="4"/>
  <c r="H118" i="4" s="1"/>
  <c r="G117" i="4"/>
  <c r="G118" i="4" s="1"/>
  <c r="F117" i="4"/>
  <c r="F118" i="4" s="1"/>
  <c r="E117" i="4"/>
  <c r="C117" i="4"/>
  <c r="B117" i="4"/>
  <c r="D116" i="4"/>
  <c r="C116" i="4"/>
  <c r="B116" i="4"/>
  <c r="D115" i="4"/>
  <c r="C115" i="4"/>
  <c r="B115" i="4"/>
  <c r="C114" i="4"/>
  <c r="B114" i="4"/>
  <c r="C113" i="4"/>
  <c r="B113" i="4"/>
  <c r="L112" i="4"/>
  <c r="K112" i="4"/>
  <c r="J112" i="4"/>
  <c r="I112" i="4"/>
  <c r="H112" i="4"/>
  <c r="G112" i="4"/>
  <c r="F112" i="4"/>
  <c r="E112" i="4"/>
  <c r="C112" i="4"/>
  <c r="B112" i="4"/>
  <c r="D111" i="4"/>
  <c r="C111" i="4"/>
  <c r="B111" i="4"/>
  <c r="D110" i="4"/>
  <c r="AQ110" i="4" s="1"/>
  <c r="C110" i="4"/>
  <c r="B110" i="4"/>
  <c r="L109" i="4"/>
  <c r="K109" i="4"/>
  <c r="J109" i="4"/>
  <c r="I109" i="4"/>
  <c r="H109" i="4"/>
  <c r="G109" i="4"/>
  <c r="F109" i="4"/>
  <c r="E109" i="4"/>
  <c r="C109" i="4"/>
  <c r="B109" i="4"/>
  <c r="D108" i="4"/>
  <c r="AQ108" i="4" s="1"/>
  <c r="C108" i="4"/>
  <c r="B108" i="4"/>
  <c r="D107" i="4"/>
  <c r="C107" i="4"/>
  <c r="B107" i="4"/>
  <c r="L106" i="4"/>
  <c r="K106" i="4"/>
  <c r="J106" i="4"/>
  <c r="I106" i="4"/>
  <c r="H106" i="4"/>
  <c r="G106" i="4"/>
  <c r="F106" i="4"/>
  <c r="E106" i="4"/>
  <c r="C106" i="4"/>
  <c r="B106" i="4"/>
  <c r="D105" i="4"/>
  <c r="C105" i="4"/>
  <c r="B105" i="4"/>
  <c r="D104" i="4"/>
  <c r="C104" i="4"/>
  <c r="B104" i="4"/>
  <c r="C103" i="4"/>
  <c r="B103" i="4"/>
  <c r="L102" i="4"/>
  <c r="K102" i="4"/>
  <c r="J102" i="4"/>
  <c r="I102" i="4"/>
  <c r="H102" i="4"/>
  <c r="G102" i="4"/>
  <c r="F102" i="4"/>
  <c r="E102" i="4"/>
  <c r="C102" i="4"/>
  <c r="B102" i="4"/>
  <c r="D101" i="4"/>
  <c r="C101" i="4"/>
  <c r="B101" i="4"/>
  <c r="D100" i="4"/>
  <c r="C100" i="4"/>
  <c r="B100" i="4"/>
  <c r="L99" i="4"/>
  <c r="K99" i="4"/>
  <c r="J99" i="4"/>
  <c r="I99" i="4"/>
  <c r="H99" i="4"/>
  <c r="G99" i="4"/>
  <c r="F99" i="4"/>
  <c r="E99" i="4"/>
  <c r="C99" i="4"/>
  <c r="B99" i="4"/>
  <c r="D98" i="4"/>
  <c r="C98" i="4"/>
  <c r="B98" i="4"/>
  <c r="D97" i="4"/>
  <c r="C97" i="4"/>
  <c r="B97" i="4"/>
  <c r="L96" i="4"/>
  <c r="K96" i="4"/>
  <c r="J96" i="4"/>
  <c r="I96" i="4"/>
  <c r="H96" i="4"/>
  <c r="G96" i="4"/>
  <c r="F96" i="4"/>
  <c r="E96" i="4"/>
  <c r="C96" i="4"/>
  <c r="B96" i="4"/>
  <c r="D95" i="4"/>
  <c r="C95" i="4"/>
  <c r="B95" i="4"/>
  <c r="D94" i="4"/>
  <c r="C94" i="4"/>
  <c r="B94" i="4"/>
  <c r="L93" i="4"/>
  <c r="K93" i="4"/>
  <c r="J93" i="4"/>
  <c r="I93" i="4"/>
  <c r="H93" i="4"/>
  <c r="G93" i="4"/>
  <c r="F93" i="4"/>
  <c r="E93" i="4"/>
  <c r="C93" i="4"/>
  <c r="B93" i="4"/>
  <c r="D92" i="4"/>
  <c r="C92" i="4"/>
  <c r="B92" i="4"/>
  <c r="D91" i="4"/>
  <c r="C91" i="4"/>
  <c r="B91" i="4"/>
  <c r="L90" i="4"/>
  <c r="K90" i="4"/>
  <c r="J90" i="4"/>
  <c r="I90" i="4"/>
  <c r="H90" i="4"/>
  <c r="G90" i="4"/>
  <c r="F90" i="4"/>
  <c r="E90" i="4"/>
  <c r="C90" i="4"/>
  <c r="B90" i="4"/>
  <c r="D89" i="4"/>
  <c r="C89" i="4"/>
  <c r="B89" i="4"/>
  <c r="D88" i="4"/>
  <c r="C88" i="4"/>
  <c r="B88" i="4"/>
  <c r="C87" i="4"/>
  <c r="B87" i="4"/>
  <c r="L86" i="4"/>
  <c r="K86" i="4"/>
  <c r="J86" i="4"/>
  <c r="I86" i="4"/>
  <c r="H86" i="4"/>
  <c r="G86" i="4"/>
  <c r="F86" i="4"/>
  <c r="E86" i="4"/>
  <c r="C86" i="4"/>
  <c r="B86" i="4"/>
  <c r="D85" i="4"/>
  <c r="C85" i="4"/>
  <c r="B85" i="4"/>
  <c r="D84" i="4"/>
  <c r="C84" i="4"/>
  <c r="B84" i="4"/>
  <c r="L83" i="4"/>
  <c r="K83" i="4"/>
  <c r="J83" i="4"/>
  <c r="I83" i="4"/>
  <c r="H83" i="4"/>
  <c r="G83" i="4"/>
  <c r="F83" i="4"/>
  <c r="E83" i="4"/>
  <c r="C83" i="4"/>
  <c r="B83" i="4"/>
  <c r="D82" i="4"/>
  <c r="C82" i="4"/>
  <c r="B82" i="4"/>
  <c r="D81" i="4"/>
  <c r="C81" i="4"/>
  <c r="B81" i="4"/>
  <c r="L80" i="4"/>
  <c r="K80" i="4"/>
  <c r="J80" i="4"/>
  <c r="I80" i="4"/>
  <c r="H80" i="4"/>
  <c r="G80" i="4"/>
  <c r="F80" i="4"/>
  <c r="E80" i="4"/>
  <c r="C80" i="4"/>
  <c r="B80" i="4"/>
  <c r="D79" i="4"/>
  <c r="C79" i="4"/>
  <c r="B79" i="4"/>
  <c r="D78" i="4"/>
  <c r="AQ78" i="4" s="1"/>
  <c r="C78" i="4"/>
  <c r="B78" i="4"/>
  <c r="L77" i="4"/>
  <c r="K77" i="4"/>
  <c r="J77" i="4"/>
  <c r="I77" i="4"/>
  <c r="H77" i="4"/>
  <c r="G77" i="4"/>
  <c r="F77" i="4"/>
  <c r="E77" i="4"/>
  <c r="C77" i="4"/>
  <c r="B77" i="4"/>
  <c r="D76" i="4"/>
  <c r="C76" i="4"/>
  <c r="B76" i="4"/>
  <c r="D75" i="4"/>
  <c r="C75" i="4"/>
  <c r="B75" i="4"/>
  <c r="D69" i="4"/>
  <c r="L69" i="4"/>
  <c r="K69" i="4"/>
  <c r="J69" i="4"/>
  <c r="I69" i="4"/>
  <c r="H69" i="4"/>
  <c r="G69" i="4"/>
  <c r="F69" i="4"/>
  <c r="E69" i="4"/>
  <c r="L67" i="4"/>
  <c r="K67" i="4"/>
  <c r="J67" i="4"/>
  <c r="I67" i="4"/>
  <c r="H67" i="4"/>
  <c r="G67" i="4"/>
  <c r="F67" i="4"/>
  <c r="E67" i="4"/>
  <c r="L63" i="4"/>
  <c r="K63" i="4"/>
  <c r="J63" i="4"/>
  <c r="I63" i="4"/>
  <c r="H63" i="4"/>
  <c r="G63" i="4"/>
  <c r="F63" i="4"/>
  <c r="L62" i="4"/>
  <c r="K62" i="4"/>
  <c r="J62" i="4"/>
  <c r="I62" i="4"/>
  <c r="E62" i="4" s="1"/>
  <c r="E182" i="4" s="1"/>
  <c r="H62" i="4"/>
  <c r="G62" i="4"/>
  <c r="F62" i="4"/>
  <c r="L61" i="4"/>
  <c r="K61" i="4"/>
  <c r="J61" i="4"/>
  <c r="I61" i="4"/>
  <c r="H61" i="4"/>
  <c r="G61" i="4"/>
  <c r="F61" i="4"/>
  <c r="E61" i="4"/>
  <c r="D60" i="4"/>
  <c r="D59" i="4"/>
  <c r="L58" i="4"/>
  <c r="K58" i="4"/>
  <c r="J58" i="4"/>
  <c r="I58" i="4"/>
  <c r="H58" i="4"/>
  <c r="G58" i="4"/>
  <c r="F58" i="4"/>
  <c r="E57" i="4"/>
  <c r="D57" i="4" s="1"/>
  <c r="E56" i="4"/>
  <c r="E58" i="4" s="1"/>
  <c r="L54" i="4"/>
  <c r="L55" i="4" s="1"/>
  <c r="K54" i="4"/>
  <c r="K55" i="4" s="1"/>
  <c r="J54" i="4"/>
  <c r="J55" i="4" s="1"/>
  <c r="I54" i="4"/>
  <c r="I55" i="4" s="1"/>
  <c r="H54" i="4"/>
  <c r="G54" i="4"/>
  <c r="G55" i="4" s="1"/>
  <c r="F54" i="4"/>
  <c r="F55" i="4" s="1"/>
  <c r="E54" i="4"/>
  <c r="E55" i="4" s="1"/>
  <c r="D53" i="4"/>
  <c r="D52" i="4"/>
  <c r="E49" i="4"/>
  <c r="L48" i="4"/>
  <c r="K48" i="4"/>
  <c r="K168" i="4" s="1"/>
  <c r="J48" i="4"/>
  <c r="J168" i="4" s="1"/>
  <c r="I48" i="4"/>
  <c r="I168" i="4" s="1"/>
  <c r="H48" i="4"/>
  <c r="G48" i="4"/>
  <c r="G168" i="4" s="1"/>
  <c r="F48" i="4"/>
  <c r="F168" i="4" s="1"/>
  <c r="L47" i="4"/>
  <c r="L167" i="4" s="1"/>
  <c r="K47" i="4"/>
  <c r="K167" i="4" s="1"/>
  <c r="J47" i="4"/>
  <c r="I47" i="4"/>
  <c r="I167" i="4" s="1"/>
  <c r="H47" i="4"/>
  <c r="H167" i="4" s="1"/>
  <c r="G47" i="4"/>
  <c r="G167" i="4" s="1"/>
  <c r="F47" i="4"/>
  <c r="F167" i="4" s="1"/>
  <c r="L46" i="4"/>
  <c r="K46" i="4"/>
  <c r="J46" i="4"/>
  <c r="I46" i="4"/>
  <c r="H46" i="4"/>
  <c r="G46" i="4"/>
  <c r="F46" i="4"/>
  <c r="E46" i="4"/>
  <c r="D45" i="4"/>
  <c r="D44" i="4"/>
  <c r="L43" i="4"/>
  <c r="K43" i="4"/>
  <c r="J43" i="4"/>
  <c r="I43" i="4"/>
  <c r="H43" i="4"/>
  <c r="G43" i="4"/>
  <c r="F43" i="4"/>
  <c r="E42" i="4"/>
  <c r="E162" i="4" s="1"/>
  <c r="E41" i="4"/>
  <c r="E161" i="4" s="1"/>
  <c r="L39" i="4"/>
  <c r="K39" i="4"/>
  <c r="J39" i="4"/>
  <c r="I39" i="4"/>
  <c r="H39" i="4"/>
  <c r="G39" i="4"/>
  <c r="F39" i="4"/>
  <c r="E39" i="4"/>
  <c r="D38" i="4"/>
  <c r="D37" i="4"/>
  <c r="L36" i="4"/>
  <c r="K36" i="4"/>
  <c r="J36" i="4"/>
  <c r="I36" i="4"/>
  <c r="H36" i="4"/>
  <c r="G36" i="4"/>
  <c r="F36" i="4"/>
  <c r="E36" i="4"/>
  <c r="D35" i="4"/>
  <c r="D34" i="4"/>
  <c r="L33" i="4"/>
  <c r="K33" i="4"/>
  <c r="J33" i="4"/>
  <c r="I33" i="4"/>
  <c r="H33" i="4"/>
  <c r="G33" i="4"/>
  <c r="F33" i="4"/>
  <c r="E33" i="4"/>
  <c r="D32" i="4"/>
  <c r="D31" i="4"/>
  <c r="L30" i="4"/>
  <c r="K30" i="4"/>
  <c r="J30" i="4"/>
  <c r="I30" i="4"/>
  <c r="H30" i="4"/>
  <c r="G30" i="4"/>
  <c r="F30" i="4"/>
  <c r="E30" i="4"/>
  <c r="D29" i="4"/>
  <c r="D28" i="4"/>
  <c r="L27" i="4"/>
  <c r="K27" i="4"/>
  <c r="J27" i="4"/>
  <c r="I27" i="4"/>
  <c r="H27" i="4"/>
  <c r="G27" i="4"/>
  <c r="F27" i="4"/>
  <c r="E27" i="4"/>
  <c r="D26" i="4"/>
  <c r="D25" i="4"/>
  <c r="L23" i="4"/>
  <c r="K23" i="4"/>
  <c r="J23" i="4"/>
  <c r="I23" i="4"/>
  <c r="H23" i="4"/>
  <c r="G23" i="4"/>
  <c r="F23" i="4"/>
  <c r="E23" i="4"/>
  <c r="D22" i="4"/>
  <c r="D21" i="4"/>
  <c r="L20" i="4"/>
  <c r="K20" i="4"/>
  <c r="J20" i="4"/>
  <c r="I20" i="4"/>
  <c r="H20" i="4"/>
  <c r="G20" i="4"/>
  <c r="F20" i="4"/>
  <c r="E20" i="4"/>
  <c r="D19" i="4"/>
  <c r="D18" i="4"/>
  <c r="L17" i="4"/>
  <c r="K17" i="4"/>
  <c r="J17" i="4"/>
  <c r="I17" i="4"/>
  <c r="H17" i="4"/>
  <c r="G17" i="4"/>
  <c r="F17" i="4"/>
  <c r="E17" i="4"/>
  <c r="D16" i="4"/>
  <c r="D15" i="4"/>
  <c r="L14" i="4"/>
  <c r="K14" i="4"/>
  <c r="J14" i="4"/>
  <c r="I14" i="4"/>
  <c r="H14" i="4"/>
  <c r="G14" i="4"/>
  <c r="F14" i="4"/>
  <c r="E14" i="4"/>
  <c r="D13" i="4"/>
  <c r="D12" i="4"/>
  <c r="P158" i="3"/>
  <c r="O184" i="3"/>
  <c r="O185" i="3" s="1"/>
  <c r="N184" i="3"/>
  <c r="N185" i="3" s="1"/>
  <c r="M184" i="3"/>
  <c r="M185" i="3" s="1"/>
  <c r="L184" i="3"/>
  <c r="O183" i="3"/>
  <c r="N183" i="3"/>
  <c r="M183" i="3"/>
  <c r="L183" i="3"/>
  <c r="O181" i="3"/>
  <c r="N181" i="3"/>
  <c r="M181" i="3"/>
  <c r="L181" i="3"/>
  <c r="O180" i="3"/>
  <c r="O182" i="3" s="1"/>
  <c r="N180" i="3"/>
  <c r="N182" i="3" s="1"/>
  <c r="M180" i="3"/>
  <c r="M182" i="3" s="1"/>
  <c r="L180" i="3"/>
  <c r="L182" i="3" s="1"/>
  <c r="L179" i="3"/>
  <c r="O178" i="3"/>
  <c r="O179" i="3" s="1"/>
  <c r="N178" i="3"/>
  <c r="N179" i="3" s="1"/>
  <c r="M178" i="3"/>
  <c r="M179" i="3" s="1"/>
  <c r="L178" i="3"/>
  <c r="O177" i="3"/>
  <c r="N177" i="3"/>
  <c r="M177" i="3"/>
  <c r="L177" i="3"/>
  <c r="O174" i="3"/>
  <c r="N174" i="3"/>
  <c r="M174" i="3"/>
  <c r="L174" i="3"/>
  <c r="O173" i="3"/>
  <c r="N173" i="3"/>
  <c r="M173" i="3"/>
  <c r="L173" i="3"/>
  <c r="O169" i="3"/>
  <c r="N169" i="3"/>
  <c r="M169" i="3"/>
  <c r="L169" i="3"/>
  <c r="L170" i="3" s="1"/>
  <c r="O168" i="3"/>
  <c r="N168" i="3"/>
  <c r="M168" i="3"/>
  <c r="L168" i="3"/>
  <c r="O166" i="3"/>
  <c r="N166" i="3"/>
  <c r="M166" i="3"/>
  <c r="L166" i="3"/>
  <c r="O165" i="3"/>
  <c r="N165" i="3"/>
  <c r="M165" i="3"/>
  <c r="L165" i="3"/>
  <c r="O163" i="3"/>
  <c r="N163" i="3"/>
  <c r="M163" i="3"/>
  <c r="L163" i="3"/>
  <c r="L164" i="3" s="1"/>
  <c r="O162" i="3"/>
  <c r="O164" i="3" s="1"/>
  <c r="N162" i="3"/>
  <c r="N164" i="3" s="1"/>
  <c r="M162" i="3"/>
  <c r="M164" i="3" s="1"/>
  <c r="L162" i="3"/>
  <c r="O159" i="3"/>
  <c r="O160" i="3" s="1"/>
  <c r="N159" i="3"/>
  <c r="N160" i="3" s="1"/>
  <c r="M159" i="3"/>
  <c r="M160" i="3" s="1"/>
  <c r="L159" i="3"/>
  <c r="L160" i="3" s="1"/>
  <c r="O158" i="3"/>
  <c r="N158" i="3"/>
  <c r="M158" i="3"/>
  <c r="L158" i="3"/>
  <c r="O156" i="3"/>
  <c r="N156" i="3"/>
  <c r="M156" i="3"/>
  <c r="L156" i="3"/>
  <c r="O155" i="3"/>
  <c r="O157" i="3" s="1"/>
  <c r="N155" i="3"/>
  <c r="N157" i="3" s="1"/>
  <c r="M155" i="3"/>
  <c r="M157" i="3" s="1"/>
  <c r="L155" i="3"/>
  <c r="L157" i="3" s="1"/>
  <c r="O154" i="3"/>
  <c r="N154" i="3"/>
  <c r="M154" i="3"/>
  <c r="O153" i="3"/>
  <c r="N153" i="3"/>
  <c r="M153" i="3"/>
  <c r="L153" i="3"/>
  <c r="L154" i="3" s="1"/>
  <c r="O152" i="3"/>
  <c r="N152" i="3"/>
  <c r="M152" i="3"/>
  <c r="L152" i="3"/>
  <c r="O150" i="3"/>
  <c r="N150" i="3"/>
  <c r="M150" i="3"/>
  <c r="L150" i="3"/>
  <c r="O149" i="3"/>
  <c r="O151" i="3" s="1"/>
  <c r="N149" i="3"/>
  <c r="N151" i="3" s="1"/>
  <c r="M149" i="3"/>
  <c r="M151" i="3" s="1"/>
  <c r="L149" i="3"/>
  <c r="L151" i="3" s="1"/>
  <c r="O148" i="3"/>
  <c r="N148" i="3"/>
  <c r="M148" i="3"/>
  <c r="O147" i="3"/>
  <c r="N147" i="3"/>
  <c r="M147" i="3"/>
  <c r="L147" i="3"/>
  <c r="L148" i="3" s="1"/>
  <c r="O146" i="3"/>
  <c r="N146" i="3"/>
  <c r="M146" i="3"/>
  <c r="L146" i="3"/>
  <c r="O143" i="3"/>
  <c r="N143" i="3"/>
  <c r="M143" i="3"/>
  <c r="L143" i="3"/>
  <c r="L144" i="3" s="1"/>
  <c r="O142" i="3"/>
  <c r="O144" i="3" s="1"/>
  <c r="N142" i="3"/>
  <c r="N144" i="3" s="1"/>
  <c r="M142" i="3"/>
  <c r="M144" i="3" s="1"/>
  <c r="L142" i="3"/>
  <c r="O140" i="3"/>
  <c r="N140" i="3"/>
  <c r="M140" i="3"/>
  <c r="L140" i="3"/>
  <c r="O139" i="3"/>
  <c r="N139" i="3"/>
  <c r="M139" i="3"/>
  <c r="L139" i="3"/>
  <c r="O137" i="3"/>
  <c r="N137" i="3"/>
  <c r="M137" i="3"/>
  <c r="L137" i="3"/>
  <c r="L138" i="3" s="1"/>
  <c r="O136" i="3"/>
  <c r="O138" i="3" s="1"/>
  <c r="N136" i="3"/>
  <c r="N138" i="3" s="1"/>
  <c r="M136" i="3"/>
  <c r="M138" i="3" s="1"/>
  <c r="L136" i="3"/>
  <c r="O134" i="3"/>
  <c r="O135" i="3" s="1"/>
  <c r="N134" i="3"/>
  <c r="N135" i="3" s="1"/>
  <c r="M134" i="3"/>
  <c r="M135" i="3" s="1"/>
  <c r="L134" i="3"/>
  <c r="L135" i="3" s="1"/>
  <c r="O133" i="3"/>
  <c r="N133" i="3"/>
  <c r="M133" i="3"/>
  <c r="L133" i="3"/>
  <c r="K184" i="3"/>
  <c r="J184" i="3"/>
  <c r="I184" i="3"/>
  <c r="H184" i="3"/>
  <c r="G184" i="3"/>
  <c r="F184" i="3"/>
  <c r="K183" i="3"/>
  <c r="K185" i="3" s="1"/>
  <c r="J183" i="3"/>
  <c r="J185" i="3" s="1"/>
  <c r="I183" i="3"/>
  <c r="I185" i="3" s="1"/>
  <c r="H183" i="3"/>
  <c r="H185" i="3" s="1"/>
  <c r="G183" i="3"/>
  <c r="G185" i="3" s="1"/>
  <c r="F183" i="3"/>
  <c r="K181" i="3"/>
  <c r="J181" i="3"/>
  <c r="I181" i="3"/>
  <c r="H181" i="3"/>
  <c r="G181" i="3"/>
  <c r="F181" i="3"/>
  <c r="K180" i="3"/>
  <c r="K182" i="3" s="1"/>
  <c r="J180" i="3"/>
  <c r="J182" i="3" s="1"/>
  <c r="I180" i="3"/>
  <c r="I182" i="3" s="1"/>
  <c r="H180" i="3"/>
  <c r="H182" i="3" s="1"/>
  <c r="G180" i="3"/>
  <c r="G182" i="3" s="1"/>
  <c r="F180" i="3"/>
  <c r="F182" i="3" s="1"/>
  <c r="J179" i="3"/>
  <c r="I179" i="3"/>
  <c r="H179" i="3"/>
  <c r="K178" i="3"/>
  <c r="K179" i="3" s="1"/>
  <c r="J178" i="3"/>
  <c r="I178" i="3"/>
  <c r="H178" i="3"/>
  <c r="G178" i="3"/>
  <c r="F178" i="3"/>
  <c r="K177" i="3"/>
  <c r="J177" i="3"/>
  <c r="I177" i="3"/>
  <c r="H177" i="3"/>
  <c r="G177" i="3"/>
  <c r="F177" i="3"/>
  <c r="F179" i="3" s="1"/>
  <c r="K174" i="3"/>
  <c r="J174" i="3"/>
  <c r="I174" i="3"/>
  <c r="H174" i="3"/>
  <c r="G174" i="3"/>
  <c r="F174" i="3"/>
  <c r="K173" i="3"/>
  <c r="K175" i="3" s="1"/>
  <c r="K176" i="3" s="1"/>
  <c r="J173" i="3"/>
  <c r="J175" i="3" s="1"/>
  <c r="J176" i="3" s="1"/>
  <c r="I173" i="3"/>
  <c r="I175" i="3" s="1"/>
  <c r="I176" i="3" s="1"/>
  <c r="H173" i="3"/>
  <c r="G173" i="3"/>
  <c r="F173" i="3"/>
  <c r="K169" i="3"/>
  <c r="J169" i="3"/>
  <c r="I169" i="3"/>
  <c r="H169" i="3"/>
  <c r="G169" i="3"/>
  <c r="F169" i="3"/>
  <c r="K168" i="3"/>
  <c r="K170" i="3" s="1"/>
  <c r="J168" i="3"/>
  <c r="J170" i="3" s="1"/>
  <c r="I168" i="3"/>
  <c r="H168" i="3"/>
  <c r="G168" i="3"/>
  <c r="G170" i="3" s="1"/>
  <c r="G171" i="3" s="1"/>
  <c r="F168" i="3"/>
  <c r="F170" i="3" s="1"/>
  <c r="K166" i="3"/>
  <c r="J166" i="3"/>
  <c r="J167" i="3" s="1"/>
  <c r="I166" i="3"/>
  <c r="H166" i="3"/>
  <c r="G166" i="3"/>
  <c r="G167" i="3" s="1"/>
  <c r="F166" i="3"/>
  <c r="F167" i="3" s="1"/>
  <c r="K165" i="3"/>
  <c r="J165" i="3"/>
  <c r="I165" i="3"/>
  <c r="H165" i="3"/>
  <c r="G165" i="3"/>
  <c r="F165" i="3"/>
  <c r="K163" i="3"/>
  <c r="J163" i="3"/>
  <c r="I163" i="3"/>
  <c r="H163" i="3"/>
  <c r="G163" i="3"/>
  <c r="F163" i="3"/>
  <c r="K162" i="3"/>
  <c r="K164" i="3" s="1"/>
  <c r="J162" i="3"/>
  <c r="J164" i="3" s="1"/>
  <c r="I162" i="3"/>
  <c r="I164" i="3" s="1"/>
  <c r="H162" i="3"/>
  <c r="G162" i="3"/>
  <c r="G164" i="3" s="1"/>
  <c r="F162" i="3"/>
  <c r="K159" i="3"/>
  <c r="J159" i="3"/>
  <c r="I159" i="3"/>
  <c r="H159" i="3"/>
  <c r="G159" i="3"/>
  <c r="F159" i="3"/>
  <c r="K158" i="3"/>
  <c r="J158" i="3"/>
  <c r="J160" i="3" s="1"/>
  <c r="I158" i="3"/>
  <c r="H158" i="3"/>
  <c r="G158" i="3"/>
  <c r="G160" i="3" s="1"/>
  <c r="F158" i="3"/>
  <c r="F160" i="3" s="1"/>
  <c r="K156" i="3"/>
  <c r="J156" i="3"/>
  <c r="J157" i="3" s="1"/>
  <c r="I156" i="3"/>
  <c r="H156" i="3"/>
  <c r="G156" i="3"/>
  <c r="G157" i="3" s="1"/>
  <c r="F156" i="3"/>
  <c r="F157" i="3" s="1"/>
  <c r="K155" i="3"/>
  <c r="J155" i="3"/>
  <c r="I155" i="3"/>
  <c r="H155" i="3"/>
  <c r="G155" i="3"/>
  <c r="F155" i="3"/>
  <c r="K153" i="3"/>
  <c r="J153" i="3"/>
  <c r="I153" i="3"/>
  <c r="H153" i="3"/>
  <c r="G153" i="3"/>
  <c r="F153" i="3"/>
  <c r="K152" i="3"/>
  <c r="K154" i="3" s="1"/>
  <c r="J152" i="3"/>
  <c r="J154" i="3" s="1"/>
  <c r="I152" i="3"/>
  <c r="I154" i="3" s="1"/>
  <c r="H152" i="3"/>
  <c r="G152" i="3"/>
  <c r="G154" i="3" s="1"/>
  <c r="F152" i="3"/>
  <c r="F154" i="3" s="1"/>
  <c r="K150" i="3"/>
  <c r="J150" i="3"/>
  <c r="I150" i="3"/>
  <c r="H150" i="3"/>
  <c r="G150" i="3"/>
  <c r="F150" i="3"/>
  <c r="K149" i="3"/>
  <c r="J149" i="3"/>
  <c r="I149" i="3"/>
  <c r="H149" i="3"/>
  <c r="G149" i="3"/>
  <c r="F149" i="3"/>
  <c r="K147" i="3"/>
  <c r="J147" i="3"/>
  <c r="I147" i="3"/>
  <c r="H147" i="3"/>
  <c r="G147" i="3"/>
  <c r="F147" i="3"/>
  <c r="K146" i="3"/>
  <c r="K148" i="3" s="1"/>
  <c r="J146" i="3"/>
  <c r="J148" i="3" s="1"/>
  <c r="I146" i="3"/>
  <c r="I148" i="3" s="1"/>
  <c r="H146" i="3"/>
  <c r="G146" i="3"/>
  <c r="F146" i="3"/>
  <c r="K143" i="3"/>
  <c r="J143" i="3"/>
  <c r="I143" i="3"/>
  <c r="H143" i="3"/>
  <c r="G143" i="3"/>
  <c r="F143" i="3"/>
  <c r="K142" i="3"/>
  <c r="J142" i="3"/>
  <c r="J144" i="3" s="1"/>
  <c r="I142" i="3"/>
  <c r="I144" i="3" s="1"/>
  <c r="H142" i="3"/>
  <c r="G142" i="3"/>
  <c r="G144" i="3" s="1"/>
  <c r="F142" i="3"/>
  <c r="F144" i="3" s="1"/>
  <c r="K140" i="3"/>
  <c r="J140" i="3"/>
  <c r="I140" i="3"/>
  <c r="H140" i="3"/>
  <c r="G140" i="3"/>
  <c r="F140" i="3"/>
  <c r="F141" i="3" s="1"/>
  <c r="K139" i="3"/>
  <c r="J139" i="3"/>
  <c r="I139" i="3"/>
  <c r="H139" i="3"/>
  <c r="G139" i="3"/>
  <c r="F139" i="3"/>
  <c r="K137" i="3"/>
  <c r="J137" i="3"/>
  <c r="I137" i="3"/>
  <c r="H137" i="3"/>
  <c r="G137" i="3"/>
  <c r="F137" i="3"/>
  <c r="K136" i="3"/>
  <c r="K138" i="3" s="1"/>
  <c r="J136" i="3"/>
  <c r="J138" i="3" s="1"/>
  <c r="I136" i="3"/>
  <c r="I138" i="3" s="1"/>
  <c r="H136" i="3"/>
  <c r="H138" i="3" s="1"/>
  <c r="G136" i="3"/>
  <c r="G138" i="3" s="1"/>
  <c r="F136" i="3"/>
  <c r="F138" i="3" s="1"/>
  <c r="K134" i="3"/>
  <c r="J134" i="3"/>
  <c r="I134" i="3"/>
  <c r="H134" i="3"/>
  <c r="G134" i="3"/>
  <c r="F134" i="3"/>
  <c r="K133" i="3"/>
  <c r="J133" i="3"/>
  <c r="I133" i="3"/>
  <c r="H133" i="3"/>
  <c r="G133" i="3"/>
  <c r="F133" i="3"/>
  <c r="F135" i="3" s="1"/>
  <c r="E184" i="3"/>
  <c r="E183" i="3"/>
  <c r="E185" i="3" s="1"/>
  <c r="E181" i="3"/>
  <c r="E180" i="3"/>
  <c r="E182" i="3" s="1"/>
  <c r="E178" i="3"/>
  <c r="E177" i="3"/>
  <c r="E179" i="3" s="1"/>
  <c r="E174" i="3"/>
  <c r="E173" i="3"/>
  <c r="E175" i="3" s="1"/>
  <c r="E176" i="3" s="1"/>
  <c r="E169" i="3"/>
  <c r="E168" i="3"/>
  <c r="E170" i="3" s="1"/>
  <c r="E166" i="3"/>
  <c r="E165" i="3"/>
  <c r="E167" i="3" s="1"/>
  <c r="E163" i="3"/>
  <c r="E162" i="3"/>
  <c r="E159" i="3"/>
  <c r="E158" i="3"/>
  <c r="E160" i="3" s="1"/>
  <c r="E156" i="3"/>
  <c r="E155" i="3"/>
  <c r="E153" i="3"/>
  <c r="E152" i="3"/>
  <c r="E154" i="3" s="1"/>
  <c r="E150" i="3"/>
  <c r="E149" i="3"/>
  <c r="E151" i="3" s="1"/>
  <c r="E147" i="3"/>
  <c r="E146" i="3"/>
  <c r="E148" i="3" s="1"/>
  <c r="E143" i="3"/>
  <c r="E142" i="3"/>
  <c r="E144" i="3" s="1"/>
  <c r="E140" i="3"/>
  <c r="E139" i="3"/>
  <c r="E137" i="3"/>
  <c r="E136" i="3"/>
  <c r="E138" i="3" s="1"/>
  <c r="E134" i="3"/>
  <c r="E133" i="3"/>
  <c r="P127" i="3"/>
  <c r="P126" i="3"/>
  <c r="P124" i="3"/>
  <c r="P123" i="3"/>
  <c r="P121" i="3"/>
  <c r="P120" i="3"/>
  <c r="P117" i="3"/>
  <c r="P116" i="3"/>
  <c r="P112" i="3"/>
  <c r="P169" i="3" s="1"/>
  <c r="P111" i="3"/>
  <c r="P168" i="3" s="1"/>
  <c r="P170" i="3" s="1"/>
  <c r="P109" i="3"/>
  <c r="P166" i="3" s="1"/>
  <c r="P108" i="3"/>
  <c r="P165" i="3" s="1"/>
  <c r="P167" i="3" s="1"/>
  <c r="P106" i="3"/>
  <c r="P163" i="3" s="1"/>
  <c r="P105" i="3"/>
  <c r="P162" i="3" s="1"/>
  <c r="P102" i="3"/>
  <c r="P159" i="3" s="1"/>
  <c r="P101" i="3"/>
  <c r="P99" i="3"/>
  <c r="P98" i="3"/>
  <c r="P96" i="3"/>
  <c r="P95" i="3"/>
  <c r="P93" i="3"/>
  <c r="P92" i="3"/>
  <c r="P90" i="3"/>
  <c r="P89" i="3"/>
  <c r="P86" i="3"/>
  <c r="P85" i="3"/>
  <c r="P83" i="3"/>
  <c r="P82" i="3"/>
  <c r="P80" i="3"/>
  <c r="P137" i="3" s="1"/>
  <c r="P79" i="3"/>
  <c r="P136" i="3" s="1"/>
  <c r="P138" i="3" s="1"/>
  <c r="P77" i="3"/>
  <c r="P134" i="3" s="1"/>
  <c r="P76" i="3"/>
  <c r="P133" i="3" s="1"/>
  <c r="P135" i="3" s="1"/>
  <c r="K127" i="3"/>
  <c r="K126" i="3"/>
  <c r="K128" i="3" s="1"/>
  <c r="K125" i="3"/>
  <c r="K122" i="3"/>
  <c r="K118" i="3"/>
  <c r="K119" i="3" s="1"/>
  <c r="K113" i="3"/>
  <c r="K110" i="3"/>
  <c r="K107" i="3"/>
  <c r="K103" i="3"/>
  <c r="K100" i="3"/>
  <c r="K97" i="3"/>
  <c r="K94" i="3"/>
  <c r="K91" i="3"/>
  <c r="K87" i="3"/>
  <c r="K84" i="3"/>
  <c r="K81" i="3"/>
  <c r="K78" i="3"/>
  <c r="K88" i="3" s="1"/>
  <c r="J127" i="3"/>
  <c r="J126" i="3"/>
  <c r="J128" i="3" s="1"/>
  <c r="J125" i="3"/>
  <c r="J122" i="3"/>
  <c r="J118" i="3"/>
  <c r="J119" i="3" s="1"/>
  <c r="J113" i="3"/>
  <c r="J110" i="3"/>
  <c r="J107" i="3"/>
  <c r="J103" i="3"/>
  <c r="J100" i="3"/>
  <c r="J97" i="3"/>
  <c r="J94" i="3"/>
  <c r="J91" i="3"/>
  <c r="J87" i="3"/>
  <c r="J84" i="3"/>
  <c r="J81" i="3"/>
  <c r="J78" i="3"/>
  <c r="J88" i="3" s="1"/>
  <c r="I127" i="3"/>
  <c r="I126" i="3"/>
  <c r="I128" i="3" s="1"/>
  <c r="I125" i="3"/>
  <c r="I122" i="3"/>
  <c r="I118" i="3"/>
  <c r="I119" i="3" s="1"/>
  <c r="I113" i="3"/>
  <c r="I110" i="3"/>
  <c r="I107" i="3"/>
  <c r="I103" i="3"/>
  <c r="I100" i="3"/>
  <c r="I97" i="3"/>
  <c r="I94" i="3"/>
  <c r="I91" i="3"/>
  <c r="I87" i="3"/>
  <c r="I84" i="3"/>
  <c r="I81" i="3"/>
  <c r="I78" i="3"/>
  <c r="H127" i="3"/>
  <c r="H126" i="3"/>
  <c r="H128" i="3" s="1"/>
  <c r="H125" i="3"/>
  <c r="H122" i="3"/>
  <c r="H118" i="3"/>
  <c r="H119" i="3" s="1"/>
  <c r="H113" i="3"/>
  <c r="H110" i="3"/>
  <c r="H107" i="3"/>
  <c r="H103" i="3"/>
  <c r="H100" i="3"/>
  <c r="H97" i="3"/>
  <c r="H94" i="3"/>
  <c r="H91" i="3"/>
  <c r="H87" i="3"/>
  <c r="H84" i="3"/>
  <c r="H81" i="3"/>
  <c r="H78" i="3"/>
  <c r="G127" i="3"/>
  <c r="G126" i="3"/>
  <c r="G128" i="3" s="1"/>
  <c r="G125" i="3"/>
  <c r="G122" i="3"/>
  <c r="G118" i="3"/>
  <c r="G119" i="3" s="1"/>
  <c r="G113" i="3"/>
  <c r="G110" i="3"/>
  <c r="G107" i="3"/>
  <c r="G103" i="3"/>
  <c r="G100" i="3"/>
  <c r="G97" i="3"/>
  <c r="G94" i="3"/>
  <c r="G91" i="3"/>
  <c r="G87" i="3"/>
  <c r="G84" i="3"/>
  <c r="G81" i="3"/>
  <c r="G78" i="3"/>
  <c r="F127" i="3"/>
  <c r="F126" i="3"/>
  <c r="F128" i="3" s="1"/>
  <c r="F125" i="3"/>
  <c r="F122" i="3"/>
  <c r="F118" i="3"/>
  <c r="F119" i="3" s="1"/>
  <c r="F113" i="3"/>
  <c r="F110" i="3"/>
  <c r="F107" i="3"/>
  <c r="F103" i="3"/>
  <c r="F100" i="3"/>
  <c r="F97" i="3"/>
  <c r="F94" i="3"/>
  <c r="F91" i="3"/>
  <c r="F87" i="3"/>
  <c r="F84" i="3"/>
  <c r="F81" i="3"/>
  <c r="F78" i="3"/>
  <c r="F88" i="3" s="1"/>
  <c r="E125" i="3"/>
  <c r="E122" i="3"/>
  <c r="E118" i="3"/>
  <c r="E119" i="3" s="1"/>
  <c r="E113" i="3"/>
  <c r="E110" i="3"/>
  <c r="E107" i="3"/>
  <c r="E103" i="3"/>
  <c r="E100" i="3"/>
  <c r="E97" i="3"/>
  <c r="E94" i="3"/>
  <c r="E104" i="3" s="1"/>
  <c r="E91" i="3"/>
  <c r="E87" i="3"/>
  <c r="E84" i="3"/>
  <c r="E81" i="3"/>
  <c r="E78" i="3"/>
  <c r="E88" i="3" s="1"/>
  <c r="P61" i="3"/>
  <c r="P181" i="3" s="1"/>
  <c r="P60" i="3"/>
  <c r="P180" i="3" s="1"/>
  <c r="P182" i="3" s="1"/>
  <c r="P58" i="3"/>
  <c r="P178" i="3" s="1"/>
  <c r="P57" i="3"/>
  <c r="P177" i="3" s="1"/>
  <c r="P179" i="3" s="1"/>
  <c r="P54" i="3"/>
  <c r="P174" i="3" s="1"/>
  <c r="P53" i="3"/>
  <c r="P173" i="3" s="1"/>
  <c r="P175" i="3" s="1"/>
  <c r="P176" i="3" s="1"/>
  <c r="P49" i="3"/>
  <c r="P48" i="3"/>
  <c r="P46" i="3"/>
  <c r="P45" i="3"/>
  <c r="P43" i="3"/>
  <c r="P42" i="3"/>
  <c r="P39" i="3"/>
  <c r="P38" i="3"/>
  <c r="P36" i="3"/>
  <c r="P156" i="3" s="1"/>
  <c r="P35" i="3"/>
  <c r="P155" i="3" s="1"/>
  <c r="P157" i="3" s="1"/>
  <c r="P33" i="3"/>
  <c r="P153" i="3" s="1"/>
  <c r="P32" i="3"/>
  <c r="P152" i="3" s="1"/>
  <c r="P154" i="3" s="1"/>
  <c r="P30" i="3"/>
  <c r="P150" i="3" s="1"/>
  <c r="P29" i="3"/>
  <c r="P149" i="3" s="1"/>
  <c r="P151" i="3" s="1"/>
  <c r="P27" i="3"/>
  <c r="P147" i="3" s="1"/>
  <c r="P26" i="3"/>
  <c r="P146" i="3" s="1"/>
  <c r="P148" i="3" s="1"/>
  <c r="P23" i="3"/>
  <c r="P143" i="3" s="1"/>
  <c r="P22" i="3"/>
  <c r="P142" i="3" s="1"/>
  <c r="P144" i="3" s="1"/>
  <c r="P20" i="3"/>
  <c r="P140" i="3" s="1"/>
  <c r="P19" i="3"/>
  <c r="P139" i="3" s="1"/>
  <c r="P141" i="3" s="1"/>
  <c r="P17" i="3"/>
  <c r="P16" i="3"/>
  <c r="P14" i="3"/>
  <c r="P13" i="3"/>
  <c r="O128" i="3"/>
  <c r="O125" i="3"/>
  <c r="O122" i="3"/>
  <c r="O118" i="3"/>
  <c r="O119" i="3" s="1"/>
  <c r="O113" i="3"/>
  <c r="O110" i="3"/>
  <c r="O107" i="3"/>
  <c r="O103" i="3"/>
  <c r="O100" i="3"/>
  <c r="O97" i="3"/>
  <c r="O94" i="3"/>
  <c r="O104" i="3" s="1"/>
  <c r="O91" i="3"/>
  <c r="O87" i="3"/>
  <c r="O84" i="3"/>
  <c r="O81" i="3"/>
  <c r="O78" i="3"/>
  <c r="N128" i="3"/>
  <c r="N125" i="3"/>
  <c r="N122" i="3"/>
  <c r="N118" i="3"/>
  <c r="N119" i="3" s="1"/>
  <c r="N113" i="3"/>
  <c r="N110" i="3"/>
  <c r="N107" i="3"/>
  <c r="N103" i="3"/>
  <c r="N100" i="3"/>
  <c r="N97" i="3"/>
  <c r="N94" i="3"/>
  <c r="N104" i="3" s="1"/>
  <c r="N91" i="3"/>
  <c r="N87" i="3"/>
  <c r="N84" i="3"/>
  <c r="N81" i="3"/>
  <c r="N78" i="3"/>
  <c r="M128" i="3"/>
  <c r="M125" i="3"/>
  <c r="M122" i="3"/>
  <c r="M118" i="3"/>
  <c r="M119" i="3" s="1"/>
  <c r="M113" i="3"/>
  <c r="M110" i="3"/>
  <c r="M107" i="3"/>
  <c r="M103" i="3"/>
  <c r="M100" i="3"/>
  <c r="M97" i="3"/>
  <c r="M94" i="3"/>
  <c r="M91" i="3"/>
  <c r="M87" i="3"/>
  <c r="M84" i="3"/>
  <c r="M81" i="3"/>
  <c r="M78" i="3"/>
  <c r="O65" i="3"/>
  <c r="N65" i="3"/>
  <c r="M65" i="3"/>
  <c r="O62" i="3"/>
  <c r="N62" i="3"/>
  <c r="M62" i="3"/>
  <c r="O59" i="3"/>
  <c r="N59" i="3"/>
  <c r="M59" i="3"/>
  <c r="O55" i="3"/>
  <c r="O56" i="3" s="1"/>
  <c r="N55" i="3"/>
  <c r="N56" i="3" s="1"/>
  <c r="M55" i="3"/>
  <c r="M56" i="3" s="1"/>
  <c r="O50" i="3"/>
  <c r="N50" i="3"/>
  <c r="M50" i="3"/>
  <c r="O47" i="3"/>
  <c r="N47" i="3"/>
  <c r="M47" i="3"/>
  <c r="O44" i="3"/>
  <c r="N44" i="3"/>
  <c r="M44" i="3"/>
  <c r="O40" i="3"/>
  <c r="N40" i="3"/>
  <c r="M40" i="3"/>
  <c r="O37" i="3"/>
  <c r="N37" i="3"/>
  <c r="M37" i="3"/>
  <c r="O34" i="3"/>
  <c r="N34" i="3"/>
  <c r="M34" i="3"/>
  <c r="O31" i="3"/>
  <c r="N31" i="3"/>
  <c r="M31" i="3"/>
  <c r="O28" i="3"/>
  <c r="N28" i="3"/>
  <c r="M28" i="3"/>
  <c r="O24" i="3"/>
  <c r="N24" i="3"/>
  <c r="M24" i="3"/>
  <c r="O21" i="3"/>
  <c r="N21" i="3"/>
  <c r="M21" i="3"/>
  <c r="O18" i="3"/>
  <c r="N18" i="3"/>
  <c r="M18" i="3"/>
  <c r="O15" i="3"/>
  <c r="N15" i="3"/>
  <c r="N25" i="3" s="1"/>
  <c r="M15" i="3"/>
  <c r="M25" i="3" s="1"/>
  <c r="K70" i="3"/>
  <c r="J70" i="3"/>
  <c r="I70" i="3"/>
  <c r="H70" i="3"/>
  <c r="G70" i="3"/>
  <c r="F70" i="3"/>
  <c r="K68" i="3"/>
  <c r="J68" i="3"/>
  <c r="I68" i="3"/>
  <c r="H68" i="3"/>
  <c r="G68" i="3"/>
  <c r="F68" i="3"/>
  <c r="K64" i="3"/>
  <c r="J64" i="3"/>
  <c r="I64" i="3"/>
  <c r="H64" i="3"/>
  <c r="G64" i="3"/>
  <c r="G65" i="3" s="1"/>
  <c r="F64" i="3"/>
  <c r="F65" i="3" s="1"/>
  <c r="F66" i="3" s="1"/>
  <c r="K63" i="3"/>
  <c r="K65" i="3" s="1"/>
  <c r="J63" i="3"/>
  <c r="J65" i="3" s="1"/>
  <c r="I63" i="3"/>
  <c r="I65" i="3" s="1"/>
  <c r="H63" i="3"/>
  <c r="H65" i="3" s="1"/>
  <c r="G63" i="3"/>
  <c r="F63" i="3"/>
  <c r="K62" i="3"/>
  <c r="J62" i="3"/>
  <c r="I62" i="3"/>
  <c r="H62" i="3"/>
  <c r="G62" i="3"/>
  <c r="F62" i="3"/>
  <c r="K59" i="3"/>
  <c r="J59" i="3"/>
  <c r="I59" i="3"/>
  <c r="H59" i="3"/>
  <c r="G59" i="3"/>
  <c r="F59" i="3"/>
  <c r="K55" i="3"/>
  <c r="K56" i="3" s="1"/>
  <c r="J55" i="3"/>
  <c r="J56" i="3" s="1"/>
  <c r="I55" i="3"/>
  <c r="I56" i="3" s="1"/>
  <c r="H55" i="3"/>
  <c r="H56" i="3" s="1"/>
  <c r="G55" i="3"/>
  <c r="G56" i="3" s="1"/>
  <c r="F55" i="3"/>
  <c r="F56" i="3" s="1"/>
  <c r="K49" i="3"/>
  <c r="J49" i="3"/>
  <c r="I49" i="3"/>
  <c r="H49" i="3"/>
  <c r="G49" i="3"/>
  <c r="F49" i="3"/>
  <c r="K48" i="3"/>
  <c r="K50" i="3" s="1"/>
  <c r="J48" i="3"/>
  <c r="J50" i="3" s="1"/>
  <c r="I48" i="3"/>
  <c r="I50" i="3" s="1"/>
  <c r="H48" i="3"/>
  <c r="H50" i="3" s="1"/>
  <c r="G48" i="3"/>
  <c r="G50" i="3" s="1"/>
  <c r="F48" i="3"/>
  <c r="F50" i="3" s="1"/>
  <c r="K47" i="3"/>
  <c r="J47" i="3"/>
  <c r="I47" i="3"/>
  <c r="H47" i="3"/>
  <c r="G47" i="3"/>
  <c r="F47" i="3"/>
  <c r="K44" i="3"/>
  <c r="J44" i="3"/>
  <c r="I44" i="3"/>
  <c r="H44" i="3"/>
  <c r="G44" i="3"/>
  <c r="F44" i="3"/>
  <c r="K40" i="3"/>
  <c r="J40" i="3"/>
  <c r="I40" i="3"/>
  <c r="H40" i="3"/>
  <c r="G40" i="3"/>
  <c r="F40" i="3"/>
  <c r="K37" i="3"/>
  <c r="J37" i="3"/>
  <c r="I37" i="3"/>
  <c r="H37" i="3"/>
  <c r="G37" i="3"/>
  <c r="F37" i="3"/>
  <c r="K34" i="3"/>
  <c r="J34" i="3"/>
  <c r="I34" i="3"/>
  <c r="H34" i="3"/>
  <c r="G34" i="3"/>
  <c r="F34" i="3"/>
  <c r="K31" i="3"/>
  <c r="J31" i="3"/>
  <c r="I31" i="3"/>
  <c r="H31" i="3"/>
  <c r="G31" i="3"/>
  <c r="F31" i="3"/>
  <c r="K28" i="3"/>
  <c r="J28" i="3"/>
  <c r="I28" i="3"/>
  <c r="H28" i="3"/>
  <c r="G28" i="3"/>
  <c r="F28" i="3"/>
  <c r="P28" i="3" s="1"/>
  <c r="K24" i="3"/>
  <c r="J24" i="3"/>
  <c r="I24" i="3"/>
  <c r="H24" i="3"/>
  <c r="G24" i="3"/>
  <c r="F24" i="3"/>
  <c r="K21" i="3"/>
  <c r="J21" i="3"/>
  <c r="I21" i="3"/>
  <c r="H21" i="3"/>
  <c r="G21" i="3"/>
  <c r="F21" i="3"/>
  <c r="K18" i="3"/>
  <c r="J18" i="3"/>
  <c r="I18" i="3"/>
  <c r="H18" i="3"/>
  <c r="G18" i="3"/>
  <c r="F18" i="3"/>
  <c r="K15" i="3"/>
  <c r="J15" i="3"/>
  <c r="I15" i="3"/>
  <c r="H15" i="3"/>
  <c r="G15" i="3"/>
  <c r="F15" i="3"/>
  <c r="F25" i="3" s="1"/>
  <c r="E15" i="3"/>
  <c r="E18" i="3"/>
  <c r="E21" i="3"/>
  <c r="E24" i="3"/>
  <c r="E28" i="3"/>
  <c r="E31" i="3"/>
  <c r="E34" i="3"/>
  <c r="E37" i="3"/>
  <c r="E40" i="3"/>
  <c r="E41" i="3"/>
  <c r="E44" i="3"/>
  <c r="E47" i="3"/>
  <c r="E48" i="3"/>
  <c r="E50" i="3" s="1"/>
  <c r="E49" i="3"/>
  <c r="E55" i="3"/>
  <c r="E56" i="3"/>
  <c r="E59" i="3"/>
  <c r="E62" i="3"/>
  <c r="E63" i="3"/>
  <c r="E65" i="3" s="1"/>
  <c r="E66" i="3" s="1"/>
  <c r="E64" i="3"/>
  <c r="E68" i="3"/>
  <c r="E70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D181" i="3"/>
  <c r="C181" i="3"/>
  <c r="B181" i="3"/>
  <c r="D180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D174" i="3"/>
  <c r="C174" i="3"/>
  <c r="B174" i="3"/>
  <c r="D173" i="3"/>
  <c r="C173" i="3"/>
  <c r="B173" i="3"/>
  <c r="C172" i="3"/>
  <c r="B172" i="3"/>
  <c r="C171" i="3"/>
  <c r="B171" i="3"/>
  <c r="C170" i="3"/>
  <c r="B170" i="3"/>
  <c r="D169" i="3"/>
  <c r="C169" i="3"/>
  <c r="B169" i="3"/>
  <c r="D168" i="3"/>
  <c r="C168" i="3"/>
  <c r="B168" i="3"/>
  <c r="C167" i="3"/>
  <c r="B167" i="3"/>
  <c r="D166" i="3"/>
  <c r="C166" i="3"/>
  <c r="B166" i="3"/>
  <c r="D165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D159" i="3"/>
  <c r="C159" i="3"/>
  <c r="B159" i="3"/>
  <c r="D158" i="3"/>
  <c r="C158" i="3"/>
  <c r="B158" i="3"/>
  <c r="C157" i="3"/>
  <c r="B157" i="3"/>
  <c r="D156" i="3"/>
  <c r="C156" i="3"/>
  <c r="B156" i="3"/>
  <c r="D155" i="3"/>
  <c r="C155" i="3"/>
  <c r="B155" i="3"/>
  <c r="C154" i="3"/>
  <c r="B154" i="3"/>
  <c r="D153" i="3"/>
  <c r="C153" i="3"/>
  <c r="B153" i="3"/>
  <c r="D152" i="3"/>
  <c r="C152" i="3"/>
  <c r="B152" i="3"/>
  <c r="C151" i="3"/>
  <c r="B151" i="3"/>
  <c r="D150" i="3"/>
  <c r="C150" i="3"/>
  <c r="B150" i="3"/>
  <c r="D149" i="3"/>
  <c r="C149" i="3"/>
  <c r="B149" i="3"/>
  <c r="C148" i="3"/>
  <c r="B148" i="3"/>
  <c r="D147" i="3"/>
  <c r="C147" i="3"/>
  <c r="B147" i="3"/>
  <c r="D146" i="3"/>
  <c r="C146" i="3"/>
  <c r="B146" i="3"/>
  <c r="C145" i="3"/>
  <c r="B145" i="3"/>
  <c r="C144" i="3"/>
  <c r="B144" i="3"/>
  <c r="D143" i="3"/>
  <c r="C143" i="3"/>
  <c r="B143" i="3"/>
  <c r="D142" i="3"/>
  <c r="D144" i="3" s="1"/>
  <c r="C142" i="3"/>
  <c r="B142" i="3"/>
  <c r="C141" i="3"/>
  <c r="B141" i="3"/>
  <c r="D140" i="3"/>
  <c r="C140" i="3"/>
  <c r="B140" i="3"/>
  <c r="D139" i="3"/>
  <c r="C139" i="3"/>
  <c r="B139" i="3"/>
  <c r="C138" i="3"/>
  <c r="B138" i="3"/>
  <c r="D137" i="3"/>
  <c r="C137" i="3"/>
  <c r="B137" i="3"/>
  <c r="D136" i="3"/>
  <c r="C136" i="3"/>
  <c r="B136" i="3"/>
  <c r="C135" i="3"/>
  <c r="B135" i="3"/>
  <c r="D134" i="3"/>
  <c r="C134" i="3"/>
  <c r="B134" i="3"/>
  <c r="D133" i="3"/>
  <c r="C133" i="3"/>
  <c r="B133" i="3"/>
  <c r="C130" i="3"/>
  <c r="B130" i="3"/>
  <c r="C129" i="3"/>
  <c r="B129" i="3"/>
  <c r="L128" i="3"/>
  <c r="C128" i="3"/>
  <c r="B128" i="3"/>
  <c r="E127" i="3"/>
  <c r="C127" i="3"/>
  <c r="B127" i="3"/>
  <c r="E126" i="3"/>
  <c r="C126" i="3"/>
  <c r="B126" i="3"/>
  <c r="L125" i="3"/>
  <c r="D125" i="3"/>
  <c r="C125" i="3"/>
  <c r="B125" i="3"/>
  <c r="C124" i="3"/>
  <c r="B124" i="3"/>
  <c r="C123" i="3"/>
  <c r="B123" i="3"/>
  <c r="L122" i="3"/>
  <c r="D122" i="3"/>
  <c r="C122" i="3"/>
  <c r="B122" i="3"/>
  <c r="C121" i="3"/>
  <c r="B121" i="3"/>
  <c r="C120" i="3"/>
  <c r="B120" i="3"/>
  <c r="C119" i="3"/>
  <c r="B119" i="3"/>
  <c r="L118" i="3"/>
  <c r="L119" i="3" s="1"/>
  <c r="D118" i="3"/>
  <c r="C118" i="3"/>
  <c r="B118" i="3"/>
  <c r="C117" i="3"/>
  <c r="B117" i="3"/>
  <c r="C116" i="3"/>
  <c r="B116" i="3"/>
  <c r="C115" i="3"/>
  <c r="B115" i="3"/>
  <c r="C114" i="3"/>
  <c r="B114" i="3"/>
  <c r="L113" i="3"/>
  <c r="D113" i="3"/>
  <c r="C113" i="3"/>
  <c r="B113" i="3"/>
  <c r="C112" i="3"/>
  <c r="B112" i="3"/>
  <c r="C111" i="3"/>
  <c r="B111" i="3"/>
  <c r="L110" i="3"/>
  <c r="D110" i="3"/>
  <c r="C110" i="3"/>
  <c r="B110" i="3"/>
  <c r="C109" i="3"/>
  <c r="B109" i="3"/>
  <c r="C108" i="3"/>
  <c r="B108" i="3"/>
  <c r="L107" i="3"/>
  <c r="D107" i="3"/>
  <c r="C107" i="3"/>
  <c r="B107" i="3"/>
  <c r="C106" i="3"/>
  <c r="B106" i="3"/>
  <c r="C105" i="3"/>
  <c r="B105" i="3"/>
  <c r="C104" i="3"/>
  <c r="B104" i="3"/>
  <c r="L103" i="3"/>
  <c r="D103" i="3"/>
  <c r="C103" i="3"/>
  <c r="B103" i="3"/>
  <c r="C102" i="3"/>
  <c r="B102" i="3"/>
  <c r="C101" i="3"/>
  <c r="B101" i="3"/>
  <c r="L100" i="3"/>
  <c r="D100" i="3"/>
  <c r="C100" i="3"/>
  <c r="B100" i="3"/>
  <c r="C99" i="3"/>
  <c r="B99" i="3"/>
  <c r="C98" i="3"/>
  <c r="B98" i="3"/>
  <c r="L97" i="3"/>
  <c r="D97" i="3"/>
  <c r="C97" i="3"/>
  <c r="B97" i="3"/>
  <c r="C96" i="3"/>
  <c r="B96" i="3"/>
  <c r="C95" i="3"/>
  <c r="B95" i="3"/>
  <c r="L94" i="3"/>
  <c r="D94" i="3"/>
  <c r="C94" i="3"/>
  <c r="B94" i="3"/>
  <c r="C93" i="3"/>
  <c r="B93" i="3"/>
  <c r="C92" i="3"/>
  <c r="B92" i="3"/>
  <c r="L91" i="3"/>
  <c r="D91" i="3"/>
  <c r="C91" i="3"/>
  <c r="B91" i="3"/>
  <c r="C90" i="3"/>
  <c r="B90" i="3"/>
  <c r="C89" i="3"/>
  <c r="B89" i="3"/>
  <c r="C88" i="3"/>
  <c r="B88" i="3"/>
  <c r="L87" i="3"/>
  <c r="D87" i="3"/>
  <c r="C87" i="3"/>
  <c r="B87" i="3"/>
  <c r="C86" i="3"/>
  <c r="B86" i="3"/>
  <c r="C85" i="3"/>
  <c r="B85" i="3"/>
  <c r="L84" i="3"/>
  <c r="D84" i="3"/>
  <c r="C84" i="3"/>
  <c r="B84" i="3"/>
  <c r="C83" i="3"/>
  <c r="B83" i="3"/>
  <c r="C82" i="3"/>
  <c r="B82" i="3"/>
  <c r="L81" i="3"/>
  <c r="D81" i="3"/>
  <c r="C81" i="3"/>
  <c r="B81" i="3"/>
  <c r="C80" i="3"/>
  <c r="B80" i="3"/>
  <c r="C79" i="3"/>
  <c r="B79" i="3"/>
  <c r="L78" i="3"/>
  <c r="D78" i="3"/>
  <c r="C78" i="3"/>
  <c r="B78" i="3"/>
  <c r="C77" i="3"/>
  <c r="B77" i="3"/>
  <c r="C76" i="3"/>
  <c r="B76" i="3"/>
  <c r="P70" i="3"/>
  <c r="D70" i="3"/>
  <c r="D68" i="3"/>
  <c r="L65" i="3"/>
  <c r="L62" i="3"/>
  <c r="D62" i="3"/>
  <c r="L59" i="3"/>
  <c r="D59" i="3"/>
  <c r="D58" i="3"/>
  <c r="D57" i="3"/>
  <c r="L55" i="3"/>
  <c r="L56" i="3" s="1"/>
  <c r="D55" i="3"/>
  <c r="D56" i="3" s="1"/>
  <c r="L50" i="3"/>
  <c r="D50" i="3"/>
  <c r="L47" i="3"/>
  <c r="D47" i="3"/>
  <c r="L44" i="3"/>
  <c r="D43" i="3"/>
  <c r="D42" i="3"/>
  <c r="L40" i="3"/>
  <c r="D40" i="3"/>
  <c r="L37" i="3"/>
  <c r="D37" i="3"/>
  <c r="L34" i="3"/>
  <c r="D34" i="3"/>
  <c r="L31" i="3"/>
  <c r="D31" i="3"/>
  <c r="L28" i="3"/>
  <c r="D28" i="3"/>
  <c r="L24" i="3"/>
  <c r="D24" i="3"/>
  <c r="L21" i="3"/>
  <c r="D21" i="3"/>
  <c r="P21" i="3" s="1"/>
  <c r="L18" i="3"/>
  <c r="D18" i="3"/>
  <c r="L15" i="3"/>
  <c r="D15" i="3"/>
  <c r="DG184" i="2"/>
  <c r="DI184" i="2" s="1"/>
  <c r="DC184" i="2"/>
  <c r="CV184" i="2"/>
  <c r="CX184" i="2" s="1"/>
  <c r="CR184" i="2"/>
  <c r="CK184" i="2"/>
  <c r="CM184" i="2" s="1"/>
  <c r="CG184" i="2"/>
  <c r="BZ184" i="2"/>
  <c r="CB184" i="2" s="1"/>
  <c r="BV184" i="2"/>
  <c r="BO184" i="2"/>
  <c r="BQ184" i="2" s="1"/>
  <c r="BK184" i="2"/>
  <c r="DG183" i="2"/>
  <c r="DI183" i="2" s="1"/>
  <c r="DC183" i="2"/>
  <c r="CV183" i="2"/>
  <c r="CX183" i="2" s="1"/>
  <c r="CR183" i="2"/>
  <c r="CK183" i="2"/>
  <c r="CG183" i="2"/>
  <c r="BZ183" i="2"/>
  <c r="CB183" i="2" s="1"/>
  <c r="BV183" i="2"/>
  <c r="BO183" i="2"/>
  <c r="BK183" i="2"/>
  <c r="DG181" i="2"/>
  <c r="DI181" i="2" s="1"/>
  <c r="DD181" i="2"/>
  <c r="DC181" i="2"/>
  <c r="CZ181" i="2"/>
  <c r="CY181" i="2"/>
  <c r="CV181" i="2"/>
  <c r="CX181" i="2" s="1"/>
  <c r="CS181" i="2"/>
  <c r="CR181" i="2"/>
  <c r="CO181" i="2"/>
  <c r="CN181" i="2"/>
  <c r="CK181" i="2"/>
  <c r="CM181" i="2" s="1"/>
  <c r="CH181" i="2"/>
  <c r="CG181" i="2"/>
  <c r="CD181" i="2"/>
  <c r="CC181" i="2"/>
  <c r="BZ181" i="2"/>
  <c r="CB181" i="2" s="1"/>
  <c r="BW181" i="2"/>
  <c r="BV181" i="2"/>
  <c r="BS181" i="2"/>
  <c r="BR181" i="2"/>
  <c r="BO181" i="2"/>
  <c r="BQ181" i="2" s="1"/>
  <c r="BL181" i="2"/>
  <c r="BK181" i="2"/>
  <c r="BH181" i="2"/>
  <c r="BG181" i="2"/>
  <c r="DG180" i="2"/>
  <c r="DD180" i="2"/>
  <c r="DC180" i="2"/>
  <c r="CZ180" i="2"/>
  <c r="CY180" i="2"/>
  <c r="CV180" i="2"/>
  <c r="CX180" i="2" s="1"/>
  <c r="CS180" i="2"/>
  <c r="CR180" i="2"/>
  <c r="CO180" i="2"/>
  <c r="CN180" i="2"/>
  <c r="CK180" i="2"/>
  <c r="CH180" i="2"/>
  <c r="CG180" i="2"/>
  <c r="CD180" i="2"/>
  <c r="CD182" i="2" s="1"/>
  <c r="CC180" i="2"/>
  <c r="CC182" i="2" s="1"/>
  <c r="BZ180" i="2"/>
  <c r="CB180" i="2" s="1"/>
  <c r="BW180" i="2"/>
  <c r="BV180" i="2"/>
  <c r="BV182" i="2" s="1"/>
  <c r="BS180" i="2"/>
  <c r="BR180" i="2"/>
  <c r="BO180" i="2"/>
  <c r="BL180" i="2"/>
  <c r="BK180" i="2"/>
  <c r="BH180" i="2"/>
  <c r="BG180" i="2"/>
  <c r="DG178" i="2"/>
  <c r="DI178" i="2" s="1"/>
  <c r="DD178" i="2"/>
  <c r="CZ178" i="2"/>
  <c r="CV178" i="2"/>
  <c r="CX178" i="2" s="1"/>
  <c r="CS178" i="2"/>
  <c r="CO178" i="2"/>
  <c r="CK178" i="2"/>
  <c r="CM178" i="2" s="1"/>
  <c r="CH178" i="2"/>
  <c r="CD178" i="2"/>
  <c r="BZ178" i="2"/>
  <c r="CB178" i="2" s="1"/>
  <c r="BW178" i="2"/>
  <c r="BS178" i="2"/>
  <c r="BO178" i="2"/>
  <c r="BQ178" i="2" s="1"/>
  <c r="BL178" i="2"/>
  <c r="BH178" i="2"/>
  <c r="DG177" i="2"/>
  <c r="DI177" i="2" s="1"/>
  <c r="DD177" i="2"/>
  <c r="CZ177" i="2"/>
  <c r="CV177" i="2"/>
  <c r="CX177" i="2" s="1"/>
  <c r="CS177" i="2"/>
  <c r="CO177" i="2"/>
  <c r="CK177" i="2"/>
  <c r="CM177" i="2" s="1"/>
  <c r="CH177" i="2"/>
  <c r="CD177" i="2"/>
  <c r="BZ177" i="2"/>
  <c r="BW177" i="2"/>
  <c r="BS177" i="2"/>
  <c r="BO177" i="2"/>
  <c r="BL177" i="2"/>
  <c r="BH177" i="2"/>
  <c r="CM175" i="2"/>
  <c r="DG174" i="2"/>
  <c r="DI174" i="2" s="1"/>
  <c r="DD174" i="2"/>
  <c r="DC174" i="2"/>
  <c r="CZ174" i="2"/>
  <c r="CY174" i="2"/>
  <c r="CV174" i="2"/>
  <c r="CX174" i="2" s="1"/>
  <c r="CS174" i="2"/>
  <c r="CR174" i="2"/>
  <c r="CO174" i="2"/>
  <c r="CN174" i="2"/>
  <c r="CK174" i="2"/>
  <c r="CM174" i="2" s="1"/>
  <c r="CH174" i="2"/>
  <c r="CG174" i="2"/>
  <c r="CD174" i="2"/>
  <c r="CC174" i="2"/>
  <c r="BZ174" i="2"/>
  <c r="CB174" i="2" s="1"/>
  <c r="BW174" i="2"/>
  <c r="BV174" i="2"/>
  <c r="BS174" i="2"/>
  <c r="BR174" i="2"/>
  <c r="BO174" i="2"/>
  <c r="BQ174" i="2" s="1"/>
  <c r="BL174" i="2"/>
  <c r="BK174" i="2"/>
  <c r="BH174" i="2"/>
  <c r="BG174" i="2"/>
  <c r="DG173" i="2"/>
  <c r="DI173" i="2" s="1"/>
  <c r="DD173" i="2"/>
  <c r="DC173" i="2"/>
  <c r="CZ173" i="2"/>
  <c r="CY173" i="2"/>
  <c r="CV173" i="2"/>
  <c r="CX173" i="2" s="1"/>
  <c r="CS173" i="2"/>
  <c r="CR173" i="2"/>
  <c r="CO173" i="2"/>
  <c r="CN173" i="2"/>
  <c r="CK173" i="2"/>
  <c r="CK175" i="2" s="1"/>
  <c r="CK176" i="2" s="1"/>
  <c r="CM176" i="2" s="1"/>
  <c r="CH173" i="2"/>
  <c r="CG173" i="2"/>
  <c r="CG175" i="2" s="1"/>
  <c r="CG176" i="2" s="1"/>
  <c r="CD173" i="2"/>
  <c r="CD175" i="2" s="1"/>
  <c r="CD176" i="2" s="1"/>
  <c r="CC173" i="2"/>
  <c r="CC175" i="2" s="1"/>
  <c r="CC176" i="2" s="1"/>
  <c r="BZ173" i="2"/>
  <c r="BW173" i="2"/>
  <c r="BV173" i="2"/>
  <c r="BS173" i="2"/>
  <c r="BR173" i="2"/>
  <c r="BO173" i="2"/>
  <c r="BL173" i="2"/>
  <c r="BK173" i="2"/>
  <c r="BH173" i="2"/>
  <c r="BG173" i="2"/>
  <c r="DG169" i="2"/>
  <c r="DI169" i="2" s="1"/>
  <c r="DD169" i="2"/>
  <c r="DC169" i="2"/>
  <c r="CY169" i="2"/>
  <c r="CV169" i="2"/>
  <c r="CX169" i="2" s="1"/>
  <c r="CS169" i="2"/>
  <c r="CR169" i="2"/>
  <c r="CN169" i="2"/>
  <c r="CK169" i="2"/>
  <c r="CM169" i="2" s="1"/>
  <c r="CH169" i="2"/>
  <c r="CG169" i="2"/>
  <c r="CC169" i="2"/>
  <c r="BZ169" i="2"/>
  <c r="CB169" i="2" s="1"/>
  <c r="BW169" i="2"/>
  <c r="BV169" i="2"/>
  <c r="BR169" i="2"/>
  <c r="BO169" i="2"/>
  <c r="BQ169" i="2" s="1"/>
  <c r="BL169" i="2"/>
  <c r="BK169" i="2"/>
  <c r="BG169" i="2"/>
  <c r="DG168" i="2"/>
  <c r="DD168" i="2"/>
  <c r="DC168" i="2"/>
  <c r="DC170" i="2" s="1"/>
  <c r="CY168" i="2"/>
  <c r="CY170" i="2" s="1"/>
  <c r="CV168" i="2"/>
  <c r="CX168" i="2" s="1"/>
  <c r="CS168" i="2"/>
  <c r="CR168" i="2"/>
  <c r="CR170" i="2" s="1"/>
  <c r="CN168" i="2"/>
  <c r="CK168" i="2"/>
  <c r="CH168" i="2"/>
  <c r="CG168" i="2"/>
  <c r="CC168" i="2"/>
  <c r="BZ168" i="2"/>
  <c r="CB168" i="2" s="1"/>
  <c r="BW168" i="2"/>
  <c r="BW170" i="2" s="1"/>
  <c r="BV168" i="2"/>
  <c r="BR168" i="2"/>
  <c r="BO168" i="2"/>
  <c r="BQ168" i="2" s="1"/>
  <c r="BL168" i="2"/>
  <c r="BK168" i="2"/>
  <c r="BG168" i="2"/>
  <c r="DG166" i="2"/>
  <c r="DI166" i="2" s="1"/>
  <c r="DD166" i="2"/>
  <c r="CZ166" i="2"/>
  <c r="CY166" i="2"/>
  <c r="CV166" i="2"/>
  <c r="CX166" i="2" s="1"/>
  <c r="CS166" i="2"/>
  <c r="CO166" i="2"/>
  <c r="CN166" i="2"/>
  <c r="CK166" i="2"/>
  <c r="CM166" i="2" s="1"/>
  <c r="CH166" i="2"/>
  <c r="CD166" i="2"/>
  <c r="CC166" i="2"/>
  <c r="BZ166" i="2"/>
  <c r="CB166" i="2" s="1"/>
  <c r="BW166" i="2"/>
  <c r="BS166" i="2"/>
  <c r="BR166" i="2"/>
  <c r="BO166" i="2"/>
  <c r="BQ166" i="2" s="1"/>
  <c r="BL166" i="2"/>
  <c r="BH166" i="2"/>
  <c r="BG166" i="2"/>
  <c r="DG165" i="2"/>
  <c r="DD165" i="2"/>
  <c r="CZ165" i="2"/>
  <c r="CZ167" i="2" s="1"/>
  <c r="CY165" i="2"/>
  <c r="CY167" i="2" s="1"/>
  <c r="CV165" i="2"/>
  <c r="CX165" i="2" s="1"/>
  <c r="CS165" i="2"/>
  <c r="CO165" i="2"/>
  <c r="CO167" i="2" s="1"/>
  <c r="CN165" i="2"/>
  <c r="CK165" i="2"/>
  <c r="CM165" i="2" s="1"/>
  <c r="CH165" i="2"/>
  <c r="CH167" i="2" s="1"/>
  <c r="CD165" i="2"/>
  <c r="CC165" i="2"/>
  <c r="BZ165" i="2"/>
  <c r="BW165" i="2"/>
  <c r="BW167" i="2" s="1"/>
  <c r="BS165" i="2"/>
  <c r="BR165" i="2"/>
  <c r="BO165" i="2"/>
  <c r="BL165" i="2"/>
  <c r="BH165" i="2"/>
  <c r="BG165" i="2"/>
  <c r="DG163" i="2"/>
  <c r="DI163" i="2" s="1"/>
  <c r="DD163" i="2"/>
  <c r="CZ163" i="2"/>
  <c r="CV163" i="2"/>
  <c r="CX163" i="2" s="1"/>
  <c r="CS163" i="2"/>
  <c r="CO163" i="2"/>
  <c r="CK163" i="2"/>
  <c r="CM163" i="2" s="1"/>
  <c r="CH163" i="2"/>
  <c r="CD163" i="2"/>
  <c r="BZ163" i="2"/>
  <c r="CB163" i="2" s="1"/>
  <c r="BW163" i="2"/>
  <c r="BS163" i="2"/>
  <c r="BO163" i="2"/>
  <c r="BQ163" i="2" s="1"/>
  <c r="BL163" i="2"/>
  <c r="BH163" i="2"/>
  <c r="DG162" i="2"/>
  <c r="DI162" i="2" s="1"/>
  <c r="DD162" i="2"/>
  <c r="CZ162" i="2"/>
  <c r="CV162" i="2"/>
  <c r="CX162" i="2" s="1"/>
  <c r="CS162" i="2"/>
  <c r="CO162" i="2"/>
  <c r="CK162" i="2"/>
  <c r="CH162" i="2"/>
  <c r="CD162" i="2"/>
  <c r="BZ162" i="2"/>
  <c r="CB162" i="2" s="1"/>
  <c r="BW162" i="2"/>
  <c r="BS162" i="2"/>
  <c r="BO162" i="2"/>
  <c r="BQ162" i="2" s="1"/>
  <c r="BL162" i="2"/>
  <c r="BH162" i="2"/>
  <c r="DG159" i="2"/>
  <c r="DI159" i="2" s="1"/>
  <c r="DD159" i="2"/>
  <c r="DC159" i="2"/>
  <c r="CZ159" i="2"/>
  <c r="CY159" i="2"/>
  <c r="CV159" i="2"/>
  <c r="CX159" i="2" s="1"/>
  <c r="CS159" i="2"/>
  <c r="CR159" i="2"/>
  <c r="CO159" i="2"/>
  <c r="CN159" i="2"/>
  <c r="CK159" i="2"/>
  <c r="CM159" i="2" s="1"/>
  <c r="CH159" i="2"/>
  <c r="CG159" i="2"/>
  <c r="CD159" i="2"/>
  <c r="CC159" i="2"/>
  <c r="BZ159" i="2"/>
  <c r="CB159" i="2" s="1"/>
  <c r="BW159" i="2"/>
  <c r="BV159" i="2"/>
  <c r="BS159" i="2"/>
  <c r="BR159" i="2"/>
  <c r="BO159" i="2"/>
  <c r="BQ159" i="2" s="1"/>
  <c r="BL159" i="2"/>
  <c r="BK159" i="2"/>
  <c r="BH159" i="2"/>
  <c r="BG159" i="2"/>
  <c r="DG158" i="2"/>
  <c r="DD158" i="2"/>
  <c r="DC158" i="2"/>
  <c r="CZ158" i="2"/>
  <c r="CY158" i="2"/>
  <c r="CV158" i="2"/>
  <c r="CX158" i="2" s="1"/>
  <c r="CS158" i="2"/>
  <c r="CR158" i="2"/>
  <c r="CO158" i="2"/>
  <c r="CN158" i="2"/>
  <c r="CK158" i="2"/>
  <c r="CK160" i="2" s="1"/>
  <c r="CM160" i="2" s="1"/>
  <c r="CH158" i="2"/>
  <c r="CH160" i="2" s="1"/>
  <c r="CG158" i="2"/>
  <c r="CG160" i="2" s="1"/>
  <c r="CD158" i="2"/>
  <c r="CD160" i="2" s="1"/>
  <c r="CC158" i="2"/>
  <c r="BZ158" i="2"/>
  <c r="CB158" i="2" s="1"/>
  <c r="BW158" i="2"/>
  <c r="BV158" i="2"/>
  <c r="BS158" i="2"/>
  <c r="BR158" i="2"/>
  <c r="BQ158" i="2"/>
  <c r="BO158" i="2"/>
  <c r="BL158" i="2"/>
  <c r="BK158" i="2"/>
  <c r="BH158" i="2"/>
  <c r="BG158" i="2"/>
  <c r="DG156" i="2"/>
  <c r="DI156" i="2" s="1"/>
  <c r="DD156" i="2"/>
  <c r="DC156" i="2"/>
  <c r="CZ156" i="2"/>
  <c r="CY156" i="2"/>
  <c r="CV156" i="2"/>
  <c r="CX156" i="2" s="1"/>
  <c r="CS156" i="2"/>
  <c r="CR156" i="2"/>
  <c r="CO156" i="2"/>
  <c r="CN156" i="2"/>
  <c r="CK156" i="2"/>
  <c r="CM156" i="2" s="1"/>
  <c r="CH156" i="2"/>
  <c r="CG156" i="2"/>
  <c r="CD156" i="2"/>
  <c r="CC156" i="2"/>
  <c r="BZ156" i="2"/>
  <c r="CB156" i="2" s="1"/>
  <c r="BW156" i="2"/>
  <c r="BV156" i="2"/>
  <c r="BS156" i="2"/>
  <c r="BR156" i="2"/>
  <c r="BO156" i="2"/>
  <c r="BQ156" i="2" s="1"/>
  <c r="BL156" i="2"/>
  <c r="BK156" i="2"/>
  <c r="BH156" i="2"/>
  <c r="BG156" i="2"/>
  <c r="DG155" i="2"/>
  <c r="DD155" i="2"/>
  <c r="DD157" i="2" s="1"/>
  <c r="DC155" i="2"/>
  <c r="CZ155" i="2"/>
  <c r="CY155" i="2"/>
  <c r="CV155" i="2"/>
  <c r="CX155" i="2" s="1"/>
  <c r="CS155" i="2"/>
  <c r="CR155" i="2"/>
  <c r="CO155" i="2"/>
  <c r="CN155" i="2"/>
  <c r="CK155" i="2"/>
  <c r="CM155" i="2" s="1"/>
  <c r="CH155" i="2"/>
  <c r="CG155" i="2"/>
  <c r="CD155" i="2"/>
  <c r="CC155" i="2"/>
  <c r="BZ155" i="2"/>
  <c r="BW155" i="2"/>
  <c r="BV155" i="2"/>
  <c r="BS155" i="2"/>
  <c r="BR155" i="2"/>
  <c r="BO155" i="2"/>
  <c r="BQ155" i="2" s="1"/>
  <c r="BL155" i="2"/>
  <c r="BK155" i="2"/>
  <c r="BH155" i="2"/>
  <c r="BG155" i="2"/>
  <c r="DG153" i="2"/>
  <c r="DI153" i="2" s="1"/>
  <c r="DD153" i="2"/>
  <c r="DC153" i="2"/>
  <c r="CZ153" i="2"/>
  <c r="CY153" i="2"/>
  <c r="CV153" i="2"/>
  <c r="CX153" i="2" s="1"/>
  <c r="CS153" i="2"/>
  <c r="CR153" i="2"/>
  <c r="CO153" i="2"/>
  <c r="CN153" i="2"/>
  <c r="CK153" i="2"/>
  <c r="CM153" i="2" s="1"/>
  <c r="CH153" i="2"/>
  <c r="CG153" i="2"/>
  <c r="CD153" i="2"/>
  <c r="CC153" i="2"/>
  <c r="BZ153" i="2"/>
  <c r="CB153" i="2" s="1"/>
  <c r="BW153" i="2"/>
  <c r="BV153" i="2"/>
  <c r="BS153" i="2"/>
  <c r="BR153" i="2"/>
  <c r="BO153" i="2"/>
  <c r="BQ153" i="2" s="1"/>
  <c r="BL153" i="2"/>
  <c r="BK153" i="2"/>
  <c r="BH153" i="2"/>
  <c r="BG153" i="2"/>
  <c r="DG152" i="2"/>
  <c r="DD152" i="2"/>
  <c r="DC152" i="2"/>
  <c r="CZ152" i="2"/>
  <c r="CY152" i="2"/>
  <c r="CV152" i="2"/>
  <c r="CX152" i="2" s="1"/>
  <c r="CS152" i="2"/>
  <c r="CR152" i="2"/>
  <c r="CO152" i="2"/>
  <c r="CN152" i="2"/>
  <c r="CK152" i="2"/>
  <c r="CM152" i="2" s="1"/>
  <c r="CH152" i="2"/>
  <c r="CG152" i="2"/>
  <c r="CD152" i="2"/>
  <c r="CC152" i="2"/>
  <c r="BZ152" i="2"/>
  <c r="CB152" i="2" s="1"/>
  <c r="BW152" i="2"/>
  <c r="BV152" i="2"/>
  <c r="BS152" i="2"/>
  <c r="BR152" i="2"/>
  <c r="BO152" i="2"/>
  <c r="BL152" i="2"/>
  <c r="BK152" i="2"/>
  <c r="BH152" i="2"/>
  <c r="BG152" i="2"/>
  <c r="DG150" i="2"/>
  <c r="DI150" i="2" s="1"/>
  <c r="DD150" i="2"/>
  <c r="DC150" i="2"/>
  <c r="CZ150" i="2"/>
  <c r="CY150" i="2"/>
  <c r="CV150" i="2"/>
  <c r="CX150" i="2" s="1"/>
  <c r="CS150" i="2"/>
  <c r="CR150" i="2"/>
  <c r="CO150" i="2"/>
  <c r="CN150" i="2"/>
  <c r="CK150" i="2"/>
  <c r="CM150" i="2" s="1"/>
  <c r="CH150" i="2"/>
  <c r="CG150" i="2"/>
  <c r="CD150" i="2"/>
  <c r="CC150" i="2"/>
  <c r="BZ150" i="2"/>
  <c r="CB150" i="2" s="1"/>
  <c r="BW150" i="2"/>
  <c r="BV150" i="2"/>
  <c r="BS150" i="2"/>
  <c r="BR150" i="2"/>
  <c r="BO150" i="2"/>
  <c r="BQ150" i="2" s="1"/>
  <c r="BL150" i="2"/>
  <c r="BK150" i="2"/>
  <c r="BH150" i="2"/>
  <c r="BG150" i="2"/>
  <c r="DG149" i="2"/>
  <c r="DI149" i="2" s="1"/>
  <c r="DD149" i="2"/>
  <c r="DC149" i="2"/>
  <c r="CZ149" i="2"/>
  <c r="CY149" i="2"/>
  <c r="CV149" i="2"/>
  <c r="CX149" i="2" s="1"/>
  <c r="CS149" i="2"/>
  <c r="CR149" i="2"/>
  <c r="CO149" i="2"/>
  <c r="CN149" i="2"/>
  <c r="CK149" i="2"/>
  <c r="CH149" i="2"/>
  <c r="CG149" i="2"/>
  <c r="CG151" i="2" s="1"/>
  <c r="CD149" i="2"/>
  <c r="CC149" i="2"/>
  <c r="BZ149" i="2"/>
  <c r="BW149" i="2"/>
  <c r="BV149" i="2"/>
  <c r="BS149" i="2"/>
  <c r="BR149" i="2"/>
  <c r="BO149" i="2"/>
  <c r="BQ149" i="2" s="1"/>
  <c r="BL149" i="2"/>
  <c r="BK149" i="2"/>
  <c r="BH149" i="2"/>
  <c r="BG149" i="2"/>
  <c r="DG147" i="2"/>
  <c r="DI147" i="2" s="1"/>
  <c r="DD147" i="2"/>
  <c r="DC147" i="2"/>
  <c r="CZ147" i="2"/>
  <c r="CY147" i="2"/>
  <c r="CV147" i="2"/>
  <c r="CX147" i="2" s="1"/>
  <c r="CS147" i="2"/>
  <c r="CR147" i="2"/>
  <c r="CO147" i="2"/>
  <c r="CN147" i="2"/>
  <c r="CK147" i="2"/>
  <c r="CM147" i="2" s="1"/>
  <c r="CH147" i="2"/>
  <c r="CG147" i="2"/>
  <c r="CD147" i="2"/>
  <c r="CC147" i="2"/>
  <c r="BZ147" i="2"/>
  <c r="CB147" i="2" s="1"/>
  <c r="BW147" i="2"/>
  <c r="BV147" i="2"/>
  <c r="BS147" i="2"/>
  <c r="BR147" i="2"/>
  <c r="BO147" i="2"/>
  <c r="BQ147" i="2" s="1"/>
  <c r="BL147" i="2"/>
  <c r="BK147" i="2"/>
  <c r="BH147" i="2"/>
  <c r="BG147" i="2"/>
  <c r="DG146" i="2"/>
  <c r="DD146" i="2"/>
  <c r="CY146" i="2"/>
  <c r="CV146" i="2"/>
  <c r="CX146" i="2" s="1"/>
  <c r="CS146" i="2"/>
  <c r="CN146" i="2"/>
  <c r="CK146" i="2"/>
  <c r="CH146" i="2"/>
  <c r="CC146" i="2"/>
  <c r="BZ146" i="2"/>
  <c r="CB146" i="2" s="1"/>
  <c r="BW146" i="2"/>
  <c r="BR146" i="2"/>
  <c r="BO146" i="2"/>
  <c r="BL146" i="2"/>
  <c r="BG146" i="2"/>
  <c r="DG143" i="2"/>
  <c r="DI143" i="2" s="1"/>
  <c r="DD143" i="2"/>
  <c r="DC143" i="2"/>
  <c r="CZ143" i="2"/>
  <c r="CY143" i="2"/>
  <c r="CY144" i="2" s="1"/>
  <c r="CV143" i="2"/>
  <c r="CX143" i="2" s="1"/>
  <c r="CS143" i="2"/>
  <c r="CR143" i="2"/>
  <c r="CO143" i="2"/>
  <c r="CN143" i="2"/>
  <c r="CK143" i="2"/>
  <c r="CM143" i="2" s="1"/>
  <c r="CH143" i="2"/>
  <c r="CG143" i="2"/>
  <c r="CD143" i="2"/>
  <c r="CC143" i="2"/>
  <c r="BZ143" i="2"/>
  <c r="CB143" i="2" s="1"/>
  <c r="BW143" i="2"/>
  <c r="BV143" i="2"/>
  <c r="BS143" i="2"/>
  <c r="BR143" i="2"/>
  <c r="BO143" i="2"/>
  <c r="BQ143" i="2" s="1"/>
  <c r="BL143" i="2"/>
  <c r="BK143" i="2"/>
  <c r="BH143" i="2"/>
  <c r="BG143" i="2"/>
  <c r="DG142" i="2"/>
  <c r="DD142" i="2"/>
  <c r="DC142" i="2"/>
  <c r="CZ142" i="2"/>
  <c r="CY142" i="2"/>
  <c r="CV142" i="2"/>
  <c r="CS142" i="2"/>
  <c r="CR142" i="2"/>
  <c r="CO142" i="2"/>
  <c r="CN142" i="2"/>
  <c r="CK142" i="2"/>
  <c r="CH142" i="2"/>
  <c r="CG142" i="2"/>
  <c r="CD142" i="2"/>
  <c r="CC142" i="2"/>
  <c r="BZ142" i="2"/>
  <c r="CB142" i="2" s="1"/>
  <c r="BW142" i="2"/>
  <c r="BV142" i="2"/>
  <c r="BS142" i="2"/>
  <c r="BR142" i="2"/>
  <c r="BO142" i="2"/>
  <c r="BL142" i="2"/>
  <c r="BK142" i="2"/>
  <c r="BH142" i="2"/>
  <c r="BG142" i="2"/>
  <c r="DG140" i="2"/>
  <c r="DI140" i="2" s="1"/>
  <c r="DD140" i="2"/>
  <c r="DC140" i="2"/>
  <c r="CZ140" i="2"/>
  <c r="CY140" i="2"/>
  <c r="CV140" i="2"/>
  <c r="CX140" i="2" s="1"/>
  <c r="CS140" i="2"/>
  <c r="CR140" i="2"/>
  <c r="CO140" i="2"/>
  <c r="CN140" i="2"/>
  <c r="CK140" i="2"/>
  <c r="CM140" i="2" s="1"/>
  <c r="CH140" i="2"/>
  <c r="CG140" i="2"/>
  <c r="CD140" i="2"/>
  <c r="CC140" i="2"/>
  <c r="BZ140" i="2"/>
  <c r="CB140" i="2" s="1"/>
  <c r="BW140" i="2"/>
  <c r="BV140" i="2"/>
  <c r="BS140" i="2"/>
  <c r="BR140" i="2"/>
  <c r="BO140" i="2"/>
  <c r="BQ140" i="2" s="1"/>
  <c r="BL140" i="2"/>
  <c r="BK140" i="2"/>
  <c r="BH140" i="2"/>
  <c r="BG140" i="2"/>
  <c r="DG139" i="2"/>
  <c r="DD139" i="2"/>
  <c r="DC139" i="2"/>
  <c r="DC141" i="2" s="1"/>
  <c r="CZ139" i="2"/>
  <c r="CY139" i="2"/>
  <c r="CV139" i="2"/>
  <c r="CS139" i="2"/>
  <c r="CR139" i="2"/>
  <c r="CO139" i="2"/>
  <c r="CN139" i="2"/>
  <c r="CK139" i="2"/>
  <c r="CM139" i="2" s="1"/>
  <c r="CH139" i="2"/>
  <c r="CG139" i="2"/>
  <c r="CD139" i="2"/>
  <c r="CC139" i="2"/>
  <c r="BZ139" i="2"/>
  <c r="BW139" i="2"/>
  <c r="BV139" i="2"/>
  <c r="BS139" i="2"/>
  <c r="BR139" i="2"/>
  <c r="BO139" i="2"/>
  <c r="BL139" i="2"/>
  <c r="BK139" i="2"/>
  <c r="BH139" i="2"/>
  <c r="BH141" i="2" s="1"/>
  <c r="BG139" i="2"/>
  <c r="DG137" i="2"/>
  <c r="DI137" i="2" s="1"/>
  <c r="DD137" i="2"/>
  <c r="DC137" i="2"/>
  <c r="CY137" i="2"/>
  <c r="CV137" i="2"/>
  <c r="CX137" i="2" s="1"/>
  <c r="CS137" i="2"/>
  <c r="CR137" i="2"/>
  <c r="CN137" i="2"/>
  <c r="CK137" i="2"/>
  <c r="CM137" i="2" s="1"/>
  <c r="CH137" i="2"/>
  <c r="CG137" i="2"/>
  <c r="CC137" i="2"/>
  <c r="BZ137" i="2"/>
  <c r="CB137" i="2" s="1"/>
  <c r="BW137" i="2"/>
  <c r="BV137" i="2"/>
  <c r="BR137" i="2"/>
  <c r="BO137" i="2"/>
  <c r="BQ137" i="2" s="1"/>
  <c r="BL137" i="2"/>
  <c r="BK137" i="2"/>
  <c r="BG137" i="2"/>
  <c r="DG136" i="2"/>
  <c r="DD136" i="2"/>
  <c r="DC136" i="2"/>
  <c r="DC138" i="2" s="1"/>
  <c r="CY136" i="2"/>
  <c r="CV136" i="2"/>
  <c r="CX136" i="2" s="1"/>
  <c r="CS136" i="2"/>
  <c r="CS138" i="2" s="1"/>
  <c r="CR136" i="2"/>
  <c r="CN136" i="2"/>
  <c r="CN138" i="2" s="1"/>
  <c r="CK136" i="2"/>
  <c r="CH136" i="2"/>
  <c r="CH138" i="2" s="1"/>
  <c r="CG136" i="2"/>
  <c r="CG138" i="2" s="1"/>
  <c r="CC136" i="2"/>
  <c r="CC138" i="2" s="1"/>
  <c r="BZ136" i="2"/>
  <c r="CB136" i="2" s="1"/>
  <c r="BW136" i="2"/>
  <c r="BV136" i="2"/>
  <c r="BR136" i="2"/>
  <c r="BO136" i="2"/>
  <c r="BL136" i="2"/>
  <c r="BK136" i="2"/>
  <c r="BG136" i="2"/>
  <c r="BG138" i="2" s="1"/>
  <c r="DG134" i="2"/>
  <c r="DI134" i="2" s="1"/>
  <c r="DD134" i="2"/>
  <c r="DC134" i="2"/>
  <c r="CY134" i="2"/>
  <c r="CV134" i="2"/>
  <c r="CX134" i="2" s="1"/>
  <c r="CS134" i="2"/>
  <c r="CR134" i="2"/>
  <c r="CN134" i="2"/>
  <c r="CK134" i="2"/>
  <c r="CM134" i="2" s="1"/>
  <c r="CH134" i="2"/>
  <c r="CG134" i="2"/>
  <c r="CC134" i="2"/>
  <c r="BZ134" i="2"/>
  <c r="BW134" i="2"/>
  <c r="BV134" i="2"/>
  <c r="BR134" i="2"/>
  <c r="BO134" i="2"/>
  <c r="BQ134" i="2" s="1"/>
  <c r="BL134" i="2"/>
  <c r="BK134" i="2"/>
  <c r="BG134" i="2"/>
  <c r="DG133" i="2"/>
  <c r="DG135" i="2" s="1"/>
  <c r="DD133" i="2"/>
  <c r="DC133" i="2"/>
  <c r="DC135" i="2" s="1"/>
  <c r="CY133" i="2"/>
  <c r="CY135" i="2" s="1"/>
  <c r="CV133" i="2"/>
  <c r="CX133" i="2" s="1"/>
  <c r="CS133" i="2"/>
  <c r="CS135" i="2" s="1"/>
  <c r="CR133" i="2"/>
  <c r="CR135" i="2" s="1"/>
  <c r="CN133" i="2"/>
  <c r="CK133" i="2"/>
  <c r="CM133" i="2" s="1"/>
  <c r="CH133" i="2"/>
  <c r="CG133" i="2"/>
  <c r="CC133" i="2"/>
  <c r="BZ133" i="2"/>
  <c r="CB133" i="2" s="1"/>
  <c r="BW133" i="2"/>
  <c r="BW135" i="2" s="1"/>
  <c r="BV133" i="2"/>
  <c r="BV135" i="2" s="1"/>
  <c r="BR133" i="2"/>
  <c r="BR135" i="2" s="1"/>
  <c r="BO133" i="2"/>
  <c r="BL133" i="2"/>
  <c r="BK133" i="2"/>
  <c r="BG133" i="2"/>
  <c r="DG128" i="2"/>
  <c r="DD128" i="2"/>
  <c r="DC128" i="2"/>
  <c r="CV128" i="2"/>
  <c r="CS128" i="2"/>
  <c r="CR128" i="2"/>
  <c r="CK128" i="2"/>
  <c r="CH128" i="2"/>
  <c r="CG128" i="2"/>
  <c r="BZ128" i="2"/>
  <c r="BW128" i="2"/>
  <c r="BV128" i="2"/>
  <c r="BO128" i="2"/>
  <c r="BL128" i="2"/>
  <c r="BK128" i="2"/>
  <c r="DH127" i="2"/>
  <c r="DI127" i="2" s="1"/>
  <c r="DF127" i="2"/>
  <c r="DE127" i="2"/>
  <c r="CZ127" i="2"/>
  <c r="DA127" i="2" s="1"/>
  <c r="CW127" i="2"/>
  <c r="CX127" i="2" s="1"/>
  <c r="CU127" i="2"/>
  <c r="CT127" i="2"/>
  <c r="CQ127" i="2"/>
  <c r="CO127" i="2"/>
  <c r="CP127" i="2" s="1"/>
  <c r="CL127" i="2"/>
  <c r="CM127" i="2" s="1"/>
  <c r="CJ127" i="2"/>
  <c r="CI127" i="2"/>
  <c r="CD127" i="2"/>
  <c r="CA127" i="2"/>
  <c r="CB127" i="2" s="1"/>
  <c r="BY127" i="2"/>
  <c r="BX127" i="2"/>
  <c r="BS127" i="2"/>
  <c r="BT127" i="2" s="1"/>
  <c r="BP127" i="2"/>
  <c r="BQ127" i="2" s="1"/>
  <c r="BN127" i="2"/>
  <c r="BM127" i="2"/>
  <c r="BH127" i="2"/>
  <c r="DH126" i="2"/>
  <c r="DI126" i="2" s="1"/>
  <c r="DF126" i="2"/>
  <c r="DE126" i="2"/>
  <c r="DB126" i="2"/>
  <c r="CZ126" i="2"/>
  <c r="DA126" i="2" s="1"/>
  <c r="CW126" i="2"/>
  <c r="CX126" i="2" s="1"/>
  <c r="CU126" i="2"/>
  <c r="CT126" i="2"/>
  <c r="CO126" i="2"/>
  <c r="CL126" i="2"/>
  <c r="CM126" i="2" s="1"/>
  <c r="CJ126" i="2"/>
  <c r="CI126" i="2"/>
  <c r="CD126" i="2"/>
  <c r="CE126" i="2" s="1"/>
  <c r="CA126" i="2"/>
  <c r="CB126" i="2" s="1"/>
  <c r="BY126" i="2"/>
  <c r="BX126" i="2"/>
  <c r="BS126" i="2"/>
  <c r="BP126" i="2"/>
  <c r="BQ126" i="2" s="1"/>
  <c r="BN126" i="2"/>
  <c r="BM126" i="2"/>
  <c r="BH126" i="2"/>
  <c r="BJ126" i="2" s="1"/>
  <c r="DG125" i="2"/>
  <c r="DD125" i="2"/>
  <c r="DC125" i="2"/>
  <c r="CZ125" i="2"/>
  <c r="CY125" i="2"/>
  <c r="CV125" i="2"/>
  <c r="CW125" i="2" s="1"/>
  <c r="CX125" i="2" s="1"/>
  <c r="CS125" i="2"/>
  <c r="CR125" i="2"/>
  <c r="CO125" i="2"/>
  <c r="CN125" i="2"/>
  <c r="CK125" i="2"/>
  <c r="CH125" i="2"/>
  <c r="CG125" i="2"/>
  <c r="CD125" i="2"/>
  <c r="CC125" i="2"/>
  <c r="BZ125" i="2"/>
  <c r="BW125" i="2"/>
  <c r="BV125" i="2"/>
  <c r="BS125" i="2"/>
  <c r="BR125" i="2"/>
  <c r="BO125" i="2"/>
  <c r="BL125" i="2"/>
  <c r="BK125" i="2"/>
  <c r="BH125" i="2"/>
  <c r="BG125" i="2"/>
  <c r="DH124" i="2"/>
  <c r="DI124" i="2" s="1"/>
  <c r="DF124" i="2"/>
  <c r="DE124" i="2"/>
  <c r="DB124" i="2"/>
  <c r="DA124" i="2"/>
  <c r="CW124" i="2"/>
  <c r="CX124" i="2" s="1"/>
  <c r="CU124" i="2"/>
  <c r="CT124" i="2"/>
  <c r="CQ124" i="2"/>
  <c r="CP124" i="2"/>
  <c r="CL124" i="2"/>
  <c r="CM124" i="2" s="1"/>
  <c r="CJ124" i="2"/>
  <c r="CI124" i="2"/>
  <c r="CF124" i="2"/>
  <c r="CE124" i="2"/>
  <c r="CA124" i="2"/>
  <c r="CB124" i="2" s="1"/>
  <c r="BY124" i="2"/>
  <c r="BX124" i="2"/>
  <c r="BU124" i="2"/>
  <c r="BT124" i="2"/>
  <c r="BP124" i="2"/>
  <c r="BQ124" i="2" s="1"/>
  <c r="BN124" i="2"/>
  <c r="BM124" i="2"/>
  <c r="BJ124" i="2"/>
  <c r="BI124" i="2"/>
  <c r="DH123" i="2"/>
  <c r="DI123" i="2" s="1"/>
  <c r="DF123" i="2"/>
  <c r="DE123" i="2"/>
  <c r="DB123" i="2"/>
  <c r="DA123" i="2"/>
  <c r="CW123" i="2"/>
  <c r="CX123" i="2" s="1"/>
  <c r="CU123" i="2"/>
  <c r="CT123" i="2"/>
  <c r="CQ123" i="2"/>
  <c r="CP123" i="2"/>
  <c r="CL123" i="2"/>
  <c r="CM123" i="2" s="1"/>
  <c r="CJ123" i="2"/>
  <c r="CI123" i="2"/>
  <c r="CF123" i="2"/>
  <c r="CE123" i="2"/>
  <c r="CA123" i="2"/>
  <c r="CB123" i="2" s="1"/>
  <c r="BY123" i="2"/>
  <c r="BX123" i="2"/>
  <c r="BU123" i="2"/>
  <c r="BT123" i="2"/>
  <c r="BP123" i="2"/>
  <c r="BQ123" i="2" s="1"/>
  <c r="BN123" i="2"/>
  <c r="BM123" i="2"/>
  <c r="BJ123" i="2"/>
  <c r="BI123" i="2"/>
  <c r="DG122" i="2"/>
  <c r="DD122" i="2"/>
  <c r="DC122" i="2"/>
  <c r="CZ122" i="2"/>
  <c r="CY122" i="2"/>
  <c r="CV122" i="2"/>
  <c r="CS122" i="2"/>
  <c r="CR122" i="2"/>
  <c r="CO122" i="2"/>
  <c r="CN122" i="2"/>
  <c r="CK122" i="2"/>
  <c r="CH122" i="2"/>
  <c r="CG122" i="2"/>
  <c r="CD122" i="2"/>
  <c r="CC122" i="2"/>
  <c r="BZ122" i="2"/>
  <c r="BW122" i="2"/>
  <c r="BV122" i="2"/>
  <c r="BS122" i="2"/>
  <c r="BR122" i="2"/>
  <c r="BO122" i="2"/>
  <c r="BL122" i="2"/>
  <c r="BK122" i="2"/>
  <c r="BH122" i="2"/>
  <c r="BG122" i="2"/>
  <c r="DH121" i="2"/>
  <c r="DI121" i="2" s="1"/>
  <c r="DF121" i="2"/>
  <c r="DE121" i="2"/>
  <c r="DB121" i="2"/>
  <c r="DA121" i="2"/>
  <c r="CW121" i="2"/>
  <c r="CX121" i="2" s="1"/>
  <c r="CU121" i="2"/>
  <c r="CT121" i="2"/>
  <c r="CQ121" i="2"/>
  <c r="CP121" i="2"/>
  <c r="CL121" i="2"/>
  <c r="CM121" i="2" s="1"/>
  <c r="CJ121" i="2"/>
  <c r="CI121" i="2"/>
  <c r="CF121" i="2"/>
  <c r="CE121" i="2"/>
  <c r="CA121" i="2"/>
  <c r="CB121" i="2" s="1"/>
  <c r="BY121" i="2"/>
  <c r="BX121" i="2"/>
  <c r="BU121" i="2"/>
  <c r="BT121" i="2"/>
  <c r="BP121" i="2"/>
  <c r="BQ121" i="2" s="1"/>
  <c r="BN121" i="2"/>
  <c r="BM121" i="2"/>
  <c r="BJ121" i="2"/>
  <c r="BI121" i="2"/>
  <c r="DH120" i="2"/>
  <c r="DI120" i="2" s="1"/>
  <c r="DF120" i="2"/>
  <c r="DE120" i="2"/>
  <c r="DB120" i="2"/>
  <c r="DA120" i="2"/>
  <c r="CW120" i="2"/>
  <c r="CX120" i="2" s="1"/>
  <c r="CU120" i="2"/>
  <c r="CT120" i="2"/>
  <c r="CQ120" i="2"/>
  <c r="CP120" i="2"/>
  <c r="CL120" i="2"/>
  <c r="CM120" i="2" s="1"/>
  <c r="CJ120" i="2"/>
  <c r="CI120" i="2"/>
  <c r="CF120" i="2"/>
  <c r="CE120" i="2"/>
  <c r="CA120" i="2"/>
  <c r="CB120" i="2" s="1"/>
  <c r="BY120" i="2"/>
  <c r="BX120" i="2"/>
  <c r="BU120" i="2"/>
  <c r="BT120" i="2"/>
  <c r="BP120" i="2"/>
  <c r="BQ120" i="2" s="1"/>
  <c r="BN120" i="2"/>
  <c r="BM120" i="2"/>
  <c r="BJ120" i="2"/>
  <c r="BI120" i="2"/>
  <c r="DG118" i="2"/>
  <c r="DD118" i="2"/>
  <c r="DD119" i="2" s="1"/>
  <c r="DC118" i="2"/>
  <c r="DC119" i="2" s="1"/>
  <c r="CZ118" i="2"/>
  <c r="CY118" i="2"/>
  <c r="CY119" i="2" s="1"/>
  <c r="CV118" i="2"/>
  <c r="CS118" i="2"/>
  <c r="CS119" i="2" s="1"/>
  <c r="CR118" i="2"/>
  <c r="CO118" i="2"/>
  <c r="CO119" i="2" s="1"/>
  <c r="CN118" i="2"/>
  <c r="CK118" i="2"/>
  <c r="CK119" i="2" s="1"/>
  <c r="CH118" i="2"/>
  <c r="CH119" i="2" s="1"/>
  <c r="CG118" i="2"/>
  <c r="CD118" i="2"/>
  <c r="CD119" i="2" s="1"/>
  <c r="CC118" i="2"/>
  <c r="BZ118" i="2"/>
  <c r="BZ119" i="2" s="1"/>
  <c r="BW118" i="2"/>
  <c r="BW119" i="2" s="1"/>
  <c r="BV118" i="2"/>
  <c r="BV119" i="2" s="1"/>
  <c r="BS118" i="2"/>
  <c r="BS119" i="2" s="1"/>
  <c r="BR118" i="2"/>
  <c r="BR119" i="2" s="1"/>
  <c r="BO118" i="2"/>
  <c r="BO119" i="2" s="1"/>
  <c r="BL118" i="2"/>
  <c r="BL119" i="2" s="1"/>
  <c r="BK118" i="2"/>
  <c r="BH118" i="2"/>
  <c r="BH119" i="2" s="1"/>
  <c r="BG118" i="2"/>
  <c r="DH117" i="2"/>
  <c r="DI117" i="2" s="1"/>
  <c r="DF117" i="2"/>
  <c r="DE117" i="2"/>
  <c r="DB117" i="2"/>
  <c r="DA117" i="2"/>
  <c r="CW117" i="2"/>
  <c r="CX117" i="2" s="1"/>
  <c r="CU117" i="2"/>
  <c r="CT117" i="2"/>
  <c r="CQ117" i="2"/>
  <c r="CP117" i="2"/>
  <c r="CL117" i="2"/>
  <c r="CM117" i="2" s="1"/>
  <c r="CJ117" i="2"/>
  <c r="CI117" i="2"/>
  <c r="CF117" i="2"/>
  <c r="CE117" i="2"/>
  <c r="CA117" i="2"/>
  <c r="CB117" i="2" s="1"/>
  <c r="BY117" i="2"/>
  <c r="BX117" i="2"/>
  <c r="BU117" i="2"/>
  <c r="BT117" i="2"/>
  <c r="BP117" i="2"/>
  <c r="BQ117" i="2" s="1"/>
  <c r="BN117" i="2"/>
  <c r="BM117" i="2"/>
  <c r="BJ117" i="2"/>
  <c r="BI117" i="2"/>
  <c r="DH116" i="2"/>
  <c r="DI116" i="2" s="1"/>
  <c r="DF116" i="2"/>
  <c r="DE116" i="2"/>
  <c r="DB116" i="2"/>
  <c r="DA116" i="2"/>
  <c r="CW116" i="2"/>
  <c r="CX116" i="2" s="1"/>
  <c r="CU116" i="2"/>
  <c r="CT116" i="2"/>
  <c r="CQ116" i="2"/>
  <c r="CP116" i="2"/>
  <c r="CL116" i="2"/>
  <c r="CM116" i="2" s="1"/>
  <c r="CJ116" i="2"/>
  <c r="CI116" i="2"/>
  <c r="CF116" i="2"/>
  <c r="CE116" i="2"/>
  <c r="CA116" i="2"/>
  <c r="CB116" i="2" s="1"/>
  <c r="BY116" i="2"/>
  <c r="BX116" i="2"/>
  <c r="BU116" i="2"/>
  <c r="BT116" i="2"/>
  <c r="BP116" i="2"/>
  <c r="BQ116" i="2" s="1"/>
  <c r="BN116" i="2"/>
  <c r="BM116" i="2"/>
  <c r="BJ116" i="2"/>
  <c r="BI116" i="2"/>
  <c r="DG113" i="2"/>
  <c r="DD113" i="2"/>
  <c r="DC113" i="2"/>
  <c r="CY113" i="2"/>
  <c r="CV113" i="2"/>
  <c r="CS113" i="2"/>
  <c r="CR113" i="2"/>
  <c r="CN113" i="2"/>
  <c r="CK113" i="2"/>
  <c r="CH113" i="2"/>
  <c r="CG113" i="2"/>
  <c r="CC113" i="2"/>
  <c r="BZ113" i="2"/>
  <c r="BW113" i="2"/>
  <c r="BV113" i="2"/>
  <c r="BR113" i="2"/>
  <c r="BO113" i="2"/>
  <c r="BL113" i="2"/>
  <c r="BK113" i="2"/>
  <c r="BG113" i="2"/>
  <c r="DH112" i="2"/>
  <c r="DI112" i="2" s="1"/>
  <c r="DF112" i="2"/>
  <c r="DE112" i="2"/>
  <c r="CZ112" i="2"/>
  <c r="CW112" i="2"/>
  <c r="CX112" i="2" s="1"/>
  <c r="CU112" i="2"/>
  <c r="CT112" i="2"/>
  <c r="CO112" i="2"/>
  <c r="CP112" i="2" s="1"/>
  <c r="CL112" i="2"/>
  <c r="CM112" i="2" s="1"/>
  <c r="CJ112" i="2"/>
  <c r="CI112" i="2"/>
  <c r="CD112" i="2"/>
  <c r="CE112" i="2" s="1"/>
  <c r="CA112" i="2"/>
  <c r="CB112" i="2" s="1"/>
  <c r="BY112" i="2"/>
  <c r="BX112" i="2"/>
  <c r="BS112" i="2"/>
  <c r="BP112" i="2"/>
  <c r="BQ112" i="2" s="1"/>
  <c r="BN112" i="2"/>
  <c r="BM112" i="2"/>
  <c r="BH112" i="2"/>
  <c r="DH111" i="2"/>
  <c r="DI111" i="2" s="1"/>
  <c r="DF111" i="2"/>
  <c r="DE111" i="2"/>
  <c r="CZ111" i="2"/>
  <c r="DA111" i="2" s="1"/>
  <c r="CW111" i="2"/>
  <c r="CX111" i="2" s="1"/>
  <c r="CU111" i="2"/>
  <c r="CT111" i="2"/>
  <c r="CO111" i="2"/>
  <c r="CL111" i="2"/>
  <c r="CM111" i="2" s="1"/>
  <c r="CJ111" i="2"/>
  <c r="CI111" i="2"/>
  <c r="CD111" i="2"/>
  <c r="CD113" i="2" s="1"/>
  <c r="CA111" i="2"/>
  <c r="CB111" i="2" s="1"/>
  <c r="BY111" i="2"/>
  <c r="BX111" i="2"/>
  <c r="BS111" i="2"/>
  <c r="BU111" i="2" s="1"/>
  <c r="BP111" i="2"/>
  <c r="BQ111" i="2" s="1"/>
  <c r="BN111" i="2"/>
  <c r="BM111" i="2"/>
  <c r="BH111" i="2"/>
  <c r="BJ111" i="2" s="1"/>
  <c r="DG110" i="2"/>
  <c r="DD110" i="2"/>
  <c r="DC110" i="2"/>
  <c r="CZ110" i="2"/>
  <c r="CY110" i="2"/>
  <c r="DB110" i="2" s="1"/>
  <c r="CV110" i="2"/>
  <c r="CS110" i="2"/>
  <c r="CR110" i="2"/>
  <c r="CO110" i="2"/>
  <c r="CN110" i="2"/>
  <c r="CK110" i="2"/>
  <c r="CH110" i="2"/>
  <c r="CG110" i="2"/>
  <c r="CD110" i="2"/>
  <c r="CC110" i="2"/>
  <c r="BZ110" i="2"/>
  <c r="BW110" i="2"/>
  <c r="BV110" i="2"/>
  <c r="BS110" i="2"/>
  <c r="BR110" i="2"/>
  <c r="BO110" i="2"/>
  <c r="BL110" i="2"/>
  <c r="BK110" i="2"/>
  <c r="BH110" i="2"/>
  <c r="BG110" i="2"/>
  <c r="DH109" i="2"/>
  <c r="DI109" i="2" s="1"/>
  <c r="DF109" i="2"/>
  <c r="DE109" i="2"/>
  <c r="DB109" i="2"/>
  <c r="DA109" i="2"/>
  <c r="CW109" i="2"/>
  <c r="CX109" i="2" s="1"/>
  <c r="CU109" i="2"/>
  <c r="CT109" i="2"/>
  <c r="CQ109" i="2"/>
  <c r="CP109" i="2"/>
  <c r="CL109" i="2"/>
  <c r="CM109" i="2" s="1"/>
  <c r="CJ109" i="2"/>
  <c r="CI109" i="2"/>
  <c r="CF109" i="2"/>
  <c r="CE109" i="2"/>
  <c r="CA109" i="2"/>
  <c r="CB109" i="2" s="1"/>
  <c r="BY109" i="2"/>
  <c r="BX109" i="2"/>
  <c r="BU109" i="2"/>
  <c r="BT109" i="2"/>
  <c r="BP109" i="2"/>
  <c r="BQ109" i="2" s="1"/>
  <c r="BN109" i="2"/>
  <c r="BM109" i="2"/>
  <c r="BJ109" i="2"/>
  <c r="BI109" i="2"/>
  <c r="DH108" i="2"/>
  <c r="DI108" i="2" s="1"/>
  <c r="DF108" i="2"/>
  <c r="DE108" i="2"/>
  <c r="DB108" i="2"/>
  <c r="DA108" i="2"/>
  <c r="CW108" i="2"/>
  <c r="CX108" i="2" s="1"/>
  <c r="CU108" i="2"/>
  <c r="CT108" i="2"/>
  <c r="CQ108" i="2"/>
  <c r="CP108" i="2"/>
  <c r="CL108" i="2"/>
  <c r="CM108" i="2" s="1"/>
  <c r="CJ108" i="2"/>
  <c r="CI108" i="2"/>
  <c r="CF108" i="2"/>
  <c r="CE108" i="2"/>
  <c r="CA108" i="2"/>
  <c r="CB108" i="2" s="1"/>
  <c r="BY108" i="2"/>
  <c r="BX108" i="2"/>
  <c r="BU108" i="2"/>
  <c r="BT108" i="2"/>
  <c r="BP108" i="2"/>
  <c r="BQ108" i="2" s="1"/>
  <c r="BN108" i="2"/>
  <c r="BM108" i="2"/>
  <c r="BJ108" i="2"/>
  <c r="BI108" i="2"/>
  <c r="DG107" i="2"/>
  <c r="DD107" i="2"/>
  <c r="DC107" i="2"/>
  <c r="CZ107" i="2"/>
  <c r="CY107" i="2"/>
  <c r="CV107" i="2"/>
  <c r="CS107" i="2"/>
  <c r="CR107" i="2"/>
  <c r="CO107" i="2"/>
  <c r="CN107" i="2"/>
  <c r="CK107" i="2"/>
  <c r="CH107" i="2"/>
  <c r="CG107" i="2"/>
  <c r="CD107" i="2"/>
  <c r="CC107" i="2"/>
  <c r="CE107" i="2" s="1"/>
  <c r="BZ107" i="2"/>
  <c r="BW107" i="2"/>
  <c r="BV107" i="2"/>
  <c r="BS107" i="2"/>
  <c r="BR107" i="2"/>
  <c r="BO107" i="2"/>
  <c r="BL107" i="2"/>
  <c r="BK107" i="2"/>
  <c r="BM107" i="2" s="1"/>
  <c r="BH107" i="2"/>
  <c r="BG107" i="2"/>
  <c r="DH106" i="2"/>
  <c r="DI106" i="2" s="1"/>
  <c r="DF106" i="2"/>
  <c r="DE106" i="2"/>
  <c r="DB106" i="2"/>
  <c r="DA106" i="2"/>
  <c r="CW106" i="2"/>
  <c r="CX106" i="2" s="1"/>
  <c r="CU106" i="2"/>
  <c r="CT106" i="2"/>
  <c r="CQ106" i="2"/>
  <c r="CP106" i="2"/>
  <c r="CL106" i="2"/>
  <c r="CM106" i="2" s="1"/>
  <c r="CJ106" i="2"/>
  <c r="CI106" i="2"/>
  <c r="CF106" i="2"/>
  <c r="CE106" i="2"/>
  <c r="CA106" i="2"/>
  <c r="CB106" i="2" s="1"/>
  <c r="BY106" i="2"/>
  <c r="BX106" i="2"/>
  <c r="BU106" i="2"/>
  <c r="BT106" i="2"/>
  <c r="BP106" i="2"/>
  <c r="BQ106" i="2" s="1"/>
  <c r="BN106" i="2"/>
  <c r="BM106" i="2"/>
  <c r="BJ106" i="2"/>
  <c r="BI106" i="2"/>
  <c r="DH105" i="2"/>
  <c r="DI105" i="2" s="1"/>
  <c r="DF105" i="2"/>
  <c r="DE105" i="2"/>
  <c r="DB105" i="2"/>
  <c r="DA105" i="2"/>
  <c r="CW105" i="2"/>
  <c r="CX105" i="2" s="1"/>
  <c r="CU105" i="2"/>
  <c r="CT105" i="2"/>
  <c r="CQ105" i="2"/>
  <c r="CP105" i="2"/>
  <c r="CL105" i="2"/>
  <c r="CM105" i="2" s="1"/>
  <c r="CJ105" i="2"/>
  <c r="CI105" i="2"/>
  <c r="CF105" i="2"/>
  <c r="CE105" i="2"/>
  <c r="CA105" i="2"/>
  <c r="CB105" i="2" s="1"/>
  <c r="BY105" i="2"/>
  <c r="BX105" i="2"/>
  <c r="BU105" i="2"/>
  <c r="BT105" i="2"/>
  <c r="BP105" i="2"/>
  <c r="BQ105" i="2" s="1"/>
  <c r="BN105" i="2"/>
  <c r="BM105" i="2"/>
  <c r="BJ105" i="2"/>
  <c r="BI105" i="2"/>
  <c r="DG103" i="2"/>
  <c r="DD103" i="2"/>
  <c r="DC103" i="2"/>
  <c r="CZ103" i="2"/>
  <c r="DB103" i="2" s="1"/>
  <c r="CY103" i="2"/>
  <c r="CV103" i="2"/>
  <c r="CS103" i="2"/>
  <c r="CR103" i="2"/>
  <c r="CO103" i="2"/>
  <c r="CN103" i="2"/>
  <c r="CK103" i="2"/>
  <c r="CH103" i="2"/>
  <c r="CG103" i="2"/>
  <c r="CD103" i="2"/>
  <c r="CC103" i="2"/>
  <c r="BZ103" i="2"/>
  <c r="BW103" i="2"/>
  <c r="BV103" i="2"/>
  <c r="BY103" i="2" s="1"/>
  <c r="BS103" i="2"/>
  <c r="BR103" i="2"/>
  <c r="BO103" i="2"/>
  <c r="BL103" i="2"/>
  <c r="BK103" i="2"/>
  <c r="BH103" i="2"/>
  <c r="BG103" i="2"/>
  <c r="DH102" i="2"/>
  <c r="DI102" i="2" s="1"/>
  <c r="DF102" i="2"/>
  <c r="DE102" i="2"/>
  <c r="DB102" i="2"/>
  <c r="DA102" i="2"/>
  <c r="CW102" i="2"/>
  <c r="CX102" i="2" s="1"/>
  <c r="CU102" i="2"/>
  <c r="CT102" i="2"/>
  <c r="CQ102" i="2"/>
  <c r="CP102" i="2"/>
  <c r="CL102" i="2"/>
  <c r="CM102" i="2" s="1"/>
  <c r="CJ102" i="2"/>
  <c r="CI102" i="2"/>
  <c r="CF102" i="2"/>
  <c r="CE102" i="2"/>
  <c r="CA102" i="2"/>
  <c r="CB102" i="2" s="1"/>
  <c r="BY102" i="2"/>
  <c r="BX102" i="2"/>
  <c r="BU102" i="2"/>
  <c r="BT102" i="2"/>
  <c r="BP102" i="2"/>
  <c r="BQ102" i="2" s="1"/>
  <c r="BN102" i="2"/>
  <c r="BM102" i="2"/>
  <c r="BJ102" i="2"/>
  <c r="BI102" i="2"/>
  <c r="DH101" i="2"/>
  <c r="DI101" i="2" s="1"/>
  <c r="DF101" i="2"/>
  <c r="DE101" i="2"/>
  <c r="DB101" i="2"/>
  <c r="DA101" i="2"/>
  <c r="CW101" i="2"/>
  <c r="CX101" i="2" s="1"/>
  <c r="CU101" i="2"/>
  <c r="CT101" i="2"/>
  <c r="CQ101" i="2"/>
  <c r="CP101" i="2"/>
  <c r="CL101" i="2"/>
  <c r="CM101" i="2" s="1"/>
  <c r="CJ101" i="2"/>
  <c r="CI101" i="2"/>
  <c r="CF101" i="2"/>
  <c r="CE101" i="2"/>
  <c r="CA101" i="2"/>
  <c r="CB101" i="2" s="1"/>
  <c r="BY101" i="2"/>
  <c r="BX101" i="2"/>
  <c r="BU101" i="2"/>
  <c r="BT101" i="2"/>
  <c r="BQ101" i="2"/>
  <c r="BP101" i="2"/>
  <c r="BN101" i="2"/>
  <c r="BM101" i="2"/>
  <c r="BJ101" i="2"/>
  <c r="BI101" i="2"/>
  <c r="DG100" i="2"/>
  <c r="DD100" i="2"/>
  <c r="DC100" i="2"/>
  <c r="CZ100" i="2"/>
  <c r="CY100" i="2"/>
  <c r="DB100" i="2" s="1"/>
  <c r="CV100" i="2"/>
  <c r="CS100" i="2"/>
  <c r="CR100" i="2"/>
  <c r="CO100" i="2"/>
  <c r="CN100" i="2"/>
  <c r="CK100" i="2"/>
  <c r="CH100" i="2"/>
  <c r="CG100" i="2"/>
  <c r="CD100" i="2"/>
  <c r="CC100" i="2"/>
  <c r="BZ100" i="2"/>
  <c r="BW100" i="2"/>
  <c r="BV100" i="2"/>
  <c r="BS100" i="2"/>
  <c r="BR100" i="2"/>
  <c r="BO100" i="2"/>
  <c r="BL100" i="2"/>
  <c r="BK100" i="2"/>
  <c r="BP100" i="2" s="1"/>
  <c r="BQ100" i="2" s="1"/>
  <c r="BH100" i="2"/>
  <c r="BG100" i="2"/>
  <c r="DH99" i="2"/>
  <c r="DI99" i="2" s="1"/>
  <c r="DF99" i="2"/>
  <c r="DE99" i="2"/>
  <c r="DB99" i="2"/>
  <c r="DA99" i="2"/>
  <c r="CW99" i="2"/>
  <c r="CX99" i="2" s="1"/>
  <c r="CU99" i="2"/>
  <c r="CT99" i="2"/>
  <c r="CQ99" i="2"/>
  <c r="CP99" i="2"/>
  <c r="CL99" i="2"/>
  <c r="CM99" i="2" s="1"/>
  <c r="CJ99" i="2"/>
  <c r="CI99" i="2"/>
  <c r="CF99" i="2"/>
  <c r="CE99" i="2"/>
  <c r="CA99" i="2"/>
  <c r="CB99" i="2" s="1"/>
  <c r="BY99" i="2"/>
  <c r="BX99" i="2"/>
  <c r="BU99" i="2"/>
  <c r="BT99" i="2"/>
  <c r="BP99" i="2"/>
  <c r="BQ99" i="2" s="1"/>
  <c r="BN99" i="2"/>
  <c r="BM99" i="2"/>
  <c r="BJ99" i="2"/>
  <c r="BI99" i="2"/>
  <c r="DH98" i="2"/>
  <c r="DI98" i="2" s="1"/>
  <c r="DF98" i="2"/>
  <c r="DE98" i="2"/>
  <c r="DB98" i="2"/>
  <c r="DA98" i="2"/>
  <c r="CW98" i="2"/>
  <c r="CX98" i="2" s="1"/>
  <c r="CU98" i="2"/>
  <c r="CT98" i="2"/>
  <c r="CQ98" i="2"/>
  <c r="CP98" i="2"/>
  <c r="CL98" i="2"/>
  <c r="CM98" i="2" s="1"/>
  <c r="CJ98" i="2"/>
  <c r="CI98" i="2"/>
  <c r="CF98" i="2"/>
  <c r="CE98" i="2"/>
  <c r="CA98" i="2"/>
  <c r="CB98" i="2" s="1"/>
  <c r="BY98" i="2"/>
  <c r="BX98" i="2"/>
  <c r="BU98" i="2"/>
  <c r="BT98" i="2"/>
  <c r="BP98" i="2"/>
  <c r="BQ98" i="2" s="1"/>
  <c r="BN98" i="2"/>
  <c r="BM98" i="2"/>
  <c r="BJ98" i="2"/>
  <c r="BI98" i="2"/>
  <c r="DG97" i="2"/>
  <c r="DD97" i="2"/>
  <c r="DC97" i="2"/>
  <c r="DH97" i="2" s="1"/>
  <c r="DI97" i="2" s="1"/>
  <c r="CZ97" i="2"/>
  <c r="CY97" i="2"/>
  <c r="CV97" i="2"/>
  <c r="CS97" i="2"/>
  <c r="CR97" i="2"/>
  <c r="CO97" i="2"/>
  <c r="CN97" i="2"/>
  <c r="CK97" i="2"/>
  <c r="CH97" i="2"/>
  <c r="CG97" i="2"/>
  <c r="CD97" i="2"/>
  <c r="CC97" i="2"/>
  <c r="BZ97" i="2"/>
  <c r="BW97" i="2"/>
  <c r="BV97" i="2"/>
  <c r="BS97" i="2"/>
  <c r="BR97" i="2"/>
  <c r="BO97" i="2"/>
  <c r="BL97" i="2"/>
  <c r="BK97" i="2"/>
  <c r="BH97" i="2"/>
  <c r="BG97" i="2"/>
  <c r="DH96" i="2"/>
  <c r="DI96" i="2" s="1"/>
  <c r="DF96" i="2"/>
  <c r="DE96" i="2"/>
  <c r="DB96" i="2"/>
  <c r="DA96" i="2"/>
  <c r="CW96" i="2"/>
  <c r="CX96" i="2" s="1"/>
  <c r="CU96" i="2"/>
  <c r="CT96" i="2"/>
  <c r="CQ96" i="2"/>
  <c r="CP96" i="2"/>
  <c r="CL96" i="2"/>
  <c r="CM96" i="2" s="1"/>
  <c r="CJ96" i="2"/>
  <c r="CI96" i="2"/>
  <c r="CF96" i="2"/>
  <c r="CE96" i="2"/>
  <c r="CA96" i="2"/>
  <c r="CB96" i="2" s="1"/>
  <c r="BY96" i="2"/>
  <c r="BX96" i="2"/>
  <c r="BU96" i="2"/>
  <c r="BT96" i="2"/>
  <c r="BP96" i="2"/>
  <c r="BQ96" i="2" s="1"/>
  <c r="BN96" i="2"/>
  <c r="BM96" i="2"/>
  <c r="BJ96" i="2"/>
  <c r="BI96" i="2"/>
  <c r="DH95" i="2"/>
  <c r="DI95" i="2" s="1"/>
  <c r="DF95" i="2"/>
  <c r="DE95" i="2"/>
  <c r="DB95" i="2"/>
  <c r="DA95" i="2"/>
  <c r="CW95" i="2"/>
  <c r="CX95" i="2" s="1"/>
  <c r="CU95" i="2"/>
  <c r="CT95" i="2"/>
  <c r="CQ95" i="2"/>
  <c r="CP95" i="2"/>
  <c r="CL95" i="2"/>
  <c r="CM95" i="2" s="1"/>
  <c r="CJ95" i="2"/>
  <c r="CI95" i="2"/>
  <c r="CF95" i="2"/>
  <c r="CE95" i="2"/>
  <c r="CA95" i="2"/>
  <c r="CB95" i="2" s="1"/>
  <c r="BY95" i="2"/>
  <c r="BX95" i="2"/>
  <c r="BU95" i="2"/>
  <c r="BT95" i="2"/>
  <c r="BP95" i="2"/>
  <c r="BQ95" i="2" s="1"/>
  <c r="BN95" i="2"/>
  <c r="BM95" i="2"/>
  <c r="BJ95" i="2"/>
  <c r="BI95" i="2"/>
  <c r="DG94" i="2"/>
  <c r="DD94" i="2"/>
  <c r="DC94" i="2"/>
  <c r="CZ94" i="2"/>
  <c r="CY94" i="2"/>
  <c r="CV94" i="2"/>
  <c r="CS94" i="2"/>
  <c r="CR94" i="2"/>
  <c r="CT94" i="2" s="1"/>
  <c r="CO94" i="2"/>
  <c r="CN94" i="2"/>
  <c r="CK94" i="2"/>
  <c r="CH94" i="2"/>
  <c r="CG94" i="2"/>
  <c r="CD94" i="2"/>
  <c r="CC94" i="2"/>
  <c r="CF94" i="2" s="1"/>
  <c r="BZ94" i="2"/>
  <c r="BW94" i="2"/>
  <c r="BV94" i="2"/>
  <c r="BS94" i="2"/>
  <c r="BR94" i="2"/>
  <c r="BO94" i="2"/>
  <c r="BL94" i="2"/>
  <c r="BK94" i="2"/>
  <c r="BH94" i="2"/>
  <c r="BG94" i="2"/>
  <c r="DH93" i="2"/>
  <c r="DI93" i="2" s="1"/>
  <c r="DF93" i="2"/>
  <c r="DE93" i="2"/>
  <c r="DB93" i="2"/>
  <c r="DA93" i="2"/>
  <c r="CW93" i="2"/>
  <c r="CX93" i="2" s="1"/>
  <c r="CU93" i="2"/>
  <c r="CT93" i="2"/>
  <c r="CQ93" i="2"/>
  <c r="CP93" i="2"/>
  <c r="CL93" i="2"/>
  <c r="CM93" i="2" s="1"/>
  <c r="CJ93" i="2"/>
  <c r="CI93" i="2"/>
  <c r="CF93" i="2"/>
  <c r="CE93" i="2"/>
  <c r="CA93" i="2"/>
  <c r="CB93" i="2" s="1"/>
  <c r="BY93" i="2"/>
  <c r="BX93" i="2"/>
  <c r="BU93" i="2"/>
  <c r="BT93" i="2"/>
  <c r="BP93" i="2"/>
  <c r="BQ93" i="2" s="1"/>
  <c r="BN93" i="2"/>
  <c r="BM93" i="2"/>
  <c r="BJ93" i="2"/>
  <c r="BI93" i="2"/>
  <c r="DH92" i="2"/>
  <c r="DI92" i="2" s="1"/>
  <c r="DF92" i="2"/>
  <c r="DE92" i="2"/>
  <c r="DB92" i="2"/>
  <c r="DA92" i="2"/>
  <c r="CW92" i="2"/>
  <c r="CX92" i="2" s="1"/>
  <c r="CU92" i="2"/>
  <c r="CT92" i="2"/>
  <c r="CQ92" i="2"/>
  <c r="CP92" i="2"/>
  <c r="CL92" i="2"/>
  <c r="CM92" i="2" s="1"/>
  <c r="CJ92" i="2"/>
  <c r="CI92" i="2"/>
  <c r="CF92" i="2"/>
  <c r="CE92" i="2"/>
  <c r="CA92" i="2"/>
  <c r="CB92" i="2" s="1"/>
  <c r="BY92" i="2"/>
  <c r="BX92" i="2"/>
  <c r="BU92" i="2"/>
  <c r="BT92" i="2"/>
  <c r="BP92" i="2"/>
  <c r="BQ92" i="2" s="1"/>
  <c r="BN92" i="2"/>
  <c r="BM92" i="2"/>
  <c r="BJ92" i="2"/>
  <c r="BI92" i="2"/>
  <c r="DG91" i="2"/>
  <c r="DD91" i="2"/>
  <c r="DC91" i="2"/>
  <c r="CY91" i="2"/>
  <c r="CV91" i="2"/>
  <c r="CS91" i="2"/>
  <c r="CR91" i="2"/>
  <c r="CN91" i="2"/>
  <c r="CK91" i="2"/>
  <c r="CH91" i="2"/>
  <c r="CG91" i="2"/>
  <c r="CC91" i="2"/>
  <c r="BZ91" i="2"/>
  <c r="BW91" i="2"/>
  <c r="BV91" i="2"/>
  <c r="BR91" i="2"/>
  <c r="BO91" i="2"/>
  <c r="BL91" i="2"/>
  <c r="BK91" i="2"/>
  <c r="BG91" i="2"/>
  <c r="DH90" i="2"/>
  <c r="DI90" i="2" s="1"/>
  <c r="DF90" i="2"/>
  <c r="DE90" i="2"/>
  <c r="DB90" i="2"/>
  <c r="DA90" i="2"/>
  <c r="CW90" i="2"/>
  <c r="CX90" i="2" s="1"/>
  <c r="CU90" i="2"/>
  <c r="CT90" i="2"/>
  <c r="CQ90" i="2"/>
  <c r="CP90" i="2"/>
  <c r="CL90" i="2"/>
  <c r="CM90" i="2" s="1"/>
  <c r="CJ90" i="2"/>
  <c r="CI90" i="2"/>
  <c r="CF90" i="2"/>
  <c r="CE90" i="2"/>
  <c r="CA90" i="2"/>
  <c r="CB90" i="2" s="1"/>
  <c r="BY90" i="2"/>
  <c r="BX90" i="2"/>
  <c r="BU90" i="2"/>
  <c r="BT90" i="2"/>
  <c r="BP90" i="2"/>
  <c r="BQ90" i="2" s="1"/>
  <c r="BN90" i="2"/>
  <c r="BM90" i="2"/>
  <c r="BJ90" i="2"/>
  <c r="BI90" i="2"/>
  <c r="DH89" i="2"/>
  <c r="DI89" i="2" s="1"/>
  <c r="DF89" i="2"/>
  <c r="DE89" i="2"/>
  <c r="CZ89" i="2"/>
  <c r="CZ146" i="2" s="1"/>
  <c r="CW89" i="2"/>
  <c r="CX89" i="2" s="1"/>
  <c r="CU89" i="2"/>
  <c r="CT89" i="2"/>
  <c r="CO89" i="2"/>
  <c r="CP89" i="2" s="1"/>
  <c r="CL89" i="2"/>
  <c r="CM89" i="2" s="1"/>
  <c r="CJ89" i="2"/>
  <c r="CI89" i="2"/>
  <c r="CD89" i="2"/>
  <c r="CD91" i="2" s="1"/>
  <c r="CA89" i="2"/>
  <c r="CB89" i="2" s="1"/>
  <c r="BY89" i="2"/>
  <c r="BX89" i="2"/>
  <c r="BS89" i="2"/>
  <c r="BT89" i="2" s="1"/>
  <c r="BP89" i="2"/>
  <c r="BQ89" i="2" s="1"/>
  <c r="BN89" i="2"/>
  <c r="BM89" i="2"/>
  <c r="BH89" i="2"/>
  <c r="BH91" i="2" s="1"/>
  <c r="DG87" i="2"/>
  <c r="DD87" i="2"/>
  <c r="DC87" i="2"/>
  <c r="CZ87" i="2"/>
  <c r="CY87" i="2"/>
  <c r="CV87" i="2"/>
  <c r="CS87" i="2"/>
  <c r="CR87" i="2"/>
  <c r="CO87" i="2"/>
  <c r="CN87" i="2"/>
  <c r="CK87" i="2"/>
  <c r="CH87" i="2"/>
  <c r="CG87" i="2"/>
  <c r="CD87" i="2"/>
  <c r="CC87" i="2"/>
  <c r="CF87" i="2" s="1"/>
  <c r="BZ87" i="2"/>
  <c r="BW87" i="2"/>
  <c r="BV87" i="2"/>
  <c r="BS87" i="2"/>
  <c r="BR87" i="2"/>
  <c r="BO87" i="2"/>
  <c r="BL87" i="2"/>
  <c r="BK87" i="2"/>
  <c r="BH87" i="2"/>
  <c r="BG87" i="2"/>
  <c r="DH86" i="2"/>
  <c r="DI86" i="2" s="1"/>
  <c r="DF86" i="2"/>
  <c r="DE86" i="2"/>
  <c r="DB86" i="2"/>
  <c r="DA86" i="2"/>
  <c r="CW86" i="2"/>
  <c r="CX86" i="2" s="1"/>
  <c r="CU86" i="2"/>
  <c r="CT86" i="2"/>
  <c r="CQ86" i="2"/>
  <c r="CP86" i="2"/>
  <c r="CL86" i="2"/>
  <c r="CM86" i="2" s="1"/>
  <c r="CJ86" i="2"/>
  <c r="CI86" i="2"/>
  <c r="CF86" i="2"/>
  <c r="CE86" i="2"/>
  <c r="CA86" i="2"/>
  <c r="CB86" i="2" s="1"/>
  <c r="BY86" i="2"/>
  <c r="BX86" i="2"/>
  <c r="BU86" i="2"/>
  <c r="BT86" i="2"/>
  <c r="BP86" i="2"/>
  <c r="BQ86" i="2" s="1"/>
  <c r="BN86" i="2"/>
  <c r="BM86" i="2"/>
  <c r="BJ86" i="2"/>
  <c r="BI86" i="2"/>
  <c r="DH85" i="2"/>
  <c r="DI85" i="2" s="1"/>
  <c r="DF85" i="2"/>
  <c r="DE85" i="2"/>
  <c r="DB85" i="2"/>
  <c r="DA85" i="2"/>
  <c r="CW85" i="2"/>
  <c r="CX85" i="2" s="1"/>
  <c r="CU85" i="2"/>
  <c r="CT85" i="2"/>
  <c r="CQ85" i="2"/>
  <c r="CP85" i="2"/>
  <c r="CL85" i="2"/>
  <c r="CM85" i="2" s="1"/>
  <c r="CJ85" i="2"/>
  <c r="CI85" i="2"/>
  <c r="CF85" i="2"/>
  <c r="CE85" i="2"/>
  <c r="CA85" i="2"/>
  <c r="CB85" i="2" s="1"/>
  <c r="BY85" i="2"/>
  <c r="BX85" i="2"/>
  <c r="BU85" i="2"/>
  <c r="BT85" i="2"/>
  <c r="BP85" i="2"/>
  <c r="BQ85" i="2" s="1"/>
  <c r="BN85" i="2"/>
  <c r="BM85" i="2"/>
  <c r="BJ85" i="2"/>
  <c r="BI85" i="2"/>
  <c r="DG84" i="2"/>
  <c r="DD84" i="2"/>
  <c r="DC84" i="2"/>
  <c r="CZ84" i="2"/>
  <c r="CY84" i="2"/>
  <c r="CV84" i="2"/>
  <c r="CS84" i="2"/>
  <c r="CR84" i="2"/>
  <c r="CO84" i="2"/>
  <c r="CN84" i="2"/>
  <c r="CK84" i="2"/>
  <c r="CH84" i="2"/>
  <c r="CG84" i="2"/>
  <c r="CD84" i="2"/>
  <c r="CC84" i="2"/>
  <c r="BZ84" i="2"/>
  <c r="BW84" i="2"/>
  <c r="BV84" i="2"/>
  <c r="BS84" i="2"/>
  <c r="BR84" i="2"/>
  <c r="BO84" i="2"/>
  <c r="BL84" i="2"/>
  <c r="BK84" i="2"/>
  <c r="BM84" i="2" s="1"/>
  <c r="BH84" i="2"/>
  <c r="BG84" i="2"/>
  <c r="BJ84" i="2" s="1"/>
  <c r="DH83" i="2"/>
  <c r="DI83" i="2" s="1"/>
  <c r="DF83" i="2"/>
  <c r="DE83" i="2"/>
  <c r="DB83" i="2"/>
  <c r="DA83" i="2"/>
  <c r="CW83" i="2"/>
  <c r="CX83" i="2" s="1"/>
  <c r="CU83" i="2"/>
  <c r="CT83" i="2"/>
  <c r="CQ83" i="2"/>
  <c r="CP83" i="2"/>
  <c r="CL83" i="2"/>
  <c r="CM83" i="2" s="1"/>
  <c r="CJ83" i="2"/>
  <c r="CI83" i="2"/>
  <c r="CF83" i="2"/>
  <c r="CE83" i="2"/>
  <c r="CA83" i="2"/>
  <c r="CB83" i="2" s="1"/>
  <c r="BY83" i="2"/>
  <c r="BX83" i="2"/>
  <c r="BU83" i="2"/>
  <c r="BT83" i="2"/>
  <c r="BP83" i="2"/>
  <c r="BQ83" i="2" s="1"/>
  <c r="BN83" i="2"/>
  <c r="BM83" i="2"/>
  <c r="BJ83" i="2"/>
  <c r="BI83" i="2"/>
  <c r="DH82" i="2"/>
  <c r="DI82" i="2" s="1"/>
  <c r="DF82" i="2"/>
  <c r="DE82" i="2"/>
  <c r="DB82" i="2"/>
  <c r="DA82" i="2"/>
  <c r="CW82" i="2"/>
  <c r="CX82" i="2" s="1"/>
  <c r="CU82" i="2"/>
  <c r="CT82" i="2"/>
  <c r="CQ82" i="2"/>
  <c r="CP82" i="2"/>
  <c r="CL82" i="2"/>
  <c r="CM82" i="2" s="1"/>
  <c r="CJ82" i="2"/>
  <c r="CI82" i="2"/>
  <c r="CF82" i="2"/>
  <c r="CE82" i="2"/>
  <c r="CA82" i="2"/>
  <c r="CB82" i="2" s="1"/>
  <c r="BY82" i="2"/>
  <c r="BX82" i="2"/>
  <c r="BU82" i="2"/>
  <c r="BT82" i="2"/>
  <c r="BP82" i="2"/>
  <c r="BQ82" i="2" s="1"/>
  <c r="BN82" i="2"/>
  <c r="BM82" i="2"/>
  <c r="BJ82" i="2"/>
  <c r="BI82" i="2"/>
  <c r="DG81" i="2"/>
  <c r="DD81" i="2"/>
  <c r="DC81" i="2"/>
  <c r="CY81" i="2"/>
  <c r="CV81" i="2"/>
  <c r="CS81" i="2"/>
  <c r="CR81" i="2"/>
  <c r="CN81" i="2"/>
  <c r="CK81" i="2"/>
  <c r="CH81" i="2"/>
  <c r="CG81" i="2"/>
  <c r="CC81" i="2"/>
  <c r="BZ81" i="2"/>
  <c r="BW81" i="2"/>
  <c r="BV81" i="2"/>
  <c r="BR81" i="2"/>
  <c r="BO81" i="2"/>
  <c r="BL81" i="2"/>
  <c r="BK81" i="2"/>
  <c r="BG81" i="2"/>
  <c r="DH80" i="2"/>
  <c r="DI80" i="2" s="1"/>
  <c r="DF80" i="2"/>
  <c r="DE80" i="2"/>
  <c r="CZ80" i="2"/>
  <c r="CW80" i="2"/>
  <c r="CX80" i="2" s="1"/>
  <c r="CU80" i="2"/>
  <c r="CT80" i="2"/>
  <c r="CO80" i="2"/>
  <c r="CP80" i="2" s="1"/>
  <c r="CL80" i="2"/>
  <c r="CM80" i="2" s="1"/>
  <c r="CJ80" i="2"/>
  <c r="CI80" i="2"/>
  <c r="CD80" i="2"/>
  <c r="CA80" i="2"/>
  <c r="CB80" i="2" s="1"/>
  <c r="BY80" i="2"/>
  <c r="BX80" i="2"/>
  <c r="BS80" i="2"/>
  <c r="BP80" i="2"/>
  <c r="BQ80" i="2" s="1"/>
  <c r="BN80" i="2"/>
  <c r="BM80" i="2"/>
  <c r="BH80" i="2"/>
  <c r="DH79" i="2"/>
  <c r="DI79" i="2" s="1"/>
  <c r="DF79" i="2"/>
  <c r="DE79" i="2"/>
  <c r="CZ79" i="2"/>
  <c r="CW79" i="2"/>
  <c r="CX79" i="2" s="1"/>
  <c r="CU79" i="2"/>
  <c r="CT79" i="2"/>
  <c r="CO79" i="2"/>
  <c r="CL79" i="2"/>
  <c r="CM79" i="2" s="1"/>
  <c r="CJ79" i="2"/>
  <c r="CI79" i="2"/>
  <c r="CD79" i="2"/>
  <c r="CD136" i="2" s="1"/>
  <c r="CA79" i="2"/>
  <c r="CB79" i="2" s="1"/>
  <c r="BY79" i="2"/>
  <c r="BX79" i="2"/>
  <c r="BS79" i="2"/>
  <c r="BS136" i="2" s="1"/>
  <c r="BP79" i="2"/>
  <c r="BQ79" i="2" s="1"/>
  <c r="BN79" i="2"/>
  <c r="BM79" i="2"/>
  <c r="BH79" i="2"/>
  <c r="DG78" i="2"/>
  <c r="DD78" i="2"/>
  <c r="DC78" i="2"/>
  <c r="CY78" i="2"/>
  <c r="CV78" i="2"/>
  <c r="CS78" i="2"/>
  <c r="CR78" i="2"/>
  <c r="CN78" i="2"/>
  <c r="CK78" i="2"/>
  <c r="CH78" i="2"/>
  <c r="CG78" i="2"/>
  <c r="CC78" i="2"/>
  <c r="BZ78" i="2"/>
  <c r="BW78" i="2"/>
  <c r="BV78" i="2"/>
  <c r="BR78" i="2"/>
  <c r="BO78" i="2"/>
  <c r="BL78" i="2"/>
  <c r="BK78" i="2"/>
  <c r="BG78" i="2"/>
  <c r="DH77" i="2"/>
  <c r="DI77" i="2" s="1"/>
  <c r="DF77" i="2"/>
  <c r="DE77" i="2"/>
  <c r="CZ77" i="2"/>
  <c r="CZ134" i="2" s="1"/>
  <c r="CW77" i="2"/>
  <c r="CX77" i="2" s="1"/>
  <c r="CU77" i="2"/>
  <c r="CT77" i="2"/>
  <c r="CO77" i="2"/>
  <c r="CQ77" i="2" s="1"/>
  <c r="CL77" i="2"/>
  <c r="CM77" i="2" s="1"/>
  <c r="CJ77" i="2"/>
  <c r="CI77" i="2"/>
  <c r="CD77" i="2"/>
  <c r="CA77" i="2"/>
  <c r="CB77" i="2" s="1"/>
  <c r="BY77" i="2"/>
  <c r="BX77" i="2"/>
  <c r="BS77" i="2"/>
  <c r="BT77" i="2" s="1"/>
  <c r="BP77" i="2"/>
  <c r="BQ77" i="2" s="1"/>
  <c r="BN77" i="2"/>
  <c r="BM77" i="2"/>
  <c r="BH77" i="2"/>
  <c r="BJ77" i="2" s="1"/>
  <c r="DH76" i="2"/>
  <c r="DI76" i="2" s="1"/>
  <c r="DF76" i="2"/>
  <c r="DE76" i="2"/>
  <c r="CZ76" i="2"/>
  <c r="DB76" i="2" s="1"/>
  <c r="CW76" i="2"/>
  <c r="CX76" i="2" s="1"/>
  <c r="CU76" i="2"/>
  <c r="CT76" i="2"/>
  <c r="CO76" i="2"/>
  <c r="CO133" i="2" s="1"/>
  <c r="CL76" i="2"/>
  <c r="CM76" i="2" s="1"/>
  <c r="CJ76" i="2"/>
  <c r="CI76" i="2"/>
  <c r="CD76" i="2"/>
  <c r="CA76" i="2"/>
  <c r="CB76" i="2" s="1"/>
  <c r="BY76" i="2"/>
  <c r="BX76" i="2"/>
  <c r="BS76" i="2"/>
  <c r="BU76" i="2" s="1"/>
  <c r="BP76" i="2"/>
  <c r="BQ76" i="2" s="1"/>
  <c r="BN76" i="2"/>
  <c r="BM76" i="2"/>
  <c r="BH76" i="2"/>
  <c r="BJ76" i="2" s="1"/>
  <c r="DH73" i="2"/>
  <c r="DI73" i="2" s="1"/>
  <c r="DF73" i="2"/>
  <c r="DE73" i="2"/>
  <c r="DB73" i="2"/>
  <c r="DA73" i="2"/>
  <c r="CW73" i="2"/>
  <c r="CX73" i="2" s="1"/>
  <c r="CU73" i="2"/>
  <c r="CT73" i="2"/>
  <c r="CQ73" i="2"/>
  <c r="CP73" i="2"/>
  <c r="CL73" i="2"/>
  <c r="CM73" i="2" s="1"/>
  <c r="CJ73" i="2"/>
  <c r="CI73" i="2"/>
  <c r="CF73" i="2"/>
  <c r="CE73" i="2"/>
  <c r="CA73" i="2"/>
  <c r="CB73" i="2" s="1"/>
  <c r="BY73" i="2"/>
  <c r="BX73" i="2"/>
  <c r="BU73" i="2"/>
  <c r="BT73" i="2"/>
  <c r="BP73" i="2"/>
  <c r="BQ73" i="2" s="1"/>
  <c r="BN73" i="2"/>
  <c r="BM73" i="2"/>
  <c r="BJ73" i="2"/>
  <c r="BI73" i="2"/>
  <c r="DH72" i="2"/>
  <c r="DI72" i="2" s="1"/>
  <c r="DF72" i="2"/>
  <c r="DE72" i="2"/>
  <c r="DB72" i="2"/>
  <c r="DA72" i="2"/>
  <c r="CW72" i="2"/>
  <c r="CX72" i="2" s="1"/>
  <c r="CU72" i="2"/>
  <c r="CT72" i="2"/>
  <c r="CQ72" i="2"/>
  <c r="CP72" i="2"/>
  <c r="CL72" i="2"/>
  <c r="CM72" i="2" s="1"/>
  <c r="CJ72" i="2"/>
  <c r="CI72" i="2"/>
  <c r="CF72" i="2"/>
  <c r="CE72" i="2"/>
  <c r="CA72" i="2"/>
  <c r="CB72" i="2" s="1"/>
  <c r="BY72" i="2"/>
  <c r="BX72" i="2"/>
  <c r="BU72" i="2"/>
  <c r="BT72" i="2"/>
  <c r="BP72" i="2"/>
  <c r="BQ72" i="2" s="1"/>
  <c r="BN72" i="2"/>
  <c r="BM72" i="2"/>
  <c r="BJ72" i="2"/>
  <c r="BI72" i="2"/>
  <c r="DH71" i="2"/>
  <c r="DI71" i="2" s="1"/>
  <c r="DF71" i="2"/>
  <c r="DE71" i="2"/>
  <c r="DB71" i="2"/>
  <c r="DA71" i="2"/>
  <c r="CW71" i="2"/>
  <c r="CX71" i="2" s="1"/>
  <c r="CU71" i="2"/>
  <c r="CT71" i="2"/>
  <c r="CQ71" i="2"/>
  <c r="CP71" i="2"/>
  <c r="CL71" i="2"/>
  <c r="CM71" i="2" s="1"/>
  <c r="CJ71" i="2"/>
  <c r="CI71" i="2"/>
  <c r="CF71" i="2"/>
  <c r="CE71" i="2"/>
  <c r="CA71" i="2"/>
  <c r="CB71" i="2" s="1"/>
  <c r="BY71" i="2"/>
  <c r="BX71" i="2"/>
  <c r="BU71" i="2"/>
  <c r="BT71" i="2"/>
  <c r="BP71" i="2"/>
  <c r="BQ71" i="2" s="1"/>
  <c r="BN71" i="2"/>
  <c r="BM71" i="2"/>
  <c r="BJ71" i="2"/>
  <c r="BI71" i="2"/>
  <c r="DG70" i="2"/>
  <c r="DD70" i="2"/>
  <c r="DC70" i="2"/>
  <c r="CZ70" i="2"/>
  <c r="CY70" i="2"/>
  <c r="CV70" i="2"/>
  <c r="CS70" i="2"/>
  <c r="CR70" i="2"/>
  <c r="CO70" i="2"/>
  <c r="CN70" i="2"/>
  <c r="CK70" i="2"/>
  <c r="CH70" i="2"/>
  <c r="CG70" i="2"/>
  <c r="CD70" i="2"/>
  <c r="CC70" i="2"/>
  <c r="BZ70" i="2"/>
  <c r="BW70" i="2"/>
  <c r="BV70" i="2"/>
  <c r="BS70" i="2"/>
  <c r="BR70" i="2"/>
  <c r="BO70" i="2"/>
  <c r="BL70" i="2"/>
  <c r="BK70" i="2"/>
  <c r="BN70" i="2" s="1"/>
  <c r="BH70" i="2"/>
  <c r="BG70" i="2"/>
  <c r="DH69" i="2"/>
  <c r="DI69" i="2" s="1"/>
  <c r="DF69" i="2"/>
  <c r="DE69" i="2"/>
  <c r="DB69" i="2"/>
  <c r="DA69" i="2"/>
  <c r="CW69" i="2"/>
  <c r="CX69" i="2" s="1"/>
  <c r="CU69" i="2"/>
  <c r="CT69" i="2"/>
  <c r="CQ69" i="2"/>
  <c r="CP69" i="2"/>
  <c r="CL69" i="2"/>
  <c r="CM69" i="2" s="1"/>
  <c r="CJ69" i="2"/>
  <c r="CI69" i="2"/>
  <c r="CF69" i="2"/>
  <c r="CE69" i="2"/>
  <c r="CA69" i="2"/>
  <c r="CB69" i="2" s="1"/>
  <c r="BY69" i="2"/>
  <c r="BX69" i="2"/>
  <c r="BU69" i="2"/>
  <c r="BT69" i="2"/>
  <c r="BP69" i="2"/>
  <c r="BQ69" i="2" s="1"/>
  <c r="BN69" i="2"/>
  <c r="BM69" i="2"/>
  <c r="BJ69" i="2"/>
  <c r="BI69" i="2"/>
  <c r="DG68" i="2"/>
  <c r="DD68" i="2"/>
  <c r="DC68" i="2"/>
  <c r="CZ68" i="2"/>
  <c r="CY68" i="2"/>
  <c r="CV68" i="2"/>
  <c r="CS68" i="2"/>
  <c r="CR68" i="2"/>
  <c r="CO68" i="2"/>
  <c r="CN68" i="2"/>
  <c r="CK68" i="2"/>
  <c r="CH68" i="2"/>
  <c r="CG68" i="2"/>
  <c r="CD68" i="2"/>
  <c r="CC68" i="2"/>
  <c r="BZ68" i="2"/>
  <c r="BW68" i="2"/>
  <c r="BV68" i="2"/>
  <c r="BS68" i="2"/>
  <c r="BR68" i="2"/>
  <c r="BO68" i="2"/>
  <c r="BL68" i="2"/>
  <c r="BK68" i="2"/>
  <c r="BH68" i="2"/>
  <c r="BG68" i="2"/>
  <c r="DG65" i="2"/>
  <c r="DC65" i="2"/>
  <c r="CV65" i="2"/>
  <c r="CR65" i="2"/>
  <c r="CK65" i="2"/>
  <c r="CG65" i="2"/>
  <c r="BZ65" i="2"/>
  <c r="BV65" i="2"/>
  <c r="CA65" i="2" s="1"/>
  <c r="CB65" i="2" s="1"/>
  <c r="BO65" i="2"/>
  <c r="BK65" i="2"/>
  <c r="DH64" i="2"/>
  <c r="DI64" i="2" s="1"/>
  <c r="DF64" i="2"/>
  <c r="DD64" i="2"/>
  <c r="DD184" i="2" s="1"/>
  <c r="CZ64" i="2"/>
  <c r="CY64" i="2"/>
  <c r="CW64" i="2"/>
  <c r="CX64" i="2" s="1"/>
  <c r="CS64" i="2"/>
  <c r="CS184" i="2" s="1"/>
  <c r="CO64" i="2"/>
  <c r="CN64" i="2"/>
  <c r="CQ64" i="2" s="1"/>
  <c r="CL64" i="2"/>
  <c r="CM64" i="2" s="1"/>
  <c r="CH64" i="2"/>
  <c r="CJ64" i="2" s="1"/>
  <c r="CD64" i="2"/>
  <c r="CC64" i="2"/>
  <c r="CC184" i="2" s="1"/>
  <c r="CA64" i="2"/>
  <c r="CB64" i="2" s="1"/>
  <c r="BW64" i="2"/>
  <c r="BS64" i="2"/>
  <c r="BS184" i="2" s="1"/>
  <c r="BR64" i="2"/>
  <c r="BP64" i="2"/>
  <c r="BQ64" i="2" s="1"/>
  <c r="BL64" i="2"/>
  <c r="BL65" i="2" s="1"/>
  <c r="BH64" i="2"/>
  <c r="BG64" i="2"/>
  <c r="DH63" i="2"/>
  <c r="DI63" i="2" s="1"/>
  <c r="DD63" i="2"/>
  <c r="DE63" i="2" s="1"/>
  <c r="CZ63" i="2"/>
  <c r="CZ183" i="2" s="1"/>
  <c r="CY63" i="2"/>
  <c r="CW63" i="2"/>
  <c r="CX63" i="2" s="1"/>
  <c r="CS63" i="2"/>
  <c r="CO63" i="2"/>
  <c r="CO65" i="2" s="1"/>
  <c r="CN63" i="2"/>
  <c r="CQ63" i="2" s="1"/>
  <c r="CL63" i="2"/>
  <c r="CM63" i="2" s="1"/>
  <c r="CH63" i="2"/>
  <c r="CJ63" i="2" s="1"/>
  <c r="CD63" i="2"/>
  <c r="CC63" i="2"/>
  <c r="CF63" i="2" s="1"/>
  <c r="CA63" i="2"/>
  <c r="CB63" i="2" s="1"/>
  <c r="BW63" i="2"/>
  <c r="BY63" i="2" s="1"/>
  <c r="BS63" i="2"/>
  <c r="BR63" i="2"/>
  <c r="BP63" i="2"/>
  <c r="BQ63" i="2" s="1"/>
  <c r="BL63" i="2"/>
  <c r="BH63" i="2"/>
  <c r="BG63" i="2"/>
  <c r="BG65" i="2" s="1"/>
  <c r="DG62" i="2"/>
  <c r="DD62" i="2"/>
  <c r="DC62" i="2"/>
  <c r="CZ62" i="2"/>
  <c r="CY62" i="2"/>
  <c r="CV62" i="2"/>
  <c r="CS62" i="2"/>
  <c r="CR62" i="2"/>
  <c r="CO62" i="2"/>
  <c r="CN62" i="2"/>
  <c r="CK62" i="2"/>
  <c r="CH62" i="2"/>
  <c r="CG62" i="2"/>
  <c r="CD62" i="2"/>
  <c r="CC62" i="2"/>
  <c r="CE62" i="2" s="1"/>
  <c r="BZ62" i="2"/>
  <c r="BW62" i="2"/>
  <c r="BV62" i="2"/>
  <c r="BS62" i="2"/>
  <c r="BR62" i="2"/>
  <c r="BT62" i="2" s="1"/>
  <c r="BO62" i="2"/>
  <c r="BL62" i="2"/>
  <c r="BK62" i="2"/>
  <c r="BN62" i="2" s="1"/>
  <c r="BH62" i="2"/>
  <c r="BG62" i="2"/>
  <c r="DH61" i="2"/>
  <c r="DI61" i="2" s="1"/>
  <c r="DF61" i="2"/>
  <c r="DE61" i="2"/>
  <c r="DB61" i="2"/>
  <c r="DA61" i="2"/>
  <c r="CW61" i="2"/>
  <c r="CX61" i="2" s="1"/>
  <c r="CU61" i="2"/>
  <c r="CT61" i="2"/>
  <c r="CQ61" i="2"/>
  <c r="CP61" i="2"/>
  <c r="CL61" i="2"/>
  <c r="CM61" i="2" s="1"/>
  <c r="CJ61" i="2"/>
  <c r="CI61" i="2"/>
  <c r="CF61" i="2"/>
  <c r="CE61" i="2"/>
  <c r="CA61" i="2"/>
  <c r="CB61" i="2" s="1"/>
  <c r="BY61" i="2"/>
  <c r="BX61" i="2"/>
  <c r="BU61" i="2"/>
  <c r="BT61" i="2"/>
  <c r="BP61" i="2"/>
  <c r="BQ61" i="2" s="1"/>
  <c r="BN61" i="2"/>
  <c r="BM61" i="2"/>
  <c r="BJ61" i="2"/>
  <c r="BI61" i="2"/>
  <c r="DH60" i="2"/>
  <c r="DI60" i="2" s="1"/>
  <c r="DF60" i="2"/>
  <c r="DE60" i="2"/>
  <c r="DB60" i="2"/>
  <c r="DA60" i="2"/>
  <c r="CW60" i="2"/>
  <c r="CX60" i="2" s="1"/>
  <c r="CU60" i="2"/>
  <c r="CT60" i="2"/>
  <c r="CQ60" i="2"/>
  <c r="CP60" i="2"/>
  <c r="CL60" i="2"/>
  <c r="CM60" i="2" s="1"/>
  <c r="CJ60" i="2"/>
  <c r="CI60" i="2"/>
  <c r="CF60" i="2"/>
  <c r="CE60" i="2"/>
  <c r="CA60" i="2"/>
  <c r="CB60" i="2" s="1"/>
  <c r="BY60" i="2"/>
  <c r="BX60" i="2"/>
  <c r="BU60" i="2"/>
  <c r="BT60" i="2"/>
  <c r="BP60" i="2"/>
  <c r="BQ60" i="2" s="1"/>
  <c r="BN60" i="2"/>
  <c r="BM60" i="2"/>
  <c r="BJ60" i="2"/>
  <c r="BI60" i="2"/>
  <c r="DG59" i="2"/>
  <c r="DD59" i="2"/>
  <c r="CZ59" i="2"/>
  <c r="CV59" i="2"/>
  <c r="CS59" i="2"/>
  <c r="CR59" i="2"/>
  <c r="CO59" i="2"/>
  <c r="CK59" i="2"/>
  <c r="CH59" i="2"/>
  <c r="CD59" i="2"/>
  <c r="BZ59" i="2"/>
  <c r="BW59" i="2"/>
  <c r="BS59" i="2"/>
  <c r="BO59" i="2"/>
  <c r="BL59" i="2"/>
  <c r="BH59" i="2"/>
  <c r="DC58" i="2"/>
  <c r="DC178" i="2" s="1"/>
  <c r="CY58" i="2"/>
  <c r="CR58" i="2"/>
  <c r="CN58" i="2"/>
  <c r="CN178" i="2" s="1"/>
  <c r="CG58" i="2"/>
  <c r="CG178" i="2" s="1"/>
  <c r="CC58" i="2"/>
  <c r="BV58" i="2"/>
  <c r="BX58" i="2" s="1"/>
  <c r="BR58" i="2"/>
  <c r="BK58" i="2"/>
  <c r="BG58" i="2"/>
  <c r="BG178" i="2" s="1"/>
  <c r="DH57" i="2"/>
  <c r="DI57" i="2" s="1"/>
  <c r="DC57" i="2"/>
  <c r="DC177" i="2" s="1"/>
  <c r="CY57" i="2"/>
  <c r="CW57" i="2"/>
  <c r="CX57" i="2" s="1"/>
  <c r="CR57" i="2"/>
  <c r="CR177" i="2" s="1"/>
  <c r="CN57" i="2"/>
  <c r="CQ57" i="2" s="1"/>
  <c r="CG57" i="2"/>
  <c r="CG177" i="2" s="1"/>
  <c r="CC57" i="2"/>
  <c r="BV57" i="2"/>
  <c r="BX57" i="2" s="1"/>
  <c r="BR57" i="2"/>
  <c r="BR59" i="2" s="1"/>
  <c r="BK57" i="2"/>
  <c r="BG57" i="2"/>
  <c r="DG55" i="2"/>
  <c r="DG56" i="2" s="1"/>
  <c r="DD55" i="2"/>
  <c r="DD56" i="2" s="1"/>
  <c r="DC55" i="2"/>
  <c r="CZ55" i="2"/>
  <c r="CZ56" i="2" s="1"/>
  <c r="DA56" i="2" s="1"/>
  <c r="CY55" i="2"/>
  <c r="CY56" i="2" s="1"/>
  <c r="CV55" i="2"/>
  <c r="CV56" i="2" s="1"/>
  <c r="CS55" i="2"/>
  <c r="CS56" i="2" s="1"/>
  <c r="CR55" i="2"/>
  <c r="CO55" i="2"/>
  <c r="CN55" i="2"/>
  <c r="CN56" i="2" s="1"/>
  <c r="CK55" i="2"/>
  <c r="CK56" i="2" s="1"/>
  <c r="CH55" i="2"/>
  <c r="CH56" i="2" s="1"/>
  <c r="CG55" i="2"/>
  <c r="CD55" i="2"/>
  <c r="CD56" i="2" s="1"/>
  <c r="CC55" i="2"/>
  <c r="CC56" i="2" s="1"/>
  <c r="CF56" i="2" s="1"/>
  <c r="BZ55" i="2"/>
  <c r="BZ56" i="2" s="1"/>
  <c r="BW55" i="2"/>
  <c r="BW56" i="2" s="1"/>
  <c r="BV55" i="2"/>
  <c r="BS55" i="2"/>
  <c r="BS56" i="2" s="1"/>
  <c r="BR55" i="2"/>
  <c r="BO55" i="2"/>
  <c r="BO56" i="2" s="1"/>
  <c r="BL55" i="2"/>
  <c r="BL56" i="2" s="1"/>
  <c r="BK55" i="2"/>
  <c r="BH55" i="2"/>
  <c r="BH56" i="2" s="1"/>
  <c r="BG55" i="2"/>
  <c r="DH54" i="2"/>
  <c r="DI54" i="2" s="1"/>
  <c r="DF54" i="2"/>
  <c r="DE54" i="2"/>
  <c r="DB54" i="2"/>
  <c r="DA54" i="2"/>
  <c r="CW54" i="2"/>
  <c r="CX54" i="2" s="1"/>
  <c r="CU54" i="2"/>
  <c r="CT54" i="2"/>
  <c r="CQ54" i="2"/>
  <c r="CP54" i="2"/>
  <c r="CL54" i="2"/>
  <c r="CM54" i="2" s="1"/>
  <c r="CJ54" i="2"/>
  <c r="CI54" i="2"/>
  <c r="CF54" i="2"/>
  <c r="CE54" i="2"/>
  <c r="CA54" i="2"/>
  <c r="CB54" i="2" s="1"/>
  <c r="BY54" i="2"/>
  <c r="BX54" i="2"/>
  <c r="BU54" i="2"/>
  <c r="BT54" i="2"/>
  <c r="BP54" i="2"/>
  <c r="BQ54" i="2" s="1"/>
  <c r="BN54" i="2"/>
  <c r="BM54" i="2"/>
  <c r="BJ54" i="2"/>
  <c r="BI54" i="2"/>
  <c r="DH53" i="2"/>
  <c r="DI53" i="2" s="1"/>
  <c r="DF53" i="2"/>
  <c r="DE53" i="2"/>
  <c r="DB53" i="2"/>
  <c r="DA53" i="2"/>
  <c r="CW53" i="2"/>
  <c r="CX53" i="2" s="1"/>
  <c r="CU53" i="2"/>
  <c r="CT53" i="2"/>
  <c r="CQ53" i="2"/>
  <c r="CP53" i="2"/>
  <c r="CL53" i="2"/>
  <c r="CM53" i="2" s="1"/>
  <c r="CJ53" i="2"/>
  <c r="CI53" i="2"/>
  <c r="CF53" i="2"/>
  <c r="CE53" i="2"/>
  <c r="CA53" i="2"/>
  <c r="CB53" i="2" s="1"/>
  <c r="BY53" i="2"/>
  <c r="BX53" i="2"/>
  <c r="BU53" i="2"/>
  <c r="BT53" i="2"/>
  <c r="BP53" i="2"/>
  <c r="BQ53" i="2" s="1"/>
  <c r="BN53" i="2"/>
  <c r="BM53" i="2"/>
  <c r="BJ53" i="2"/>
  <c r="BI53" i="2"/>
  <c r="DG50" i="2"/>
  <c r="DD50" i="2"/>
  <c r="DC50" i="2"/>
  <c r="CY50" i="2"/>
  <c r="CV50" i="2"/>
  <c r="CS50" i="2"/>
  <c r="CR50" i="2"/>
  <c r="CN50" i="2"/>
  <c r="CK50" i="2"/>
  <c r="CH50" i="2"/>
  <c r="CG50" i="2"/>
  <c r="CD50" i="2"/>
  <c r="CC50" i="2"/>
  <c r="BZ50" i="2"/>
  <c r="BW50" i="2"/>
  <c r="BV50" i="2"/>
  <c r="BR50" i="2"/>
  <c r="BO50" i="2"/>
  <c r="BL50" i="2"/>
  <c r="BK50" i="2"/>
  <c r="BG50" i="2"/>
  <c r="DH49" i="2"/>
  <c r="DI49" i="2" s="1"/>
  <c r="DF49" i="2"/>
  <c r="DE49" i="2"/>
  <c r="CZ49" i="2"/>
  <c r="DA49" i="2" s="1"/>
  <c r="CW49" i="2"/>
  <c r="CX49" i="2" s="1"/>
  <c r="CU49" i="2"/>
  <c r="CT49" i="2"/>
  <c r="CO49" i="2"/>
  <c r="CL49" i="2"/>
  <c r="CM49" i="2" s="1"/>
  <c r="CJ49" i="2"/>
  <c r="CI49" i="2"/>
  <c r="CD49" i="2"/>
  <c r="CA49" i="2"/>
  <c r="CB49" i="2" s="1"/>
  <c r="BY49" i="2"/>
  <c r="BX49" i="2"/>
  <c r="BS49" i="2"/>
  <c r="BU49" i="2" s="1"/>
  <c r="BP49" i="2"/>
  <c r="BQ49" i="2" s="1"/>
  <c r="BN49" i="2"/>
  <c r="BM49" i="2"/>
  <c r="BH49" i="2"/>
  <c r="BJ49" i="2" s="1"/>
  <c r="DH48" i="2"/>
  <c r="DI48" i="2" s="1"/>
  <c r="DF48" i="2"/>
  <c r="DE48" i="2"/>
  <c r="CZ48" i="2"/>
  <c r="DB48" i="2" s="1"/>
  <c r="CW48" i="2"/>
  <c r="CX48" i="2" s="1"/>
  <c r="CU48" i="2"/>
  <c r="CT48" i="2"/>
  <c r="CO48" i="2"/>
  <c r="CQ48" i="2" s="1"/>
  <c r="CL48" i="2"/>
  <c r="CM48" i="2" s="1"/>
  <c r="CJ48" i="2"/>
  <c r="CI48" i="2"/>
  <c r="CD48" i="2"/>
  <c r="CF48" i="2" s="1"/>
  <c r="CA48" i="2"/>
  <c r="CB48" i="2" s="1"/>
  <c r="BY48" i="2"/>
  <c r="BX48" i="2"/>
  <c r="BS48" i="2"/>
  <c r="BU48" i="2" s="1"/>
  <c r="BP48" i="2"/>
  <c r="BQ48" i="2" s="1"/>
  <c r="BN48" i="2"/>
  <c r="BM48" i="2"/>
  <c r="BH48" i="2"/>
  <c r="BH50" i="2" s="1"/>
  <c r="DG47" i="2"/>
  <c r="DD47" i="2"/>
  <c r="CZ47" i="2"/>
  <c r="CY47" i="2"/>
  <c r="CV47" i="2"/>
  <c r="CS47" i="2"/>
  <c r="CO47" i="2"/>
  <c r="CN47" i="2"/>
  <c r="CQ47" i="2" s="1"/>
  <c r="CK47" i="2"/>
  <c r="CH47" i="2"/>
  <c r="CD47" i="2"/>
  <c r="CC47" i="2"/>
  <c r="BZ47" i="2"/>
  <c r="BW47" i="2"/>
  <c r="BS47" i="2"/>
  <c r="BR47" i="2"/>
  <c r="BO47" i="2"/>
  <c r="BL47" i="2"/>
  <c r="BH47" i="2"/>
  <c r="BG47" i="2"/>
  <c r="DB46" i="2"/>
  <c r="DA46" i="2"/>
  <c r="CQ46" i="2"/>
  <c r="CP46" i="2"/>
  <c r="CF46" i="2"/>
  <c r="CE46" i="2"/>
  <c r="BU46" i="2"/>
  <c r="BT46" i="2"/>
  <c r="BJ46" i="2"/>
  <c r="BI46" i="2"/>
  <c r="DB45" i="2"/>
  <c r="DA45" i="2"/>
  <c r="CQ45" i="2"/>
  <c r="CP45" i="2"/>
  <c r="CF45" i="2"/>
  <c r="CE45" i="2"/>
  <c r="BU45" i="2"/>
  <c r="BT45" i="2"/>
  <c r="BJ45" i="2"/>
  <c r="BI45" i="2"/>
  <c r="DG44" i="2"/>
  <c r="DD44" i="2"/>
  <c r="CZ44" i="2"/>
  <c r="CV44" i="2"/>
  <c r="CS44" i="2"/>
  <c r="CO44" i="2"/>
  <c r="CK44" i="2"/>
  <c r="CH44" i="2"/>
  <c r="CD44" i="2"/>
  <c r="BZ44" i="2"/>
  <c r="BW44" i="2"/>
  <c r="BS44" i="2"/>
  <c r="BO44" i="2"/>
  <c r="BL44" i="2"/>
  <c r="BH44" i="2"/>
  <c r="CY43" i="2"/>
  <c r="CN43" i="2"/>
  <c r="CC43" i="2"/>
  <c r="CE43" i="2" s="1"/>
  <c r="BR43" i="2"/>
  <c r="BT43" i="2" s="1"/>
  <c r="BG43" i="2"/>
  <c r="BG163" i="2" s="1"/>
  <c r="CY42" i="2"/>
  <c r="DA42" i="2" s="1"/>
  <c r="CQ42" i="2"/>
  <c r="CP42" i="2"/>
  <c r="CN42" i="2"/>
  <c r="CC42" i="2"/>
  <c r="BR42" i="2"/>
  <c r="BV45" i="2" s="1"/>
  <c r="BY45" i="2" s="1"/>
  <c r="BK42" i="2"/>
  <c r="BG42" i="2"/>
  <c r="BI42" i="2" s="1"/>
  <c r="DG40" i="2"/>
  <c r="DD40" i="2"/>
  <c r="DC40" i="2"/>
  <c r="CZ40" i="2"/>
  <c r="CY40" i="2"/>
  <c r="CV40" i="2"/>
  <c r="CS40" i="2"/>
  <c r="CR40" i="2"/>
  <c r="CO40" i="2"/>
  <c r="CN40" i="2"/>
  <c r="CK40" i="2"/>
  <c r="CH40" i="2"/>
  <c r="CG40" i="2"/>
  <c r="CD40" i="2"/>
  <c r="CC40" i="2"/>
  <c r="BZ40" i="2"/>
  <c r="BW40" i="2"/>
  <c r="BV40" i="2"/>
  <c r="BS40" i="2"/>
  <c r="BR40" i="2"/>
  <c r="BO40" i="2"/>
  <c r="BL40" i="2"/>
  <c r="BK40" i="2"/>
  <c r="BH40" i="2"/>
  <c r="BG40" i="2"/>
  <c r="DH39" i="2"/>
  <c r="DI39" i="2" s="1"/>
  <c r="DF39" i="2"/>
  <c r="DE39" i="2"/>
  <c r="DB39" i="2"/>
  <c r="DA39" i="2"/>
  <c r="CW39" i="2"/>
  <c r="CX39" i="2" s="1"/>
  <c r="CU39" i="2"/>
  <c r="CT39" i="2"/>
  <c r="CQ39" i="2"/>
  <c r="CP39" i="2"/>
  <c r="CL39" i="2"/>
  <c r="CM39" i="2" s="1"/>
  <c r="CJ39" i="2"/>
  <c r="CI39" i="2"/>
  <c r="CF39" i="2"/>
  <c r="CE39" i="2"/>
  <c r="CA39" i="2"/>
  <c r="CB39" i="2" s="1"/>
  <c r="BY39" i="2"/>
  <c r="BX39" i="2"/>
  <c r="BU39" i="2"/>
  <c r="BT39" i="2"/>
  <c r="BP39" i="2"/>
  <c r="BQ39" i="2" s="1"/>
  <c r="BN39" i="2"/>
  <c r="BM39" i="2"/>
  <c r="BJ39" i="2"/>
  <c r="BI39" i="2"/>
  <c r="DH38" i="2"/>
  <c r="DI38" i="2" s="1"/>
  <c r="DF38" i="2"/>
  <c r="DE38" i="2"/>
  <c r="DB38" i="2"/>
  <c r="DA38" i="2"/>
  <c r="CW38" i="2"/>
  <c r="CX38" i="2" s="1"/>
  <c r="CU38" i="2"/>
  <c r="CT38" i="2"/>
  <c r="CQ38" i="2"/>
  <c r="CP38" i="2"/>
  <c r="CL38" i="2"/>
  <c r="CM38" i="2" s="1"/>
  <c r="CJ38" i="2"/>
  <c r="CI38" i="2"/>
  <c r="CF38" i="2"/>
  <c r="CE38" i="2"/>
  <c r="CA38" i="2"/>
  <c r="CB38" i="2" s="1"/>
  <c r="BY38" i="2"/>
  <c r="BX38" i="2"/>
  <c r="BU38" i="2"/>
  <c r="BT38" i="2"/>
  <c r="BP38" i="2"/>
  <c r="BQ38" i="2" s="1"/>
  <c r="BN38" i="2"/>
  <c r="BM38" i="2"/>
  <c r="BJ38" i="2"/>
  <c r="BI38" i="2"/>
  <c r="DG37" i="2"/>
  <c r="DD37" i="2"/>
  <c r="DC37" i="2"/>
  <c r="CZ37" i="2"/>
  <c r="CY37" i="2"/>
  <c r="CV37" i="2"/>
  <c r="CS37" i="2"/>
  <c r="CR37" i="2"/>
  <c r="CO37" i="2"/>
  <c r="CN37" i="2"/>
  <c r="CK37" i="2"/>
  <c r="CH37" i="2"/>
  <c r="CG37" i="2"/>
  <c r="CD37" i="2"/>
  <c r="CC37" i="2"/>
  <c r="BZ37" i="2"/>
  <c r="BW37" i="2"/>
  <c r="BV37" i="2"/>
  <c r="BS37" i="2"/>
  <c r="BR37" i="2"/>
  <c r="BO37" i="2"/>
  <c r="BL37" i="2"/>
  <c r="BK37" i="2"/>
  <c r="BH37" i="2"/>
  <c r="BG37" i="2"/>
  <c r="DH36" i="2"/>
  <c r="DI36" i="2" s="1"/>
  <c r="DF36" i="2"/>
  <c r="DE36" i="2"/>
  <c r="DB36" i="2"/>
  <c r="DA36" i="2"/>
  <c r="CW36" i="2"/>
  <c r="CX36" i="2" s="1"/>
  <c r="CU36" i="2"/>
  <c r="CT36" i="2"/>
  <c r="CQ36" i="2"/>
  <c r="CP36" i="2"/>
  <c r="CL36" i="2"/>
  <c r="CM36" i="2" s="1"/>
  <c r="CJ36" i="2"/>
  <c r="CI36" i="2"/>
  <c r="CF36" i="2"/>
  <c r="CE36" i="2"/>
  <c r="CA36" i="2"/>
  <c r="CB36" i="2" s="1"/>
  <c r="BY36" i="2"/>
  <c r="BX36" i="2"/>
  <c r="BU36" i="2"/>
  <c r="BT36" i="2"/>
  <c r="BP36" i="2"/>
  <c r="BQ36" i="2" s="1"/>
  <c r="BN36" i="2"/>
  <c r="BM36" i="2"/>
  <c r="BJ36" i="2"/>
  <c r="BI36" i="2"/>
  <c r="DH35" i="2"/>
  <c r="DI35" i="2" s="1"/>
  <c r="DF35" i="2"/>
  <c r="DE35" i="2"/>
  <c r="DB35" i="2"/>
  <c r="DA35" i="2"/>
  <c r="CW35" i="2"/>
  <c r="CX35" i="2" s="1"/>
  <c r="CU35" i="2"/>
  <c r="CT35" i="2"/>
  <c r="CQ35" i="2"/>
  <c r="CP35" i="2"/>
  <c r="CL35" i="2"/>
  <c r="CM35" i="2" s="1"/>
  <c r="CJ35" i="2"/>
  <c r="CI35" i="2"/>
  <c r="CF35" i="2"/>
  <c r="CE35" i="2"/>
  <c r="CA35" i="2"/>
  <c r="CB35" i="2" s="1"/>
  <c r="BY35" i="2"/>
  <c r="BX35" i="2"/>
  <c r="BU35" i="2"/>
  <c r="BT35" i="2"/>
  <c r="BP35" i="2"/>
  <c r="BQ35" i="2" s="1"/>
  <c r="BN35" i="2"/>
  <c r="BM35" i="2"/>
  <c r="BJ35" i="2"/>
  <c r="BI35" i="2"/>
  <c r="DG34" i="2"/>
  <c r="DD34" i="2"/>
  <c r="DC34" i="2"/>
  <c r="CZ34" i="2"/>
  <c r="CY34" i="2"/>
  <c r="CV34" i="2"/>
  <c r="CS34" i="2"/>
  <c r="CR34" i="2"/>
  <c r="CU34" i="2" s="1"/>
  <c r="CO34" i="2"/>
  <c r="CN34" i="2"/>
  <c r="CK34" i="2"/>
  <c r="CH34" i="2"/>
  <c r="CG34" i="2"/>
  <c r="CD34" i="2"/>
  <c r="CC34" i="2"/>
  <c r="BZ34" i="2"/>
  <c r="BW34" i="2"/>
  <c r="BV34" i="2"/>
  <c r="BS34" i="2"/>
  <c r="BR34" i="2"/>
  <c r="BO34" i="2"/>
  <c r="BL34" i="2"/>
  <c r="BK34" i="2"/>
  <c r="BH34" i="2"/>
  <c r="BG34" i="2"/>
  <c r="DH33" i="2"/>
  <c r="DI33" i="2" s="1"/>
  <c r="DF33" i="2"/>
  <c r="DE33" i="2"/>
  <c r="DB33" i="2"/>
  <c r="DA33" i="2"/>
  <c r="CW33" i="2"/>
  <c r="CX33" i="2" s="1"/>
  <c r="CU33" i="2"/>
  <c r="CT33" i="2"/>
  <c r="CQ33" i="2"/>
  <c r="CP33" i="2"/>
  <c r="CL33" i="2"/>
  <c r="CM33" i="2" s="1"/>
  <c r="CJ33" i="2"/>
  <c r="CI33" i="2"/>
  <c r="CF33" i="2"/>
  <c r="CE33" i="2"/>
  <c r="CA33" i="2"/>
  <c r="CB33" i="2" s="1"/>
  <c r="BY33" i="2"/>
  <c r="BX33" i="2"/>
  <c r="BU33" i="2"/>
  <c r="BT33" i="2"/>
  <c r="BP33" i="2"/>
  <c r="BQ33" i="2" s="1"/>
  <c r="BN33" i="2"/>
  <c r="BM33" i="2"/>
  <c r="BJ33" i="2"/>
  <c r="BI33" i="2"/>
  <c r="DH32" i="2"/>
  <c r="DI32" i="2" s="1"/>
  <c r="DF32" i="2"/>
  <c r="DE32" i="2"/>
  <c r="DB32" i="2"/>
  <c r="DA32" i="2"/>
  <c r="CW32" i="2"/>
  <c r="CX32" i="2" s="1"/>
  <c r="CU32" i="2"/>
  <c r="CT32" i="2"/>
  <c r="CQ32" i="2"/>
  <c r="CP32" i="2"/>
  <c r="CL32" i="2"/>
  <c r="CM32" i="2" s="1"/>
  <c r="CJ32" i="2"/>
  <c r="CI32" i="2"/>
  <c r="CF32" i="2"/>
  <c r="CE32" i="2"/>
  <c r="CA32" i="2"/>
  <c r="CB32" i="2" s="1"/>
  <c r="BY32" i="2"/>
  <c r="BX32" i="2"/>
  <c r="BU32" i="2"/>
  <c r="BT32" i="2"/>
  <c r="BP32" i="2"/>
  <c r="BQ32" i="2" s="1"/>
  <c r="BN32" i="2"/>
  <c r="BM32" i="2"/>
  <c r="BJ32" i="2"/>
  <c r="BI32" i="2"/>
  <c r="DG31" i="2"/>
  <c r="DD31" i="2"/>
  <c r="DC31" i="2"/>
  <c r="DH31" i="2" s="1"/>
  <c r="DI31" i="2" s="1"/>
  <c r="CZ31" i="2"/>
  <c r="CY31" i="2"/>
  <c r="CV31" i="2"/>
  <c r="CS31" i="2"/>
  <c r="CR31" i="2"/>
  <c r="CO31" i="2"/>
  <c r="CN31" i="2"/>
  <c r="CK31" i="2"/>
  <c r="CH31" i="2"/>
  <c r="CG31" i="2"/>
  <c r="CD31" i="2"/>
  <c r="CC31" i="2"/>
  <c r="BZ31" i="2"/>
  <c r="BW31" i="2"/>
  <c r="BV31" i="2"/>
  <c r="BS31" i="2"/>
  <c r="BR31" i="2"/>
  <c r="BO31" i="2"/>
  <c r="BL31" i="2"/>
  <c r="BK31" i="2"/>
  <c r="BP31" i="2" s="1"/>
  <c r="BQ31" i="2" s="1"/>
  <c r="BH31" i="2"/>
  <c r="BG31" i="2"/>
  <c r="DH30" i="2"/>
  <c r="DI30" i="2" s="1"/>
  <c r="DF30" i="2"/>
  <c r="DE30" i="2"/>
  <c r="DB30" i="2"/>
  <c r="DA30" i="2"/>
  <c r="CW30" i="2"/>
  <c r="CX30" i="2" s="1"/>
  <c r="CU30" i="2"/>
  <c r="CT30" i="2"/>
  <c r="CQ30" i="2"/>
  <c r="CP30" i="2"/>
  <c r="CL30" i="2"/>
  <c r="CM30" i="2" s="1"/>
  <c r="CJ30" i="2"/>
  <c r="CI30" i="2"/>
  <c r="CF30" i="2"/>
  <c r="CE30" i="2"/>
  <c r="CA30" i="2"/>
  <c r="CB30" i="2" s="1"/>
  <c r="BY30" i="2"/>
  <c r="BX30" i="2"/>
  <c r="BU30" i="2"/>
  <c r="BT30" i="2"/>
  <c r="BP30" i="2"/>
  <c r="BQ30" i="2" s="1"/>
  <c r="BN30" i="2"/>
  <c r="BM30" i="2"/>
  <c r="BJ30" i="2"/>
  <c r="BI30" i="2"/>
  <c r="DH29" i="2"/>
  <c r="DI29" i="2" s="1"/>
  <c r="DF29" i="2"/>
  <c r="DE29" i="2"/>
  <c r="DB29" i="2"/>
  <c r="DA29" i="2"/>
  <c r="CW29" i="2"/>
  <c r="CX29" i="2" s="1"/>
  <c r="CU29" i="2"/>
  <c r="CT29" i="2"/>
  <c r="CQ29" i="2"/>
  <c r="CP29" i="2"/>
  <c r="CL29" i="2"/>
  <c r="CM29" i="2" s="1"/>
  <c r="CJ29" i="2"/>
  <c r="CI29" i="2"/>
  <c r="CF29" i="2"/>
  <c r="CE29" i="2"/>
  <c r="CA29" i="2"/>
  <c r="CB29" i="2" s="1"/>
  <c r="BY29" i="2"/>
  <c r="BX29" i="2"/>
  <c r="BU29" i="2"/>
  <c r="BT29" i="2"/>
  <c r="BP29" i="2"/>
  <c r="BQ29" i="2" s="1"/>
  <c r="BN29" i="2"/>
  <c r="BM29" i="2"/>
  <c r="BJ29" i="2"/>
  <c r="BI29" i="2"/>
  <c r="DG28" i="2"/>
  <c r="DD28" i="2"/>
  <c r="CZ28" i="2"/>
  <c r="CY28" i="2"/>
  <c r="CV28" i="2"/>
  <c r="CS28" i="2"/>
  <c r="CO28" i="2"/>
  <c r="CN28" i="2"/>
  <c r="CK28" i="2"/>
  <c r="CH28" i="2"/>
  <c r="CD28" i="2"/>
  <c r="CC28" i="2"/>
  <c r="CF28" i="2" s="1"/>
  <c r="BZ28" i="2"/>
  <c r="BW28" i="2"/>
  <c r="BS28" i="2"/>
  <c r="BR28" i="2"/>
  <c r="BO28" i="2"/>
  <c r="BL28" i="2"/>
  <c r="BH28" i="2"/>
  <c r="BG28" i="2"/>
  <c r="DH27" i="2"/>
  <c r="DI27" i="2" s="1"/>
  <c r="DF27" i="2"/>
  <c r="DE27" i="2"/>
  <c r="DB27" i="2"/>
  <c r="DA27" i="2"/>
  <c r="CW27" i="2"/>
  <c r="CX27" i="2" s="1"/>
  <c r="CU27" i="2"/>
  <c r="CT27" i="2"/>
  <c r="CQ27" i="2"/>
  <c r="CP27" i="2"/>
  <c r="CL27" i="2"/>
  <c r="CM27" i="2" s="1"/>
  <c r="CJ27" i="2"/>
  <c r="CI27" i="2"/>
  <c r="CF27" i="2"/>
  <c r="CE27" i="2"/>
  <c r="CA27" i="2"/>
  <c r="CB27" i="2" s="1"/>
  <c r="BY27" i="2"/>
  <c r="BX27" i="2"/>
  <c r="BU27" i="2"/>
  <c r="BT27" i="2"/>
  <c r="BP27" i="2"/>
  <c r="BQ27" i="2" s="1"/>
  <c r="BN27" i="2"/>
  <c r="BM27" i="2"/>
  <c r="BJ27" i="2"/>
  <c r="BI27" i="2"/>
  <c r="DC26" i="2"/>
  <c r="DB26" i="2"/>
  <c r="DA26" i="2"/>
  <c r="CR26" i="2"/>
  <c r="CW26" i="2" s="1"/>
  <c r="CX26" i="2" s="1"/>
  <c r="CQ26" i="2"/>
  <c r="CP26" i="2"/>
  <c r="CG26" i="2"/>
  <c r="CL26" i="2" s="1"/>
  <c r="CM26" i="2" s="1"/>
  <c r="CF26" i="2"/>
  <c r="CE26" i="2"/>
  <c r="BV26" i="2"/>
  <c r="BX26" i="2" s="1"/>
  <c r="BU26" i="2"/>
  <c r="BT26" i="2"/>
  <c r="BK26" i="2"/>
  <c r="BJ26" i="2"/>
  <c r="BI26" i="2"/>
  <c r="DG24" i="2"/>
  <c r="DD24" i="2"/>
  <c r="DC24" i="2"/>
  <c r="CZ24" i="2"/>
  <c r="CY24" i="2"/>
  <c r="CV24" i="2"/>
  <c r="CS24" i="2"/>
  <c r="CR24" i="2"/>
  <c r="CO24" i="2"/>
  <c r="CN24" i="2"/>
  <c r="CK24" i="2"/>
  <c r="CH24" i="2"/>
  <c r="CG24" i="2"/>
  <c r="CI24" i="2" s="1"/>
  <c r="CD24" i="2"/>
  <c r="CC24" i="2"/>
  <c r="CE24" i="2" s="1"/>
  <c r="BZ24" i="2"/>
  <c r="BW24" i="2"/>
  <c r="BV24" i="2"/>
  <c r="BS24" i="2"/>
  <c r="BR24" i="2"/>
  <c r="BO24" i="2"/>
  <c r="BL24" i="2"/>
  <c r="BK24" i="2"/>
  <c r="BH24" i="2"/>
  <c r="BG24" i="2"/>
  <c r="DH23" i="2"/>
  <c r="DI23" i="2" s="1"/>
  <c r="DF23" i="2"/>
  <c r="DE23" i="2"/>
  <c r="DB23" i="2"/>
  <c r="DA23" i="2"/>
  <c r="CW23" i="2"/>
  <c r="CX23" i="2" s="1"/>
  <c r="CU23" i="2"/>
  <c r="CT23" i="2"/>
  <c r="CQ23" i="2"/>
  <c r="CP23" i="2"/>
  <c r="CL23" i="2"/>
  <c r="CM23" i="2" s="1"/>
  <c r="CJ23" i="2"/>
  <c r="CI23" i="2"/>
  <c r="CF23" i="2"/>
  <c r="CE23" i="2"/>
  <c r="CA23" i="2"/>
  <c r="CB23" i="2" s="1"/>
  <c r="BY23" i="2"/>
  <c r="BX23" i="2"/>
  <c r="BU23" i="2"/>
  <c r="BT23" i="2"/>
  <c r="BP23" i="2"/>
  <c r="BQ23" i="2" s="1"/>
  <c r="BN23" i="2"/>
  <c r="BM23" i="2"/>
  <c r="BJ23" i="2"/>
  <c r="BI23" i="2"/>
  <c r="DH22" i="2"/>
  <c r="DI22" i="2" s="1"/>
  <c r="DF22" i="2"/>
  <c r="DE22" i="2"/>
  <c r="DB22" i="2"/>
  <c r="DA22" i="2"/>
  <c r="CW22" i="2"/>
  <c r="CX22" i="2" s="1"/>
  <c r="CU22" i="2"/>
  <c r="CT22" i="2"/>
  <c r="CQ22" i="2"/>
  <c r="CP22" i="2"/>
  <c r="CL22" i="2"/>
  <c r="CM22" i="2" s="1"/>
  <c r="CJ22" i="2"/>
  <c r="CI22" i="2"/>
  <c r="CF22" i="2"/>
  <c r="CE22" i="2"/>
  <c r="CA22" i="2"/>
  <c r="CB22" i="2" s="1"/>
  <c r="BY22" i="2"/>
  <c r="BX22" i="2"/>
  <c r="BU22" i="2"/>
  <c r="BT22" i="2"/>
  <c r="BP22" i="2"/>
  <c r="BQ22" i="2" s="1"/>
  <c r="BN22" i="2"/>
  <c r="BM22" i="2"/>
  <c r="BJ22" i="2"/>
  <c r="BI22" i="2"/>
  <c r="DG21" i="2"/>
  <c r="DD21" i="2"/>
  <c r="DC21" i="2"/>
  <c r="CZ21" i="2"/>
  <c r="CY21" i="2"/>
  <c r="DB21" i="2" s="1"/>
  <c r="CV21" i="2"/>
  <c r="CS21" i="2"/>
  <c r="CR21" i="2"/>
  <c r="CO21" i="2"/>
  <c r="CN21" i="2"/>
  <c r="CK21" i="2"/>
  <c r="CH21" i="2"/>
  <c r="CG21" i="2"/>
  <c r="CD21" i="2"/>
  <c r="CC21" i="2"/>
  <c r="BZ21" i="2"/>
  <c r="BW21" i="2"/>
  <c r="BV21" i="2"/>
  <c r="BS21" i="2"/>
  <c r="BR21" i="2"/>
  <c r="BO21" i="2"/>
  <c r="BL21" i="2"/>
  <c r="BK21" i="2"/>
  <c r="BH21" i="2"/>
  <c r="BG21" i="2"/>
  <c r="DH20" i="2"/>
  <c r="DI20" i="2" s="1"/>
  <c r="DF20" i="2"/>
  <c r="DE20" i="2"/>
  <c r="DB20" i="2"/>
  <c r="DA20" i="2"/>
  <c r="CW20" i="2"/>
  <c r="CX20" i="2" s="1"/>
  <c r="CU20" i="2"/>
  <c r="CT20" i="2"/>
  <c r="CQ20" i="2"/>
  <c r="CP20" i="2"/>
  <c r="CL20" i="2"/>
  <c r="CM20" i="2" s="1"/>
  <c r="CJ20" i="2"/>
  <c r="CI20" i="2"/>
  <c r="CF20" i="2"/>
  <c r="CE20" i="2"/>
  <c r="CA20" i="2"/>
  <c r="CB20" i="2" s="1"/>
  <c r="BY20" i="2"/>
  <c r="BX20" i="2"/>
  <c r="BU20" i="2"/>
  <c r="BT20" i="2"/>
  <c r="BP20" i="2"/>
  <c r="BQ20" i="2" s="1"/>
  <c r="BN20" i="2"/>
  <c r="BM20" i="2"/>
  <c r="BJ20" i="2"/>
  <c r="BI20" i="2"/>
  <c r="DH19" i="2"/>
  <c r="DI19" i="2" s="1"/>
  <c r="DF19" i="2"/>
  <c r="DE19" i="2"/>
  <c r="DB19" i="2"/>
  <c r="DA19" i="2"/>
  <c r="CW19" i="2"/>
  <c r="CX19" i="2" s="1"/>
  <c r="CU19" i="2"/>
  <c r="CT19" i="2"/>
  <c r="CQ19" i="2"/>
  <c r="CP19" i="2"/>
  <c r="CL19" i="2"/>
  <c r="CM19" i="2" s="1"/>
  <c r="CJ19" i="2"/>
  <c r="CI19" i="2"/>
  <c r="CF19" i="2"/>
  <c r="CE19" i="2"/>
  <c r="CA19" i="2"/>
  <c r="CB19" i="2" s="1"/>
  <c r="BY19" i="2"/>
  <c r="BX19" i="2"/>
  <c r="BU19" i="2"/>
  <c r="BT19" i="2"/>
  <c r="BP19" i="2"/>
  <c r="BQ19" i="2" s="1"/>
  <c r="BN19" i="2"/>
  <c r="BM19" i="2"/>
  <c r="BJ19" i="2"/>
  <c r="BI19" i="2"/>
  <c r="DG18" i="2"/>
  <c r="DD18" i="2"/>
  <c r="DC18" i="2"/>
  <c r="DF18" i="2" s="1"/>
  <c r="CZ18" i="2"/>
  <c r="CY18" i="2"/>
  <c r="CV18" i="2"/>
  <c r="CS18" i="2"/>
  <c r="CR18" i="2"/>
  <c r="CO18" i="2"/>
  <c r="CN18" i="2"/>
  <c r="CK18" i="2"/>
  <c r="CH18" i="2"/>
  <c r="CG18" i="2"/>
  <c r="CD18" i="2"/>
  <c r="CC18" i="2"/>
  <c r="BZ18" i="2"/>
  <c r="BW18" i="2"/>
  <c r="BV18" i="2"/>
  <c r="BX18" i="2" s="1"/>
  <c r="BS18" i="2"/>
  <c r="BR18" i="2"/>
  <c r="BO18" i="2"/>
  <c r="BL18" i="2"/>
  <c r="BK18" i="2"/>
  <c r="BH18" i="2"/>
  <c r="BG18" i="2"/>
  <c r="DH17" i="2"/>
  <c r="DI17" i="2" s="1"/>
  <c r="DF17" i="2"/>
  <c r="DE17" i="2"/>
  <c r="DB17" i="2"/>
  <c r="DA17" i="2"/>
  <c r="CW17" i="2"/>
  <c r="CX17" i="2" s="1"/>
  <c r="CU17" i="2"/>
  <c r="CT17" i="2"/>
  <c r="CQ17" i="2"/>
  <c r="CP17" i="2"/>
  <c r="CL17" i="2"/>
  <c r="CM17" i="2" s="1"/>
  <c r="CJ17" i="2"/>
  <c r="CI17" i="2"/>
  <c r="CF17" i="2"/>
  <c r="CE17" i="2"/>
  <c r="CA17" i="2"/>
  <c r="CB17" i="2" s="1"/>
  <c r="BY17" i="2"/>
  <c r="BX17" i="2"/>
  <c r="BU17" i="2"/>
  <c r="BT17" i="2"/>
  <c r="BP17" i="2"/>
  <c r="BQ17" i="2" s="1"/>
  <c r="BN17" i="2"/>
  <c r="BM17" i="2"/>
  <c r="BJ17" i="2"/>
  <c r="BI17" i="2"/>
  <c r="DH16" i="2"/>
  <c r="DI16" i="2" s="1"/>
  <c r="DF16" i="2"/>
  <c r="DE16" i="2"/>
  <c r="DB16" i="2"/>
  <c r="DA16" i="2"/>
  <c r="CW16" i="2"/>
  <c r="CX16" i="2" s="1"/>
  <c r="CU16" i="2"/>
  <c r="CT16" i="2"/>
  <c r="CQ16" i="2"/>
  <c r="CP16" i="2"/>
  <c r="CL16" i="2"/>
  <c r="CM16" i="2" s="1"/>
  <c r="CJ16" i="2"/>
  <c r="CI16" i="2"/>
  <c r="CF16" i="2"/>
  <c r="CE16" i="2"/>
  <c r="CA16" i="2"/>
  <c r="CB16" i="2" s="1"/>
  <c r="BY16" i="2"/>
  <c r="BX16" i="2"/>
  <c r="BU16" i="2"/>
  <c r="BT16" i="2"/>
  <c r="BP16" i="2"/>
  <c r="BQ16" i="2" s="1"/>
  <c r="BN16" i="2"/>
  <c r="BM16" i="2"/>
  <c r="BJ16" i="2"/>
  <c r="BI16" i="2"/>
  <c r="DG15" i="2"/>
  <c r="DD15" i="2"/>
  <c r="DC15" i="2"/>
  <c r="CZ15" i="2"/>
  <c r="CY15" i="2"/>
  <c r="CV15" i="2"/>
  <c r="CS15" i="2"/>
  <c r="CR15" i="2"/>
  <c r="CO15" i="2"/>
  <c r="CN15" i="2"/>
  <c r="CK15" i="2"/>
  <c r="CH15" i="2"/>
  <c r="CG15" i="2"/>
  <c r="CD15" i="2"/>
  <c r="CC15" i="2"/>
  <c r="BZ15" i="2"/>
  <c r="BW15" i="2"/>
  <c r="BV15" i="2"/>
  <c r="BS15" i="2"/>
  <c r="BR15" i="2"/>
  <c r="BO15" i="2"/>
  <c r="BL15" i="2"/>
  <c r="BK15" i="2"/>
  <c r="BH15" i="2"/>
  <c r="BG15" i="2"/>
  <c r="DH14" i="2"/>
  <c r="DI14" i="2" s="1"/>
  <c r="DF14" i="2"/>
  <c r="DE14" i="2"/>
  <c r="DB14" i="2"/>
  <c r="DA14" i="2"/>
  <c r="CW14" i="2"/>
  <c r="CX14" i="2" s="1"/>
  <c r="CU14" i="2"/>
  <c r="CT14" i="2"/>
  <c r="CQ14" i="2"/>
  <c r="CP14" i="2"/>
  <c r="CL14" i="2"/>
  <c r="CM14" i="2" s="1"/>
  <c r="CJ14" i="2"/>
  <c r="CI14" i="2"/>
  <c r="CF14" i="2"/>
  <c r="CE14" i="2"/>
  <c r="CA14" i="2"/>
  <c r="CB14" i="2" s="1"/>
  <c r="BY14" i="2"/>
  <c r="BX14" i="2"/>
  <c r="BU14" i="2"/>
  <c r="BT14" i="2"/>
  <c r="BP14" i="2"/>
  <c r="BQ14" i="2" s="1"/>
  <c r="BN14" i="2"/>
  <c r="BM14" i="2"/>
  <c r="BJ14" i="2"/>
  <c r="BI14" i="2"/>
  <c r="DH13" i="2"/>
  <c r="DI13" i="2" s="1"/>
  <c r="DF13" i="2"/>
  <c r="DE13" i="2"/>
  <c r="DB13" i="2"/>
  <c r="DA13" i="2"/>
  <c r="CW13" i="2"/>
  <c r="CX13" i="2" s="1"/>
  <c r="CU13" i="2"/>
  <c r="CT13" i="2"/>
  <c r="CQ13" i="2"/>
  <c r="CP13" i="2"/>
  <c r="CL13" i="2"/>
  <c r="CM13" i="2" s="1"/>
  <c r="CJ13" i="2"/>
  <c r="CI13" i="2"/>
  <c r="CF13" i="2"/>
  <c r="CE13" i="2"/>
  <c r="CA13" i="2"/>
  <c r="CB13" i="2" s="1"/>
  <c r="BY13" i="2"/>
  <c r="BX13" i="2"/>
  <c r="BU13" i="2"/>
  <c r="BT13" i="2"/>
  <c r="BP13" i="2"/>
  <c r="BQ13" i="2" s="1"/>
  <c r="BN13" i="2"/>
  <c r="BM13" i="2"/>
  <c r="BJ13" i="2"/>
  <c r="BI13" i="2"/>
  <c r="BD184" i="2"/>
  <c r="BF184" i="2" s="1"/>
  <c r="AZ184" i="2"/>
  <c r="BD183" i="2"/>
  <c r="BF183" i="2" s="1"/>
  <c r="AZ183" i="2"/>
  <c r="BD181" i="2"/>
  <c r="BA181" i="2"/>
  <c r="AZ181" i="2"/>
  <c r="AW181" i="2"/>
  <c r="AV181" i="2"/>
  <c r="BD180" i="2"/>
  <c r="BF180" i="2" s="1"/>
  <c r="BA180" i="2"/>
  <c r="AZ180" i="2"/>
  <c r="AW180" i="2"/>
  <c r="AV180" i="2"/>
  <c r="BD178" i="2"/>
  <c r="BF178" i="2" s="1"/>
  <c r="BA178" i="2"/>
  <c r="AW178" i="2"/>
  <c r="BD177" i="2"/>
  <c r="BD179" i="2" s="1"/>
  <c r="BF179" i="2" s="1"/>
  <c r="BA177" i="2"/>
  <c r="AW177" i="2"/>
  <c r="AV177" i="2"/>
  <c r="BD174" i="2"/>
  <c r="BF174" i="2" s="1"/>
  <c r="BA174" i="2"/>
  <c r="AZ174" i="2"/>
  <c r="AW174" i="2"/>
  <c r="AV174" i="2"/>
  <c r="BD173" i="2"/>
  <c r="BF173" i="2" s="1"/>
  <c r="BA173" i="2"/>
  <c r="AZ173" i="2"/>
  <c r="AW173" i="2"/>
  <c r="AV173" i="2"/>
  <c r="BD169" i="2"/>
  <c r="BF169" i="2" s="1"/>
  <c r="BA169" i="2"/>
  <c r="AZ169" i="2"/>
  <c r="AV169" i="2"/>
  <c r="BD168" i="2"/>
  <c r="BA168" i="2"/>
  <c r="AZ168" i="2"/>
  <c r="AV168" i="2"/>
  <c r="BD166" i="2"/>
  <c r="BF166" i="2" s="1"/>
  <c r="BA166" i="2"/>
  <c r="AW166" i="2"/>
  <c r="AV166" i="2"/>
  <c r="BD165" i="2"/>
  <c r="BF165" i="2" s="1"/>
  <c r="BA165" i="2"/>
  <c r="AW165" i="2"/>
  <c r="AV165" i="2"/>
  <c r="BD163" i="2"/>
  <c r="BF163" i="2" s="1"/>
  <c r="BA163" i="2"/>
  <c r="AW163" i="2"/>
  <c r="BD162" i="2"/>
  <c r="BA162" i="2"/>
  <c r="AW162" i="2"/>
  <c r="AW164" i="2" s="1"/>
  <c r="BD159" i="2"/>
  <c r="BF159" i="2" s="1"/>
  <c r="BA159" i="2"/>
  <c r="AZ159" i="2"/>
  <c r="AW159" i="2"/>
  <c r="AV159" i="2"/>
  <c r="BD158" i="2"/>
  <c r="BD160" i="2" s="1"/>
  <c r="BF160" i="2" s="1"/>
  <c r="BA158" i="2"/>
  <c r="AZ158" i="2"/>
  <c r="AW158" i="2"/>
  <c r="AV158" i="2"/>
  <c r="BD156" i="2"/>
  <c r="BF156" i="2" s="1"/>
  <c r="BA156" i="2"/>
  <c r="AZ156" i="2"/>
  <c r="AW156" i="2"/>
  <c r="AV156" i="2"/>
  <c r="BD155" i="2"/>
  <c r="BA155" i="2"/>
  <c r="AZ155" i="2"/>
  <c r="AW155" i="2"/>
  <c r="AV155" i="2"/>
  <c r="BD153" i="2"/>
  <c r="BA153" i="2"/>
  <c r="AZ153" i="2"/>
  <c r="AW153" i="2"/>
  <c r="AV153" i="2"/>
  <c r="BD152" i="2"/>
  <c r="BF152" i="2" s="1"/>
  <c r="BA152" i="2"/>
  <c r="AZ152" i="2"/>
  <c r="AW152" i="2"/>
  <c r="AV152" i="2"/>
  <c r="BD150" i="2"/>
  <c r="BF150" i="2" s="1"/>
  <c r="BA150" i="2"/>
  <c r="AZ150" i="2"/>
  <c r="AW150" i="2"/>
  <c r="AV150" i="2"/>
  <c r="BD149" i="2"/>
  <c r="BA149" i="2"/>
  <c r="AZ149" i="2"/>
  <c r="AW149" i="2"/>
  <c r="AV149" i="2"/>
  <c r="BD147" i="2"/>
  <c r="BF147" i="2" s="1"/>
  <c r="BA147" i="2"/>
  <c r="AZ147" i="2"/>
  <c r="AW147" i="2"/>
  <c r="AV147" i="2"/>
  <c r="BD146" i="2"/>
  <c r="BF146" i="2" s="1"/>
  <c r="BA146" i="2"/>
  <c r="AV146" i="2"/>
  <c r="BD143" i="2"/>
  <c r="BF143" i="2" s="1"/>
  <c r="BA143" i="2"/>
  <c r="AZ143" i="2"/>
  <c r="AW143" i="2"/>
  <c r="AV143" i="2"/>
  <c r="BD142" i="2"/>
  <c r="BF142" i="2" s="1"/>
  <c r="BA142" i="2"/>
  <c r="AZ142" i="2"/>
  <c r="AW142" i="2"/>
  <c r="AV142" i="2"/>
  <c r="BD140" i="2"/>
  <c r="BF140" i="2" s="1"/>
  <c r="BA140" i="2"/>
  <c r="AZ140" i="2"/>
  <c r="AW140" i="2"/>
  <c r="AV140" i="2"/>
  <c r="BD139" i="2"/>
  <c r="BA139" i="2"/>
  <c r="AZ139" i="2"/>
  <c r="AW139" i="2"/>
  <c r="AV139" i="2"/>
  <c r="BD137" i="2"/>
  <c r="BF137" i="2" s="1"/>
  <c r="BA137" i="2"/>
  <c r="AZ137" i="2"/>
  <c r="AV137" i="2"/>
  <c r="BD136" i="2"/>
  <c r="BF136" i="2" s="1"/>
  <c r="BA136" i="2"/>
  <c r="AZ136" i="2"/>
  <c r="AV136" i="2"/>
  <c r="BD134" i="2"/>
  <c r="BF134" i="2" s="1"/>
  <c r="BA134" i="2"/>
  <c r="AZ134" i="2"/>
  <c r="AV134" i="2"/>
  <c r="BD133" i="2"/>
  <c r="BA133" i="2"/>
  <c r="AZ133" i="2"/>
  <c r="AV133" i="2"/>
  <c r="AV135" i="2" s="1"/>
  <c r="BD128" i="2"/>
  <c r="BA128" i="2"/>
  <c r="AZ128" i="2"/>
  <c r="BE127" i="2"/>
  <c r="BF127" i="2" s="1"/>
  <c r="BC127" i="2"/>
  <c r="BB127" i="2"/>
  <c r="AW127" i="2"/>
  <c r="AY127" i="2" s="1"/>
  <c r="BE126" i="2"/>
  <c r="BF126" i="2" s="1"/>
  <c r="BC126" i="2"/>
  <c r="BB126" i="2"/>
  <c r="AW126" i="2"/>
  <c r="BD125" i="2"/>
  <c r="BA125" i="2"/>
  <c r="AZ125" i="2"/>
  <c r="AW125" i="2"/>
  <c r="AV125" i="2"/>
  <c r="BE124" i="2"/>
  <c r="BF124" i="2" s="1"/>
  <c r="BC124" i="2"/>
  <c r="BB124" i="2"/>
  <c r="AY124" i="2"/>
  <c r="AX124" i="2"/>
  <c r="BE123" i="2"/>
  <c r="BF123" i="2" s="1"/>
  <c r="BC123" i="2"/>
  <c r="BB123" i="2"/>
  <c r="AY123" i="2"/>
  <c r="AX123" i="2"/>
  <c r="BD122" i="2"/>
  <c r="BA122" i="2"/>
  <c r="AZ122" i="2"/>
  <c r="AW122" i="2"/>
  <c r="AV122" i="2"/>
  <c r="BE121" i="2"/>
  <c r="BF121" i="2" s="1"/>
  <c r="BC121" i="2"/>
  <c r="BB121" i="2"/>
  <c r="AY121" i="2"/>
  <c r="AX121" i="2"/>
  <c r="BE120" i="2"/>
  <c r="BF120" i="2" s="1"/>
  <c r="BC120" i="2"/>
  <c r="BB120" i="2"/>
  <c r="AY120" i="2"/>
  <c r="AX120" i="2"/>
  <c r="BD118" i="2"/>
  <c r="BD119" i="2" s="1"/>
  <c r="BA118" i="2"/>
  <c r="BA119" i="2" s="1"/>
  <c r="AZ118" i="2"/>
  <c r="AW118" i="2"/>
  <c r="AW119" i="2" s="1"/>
  <c r="AV118" i="2"/>
  <c r="BE117" i="2"/>
  <c r="BF117" i="2" s="1"/>
  <c r="BC117" i="2"/>
  <c r="BB117" i="2"/>
  <c r="AY117" i="2"/>
  <c r="AX117" i="2"/>
  <c r="BE116" i="2"/>
  <c r="BF116" i="2" s="1"/>
  <c r="BC116" i="2"/>
  <c r="BB116" i="2"/>
  <c r="AY116" i="2"/>
  <c r="AX116" i="2"/>
  <c r="BD113" i="2"/>
  <c r="BA113" i="2"/>
  <c r="AZ113" i="2"/>
  <c r="BC113" i="2" s="1"/>
  <c r="AV113" i="2"/>
  <c r="BE112" i="2"/>
  <c r="BF112" i="2" s="1"/>
  <c r="BC112" i="2"/>
  <c r="BB112" i="2"/>
  <c r="AW112" i="2"/>
  <c r="BE111" i="2"/>
  <c r="BF111" i="2" s="1"/>
  <c r="BC111" i="2"/>
  <c r="BB111" i="2"/>
  <c r="AW111" i="2"/>
  <c r="AX111" i="2" s="1"/>
  <c r="BD110" i="2"/>
  <c r="BA110" i="2"/>
  <c r="AZ110" i="2"/>
  <c r="BE110" i="2" s="1"/>
  <c r="BF110" i="2" s="1"/>
  <c r="AW110" i="2"/>
  <c r="AV110" i="2"/>
  <c r="BE109" i="2"/>
  <c r="BF109" i="2" s="1"/>
  <c r="BC109" i="2"/>
  <c r="BB109" i="2"/>
  <c r="AY109" i="2"/>
  <c r="AX109" i="2"/>
  <c r="BE108" i="2"/>
  <c r="BF108" i="2" s="1"/>
  <c r="BC108" i="2"/>
  <c r="BB108" i="2"/>
  <c r="AY108" i="2"/>
  <c r="AX108" i="2"/>
  <c r="BD107" i="2"/>
  <c r="BA107" i="2"/>
  <c r="AZ107" i="2"/>
  <c r="AW107" i="2"/>
  <c r="AV107" i="2"/>
  <c r="BE106" i="2"/>
  <c r="BF106" i="2" s="1"/>
  <c r="BC106" i="2"/>
  <c r="BB106" i="2"/>
  <c r="AY106" i="2"/>
  <c r="AX106" i="2"/>
  <c r="BE105" i="2"/>
  <c r="BF105" i="2" s="1"/>
  <c r="BC105" i="2"/>
  <c r="BB105" i="2"/>
  <c r="AY105" i="2"/>
  <c r="AX105" i="2"/>
  <c r="BD103" i="2"/>
  <c r="BA103" i="2"/>
  <c r="AZ103" i="2"/>
  <c r="AW103" i="2"/>
  <c r="AV103" i="2"/>
  <c r="BE102" i="2"/>
  <c r="BF102" i="2" s="1"/>
  <c r="BC102" i="2"/>
  <c r="BB102" i="2"/>
  <c r="AY102" i="2"/>
  <c r="AX102" i="2"/>
  <c r="BE101" i="2"/>
  <c r="BF101" i="2" s="1"/>
  <c r="BC101" i="2"/>
  <c r="BB101" i="2"/>
  <c r="AY101" i="2"/>
  <c r="AX101" i="2"/>
  <c r="BD100" i="2"/>
  <c r="BA100" i="2"/>
  <c r="AZ100" i="2"/>
  <c r="AW100" i="2"/>
  <c r="AV100" i="2"/>
  <c r="BE99" i="2"/>
  <c r="BF99" i="2" s="1"/>
  <c r="BC99" i="2"/>
  <c r="BB99" i="2"/>
  <c r="AY99" i="2"/>
  <c r="AX99" i="2"/>
  <c r="BE98" i="2"/>
  <c r="BF98" i="2" s="1"/>
  <c r="BC98" i="2"/>
  <c r="BB98" i="2"/>
  <c r="AY98" i="2"/>
  <c r="AX98" i="2"/>
  <c r="BD97" i="2"/>
  <c r="BA97" i="2"/>
  <c r="AZ97" i="2"/>
  <c r="AW97" i="2"/>
  <c r="AV97" i="2"/>
  <c r="BE96" i="2"/>
  <c r="BF96" i="2" s="1"/>
  <c r="BC96" i="2"/>
  <c r="BB96" i="2"/>
  <c r="AY96" i="2"/>
  <c r="AX96" i="2"/>
  <c r="BE95" i="2"/>
  <c r="BF95" i="2" s="1"/>
  <c r="BC95" i="2"/>
  <c r="BB95" i="2"/>
  <c r="AY95" i="2"/>
  <c r="AX95" i="2"/>
  <c r="BD94" i="2"/>
  <c r="BA94" i="2"/>
  <c r="AZ94" i="2"/>
  <c r="AW94" i="2"/>
  <c r="AV94" i="2"/>
  <c r="BE93" i="2"/>
  <c r="BF93" i="2" s="1"/>
  <c r="BC93" i="2"/>
  <c r="BB93" i="2"/>
  <c r="AY93" i="2"/>
  <c r="AX93" i="2"/>
  <c r="BE92" i="2"/>
  <c r="BF92" i="2" s="1"/>
  <c r="BC92" i="2"/>
  <c r="BB92" i="2"/>
  <c r="AY92" i="2"/>
  <c r="AX92" i="2"/>
  <c r="BD91" i="2"/>
  <c r="BE91" i="2" s="1"/>
  <c r="BF91" i="2" s="1"/>
  <c r="BA91" i="2"/>
  <c r="AZ91" i="2"/>
  <c r="AV91" i="2"/>
  <c r="BE90" i="2"/>
  <c r="BF90" i="2" s="1"/>
  <c r="BC90" i="2"/>
  <c r="BB90" i="2"/>
  <c r="AY90" i="2"/>
  <c r="AX90" i="2"/>
  <c r="BE89" i="2"/>
  <c r="BF89" i="2" s="1"/>
  <c r="BC89" i="2"/>
  <c r="BB89" i="2"/>
  <c r="AW89" i="2"/>
  <c r="AW91" i="2" s="1"/>
  <c r="BD87" i="2"/>
  <c r="BA87" i="2"/>
  <c r="AZ87" i="2"/>
  <c r="AW87" i="2"/>
  <c r="AV87" i="2"/>
  <c r="BE86" i="2"/>
  <c r="BF86" i="2" s="1"/>
  <c r="BC86" i="2"/>
  <c r="BB86" i="2"/>
  <c r="AY86" i="2"/>
  <c r="AX86" i="2"/>
  <c r="BE85" i="2"/>
  <c r="BF85" i="2" s="1"/>
  <c r="BC85" i="2"/>
  <c r="BB85" i="2"/>
  <c r="AY85" i="2"/>
  <c r="AX85" i="2"/>
  <c r="BD84" i="2"/>
  <c r="BA84" i="2"/>
  <c r="AZ84" i="2"/>
  <c r="AW84" i="2"/>
  <c r="AV84" i="2"/>
  <c r="BE83" i="2"/>
  <c r="BF83" i="2" s="1"/>
  <c r="BC83" i="2"/>
  <c r="BB83" i="2"/>
  <c r="AY83" i="2"/>
  <c r="AX83" i="2"/>
  <c r="BE82" i="2"/>
  <c r="BF82" i="2" s="1"/>
  <c r="BC82" i="2"/>
  <c r="BB82" i="2"/>
  <c r="AY82" i="2"/>
  <c r="AX82" i="2"/>
  <c r="BD81" i="2"/>
  <c r="BA81" i="2"/>
  <c r="AZ81" i="2"/>
  <c r="AV81" i="2"/>
  <c r="BE80" i="2"/>
  <c r="BF80" i="2" s="1"/>
  <c r="BC80" i="2"/>
  <c r="BB80" i="2"/>
  <c r="AW80" i="2"/>
  <c r="AW137" i="2" s="1"/>
  <c r="BE79" i="2"/>
  <c r="BF79" i="2" s="1"/>
  <c r="BC79" i="2"/>
  <c r="BB79" i="2"/>
  <c r="AW79" i="2"/>
  <c r="BD78" i="2"/>
  <c r="BA78" i="2"/>
  <c r="AZ78" i="2"/>
  <c r="AV78" i="2"/>
  <c r="BE77" i="2"/>
  <c r="BF77" i="2" s="1"/>
  <c r="BC77" i="2"/>
  <c r="BB77" i="2"/>
  <c r="AW77" i="2"/>
  <c r="AW134" i="2" s="1"/>
  <c r="BE76" i="2"/>
  <c r="BF76" i="2" s="1"/>
  <c r="BC76" i="2"/>
  <c r="BB76" i="2"/>
  <c r="AW76" i="2"/>
  <c r="AX76" i="2" s="1"/>
  <c r="BE73" i="2"/>
  <c r="BF73" i="2" s="1"/>
  <c r="BC73" i="2"/>
  <c r="BB73" i="2"/>
  <c r="AY73" i="2"/>
  <c r="AX73" i="2"/>
  <c r="BE72" i="2"/>
  <c r="BF72" i="2" s="1"/>
  <c r="BC72" i="2"/>
  <c r="BB72" i="2"/>
  <c r="AY72" i="2"/>
  <c r="AX72" i="2"/>
  <c r="BE71" i="2"/>
  <c r="BF71" i="2" s="1"/>
  <c r="BC71" i="2"/>
  <c r="BB71" i="2"/>
  <c r="AY71" i="2"/>
  <c r="AX71" i="2"/>
  <c r="BD70" i="2"/>
  <c r="BA70" i="2"/>
  <c r="AZ70" i="2"/>
  <c r="AW70" i="2"/>
  <c r="AV70" i="2"/>
  <c r="BE69" i="2"/>
  <c r="BF69" i="2" s="1"/>
  <c r="BC69" i="2"/>
  <c r="BB69" i="2"/>
  <c r="AY69" i="2"/>
  <c r="AX69" i="2"/>
  <c r="BD68" i="2"/>
  <c r="BA68" i="2"/>
  <c r="AZ68" i="2"/>
  <c r="AW68" i="2"/>
  <c r="AV68" i="2"/>
  <c r="BD65" i="2"/>
  <c r="AZ65" i="2"/>
  <c r="BE64" i="2"/>
  <c r="BF64" i="2" s="1"/>
  <c r="BA64" i="2"/>
  <c r="BA184" i="2" s="1"/>
  <c r="AW64" i="2"/>
  <c r="AV64" i="2"/>
  <c r="BE63" i="2"/>
  <c r="BF63" i="2" s="1"/>
  <c r="BB63" i="2"/>
  <c r="BA63" i="2"/>
  <c r="BC63" i="2" s="1"/>
  <c r="AW63" i="2"/>
  <c r="AV63" i="2"/>
  <c r="AV183" i="2" s="1"/>
  <c r="BD62" i="2"/>
  <c r="BA62" i="2"/>
  <c r="AZ62" i="2"/>
  <c r="AW62" i="2"/>
  <c r="AV62" i="2"/>
  <c r="BE61" i="2"/>
  <c r="BF61" i="2" s="1"/>
  <c r="BC61" i="2"/>
  <c r="BB61" i="2"/>
  <c r="AY61" i="2"/>
  <c r="AX61" i="2"/>
  <c r="BE60" i="2"/>
  <c r="BF60" i="2" s="1"/>
  <c r="BC60" i="2"/>
  <c r="BB60" i="2"/>
  <c r="AY60" i="2"/>
  <c r="AX60" i="2"/>
  <c r="BD59" i="2"/>
  <c r="BA59" i="2"/>
  <c r="AW59" i="2"/>
  <c r="AZ58" i="2"/>
  <c r="AV58" i="2"/>
  <c r="AY58" i="2" s="1"/>
  <c r="AZ57" i="2"/>
  <c r="BB57" i="2" s="1"/>
  <c r="AV57" i="2"/>
  <c r="BD55" i="2"/>
  <c r="BD56" i="2" s="1"/>
  <c r="BA55" i="2"/>
  <c r="BA56" i="2" s="1"/>
  <c r="AZ55" i="2"/>
  <c r="AW55" i="2"/>
  <c r="AW56" i="2" s="1"/>
  <c r="AV55" i="2"/>
  <c r="BE54" i="2"/>
  <c r="BF54" i="2" s="1"/>
  <c r="BC54" i="2"/>
  <c r="BB54" i="2"/>
  <c r="AY54" i="2"/>
  <c r="AX54" i="2"/>
  <c r="BE53" i="2"/>
  <c r="BF53" i="2" s="1"/>
  <c r="BC53" i="2"/>
  <c r="BB53" i="2"/>
  <c r="AY53" i="2"/>
  <c r="AX53" i="2"/>
  <c r="BD50" i="2"/>
  <c r="BA50" i="2"/>
  <c r="AZ50" i="2"/>
  <c r="AV50" i="2"/>
  <c r="BE49" i="2"/>
  <c r="BF49" i="2" s="1"/>
  <c r="BC49" i="2"/>
  <c r="BB49" i="2"/>
  <c r="AW49" i="2"/>
  <c r="BE48" i="2"/>
  <c r="BF48" i="2" s="1"/>
  <c r="BC48" i="2"/>
  <c r="BB48" i="2"/>
  <c r="AW48" i="2"/>
  <c r="AY48" i="2" s="1"/>
  <c r="BD47" i="2"/>
  <c r="BA47" i="2"/>
  <c r="AW47" i="2"/>
  <c r="AV47" i="2"/>
  <c r="AY46" i="2"/>
  <c r="AX46" i="2"/>
  <c r="AZ45" i="2"/>
  <c r="AY45" i="2"/>
  <c r="AX45" i="2"/>
  <c r="BD44" i="2"/>
  <c r="BA44" i="2"/>
  <c r="AW44" i="2"/>
  <c r="AV43" i="2"/>
  <c r="AZ43" i="2" s="1"/>
  <c r="AZ163" i="2" s="1"/>
  <c r="AY42" i="2"/>
  <c r="AV42" i="2"/>
  <c r="AV162" i="2" s="1"/>
  <c r="BD40" i="2"/>
  <c r="BA40" i="2"/>
  <c r="AZ40" i="2"/>
  <c r="AW40" i="2"/>
  <c r="AV40" i="2"/>
  <c r="AY40" i="2" s="1"/>
  <c r="BE39" i="2"/>
  <c r="BF39" i="2" s="1"/>
  <c r="BC39" i="2"/>
  <c r="BB39" i="2"/>
  <c r="AY39" i="2"/>
  <c r="AX39" i="2"/>
  <c r="BE38" i="2"/>
  <c r="BF38" i="2" s="1"/>
  <c r="BC38" i="2"/>
  <c r="BB38" i="2"/>
  <c r="AY38" i="2"/>
  <c r="AX38" i="2"/>
  <c r="BD37" i="2"/>
  <c r="BA37" i="2"/>
  <c r="AZ37" i="2"/>
  <c r="BC37" i="2" s="1"/>
  <c r="AW37" i="2"/>
  <c r="AV37" i="2"/>
  <c r="BE36" i="2"/>
  <c r="BF36" i="2" s="1"/>
  <c r="BC36" i="2"/>
  <c r="BB36" i="2"/>
  <c r="AY36" i="2"/>
  <c r="AX36" i="2"/>
  <c r="BE35" i="2"/>
  <c r="BF35" i="2" s="1"/>
  <c r="BC35" i="2"/>
  <c r="BB35" i="2"/>
  <c r="AY35" i="2"/>
  <c r="AX35" i="2"/>
  <c r="BD34" i="2"/>
  <c r="BA34" i="2"/>
  <c r="AZ34" i="2"/>
  <c r="AW34" i="2"/>
  <c r="AV34" i="2"/>
  <c r="BE33" i="2"/>
  <c r="BF33" i="2" s="1"/>
  <c r="BC33" i="2"/>
  <c r="BB33" i="2"/>
  <c r="AY33" i="2"/>
  <c r="AX33" i="2"/>
  <c r="BE32" i="2"/>
  <c r="BF32" i="2" s="1"/>
  <c r="BC32" i="2"/>
  <c r="BB32" i="2"/>
  <c r="AY32" i="2"/>
  <c r="AX32" i="2"/>
  <c r="BD31" i="2"/>
  <c r="BA31" i="2"/>
  <c r="AZ31" i="2"/>
  <c r="AW31" i="2"/>
  <c r="AV31" i="2"/>
  <c r="BE30" i="2"/>
  <c r="BF30" i="2" s="1"/>
  <c r="BC30" i="2"/>
  <c r="BB30" i="2"/>
  <c r="AY30" i="2"/>
  <c r="AX30" i="2"/>
  <c r="BE29" i="2"/>
  <c r="BF29" i="2" s="1"/>
  <c r="BC29" i="2"/>
  <c r="BB29" i="2"/>
  <c r="AY29" i="2"/>
  <c r="AX29" i="2"/>
  <c r="BD28" i="2"/>
  <c r="BA28" i="2"/>
  <c r="AW28" i="2"/>
  <c r="AV28" i="2"/>
  <c r="BE27" i="2"/>
  <c r="BF27" i="2" s="1"/>
  <c r="BC27" i="2"/>
  <c r="BB27" i="2"/>
  <c r="AY27" i="2"/>
  <c r="AX27" i="2"/>
  <c r="AZ26" i="2"/>
  <c r="BE26" i="2" s="1"/>
  <c r="BF26" i="2" s="1"/>
  <c r="AY26" i="2"/>
  <c r="AX26" i="2"/>
  <c r="BD24" i="2"/>
  <c r="BA24" i="2"/>
  <c r="AZ24" i="2"/>
  <c r="BE24" i="2" s="1"/>
  <c r="BF24" i="2" s="1"/>
  <c r="AW24" i="2"/>
  <c r="AV24" i="2"/>
  <c r="BE23" i="2"/>
  <c r="BF23" i="2" s="1"/>
  <c r="BC23" i="2"/>
  <c r="BB23" i="2"/>
  <c r="AY23" i="2"/>
  <c r="AX23" i="2"/>
  <c r="BE22" i="2"/>
  <c r="BF22" i="2" s="1"/>
  <c r="BC22" i="2"/>
  <c r="BB22" i="2"/>
  <c r="AY22" i="2"/>
  <c r="AX22" i="2"/>
  <c r="BD21" i="2"/>
  <c r="BA21" i="2"/>
  <c r="AZ21" i="2"/>
  <c r="BC21" i="2" s="1"/>
  <c r="AW21" i="2"/>
  <c r="AV21" i="2"/>
  <c r="BE20" i="2"/>
  <c r="BF20" i="2" s="1"/>
  <c r="BC20" i="2"/>
  <c r="BB20" i="2"/>
  <c r="AY20" i="2"/>
  <c r="AX20" i="2"/>
  <c r="BE19" i="2"/>
  <c r="BF19" i="2" s="1"/>
  <c r="BC19" i="2"/>
  <c r="BB19" i="2"/>
  <c r="AY19" i="2"/>
  <c r="AX19" i="2"/>
  <c r="BD18" i="2"/>
  <c r="BA18" i="2"/>
  <c r="AZ18" i="2"/>
  <c r="AW18" i="2"/>
  <c r="AY18" i="2" s="1"/>
  <c r="AV18" i="2"/>
  <c r="BE17" i="2"/>
  <c r="BF17" i="2" s="1"/>
  <c r="BC17" i="2"/>
  <c r="BB17" i="2"/>
  <c r="AY17" i="2"/>
  <c r="AX17" i="2"/>
  <c r="BE16" i="2"/>
  <c r="BF16" i="2" s="1"/>
  <c r="BC16" i="2"/>
  <c r="BB16" i="2"/>
  <c r="AY16" i="2"/>
  <c r="AX16" i="2"/>
  <c r="BD15" i="2"/>
  <c r="BA15" i="2"/>
  <c r="AZ15" i="2"/>
  <c r="AW15" i="2"/>
  <c r="AV15" i="2"/>
  <c r="BE14" i="2"/>
  <c r="BF14" i="2" s="1"/>
  <c r="BC14" i="2"/>
  <c r="BB14" i="2"/>
  <c r="AY14" i="2"/>
  <c r="AX14" i="2"/>
  <c r="BE13" i="2"/>
  <c r="BF13" i="2" s="1"/>
  <c r="BC13" i="2"/>
  <c r="BB13" i="2"/>
  <c r="AY13" i="2"/>
  <c r="AX13" i="2"/>
  <c r="AS184" i="2"/>
  <c r="AU184" i="2" s="1"/>
  <c r="AO184" i="2"/>
  <c r="AS183" i="2"/>
  <c r="AU183" i="2" s="1"/>
  <c r="AO183" i="2"/>
  <c r="AS181" i="2"/>
  <c r="AU181" i="2" s="1"/>
  <c r="AP181" i="2"/>
  <c r="AO181" i="2"/>
  <c r="AL181" i="2"/>
  <c r="AK181" i="2"/>
  <c r="AS180" i="2"/>
  <c r="AP180" i="2"/>
  <c r="AO180" i="2"/>
  <c r="AL180" i="2"/>
  <c r="AK180" i="2"/>
  <c r="AS178" i="2"/>
  <c r="AP178" i="2"/>
  <c r="AL178" i="2"/>
  <c r="AS177" i="2"/>
  <c r="AU177" i="2" s="1"/>
  <c r="AP177" i="2"/>
  <c r="AP179" i="2" s="1"/>
  <c r="AL177" i="2"/>
  <c r="AK177" i="2"/>
  <c r="AS174" i="2"/>
  <c r="AU174" i="2" s="1"/>
  <c r="AP174" i="2"/>
  <c r="AO174" i="2"/>
  <c r="AL174" i="2"/>
  <c r="AK174" i="2"/>
  <c r="AS173" i="2"/>
  <c r="AU173" i="2" s="1"/>
  <c r="AP173" i="2"/>
  <c r="AO173" i="2"/>
  <c r="AL173" i="2"/>
  <c r="AK173" i="2"/>
  <c r="AS169" i="2"/>
  <c r="AU169" i="2" s="1"/>
  <c r="AP169" i="2"/>
  <c r="AO169" i="2"/>
  <c r="AK169" i="2"/>
  <c r="AS168" i="2"/>
  <c r="AU168" i="2" s="1"/>
  <c r="AP168" i="2"/>
  <c r="AO168" i="2"/>
  <c r="AK168" i="2"/>
  <c r="AS166" i="2"/>
  <c r="AU166" i="2" s="1"/>
  <c r="AP166" i="2"/>
  <c r="AL166" i="2"/>
  <c r="AK166" i="2"/>
  <c r="AS165" i="2"/>
  <c r="AP165" i="2"/>
  <c r="AL165" i="2"/>
  <c r="AK165" i="2"/>
  <c r="AS163" i="2"/>
  <c r="AU163" i="2" s="1"/>
  <c r="AP163" i="2"/>
  <c r="AL163" i="2"/>
  <c r="AS162" i="2"/>
  <c r="AU162" i="2" s="1"/>
  <c r="AP162" i="2"/>
  <c r="AL162" i="2"/>
  <c r="AL164" i="2" s="1"/>
  <c r="AS159" i="2"/>
  <c r="AU159" i="2" s="1"/>
  <c r="AP159" i="2"/>
  <c r="AO159" i="2"/>
  <c r="AL159" i="2"/>
  <c r="AK159" i="2"/>
  <c r="AS158" i="2"/>
  <c r="AP158" i="2"/>
  <c r="AO158" i="2"/>
  <c r="AL158" i="2"/>
  <c r="AK158" i="2"/>
  <c r="AS156" i="2"/>
  <c r="AU156" i="2" s="1"/>
  <c r="AP156" i="2"/>
  <c r="AO156" i="2"/>
  <c r="AL156" i="2"/>
  <c r="AK156" i="2"/>
  <c r="AS155" i="2"/>
  <c r="AP155" i="2"/>
  <c r="AO155" i="2"/>
  <c r="AL155" i="2"/>
  <c r="AK155" i="2"/>
  <c r="AS153" i="2"/>
  <c r="AU153" i="2" s="1"/>
  <c r="AP153" i="2"/>
  <c r="AO153" i="2"/>
  <c r="AL153" i="2"/>
  <c r="AK153" i="2"/>
  <c r="AS152" i="2"/>
  <c r="AU152" i="2" s="1"/>
  <c r="AP152" i="2"/>
  <c r="AO152" i="2"/>
  <c r="AL152" i="2"/>
  <c r="AK152" i="2"/>
  <c r="AS150" i="2"/>
  <c r="AU150" i="2" s="1"/>
  <c r="AP150" i="2"/>
  <c r="AO150" i="2"/>
  <c r="AL150" i="2"/>
  <c r="AK150" i="2"/>
  <c r="AS149" i="2"/>
  <c r="AP149" i="2"/>
  <c r="AO149" i="2"/>
  <c r="AL149" i="2"/>
  <c r="AK149" i="2"/>
  <c r="AS147" i="2"/>
  <c r="AU147" i="2" s="1"/>
  <c r="AP147" i="2"/>
  <c r="AO147" i="2"/>
  <c r="AL147" i="2"/>
  <c r="AK147" i="2"/>
  <c r="AS146" i="2"/>
  <c r="AU146" i="2" s="1"/>
  <c r="AP146" i="2"/>
  <c r="AK146" i="2"/>
  <c r="AS143" i="2"/>
  <c r="AU143" i="2" s="1"/>
  <c r="AP143" i="2"/>
  <c r="AO143" i="2"/>
  <c r="AL143" i="2"/>
  <c r="AK143" i="2"/>
  <c r="AS142" i="2"/>
  <c r="AU142" i="2" s="1"/>
  <c r="AP142" i="2"/>
  <c r="AO142" i="2"/>
  <c r="AL142" i="2"/>
  <c r="AK142" i="2"/>
  <c r="AS140" i="2"/>
  <c r="AU140" i="2" s="1"/>
  <c r="AP140" i="2"/>
  <c r="AO140" i="2"/>
  <c r="AL140" i="2"/>
  <c r="AK140" i="2"/>
  <c r="AS139" i="2"/>
  <c r="AP139" i="2"/>
  <c r="AO139" i="2"/>
  <c r="AL139" i="2"/>
  <c r="AK139" i="2"/>
  <c r="AS137" i="2"/>
  <c r="AP137" i="2"/>
  <c r="AO137" i="2"/>
  <c r="AK137" i="2"/>
  <c r="AS136" i="2"/>
  <c r="AU136" i="2" s="1"/>
  <c r="AP136" i="2"/>
  <c r="AO136" i="2"/>
  <c r="AK136" i="2"/>
  <c r="AS134" i="2"/>
  <c r="AU134" i="2" s="1"/>
  <c r="AP134" i="2"/>
  <c r="AO134" i="2"/>
  <c r="AK134" i="2"/>
  <c r="AS133" i="2"/>
  <c r="AP133" i="2"/>
  <c r="AO133" i="2"/>
  <c r="AK133" i="2"/>
  <c r="AS128" i="2"/>
  <c r="AP128" i="2"/>
  <c r="AO128" i="2"/>
  <c r="AT127" i="2"/>
  <c r="AU127" i="2" s="1"/>
  <c r="AR127" i="2"/>
  <c r="AQ127" i="2"/>
  <c r="AL127" i="2"/>
  <c r="AN127" i="2" s="1"/>
  <c r="AT126" i="2"/>
  <c r="AU126" i="2" s="1"/>
  <c r="AR126" i="2"/>
  <c r="AQ126" i="2"/>
  <c r="AL126" i="2"/>
  <c r="AN126" i="2" s="1"/>
  <c r="AS125" i="2"/>
  <c r="AP125" i="2"/>
  <c r="AO125" i="2"/>
  <c r="AL125" i="2"/>
  <c r="AK125" i="2"/>
  <c r="AT124" i="2"/>
  <c r="AU124" i="2" s="1"/>
  <c r="AR124" i="2"/>
  <c r="AQ124" i="2"/>
  <c r="AN124" i="2"/>
  <c r="AM124" i="2"/>
  <c r="AT123" i="2"/>
  <c r="AU123" i="2" s="1"/>
  <c r="AR123" i="2"/>
  <c r="AQ123" i="2"/>
  <c r="AN123" i="2"/>
  <c r="AM123" i="2"/>
  <c r="AS122" i="2"/>
  <c r="AP122" i="2"/>
  <c r="AO122" i="2"/>
  <c r="AL122" i="2"/>
  <c r="AK122" i="2"/>
  <c r="AT121" i="2"/>
  <c r="AU121" i="2" s="1"/>
  <c r="AR121" i="2"/>
  <c r="AQ121" i="2"/>
  <c r="AN121" i="2"/>
  <c r="AM121" i="2"/>
  <c r="AT120" i="2"/>
  <c r="AU120" i="2" s="1"/>
  <c r="AR120" i="2"/>
  <c r="AQ120" i="2"/>
  <c r="AN120" i="2"/>
  <c r="AM120" i="2"/>
  <c r="AS118" i="2"/>
  <c r="AS119" i="2" s="1"/>
  <c r="AP118" i="2"/>
  <c r="AP119" i="2" s="1"/>
  <c r="AO118" i="2"/>
  <c r="AL118" i="2"/>
  <c r="AL119" i="2" s="1"/>
  <c r="AK118" i="2"/>
  <c r="AT117" i="2"/>
  <c r="AU117" i="2" s="1"/>
  <c r="AR117" i="2"/>
  <c r="AQ117" i="2"/>
  <c r="AN117" i="2"/>
  <c r="AM117" i="2"/>
  <c r="AT116" i="2"/>
  <c r="AU116" i="2" s="1"/>
  <c r="AR116" i="2"/>
  <c r="AQ116" i="2"/>
  <c r="AN116" i="2"/>
  <c r="AM116" i="2"/>
  <c r="AS113" i="2"/>
  <c r="AP113" i="2"/>
  <c r="AO113" i="2"/>
  <c r="AK113" i="2"/>
  <c r="AT112" i="2"/>
  <c r="AU112" i="2" s="1"/>
  <c r="AR112" i="2"/>
  <c r="AQ112" i="2"/>
  <c r="AL112" i="2"/>
  <c r="AN112" i="2" s="1"/>
  <c r="AT111" i="2"/>
  <c r="AU111" i="2" s="1"/>
  <c r="AR111" i="2"/>
  <c r="AQ111" i="2"/>
  <c r="AL111" i="2"/>
  <c r="AM111" i="2" s="1"/>
  <c r="AS110" i="2"/>
  <c r="AP110" i="2"/>
  <c r="AO110" i="2"/>
  <c r="AL110" i="2"/>
  <c r="AK110" i="2"/>
  <c r="AT109" i="2"/>
  <c r="AU109" i="2" s="1"/>
  <c r="AR109" i="2"/>
  <c r="AQ109" i="2"/>
  <c r="AN109" i="2"/>
  <c r="AM109" i="2"/>
  <c r="AT108" i="2"/>
  <c r="AU108" i="2" s="1"/>
  <c r="AR108" i="2"/>
  <c r="AQ108" i="2"/>
  <c r="AN108" i="2"/>
  <c r="AM108" i="2"/>
  <c r="AS107" i="2"/>
  <c r="AP107" i="2"/>
  <c r="AO107" i="2"/>
  <c r="AR107" i="2" s="1"/>
  <c r="AL107" i="2"/>
  <c r="AK107" i="2"/>
  <c r="AT106" i="2"/>
  <c r="AU106" i="2" s="1"/>
  <c r="AR106" i="2"/>
  <c r="AQ106" i="2"/>
  <c r="AN106" i="2"/>
  <c r="AM106" i="2"/>
  <c r="AT105" i="2"/>
  <c r="AU105" i="2" s="1"/>
  <c r="AR105" i="2"/>
  <c r="AQ105" i="2"/>
  <c r="AN105" i="2"/>
  <c r="AM105" i="2"/>
  <c r="AS103" i="2"/>
  <c r="AP103" i="2"/>
  <c r="AO103" i="2"/>
  <c r="AL103" i="2"/>
  <c r="AK103" i="2"/>
  <c r="AT102" i="2"/>
  <c r="AU102" i="2" s="1"/>
  <c r="AR102" i="2"/>
  <c r="AQ102" i="2"/>
  <c r="AN102" i="2"/>
  <c r="AM102" i="2"/>
  <c r="AT101" i="2"/>
  <c r="AU101" i="2" s="1"/>
  <c r="AR101" i="2"/>
  <c r="AQ101" i="2"/>
  <c r="AN101" i="2"/>
  <c r="AM101" i="2"/>
  <c r="AS100" i="2"/>
  <c r="AP100" i="2"/>
  <c r="AO100" i="2"/>
  <c r="AL100" i="2"/>
  <c r="AK100" i="2"/>
  <c r="AT99" i="2"/>
  <c r="AU99" i="2" s="1"/>
  <c r="AR99" i="2"/>
  <c r="AQ99" i="2"/>
  <c r="AN99" i="2"/>
  <c r="AM99" i="2"/>
  <c r="AT98" i="2"/>
  <c r="AU98" i="2" s="1"/>
  <c r="AR98" i="2"/>
  <c r="AQ98" i="2"/>
  <c r="AN98" i="2"/>
  <c r="AM98" i="2"/>
  <c r="AS97" i="2"/>
  <c r="AP97" i="2"/>
  <c r="AO97" i="2"/>
  <c r="AL97" i="2"/>
  <c r="AK97" i="2"/>
  <c r="AT96" i="2"/>
  <c r="AU96" i="2" s="1"/>
  <c r="AR96" i="2"/>
  <c r="AQ96" i="2"/>
  <c r="AN96" i="2"/>
  <c r="AM96" i="2"/>
  <c r="AT95" i="2"/>
  <c r="AU95" i="2" s="1"/>
  <c r="AR95" i="2"/>
  <c r="AQ95" i="2"/>
  <c r="AN95" i="2"/>
  <c r="AM95" i="2"/>
  <c r="AS94" i="2"/>
  <c r="AP94" i="2"/>
  <c r="AO94" i="2"/>
  <c r="AL94" i="2"/>
  <c r="AK94" i="2"/>
  <c r="AT93" i="2"/>
  <c r="AU93" i="2" s="1"/>
  <c r="AR93" i="2"/>
  <c r="AQ93" i="2"/>
  <c r="AN93" i="2"/>
  <c r="AM93" i="2"/>
  <c r="AT92" i="2"/>
  <c r="AU92" i="2" s="1"/>
  <c r="AR92" i="2"/>
  <c r="AQ92" i="2"/>
  <c r="AN92" i="2"/>
  <c r="AM92" i="2"/>
  <c r="AS91" i="2"/>
  <c r="AP91" i="2"/>
  <c r="AO91" i="2"/>
  <c r="AQ91" i="2" s="1"/>
  <c r="AK91" i="2"/>
  <c r="AT90" i="2"/>
  <c r="AU90" i="2" s="1"/>
  <c r="AR90" i="2"/>
  <c r="AQ90" i="2"/>
  <c r="AN90" i="2"/>
  <c r="AM90" i="2"/>
  <c r="AT89" i="2"/>
  <c r="AU89" i="2" s="1"/>
  <c r="AR89" i="2"/>
  <c r="AQ89" i="2"/>
  <c r="AL89" i="2"/>
  <c r="AL91" i="2" s="1"/>
  <c r="AS87" i="2"/>
  <c r="AP87" i="2"/>
  <c r="AO87" i="2"/>
  <c r="AL87" i="2"/>
  <c r="AK87" i="2"/>
  <c r="AT86" i="2"/>
  <c r="AU86" i="2" s="1"/>
  <c r="AR86" i="2"/>
  <c r="AQ86" i="2"/>
  <c r="AN86" i="2"/>
  <c r="AM86" i="2"/>
  <c r="AT85" i="2"/>
  <c r="AU85" i="2" s="1"/>
  <c r="AR85" i="2"/>
  <c r="AQ85" i="2"/>
  <c r="AN85" i="2"/>
  <c r="AM85" i="2"/>
  <c r="AS84" i="2"/>
  <c r="AP84" i="2"/>
  <c r="AO84" i="2"/>
  <c r="AL84" i="2"/>
  <c r="AK84" i="2"/>
  <c r="AT83" i="2"/>
  <c r="AU83" i="2" s="1"/>
  <c r="AR83" i="2"/>
  <c r="AQ83" i="2"/>
  <c r="AN83" i="2"/>
  <c r="AM83" i="2"/>
  <c r="AT82" i="2"/>
  <c r="AU82" i="2" s="1"/>
  <c r="AR82" i="2"/>
  <c r="AQ82" i="2"/>
  <c r="AN82" i="2"/>
  <c r="AM82" i="2"/>
  <c r="AS81" i="2"/>
  <c r="AP81" i="2"/>
  <c r="AO81" i="2"/>
  <c r="AK81" i="2"/>
  <c r="AT80" i="2"/>
  <c r="AU80" i="2" s="1"/>
  <c r="AR80" i="2"/>
  <c r="AQ80" i="2"/>
  <c r="AL80" i="2"/>
  <c r="AN80" i="2" s="1"/>
  <c r="AT79" i="2"/>
  <c r="AU79" i="2" s="1"/>
  <c r="AR79" i="2"/>
  <c r="AQ79" i="2"/>
  <c r="AL79" i="2"/>
  <c r="AS78" i="2"/>
  <c r="AP78" i="2"/>
  <c r="AO78" i="2"/>
  <c r="AK78" i="2"/>
  <c r="AT77" i="2"/>
  <c r="AU77" i="2" s="1"/>
  <c r="AR77" i="2"/>
  <c r="AQ77" i="2"/>
  <c r="AL77" i="2"/>
  <c r="AT76" i="2"/>
  <c r="AU76" i="2" s="1"/>
  <c r="AR76" i="2"/>
  <c r="AQ76" i="2"/>
  <c r="AL76" i="2"/>
  <c r="AL78" i="2" s="1"/>
  <c r="AT73" i="2"/>
  <c r="AU73" i="2" s="1"/>
  <c r="AR73" i="2"/>
  <c r="AQ73" i="2"/>
  <c r="AN73" i="2"/>
  <c r="AM73" i="2"/>
  <c r="AT72" i="2"/>
  <c r="AU72" i="2" s="1"/>
  <c r="AR72" i="2"/>
  <c r="AQ72" i="2"/>
  <c r="AN72" i="2"/>
  <c r="AM72" i="2"/>
  <c r="AT71" i="2"/>
  <c r="AU71" i="2" s="1"/>
  <c r="AR71" i="2"/>
  <c r="AQ71" i="2"/>
  <c r="AN71" i="2"/>
  <c r="AM71" i="2"/>
  <c r="AS70" i="2"/>
  <c r="AP70" i="2"/>
  <c r="AO70" i="2"/>
  <c r="AL70" i="2"/>
  <c r="AK70" i="2"/>
  <c r="AT69" i="2"/>
  <c r="AU69" i="2" s="1"/>
  <c r="AR69" i="2"/>
  <c r="AQ69" i="2"/>
  <c r="AN69" i="2"/>
  <c r="AM69" i="2"/>
  <c r="AS68" i="2"/>
  <c r="AP68" i="2"/>
  <c r="AO68" i="2"/>
  <c r="AL68" i="2"/>
  <c r="AK68" i="2"/>
  <c r="AS65" i="2"/>
  <c r="AO65" i="2"/>
  <c r="AT64" i="2"/>
  <c r="AU64" i="2" s="1"/>
  <c r="AP64" i="2"/>
  <c r="AP184" i="2" s="1"/>
  <c r="AL64" i="2"/>
  <c r="AK64" i="2"/>
  <c r="AN64" i="2" s="1"/>
  <c r="AT63" i="2"/>
  <c r="AU63" i="2" s="1"/>
  <c r="AP63" i="2"/>
  <c r="AL63" i="2"/>
  <c r="AK63" i="2"/>
  <c r="AS62" i="2"/>
  <c r="AP62" i="2"/>
  <c r="AO62" i="2"/>
  <c r="AL62" i="2"/>
  <c r="AK62" i="2"/>
  <c r="AT61" i="2"/>
  <c r="AU61" i="2" s="1"/>
  <c r="AR61" i="2"/>
  <c r="AQ61" i="2"/>
  <c r="AN61" i="2"/>
  <c r="AM61" i="2"/>
  <c r="AT60" i="2"/>
  <c r="AU60" i="2" s="1"/>
  <c r="AR60" i="2"/>
  <c r="AQ60" i="2"/>
  <c r="AN60" i="2"/>
  <c r="AM60" i="2"/>
  <c r="AS59" i="2"/>
  <c r="AP59" i="2"/>
  <c r="AL59" i="2"/>
  <c r="AO58" i="2"/>
  <c r="AK58" i="2"/>
  <c r="AO57" i="2"/>
  <c r="AN57" i="2"/>
  <c r="AM57" i="2"/>
  <c r="AK57" i="2"/>
  <c r="AP56" i="2"/>
  <c r="AS55" i="2"/>
  <c r="AS56" i="2" s="1"/>
  <c r="AP55" i="2"/>
  <c r="AO55" i="2"/>
  <c r="AR55" i="2" s="1"/>
  <c r="AL55" i="2"/>
  <c r="AL56" i="2" s="1"/>
  <c r="AK55" i="2"/>
  <c r="AT54" i="2"/>
  <c r="AU54" i="2" s="1"/>
  <c r="AR54" i="2"/>
  <c r="AQ54" i="2"/>
  <c r="AN54" i="2"/>
  <c r="AM54" i="2"/>
  <c r="AT53" i="2"/>
  <c r="AU53" i="2" s="1"/>
  <c r="AR53" i="2"/>
  <c r="AQ53" i="2"/>
  <c r="AN53" i="2"/>
  <c r="AM53" i="2"/>
  <c r="AS50" i="2"/>
  <c r="AP50" i="2"/>
  <c r="AO50" i="2"/>
  <c r="AK50" i="2"/>
  <c r="AT49" i="2"/>
  <c r="AU49" i="2" s="1"/>
  <c r="AR49" i="2"/>
  <c r="AQ49" i="2"/>
  <c r="AL49" i="2"/>
  <c r="AM49" i="2" s="1"/>
  <c r="AT48" i="2"/>
  <c r="AU48" i="2" s="1"/>
  <c r="AR48" i="2"/>
  <c r="AQ48" i="2"/>
  <c r="AL48" i="2"/>
  <c r="AN48" i="2" s="1"/>
  <c r="AS47" i="2"/>
  <c r="AP47" i="2"/>
  <c r="AL47" i="2"/>
  <c r="AK47" i="2"/>
  <c r="AN46" i="2"/>
  <c r="AM46" i="2"/>
  <c r="AN45" i="2"/>
  <c r="AM45" i="2"/>
  <c r="AS44" i="2"/>
  <c r="AP44" i="2"/>
  <c r="AL44" i="2"/>
  <c r="AK43" i="2"/>
  <c r="AK163" i="2" s="1"/>
  <c r="AK42" i="2"/>
  <c r="AN42" i="2" s="1"/>
  <c r="AS40" i="2"/>
  <c r="AP40" i="2"/>
  <c r="AO40" i="2"/>
  <c r="AL40" i="2"/>
  <c r="AK40" i="2"/>
  <c r="AT39" i="2"/>
  <c r="AU39" i="2" s="1"/>
  <c r="AR39" i="2"/>
  <c r="AQ39" i="2"/>
  <c r="AN39" i="2"/>
  <c r="AM39" i="2"/>
  <c r="AT38" i="2"/>
  <c r="AU38" i="2" s="1"/>
  <c r="AR38" i="2"/>
  <c r="AQ38" i="2"/>
  <c r="AN38" i="2"/>
  <c r="AM38" i="2"/>
  <c r="AS37" i="2"/>
  <c r="AP37" i="2"/>
  <c r="AO37" i="2"/>
  <c r="AL37" i="2"/>
  <c r="AK37" i="2"/>
  <c r="AT36" i="2"/>
  <c r="AU36" i="2" s="1"/>
  <c r="AR36" i="2"/>
  <c r="AQ36" i="2"/>
  <c r="AN36" i="2"/>
  <c r="AM36" i="2"/>
  <c r="AT35" i="2"/>
  <c r="AU35" i="2" s="1"/>
  <c r="AR35" i="2"/>
  <c r="AQ35" i="2"/>
  <c r="AN35" i="2"/>
  <c r="AM35" i="2"/>
  <c r="AS34" i="2"/>
  <c r="AP34" i="2"/>
  <c r="AO34" i="2"/>
  <c r="AL34" i="2"/>
  <c r="AK34" i="2"/>
  <c r="AT33" i="2"/>
  <c r="AU33" i="2" s="1"/>
  <c r="AR33" i="2"/>
  <c r="AQ33" i="2"/>
  <c r="AN33" i="2"/>
  <c r="AM33" i="2"/>
  <c r="AT32" i="2"/>
  <c r="AU32" i="2" s="1"/>
  <c r="AR32" i="2"/>
  <c r="AQ32" i="2"/>
  <c r="AN32" i="2"/>
  <c r="AM32" i="2"/>
  <c r="AS31" i="2"/>
  <c r="AP31" i="2"/>
  <c r="AO31" i="2"/>
  <c r="AL31" i="2"/>
  <c r="AK31" i="2"/>
  <c r="AT30" i="2"/>
  <c r="AU30" i="2" s="1"/>
  <c r="AR30" i="2"/>
  <c r="AQ30" i="2"/>
  <c r="AN30" i="2"/>
  <c r="AM30" i="2"/>
  <c r="AU29" i="2"/>
  <c r="AT29" i="2"/>
  <c r="AR29" i="2"/>
  <c r="AQ29" i="2"/>
  <c r="AN29" i="2"/>
  <c r="AM29" i="2"/>
  <c r="AS28" i="2"/>
  <c r="AP28" i="2"/>
  <c r="AL28" i="2"/>
  <c r="AK28" i="2"/>
  <c r="AT27" i="2"/>
  <c r="AU27" i="2" s="1"/>
  <c r="AR27" i="2"/>
  <c r="AQ27" i="2"/>
  <c r="AN27" i="2"/>
  <c r="AM27" i="2"/>
  <c r="AO26" i="2"/>
  <c r="AN26" i="2"/>
  <c r="AM26" i="2"/>
  <c r="AS24" i="2"/>
  <c r="AP24" i="2"/>
  <c r="AO24" i="2"/>
  <c r="AL24" i="2"/>
  <c r="AK24" i="2"/>
  <c r="AT23" i="2"/>
  <c r="AU23" i="2" s="1"/>
  <c r="AR23" i="2"/>
  <c r="AQ23" i="2"/>
  <c r="AN23" i="2"/>
  <c r="AM23" i="2"/>
  <c r="AT22" i="2"/>
  <c r="AU22" i="2" s="1"/>
  <c r="AR22" i="2"/>
  <c r="AQ22" i="2"/>
  <c r="AN22" i="2"/>
  <c r="AM22" i="2"/>
  <c r="AS21" i="2"/>
  <c r="AP21" i="2"/>
  <c r="AO21" i="2"/>
  <c r="AL21" i="2"/>
  <c r="AK21" i="2"/>
  <c r="AT20" i="2"/>
  <c r="AU20" i="2" s="1"/>
  <c r="AR20" i="2"/>
  <c r="AQ20" i="2"/>
  <c r="AN20" i="2"/>
  <c r="AM20" i="2"/>
  <c r="AT19" i="2"/>
  <c r="AU19" i="2" s="1"/>
  <c r="AR19" i="2"/>
  <c r="AQ19" i="2"/>
  <c r="AN19" i="2"/>
  <c r="AM19" i="2"/>
  <c r="AS18" i="2"/>
  <c r="AP18" i="2"/>
  <c r="AO18" i="2"/>
  <c r="AL18" i="2"/>
  <c r="AK18" i="2"/>
  <c r="AT17" i="2"/>
  <c r="AU17" i="2" s="1"/>
  <c r="AR17" i="2"/>
  <c r="AQ17" i="2"/>
  <c r="AN17" i="2"/>
  <c r="AM17" i="2"/>
  <c r="AT16" i="2"/>
  <c r="AU16" i="2" s="1"/>
  <c r="AR16" i="2"/>
  <c r="AQ16" i="2"/>
  <c r="AN16" i="2"/>
  <c r="AM16" i="2"/>
  <c r="AS15" i="2"/>
  <c r="AP15" i="2"/>
  <c r="AO15" i="2"/>
  <c r="AL15" i="2"/>
  <c r="AK15" i="2"/>
  <c r="AT14" i="2"/>
  <c r="AU14" i="2" s="1"/>
  <c r="AR14" i="2"/>
  <c r="AQ14" i="2"/>
  <c r="AN14" i="2"/>
  <c r="AM14" i="2"/>
  <c r="AT13" i="2"/>
  <c r="AU13" i="2" s="1"/>
  <c r="AR13" i="2"/>
  <c r="AQ13" i="2"/>
  <c r="AN13" i="2"/>
  <c r="AM13" i="2"/>
  <c r="AH184" i="2"/>
  <c r="AJ184" i="2" s="1"/>
  <c r="AD184" i="2"/>
  <c r="AH183" i="2"/>
  <c r="AD183" i="2"/>
  <c r="AH181" i="2"/>
  <c r="AJ181" i="2" s="1"/>
  <c r="AE181" i="2"/>
  <c r="AD181" i="2"/>
  <c r="AA181" i="2"/>
  <c r="Z181" i="2"/>
  <c r="AH180" i="2"/>
  <c r="AJ180" i="2" s="1"/>
  <c r="AE180" i="2"/>
  <c r="AD180" i="2"/>
  <c r="AA180" i="2"/>
  <c r="Z180" i="2"/>
  <c r="AH178" i="2"/>
  <c r="AJ178" i="2" s="1"/>
  <c r="AE178" i="2"/>
  <c r="AD178" i="2"/>
  <c r="AA178" i="2"/>
  <c r="AH177" i="2"/>
  <c r="AE177" i="2"/>
  <c r="AA177" i="2"/>
  <c r="AH174" i="2"/>
  <c r="AJ174" i="2" s="1"/>
  <c r="AE174" i="2"/>
  <c r="AD174" i="2"/>
  <c r="AA174" i="2"/>
  <c r="Z174" i="2"/>
  <c r="AH173" i="2"/>
  <c r="AE173" i="2"/>
  <c r="AD173" i="2"/>
  <c r="AA173" i="2"/>
  <c r="AA175" i="2" s="1"/>
  <c r="AA176" i="2" s="1"/>
  <c r="Z173" i="2"/>
  <c r="AH169" i="2"/>
  <c r="AE169" i="2"/>
  <c r="AD169" i="2"/>
  <c r="Z169" i="2"/>
  <c r="AH168" i="2"/>
  <c r="AJ168" i="2" s="1"/>
  <c r="AE168" i="2"/>
  <c r="AD168" i="2"/>
  <c r="Z168" i="2"/>
  <c r="AH166" i="2"/>
  <c r="AJ166" i="2" s="1"/>
  <c r="AE166" i="2"/>
  <c r="AA166" i="2"/>
  <c r="Z166" i="2"/>
  <c r="AH165" i="2"/>
  <c r="AE165" i="2"/>
  <c r="AA165" i="2"/>
  <c r="Z165" i="2"/>
  <c r="AH163" i="2"/>
  <c r="AJ163" i="2" s="1"/>
  <c r="AE163" i="2"/>
  <c r="AA163" i="2"/>
  <c r="AH162" i="2"/>
  <c r="AJ162" i="2" s="1"/>
  <c r="AE162" i="2"/>
  <c r="AA162" i="2"/>
  <c r="AH159" i="2"/>
  <c r="AE159" i="2"/>
  <c r="AD159" i="2"/>
  <c r="AA159" i="2"/>
  <c r="Z159" i="2"/>
  <c r="AH158" i="2"/>
  <c r="AJ158" i="2" s="1"/>
  <c r="AE158" i="2"/>
  <c r="AD158" i="2"/>
  <c r="AA158" i="2"/>
  <c r="Z158" i="2"/>
  <c r="AH156" i="2"/>
  <c r="AJ156" i="2" s="1"/>
  <c r="AE156" i="2"/>
  <c r="AD156" i="2"/>
  <c r="AA156" i="2"/>
  <c r="Z156" i="2"/>
  <c r="AH155" i="2"/>
  <c r="AE155" i="2"/>
  <c r="AD155" i="2"/>
  <c r="AA155" i="2"/>
  <c r="Z155" i="2"/>
  <c r="AH153" i="2"/>
  <c r="AJ153" i="2" s="1"/>
  <c r="AE153" i="2"/>
  <c r="AD153" i="2"/>
  <c r="AA153" i="2"/>
  <c r="Z153" i="2"/>
  <c r="AH152" i="2"/>
  <c r="AJ152" i="2" s="1"/>
  <c r="AE152" i="2"/>
  <c r="AD152" i="2"/>
  <c r="AA152" i="2"/>
  <c r="Z152" i="2"/>
  <c r="AH150" i="2"/>
  <c r="AJ150" i="2" s="1"/>
  <c r="AE150" i="2"/>
  <c r="AD150" i="2"/>
  <c r="AA150" i="2"/>
  <c r="Z150" i="2"/>
  <c r="AH149" i="2"/>
  <c r="AE149" i="2"/>
  <c r="AD149" i="2"/>
  <c r="AA149" i="2"/>
  <c r="Z149" i="2"/>
  <c r="AH147" i="2"/>
  <c r="AJ147" i="2" s="1"/>
  <c r="AE147" i="2"/>
  <c r="AD147" i="2"/>
  <c r="AA147" i="2"/>
  <c r="Z147" i="2"/>
  <c r="AH146" i="2"/>
  <c r="AE146" i="2"/>
  <c r="Z146" i="2"/>
  <c r="AH143" i="2"/>
  <c r="AJ143" i="2" s="1"/>
  <c r="AE143" i="2"/>
  <c r="AD143" i="2"/>
  <c r="AA143" i="2"/>
  <c r="Z143" i="2"/>
  <c r="AH142" i="2"/>
  <c r="AE142" i="2"/>
  <c r="AD142" i="2"/>
  <c r="AA142" i="2"/>
  <c r="Z142" i="2"/>
  <c r="Z144" i="2" s="1"/>
  <c r="AH140" i="2"/>
  <c r="AJ140" i="2" s="1"/>
  <c r="AE140" i="2"/>
  <c r="AD140" i="2"/>
  <c r="AA140" i="2"/>
  <c r="Z140" i="2"/>
  <c r="AH139" i="2"/>
  <c r="AE139" i="2"/>
  <c r="AD139" i="2"/>
  <c r="AA139" i="2"/>
  <c r="Z139" i="2"/>
  <c r="AH137" i="2"/>
  <c r="AJ137" i="2" s="1"/>
  <c r="AE137" i="2"/>
  <c r="AD137" i="2"/>
  <c r="Z137" i="2"/>
  <c r="AH136" i="2"/>
  <c r="AE136" i="2"/>
  <c r="AD136" i="2"/>
  <c r="Z136" i="2"/>
  <c r="AH134" i="2"/>
  <c r="AJ134" i="2" s="1"/>
  <c r="AE134" i="2"/>
  <c r="AD134" i="2"/>
  <c r="Z134" i="2"/>
  <c r="AH133" i="2"/>
  <c r="AJ133" i="2" s="1"/>
  <c r="AE133" i="2"/>
  <c r="AD133" i="2"/>
  <c r="Z133" i="2"/>
  <c r="AH128" i="2"/>
  <c r="AE128" i="2"/>
  <c r="AD128" i="2"/>
  <c r="AI127" i="2"/>
  <c r="AJ127" i="2" s="1"/>
  <c r="AG127" i="2"/>
  <c r="AF127" i="2"/>
  <c r="AA127" i="2"/>
  <c r="AI126" i="2"/>
  <c r="AJ126" i="2" s="1"/>
  <c r="AG126" i="2"/>
  <c r="AF126" i="2"/>
  <c r="AB126" i="2"/>
  <c r="AA126" i="2"/>
  <c r="AC126" i="2" s="1"/>
  <c r="AH125" i="2"/>
  <c r="AE125" i="2"/>
  <c r="AD125" i="2"/>
  <c r="AG125" i="2" s="1"/>
  <c r="AA125" i="2"/>
  <c r="Z125" i="2"/>
  <c r="AI124" i="2"/>
  <c r="AJ124" i="2" s="1"/>
  <c r="AG124" i="2"/>
  <c r="AF124" i="2"/>
  <c r="AC124" i="2"/>
  <c r="AB124" i="2"/>
  <c r="AI123" i="2"/>
  <c r="AJ123" i="2" s="1"/>
  <c r="AG123" i="2"/>
  <c r="AF123" i="2"/>
  <c r="AC123" i="2"/>
  <c r="AB123" i="2"/>
  <c r="AH122" i="2"/>
  <c r="AE122" i="2"/>
  <c r="AD122" i="2"/>
  <c r="AA122" i="2"/>
  <c r="Z122" i="2"/>
  <c r="AI121" i="2"/>
  <c r="AJ121" i="2" s="1"/>
  <c r="AG121" i="2"/>
  <c r="AF121" i="2"/>
  <c r="AC121" i="2"/>
  <c r="AB121" i="2"/>
  <c r="AI120" i="2"/>
  <c r="AJ120" i="2" s="1"/>
  <c r="AG120" i="2"/>
  <c r="AF120" i="2"/>
  <c r="AC120" i="2"/>
  <c r="AB120" i="2"/>
  <c r="AH118" i="2"/>
  <c r="AH119" i="2" s="1"/>
  <c r="AE118" i="2"/>
  <c r="AE119" i="2" s="1"/>
  <c r="AD118" i="2"/>
  <c r="AD119" i="2" s="1"/>
  <c r="AA118" i="2"/>
  <c r="AA119" i="2" s="1"/>
  <c r="Z118" i="2"/>
  <c r="AI117" i="2"/>
  <c r="AJ117" i="2" s="1"/>
  <c r="AG117" i="2"/>
  <c r="AF117" i="2"/>
  <c r="AC117" i="2"/>
  <c r="AB117" i="2"/>
  <c r="AI116" i="2"/>
  <c r="AJ116" i="2" s="1"/>
  <c r="AG116" i="2"/>
  <c r="AF116" i="2"/>
  <c r="AC116" i="2"/>
  <c r="AB116" i="2"/>
  <c r="AH113" i="2"/>
  <c r="AE113" i="2"/>
  <c r="AD113" i="2"/>
  <c r="AG113" i="2" s="1"/>
  <c r="Z113" i="2"/>
  <c r="AI112" i="2"/>
  <c r="AJ112" i="2" s="1"/>
  <c r="AG112" i="2"/>
  <c r="AF112" i="2"/>
  <c r="AA112" i="2"/>
  <c r="AC112" i="2" s="1"/>
  <c r="AI111" i="2"/>
  <c r="AJ111" i="2" s="1"/>
  <c r="AG111" i="2"/>
  <c r="AF111" i="2"/>
  <c r="AA111" i="2"/>
  <c r="AH110" i="2"/>
  <c r="AE110" i="2"/>
  <c r="AD110" i="2"/>
  <c r="AA110" i="2"/>
  <c r="Z110" i="2"/>
  <c r="AB110" i="2" s="1"/>
  <c r="AI109" i="2"/>
  <c r="AJ109" i="2" s="1"/>
  <c r="AG109" i="2"/>
  <c r="AF109" i="2"/>
  <c r="AC109" i="2"/>
  <c r="AB109" i="2"/>
  <c r="AI108" i="2"/>
  <c r="AJ108" i="2" s="1"/>
  <c r="AG108" i="2"/>
  <c r="AF108" i="2"/>
  <c r="AC108" i="2"/>
  <c r="AB108" i="2"/>
  <c r="AH107" i="2"/>
  <c r="AE107" i="2"/>
  <c r="AD107" i="2"/>
  <c r="AG107" i="2" s="1"/>
  <c r="AA107" i="2"/>
  <c r="Z107" i="2"/>
  <c r="AI106" i="2"/>
  <c r="AJ106" i="2" s="1"/>
  <c r="AG106" i="2"/>
  <c r="AF106" i="2"/>
  <c r="AC106" i="2"/>
  <c r="AB106" i="2"/>
  <c r="AI105" i="2"/>
  <c r="AJ105" i="2" s="1"/>
  <c r="AG105" i="2"/>
  <c r="AF105" i="2"/>
  <c r="AC105" i="2"/>
  <c r="AB105" i="2"/>
  <c r="AH103" i="2"/>
  <c r="AE103" i="2"/>
  <c r="AD103" i="2"/>
  <c r="AA103" i="2"/>
  <c r="Z103" i="2"/>
  <c r="AI102" i="2"/>
  <c r="AJ102" i="2" s="1"/>
  <c r="AG102" i="2"/>
  <c r="AF102" i="2"/>
  <c r="AC102" i="2"/>
  <c r="AB102" i="2"/>
  <c r="AI101" i="2"/>
  <c r="AJ101" i="2" s="1"/>
  <c r="AG101" i="2"/>
  <c r="AF101" i="2"/>
  <c r="AC101" i="2"/>
  <c r="AB101" i="2"/>
  <c r="AH100" i="2"/>
  <c r="AE100" i="2"/>
  <c r="AD100" i="2"/>
  <c r="AA100" i="2"/>
  <c r="Z100" i="2"/>
  <c r="AB100" i="2" s="1"/>
  <c r="AI99" i="2"/>
  <c r="AJ99" i="2" s="1"/>
  <c r="AG99" i="2"/>
  <c r="AF99" i="2"/>
  <c r="AC99" i="2"/>
  <c r="AB99" i="2"/>
  <c r="AI98" i="2"/>
  <c r="AJ98" i="2" s="1"/>
  <c r="AG98" i="2"/>
  <c r="AF98" i="2"/>
  <c r="AC98" i="2"/>
  <c r="AB98" i="2"/>
  <c r="AH97" i="2"/>
  <c r="AE97" i="2"/>
  <c r="AD97" i="2"/>
  <c r="AA97" i="2"/>
  <c r="Z97" i="2"/>
  <c r="AC97" i="2" s="1"/>
  <c r="AI96" i="2"/>
  <c r="AJ96" i="2" s="1"/>
  <c r="AG96" i="2"/>
  <c r="AF96" i="2"/>
  <c r="AC96" i="2"/>
  <c r="AB96" i="2"/>
  <c r="AI95" i="2"/>
  <c r="AJ95" i="2" s="1"/>
  <c r="AG95" i="2"/>
  <c r="AF95" i="2"/>
  <c r="AC95" i="2"/>
  <c r="AB95" i="2"/>
  <c r="AH94" i="2"/>
  <c r="AE94" i="2"/>
  <c r="AD94" i="2"/>
  <c r="AA94" i="2"/>
  <c r="Z94" i="2"/>
  <c r="AI93" i="2"/>
  <c r="AJ93" i="2" s="1"/>
  <c r="AG93" i="2"/>
  <c r="AF93" i="2"/>
  <c r="AC93" i="2"/>
  <c r="AB93" i="2"/>
  <c r="AI92" i="2"/>
  <c r="AJ92" i="2" s="1"/>
  <c r="AG92" i="2"/>
  <c r="AF92" i="2"/>
  <c r="AC92" i="2"/>
  <c r="AB92" i="2"/>
  <c r="AH91" i="2"/>
  <c r="AE91" i="2"/>
  <c r="AD91" i="2"/>
  <c r="Z91" i="2"/>
  <c r="AI90" i="2"/>
  <c r="AJ90" i="2" s="1"/>
  <c r="AG90" i="2"/>
  <c r="AF90" i="2"/>
  <c r="AC90" i="2"/>
  <c r="AB90" i="2"/>
  <c r="AI89" i="2"/>
  <c r="AJ89" i="2" s="1"/>
  <c r="AG89" i="2"/>
  <c r="AF89" i="2"/>
  <c r="AA89" i="2"/>
  <c r="AA91" i="2" s="1"/>
  <c r="AH87" i="2"/>
  <c r="AE87" i="2"/>
  <c r="AD87" i="2"/>
  <c r="AG87" i="2" s="1"/>
  <c r="AA87" i="2"/>
  <c r="Z87" i="2"/>
  <c r="AI86" i="2"/>
  <c r="AJ86" i="2" s="1"/>
  <c r="AG86" i="2"/>
  <c r="AF86" i="2"/>
  <c r="AC86" i="2"/>
  <c r="AB86" i="2"/>
  <c r="AI85" i="2"/>
  <c r="AJ85" i="2" s="1"/>
  <c r="AG85" i="2"/>
  <c r="AF85" i="2"/>
  <c r="AC85" i="2"/>
  <c r="AB85" i="2"/>
  <c r="AH84" i="2"/>
  <c r="AE84" i="2"/>
  <c r="AD84" i="2"/>
  <c r="AI84" i="2" s="1"/>
  <c r="AJ84" i="2" s="1"/>
  <c r="AA84" i="2"/>
  <c r="Z84" i="2"/>
  <c r="AI83" i="2"/>
  <c r="AJ83" i="2" s="1"/>
  <c r="AG83" i="2"/>
  <c r="AF83" i="2"/>
  <c r="AC83" i="2"/>
  <c r="AB83" i="2"/>
  <c r="AI82" i="2"/>
  <c r="AJ82" i="2" s="1"/>
  <c r="AG82" i="2"/>
  <c r="AF82" i="2"/>
  <c r="AC82" i="2"/>
  <c r="AB82" i="2"/>
  <c r="AH81" i="2"/>
  <c r="AE81" i="2"/>
  <c r="AD81" i="2"/>
  <c r="Z81" i="2"/>
  <c r="AI80" i="2"/>
  <c r="AJ80" i="2" s="1"/>
  <c r="AG80" i="2"/>
  <c r="AF80" i="2"/>
  <c r="AA80" i="2"/>
  <c r="AA137" i="2" s="1"/>
  <c r="AI79" i="2"/>
  <c r="AJ79" i="2" s="1"/>
  <c r="AG79" i="2"/>
  <c r="AF79" i="2"/>
  <c r="AA79" i="2"/>
  <c r="AA136" i="2" s="1"/>
  <c r="AH78" i="2"/>
  <c r="AE78" i="2"/>
  <c r="AD78" i="2"/>
  <c r="Z78" i="2"/>
  <c r="AI77" i="2"/>
  <c r="AJ77" i="2" s="1"/>
  <c r="AG77" i="2"/>
  <c r="AF77" i="2"/>
  <c r="AA77" i="2"/>
  <c r="AA134" i="2" s="1"/>
  <c r="AI76" i="2"/>
  <c r="AJ76" i="2" s="1"/>
  <c r="AG76" i="2"/>
  <c r="AF76" i="2"/>
  <c r="AA76" i="2"/>
  <c r="AC76" i="2" s="1"/>
  <c r="AI73" i="2"/>
  <c r="AJ73" i="2" s="1"/>
  <c r="AG73" i="2"/>
  <c r="AF73" i="2"/>
  <c r="AC73" i="2"/>
  <c r="AB73" i="2"/>
  <c r="AI72" i="2"/>
  <c r="AJ72" i="2" s="1"/>
  <c r="AG72" i="2"/>
  <c r="AF72" i="2"/>
  <c r="AC72" i="2"/>
  <c r="AB72" i="2"/>
  <c r="AI71" i="2"/>
  <c r="AJ71" i="2" s="1"/>
  <c r="AG71" i="2"/>
  <c r="AF71" i="2"/>
  <c r="AC71" i="2"/>
  <c r="AB71" i="2"/>
  <c r="AH70" i="2"/>
  <c r="AE70" i="2"/>
  <c r="AD70" i="2"/>
  <c r="AA70" i="2"/>
  <c r="Z70" i="2"/>
  <c r="AI69" i="2"/>
  <c r="AJ69" i="2" s="1"/>
  <c r="AG69" i="2"/>
  <c r="AF69" i="2"/>
  <c r="AC69" i="2"/>
  <c r="AB69" i="2"/>
  <c r="AH68" i="2"/>
  <c r="AE68" i="2"/>
  <c r="AD68" i="2"/>
  <c r="AA68" i="2"/>
  <c r="Z68" i="2"/>
  <c r="AH65" i="2"/>
  <c r="AD65" i="2"/>
  <c r="AI64" i="2"/>
  <c r="AJ64" i="2" s="1"/>
  <c r="AE64" i="2"/>
  <c r="AA64" i="2"/>
  <c r="Z64" i="2"/>
  <c r="AI63" i="2"/>
  <c r="AJ63" i="2" s="1"/>
  <c r="AE63" i="2"/>
  <c r="AA63" i="2"/>
  <c r="AA183" i="2" s="1"/>
  <c r="Z63" i="2"/>
  <c r="AB63" i="2" s="1"/>
  <c r="AH62" i="2"/>
  <c r="AE62" i="2"/>
  <c r="AG62" i="2" s="1"/>
  <c r="AD62" i="2"/>
  <c r="AA62" i="2"/>
  <c r="Z62" i="2"/>
  <c r="AC62" i="2" s="1"/>
  <c r="AI61" i="2"/>
  <c r="AJ61" i="2" s="1"/>
  <c r="AG61" i="2"/>
  <c r="AF61" i="2"/>
  <c r="AC61" i="2"/>
  <c r="AB61" i="2"/>
  <c r="AI60" i="2"/>
  <c r="AJ60" i="2" s="1"/>
  <c r="AG60" i="2"/>
  <c r="AF60" i="2"/>
  <c r="AC60" i="2"/>
  <c r="AB60" i="2"/>
  <c r="AH59" i="2"/>
  <c r="AE59" i="2"/>
  <c r="AA59" i="2"/>
  <c r="AD58" i="2"/>
  <c r="AI58" i="2" s="1"/>
  <c r="AJ58" i="2" s="1"/>
  <c r="Z58" i="2"/>
  <c r="AC58" i="2" s="1"/>
  <c r="AD57" i="2"/>
  <c r="AD177" i="2" s="1"/>
  <c r="Z57" i="2"/>
  <c r="AC57" i="2" s="1"/>
  <c r="AH55" i="2"/>
  <c r="AE55" i="2"/>
  <c r="AE56" i="2" s="1"/>
  <c r="AD55" i="2"/>
  <c r="AD56" i="2" s="1"/>
  <c r="AA55" i="2"/>
  <c r="AA56" i="2" s="1"/>
  <c r="Z55" i="2"/>
  <c r="AI54" i="2"/>
  <c r="AJ54" i="2" s="1"/>
  <c r="AG54" i="2"/>
  <c r="AF54" i="2"/>
  <c r="AC54" i="2"/>
  <c r="AB54" i="2"/>
  <c r="AI53" i="2"/>
  <c r="AJ53" i="2" s="1"/>
  <c r="AG53" i="2"/>
  <c r="AF53" i="2"/>
  <c r="AC53" i="2"/>
  <c r="AB53" i="2"/>
  <c r="AH50" i="2"/>
  <c r="AE50" i="2"/>
  <c r="AD50" i="2"/>
  <c r="Z50" i="2"/>
  <c r="AI49" i="2"/>
  <c r="AJ49" i="2" s="1"/>
  <c r="AG49" i="2"/>
  <c r="AF49" i="2"/>
  <c r="AA49" i="2"/>
  <c r="AI48" i="2"/>
  <c r="AJ48" i="2" s="1"/>
  <c r="AG48" i="2"/>
  <c r="AF48" i="2"/>
  <c r="AA48" i="2"/>
  <c r="AC48" i="2" s="1"/>
  <c r="AH47" i="2"/>
  <c r="AE47" i="2"/>
  <c r="AA47" i="2"/>
  <c r="Z47" i="2"/>
  <c r="AC46" i="2"/>
  <c r="AB46" i="2"/>
  <c r="AC45" i="2"/>
  <c r="AB45" i="2"/>
  <c r="AH44" i="2"/>
  <c r="AE44" i="2"/>
  <c r="AA44" i="2"/>
  <c r="Z43" i="2"/>
  <c r="Z42" i="2"/>
  <c r="AH40" i="2"/>
  <c r="AE40" i="2"/>
  <c r="AD40" i="2"/>
  <c r="AG40" i="2" s="1"/>
  <c r="AA40" i="2"/>
  <c r="Z40" i="2"/>
  <c r="AI39" i="2"/>
  <c r="AJ39" i="2" s="1"/>
  <c r="AG39" i="2"/>
  <c r="AF39" i="2"/>
  <c r="AC39" i="2"/>
  <c r="AB39" i="2"/>
  <c r="AI38" i="2"/>
  <c r="AJ38" i="2" s="1"/>
  <c r="AG38" i="2"/>
  <c r="AF38" i="2"/>
  <c r="AC38" i="2"/>
  <c r="AB38" i="2"/>
  <c r="AH37" i="2"/>
  <c r="AE37" i="2"/>
  <c r="AD37" i="2"/>
  <c r="AA37" i="2"/>
  <c r="Z37" i="2"/>
  <c r="AB37" i="2" s="1"/>
  <c r="AI36" i="2"/>
  <c r="AJ36" i="2" s="1"/>
  <c r="AG36" i="2"/>
  <c r="AF36" i="2"/>
  <c r="AC36" i="2"/>
  <c r="AB36" i="2"/>
  <c r="AI35" i="2"/>
  <c r="AJ35" i="2" s="1"/>
  <c r="AG35" i="2"/>
  <c r="AF35" i="2"/>
  <c r="AC35" i="2"/>
  <c r="AB35" i="2"/>
  <c r="AH34" i="2"/>
  <c r="AE34" i="2"/>
  <c r="AD34" i="2"/>
  <c r="AA34" i="2"/>
  <c r="Z34" i="2"/>
  <c r="AI33" i="2"/>
  <c r="AJ33" i="2" s="1"/>
  <c r="AG33" i="2"/>
  <c r="AF33" i="2"/>
  <c r="AC33" i="2"/>
  <c r="AB33" i="2"/>
  <c r="AI32" i="2"/>
  <c r="AJ32" i="2" s="1"/>
  <c r="AG32" i="2"/>
  <c r="AF32" i="2"/>
  <c r="AC32" i="2"/>
  <c r="AB32" i="2"/>
  <c r="AH31" i="2"/>
  <c r="AE31" i="2"/>
  <c r="AD31" i="2"/>
  <c r="AA31" i="2"/>
  <c r="Z31" i="2"/>
  <c r="AI30" i="2"/>
  <c r="AJ30" i="2" s="1"/>
  <c r="AG30" i="2"/>
  <c r="AF30" i="2"/>
  <c r="AC30" i="2"/>
  <c r="AB30" i="2"/>
  <c r="AI29" i="2"/>
  <c r="AJ29" i="2" s="1"/>
  <c r="AG29" i="2"/>
  <c r="AF29" i="2"/>
  <c r="AC29" i="2"/>
  <c r="AB29" i="2"/>
  <c r="AH28" i="2"/>
  <c r="AE28" i="2"/>
  <c r="AA28" i="2"/>
  <c r="Z28" i="2"/>
  <c r="AC28" i="2" s="1"/>
  <c r="AI27" i="2"/>
  <c r="AJ27" i="2" s="1"/>
  <c r="AG27" i="2"/>
  <c r="AF27" i="2"/>
  <c r="AC27" i="2"/>
  <c r="AB27" i="2"/>
  <c r="AD26" i="2"/>
  <c r="AG26" i="2" s="1"/>
  <c r="AC26" i="2"/>
  <c r="AB26" i="2"/>
  <c r="AH24" i="2"/>
  <c r="AE24" i="2"/>
  <c r="AD24" i="2"/>
  <c r="AA24" i="2"/>
  <c r="Z24" i="2"/>
  <c r="AI23" i="2"/>
  <c r="AJ23" i="2" s="1"/>
  <c r="AG23" i="2"/>
  <c r="AF23" i="2"/>
  <c r="AC23" i="2"/>
  <c r="AB23" i="2"/>
  <c r="AI22" i="2"/>
  <c r="AJ22" i="2" s="1"/>
  <c r="AG22" i="2"/>
  <c r="AF22" i="2"/>
  <c r="AC22" i="2"/>
  <c r="AB22" i="2"/>
  <c r="AH21" i="2"/>
  <c r="AE21" i="2"/>
  <c r="AD21" i="2"/>
  <c r="AA21" i="2"/>
  <c r="Z21" i="2"/>
  <c r="AI20" i="2"/>
  <c r="AJ20" i="2" s="1"/>
  <c r="AG20" i="2"/>
  <c r="AF20" i="2"/>
  <c r="AC20" i="2"/>
  <c r="AB20" i="2"/>
  <c r="AI19" i="2"/>
  <c r="AJ19" i="2" s="1"/>
  <c r="AG19" i="2"/>
  <c r="AF19" i="2"/>
  <c r="AC19" i="2"/>
  <c r="AB19" i="2"/>
  <c r="AH18" i="2"/>
  <c r="AE18" i="2"/>
  <c r="AD18" i="2"/>
  <c r="AA18" i="2"/>
  <c r="Z18" i="2"/>
  <c r="AI17" i="2"/>
  <c r="AJ17" i="2" s="1"/>
  <c r="AG17" i="2"/>
  <c r="AF17" i="2"/>
  <c r="AC17" i="2"/>
  <c r="AB17" i="2"/>
  <c r="AI16" i="2"/>
  <c r="AJ16" i="2" s="1"/>
  <c r="AG16" i="2"/>
  <c r="AF16" i="2"/>
  <c r="AC16" i="2"/>
  <c r="AB16" i="2"/>
  <c r="AH15" i="2"/>
  <c r="AE15" i="2"/>
  <c r="AD15" i="2"/>
  <c r="AA15" i="2"/>
  <c r="Z15" i="2"/>
  <c r="AC15" i="2" s="1"/>
  <c r="AI14" i="2"/>
  <c r="AJ14" i="2" s="1"/>
  <c r="AG14" i="2"/>
  <c r="AF14" i="2"/>
  <c r="AC14" i="2"/>
  <c r="AB14" i="2"/>
  <c r="AI13" i="2"/>
  <c r="AJ13" i="2" s="1"/>
  <c r="AG13" i="2"/>
  <c r="AF13" i="2"/>
  <c r="AC13" i="2"/>
  <c r="AB13" i="2"/>
  <c r="C187" i="2"/>
  <c r="B187" i="2"/>
  <c r="C186" i="2"/>
  <c r="B186" i="2"/>
  <c r="C185" i="2"/>
  <c r="B185" i="2"/>
  <c r="W184" i="2"/>
  <c r="S184" i="2"/>
  <c r="L184" i="2"/>
  <c r="H184" i="2"/>
  <c r="C184" i="2"/>
  <c r="B184" i="2"/>
  <c r="W183" i="2"/>
  <c r="Y183" i="2" s="1"/>
  <c r="S183" i="2"/>
  <c r="L183" i="2"/>
  <c r="N183" i="2" s="1"/>
  <c r="H183" i="2"/>
  <c r="C183" i="2"/>
  <c r="B183" i="2"/>
  <c r="C182" i="2"/>
  <c r="B182" i="2"/>
  <c r="W181" i="2"/>
  <c r="Y181" i="2" s="1"/>
  <c r="T181" i="2"/>
  <c r="S181" i="2"/>
  <c r="P181" i="2"/>
  <c r="O181" i="2"/>
  <c r="L181" i="2"/>
  <c r="N181" i="2" s="1"/>
  <c r="I181" i="2"/>
  <c r="H181" i="2"/>
  <c r="E181" i="2"/>
  <c r="D181" i="2"/>
  <c r="C181" i="2"/>
  <c r="B181" i="2"/>
  <c r="W180" i="2"/>
  <c r="Y180" i="2" s="1"/>
  <c r="T180" i="2"/>
  <c r="S180" i="2"/>
  <c r="P180" i="2"/>
  <c r="O180" i="2"/>
  <c r="L180" i="2"/>
  <c r="I180" i="2"/>
  <c r="H180" i="2"/>
  <c r="E180" i="2"/>
  <c r="D180" i="2"/>
  <c r="C180" i="2"/>
  <c r="B180" i="2"/>
  <c r="C179" i="2"/>
  <c r="B179" i="2"/>
  <c r="W178" i="2"/>
  <c r="Y178" i="2" s="1"/>
  <c r="T178" i="2"/>
  <c r="P178" i="2"/>
  <c r="L178" i="2"/>
  <c r="N178" i="2" s="1"/>
  <c r="I178" i="2"/>
  <c r="E178" i="2"/>
  <c r="D178" i="2"/>
  <c r="C178" i="2"/>
  <c r="B178" i="2"/>
  <c r="W177" i="2"/>
  <c r="T177" i="2"/>
  <c r="P177" i="2"/>
  <c r="L177" i="2"/>
  <c r="N177" i="2" s="1"/>
  <c r="I177" i="2"/>
  <c r="E177" i="2"/>
  <c r="C177" i="2"/>
  <c r="B177" i="2"/>
  <c r="C176" i="2"/>
  <c r="B176" i="2"/>
  <c r="C175" i="2"/>
  <c r="B175" i="2"/>
  <c r="W174" i="2"/>
  <c r="Y174" i="2" s="1"/>
  <c r="T174" i="2"/>
  <c r="S174" i="2"/>
  <c r="P174" i="2"/>
  <c r="O174" i="2"/>
  <c r="L174" i="2"/>
  <c r="N174" i="2" s="1"/>
  <c r="I174" i="2"/>
  <c r="H174" i="2"/>
  <c r="E174" i="2"/>
  <c r="D174" i="2"/>
  <c r="C174" i="2"/>
  <c r="B174" i="2"/>
  <c r="W173" i="2"/>
  <c r="T173" i="2"/>
  <c r="S173" i="2"/>
  <c r="P173" i="2"/>
  <c r="O173" i="2"/>
  <c r="L173" i="2"/>
  <c r="I173" i="2"/>
  <c r="H173" i="2"/>
  <c r="E173" i="2"/>
  <c r="D173" i="2"/>
  <c r="C173" i="2"/>
  <c r="B173" i="2"/>
  <c r="C172" i="2"/>
  <c r="B172" i="2"/>
  <c r="C171" i="2"/>
  <c r="B171" i="2"/>
  <c r="C170" i="2"/>
  <c r="B170" i="2"/>
  <c r="W169" i="2"/>
  <c r="Y169" i="2" s="1"/>
  <c r="T169" i="2"/>
  <c r="S169" i="2"/>
  <c r="O169" i="2"/>
  <c r="L169" i="2"/>
  <c r="N169" i="2" s="1"/>
  <c r="I169" i="2"/>
  <c r="H169" i="2"/>
  <c r="D169" i="2"/>
  <c r="C169" i="2"/>
  <c r="B169" i="2"/>
  <c r="W168" i="2"/>
  <c r="Y168" i="2" s="1"/>
  <c r="T168" i="2"/>
  <c r="T170" i="2" s="1"/>
  <c r="S168" i="2"/>
  <c r="S170" i="2" s="1"/>
  <c r="O168" i="2"/>
  <c r="L168" i="2"/>
  <c r="N168" i="2" s="1"/>
  <c r="I168" i="2"/>
  <c r="H168" i="2"/>
  <c r="D168" i="2"/>
  <c r="C168" i="2"/>
  <c r="B168" i="2"/>
  <c r="C167" i="2"/>
  <c r="B167" i="2"/>
  <c r="W166" i="2"/>
  <c r="Y166" i="2" s="1"/>
  <c r="T166" i="2"/>
  <c r="P166" i="2"/>
  <c r="O166" i="2"/>
  <c r="L166" i="2"/>
  <c r="N166" i="2" s="1"/>
  <c r="I166" i="2"/>
  <c r="E166" i="2"/>
  <c r="D166" i="2"/>
  <c r="C166" i="2"/>
  <c r="B166" i="2"/>
  <c r="W165" i="2"/>
  <c r="W167" i="2" s="1"/>
  <c r="Y167" i="2" s="1"/>
  <c r="T165" i="2"/>
  <c r="P165" i="2"/>
  <c r="P167" i="2" s="1"/>
  <c r="O165" i="2"/>
  <c r="O167" i="2" s="1"/>
  <c r="L165" i="2"/>
  <c r="I165" i="2"/>
  <c r="E165" i="2"/>
  <c r="D165" i="2"/>
  <c r="C165" i="2"/>
  <c r="B165" i="2"/>
  <c r="C164" i="2"/>
  <c r="B164" i="2"/>
  <c r="W163" i="2"/>
  <c r="T163" i="2"/>
  <c r="P163" i="2"/>
  <c r="L163" i="2"/>
  <c r="N163" i="2" s="1"/>
  <c r="I163" i="2"/>
  <c r="E163" i="2"/>
  <c r="C163" i="2"/>
  <c r="B163" i="2"/>
  <c r="W162" i="2"/>
  <c r="Y162" i="2" s="1"/>
  <c r="T162" i="2"/>
  <c r="T164" i="2" s="1"/>
  <c r="P162" i="2"/>
  <c r="L162" i="2"/>
  <c r="I162" i="2"/>
  <c r="E162" i="2"/>
  <c r="C162" i="2"/>
  <c r="B162" i="2"/>
  <c r="C161" i="2"/>
  <c r="B161" i="2"/>
  <c r="C160" i="2"/>
  <c r="B160" i="2"/>
  <c r="W159" i="2"/>
  <c r="Y159" i="2" s="1"/>
  <c r="T159" i="2"/>
  <c r="S159" i="2"/>
  <c r="P159" i="2"/>
  <c r="O159" i="2"/>
  <c r="L159" i="2"/>
  <c r="N159" i="2" s="1"/>
  <c r="I159" i="2"/>
  <c r="H159" i="2"/>
  <c r="E159" i="2"/>
  <c r="D159" i="2"/>
  <c r="C159" i="2"/>
  <c r="B159" i="2"/>
  <c r="W158" i="2"/>
  <c r="Y158" i="2" s="1"/>
  <c r="T158" i="2"/>
  <c r="S158" i="2"/>
  <c r="P158" i="2"/>
  <c r="O158" i="2"/>
  <c r="L158" i="2"/>
  <c r="I158" i="2"/>
  <c r="H158" i="2"/>
  <c r="E158" i="2"/>
  <c r="D158" i="2"/>
  <c r="C158" i="2"/>
  <c r="B158" i="2"/>
  <c r="C157" i="2"/>
  <c r="B157" i="2"/>
  <c r="W156" i="2"/>
  <c r="Y156" i="2" s="1"/>
  <c r="T156" i="2"/>
  <c r="T157" i="2" s="1"/>
  <c r="S156" i="2"/>
  <c r="P156" i="2"/>
  <c r="O156" i="2"/>
  <c r="L156" i="2"/>
  <c r="N156" i="2" s="1"/>
  <c r="I156" i="2"/>
  <c r="H156" i="2"/>
  <c r="E156" i="2"/>
  <c r="D156" i="2"/>
  <c r="C156" i="2"/>
  <c r="B156" i="2"/>
  <c r="W155" i="2"/>
  <c r="Y155" i="2" s="1"/>
  <c r="T155" i="2"/>
  <c r="S155" i="2"/>
  <c r="P155" i="2"/>
  <c r="O155" i="2"/>
  <c r="L155" i="2"/>
  <c r="I155" i="2"/>
  <c r="H155" i="2"/>
  <c r="E155" i="2"/>
  <c r="E157" i="2" s="1"/>
  <c r="D155" i="2"/>
  <c r="D157" i="2" s="1"/>
  <c r="C155" i="2"/>
  <c r="B155" i="2"/>
  <c r="C154" i="2"/>
  <c r="B154" i="2"/>
  <c r="W153" i="2"/>
  <c r="Y153" i="2" s="1"/>
  <c r="T153" i="2"/>
  <c r="S153" i="2"/>
  <c r="P153" i="2"/>
  <c r="O153" i="2"/>
  <c r="L153" i="2"/>
  <c r="N153" i="2" s="1"/>
  <c r="I153" i="2"/>
  <c r="H153" i="2"/>
  <c r="E153" i="2"/>
  <c r="D153" i="2"/>
  <c r="C153" i="2"/>
  <c r="B153" i="2"/>
  <c r="W152" i="2"/>
  <c r="T152" i="2"/>
  <c r="T154" i="2" s="1"/>
  <c r="S152" i="2"/>
  <c r="S154" i="2" s="1"/>
  <c r="P152" i="2"/>
  <c r="O152" i="2"/>
  <c r="L152" i="2"/>
  <c r="N152" i="2" s="1"/>
  <c r="I152" i="2"/>
  <c r="H152" i="2"/>
  <c r="E152" i="2"/>
  <c r="D152" i="2"/>
  <c r="C152" i="2"/>
  <c r="B152" i="2"/>
  <c r="C151" i="2"/>
  <c r="B151" i="2"/>
  <c r="W150" i="2"/>
  <c r="Y150" i="2" s="1"/>
  <c r="T150" i="2"/>
  <c r="S150" i="2"/>
  <c r="P150" i="2"/>
  <c r="O150" i="2"/>
  <c r="L150" i="2"/>
  <c r="N150" i="2" s="1"/>
  <c r="I150" i="2"/>
  <c r="H150" i="2"/>
  <c r="E150" i="2"/>
  <c r="D150" i="2"/>
  <c r="C150" i="2"/>
  <c r="B150" i="2"/>
  <c r="W149" i="2"/>
  <c r="Y149" i="2" s="1"/>
  <c r="T149" i="2"/>
  <c r="S149" i="2"/>
  <c r="P149" i="2"/>
  <c r="O149" i="2"/>
  <c r="L149" i="2"/>
  <c r="I149" i="2"/>
  <c r="H149" i="2"/>
  <c r="E149" i="2"/>
  <c r="D149" i="2"/>
  <c r="C149" i="2"/>
  <c r="B149" i="2"/>
  <c r="C148" i="2"/>
  <c r="B148" i="2"/>
  <c r="W147" i="2"/>
  <c r="T147" i="2"/>
  <c r="S147" i="2"/>
  <c r="P147" i="2"/>
  <c r="O147" i="2"/>
  <c r="L147" i="2"/>
  <c r="N147" i="2" s="1"/>
  <c r="I147" i="2"/>
  <c r="H147" i="2"/>
  <c r="E147" i="2"/>
  <c r="D147" i="2"/>
  <c r="C147" i="2"/>
  <c r="B147" i="2"/>
  <c r="W146" i="2"/>
  <c r="Y146" i="2" s="1"/>
  <c r="T146" i="2"/>
  <c r="O146" i="2"/>
  <c r="L146" i="2"/>
  <c r="I146" i="2"/>
  <c r="D146" i="2"/>
  <c r="C146" i="2"/>
  <c r="B146" i="2"/>
  <c r="C145" i="2"/>
  <c r="B145" i="2"/>
  <c r="C144" i="2"/>
  <c r="B144" i="2"/>
  <c r="W143" i="2"/>
  <c r="Y143" i="2" s="1"/>
  <c r="T143" i="2"/>
  <c r="S143" i="2"/>
  <c r="P143" i="2"/>
  <c r="O143" i="2"/>
  <c r="L143" i="2"/>
  <c r="N143" i="2" s="1"/>
  <c r="I143" i="2"/>
  <c r="H143" i="2"/>
  <c r="E143" i="2"/>
  <c r="D143" i="2"/>
  <c r="C143" i="2"/>
  <c r="B143" i="2"/>
  <c r="W142" i="2"/>
  <c r="Y142" i="2" s="1"/>
  <c r="T142" i="2"/>
  <c r="S142" i="2"/>
  <c r="P142" i="2"/>
  <c r="O142" i="2"/>
  <c r="L142" i="2"/>
  <c r="I142" i="2"/>
  <c r="I144" i="2" s="1"/>
  <c r="H142" i="2"/>
  <c r="H144" i="2" s="1"/>
  <c r="E142" i="2"/>
  <c r="E144" i="2" s="1"/>
  <c r="D142" i="2"/>
  <c r="C142" i="2"/>
  <c r="B142" i="2"/>
  <c r="C141" i="2"/>
  <c r="B141" i="2"/>
  <c r="W140" i="2"/>
  <c r="Y140" i="2" s="1"/>
  <c r="T140" i="2"/>
  <c r="S140" i="2"/>
  <c r="P140" i="2"/>
  <c r="O140" i="2"/>
  <c r="L140" i="2"/>
  <c r="N140" i="2" s="1"/>
  <c r="I140" i="2"/>
  <c r="H140" i="2"/>
  <c r="E140" i="2"/>
  <c r="D140" i="2"/>
  <c r="C140" i="2"/>
  <c r="B140" i="2"/>
  <c r="W139" i="2"/>
  <c r="Y139" i="2" s="1"/>
  <c r="T139" i="2"/>
  <c r="S139" i="2"/>
  <c r="S141" i="2" s="1"/>
  <c r="P139" i="2"/>
  <c r="O139" i="2"/>
  <c r="L139" i="2"/>
  <c r="N139" i="2" s="1"/>
  <c r="I139" i="2"/>
  <c r="H139" i="2"/>
  <c r="H141" i="2" s="1"/>
  <c r="E139" i="2"/>
  <c r="D139" i="2"/>
  <c r="C139" i="2"/>
  <c r="B139" i="2"/>
  <c r="C138" i="2"/>
  <c r="B138" i="2"/>
  <c r="W137" i="2"/>
  <c r="Y137" i="2" s="1"/>
  <c r="T137" i="2"/>
  <c r="S137" i="2"/>
  <c r="O137" i="2"/>
  <c r="O138" i="2" s="1"/>
  <c r="L137" i="2"/>
  <c r="I137" i="2"/>
  <c r="H137" i="2"/>
  <c r="D137" i="2"/>
  <c r="C137" i="2"/>
  <c r="B137" i="2"/>
  <c r="W136" i="2"/>
  <c r="Y136" i="2" s="1"/>
  <c r="T136" i="2"/>
  <c r="S136" i="2"/>
  <c r="O136" i="2"/>
  <c r="L136" i="2"/>
  <c r="N136" i="2" s="1"/>
  <c r="I136" i="2"/>
  <c r="H136" i="2"/>
  <c r="D136" i="2"/>
  <c r="C136" i="2"/>
  <c r="B136" i="2"/>
  <c r="C135" i="2"/>
  <c r="B135" i="2"/>
  <c r="W134" i="2"/>
  <c r="Y134" i="2" s="1"/>
  <c r="T134" i="2"/>
  <c r="S134" i="2"/>
  <c r="O134" i="2"/>
  <c r="L134" i="2"/>
  <c r="N134" i="2" s="1"/>
  <c r="I134" i="2"/>
  <c r="H134" i="2"/>
  <c r="D134" i="2"/>
  <c r="C134" i="2"/>
  <c r="B134" i="2"/>
  <c r="W133" i="2"/>
  <c r="T133" i="2"/>
  <c r="S133" i="2"/>
  <c r="O133" i="2"/>
  <c r="L133" i="2"/>
  <c r="N133" i="2" s="1"/>
  <c r="I133" i="2"/>
  <c r="H133" i="2"/>
  <c r="D133" i="2"/>
  <c r="C133" i="2"/>
  <c r="B133" i="2"/>
  <c r="C130" i="2"/>
  <c r="B130" i="2"/>
  <c r="C129" i="2"/>
  <c r="B129" i="2"/>
  <c r="W128" i="2"/>
  <c r="T128" i="2"/>
  <c r="S128" i="2"/>
  <c r="U128" i="2" s="1"/>
  <c r="L128" i="2"/>
  <c r="I128" i="2"/>
  <c r="H128" i="2"/>
  <c r="C128" i="2"/>
  <c r="B128" i="2"/>
  <c r="X127" i="2"/>
  <c r="Y127" i="2" s="1"/>
  <c r="V127" i="2"/>
  <c r="U127" i="2"/>
  <c r="P127" i="2"/>
  <c r="R127" i="2" s="1"/>
  <c r="M127" i="2"/>
  <c r="N127" i="2" s="1"/>
  <c r="K127" i="2"/>
  <c r="J127" i="2"/>
  <c r="E127" i="2"/>
  <c r="G127" i="2" s="1"/>
  <c r="C127" i="2"/>
  <c r="B127" i="2"/>
  <c r="X126" i="2"/>
  <c r="Y126" i="2" s="1"/>
  <c r="V126" i="2"/>
  <c r="U126" i="2"/>
  <c r="P126" i="2"/>
  <c r="M126" i="2"/>
  <c r="N126" i="2" s="1"/>
  <c r="K126" i="2"/>
  <c r="J126" i="2"/>
  <c r="E126" i="2"/>
  <c r="C126" i="2"/>
  <c r="B126" i="2"/>
  <c r="W125" i="2"/>
  <c r="T125" i="2"/>
  <c r="S125" i="2"/>
  <c r="P125" i="2"/>
  <c r="O125" i="2"/>
  <c r="L125" i="2"/>
  <c r="I125" i="2"/>
  <c r="H125" i="2"/>
  <c r="E125" i="2"/>
  <c r="D125" i="2"/>
  <c r="D128" i="2" s="1"/>
  <c r="C125" i="2"/>
  <c r="B125" i="2"/>
  <c r="X124" i="2"/>
  <c r="Y124" i="2" s="1"/>
  <c r="V124" i="2"/>
  <c r="U124" i="2"/>
  <c r="R124" i="2"/>
  <c r="Q124" i="2"/>
  <c r="M124" i="2"/>
  <c r="N124" i="2" s="1"/>
  <c r="K124" i="2"/>
  <c r="J124" i="2"/>
  <c r="G124" i="2"/>
  <c r="F124" i="2"/>
  <c r="C124" i="2"/>
  <c r="B124" i="2"/>
  <c r="X123" i="2"/>
  <c r="Y123" i="2" s="1"/>
  <c r="V123" i="2"/>
  <c r="U123" i="2"/>
  <c r="R123" i="2"/>
  <c r="Q123" i="2"/>
  <c r="M123" i="2"/>
  <c r="N123" i="2" s="1"/>
  <c r="K123" i="2"/>
  <c r="J123" i="2"/>
  <c r="G123" i="2"/>
  <c r="F123" i="2"/>
  <c r="C123" i="2"/>
  <c r="B123" i="2"/>
  <c r="W122" i="2"/>
  <c r="T122" i="2"/>
  <c r="S122" i="2"/>
  <c r="P122" i="2"/>
  <c r="O122" i="2"/>
  <c r="L122" i="2"/>
  <c r="I122" i="2"/>
  <c r="H122" i="2"/>
  <c r="E122" i="2"/>
  <c r="D122" i="2"/>
  <c r="C122" i="2"/>
  <c r="B122" i="2"/>
  <c r="X121" i="2"/>
  <c r="Y121" i="2" s="1"/>
  <c r="V121" i="2"/>
  <c r="U121" i="2"/>
  <c r="R121" i="2"/>
  <c r="Q121" i="2"/>
  <c r="M121" i="2"/>
  <c r="N121" i="2" s="1"/>
  <c r="K121" i="2"/>
  <c r="J121" i="2"/>
  <c r="G121" i="2"/>
  <c r="F121" i="2"/>
  <c r="C121" i="2"/>
  <c r="B121" i="2"/>
  <c r="X120" i="2"/>
  <c r="Y120" i="2" s="1"/>
  <c r="V120" i="2"/>
  <c r="U120" i="2"/>
  <c r="R120" i="2"/>
  <c r="Q120" i="2"/>
  <c r="M120" i="2"/>
  <c r="N120" i="2" s="1"/>
  <c r="K120" i="2"/>
  <c r="J120" i="2"/>
  <c r="G120" i="2"/>
  <c r="F120" i="2"/>
  <c r="C120" i="2"/>
  <c r="B120" i="2"/>
  <c r="C119" i="2"/>
  <c r="B119" i="2"/>
  <c r="W118" i="2"/>
  <c r="W119" i="2" s="1"/>
  <c r="T118" i="2"/>
  <c r="T119" i="2" s="1"/>
  <c r="S118" i="2"/>
  <c r="S119" i="2" s="1"/>
  <c r="P118" i="2"/>
  <c r="P119" i="2" s="1"/>
  <c r="O118" i="2"/>
  <c r="L118" i="2"/>
  <c r="I118" i="2"/>
  <c r="I119" i="2" s="1"/>
  <c r="H118" i="2"/>
  <c r="H119" i="2" s="1"/>
  <c r="E118" i="2"/>
  <c r="E119" i="2" s="1"/>
  <c r="D118" i="2"/>
  <c r="C118" i="2"/>
  <c r="B118" i="2"/>
  <c r="X117" i="2"/>
  <c r="Y117" i="2" s="1"/>
  <c r="V117" i="2"/>
  <c r="U117" i="2"/>
  <c r="R117" i="2"/>
  <c r="Q117" i="2"/>
  <c r="M117" i="2"/>
  <c r="N117" i="2" s="1"/>
  <c r="K117" i="2"/>
  <c r="J117" i="2"/>
  <c r="G117" i="2"/>
  <c r="F117" i="2"/>
  <c r="C117" i="2"/>
  <c r="B117" i="2"/>
  <c r="X116" i="2"/>
  <c r="Y116" i="2" s="1"/>
  <c r="V116" i="2"/>
  <c r="U116" i="2"/>
  <c r="R116" i="2"/>
  <c r="Q116" i="2"/>
  <c r="M116" i="2"/>
  <c r="N116" i="2" s="1"/>
  <c r="K116" i="2"/>
  <c r="J116" i="2"/>
  <c r="G116" i="2"/>
  <c r="F116" i="2"/>
  <c r="C116" i="2"/>
  <c r="B116" i="2"/>
  <c r="C115" i="2"/>
  <c r="B115" i="2"/>
  <c r="C114" i="2"/>
  <c r="B114" i="2"/>
  <c r="W113" i="2"/>
  <c r="T113" i="2"/>
  <c r="S113" i="2"/>
  <c r="O113" i="2"/>
  <c r="L113" i="2"/>
  <c r="I113" i="2"/>
  <c r="H113" i="2"/>
  <c r="D113" i="2"/>
  <c r="C113" i="2"/>
  <c r="B113" i="2"/>
  <c r="X112" i="2"/>
  <c r="Y112" i="2" s="1"/>
  <c r="V112" i="2"/>
  <c r="U112" i="2"/>
  <c r="P112" i="2"/>
  <c r="R112" i="2" s="1"/>
  <c r="M112" i="2"/>
  <c r="N112" i="2" s="1"/>
  <c r="K112" i="2"/>
  <c r="J112" i="2"/>
  <c r="E112" i="2"/>
  <c r="G112" i="2" s="1"/>
  <c r="C112" i="2"/>
  <c r="B112" i="2"/>
  <c r="X111" i="2"/>
  <c r="Y111" i="2" s="1"/>
  <c r="V111" i="2"/>
  <c r="U111" i="2"/>
  <c r="P111" i="2"/>
  <c r="Q111" i="2" s="1"/>
  <c r="M111" i="2"/>
  <c r="N111" i="2" s="1"/>
  <c r="K111" i="2"/>
  <c r="J111" i="2"/>
  <c r="E111" i="2"/>
  <c r="C111" i="2"/>
  <c r="B111" i="2"/>
  <c r="W110" i="2"/>
  <c r="T110" i="2"/>
  <c r="S110" i="2"/>
  <c r="P110" i="2"/>
  <c r="O110" i="2"/>
  <c r="Q110" i="2" s="1"/>
  <c r="L110" i="2"/>
  <c r="I110" i="2"/>
  <c r="H110" i="2"/>
  <c r="E110" i="2"/>
  <c r="D110" i="2"/>
  <c r="C110" i="2"/>
  <c r="B110" i="2"/>
  <c r="X109" i="2"/>
  <c r="Y109" i="2" s="1"/>
  <c r="V109" i="2"/>
  <c r="U109" i="2"/>
  <c r="R109" i="2"/>
  <c r="Q109" i="2"/>
  <c r="M109" i="2"/>
  <c r="N109" i="2" s="1"/>
  <c r="K109" i="2"/>
  <c r="J109" i="2"/>
  <c r="G109" i="2"/>
  <c r="F109" i="2"/>
  <c r="C109" i="2"/>
  <c r="B109" i="2"/>
  <c r="X108" i="2"/>
  <c r="Y108" i="2" s="1"/>
  <c r="V108" i="2"/>
  <c r="U108" i="2"/>
  <c r="R108" i="2"/>
  <c r="Q108" i="2"/>
  <c r="M108" i="2"/>
  <c r="N108" i="2" s="1"/>
  <c r="K108" i="2"/>
  <c r="J108" i="2"/>
  <c r="G108" i="2"/>
  <c r="F108" i="2"/>
  <c r="C108" i="2"/>
  <c r="B108" i="2"/>
  <c r="W107" i="2"/>
  <c r="T107" i="2"/>
  <c r="S107" i="2"/>
  <c r="P107" i="2"/>
  <c r="O107" i="2"/>
  <c r="L107" i="2"/>
  <c r="I107" i="2"/>
  <c r="H107" i="2"/>
  <c r="E107" i="2"/>
  <c r="D107" i="2"/>
  <c r="C107" i="2"/>
  <c r="B107" i="2"/>
  <c r="X106" i="2"/>
  <c r="Y106" i="2" s="1"/>
  <c r="V106" i="2"/>
  <c r="U106" i="2"/>
  <c r="R106" i="2"/>
  <c r="Q106" i="2"/>
  <c r="M106" i="2"/>
  <c r="N106" i="2" s="1"/>
  <c r="K106" i="2"/>
  <c r="J106" i="2"/>
  <c r="G106" i="2"/>
  <c r="F106" i="2"/>
  <c r="C106" i="2"/>
  <c r="B106" i="2"/>
  <c r="X105" i="2"/>
  <c r="Y105" i="2" s="1"/>
  <c r="V105" i="2"/>
  <c r="U105" i="2"/>
  <c r="R105" i="2"/>
  <c r="Q105" i="2"/>
  <c r="M105" i="2"/>
  <c r="N105" i="2" s="1"/>
  <c r="K105" i="2"/>
  <c r="J105" i="2"/>
  <c r="G105" i="2"/>
  <c r="F105" i="2"/>
  <c r="C105" i="2"/>
  <c r="B105" i="2"/>
  <c r="C104" i="2"/>
  <c r="B104" i="2"/>
  <c r="W103" i="2"/>
  <c r="T103" i="2"/>
  <c r="S103" i="2"/>
  <c r="V103" i="2" s="1"/>
  <c r="P103" i="2"/>
  <c r="O103" i="2"/>
  <c r="L103" i="2"/>
  <c r="I103" i="2"/>
  <c r="H103" i="2"/>
  <c r="E103" i="2"/>
  <c r="D103" i="2"/>
  <c r="C103" i="2"/>
  <c r="B103" i="2"/>
  <c r="X102" i="2"/>
  <c r="Y102" i="2" s="1"/>
  <c r="V102" i="2"/>
  <c r="U102" i="2"/>
  <c r="R102" i="2"/>
  <c r="Q102" i="2"/>
  <c r="M102" i="2"/>
  <c r="N102" i="2" s="1"/>
  <c r="K102" i="2"/>
  <c r="J102" i="2"/>
  <c r="G102" i="2"/>
  <c r="F102" i="2"/>
  <c r="C102" i="2"/>
  <c r="B102" i="2"/>
  <c r="X101" i="2"/>
  <c r="Y101" i="2" s="1"/>
  <c r="V101" i="2"/>
  <c r="U101" i="2"/>
  <c r="R101" i="2"/>
  <c r="Q101" i="2"/>
  <c r="M101" i="2"/>
  <c r="N101" i="2" s="1"/>
  <c r="K101" i="2"/>
  <c r="J101" i="2"/>
  <c r="G101" i="2"/>
  <c r="F101" i="2"/>
  <c r="C101" i="2"/>
  <c r="B101" i="2"/>
  <c r="W100" i="2"/>
  <c r="T100" i="2"/>
  <c r="S100" i="2"/>
  <c r="P100" i="2"/>
  <c r="O100" i="2"/>
  <c r="R100" i="2" s="1"/>
  <c r="L100" i="2"/>
  <c r="I100" i="2"/>
  <c r="H100" i="2"/>
  <c r="K100" i="2" s="1"/>
  <c r="E100" i="2"/>
  <c r="D100" i="2"/>
  <c r="C100" i="2"/>
  <c r="B100" i="2"/>
  <c r="X99" i="2"/>
  <c r="Y99" i="2" s="1"/>
  <c r="V99" i="2"/>
  <c r="U99" i="2"/>
  <c r="R99" i="2"/>
  <c r="Q99" i="2"/>
  <c r="M99" i="2"/>
  <c r="N99" i="2" s="1"/>
  <c r="K99" i="2"/>
  <c r="J99" i="2"/>
  <c r="G99" i="2"/>
  <c r="F99" i="2"/>
  <c r="C99" i="2"/>
  <c r="B99" i="2"/>
  <c r="X98" i="2"/>
  <c r="Y98" i="2" s="1"/>
  <c r="V98" i="2"/>
  <c r="U98" i="2"/>
  <c r="R98" i="2"/>
  <c r="Q98" i="2"/>
  <c r="M98" i="2"/>
  <c r="N98" i="2" s="1"/>
  <c r="K98" i="2"/>
  <c r="J98" i="2"/>
  <c r="G98" i="2"/>
  <c r="F98" i="2"/>
  <c r="C98" i="2"/>
  <c r="B98" i="2"/>
  <c r="W97" i="2"/>
  <c r="T97" i="2"/>
  <c r="S97" i="2"/>
  <c r="P97" i="2"/>
  <c r="O97" i="2"/>
  <c r="L97" i="2"/>
  <c r="I97" i="2"/>
  <c r="H97" i="2"/>
  <c r="E97" i="2"/>
  <c r="D97" i="2"/>
  <c r="C97" i="2"/>
  <c r="B97" i="2"/>
  <c r="X96" i="2"/>
  <c r="Y96" i="2" s="1"/>
  <c r="V96" i="2"/>
  <c r="U96" i="2"/>
  <c r="R96" i="2"/>
  <c r="Q96" i="2"/>
  <c r="M96" i="2"/>
  <c r="N96" i="2" s="1"/>
  <c r="K96" i="2"/>
  <c r="J96" i="2"/>
  <c r="G96" i="2"/>
  <c r="F96" i="2"/>
  <c r="C96" i="2"/>
  <c r="B96" i="2"/>
  <c r="X95" i="2"/>
  <c r="Y95" i="2" s="1"/>
  <c r="V95" i="2"/>
  <c r="U95" i="2"/>
  <c r="R95" i="2"/>
  <c r="Q95" i="2"/>
  <c r="M95" i="2"/>
  <c r="N95" i="2" s="1"/>
  <c r="K95" i="2"/>
  <c r="J95" i="2"/>
  <c r="G95" i="2"/>
  <c r="F95" i="2"/>
  <c r="C95" i="2"/>
  <c r="B95" i="2"/>
  <c r="W94" i="2"/>
  <c r="T94" i="2"/>
  <c r="S94" i="2"/>
  <c r="P94" i="2"/>
  <c r="O94" i="2"/>
  <c r="R94" i="2" s="1"/>
  <c r="L94" i="2"/>
  <c r="I94" i="2"/>
  <c r="H94" i="2"/>
  <c r="E94" i="2"/>
  <c r="D94" i="2"/>
  <c r="C94" i="2"/>
  <c r="B94" i="2"/>
  <c r="X93" i="2"/>
  <c r="Y93" i="2" s="1"/>
  <c r="V93" i="2"/>
  <c r="U93" i="2"/>
  <c r="R93" i="2"/>
  <c r="Q93" i="2"/>
  <c r="M93" i="2"/>
  <c r="N93" i="2" s="1"/>
  <c r="K93" i="2"/>
  <c r="J93" i="2"/>
  <c r="G93" i="2"/>
  <c r="F93" i="2"/>
  <c r="C93" i="2"/>
  <c r="B93" i="2"/>
  <c r="X92" i="2"/>
  <c r="Y92" i="2" s="1"/>
  <c r="V92" i="2"/>
  <c r="U92" i="2"/>
  <c r="R92" i="2"/>
  <c r="Q92" i="2"/>
  <c r="M92" i="2"/>
  <c r="N92" i="2" s="1"/>
  <c r="K92" i="2"/>
  <c r="J92" i="2"/>
  <c r="G92" i="2"/>
  <c r="F92" i="2"/>
  <c r="C92" i="2"/>
  <c r="B92" i="2"/>
  <c r="W91" i="2"/>
  <c r="T91" i="2"/>
  <c r="S91" i="2"/>
  <c r="O91" i="2"/>
  <c r="L91" i="2"/>
  <c r="I91" i="2"/>
  <c r="H91" i="2"/>
  <c r="D91" i="2"/>
  <c r="C91" i="2"/>
  <c r="B91" i="2"/>
  <c r="X90" i="2"/>
  <c r="Y90" i="2" s="1"/>
  <c r="V90" i="2"/>
  <c r="U90" i="2"/>
  <c r="R90" i="2"/>
  <c r="Q90" i="2"/>
  <c r="M90" i="2"/>
  <c r="N90" i="2" s="1"/>
  <c r="K90" i="2"/>
  <c r="J90" i="2"/>
  <c r="G90" i="2"/>
  <c r="F90" i="2"/>
  <c r="C90" i="2"/>
  <c r="B90" i="2"/>
  <c r="X89" i="2"/>
  <c r="Y89" i="2" s="1"/>
  <c r="V89" i="2"/>
  <c r="U89" i="2"/>
  <c r="P89" i="2"/>
  <c r="P146" i="2" s="1"/>
  <c r="M89" i="2"/>
  <c r="N89" i="2" s="1"/>
  <c r="K89" i="2"/>
  <c r="J89" i="2"/>
  <c r="E89" i="2"/>
  <c r="C89" i="2"/>
  <c r="B89" i="2"/>
  <c r="C88" i="2"/>
  <c r="B88" i="2"/>
  <c r="W87" i="2"/>
  <c r="T87" i="2"/>
  <c r="S87" i="2"/>
  <c r="P87" i="2"/>
  <c r="O87" i="2"/>
  <c r="L87" i="2"/>
  <c r="I87" i="2"/>
  <c r="H87" i="2"/>
  <c r="E87" i="2"/>
  <c r="D87" i="2"/>
  <c r="C87" i="2"/>
  <c r="B87" i="2"/>
  <c r="X86" i="2"/>
  <c r="Y86" i="2" s="1"/>
  <c r="V86" i="2"/>
  <c r="U86" i="2"/>
  <c r="R86" i="2"/>
  <c r="Q86" i="2"/>
  <c r="M86" i="2"/>
  <c r="N86" i="2" s="1"/>
  <c r="K86" i="2"/>
  <c r="J86" i="2"/>
  <c r="G86" i="2"/>
  <c r="F86" i="2"/>
  <c r="C86" i="2"/>
  <c r="B86" i="2"/>
  <c r="X85" i="2"/>
  <c r="Y85" i="2" s="1"/>
  <c r="V85" i="2"/>
  <c r="U85" i="2"/>
  <c r="R85" i="2"/>
  <c r="Q85" i="2"/>
  <c r="M85" i="2"/>
  <c r="N85" i="2" s="1"/>
  <c r="K85" i="2"/>
  <c r="J85" i="2"/>
  <c r="G85" i="2"/>
  <c r="F85" i="2"/>
  <c r="C85" i="2"/>
  <c r="B85" i="2"/>
  <c r="W84" i="2"/>
  <c r="T84" i="2"/>
  <c r="S84" i="2"/>
  <c r="P84" i="2"/>
  <c r="O84" i="2"/>
  <c r="L84" i="2"/>
  <c r="I84" i="2"/>
  <c r="H84" i="2"/>
  <c r="K84" i="2" s="1"/>
  <c r="E84" i="2"/>
  <c r="D84" i="2"/>
  <c r="G84" i="2" s="1"/>
  <c r="C84" i="2"/>
  <c r="B84" i="2"/>
  <c r="X83" i="2"/>
  <c r="Y83" i="2" s="1"/>
  <c r="V83" i="2"/>
  <c r="U83" i="2"/>
  <c r="R83" i="2"/>
  <c r="Q83" i="2"/>
  <c r="M83" i="2"/>
  <c r="N83" i="2" s="1"/>
  <c r="K83" i="2"/>
  <c r="J83" i="2"/>
  <c r="G83" i="2"/>
  <c r="F83" i="2"/>
  <c r="C83" i="2"/>
  <c r="B83" i="2"/>
  <c r="X82" i="2"/>
  <c r="Y82" i="2" s="1"/>
  <c r="V82" i="2"/>
  <c r="U82" i="2"/>
  <c r="R82" i="2"/>
  <c r="Q82" i="2"/>
  <c r="M82" i="2"/>
  <c r="N82" i="2" s="1"/>
  <c r="K82" i="2"/>
  <c r="J82" i="2"/>
  <c r="G82" i="2"/>
  <c r="F82" i="2"/>
  <c r="C82" i="2"/>
  <c r="B82" i="2"/>
  <c r="W81" i="2"/>
  <c r="T81" i="2"/>
  <c r="S81" i="2"/>
  <c r="O81" i="2"/>
  <c r="L81" i="2"/>
  <c r="I81" i="2"/>
  <c r="H81" i="2"/>
  <c r="D81" i="2"/>
  <c r="C81" i="2"/>
  <c r="B81" i="2"/>
  <c r="X80" i="2"/>
  <c r="Y80" i="2" s="1"/>
  <c r="V80" i="2"/>
  <c r="U80" i="2"/>
  <c r="P80" i="2"/>
  <c r="P137" i="2" s="1"/>
  <c r="M80" i="2"/>
  <c r="N80" i="2" s="1"/>
  <c r="K80" i="2"/>
  <c r="J80" i="2"/>
  <c r="E80" i="2"/>
  <c r="G80" i="2" s="1"/>
  <c r="C80" i="2"/>
  <c r="B80" i="2"/>
  <c r="X79" i="2"/>
  <c r="Y79" i="2" s="1"/>
  <c r="V79" i="2"/>
  <c r="U79" i="2"/>
  <c r="P79" i="2"/>
  <c r="Q79" i="2" s="1"/>
  <c r="M79" i="2"/>
  <c r="N79" i="2" s="1"/>
  <c r="K79" i="2"/>
  <c r="J79" i="2"/>
  <c r="E79" i="2"/>
  <c r="E136" i="2" s="1"/>
  <c r="C79" i="2"/>
  <c r="B79" i="2"/>
  <c r="W78" i="2"/>
  <c r="T78" i="2"/>
  <c r="S78" i="2"/>
  <c r="O78" i="2"/>
  <c r="L78" i="2"/>
  <c r="I78" i="2"/>
  <c r="H78" i="2"/>
  <c r="K78" i="2" s="1"/>
  <c r="D78" i="2"/>
  <c r="C78" i="2"/>
  <c r="B78" i="2"/>
  <c r="X77" i="2"/>
  <c r="Y77" i="2" s="1"/>
  <c r="V77" i="2"/>
  <c r="U77" i="2"/>
  <c r="P77" i="2"/>
  <c r="M77" i="2"/>
  <c r="N77" i="2" s="1"/>
  <c r="K77" i="2"/>
  <c r="J77" i="2"/>
  <c r="E77" i="2"/>
  <c r="G77" i="2" s="1"/>
  <c r="C77" i="2"/>
  <c r="B77" i="2"/>
  <c r="X76" i="2"/>
  <c r="Y76" i="2" s="1"/>
  <c r="V76" i="2"/>
  <c r="U76" i="2"/>
  <c r="P76" i="2"/>
  <c r="M76" i="2"/>
  <c r="N76" i="2" s="1"/>
  <c r="K76" i="2"/>
  <c r="J76" i="2"/>
  <c r="E76" i="2"/>
  <c r="F76" i="2" s="1"/>
  <c r="C76" i="2"/>
  <c r="B76" i="2"/>
  <c r="X73" i="2"/>
  <c r="Y73" i="2" s="1"/>
  <c r="V73" i="2"/>
  <c r="U73" i="2"/>
  <c r="R73" i="2"/>
  <c r="Q73" i="2"/>
  <c r="M73" i="2"/>
  <c r="N73" i="2" s="1"/>
  <c r="K73" i="2"/>
  <c r="J73" i="2"/>
  <c r="G73" i="2"/>
  <c r="F73" i="2"/>
  <c r="X72" i="2"/>
  <c r="Y72" i="2" s="1"/>
  <c r="V72" i="2"/>
  <c r="U72" i="2"/>
  <c r="R72" i="2"/>
  <c r="Q72" i="2"/>
  <c r="M72" i="2"/>
  <c r="N72" i="2" s="1"/>
  <c r="K72" i="2"/>
  <c r="J72" i="2"/>
  <c r="G72" i="2"/>
  <c r="F72" i="2"/>
  <c r="X71" i="2"/>
  <c r="Y71" i="2" s="1"/>
  <c r="V71" i="2"/>
  <c r="U71" i="2"/>
  <c r="R71" i="2"/>
  <c r="Q71" i="2"/>
  <c r="M71" i="2"/>
  <c r="N71" i="2" s="1"/>
  <c r="K71" i="2"/>
  <c r="J71" i="2"/>
  <c r="G71" i="2"/>
  <c r="F71" i="2"/>
  <c r="W70" i="2"/>
  <c r="T70" i="2"/>
  <c r="S70" i="2"/>
  <c r="P70" i="2"/>
  <c r="O70" i="2"/>
  <c r="L70" i="2"/>
  <c r="I70" i="2"/>
  <c r="H70" i="2"/>
  <c r="E70" i="2"/>
  <c r="D70" i="2"/>
  <c r="X69" i="2"/>
  <c r="Y69" i="2" s="1"/>
  <c r="V69" i="2"/>
  <c r="U69" i="2"/>
  <c r="R69" i="2"/>
  <c r="Q69" i="2"/>
  <c r="M69" i="2"/>
  <c r="N69" i="2" s="1"/>
  <c r="K69" i="2"/>
  <c r="J69" i="2"/>
  <c r="G69" i="2"/>
  <c r="F69" i="2"/>
  <c r="W68" i="2"/>
  <c r="T68" i="2"/>
  <c r="S68" i="2"/>
  <c r="P68" i="2"/>
  <c r="O68" i="2"/>
  <c r="L68" i="2"/>
  <c r="I68" i="2"/>
  <c r="H68" i="2"/>
  <c r="E68" i="2"/>
  <c r="D68" i="2"/>
  <c r="W65" i="2"/>
  <c r="S65" i="2"/>
  <c r="L65" i="2"/>
  <c r="H65" i="2"/>
  <c r="X64" i="2"/>
  <c r="Y64" i="2" s="1"/>
  <c r="T64" i="2"/>
  <c r="P64" i="2"/>
  <c r="O64" i="2"/>
  <c r="O184" i="2" s="1"/>
  <c r="M64" i="2"/>
  <c r="N64" i="2" s="1"/>
  <c r="I64" i="2"/>
  <c r="E64" i="2"/>
  <c r="D64" i="2"/>
  <c r="X63" i="2"/>
  <c r="Y63" i="2" s="1"/>
  <c r="T63" i="2"/>
  <c r="T183" i="2" s="1"/>
  <c r="P63" i="2"/>
  <c r="O63" i="2"/>
  <c r="O183" i="2" s="1"/>
  <c r="M63" i="2"/>
  <c r="N63" i="2" s="1"/>
  <c r="I63" i="2"/>
  <c r="I183" i="2" s="1"/>
  <c r="E63" i="2"/>
  <c r="D63" i="2"/>
  <c r="G63" i="2" s="1"/>
  <c r="W62" i="2"/>
  <c r="T62" i="2"/>
  <c r="S62" i="2"/>
  <c r="P62" i="2"/>
  <c r="O62" i="2"/>
  <c r="L62" i="2"/>
  <c r="I62" i="2"/>
  <c r="H62" i="2"/>
  <c r="E62" i="2"/>
  <c r="D62" i="2"/>
  <c r="F62" i="2" s="1"/>
  <c r="X61" i="2"/>
  <c r="Y61" i="2" s="1"/>
  <c r="V61" i="2"/>
  <c r="U61" i="2"/>
  <c r="R61" i="2"/>
  <c r="Q61" i="2"/>
  <c r="M61" i="2"/>
  <c r="N61" i="2" s="1"/>
  <c r="K61" i="2"/>
  <c r="J61" i="2"/>
  <c r="G61" i="2"/>
  <c r="F61" i="2"/>
  <c r="X60" i="2"/>
  <c r="Y60" i="2" s="1"/>
  <c r="V60" i="2"/>
  <c r="U60" i="2"/>
  <c r="R60" i="2"/>
  <c r="Q60" i="2"/>
  <c r="M60" i="2"/>
  <c r="N60" i="2" s="1"/>
  <c r="K60" i="2"/>
  <c r="J60" i="2"/>
  <c r="G60" i="2"/>
  <c r="F60" i="2"/>
  <c r="W59" i="2"/>
  <c r="T59" i="2"/>
  <c r="P59" i="2"/>
  <c r="L59" i="2"/>
  <c r="I59" i="2"/>
  <c r="E59" i="2"/>
  <c r="S58" i="2"/>
  <c r="U58" i="2" s="1"/>
  <c r="O58" i="2"/>
  <c r="H58" i="2"/>
  <c r="M58" i="2" s="1"/>
  <c r="N58" i="2" s="1"/>
  <c r="D58" i="2"/>
  <c r="G58" i="2" s="1"/>
  <c r="S57" i="2"/>
  <c r="X57" i="2" s="1"/>
  <c r="Y57" i="2" s="1"/>
  <c r="O57" i="2"/>
  <c r="R57" i="2" s="1"/>
  <c r="H57" i="2"/>
  <c r="D57" i="2"/>
  <c r="F57" i="2" s="1"/>
  <c r="W55" i="2"/>
  <c r="W56" i="2" s="1"/>
  <c r="T55" i="2"/>
  <c r="T56" i="2" s="1"/>
  <c r="S55" i="2"/>
  <c r="S56" i="2" s="1"/>
  <c r="P55" i="2"/>
  <c r="P56" i="2" s="1"/>
  <c r="O55" i="2"/>
  <c r="O56" i="2" s="1"/>
  <c r="L55" i="2"/>
  <c r="L56" i="2" s="1"/>
  <c r="I55" i="2"/>
  <c r="I56" i="2" s="1"/>
  <c r="H55" i="2"/>
  <c r="E55" i="2"/>
  <c r="E56" i="2" s="1"/>
  <c r="D55" i="2"/>
  <c r="D56" i="2" s="1"/>
  <c r="X54" i="2"/>
  <c r="Y54" i="2" s="1"/>
  <c r="V54" i="2"/>
  <c r="U54" i="2"/>
  <c r="R54" i="2"/>
  <c r="Q54" i="2"/>
  <c r="M54" i="2"/>
  <c r="N54" i="2" s="1"/>
  <c r="K54" i="2"/>
  <c r="J54" i="2"/>
  <c r="G54" i="2"/>
  <c r="F54" i="2"/>
  <c r="X53" i="2"/>
  <c r="Y53" i="2" s="1"/>
  <c r="V53" i="2"/>
  <c r="U53" i="2"/>
  <c r="R53" i="2"/>
  <c r="Q53" i="2"/>
  <c r="M53" i="2"/>
  <c r="N53" i="2" s="1"/>
  <c r="K53" i="2"/>
  <c r="J53" i="2"/>
  <c r="G53" i="2"/>
  <c r="F53" i="2"/>
  <c r="W50" i="2"/>
  <c r="T50" i="2"/>
  <c r="S50" i="2"/>
  <c r="V50" i="2" s="1"/>
  <c r="O50" i="2"/>
  <c r="L50" i="2"/>
  <c r="I50" i="2"/>
  <c r="H50" i="2"/>
  <c r="D50" i="2"/>
  <c r="X49" i="2"/>
  <c r="Y49" i="2" s="1"/>
  <c r="V49" i="2"/>
  <c r="U49" i="2"/>
  <c r="P49" i="2"/>
  <c r="M49" i="2"/>
  <c r="N49" i="2" s="1"/>
  <c r="K49" i="2"/>
  <c r="J49" i="2"/>
  <c r="E49" i="2"/>
  <c r="X48" i="2"/>
  <c r="Y48" i="2" s="1"/>
  <c r="V48" i="2"/>
  <c r="U48" i="2"/>
  <c r="P48" i="2"/>
  <c r="Q48" i="2" s="1"/>
  <c r="M48" i="2"/>
  <c r="N48" i="2" s="1"/>
  <c r="K48" i="2"/>
  <c r="J48" i="2"/>
  <c r="E48" i="2"/>
  <c r="W47" i="2"/>
  <c r="T47" i="2"/>
  <c r="P47" i="2"/>
  <c r="O47" i="2"/>
  <c r="L47" i="2"/>
  <c r="I47" i="2"/>
  <c r="E47" i="2"/>
  <c r="D47" i="2"/>
  <c r="R46" i="2"/>
  <c r="Q46" i="2"/>
  <c r="G46" i="2"/>
  <c r="F46" i="2"/>
  <c r="R45" i="2"/>
  <c r="Q45" i="2"/>
  <c r="G45" i="2"/>
  <c r="F45" i="2"/>
  <c r="W44" i="2"/>
  <c r="T44" i="2"/>
  <c r="P44" i="2"/>
  <c r="L44" i="2"/>
  <c r="I44" i="2"/>
  <c r="E44" i="2"/>
  <c r="O43" i="2"/>
  <c r="D43" i="2"/>
  <c r="O42" i="2"/>
  <c r="D42" i="2"/>
  <c r="W40" i="2"/>
  <c r="T40" i="2"/>
  <c r="S40" i="2"/>
  <c r="U40" i="2" s="1"/>
  <c r="P40" i="2"/>
  <c r="O40" i="2"/>
  <c r="L40" i="2"/>
  <c r="I40" i="2"/>
  <c r="H40" i="2"/>
  <c r="J40" i="2" s="1"/>
  <c r="E40" i="2"/>
  <c r="D40" i="2"/>
  <c r="X39" i="2"/>
  <c r="Y39" i="2" s="1"/>
  <c r="V39" i="2"/>
  <c r="U39" i="2"/>
  <c r="R39" i="2"/>
  <c r="Q39" i="2"/>
  <c r="M39" i="2"/>
  <c r="N39" i="2" s="1"/>
  <c r="K39" i="2"/>
  <c r="J39" i="2"/>
  <c r="G39" i="2"/>
  <c r="F39" i="2"/>
  <c r="X38" i="2"/>
  <c r="Y38" i="2" s="1"/>
  <c r="V38" i="2"/>
  <c r="U38" i="2"/>
  <c r="R38" i="2"/>
  <c r="Q38" i="2"/>
  <c r="M38" i="2"/>
  <c r="N38" i="2" s="1"/>
  <c r="K38" i="2"/>
  <c r="J38" i="2"/>
  <c r="G38" i="2"/>
  <c r="F38" i="2"/>
  <c r="W37" i="2"/>
  <c r="T37" i="2"/>
  <c r="S37" i="2"/>
  <c r="P37" i="2"/>
  <c r="O37" i="2"/>
  <c r="L37" i="2"/>
  <c r="I37" i="2"/>
  <c r="H37" i="2"/>
  <c r="E37" i="2"/>
  <c r="D37" i="2"/>
  <c r="G37" i="2" s="1"/>
  <c r="X36" i="2"/>
  <c r="Y36" i="2" s="1"/>
  <c r="V36" i="2"/>
  <c r="U36" i="2"/>
  <c r="R36" i="2"/>
  <c r="Q36" i="2"/>
  <c r="M36" i="2"/>
  <c r="N36" i="2" s="1"/>
  <c r="K36" i="2"/>
  <c r="J36" i="2"/>
  <c r="G36" i="2"/>
  <c r="F36" i="2"/>
  <c r="X35" i="2"/>
  <c r="Y35" i="2" s="1"/>
  <c r="V35" i="2"/>
  <c r="U35" i="2"/>
  <c r="R35" i="2"/>
  <c r="Q35" i="2"/>
  <c r="M35" i="2"/>
  <c r="N35" i="2" s="1"/>
  <c r="K35" i="2"/>
  <c r="J35" i="2"/>
  <c r="G35" i="2"/>
  <c r="F35" i="2"/>
  <c r="W34" i="2"/>
  <c r="T34" i="2"/>
  <c r="S34" i="2"/>
  <c r="P34" i="2"/>
  <c r="O34" i="2"/>
  <c r="L34" i="2"/>
  <c r="I34" i="2"/>
  <c r="H34" i="2"/>
  <c r="E34" i="2"/>
  <c r="D34" i="2"/>
  <c r="X33" i="2"/>
  <c r="Y33" i="2" s="1"/>
  <c r="V33" i="2"/>
  <c r="U33" i="2"/>
  <c r="R33" i="2"/>
  <c r="Q33" i="2"/>
  <c r="M33" i="2"/>
  <c r="N33" i="2" s="1"/>
  <c r="K33" i="2"/>
  <c r="J33" i="2"/>
  <c r="G33" i="2"/>
  <c r="F33" i="2"/>
  <c r="X32" i="2"/>
  <c r="Y32" i="2" s="1"/>
  <c r="V32" i="2"/>
  <c r="U32" i="2"/>
  <c r="R32" i="2"/>
  <c r="Q32" i="2"/>
  <c r="M32" i="2"/>
  <c r="N32" i="2" s="1"/>
  <c r="K32" i="2"/>
  <c r="J32" i="2"/>
  <c r="G32" i="2"/>
  <c r="F32" i="2"/>
  <c r="W31" i="2"/>
  <c r="T31" i="2"/>
  <c r="S31" i="2"/>
  <c r="P31" i="2"/>
  <c r="O31" i="2"/>
  <c r="L31" i="2"/>
  <c r="I31" i="2"/>
  <c r="H31" i="2"/>
  <c r="E31" i="2"/>
  <c r="D31" i="2"/>
  <c r="X30" i="2"/>
  <c r="Y30" i="2" s="1"/>
  <c r="V30" i="2"/>
  <c r="U30" i="2"/>
  <c r="R30" i="2"/>
  <c r="Q30" i="2"/>
  <c r="M30" i="2"/>
  <c r="N30" i="2" s="1"/>
  <c r="K30" i="2"/>
  <c r="J30" i="2"/>
  <c r="G30" i="2"/>
  <c r="F30" i="2"/>
  <c r="X29" i="2"/>
  <c r="Y29" i="2" s="1"/>
  <c r="V29" i="2"/>
  <c r="U29" i="2"/>
  <c r="R29" i="2"/>
  <c r="Q29" i="2"/>
  <c r="M29" i="2"/>
  <c r="N29" i="2" s="1"/>
  <c r="K29" i="2"/>
  <c r="J29" i="2"/>
  <c r="G29" i="2"/>
  <c r="F29" i="2"/>
  <c r="W28" i="2"/>
  <c r="T28" i="2"/>
  <c r="P28" i="2"/>
  <c r="O28" i="2"/>
  <c r="Q28" i="2" s="1"/>
  <c r="L28" i="2"/>
  <c r="I28" i="2"/>
  <c r="E28" i="2"/>
  <c r="D28" i="2"/>
  <c r="X27" i="2"/>
  <c r="Y27" i="2" s="1"/>
  <c r="V27" i="2"/>
  <c r="U27" i="2"/>
  <c r="R27" i="2"/>
  <c r="Q27" i="2"/>
  <c r="M27" i="2"/>
  <c r="N27" i="2" s="1"/>
  <c r="K27" i="2"/>
  <c r="J27" i="2"/>
  <c r="G27" i="2"/>
  <c r="F27" i="2"/>
  <c r="S26" i="2"/>
  <c r="S146" i="2" s="1"/>
  <c r="R26" i="2"/>
  <c r="Q26" i="2"/>
  <c r="H26" i="2"/>
  <c r="G26" i="2"/>
  <c r="F26" i="2"/>
  <c r="W24" i="2"/>
  <c r="T24" i="2"/>
  <c r="S24" i="2"/>
  <c r="U24" i="2" s="1"/>
  <c r="P24" i="2"/>
  <c r="O24" i="2"/>
  <c r="R24" i="2" s="1"/>
  <c r="L24" i="2"/>
  <c r="I24" i="2"/>
  <c r="H24" i="2"/>
  <c r="E24" i="2"/>
  <c r="D24" i="2"/>
  <c r="X23" i="2"/>
  <c r="Y23" i="2" s="1"/>
  <c r="V23" i="2"/>
  <c r="U23" i="2"/>
  <c r="R23" i="2"/>
  <c r="Q23" i="2"/>
  <c r="M23" i="2"/>
  <c r="N23" i="2" s="1"/>
  <c r="K23" i="2"/>
  <c r="J23" i="2"/>
  <c r="G23" i="2"/>
  <c r="F23" i="2"/>
  <c r="X22" i="2"/>
  <c r="Y22" i="2" s="1"/>
  <c r="V22" i="2"/>
  <c r="U22" i="2"/>
  <c r="R22" i="2"/>
  <c r="Q22" i="2"/>
  <c r="M22" i="2"/>
  <c r="N22" i="2" s="1"/>
  <c r="K22" i="2"/>
  <c r="J22" i="2"/>
  <c r="G22" i="2"/>
  <c r="F22" i="2"/>
  <c r="W21" i="2"/>
  <c r="T21" i="2"/>
  <c r="S21" i="2"/>
  <c r="P21" i="2"/>
  <c r="O21" i="2"/>
  <c r="R21" i="2" s="1"/>
  <c r="L21" i="2"/>
  <c r="I21" i="2"/>
  <c r="H21" i="2"/>
  <c r="E21" i="2"/>
  <c r="D21" i="2"/>
  <c r="X20" i="2"/>
  <c r="Y20" i="2" s="1"/>
  <c r="V20" i="2"/>
  <c r="U20" i="2"/>
  <c r="R20" i="2"/>
  <c r="Q20" i="2"/>
  <c r="M20" i="2"/>
  <c r="N20" i="2" s="1"/>
  <c r="K20" i="2"/>
  <c r="J20" i="2"/>
  <c r="G20" i="2"/>
  <c r="F20" i="2"/>
  <c r="X19" i="2"/>
  <c r="Y19" i="2" s="1"/>
  <c r="V19" i="2"/>
  <c r="U19" i="2"/>
  <c r="R19" i="2"/>
  <c r="Q19" i="2"/>
  <c r="M19" i="2"/>
  <c r="N19" i="2" s="1"/>
  <c r="K19" i="2"/>
  <c r="J19" i="2"/>
  <c r="G19" i="2"/>
  <c r="F19" i="2"/>
  <c r="W18" i="2"/>
  <c r="T18" i="2"/>
  <c r="S18" i="2"/>
  <c r="P18" i="2"/>
  <c r="O18" i="2"/>
  <c r="L18" i="2"/>
  <c r="I18" i="2"/>
  <c r="H18" i="2"/>
  <c r="E18" i="2"/>
  <c r="D18" i="2"/>
  <c r="X17" i="2"/>
  <c r="Y17" i="2" s="1"/>
  <c r="V17" i="2"/>
  <c r="U17" i="2"/>
  <c r="R17" i="2"/>
  <c r="Q17" i="2"/>
  <c r="M17" i="2"/>
  <c r="N17" i="2" s="1"/>
  <c r="K17" i="2"/>
  <c r="J17" i="2"/>
  <c r="G17" i="2"/>
  <c r="F17" i="2"/>
  <c r="X16" i="2"/>
  <c r="Y16" i="2" s="1"/>
  <c r="V16" i="2"/>
  <c r="U16" i="2"/>
  <c r="R16" i="2"/>
  <c r="Q16" i="2"/>
  <c r="M16" i="2"/>
  <c r="N16" i="2" s="1"/>
  <c r="K16" i="2"/>
  <c r="J16" i="2"/>
  <c r="G16" i="2"/>
  <c r="F16" i="2"/>
  <c r="W15" i="2"/>
  <c r="T15" i="2"/>
  <c r="S15" i="2"/>
  <c r="P15" i="2"/>
  <c r="O15" i="2"/>
  <c r="R15" i="2" s="1"/>
  <c r="L15" i="2"/>
  <c r="I15" i="2"/>
  <c r="H15" i="2"/>
  <c r="E15" i="2"/>
  <c r="D15" i="2"/>
  <c r="X14" i="2"/>
  <c r="Y14" i="2" s="1"/>
  <c r="V14" i="2"/>
  <c r="U14" i="2"/>
  <c r="R14" i="2"/>
  <c r="Q14" i="2"/>
  <c r="M14" i="2"/>
  <c r="N14" i="2" s="1"/>
  <c r="K14" i="2"/>
  <c r="J14" i="2"/>
  <c r="G14" i="2"/>
  <c r="F14" i="2"/>
  <c r="X13" i="2"/>
  <c r="Y13" i="2" s="1"/>
  <c r="V13" i="2"/>
  <c r="U13" i="2"/>
  <c r="R13" i="2"/>
  <c r="Q13" i="2"/>
  <c r="M13" i="2"/>
  <c r="N13" i="2" s="1"/>
  <c r="K13" i="2"/>
  <c r="J13" i="2"/>
  <c r="G13" i="2"/>
  <c r="F13" i="2"/>
  <c r="AH183" i="1"/>
  <c r="AD183" i="1"/>
  <c r="AH182" i="1"/>
  <c r="AJ182" i="1" s="1"/>
  <c r="AD182" i="1"/>
  <c r="AD184" i="1" s="1"/>
  <c r="AA182" i="1"/>
  <c r="AH180" i="1"/>
  <c r="AJ180" i="1" s="1"/>
  <c r="AE180" i="1"/>
  <c r="AD180" i="1"/>
  <c r="AD181" i="1" s="1"/>
  <c r="AA180" i="1"/>
  <c r="AA181" i="1" s="1"/>
  <c r="Z180" i="1"/>
  <c r="AH179" i="1"/>
  <c r="AJ179" i="1" s="1"/>
  <c r="AE179" i="1"/>
  <c r="AD179" i="1"/>
  <c r="AA179" i="1"/>
  <c r="Z179" i="1"/>
  <c r="AH177" i="1"/>
  <c r="AJ177" i="1" s="1"/>
  <c r="AE177" i="1"/>
  <c r="AA177" i="1"/>
  <c r="AH176" i="1"/>
  <c r="AJ176" i="1" s="1"/>
  <c r="AE176" i="1"/>
  <c r="AE178" i="1" s="1"/>
  <c r="AA176" i="1"/>
  <c r="AA178" i="1" s="1"/>
  <c r="Z176" i="1"/>
  <c r="AH173" i="1"/>
  <c r="AJ173" i="1" s="1"/>
  <c r="AE173" i="1"/>
  <c r="AD173" i="1"/>
  <c r="AA173" i="1"/>
  <c r="Z173" i="1"/>
  <c r="AH172" i="1"/>
  <c r="AJ172" i="1" s="1"/>
  <c r="AE172" i="1"/>
  <c r="AD172" i="1"/>
  <c r="AA172" i="1"/>
  <c r="Z172" i="1"/>
  <c r="AH168" i="1"/>
  <c r="AJ168" i="1" s="1"/>
  <c r="AE168" i="1"/>
  <c r="AD168" i="1"/>
  <c r="Z168" i="1"/>
  <c r="AH167" i="1"/>
  <c r="AH169" i="1" s="1"/>
  <c r="AJ169" i="1" s="1"/>
  <c r="AE167" i="1"/>
  <c r="AD167" i="1"/>
  <c r="Z167" i="1"/>
  <c r="AH165" i="1"/>
  <c r="AJ165" i="1" s="1"/>
  <c r="AE165" i="1"/>
  <c r="AA165" i="1"/>
  <c r="Z165" i="1"/>
  <c r="AH164" i="1"/>
  <c r="AJ164" i="1" s="1"/>
  <c r="AE164" i="1"/>
  <c r="AA164" i="1"/>
  <c r="Z164" i="1"/>
  <c r="AH162" i="1"/>
  <c r="AJ162" i="1" s="1"/>
  <c r="AE162" i="1"/>
  <c r="AA162" i="1"/>
  <c r="AH161" i="1"/>
  <c r="AE161" i="1"/>
  <c r="AA161" i="1"/>
  <c r="AH158" i="1"/>
  <c r="AJ158" i="1" s="1"/>
  <c r="AE158" i="1"/>
  <c r="AD158" i="1"/>
  <c r="AA158" i="1"/>
  <c r="Z158" i="1"/>
  <c r="AH157" i="1"/>
  <c r="AE157" i="1"/>
  <c r="AD157" i="1"/>
  <c r="AA157" i="1"/>
  <c r="Z157" i="1"/>
  <c r="AH155" i="1"/>
  <c r="AJ155" i="1" s="1"/>
  <c r="AE155" i="1"/>
  <c r="AD155" i="1"/>
  <c r="AA155" i="1"/>
  <c r="Z155" i="1"/>
  <c r="AH154" i="1"/>
  <c r="AE154" i="1"/>
  <c r="AD154" i="1"/>
  <c r="AA154" i="1"/>
  <c r="Z154" i="1"/>
  <c r="AH152" i="1"/>
  <c r="AJ152" i="1" s="1"/>
  <c r="AE152" i="1"/>
  <c r="AD152" i="1"/>
  <c r="AA152" i="1"/>
  <c r="Z152" i="1"/>
  <c r="AH151" i="1"/>
  <c r="AE151" i="1"/>
  <c r="AD151" i="1"/>
  <c r="AA151" i="1"/>
  <c r="Z151" i="1"/>
  <c r="AH149" i="1"/>
  <c r="AJ149" i="1" s="1"/>
  <c r="AE149" i="1"/>
  <c r="AD149" i="1"/>
  <c r="AA149" i="1"/>
  <c r="Z149" i="1"/>
  <c r="AH148" i="1"/>
  <c r="AJ148" i="1" s="1"/>
  <c r="AE148" i="1"/>
  <c r="AE150" i="1" s="1"/>
  <c r="AD148" i="1"/>
  <c r="AA148" i="1"/>
  <c r="Z148" i="1"/>
  <c r="AH146" i="1"/>
  <c r="AJ146" i="1" s="1"/>
  <c r="AE146" i="1"/>
  <c r="AD146" i="1"/>
  <c r="AA146" i="1"/>
  <c r="Z146" i="1"/>
  <c r="AH145" i="1"/>
  <c r="AJ145" i="1" s="1"/>
  <c r="AE145" i="1"/>
  <c r="Z145" i="1"/>
  <c r="Z147" i="1" s="1"/>
  <c r="AH142" i="1"/>
  <c r="AJ142" i="1" s="1"/>
  <c r="AE142" i="1"/>
  <c r="AD142" i="1"/>
  <c r="AA142" i="1"/>
  <c r="Z142" i="1"/>
  <c r="AH141" i="1"/>
  <c r="AJ141" i="1" s="1"/>
  <c r="AE141" i="1"/>
  <c r="AD141" i="1"/>
  <c r="AA141" i="1"/>
  <c r="Z141" i="1"/>
  <c r="AH139" i="1"/>
  <c r="AJ139" i="1" s="1"/>
  <c r="AE139" i="1"/>
  <c r="AD139" i="1"/>
  <c r="AA139" i="1"/>
  <c r="Z139" i="1"/>
  <c r="AH138" i="1"/>
  <c r="AJ138" i="1" s="1"/>
  <c r="AE138" i="1"/>
  <c r="AD138" i="1"/>
  <c r="AA138" i="1"/>
  <c r="Z138" i="1"/>
  <c r="AH136" i="1"/>
  <c r="AJ136" i="1" s="1"/>
  <c r="AE136" i="1"/>
  <c r="AD136" i="1"/>
  <c r="Z136" i="1"/>
  <c r="AH135" i="1"/>
  <c r="AJ135" i="1" s="1"/>
  <c r="AE135" i="1"/>
  <c r="AD135" i="1"/>
  <c r="Z135" i="1"/>
  <c r="Z137" i="1" s="1"/>
  <c r="AH133" i="1"/>
  <c r="AJ133" i="1" s="1"/>
  <c r="AE133" i="1"/>
  <c r="AD133" i="1"/>
  <c r="Z133" i="1"/>
  <c r="AH132" i="1"/>
  <c r="AJ132" i="1" s="1"/>
  <c r="AE132" i="1"/>
  <c r="AD132" i="1"/>
  <c r="Z132" i="1"/>
  <c r="AH127" i="1"/>
  <c r="AE127" i="1"/>
  <c r="AD127" i="1"/>
  <c r="AI126" i="1"/>
  <c r="AJ126" i="1" s="1"/>
  <c r="AG126" i="1"/>
  <c r="AF126" i="1"/>
  <c r="AA126" i="1"/>
  <c r="AI125" i="1"/>
  <c r="AJ125" i="1" s="1"/>
  <c r="AG125" i="1"/>
  <c r="AF125" i="1"/>
  <c r="AA125" i="1"/>
  <c r="AA127" i="1" s="1"/>
  <c r="AH124" i="1"/>
  <c r="AE124" i="1"/>
  <c r="AD124" i="1"/>
  <c r="AA124" i="1"/>
  <c r="Z124" i="1"/>
  <c r="AC124" i="1" s="1"/>
  <c r="AI123" i="1"/>
  <c r="AJ123" i="1" s="1"/>
  <c r="AG123" i="1"/>
  <c r="AF123" i="1"/>
  <c r="AC123" i="1"/>
  <c r="AB123" i="1"/>
  <c r="AI122" i="1"/>
  <c r="AJ122" i="1" s="1"/>
  <c r="AG122" i="1"/>
  <c r="AF122" i="1"/>
  <c r="AC122" i="1"/>
  <c r="AB122" i="1"/>
  <c r="AH121" i="1"/>
  <c r="AE121" i="1"/>
  <c r="AD121" i="1"/>
  <c r="AA121" i="1"/>
  <c r="Z121" i="1"/>
  <c r="AI120" i="1"/>
  <c r="AJ120" i="1" s="1"/>
  <c r="AG120" i="1"/>
  <c r="AF120" i="1"/>
  <c r="AC120" i="1"/>
  <c r="AB120" i="1"/>
  <c r="AI119" i="1"/>
  <c r="AJ119" i="1" s="1"/>
  <c r="AG119" i="1"/>
  <c r="AF119" i="1"/>
  <c r="AC119" i="1"/>
  <c r="AB119" i="1"/>
  <c r="AH117" i="1"/>
  <c r="AH118" i="1" s="1"/>
  <c r="AE117" i="1"/>
  <c r="AE118" i="1" s="1"/>
  <c r="AD117" i="1"/>
  <c r="AF117" i="1" s="1"/>
  <c r="AA117" i="1"/>
  <c r="AA118" i="1" s="1"/>
  <c r="Z117" i="1"/>
  <c r="AI116" i="1"/>
  <c r="AJ116" i="1" s="1"/>
  <c r="AG116" i="1"/>
  <c r="AF116" i="1"/>
  <c r="AC116" i="1"/>
  <c r="AB116" i="1"/>
  <c r="AI115" i="1"/>
  <c r="AJ115" i="1" s="1"/>
  <c r="AG115" i="1"/>
  <c r="AF115" i="1"/>
  <c r="AC115" i="1"/>
  <c r="AB115" i="1"/>
  <c r="AH112" i="1"/>
  <c r="AE112" i="1"/>
  <c r="AD112" i="1"/>
  <c r="Z112" i="1"/>
  <c r="AI111" i="1"/>
  <c r="AJ111" i="1" s="1"/>
  <c r="AG111" i="1"/>
  <c r="AF111" i="1"/>
  <c r="AA111" i="1"/>
  <c r="AI110" i="1"/>
  <c r="AJ110" i="1" s="1"/>
  <c r="AG110" i="1"/>
  <c r="AF110" i="1"/>
  <c r="AA110" i="1"/>
  <c r="AB110" i="1" s="1"/>
  <c r="AH109" i="1"/>
  <c r="AE109" i="1"/>
  <c r="AD109" i="1"/>
  <c r="AA109" i="1"/>
  <c r="Z109" i="1"/>
  <c r="AC109" i="1" s="1"/>
  <c r="AI108" i="1"/>
  <c r="AJ108" i="1" s="1"/>
  <c r="AG108" i="1"/>
  <c r="AF108" i="1"/>
  <c r="AC108" i="1"/>
  <c r="AB108" i="1"/>
  <c r="AI107" i="1"/>
  <c r="AJ107" i="1" s="1"/>
  <c r="AG107" i="1"/>
  <c r="AF107" i="1"/>
  <c r="AC107" i="1"/>
  <c r="AB107" i="1"/>
  <c r="AH106" i="1"/>
  <c r="AE106" i="1"/>
  <c r="AD106" i="1"/>
  <c r="AA106" i="1"/>
  <c r="Z106" i="1"/>
  <c r="AI105" i="1"/>
  <c r="AJ105" i="1" s="1"/>
  <c r="AG105" i="1"/>
  <c r="AF105" i="1"/>
  <c r="AC105" i="1"/>
  <c r="AB105" i="1"/>
  <c r="AI104" i="1"/>
  <c r="AJ104" i="1" s="1"/>
  <c r="AG104" i="1"/>
  <c r="AF104" i="1"/>
  <c r="AC104" i="1"/>
  <c r="AB104" i="1"/>
  <c r="AH102" i="1"/>
  <c r="AE102" i="1"/>
  <c r="AD102" i="1"/>
  <c r="AI102" i="1" s="1"/>
  <c r="AJ102" i="1" s="1"/>
  <c r="AA102" i="1"/>
  <c r="Z102" i="1"/>
  <c r="AC102" i="1" s="1"/>
  <c r="AI101" i="1"/>
  <c r="AJ101" i="1" s="1"/>
  <c r="AG101" i="1"/>
  <c r="AF101" i="1"/>
  <c r="AC101" i="1"/>
  <c r="AB101" i="1"/>
  <c r="AI100" i="1"/>
  <c r="AJ100" i="1" s="1"/>
  <c r="AG100" i="1"/>
  <c r="AF100" i="1"/>
  <c r="AC100" i="1"/>
  <c r="AB100" i="1"/>
  <c r="AH99" i="1"/>
  <c r="AE99" i="1"/>
  <c r="AD99" i="1"/>
  <c r="AA99" i="1"/>
  <c r="Z99" i="1"/>
  <c r="AI98" i="1"/>
  <c r="AJ98" i="1" s="1"/>
  <c r="AG98" i="1"/>
  <c r="AF98" i="1"/>
  <c r="AC98" i="1"/>
  <c r="AB98" i="1"/>
  <c r="AI97" i="1"/>
  <c r="AJ97" i="1" s="1"/>
  <c r="AG97" i="1"/>
  <c r="AF97" i="1"/>
  <c r="AC97" i="1"/>
  <c r="AB97" i="1"/>
  <c r="AH96" i="1"/>
  <c r="AE96" i="1"/>
  <c r="AD96" i="1"/>
  <c r="AA96" i="1"/>
  <c r="Z96" i="1"/>
  <c r="AI95" i="1"/>
  <c r="AJ95" i="1" s="1"/>
  <c r="AG95" i="1"/>
  <c r="AF95" i="1"/>
  <c r="AC95" i="1"/>
  <c r="AB95" i="1"/>
  <c r="AI94" i="1"/>
  <c r="AJ94" i="1" s="1"/>
  <c r="AG94" i="1"/>
  <c r="AF94" i="1"/>
  <c r="AC94" i="1"/>
  <c r="AB94" i="1"/>
  <c r="AH93" i="1"/>
  <c r="AE93" i="1"/>
  <c r="AD93" i="1"/>
  <c r="AA93" i="1"/>
  <c r="Z93" i="1"/>
  <c r="AI92" i="1"/>
  <c r="AJ92" i="1" s="1"/>
  <c r="AG92" i="1"/>
  <c r="AF92" i="1"/>
  <c r="AC92" i="1"/>
  <c r="AB92" i="1"/>
  <c r="AI91" i="1"/>
  <c r="AJ91" i="1" s="1"/>
  <c r="AG91" i="1"/>
  <c r="AF91" i="1"/>
  <c r="AC91" i="1"/>
  <c r="AB91" i="1"/>
  <c r="AH90" i="1"/>
  <c r="AE90" i="1"/>
  <c r="AD90" i="1"/>
  <c r="Z90" i="1"/>
  <c r="AI89" i="1"/>
  <c r="AJ89" i="1" s="1"/>
  <c r="AG89" i="1"/>
  <c r="AF89" i="1"/>
  <c r="AC89" i="1"/>
  <c r="AB89" i="1"/>
  <c r="AI88" i="1"/>
  <c r="AJ88" i="1" s="1"/>
  <c r="AG88" i="1"/>
  <c r="AF88" i="1"/>
  <c r="AA88" i="1"/>
  <c r="AA90" i="1" s="1"/>
  <c r="AH86" i="1"/>
  <c r="AE86" i="1"/>
  <c r="AD86" i="1"/>
  <c r="AI86" i="1" s="1"/>
  <c r="AJ86" i="1" s="1"/>
  <c r="AA86" i="1"/>
  <c r="Z86" i="1"/>
  <c r="AI85" i="1"/>
  <c r="AJ85" i="1" s="1"/>
  <c r="AG85" i="1"/>
  <c r="AF85" i="1"/>
  <c r="AC85" i="1"/>
  <c r="AB85" i="1"/>
  <c r="AI84" i="1"/>
  <c r="AJ84" i="1" s="1"/>
  <c r="AG84" i="1"/>
  <c r="AF84" i="1"/>
  <c r="AC84" i="1"/>
  <c r="AB84" i="1"/>
  <c r="AH83" i="1"/>
  <c r="AE83" i="1"/>
  <c r="AD83" i="1"/>
  <c r="AA83" i="1"/>
  <c r="Z83" i="1"/>
  <c r="AI82" i="1"/>
  <c r="AJ82" i="1" s="1"/>
  <c r="AG82" i="1"/>
  <c r="AF82" i="1"/>
  <c r="AC82" i="1"/>
  <c r="AB82" i="1"/>
  <c r="AI81" i="1"/>
  <c r="AJ81" i="1" s="1"/>
  <c r="AG81" i="1"/>
  <c r="AF81" i="1"/>
  <c r="AC81" i="1"/>
  <c r="AB81" i="1"/>
  <c r="AH80" i="1"/>
  <c r="AE80" i="1"/>
  <c r="AD80" i="1"/>
  <c r="Z80" i="1"/>
  <c r="AI79" i="1"/>
  <c r="AJ79" i="1" s="1"/>
  <c r="AG79" i="1"/>
  <c r="AF79" i="1"/>
  <c r="AA79" i="1"/>
  <c r="AA136" i="1" s="1"/>
  <c r="AI78" i="1"/>
  <c r="AJ78" i="1" s="1"/>
  <c r="AG78" i="1"/>
  <c r="AF78" i="1"/>
  <c r="AA78" i="1"/>
  <c r="AH77" i="1"/>
  <c r="AE77" i="1"/>
  <c r="AD77" i="1"/>
  <c r="AG77" i="1" s="1"/>
  <c r="Z77" i="1"/>
  <c r="AI76" i="1"/>
  <c r="AJ76" i="1" s="1"/>
  <c r="AG76" i="1"/>
  <c r="AF76" i="1"/>
  <c r="AA76" i="1"/>
  <c r="AA133" i="1" s="1"/>
  <c r="AI75" i="1"/>
  <c r="AJ75" i="1" s="1"/>
  <c r="AG75" i="1"/>
  <c r="AF75" i="1"/>
  <c r="AA75" i="1"/>
  <c r="AB75" i="1" s="1"/>
  <c r="AI72" i="1"/>
  <c r="AJ72" i="1" s="1"/>
  <c r="AG72" i="1"/>
  <c r="AF72" i="1"/>
  <c r="AC72" i="1"/>
  <c r="AB72" i="1"/>
  <c r="AI71" i="1"/>
  <c r="AJ71" i="1" s="1"/>
  <c r="AG71" i="1"/>
  <c r="AF71" i="1"/>
  <c r="AC71" i="1"/>
  <c r="AB71" i="1"/>
  <c r="AI70" i="1"/>
  <c r="AJ70" i="1" s="1"/>
  <c r="AG70" i="1"/>
  <c r="AF70" i="1"/>
  <c r="AC70" i="1"/>
  <c r="AB70" i="1"/>
  <c r="AH69" i="1"/>
  <c r="AE69" i="1"/>
  <c r="AD69" i="1"/>
  <c r="AA69" i="1"/>
  <c r="Z69" i="1"/>
  <c r="AI68" i="1"/>
  <c r="AJ68" i="1" s="1"/>
  <c r="AG68" i="1"/>
  <c r="AF68" i="1"/>
  <c r="AC68" i="1"/>
  <c r="AB68" i="1"/>
  <c r="AH67" i="1"/>
  <c r="AE67" i="1"/>
  <c r="AD67" i="1"/>
  <c r="AA67" i="1"/>
  <c r="Z67" i="1"/>
  <c r="AH64" i="1"/>
  <c r="AD64" i="1"/>
  <c r="AI63" i="1"/>
  <c r="AJ63" i="1" s="1"/>
  <c r="AG63" i="1"/>
  <c r="AF63" i="1"/>
  <c r="AE63" i="1"/>
  <c r="AE183" i="1" s="1"/>
  <c r="AA63" i="1"/>
  <c r="AA183" i="1" s="1"/>
  <c r="Z63" i="1"/>
  <c r="AC63" i="1" s="1"/>
  <c r="AI62" i="1"/>
  <c r="AJ62" i="1" s="1"/>
  <c r="AE62" i="1"/>
  <c r="AA62" i="1"/>
  <c r="AA64" i="1" s="1"/>
  <c r="Z62" i="1"/>
  <c r="AH61" i="1"/>
  <c r="AE61" i="1"/>
  <c r="AD61" i="1"/>
  <c r="AA61" i="1"/>
  <c r="Z61" i="1"/>
  <c r="AC61" i="1" s="1"/>
  <c r="AI60" i="1"/>
  <c r="AJ60" i="1" s="1"/>
  <c r="AG60" i="1"/>
  <c r="AF60" i="1"/>
  <c r="AC60" i="1"/>
  <c r="AB60" i="1"/>
  <c r="AI59" i="1"/>
  <c r="AJ59" i="1" s="1"/>
  <c r="AG59" i="1"/>
  <c r="AF59" i="1"/>
  <c r="AC59" i="1"/>
  <c r="AB59" i="1"/>
  <c r="AH58" i="1"/>
  <c r="AE58" i="1"/>
  <c r="AA58" i="1"/>
  <c r="AD57" i="1"/>
  <c r="AI57" i="1" s="1"/>
  <c r="AJ57" i="1" s="1"/>
  <c r="Z57" i="1"/>
  <c r="AI56" i="1"/>
  <c r="AJ56" i="1" s="1"/>
  <c r="AG56" i="1"/>
  <c r="AF56" i="1"/>
  <c r="AD56" i="1"/>
  <c r="AD176" i="1" s="1"/>
  <c r="AC56" i="1"/>
  <c r="AB56" i="1"/>
  <c r="Z56" i="1"/>
  <c r="AH54" i="1"/>
  <c r="AE54" i="1"/>
  <c r="AE55" i="1" s="1"/>
  <c r="AD54" i="1"/>
  <c r="AA54" i="1"/>
  <c r="AA55" i="1" s="1"/>
  <c r="Z54" i="1"/>
  <c r="AC54" i="1" s="1"/>
  <c r="AI53" i="1"/>
  <c r="AJ53" i="1" s="1"/>
  <c r="AG53" i="1"/>
  <c r="AF53" i="1"/>
  <c r="AC53" i="1"/>
  <c r="AB53" i="1"/>
  <c r="AI52" i="1"/>
  <c r="AJ52" i="1" s="1"/>
  <c r="AG52" i="1"/>
  <c r="AF52" i="1"/>
  <c r="AC52" i="1"/>
  <c r="AB52" i="1"/>
  <c r="AH49" i="1"/>
  <c r="AE49" i="1"/>
  <c r="AD49" i="1"/>
  <c r="AI49" i="1" s="1"/>
  <c r="AJ49" i="1" s="1"/>
  <c r="AA49" i="1"/>
  <c r="Z49" i="1"/>
  <c r="AI48" i="1"/>
  <c r="AJ48" i="1" s="1"/>
  <c r="AG48" i="1"/>
  <c r="AF48" i="1"/>
  <c r="AA48" i="1"/>
  <c r="AC48" i="1" s="1"/>
  <c r="AI47" i="1"/>
  <c r="AJ47" i="1" s="1"/>
  <c r="AG47" i="1"/>
  <c r="AF47" i="1"/>
  <c r="AA47" i="1"/>
  <c r="AC47" i="1" s="1"/>
  <c r="AH46" i="1"/>
  <c r="AE46" i="1"/>
  <c r="AA46" i="1"/>
  <c r="Z46" i="1"/>
  <c r="AC45" i="1"/>
  <c r="AB45" i="1"/>
  <c r="AD44" i="1"/>
  <c r="AC44" i="1"/>
  <c r="AB44" i="1"/>
  <c r="AH43" i="1"/>
  <c r="AE43" i="1"/>
  <c r="AA43" i="1"/>
  <c r="Z42" i="1"/>
  <c r="AB42" i="1" s="1"/>
  <c r="AD41" i="1"/>
  <c r="AG41" i="1" s="1"/>
  <c r="AC41" i="1"/>
  <c r="Z41" i="1"/>
  <c r="Z161" i="1" s="1"/>
  <c r="AH39" i="1"/>
  <c r="AE39" i="1"/>
  <c r="AD39" i="1"/>
  <c r="AA39" i="1"/>
  <c r="Z39" i="1"/>
  <c r="AI38" i="1"/>
  <c r="AJ38" i="1" s="1"/>
  <c r="AG38" i="1"/>
  <c r="AF38" i="1"/>
  <c r="AC38" i="1"/>
  <c r="AB38" i="1"/>
  <c r="AI37" i="1"/>
  <c r="AJ37" i="1" s="1"/>
  <c r="AG37" i="1"/>
  <c r="AF37" i="1"/>
  <c r="AC37" i="1"/>
  <c r="AB37" i="1"/>
  <c r="AH36" i="1"/>
  <c r="AE36" i="1"/>
  <c r="AD36" i="1"/>
  <c r="AI36" i="1" s="1"/>
  <c r="AJ36" i="1" s="1"/>
  <c r="AA36" i="1"/>
  <c r="Z36" i="1"/>
  <c r="AB36" i="1" s="1"/>
  <c r="AI35" i="1"/>
  <c r="AJ35" i="1" s="1"/>
  <c r="AG35" i="1"/>
  <c r="AF35" i="1"/>
  <c r="AC35" i="1"/>
  <c r="AB35" i="1"/>
  <c r="AI34" i="1"/>
  <c r="AJ34" i="1" s="1"/>
  <c r="AG34" i="1"/>
  <c r="AF34" i="1"/>
  <c r="AC34" i="1"/>
  <c r="AB34" i="1"/>
  <c r="AH33" i="1"/>
  <c r="AE33" i="1"/>
  <c r="AD33" i="1"/>
  <c r="AG33" i="1" s="1"/>
  <c r="AA33" i="1"/>
  <c r="Z33" i="1"/>
  <c r="AI32" i="1"/>
  <c r="AJ32" i="1" s="1"/>
  <c r="AG32" i="1"/>
  <c r="AF32" i="1"/>
  <c r="AC32" i="1"/>
  <c r="AB32" i="1"/>
  <c r="AI31" i="1"/>
  <c r="AJ31" i="1" s="1"/>
  <c r="AG31" i="1"/>
  <c r="AF31" i="1"/>
  <c r="AC31" i="1"/>
  <c r="AB31" i="1"/>
  <c r="AH30" i="1"/>
  <c r="AE30" i="1"/>
  <c r="AD30" i="1"/>
  <c r="AA30" i="1"/>
  <c r="Z30" i="1"/>
  <c r="AI29" i="1"/>
  <c r="AJ29" i="1" s="1"/>
  <c r="AG29" i="1"/>
  <c r="AF29" i="1"/>
  <c r="AC29" i="1"/>
  <c r="AB29" i="1"/>
  <c r="AI28" i="1"/>
  <c r="AJ28" i="1" s="1"/>
  <c r="AG28" i="1"/>
  <c r="AF28" i="1"/>
  <c r="AC28" i="1"/>
  <c r="AB28" i="1"/>
  <c r="AH27" i="1"/>
  <c r="AE27" i="1"/>
  <c r="AA27" i="1"/>
  <c r="Z27" i="1"/>
  <c r="AI26" i="1"/>
  <c r="AJ26" i="1" s="1"/>
  <c r="AG26" i="1"/>
  <c r="AF26" i="1"/>
  <c r="AC26" i="1"/>
  <c r="AB26" i="1"/>
  <c r="AD25" i="1"/>
  <c r="AF25" i="1" s="1"/>
  <c r="AC25" i="1"/>
  <c r="AB25" i="1"/>
  <c r="AH23" i="1"/>
  <c r="AE23" i="1"/>
  <c r="AD23" i="1"/>
  <c r="AF23" i="1" s="1"/>
  <c r="AA23" i="1"/>
  <c r="Z23" i="1"/>
  <c r="AI22" i="1"/>
  <c r="AJ22" i="1" s="1"/>
  <c r="AG22" i="1"/>
  <c r="AF22" i="1"/>
  <c r="AC22" i="1"/>
  <c r="AB22" i="1"/>
  <c r="AI21" i="1"/>
  <c r="AJ21" i="1" s="1"/>
  <c r="AG21" i="1"/>
  <c r="AF21" i="1"/>
  <c r="AC21" i="1"/>
  <c r="AB21" i="1"/>
  <c r="AH20" i="1"/>
  <c r="AE20" i="1"/>
  <c r="AD20" i="1"/>
  <c r="AA20" i="1"/>
  <c r="Z20" i="1"/>
  <c r="AI19" i="1"/>
  <c r="AJ19" i="1" s="1"/>
  <c r="AG19" i="1"/>
  <c r="AF19" i="1"/>
  <c r="AC19" i="1"/>
  <c r="AB19" i="1"/>
  <c r="AI18" i="1"/>
  <c r="AJ18" i="1" s="1"/>
  <c r="AG18" i="1"/>
  <c r="AF18" i="1"/>
  <c r="AC18" i="1"/>
  <c r="AB18" i="1"/>
  <c r="AH17" i="1"/>
  <c r="AE17" i="1"/>
  <c r="AD17" i="1"/>
  <c r="AA17" i="1"/>
  <c r="Z17" i="1"/>
  <c r="AC17" i="1" s="1"/>
  <c r="AI16" i="1"/>
  <c r="AJ16" i="1" s="1"/>
  <c r="AG16" i="1"/>
  <c r="AF16" i="1"/>
  <c r="AC16" i="1"/>
  <c r="AB16" i="1"/>
  <c r="AI15" i="1"/>
  <c r="AJ15" i="1" s="1"/>
  <c r="AG15" i="1"/>
  <c r="AF15" i="1"/>
  <c r="AC15" i="1"/>
  <c r="AB15" i="1"/>
  <c r="AH14" i="1"/>
  <c r="AE14" i="1"/>
  <c r="AD14" i="1"/>
  <c r="AA14" i="1"/>
  <c r="Z14" i="1"/>
  <c r="AC14" i="1" s="1"/>
  <c r="AI13" i="1"/>
  <c r="AJ13" i="1" s="1"/>
  <c r="AG13" i="1"/>
  <c r="AF13" i="1"/>
  <c r="AC13" i="1"/>
  <c r="AB13" i="1"/>
  <c r="AI12" i="1"/>
  <c r="AJ12" i="1" s="1"/>
  <c r="AG12" i="1"/>
  <c r="AF12" i="1"/>
  <c r="AC12" i="1"/>
  <c r="AB12" i="1"/>
  <c r="W183" i="1"/>
  <c r="Y183" i="1" s="1"/>
  <c r="S183" i="1"/>
  <c r="W182" i="1"/>
  <c r="Y182" i="1" s="1"/>
  <c r="S182" i="1"/>
  <c r="P182" i="1"/>
  <c r="W180" i="1"/>
  <c r="Y180" i="1" s="1"/>
  <c r="T180" i="1"/>
  <c r="S180" i="1"/>
  <c r="P180" i="1"/>
  <c r="O180" i="1"/>
  <c r="W179" i="1"/>
  <c r="Y179" i="1" s="1"/>
  <c r="T179" i="1"/>
  <c r="S179" i="1"/>
  <c r="P179" i="1"/>
  <c r="O179" i="1"/>
  <c r="W177" i="1"/>
  <c r="Y177" i="1" s="1"/>
  <c r="T177" i="1"/>
  <c r="P177" i="1"/>
  <c r="W176" i="1"/>
  <c r="Y176" i="1" s="1"/>
  <c r="T176" i="1"/>
  <c r="P176" i="1"/>
  <c r="O176" i="1"/>
  <c r="W173" i="1"/>
  <c r="Y173" i="1" s="1"/>
  <c r="T173" i="1"/>
  <c r="S173" i="1"/>
  <c r="P173" i="1"/>
  <c r="O173" i="1"/>
  <c r="W172" i="1"/>
  <c r="Y172" i="1" s="1"/>
  <c r="T172" i="1"/>
  <c r="T174" i="1" s="1"/>
  <c r="T175" i="1" s="1"/>
  <c r="S172" i="1"/>
  <c r="P172" i="1"/>
  <c r="O172" i="1"/>
  <c r="W168" i="1"/>
  <c r="Y168" i="1" s="1"/>
  <c r="T168" i="1"/>
  <c r="S168" i="1"/>
  <c r="O168" i="1"/>
  <c r="W167" i="1"/>
  <c r="Y167" i="1" s="1"/>
  <c r="T167" i="1"/>
  <c r="S167" i="1"/>
  <c r="O167" i="1"/>
  <c r="W165" i="1"/>
  <c r="Y165" i="1" s="1"/>
  <c r="T165" i="1"/>
  <c r="P165" i="1"/>
  <c r="O165" i="1"/>
  <c r="W164" i="1"/>
  <c r="T164" i="1"/>
  <c r="P164" i="1"/>
  <c r="O164" i="1"/>
  <c r="W162" i="1"/>
  <c r="Y162" i="1" s="1"/>
  <c r="T162" i="1"/>
  <c r="P162" i="1"/>
  <c r="W161" i="1"/>
  <c r="Y161" i="1" s="1"/>
  <c r="T161" i="1"/>
  <c r="P161" i="1"/>
  <c r="O161" i="1"/>
  <c r="W158" i="1"/>
  <c r="Y158" i="1" s="1"/>
  <c r="T158" i="1"/>
  <c r="S158" i="1"/>
  <c r="P158" i="1"/>
  <c r="O158" i="1"/>
  <c r="W157" i="1"/>
  <c r="T157" i="1"/>
  <c r="S157" i="1"/>
  <c r="P157" i="1"/>
  <c r="O157" i="1"/>
  <c r="W155" i="1"/>
  <c r="Y155" i="1" s="1"/>
  <c r="T155" i="1"/>
  <c r="S155" i="1"/>
  <c r="P155" i="1"/>
  <c r="O155" i="1"/>
  <c r="W154" i="1"/>
  <c r="T154" i="1"/>
  <c r="T156" i="1" s="1"/>
  <c r="S154" i="1"/>
  <c r="P154" i="1"/>
  <c r="O154" i="1"/>
  <c r="W152" i="1"/>
  <c r="T152" i="1"/>
  <c r="S152" i="1"/>
  <c r="P152" i="1"/>
  <c r="O152" i="1"/>
  <c r="W151" i="1"/>
  <c r="Y151" i="1" s="1"/>
  <c r="T151" i="1"/>
  <c r="S151" i="1"/>
  <c r="P151" i="1"/>
  <c r="O151" i="1"/>
  <c r="W149" i="1"/>
  <c r="Y149" i="1" s="1"/>
  <c r="T149" i="1"/>
  <c r="S149" i="1"/>
  <c r="P149" i="1"/>
  <c r="O149" i="1"/>
  <c r="W148" i="1"/>
  <c r="T148" i="1"/>
  <c r="T150" i="1" s="1"/>
  <c r="S148" i="1"/>
  <c r="P148" i="1"/>
  <c r="O148" i="1"/>
  <c r="W146" i="1"/>
  <c r="Y146" i="1" s="1"/>
  <c r="T146" i="1"/>
  <c r="S146" i="1"/>
  <c r="P146" i="1"/>
  <c r="O146" i="1"/>
  <c r="W145" i="1"/>
  <c r="Y145" i="1" s="1"/>
  <c r="T145" i="1"/>
  <c r="O145" i="1"/>
  <c r="W142" i="1"/>
  <c r="Y142" i="1" s="1"/>
  <c r="T142" i="1"/>
  <c r="S142" i="1"/>
  <c r="P142" i="1"/>
  <c r="O142" i="1"/>
  <c r="W141" i="1"/>
  <c r="Y141" i="1" s="1"/>
  <c r="T141" i="1"/>
  <c r="S141" i="1"/>
  <c r="P141" i="1"/>
  <c r="O141" i="1"/>
  <c r="W139" i="1"/>
  <c r="Y139" i="1" s="1"/>
  <c r="T139" i="1"/>
  <c r="S139" i="1"/>
  <c r="P139" i="1"/>
  <c r="O139" i="1"/>
  <c r="W138" i="1"/>
  <c r="T138" i="1"/>
  <c r="S138" i="1"/>
  <c r="P138" i="1"/>
  <c r="O138" i="1"/>
  <c r="W136" i="1"/>
  <c r="Y136" i="1" s="1"/>
  <c r="T136" i="1"/>
  <c r="S136" i="1"/>
  <c r="O136" i="1"/>
  <c r="W135" i="1"/>
  <c r="Y135" i="1" s="1"/>
  <c r="T135" i="1"/>
  <c r="S135" i="1"/>
  <c r="O135" i="1"/>
  <c r="O137" i="1" s="1"/>
  <c r="W133" i="1"/>
  <c r="Y133" i="1" s="1"/>
  <c r="T133" i="1"/>
  <c r="S133" i="1"/>
  <c r="O133" i="1"/>
  <c r="W132" i="1"/>
  <c r="Y132" i="1" s="1"/>
  <c r="T132" i="1"/>
  <c r="T134" i="1" s="1"/>
  <c r="S132" i="1"/>
  <c r="O132" i="1"/>
  <c r="W127" i="1"/>
  <c r="T127" i="1"/>
  <c r="S127" i="1"/>
  <c r="U127" i="1" s="1"/>
  <c r="X126" i="1"/>
  <c r="Y126" i="1" s="1"/>
  <c r="V126" i="1"/>
  <c r="U126" i="1"/>
  <c r="P126" i="1"/>
  <c r="R126" i="1" s="1"/>
  <c r="X125" i="1"/>
  <c r="Y125" i="1" s="1"/>
  <c r="V125" i="1"/>
  <c r="U125" i="1"/>
  <c r="Q125" i="1"/>
  <c r="P125" i="1"/>
  <c r="W124" i="1"/>
  <c r="T124" i="1"/>
  <c r="S124" i="1"/>
  <c r="U124" i="1" s="1"/>
  <c r="P124" i="1"/>
  <c r="O124" i="1"/>
  <c r="X123" i="1"/>
  <c r="Y123" i="1" s="1"/>
  <c r="V123" i="1"/>
  <c r="U123" i="1"/>
  <c r="R123" i="1"/>
  <c r="Q123" i="1"/>
  <c r="X122" i="1"/>
  <c r="Y122" i="1" s="1"/>
  <c r="V122" i="1"/>
  <c r="U122" i="1"/>
  <c r="R122" i="1"/>
  <c r="Q122" i="1"/>
  <c r="W121" i="1"/>
  <c r="T121" i="1"/>
  <c r="S121" i="1"/>
  <c r="P121" i="1"/>
  <c r="O121" i="1"/>
  <c r="Q121" i="1" s="1"/>
  <c r="X120" i="1"/>
  <c r="Y120" i="1" s="1"/>
  <c r="V120" i="1"/>
  <c r="U120" i="1"/>
  <c r="R120" i="1"/>
  <c r="Q120" i="1"/>
  <c r="X119" i="1"/>
  <c r="Y119" i="1" s="1"/>
  <c r="V119" i="1"/>
  <c r="U119" i="1"/>
  <c r="R119" i="1"/>
  <c r="Q119" i="1"/>
  <c r="W117" i="1"/>
  <c r="W118" i="1" s="1"/>
  <c r="T117" i="1"/>
  <c r="T118" i="1" s="1"/>
  <c r="S117" i="1"/>
  <c r="P117" i="1"/>
  <c r="P118" i="1" s="1"/>
  <c r="O117" i="1"/>
  <c r="R117" i="1" s="1"/>
  <c r="X116" i="1"/>
  <c r="Y116" i="1" s="1"/>
  <c r="V116" i="1"/>
  <c r="U116" i="1"/>
  <c r="R116" i="1"/>
  <c r="Q116" i="1"/>
  <c r="X115" i="1"/>
  <c r="Y115" i="1" s="1"/>
  <c r="V115" i="1"/>
  <c r="U115" i="1"/>
  <c r="R115" i="1"/>
  <c r="Q115" i="1"/>
  <c r="W112" i="1"/>
  <c r="T112" i="1"/>
  <c r="S112" i="1"/>
  <c r="U112" i="1" s="1"/>
  <c r="O112" i="1"/>
  <c r="X111" i="1"/>
  <c r="Y111" i="1" s="1"/>
  <c r="V111" i="1"/>
  <c r="U111" i="1"/>
  <c r="P111" i="1"/>
  <c r="X110" i="1"/>
  <c r="Y110" i="1" s="1"/>
  <c r="V110" i="1"/>
  <c r="U110" i="1"/>
  <c r="P110" i="1"/>
  <c r="Q110" i="1" s="1"/>
  <c r="W109" i="1"/>
  <c r="T109" i="1"/>
  <c r="S109" i="1"/>
  <c r="P109" i="1"/>
  <c r="O109" i="1"/>
  <c r="X108" i="1"/>
  <c r="Y108" i="1" s="1"/>
  <c r="V108" i="1"/>
  <c r="U108" i="1"/>
  <c r="R108" i="1"/>
  <c r="Q108" i="1"/>
  <c r="X107" i="1"/>
  <c r="Y107" i="1" s="1"/>
  <c r="V107" i="1"/>
  <c r="U107" i="1"/>
  <c r="R107" i="1"/>
  <c r="Q107" i="1"/>
  <c r="W106" i="1"/>
  <c r="T106" i="1"/>
  <c r="S106" i="1"/>
  <c r="V106" i="1" s="1"/>
  <c r="P106" i="1"/>
  <c r="O106" i="1"/>
  <c r="Q106" i="1" s="1"/>
  <c r="X105" i="1"/>
  <c r="Y105" i="1" s="1"/>
  <c r="V105" i="1"/>
  <c r="U105" i="1"/>
  <c r="R105" i="1"/>
  <c r="Q105" i="1"/>
  <c r="X104" i="1"/>
  <c r="Y104" i="1" s="1"/>
  <c r="V104" i="1"/>
  <c r="U104" i="1"/>
  <c r="R104" i="1"/>
  <c r="Q104" i="1"/>
  <c r="W102" i="1"/>
  <c r="T102" i="1"/>
  <c r="S102" i="1"/>
  <c r="X102" i="1" s="1"/>
  <c r="Y102" i="1" s="1"/>
  <c r="P102" i="1"/>
  <c r="O102" i="1"/>
  <c r="R102" i="1" s="1"/>
  <c r="X101" i="1"/>
  <c r="Y101" i="1" s="1"/>
  <c r="V101" i="1"/>
  <c r="U101" i="1"/>
  <c r="R101" i="1"/>
  <c r="Q101" i="1"/>
  <c r="X100" i="1"/>
  <c r="Y100" i="1" s="1"/>
  <c r="V100" i="1"/>
  <c r="U100" i="1"/>
  <c r="R100" i="1"/>
  <c r="Q100" i="1"/>
  <c r="W99" i="1"/>
  <c r="T99" i="1"/>
  <c r="S99" i="1"/>
  <c r="P99" i="1"/>
  <c r="O99" i="1"/>
  <c r="X98" i="1"/>
  <c r="Y98" i="1" s="1"/>
  <c r="V98" i="1"/>
  <c r="U98" i="1"/>
  <c r="R98" i="1"/>
  <c r="Q98" i="1"/>
  <c r="X97" i="1"/>
  <c r="Y97" i="1" s="1"/>
  <c r="V97" i="1"/>
  <c r="U97" i="1"/>
  <c r="R97" i="1"/>
  <c r="Q97" i="1"/>
  <c r="W96" i="1"/>
  <c r="T96" i="1"/>
  <c r="S96" i="1"/>
  <c r="P96" i="1"/>
  <c r="O96" i="1"/>
  <c r="X95" i="1"/>
  <c r="Y95" i="1" s="1"/>
  <c r="V95" i="1"/>
  <c r="U95" i="1"/>
  <c r="R95" i="1"/>
  <c r="Q95" i="1"/>
  <c r="X94" i="1"/>
  <c r="Y94" i="1" s="1"/>
  <c r="V94" i="1"/>
  <c r="U94" i="1"/>
  <c r="R94" i="1"/>
  <c r="Q94" i="1"/>
  <c r="W93" i="1"/>
  <c r="T93" i="1"/>
  <c r="S93" i="1"/>
  <c r="P93" i="1"/>
  <c r="O93" i="1"/>
  <c r="X92" i="1"/>
  <c r="Y92" i="1" s="1"/>
  <c r="V92" i="1"/>
  <c r="U92" i="1"/>
  <c r="R92" i="1"/>
  <c r="Q92" i="1"/>
  <c r="X91" i="1"/>
  <c r="Y91" i="1" s="1"/>
  <c r="V91" i="1"/>
  <c r="U91" i="1"/>
  <c r="R91" i="1"/>
  <c r="Q91" i="1"/>
  <c r="W90" i="1"/>
  <c r="T90" i="1"/>
  <c r="S90" i="1"/>
  <c r="U90" i="1" s="1"/>
  <c r="O90" i="1"/>
  <c r="X89" i="1"/>
  <c r="Y89" i="1" s="1"/>
  <c r="V89" i="1"/>
  <c r="U89" i="1"/>
  <c r="R89" i="1"/>
  <c r="Q89" i="1"/>
  <c r="X88" i="1"/>
  <c r="Y88" i="1" s="1"/>
  <c r="V88" i="1"/>
  <c r="U88" i="1"/>
  <c r="P88" i="1"/>
  <c r="P90" i="1" s="1"/>
  <c r="W86" i="1"/>
  <c r="T86" i="1"/>
  <c r="S86" i="1"/>
  <c r="V86" i="1" s="1"/>
  <c r="P86" i="1"/>
  <c r="O86" i="1"/>
  <c r="X85" i="1"/>
  <c r="Y85" i="1" s="1"/>
  <c r="V85" i="1"/>
  <c r="U85" i="1"/>
  <c r="R85" i="1"/>
  <c r="Q85" i="1"/>
  <c r="X84" i="1"/>
  <c r="Y84" i="1" s="1"/>
  <c r="V84" i="1"/>
  <c r="U84" i="1"/>
  <c r="R84" i="1"/>
  <c r="Q84" i="1"/>
  <c r="W83" i="1"/>
  <c r="T83" i="1"/>
  <c r="S83" i="1"/>
  <c r="P83" i="1"/>
  <c r="O83" i="1"/>
  <c r="X82" i="1"/>
  <c r="Y82" i="1" s="1"/>
  <c r="V82" i="1"/>
  <c r="U82" i="1"/>
  <c r="R82" i="1"/>
  <c r="Q82" i="1"/>
  <c r="X81" i="1"/>
  <c r="Y81" i="1" s="1"/>
  <c r="V81" i="1"/>
  <c r="U81" i="1"/>
  <c r="R81" i="1"/>
  <c r="Q81" i="1"/>
  <c r="W80" i="1"/>
  <c r="T80" i="1"/>
  <c r="S80" i="1"/>
  <c r="O80" i="1"/>
  <c r="X79" i="1"/>
  <c r="Y79" i="1" s="1"/>
  <c r="V79" i="1"/>
  <c r="U79" i="1"/>
  <c r="P79" i="1"/>
  <c r="P136" i="1" s="1"/>
  <c r="X78" i="1"/>
  <c r="Y78" i="1" s="1"/>
  <c r="V78" i="1"/>
  <c r="U78" i="1"/>
  <c r="P78" i="1"/>
  <c r="R78" i="1" s="1"/>
  <c r="W77" i="1"/>
  <c r="T77" i="1"/>
  <c r="S77" i="1"/>
  <c r="O77" i="1"/>
  <c r="X76" i="1"/>
  <c r="Y76" i="1" s="1"/>
  <c r="V76" i="1"/>
  <c r="U76" i="1"/>
  <c r="P76" i="1"/>
  <c r="P133" i="1" s="1"/>
  <c r="X75" i="1"/>
  <c r="Y75" i="1" s="1"/>
  <c r="V75" i="1"/>
  <c r="U75" i="1"/>
  <c r="P75" i="1"/>
  <c r="R75" i="1" s="1"/>
  <c r="X72" i="1"/>
  <c r="Y72" i="1" s="1"/>
  <c r="V72" i="1"/>
  <c r="U72" i="1"/>
  <c r="R72" i="1"/>
  <c r="Q72" i="1"/>
  <c r="X71" i="1"/>
  <c r="Y71" i="1" s="1"/>
  <c r="V71" i="1"/>
  <c r="U71" i="1"/>
  <c r="R71" i="1"/>
  <c r="Q71" i="1"/>
  <c r="X70" i="1"/>
  <c r="Y70" i="1" s="1"/>
  <c r="V70" i="1"/>
  <c r="U70" i="1"/>
  <c r="R70" i="1"/>
  <c r="Q70" i="1"/>
  <c r="W69" i="1"/>
  <c r="T69" i="1"/>
  <c r="S69" i="1"/>
  <c r="P69" i="1"/>
  <c r="O69" i="1"/>
  <c r="R69" i="1" s="1"/>
  <c r="X68" i="1"/>
  <c r="Y68" i="1" s="1"/>
  <c r="V68" i="1"/>
  <c r="U68" i="1"/>
  <c r="R68" i="1"/>
  <c r="Q68" i="1"/>
  <c r="W67" i="1"/>
  <c r="T67" i="1"/>
  <c r="S67" i="1"/>
  <c r="P67" i="1"/>
  <c r="O67" i="1"/>
  <c r="W64" i="1"/>
  <c r="T64" i="1"/>
  <c r="S64" i="1"/>
  <c r="X63" i="1"/>
  <c r="Y63" i="1" s="1"/>
  <c r="V63" i="1"/>
  <c r="U63" i="1"/>
  <c r="T63" i="1"/>
  <c r="T183" i="1" s="1"/>
  <c r="P63" i="1"/>
  <c r="O63" i="1"/>
  <c r="Q63" i="1" s="1"/>
  <c r="X62" i="1"/>
  <c r="Y62" i="1" s="1"/>
  <c r="T62" i="1"/>
  <c r="T182" i="1" s="1"/>
  <c r="P62" i="1"/>
  <c r="P64" i="1" s="1"/>
  <c r="O62" i="1"/>
  <c r="R62" i="1" s="1"/>
  <c r="W61" i="1"/>
  <c r="T61" i="1"/>
  <c r="S61" i="1"/>
  <c r="P61" i="1"/>
  <c r="O61" i="1"/>
  <c r="X60" i="1"/>
  <c r="Y60" i="1" s="1"/>
  <c r="V60" i="1"/>
  <c r="U60" i="1"/>
  <c r="R60" i="1"/>
  <c r="Q60" i="1"/>
  <c r="X59" i="1"/>
  <c r="Y59" i="1" s="1"/>
  <c r="V59" i="1"/>
  <c r="U59" i="1"/>
  <c r="R59" i="1"/>
  <c r="Q59" i="1"/>
  <c r="W58" i="1"/>
  <c r="T58" i="1"/>
  <c r="P58" i="1"/>
  <c r="X57" i="1"/>
  <c r="Y57" i="1" s="1"/>
  <c r="V57" i="1"/>
  <c r="U57" i="1"/>
  <c r="S57" i="1"/>
  <c r="S177" i="1" s="1"/>
  <c r="O57" i="1"/>
  <c r="O177" i="1" s="1"/>
  <c r="X56" i="1"/>
  <c r="Y56" i="1" s="1"/>
  <c r="V56" i="1"/>
  <c r="U56" i="1"/>
  <c r="S56" i="1"/>
  <c r="S176" i="1" s="1"/>
  <c r="R56" i="1"/>
  <c r="Q56" i="1"/>
  <c r="O56" i="1"/>
  <c r="W54" i="1"/>
  <c r="W55" i="1" s="1"/>
  <c r="T54" i="1"/>
  <c r="S54" i="1"/>
  <c r="S55" i="1" s="1"/>
  <c r="P54" i="1"/>
  <c r="P55" i="1" s="1"/>
  <c r="O54" i="1"/>
  <c r="R54" i="1" s="1"/>
  <c r="X53" i="1"/>
  <c r="Y53" i="1" s="1"/>
  <c r="V53" i="1"/>
  <c r="U53" i="1"/>
  <c r="R53" i="1"/>
  <c r="Q53" i="1"/>
  <c r="X52" i="1"/>
  <c r="Y52" i="1" s="1"/>
  <c r="V52" i="1"/>
  <c r="U52" i="1"/>
  <c r="R52" i="1"/>
  <c r="Q52" i="1"/>
  <c r="W49" i="1"/>
  <c r="T49" i="1"/>
  <c r="S49" i="1"/>
  <c r="P49" i="1"/>
  <c r="O49" i="1"/>
  <c r="X48" i="1"/>
  <c r="Y48" i="1" s="1"/>
  <c r="V48" i="1"/>
  <c r="U48" i="1"/>
  <c r="R48" i="1"/>
  <c r="P48" i="1"/>
  <c r="Q48" i="1" s="1"/>
  <c r="X47" i="1"/>
  <c r="Y47" i="1" s="1"/>
  <c r="V47" i="1"/>
  <c r="U47" i="1"/>
  <c r="P47" i="1"/>
  <c r="R47" i="1" s="1"/>
  <c r="W46" i="1"/>
  <c r="T46" i="1"/>
  <c r="P46" i="1"/>
  <c r="O46" i="1"/>
  <c r="R45" i="1"/>
  <c r="Q45" i="1"/>
  <c r="S44" i="1"/>
  <c r="S164" i="1" s="1"/>
  <c r="R44" i="1"/>
  <c r="Q44" i="1"/>
  <c r="W43" i="1"/>
  <c r="T43" i="1"/>
  <c r="P43" i="1"/>
  <c r="O42" i="1"/>
  <c r="S41" i="1"/>
  <c r="U41" i="1" s="1"/>
  <c r="R41" i="1"/>
  <c r="Q41" i="1"/>
  <c r="O41" i="1"/>
  <c r="W39" i="1"/>
  <c r="T39" i="1"/>
  <c r="S39" i="1"/>
  <c r="P39" i="1"/>
  <c r="O39" i="1"/>
  <c r="X38" i="1"/>
  <c r="Y38" i="1" s="1"/>
  <c r="V38" i="1"/>
  <c r="U38" i="1"/>
  <c r="R38" i="1"/>
  <c r="Q38" i="1"/>
  <c r="X37" i="1"/>
  <c r="Y37" i="1" s="1"/>
  <c r="V37" i="1"/>
  <c r="U37" i="1"/>
  <c r="R37" i="1"/>
  <c r="Q37" i="1"/>
  <c r="W36" i="1"/>
  <c r="T36" i="1"/>
  <c r="S36" i="1"/>
  <c r="V36" i="1" s="1"/>
  <c r="P36" i="1"/>
  <c r="O36" i="1"/>
  <c r="X35" i="1"/>
  <c r="Y35" i="1" s="1"/>
  <c r="V35" i="1"/>
  <c r="U35" i="1"/>
  <c r="R35" i="1"/>
  <c r="Q35" i="1"/>
  <c r="X34" i="1"/>
  <c r="Y34" i="1" s="1"/>
  <c r="V34" i="1"/>
  <c r="U34" i="1"/>
  <c r="R34" i="1"/>
  <c r="Q34" i="1"/>
  <c r="W33" i="1"/>
  <c r="T33" i="1"/>
  <c r="S33" i="1"/>
  <c r="P33" i="1"/>
  <c r="O33" i="1"/>
  <c r="Q33" i="1" s="1"/>
  <c r="X32" i="1"/>
  <c r="Y32" i="1" s="1"/>
  <c r="V32" i="1"/>
  <c r="U32" i="1"/>
  <c r="R32" i="1"/>
  <c r="Q32" i="1"/>
  <c r="X31" i="1"/>
  <c r="Y31" i="1" s="1"/>
  <c r="V31" i="1"/>
  <c r="U31" i="1"/>
  <c r="R31" i="1"/>
  <c r="Q31" i="1"/>
  <c r="W30" i="1"/>
  <c r="T30" i="1"/>
  <c r="S30" i="1"/>
  <c r="U30" i="1" s="1"/>
  <c r="P30" i="1"/>
  <c r="O30" i="1"/>
  <c r="X29" i="1"/>
  <c r="Y29" i="1" s="1"/>
  <c r="V29" i="1"/>
  <c r="U29" i="1"/>
  <c r="R29" i="1"/>
  <c r="Q29" i="1"/>
  <c r="X28" i="1"/>
  <c r="Y28" i="1" s="1"/>
  <c r="V28" i="1"/>
  <c r="U28" i="1"/>
  <c r="R28" i="1"/>
  <c r="Q28" i="1"/>
  <c r="W27" i="1"/>
  <c r="T27" i="1"/>
  <c r="P27" i="1"/>
  <c r="O27" i="1"/>
  <c r="X26" i="1"/>
  <c r="Y26" i="1" s="1"/>
  <c r="V26" i="1"/>
  <c r="U26" i="1"/>
  <c r="R26" i="1"/>
  <c r="Q26" i="1"/>
  <c r="S25" i="1"/>
  <c r="U25" i="1" s="1"/>
  <c r="R25" i="1"/>
  <c r="Q25" i="1"/>
  <c r="W23" i="1"/>
  <c r="T23" i="1"/>
  <c r="S23" i="1"/>
  <c r="X23" i="1" s="1"/>
  <c r="Y23" i="1" s="1"/>
  <c r="P23" i="1"/>
  <c r="O23" i="1"/>
  <c r="R23" i="1" s="1"/>
  <c r="X22" i="1"/>
  <c r="Y22" i="1" s="1"/>
  <c r="V22" i="1"/>
  <c r="U22" i="1"/>
  <c r="R22" i="1"/>
  <c r="Q22" i="1"/>
  <c r="X21" i="1"/>
  <c r="Y21" i="1" s="1"/>
  <c r="V21" i="1"/>
  <c r="U21" i="1"/>
  <c r="R21" i="1"/>
  <c r="Q21" i="1"/>
  <c r="W20" i="1"/>
  <c r="T20" i="1"/>
  <c r="S20" i="1"/>
  <c r="V20" i="1" s="1"/>
  <c r="P20" i="1"/>
  <c r="O20" i="1"/>
  <c r="X19" i="1"/>
  <c r="Y19" i="1" s="1"/>
  <c r="V19" i="1"/>
  <c r="U19" i="1"/>
  <c r="R19" i="1"/>
  <c r="Q19" i="1"/>
  <c r="X18" i="1"/>
  <c r="Y18" i="1" s="1"/>
  <c r="V18" i="1"/>
  <c r="U18" i="1"/>
  <c r="R18" i="1"/>
  <c r="Q18" i="1"/>
  <c r="W17" i="1"/>
  <c r="T17" i="1"/>
  <c r="S17" i="1"/>
  <c r="P17" i="1"/>
  <c r="O17" i="1"/>
  <c r="X16" i="1"/>
  <c r="Y16" i="1" s="1"/>
  <c r="V16" i="1"/>
  <c r="U16" i="1"/>
  <c r="R16" i="1"/>
  <c r="Q16" i="1"/>
  <c r="X15" i="1"/>
  <c r="Y15" i="1" s="1"/>
  <c r="V15" i="1"/>
  <c r="U15" i="1"/>
  <c r="R15" i="1"/>
  <c r="Q15" i="1"/>
  <c r="W14" i="1"/>
  <c r="T14" i="1"/>
  <c r="S14" i="1"/>
  <c r="P14" i="1"/>
  <c r="O14" i="1"/>
  <c r="X13" i="1"/>
  <c r="Y13" i="1" s="1"/>
  <c r="V13" i="1"/>
  <c r="U13" i="1"/>
  <c r="R13" i="1"/>
  <c r="Q13" i="1"/>
  <c r="X12" i="1"/>
  <c r="Y12" i="1" s="1"/>
  <c r="V12" i="1"/>
  <c r="U12" i="1"/>
  <c r="R12" i="1"/>
  <c r="Q12" i="1"/>
  <c r="F12" i="1"/>
  <c r="G12" i="1"/>
  <c r="J12" i="1"/>
  <c r="K12" i="1"/>
  <c r="M12" i="1"/>
  <c r="N12" i="1"/>
  <c r="F13" i="1"/>
  <c r="G13" i="1"/>
  <c r="J13" i="1"/>
  <c r="K13" i="1"/>
  <c r="M13" i="1"/>
  <c r="N13" i="1" s="1"/>
  <c r="D14" i="1"/>
  <c r="F14" i="1" s="1"/>
  <c r="E14" i="1"/>
  <c r="H14" i="1"/>
  <c r="I14" i="1"/>
  <c r="K14" i="1" s="1"/>
  <c r="J14" i="1"/>
  <c r="L14" i="1"/>
  <c r="F15" i="1"/>
  <c r="G15" i="1"/>
  <c r="J15" i="1"/>
  <c r="K15" i="1"/>
  <c r="M15" i="1"/>
  <c r="N15" i="1"/>
  <c r="F16" i="1"/>
  <c r="G16" i="1"/>
  <c r="J16" i="1"/>
  <c r="K16" i="1"/>
  <c r="M16" i="1"/>
  <c r="N16" i="1"/>
  <c r="D17" i="1"/>
  <c r="E17" i="1"/>
  <c r="H17" i="1"/>
  <c r="I17" i="1"/>
  <c r="L17" i="1"/>
  <c r="F18" i="1"/>
  <c r="G18" i="1"/>
  <c r="J18" i="1"/>
  <c r="K18" i="1"/>
  <c r="M18" i="1"/>
  <c r="N18" i="1"/>
  <c r="F19" i="1"/>
  <c r="G19" i="1"/>
  <c r="J19" i="1"/>
  <c r="K19" i="1"/>
  <c r="M19" i="1"/>
  <c r="N19" i="1"/>
  <c r="D20" i="1"/>
  <c r="E20" i="1"/>
  <c r="H20" i="1"/>
  <c r="I20" i="1"/>
  <c r="L20" i="1"/>
  <c r="F21" i="1"/>
  <c r="G21" i="1"/>
  <c r="J21" i="1"/>
  <c r="K21" i="1"/>
  <c r="M21" i="1"/>
  <c r="N21" i="1" s="1"/>
  <c r="F22" i="1"/>
  <c r="G22" i="1"/>
  <c r="J22" i="1"/>
  <c r="K22" i="1"/>
  <c r="M22" i="1"/>
  <c r="N22" i="1" s="1"/>
  <c r="D23" i="1"/>
  <c r="E23" i="1"/>
  <c r="H23" i="1"/>
  <c r="I23" i="1"/>
  <c r="L23" i="1"/>
  <c r="F25" i="1"/>
  <c r="G25" i="1"/>
  <c r="H25" i="1"/>
  <c r="H27" i="1" s="1"/>
  <c r="F26" i="1"/>
  <c r="G26" i="1"/>
  <c r="J26" i="1"/>
  <c r="K26" i="1"/>
  <c r="M26" i="1"/>
  <c r="N26" i="1" s="1"/>
  <c r="D27" i="1"/>
  <c r="E27" i="1"/>
  <c r="I27" i="1"/>
  <c r="L27" i="1"/>
  <c r="F28" i="1"/>
  <c r="G28" i="1"/>
  <c r="J28" i="1"/>
  <c r="K28" i="1"/>
  <c r="M28" i="1"/>
  <c r="N28" i="1" s="1"/>
  <c r="F29" i="1"/>
  <c r="G29" i="1"/>
  <c r="J29" i="1"/>
  <c r="K29" i="1"/>
  <c r="M29" i="1"/>
  <c r="N29" i="1"/>
  <c r="D30" i="1"/>
  <c r="E30" i="1"/>
  <c r="H30" i="1"/>
  <c r="I30" i="1"/>
  <c r="L30" i="1"/>
  <c r="F31" i="1"/>
  <c r="G31" i="1"/>
  <c r="J31" i="1"/>
  <c r="K31" i="1"/>
  <c r="M31" i="1"/>
  <c r="N31" i="1" s="1"/>
  <c r="F32" i="1"/>
  <c r="G32" i="1"/>
  <c r="J32" i="1"/>
  <c r="K32" i="1"/>
  <c r="M32" i="1"/>
  <c r="N32" i="1" s="1"/>
  <c r="D33" i="1"/>
  <c r="E33" i="1"/>
  <c r="F33" i="1"/>
  <c r="H33" i="1"/>
  <c r="I33" i="1"/>
  <c r="K33" i="1" s="1"/>
  <c r="J33" i="1"/>
  <c r="L33" i="1"/>
  <c r="F34" i="1"/>
  <c r="G34" i="1"/>
  <c r="J34" i="1"/>
  <c r="K34" i="1"/>
  <c r="M34" i="1"/>
  <c r="N34" i="1"/>
  <c r="F35" i="1"/>
  <c r="G35" i="1"/>
  <c r="J35" i="1"/>
  <c r="K35" i="1"/>
  <c r="M35" i="1"/>
  <c r="N35" i="1"/>
  <c r="D36" i="1"/>
  <c r="G36" i="1" s="1"/>
  <c r="E36" i="1"/>
  <c r="H36" i="1"/>
  <c r="I36" i="1"/>
  <c r="L36" i="1"/>
  <c r="F37" i="1"/>
  <c r="G37" i="1"/>
  <c r="J37" i="1"/>
  <c r="K37" i="1"/>
  <c r="M37" i="1"/>
  <c r="N37" i="1" s="1"/>
  <c r="F38" i="1"/>
  <c r="G38" i="1"/>
  <c r="J38" i="1"/>
  <c r="K38" i="1"/>
  <c r="M38" i="1"/>
  <c r="N38" i="1"/>
  <c r="D39" i="1"/>
  <c r="E39" i="1"/>
  <c r="G39" i="1"/>
  <c r="H39" i="1"/>
  <c r="I39" i="1"/>
  <c r="L39" i="1"/>
  <c r="D41" i="1"/>
  <c r="F41" i="1"/>
  <c r="G41" i="1"/>
  <c r="H41" i="1"/>
  <c r="J41" i="1" s="1"/>
  <c r="D42" i="1"/>
  <c r="G42" i="1" s="1"/>
  <c r="F42" i="1"/>
  <c r="E43" i="1"/>
  <c r="I43" i="1"/>
  <c r="L43" i="1"/>
  <c r="F44" i="1"/>
  <c r="G44" i="1"/>
  <c r="F45" i="1"/>
  <c r="G45" i="1"/>
  <c r="H45" i="1"/>
  <c r="J45" i="1" s="1"/>
  <c r="K45" i="1"/>
  <c r="M45" i="1"/>
  <c r="N45" i="1"/>
  <c r="D46" i="1"/>
  <c r="E46" i="1"/>
  <c r="I46" i="1"/>
  <c r="L46" i="1"/>
  <c r="E47" i="1"/>
  <c r="F47" i="1" s="1"/>
  <c r="G47" i="1"/>
  <c r="J47" i="1"/>
  <c r="K47" i="1"/>
  <c r="M47" i="1"/>
  <c r="N47" i="1" s="1"/>
  <c r="E48" i="1"/>
  <c r="F48" i="1"/>
  <c r="G48" i="1"/>
  <c r="J48" i="1"/>
  <c r="K48" i="1"/>
  <c r="M48" i="1"/>
  <c r="N48" i="1" s="1"/>
  <c r="D49" i="1"/>
  <c r="H49" i="1"/>
  <c r="I49" i="1"/>
  <c r="L49" i="1"/>
  <c r="F52" i="1"/>
  <c r="G52" i="1"/>
  <c r="J52" i="1"/>
  <c r="K52" i="1"/>
  <c r="M52" i="1"/>
  <c r="N52" i="1" s="1"/>
  <c r="F53" i="1"/>
  <c r="G53" i="1"/>
  <c r="J53" i="1"/>
  <c r="K53" i="1"/>
  <c r="M53" i="1"/>
  <c r="N53" i="1" s="1"/>
  <c r="D54" i="1"/>
  <c r="E54" i="1"/>
  <c r="F54" i="1" s="1"/>
  <c r="H54" i="1"/>
  <c r="H55" i="1" s="1"/>
  <c r="I54" i="1"/>
  <c r="I55" i="1" s="1"/>
  <c r="J54" i="1"/>
  <c r="K54" i="1"/>
  <c r="L54" i="1"/>
  <c r="L55" i="1" s="1"/>
  <c r="M54" i="1"/>
  <c r="N54" i="1"/>
  <c r="D55" i="1"/>
  <c r="G55" i="1" s="1"/>
  <c r="E55" i="1"/>
  <c r="D56" i="1"/>
  <c r="F56" i="1"/>
  <c r="G56" i="1"/>
  <c r="H56" i="1"/>
  <c r="H58" i="1" s="1"/>
  <c r="J56" i="1"/>
  <c r="K56" i="1"/>
  <c r="M56" i="1"/>
  <c r="N56" i="1" s="1"/>
  <c r="D57" i="1"/>
  <c r="D177" i="1" s="1"/>
  <c r="F57" i="1"/>
  <c r="G57" i="1"/>
  <c r="H57" i="1"/>
  <c r="J57" i="1"/>
  <c r="E58" i="1"/>
  <c r="I58" i="1"/>
  <c r="L58" i="1"/>
  <c r="F59" i="1"/>
  <c r="G59" i="1"/>
  <c r="J59" i="1"/>
  <c r="K59" i="1"/>
  <c r="M59" i="1"/>
  <c r="N59" i="1" s="1"/>
  <c r="F60" i="1"/>
  <c r="G60" i="1"/>
  <c r="J60" i="1"/>
  <c r="K60" i="1"/>
  <c r="M60" i="1"/>
  <c r="N60" i="1" s="1"/>
  <c r="D61" i="1"/>
  <c r="E61" i="1"/>
  <c r="F61" i="1"/>
  <c r="H61" i="1"/>
  <c r="I61" i="1"/>
  <c r="L61" i="1"/>
  <c r="M61" i="1"/>
  <c r="N61" i="1"/>
  <c r="D62" i="1"/>
  <c r="E62" i="1"/>
  <c r="E64" i="1" s="1"/>
  <c r="E65" i="1" s="1"/>
  <c r="F62" i="1"/>
  <c r="I62" i="1"/>
  <c r="I64" i="1" s="1"/>
  <c r="I65" i="1" s="1"/>
  <c r="J62" i="1"/>
  <c r="K62" i="1"/>
  <c r="M62" i="1"/>
  <c r="N62" i="1" s="1"/>
  <c r="D63" i="1"/>
  <c r="D183" i="1" s="1"/>
  <c r="E63" i="1"/>
  <c r="I63" i="1"/>
  <c r="I183" i="1" s="1"/>
  <c r="J63" i="1"/>
  <c r="K63" i="1"/>
  <c r="M63" i="1"/>
  <c r="N63" i="1" s="1"/>
  <c r="H64" i="1"/>
  <c r="L64" i="1"/>
  <c r="D67" i="1"/>
  <c r="E67" i="1"/>
  <c r="H67" i="1"/>
  <c r="I67" i="1"/>
  <c r="L67" i="1"/>
  <c r="F68" i="1"/>
  <c r="G68" i="1"/>
  <c r="J68" i="1"/>
  <c r="K68" i="1"/>
  <c r="M68" i="1"/>
  <c r="N68" i="1" s="1"/>
  <c r="D69" i="1"/>
  <c r="E69" i="1"/>
  <c r="H69" i="1"/>
  <c r="I69" i="1"/>
  <c r="L69" i="1"/>
  <c r="F70" i="1"/>
  <c r="G70" i="1"/>
  <c r="J70" i="1"/>
  <c r="K70" i="1"/>
  <c r="M70" i="1"/>
  <c r="N70" i="1"/>
  <c r="F71" i="1"/>
  <c r="G71" i="1"/>
  <c r="J71" i="1"/>
  <c r="K71" i="1"/>
  <c r="M71" i="1"/>
  <c r="N71" i="1"/>
  <c r="F72" i="1"/>
  <c r="G72" i="1"/>
  <c r="J72" i="1"/>
  <c r="K72" i="1"/>
  <c r="M72" i="1"/>
  <c r="N72" i="1" s="1"/>
  <c r="B75" i="1"/>
  <c r="C75" i="1"/>
  <c r="E75" i="1"/>
  <c r="F75" i="1" s="1"/>
  <c r="G75" i="1"/>
  <c r="J75" i="1"/>
  <c r="K75" i="1"/>
  <c r="M75" i="1"/>
  <c r="N75" i="1"/>
  <c r="B76" i="1"/>
  <c r="C76" i="1"/>
  <c r="E76" i="1"/>
  <c r="E133" i="1" s="1"/>
  <c r="J76" i="1"/>
  <c r="K76" i="1"/>
  <c r="M76" i="1"/>
  <c r="N76" i="1" s="1"/>
  <c r="B77" i="1"/>
  <c r="C77" i="1"/>
  <c r="D77" i="1"/>
  <c r="H77" i="1"/>
  <c r="J77" i="1" s="1"/>
  <c r="I77" i="1"/>
  <c r="L77" i="1"/>
  <c r="B78" i="1"/>
  <c r="C78" i="1"/>
  <c r="E78" i="1"/>
  <c r="E135" i="1" s="1"/>
  <c r="J78" i="1"/>
  <c r="K78" i="1"/>
  <c r="M78" i="1"/>
  <c r="N78" i="1"/>
  <c r="B79" i="1"/>
  <c r="C79" i="1"/>
  <c r="E79" i="1"/>
  <c r="E136" i="1" s="1"/>
  <c r="J79" i="1"/>
  <c r="K79" i="1"/>
  <c r="M79" i="1"/>
  <c r="N79" i="1" s="1"/>
  <c r="B80" i="1"/>
  <c r="C80" i="1"/>
  <c r="D80" i="1"/>
  <c r="H80" i="1"/>
  <c r="I80" i="1"/>
  <c r="L80" i="1"/>
  <c r="B81" i="1"/>
  <c r="C81" i="1"/>
  <c r="F81" i="1"/>
  <c r="G81" i="1"/>
  <c r="J81" i="1"/>
  <c r="K81" i="1"/>
  <c r="M81" i="1"/>
  <c r="N81" i="1"/>
  <c r="B82" i="1"/>
  <c r="C82" i="1"/>
  <c r="F82" i="1"/>
  <c r="G82" i="1"/>
  <c r="J82" i="1"/>
  <c r="K82" i="1"/>
  <c r="M82" i="1"/>
  <c r="N82" i="1" s="1"/>
  <c r="B83" i="1"/>
  <c r="C83" i="1"/>
  <c r="D83" i="1"/>
  <c r="E83" i="1"/>
  <c r="H83" i="1"/>
  <c r="I83" i="1"/>
  <c r="L83" i="1"/>
  <c r="B84" i="1"/>
  <c r="C84" i="1"/>
  <c r="F84" i="1"/>
  <c r="G84" i="1"/>
  <c r="J84" i="1"/>
  <c r="K84" i="1"/>
  <c r="M84" i="1"/>
  <c r="N84" i="1" s="1"/>
  <c r="B85" i="1"/>
  <c r="C85" i="1"/>
  <c r="F85" i="1"/>
  <c r="G85" i="1"/>
  <c r="J85" i="1"/>
  <c r="K85" i="1"/>
  <c r="M85" i="1"/>
  <c r="N85" i="1" s="1"/>
  <c r="B86" i="1"/>
  <c r="C86" i="1"/>
  <c r="D86" i="1"/>
  <c r="E86" i="1"/>
  <c r="H86" i="1"/>
  <c r="I86" i="1"/>
  <c r="L86" i="1"/>
  <c r="B87" i="1"/>
  <c r="C87" i="1"/>
  <c r="B88" i="1"/>
  <c r="C88" i="1"/>
  <c r="E88" i="1"/>
  <c r="J88" i="1"/>
  <c r="K88" i="1"/>
  <c r="M88" i="1"/>
  <c r="N88" i="1"/>
  <c r="B89" i="1"/>
  <c r="C89" i="1"/>
  <c r="F89" i="1"/>
  <c r="G89" i="1"/>
  <c r="J89" i="1"/>
  <c r="K89" i="1"/>
  <c r="M89" i="1"/>
  <c r="N89" i="1" s="1"/>
  <c r="B90" i="1"/>
  <c r="C90" i="1"/>
  <c r="D90" i="1"/>
  <c r="H90" i="1"/>
  <c r="I90" i="1"/>
  <c r="K90" i="1" s="1"/>
  <c r="J90" i="1"/>
  <c r="L90" i="1"/>
  <c r="B91" i="1"/>
  <c r="C91" i="1"/>
  <c r="F91" i="1"/>
  <c r="G91" i="1"/>
  <c r="J91" i="1"/>
  <c r="K91" i="1"/>
  <c r="M91" i="1"/>
  <c r="N91" i="1"/>
  <c r="B92" i="1"/>
  <c r="C92" i="1"/>
  <c r="F92" i="1"/>
  <c r="G92" i="1"/>
  <c r="J92" i="1"/>
  <c r="K92" i="1"/>
  <c r="M92" i="1"/>
  <c r="N92" i="1" s="1"/>
  <c r="B93" i="1"/>
  <c r="C93" i="1"/>
  <c r="D93" i="1"/>
  <c r="E93" i="1"/>
  <c r="F93" i="1"/>
  <c r="H93" i="1"/>
  <c r="I93" i="1"/>
  <c r="J93" i="1"/>
  <c r="L93" i="1"/>
  <c r="B94" i="1"/>
  <c r="C94" i="1"/>
  <c r="F94" i="1"/>
  <c r="G94" i="1"/>
  <c r="J94" i="1"/>
  <c r="K94" i="1"/>
  <c r="M94" i="1"/>
  <c r="N94" i="1" s="1"/>
  <c r="B95" i="1"/>
  <c r="C95" i="1"/>
  <c r="F95" i="1"/>
  <c r="G95" i="1"/>
  <c r="J95" i="1"/>
  <c r="K95" i="1"/>
  <c r="M95" i="1"/>
  <c r="N95" i="1"/>
  <c r="B96" i="1"/>
  <c r="C96" i="1"/>
  <c r="D96" i="1"/>
  <c r="E96" i="1"/>
  <c r="H96" i="1"/>
  <c r="I96" i="1"/>
  <c r="L96" i="1"/>
  <c r="B97" i="1"/>
  <c r="C97" i="1"/>
  <c r="F97" i="1"/>
  <c r="G97" i="1"/>
  <c r="J97" i="1"/>
  <c r="K97" i="1"/>
  <c r="M97" i="1"/>
  <c r="N97" i="1" s="1"/>
  <c r="B98" i="1"/>
  <c r="C98" i="1"/>
  <c r="F98" i="1"/>
  <c r="G98" i="1"/>
  <c r="J98" i="1"/>
  <c r="K98" i="1"/>
  <c r="M98" i="1"/>
  <c r="N98" i="1" s="1"/>
  <c r="B99" i="1"/>
  <c r="C99" i="1"/>
  <c r="D99" i="1"/>
  <c r="E99" i="1"/>
  <c r="H99" i="1"/>
  <c r="I99" i="1"/>
  <c r="J99" i="1"/>
  <c r="L99" i="1"/>
  <c r="B100" i="1"/>
  <c r="C100" i="1"/>
  <c r="F100" i="1"/>
  <c r="G100" i="1"/>
  <c r="J100" i="1"/>
  <c r="K100" i="1"/>
  <c r="M100" i="1"/>
  <c r="N100" i="1" s="1"/>
  <c r="B101" i="1"/>
  <c r="C101" i="1"/>
  <c r="F101" i="1"/>
  <c r="G101" i="1"/>
  <c r="J101" i="1"/>
  <c r="K101" i="1"/>
  <c r="M101" i="1"/>
  <c r="N101" i="1" s="1"/>
  <c r="B102" i="1"/>
  <c r="C102" i="1"/>
  <c r="D102" i="1"/>
  <c r="E102" i="1"/>
  <c r="F102" i="1"/>
  <c r="H102" i="1"/>
  <c r="I102" i="1"/>
  <c r="J102" i="1"/>
  <c r="L102" i="1"/>
  <c r="B103" i="1"/>
  <c r="C103" i="1"/>
  <c r="B104" i="1"/>
  <c r="C104" i="1"/>
  <c r="F104" i="1"/>
  <c r="G104" i="1"/>
  <c r="J104" i="1"/>
  <c r="K104" i="1"/>
  <c r="M104" i="1"/>
  <c r="N104" i="1" s="1"/>
  <c r="B105" i="1"/>
  <c r="C105" i="1"/>
  <c r="F105" i="1"/>
  <c r="G105" i="1"/>
  <c r="J105" i="1"/>
  <c r="K105" i="1"/>
  <c r="M105" i="1"/>
  <c r="N105" i="1"/>
  <c r="B106" i="1"/>
  <c r="C106" i="1"/>
  <c r="D106" i="1"/>
  <c r="E106" i="1"/>
  <c r="H106" i="1"/>
  <c r="I106" i="1"/>
  <c r="L106" i="1"/>
  <c r="B107" i="1"/>
  <c r="C107" i="1"/>
  <c r="F107" i="1"/>
  <c r="G107" i="1"/>
  <c r="J107" i="1"/>
  <c r="K107" i="1"/>
  <c r="M107" i="1"/>
  <c r="N107" i="1" s="1"/>
  <c r="B108" i="1"/>
  <c r="C108" i="1"/>
  <c r="F108" i="1"/>
  <c r="G108" i="1"/>
  <c r="J108" i="1"/>
  <c r="K108" i="1"/>
  <c r="M108" i="1"/>
  <c r="N108" i="1" s="1"/>
  <c r="B109" i="1"/>
  <c r="C109" i="1"/>
  <c r="D109" i="1"/>
  <c r="E109" i="1"/>
  <c r="H109" i="1"/>
  <c r="I109" i="1"/>
  <c r="L109" i="1"/>
  <c r="B110" i="1"/>
  <c r="C110" i="1"/>
  <c r="E110" i="1"/>
  <c r="F110" i="1"/>
  <c r="G110" i="1"/>
  <c r="J110" i="1"/>
  <c r="K110" i="1"/>
  <c r="M110" i="1"/>
  <c r="N110" i="1" s="1"/>
  <c r="B111" i="1"/>
  <c r="C111" i="1"/>
  <c r="E111" i="1"/>
  <c r="F111" i="1"/>
  <c r="G111" i="1"/>
  <c r="J111" i="1"/>
  <c r="K111" i="1"/>
  <c r="M111" i="1"/>
  <c r="N111" i="1" s="1"/>
  <c r="B112" i="1"/>
  <c r="C112" i="1"/>
  <c r="D112" i="1"/>
  <c r="H112" i="1"/>
  <c r="I112" i="1"/>
  <c r="L112" i="1"/>
  <c r="B113" i="1"/>
  <c r="C113" i="1"/>
  <c r="B114" i="1"/>
  <c r="C114" i="1"/>
  <c r="B115" i="1"/>
  <c r="C115" i="1"/>
  <c r="F115" i="1"/>
  <c r="G115" i="1"/>
  <c r="J115" i="1"/>
  <c r="K115" i="1"/>
  <c r="M115" i="1"/>
  <c r="N115" i="1" s="1"/>
  <c r="B116" i="1"/>
  <c r="C116" i="1"/>
  <c r="F116" i="1"/>
  <c r="G116" i="1"/>
  <c r="J116" i="1"/>
  <c r="K116" i="1"/>
  <c r="M116" i="1"/>
  <c r="N116" i="1" s="1"/>
  <c r="B117" i="1"/>
  <c r="C117" i="1"/>
  <c r="D117" i="1"/>
  <c r="D118" i="1" s="1"/>
  <c r="E117" i="1"/>
  <c r="E118" i="1" s="1"/>
  <c r="H117" i="1"/>
  <c r="I117" i="1"/>
  <c r="I118" i="1" s="1"/>
  <c r="J117" i="1"/>
  <c r="L117" i="1"/>
  <c r="L118" i="1" s="1"/>
  <c r="B118" i="1"/>
  <c r="C118" i="1"/>
  <c r="B119" i="1"/>
  <c r="C119" i="1"/>
  <c r="F119" i="1"/>
  <c r="G119" i="1"/>
  <c r="J119" i="1"/>
  <c r="K119" i="1"/>
  <c r="M119" i="1"/>
  <c r="N119" i="1" s="1"/>
  <c r="B120" i="1"/>
  <c r="C120" i="1"/>
  <c r="F120" i="1"/>
  <c r="G120" i="1"/>
  <c r="J120" i="1"/>
  <c r="K120" i="1"/>
  <c r="M120" i="1"/>
  <c r="N120" i="1"/>
  <c r="B121" i="1"/>
  <c r="C121" i="1"/>
  <c r="D121" i="1"/>
  <c r="E121" i="1"/>
  <c r="H121" i="1"/>
  <c r="I121" i="1"/>
  <c r="L121" i="1"/>
  <c r="B122" i="1"/>
  <c r="C122" i="1"/>
  <c r="F122" i="1"/>
  <c r="G122" i="1"/>
  <c r="J122" i="1"/>
  <c r="K122" i="1"/>
  <c r="M122" i="1"/>
  <c r="N122" i="1" s="1"/>
  <c r="B123" i="1"/>
  <c r="C123" i="1"/>
  <c r="F123" i="1"/>
  <c r="G123" i="1"/>
  <c r="J123" i="1"/>
  <c r="K123" i="1"/>
  <c r="M123" i="1"/>
  <c r="N123" i="1" s="1"/>
  <c r="B124" i="1"/>
  <c r="C124" i="1"/>
  <c r="D124" i="1"/>
  <c r="E124" i="1"/>
  <c r="H124" i="1"/>
  <c r="I124" i="1"/>
  <c r="J124" i="1" s="1"/>
  <c r="K124" i="1"/>
  <c r="L124" i="1"/>
  <c r="B125" i="1"/>
  <c r="C125" i="1"/>
  <c r="E125" i="1"/>
  <c r="E127" i="1" s="1"/>
  <c r="F125" i="1"/>
  <c r="G125" i="1"/>
  <c r="J125" i="1"/>
  <c r="K125" i="1"/>
  <c r="M125" i="1"/>
  <c r="N125" i="1"/>
  <c r="B126" i="1"/>
  <c r="C126" i="1"/>
  <c r="E126" i="1"/>
  <c r="F126" i="1"/>
  <c r="G126" i="1"/>
  <c r="J126" i="1"/>
  <c r="K126" i="1"/>
  <c r="M126" i="1"/>
  <c r="N126" i="1"/>
  <c r="B127" i="1"/>
  <c r="C127" i="1"/>
  <c r="H127" i="1"/>
  <c r="I127" i="1"/>
  <c r="L127" i="1"/>
  <c r="B128" i="1"/>
  <c r="C128" i="1"/>
  <c r="B129" i="1"/>
  <c r="C129" i="1"/>
  <c r="B132" i="1"/>
  <c r="C132" i="1"/>
  <c r="D132" i="1"/>
  <c r="E132" i="1"/>
  <c r="H132" i="1"/>
  <c r="I132" i="1"/>
  <c r="L132" i="1"/>
  <c r="B133" i="1"/>
  <c r="C133" i="1"/>
  <c r="D133" i="1"/>
  <c r="H133" i="1"/>
  <c r="I133" i="1"/>
  <c r="L133" i="1"/>
  <c r="N133" i="1" s="1"/>
  <c r="B134" i="1"/>
  <c r="C134" i="1"/>
  <c r="B135" i="1"/>
  <c r="C135" i="1"/>
  <c r="D135" i="1"/>
  <c r="H135" i="1"/>
  <c r="I135" i="1"/>
  <c r="L135" i="1"/>
  <c r="N135" i="1" s="1"/>
  <c r="B136" i="1"/>
  <c r="C136" i="1"/>
  <c r="D136" i="1"/>
  <c r="H136" i="1"/>
  <c r="I136" i="1"/>
  <c r="L136" i="1"/>
  <c r="N136" i="1"/>
  <c r="B137" i="1"/>
  <c r="C137" i="1"/>
  <c r="B138" i="1"/>
  <c r="C138" i="1"/>
  <c r="D138" i="1"/>
  <c r="E138" i="1"/>
  <c r="H138" i="1"/>
  <c r="I138" i="1"/>
  <c r="L138" i="1"/>
  <c r="N138" i="1" s="1"/>
  <c r="B139" i="1"/>
  <c r="C139" i="1"/>
  <c r="D139" i="1"/>
  <c r="E139" i="1"/>
  <c r="H139" i="1"/>
  <c r="I139" i="1"/>
  <c r="L139" i="1"/>
  <c r="B140" i="1"/>
  <c r="C140" i="1"/>
  <c r="B141" i="1"/>
  <c r="C141" i="1"/>
  <c r="D141" i="1"/>
  <c r="E141" i="1"/>
  <c r="H141" i="1"/>
  <c r="I141" i="1"/>
  <c r="L141" i="1"/>
  <c r="N141" i="1" s="1"/>
  <c r="B142" i="1"/>
  <c r="C142" i="1"/>
  <c r="D142" i="1"/>
  <c r="E142" i="1"/>
  <c r="H142" i="1"/>
  <c r="I142" i="1"/>
  <c r="L142" i="1"/>
  <c r="N142" i="1"/>
  <c r="B143" i="1"/>
  <c r="C143" i="1"/>
  <c r="B144" i="1"/>
  <c r="C144" i="1"/>
  <c r="B145" i="1"/>
  <c r="C145" i="1"/>
  <c r="D145" i="1"/>
  <c r="I145" i="1"/>
  <c r="L145" i="1"/>
  <c r="N145" i="1" s="1"/>
  <c r="B146" i="1"/>
  <c r="C146" i="1"/>
  <c r="D146" i="1"/>
  <c r="E146" i="1"/>
  <c r="H146" i="1"/>
  <c r="I146" i="1"/>
  <c r="L146" i="1"/>
  <c r="N146" i="1" s="1"/>
  <c r="B147" i="1"/>
  <c r="C147" i="1"/>
  <c r="B148" i="1"/>
  <c r="C148" i="1"/>
  <c r="D148" i="1"/>
  <c r="E148" i="1"/>
  <c r="H148" i="1"/>
  <c r="I148" i="1"/>
  <c r="L148" i="1"/>
  <c r="N148" i="1" s="1"/>
  <c r="B149" i="1"/>
  <c r="C149" i="1"/>
  <c r="D149" i="1"/>
  <c r="E149" i="1"/>
  <c r="H149" i="1"/>
  <c r="I149" i="1"/>
  <c r="L149" i="1"/>
  <c r="B150" i="1"/>
  <c r="C150" i="1"/>
  <c r="B151" i="1"/>
  <c r="C151" i="1"/>
  <c r="D151" i="1"/>
  <c r="E151" i="1"/>
  <c r="H151" i="1"/>
  <c r="I151" i="1"/>
  <c r="L151" i="1"/>
  <c r="N151" i="1"/>
  <c r="B152" i="1"/>
  <c r="C152" i="1"/>
  <c r="D152" i="1"/>
  <c r="E152" i="1"/>
  <c r="H152" i="1"/>
  <c r="I152" i="1"/>
  <c r="L152" i="1"/>
  <c r="N152" i="1" s="1"/>
  <c r="B153" i="1"/>
  <c r="C153" i="1"/>
  <c r="B154" i="1"/>
  <c r="C154" i="1"/>
  <c r="D154" i="1"/>
  <c r="E154" i="1"/>
  <c r="H154" i="1"/>
  <c r="I154" i="1"/>
  <c r="L154" i="1"/>
  <c r="N154" i="1"/>
  <c r="B155" i="1"/>
  <c r="C155" i="1"/>
  <c r="D155" i="1"/>
  <c r="E155" i="1"/>
  <c r="H155" i="1"/>
  <c r="I155" i="1"/>
  <c r="L155" i="1"/>
  <c r="N155" i="1" s="1"/>
  <c r="B156" i="1"/>
  <c r="C156" i="1"/>
  <c r="B157" i="1"/>
  <c r="C157" i="1"/>
  <c r="D157" i="1"/>
  <c r="E157" i="1"/>
  <c r="H157" i="1"/>
  <c r="I157" i="1"/>
  <c r="L157" i="1"/>
  <c r="N157" i="1" s="1"/>
  <c r="B158" i="1"/>
  <c r="C158" i="1"/>
  <c r="D158" i="1"/>
  <c r="E158" i="1"/>
  <c r="H158" i="1"/>
  <c r="I158" i="1"/>
  <c r="L158" i="1"/>
  <c r="N158" i="1" s="1"/>
  <c r="B159" i="1"/>
  <c r="C159" i="1"/>
  <c r="B160" i="1"/>
  <c r="C160" i="1"/>
  <c r="B161" i="1"/>
  <c r="C161" i="1"/>
  <c r="E161" i="1"/>
  <c r="I161" i="1"/>
  <c r="L161" i="1"/>
  <c r="N161" i="1" s="1"/>
  <c r="B162" i="1"/>
  <c r="C162" i="1"/>
  <c r="D162" i="1"/>
  <c r="E162" i="1"/>
  <c r="I162" i="1"/>
  <c r="L162" i="1"/>
  <c r="N162" i="1"/>
  <c r="B163" i="1"/>
  <c r="C163" i="1"/>
  <c r="B164" i="1"/>
  <c r="C164" i="1"/>
  <c r="D164" i="1"/>
  <c r="E164" i="1"/>
  <c r="I164" i="1"/>
  <c r="L164" i="1"/>
  <c r="B165" i="1"/>
  <c r="C165" i="1"/>
  <c r="D165" i="1"/>
  <c r="E165" i="1"/>
  <c r="I165" i="1"/>
  <c r="L165" i="1"/>
  <c r="N165" i="1"/>
  <c r="B166" i="1"/>
  <c r="C166" i="1"/>
  <c r="B167" i="1"/>
  <c r="C167" i="1"/>
  <c r="D167" i="1"/>
  <c r="E167" i="1"/>
  <c r="H167" i="1"/>
  <c r="I167" i="1"/>
  <c r="L167" i="1"/>
  <c r="N167" i="1"/>
  <c r="B168" i="1"/>
  <c r="C168" i="1"/>
  <c r="D168" i="1"/>
  <c r="H168" i="1"/>
  <c r="I168" i="1"/>
  <c r="L168" i="1"/>
  <c r="N168" i="1" s="1"/>
  <c r="B169" i="1"/>
  <c r="C169" i="1"/>
  <c r="B170" i="1"/>
  <c r="C170" i="1"/>
  <c r="B171" i="1"/>
  <c r="C171" i="1"/>
  <c r="B172" i="1"/>
  <c r="C172" i="1"/>
  <c r="D172" i="1"/>
  <c r="E172" i="1"/>
  <c r="H172" i="1"/>
  <c r="I172" i="1"/>
  <c r="L172" i="1"/>
  <c r="N172" i="1"/>
  <c r="B173" i="1"/>
  <c r="C173" i="1"/>
  <c r="D173" i="1"/>
  <c r="E173" i="1"/>
  <c r="H173" i="1"/>
  <c r="I173" i="1"/>
  <c r="L173" i="1"/>
  <c r="N173" i="1" s="1"/>
  <c r="B174" i="1"/>
  <c r="C174" i="1"/>
  <c r="B175" i="1"/>
  <c r="C175" i="1"/>
  <c r="B176" i="1"/>
  <c r="C176" i="1"/>
  <c r="D176" i="1"/>
  <c r="E176" i="1"/>
  <c r="I176" i="1"/>
  <c r="L176" i="1"/>
  <c r="B177" i="1"/>
  <c r="C177" i="1"/>
  <c r="E177" i="1"/>
  <c r="H177" i="1"/>
  <c r="I177" i="1"/>
  <c r="L177" i="1"/>
  <c r="N177" i="1"/>
  <c r="B178" i="1"/>
  <c r="C178" i="1"/>
  <c r="B179" i="1"/>
  <c r="C179" i="1"/>
  <c r="D179" i="1"/>
  <c r="E179" i="1"/>
  <c r="H179" i="1"/>
  <c r="I179" i="1"/>
  <c r="L179" i="1"/>
  <c r="B180" i="1"/>
  <c r="C180" i="1"/>
  <c r="D180" i="1"/>
  <c r="E180" i="1"/>
  <c r="H180" i="1"/>
  <c r="I180" i="1"/>
  <c r="L180" i="1"/>
  <c r="N180" i="1" s="1"/>
  <c r="B181" i="1"/>
  <c r="C181" i="1"/>
  <c r="B182" i="1"/>
  <c r="C182" i="1"/>
  <c r="H182" i="1"/>
  <c r="I182" i="1"/>
  <c r="L182" i="1"/>
  <c r="N182" i="1" s="1"/>
  <c r="B183" i="1"/>
  <c r="C183" i="1"/>
  <c r="E183" i="1"/>
  <c r="H183" i="1"/>
  <c r="L183" i="1"/>
  <c r="N183" i="1" s="1"/>
  <c r="B184" i="1"/>
  <c r="C184" i="1"/>
  <c r="B185" i="1"/>
  <c r="C185" i="1"/>
  <c r="B186" i="1"/>
  <c r="C186" i="1"/>
  <c r="AX153" i="5" l="1"/>
  <c r="AQ122" i="5"/>
  <c r="X150" i="5"/>
  <c r="AY153" i="5"/>
  <c r="BE53" i="5"/>
  <c r="AQ53" i="5"/>
  <c r="AA128" i="5"/>
  <c r="V87" i="5"/>
  <c r="AQ78" i="5"/>
  <c r="BE69" i="5"/>
  <c r="AQ69" i="5"/>
  <c r="AQ60" i="5"/>
  <c r="BE60" i="5"/>
  <c r="BE15" i="5"/>
  <c r="AQ15" i="5"/>
  <c r="AQ18" i="5"/>
  <c r="BE18" i="5"/>
  <c r="BE21" i="5"/>
  <c r="AQ21" i="5"/>
  <c r="AQ25" i="5"/>
  <c r="BE25" i="5"/>
  <c r="BE28" i="5"/>
  <c r="AQ28" i="5"/>
  <c r="BE31" i="5"/>
  <c r="AQ31" i="5"/>
  <c r="BE34" i="5"/>
  <c r="AQ34" i="5"/>
  <c r="AQ37" i="5"/>
  <c r="BE37" i="5"/>
  <c r="BE41" i="5"/>
  <c r="AQ44" i="5"/>
  <c r="BE44" i="5"/>
  <c r="BE52" i="5"/>
  <c r="AQ52" i="5"/>
  <c r="AQ59" i="5"/>
  <c r="BE59" i="5"/>
  <c r="BE13" i="5"/>
  <c r="AQ13" i="5"/>
  <c r="AQ16" i="5"/>
  <c r="BE16" i="5"/>
  <c r="AQ19" i="5"/>
  <c r="BE19" i="5"/>
  <c r="AQ22" i="5"/>
  <c r="BE22" i="5"/>
  <c r="BE26" i="5"/>
  <c r="AQ26" i="5"/>
  <c r="BE29" i="5"/>
  <c r="AQ29" i="5"/>
  <c r="BE32" i="5"/>
  <c r="AQ32" i="5"/>
  <c r="BE35" i="5"/>
  <c r="AQ35" i="5"/>
  <c r="BE38" i="5"/>
  <c r="AQ38" i="5"/>
  <c r="BE45" i="5"/>
  <c r="AQ45" i="5"/>
  <c r="AQ100" i="5"/>
  <c r="W174" i="5"/>
  <c r="W175" i="5" s="1"/>
  <c r="AT174" i="5"/>
  <c r="AT175" i="5" s="1"/>
  <c r="AB153" i="5"/>
  <c r="AB156" i="5"/>
  <c r="AY156" i="5"/>
  <c r="AN156" i="5"/>
  <c r="U159" i="5"/>
  <c r="AP159" i="5"/>
  <c r="AN150" i="5"/>
  <c r="AA174" i="5"/>
  <c r="AA175" i="5" s="1"/>
  <c r="Q172" i="5"/>
  <c r="BB150" i="5"/>
  <c r="AJ87" i="5"/>
  <c r="AK24" i="5"/>
  <c r="AL128" i="5"/>
  <c r="AQ115" i="5"/>
  <c r="AA147" i="5"/>
  <c r="AZ153" i="5"/>
  <c r="AC156" i="5"/>
  <c r="AZ156" i="5"/>
  <c r="BC137" i="5"/>
  <c r="T156" i="5"/>
  <c r="V159" i="5"/>
  <c r="AA169" i="5"/>
  <c r="AC169" i="5"/>
  <c r="T174" i="5"/>
  <c r="T175" i="5" s="1"/>
  <c r="AO174" i="5"/>
  <c r="AO175" i="5" s="1"/>
  <c r="AX137" i="5"/>
  <c r="AO163" i="5"/>
  <c r="AH150" i="5"/>
  <c r="T40" i="5"/>
  <c r="BM128" i="4"/>
  <c r="BE56" i="4"/>
  <c r="AS169" i="4"/>
  <c r="BL147" i="4"/>
  <c r="BP153" i="4"/>
  <c r="BL156" i="4"/>
  <c r="BH159" i="4"/>
  <c r="BP159" i="4"/>
  <c r="BQ153" i="4"/>
  <c r="BM156" i="4"/>
  <c r="AD161" i="4"/>
  <c r="BR153" i="4"/>
  <c r="BN156" i="4"/>
  <c r="BA153" i="5"/>
  <c r="T166" i="5"/>
  <c r="AO166" i="5"/>
  <c r="BB181" i="5"/>
  <c r="AE118" i="5"/>
  <c r="BE118" i="5" s="1"/>
  <c r="BE117" i="5"/>
  <c r="AP103" i="5"/>
  <c r="AS127" i="5"/>
  <c r="AS128" i="5" s="1"/>
  <c r="Z137" i="5"/>
  <c r="BB153" i="5"/>
  <c r="U166" i="5"/>
  <c r="AP166" i="5"/>
  <c r="AT166" i="5"/>
  <c r="AG181" i="5"/>
  <c r="BC181" i="5"/>
  <c r="BD169" i="5"/>
  <c r="AJ137" i="5"/>
  <c r="AL174" i="5"/>
  <c r="AL175" i="5" s="1"/>
  <c r="BC143" i="5"/>
  <c r="AE182" i="5"/>
  <c r="BE182" i="5" s="1"/>
  <c r="AW166" i="5"/>
  <c r="BB134" i="5"/>
  <c r="AF103" i="5"/>
  <c r="AK137" i="5"/>
  <c r="AP153" i="5"/>
  <c r="W156" i="5"/>
  <c r="AH166" i="5"/>
  <c r="AM174" i="5"/>
  <c r="AM175" i="5" s="1"/>
  <c r="AQ111" i="5"/>
  <c r="X156" i="5"/>
  <c r="U140" i="5"/>
  <c r="W150" i="5"/>
  <c r="AQ82" i="5"/>
  <c r="V140" i="5"/>
  <c r="AW150" i="5"/>
  <c r="BB140" i="5"/>
  <c r="AH143" i="5"/>
  <c r="AE174" i="5"/>
  <c r="BE172" i="5"/>
  <c r="AE55" i="5"/>
  <c r="AY134" i="5"/>
  <c r="AF140" i="5"/>
  <c r="AC134" i="5"/>
  <c r="AG140" i="5"/>
  <c r="BC140" i="5"/>
  <c r="Z166" i="5"/>
  <c r="AE169" i="5"/>
  <c r="BE169" i="5" s="1"/>
  <c r="BD140" i="5"/>
  <c r="AJ143" i="5"/>
  <c r="W137" i="5"/>
  <c r="AC181" i="5"/>
  <c r="AZ137" i="5"/>
  <c r="AV24" i="5"/>
  <c r="Y140" i="5"/>
  <c r="S159" i="5"/>
  <c r="AA166" i="5"/>
  <c r="AN159" i="5"/>
  <c r="Z65" i="5"/>
  <c r="Q36" i="5"/>
  <c r="AY65" i="5"/>
  <c r="BC113" i="5"/>
  <c r="AB65" i="5"/>
  <c r="AI87" i="5"/>
  <c r="AL159" i="5"/>
  <c r="AT163" i="5"/>
  <c r="AB174" i="5"/>
  <c r="AB175" i="5" s="1"/>
  <c r="AS163" i="5"/>
  <c r="AA87" i="5"/>
  <c r="AD152" i="5"/>
  <c r="AK128" i="5"/>
  <c r="AM134" i="5"/>
  <c r="AC174" i="5"/>
  <c r="AC175" i="5" s="1"/>
  <c r="AZ174" i="5"/>
  <c r="AZ175" i="5" s="1"/>
  <c r="AT183" i="5"/>
  <c r="AX143" i="5"/>
  <c r="AV183" i="5"/>
  <c r="AV127" i="5"/>
  <c r="AV128" i="5" s="1"/>
  <c r="BA127" i="5"/>
  <c r="BA128" i="5" s="1"/>
  <c r="AW140" i="5"/>
  <c r="AB140" i="5"/>
  <c r="AB147" i="5"/>
  <c r="AY147" i="5"/>
  <c r="AE147" i="5"/>
  <c r="BE147" i="5" s="1"/>
  <c r="AY150" i="5"/>
  <c r="AU159" i="5"/>
  <c r="AI166" i="5"/>
  <c r="S174" i="5"/>
  <c r="S175" i="5" s="1"/>
  <c r="AN174" i="5"/>
  <c r="AN175" i="5" s="1"/>
  <c r="AQ81" i="5"/>
  <c r="AB137" i="5"/>
  <c r="AE137" i="5"/>
  <c r="BE137" i="5" s="1"/>
  <c r="AA140" i="5"/>
  <c r="AX140" i="5"/>
  <c r="AC140" i="5"/>
  <c r="AF143" i="5"/>
  <c r="Y159" i="5"/>
  <c r="Z163" i="5"/>
  <c r="AJ166" i="5"/>
  <c r="X181" i="5"/>
  <c r="AO159" i="5"/>
  <c r="AF127" i="5"/>
  <c r="AF128" i="5" s="1"/>
  <c r="AE140" i="5"/>
  <c r="BE140" i="5" s="1"/>
  <c r="BA140" i="5"/>
  <c r="AA163" i="5"/>
  <c r="AZ163" i="5"/>
  <c r="AH163" i="5"/>
  <c r="AK166" i="5"/>
  <c r="AN178" i="5"/>
  <c r="AS134" i="5"/>
  <c r="AY166" i="5"/>
  <c r="AN113" i="5"/>
  <c r="AH113" i="5"/>
  <c r="AZ159" i="5"/>
  <c r="AI163" i="5"/>
  <c r="AL166" i="5"/>
  <c r="T159" i="5"/>
  <c r="Q136" i="5"/>
  <c r="Q180" i="5"/>
  <c r="BA156" i="5"/>
  <c r="BA159" i="5"/>
  <c r="Y134" i="5"/>
  <c r="AD133" i="5"/>
  <c r="AD180" i="5"/>
  <c r="AY103" i="5"/>
  <c r="AH134" i="5"/>
  <c r="AD173" i="5"/>
  <c r="W153" i="5"/>
  <c r="AS156" i="5"/>
  <c r="AJ174" i="5"/>
  <c r="AJ175" i="5" s="1"/>
  <c r="AU183" i="5"/>
  <c r="AJ103" i="5"/>
  <c r="AS113" i="5"/>
  <c r="BC159" i="5"/>
  <c r="AV174" i="5"/>
  <c r="AV175" i="5" s="1"/>
  <c r="V178" i="5"/>
  <c r="W134" i="5"/>
  <c r="AU127" i="5"/>
  <c r="AU128" i="5" s="1"/>
  <c r="X64" i="5"/>
  <c r="X65" i="5" s="1"/>
  <c r="BA181" i="5"/>
  <c r="AG174" i="5"/>
  <c r="AG175" i="5" s="1"/>
  <c r="X137" i="5"/>
  <c r="AC166" i="5"/>
  <c r="U127" i="5"/>
  <c r="U128" i="5" s="1"/>
  <c r="X153" i="5"/>
  <c r="AW163" i="5"/>
  <c r="AZ87" i="5"/>
  <c r="AL87" i="5"/>
  <c r="AQ104" i="5"/>
  <c r="AM113" i="5"/>
  <c r="AX181" i="4"/>
  <c r="BE59" i="4"/>
  <c r="AQ45" i="4"/>
  <c r="AQ88" i="4"/>
  <c r="AQ122" i="4"/>
  <c r="AQ28" i="4"/>
  <c r="BE94" i="4"/>
  <c r="AS166" i="4"/>
  <c r="AS170" i="4" s="1"/>
  <c r="AQ13" i="4"/>
  <c r="BE79" i="4"/>
  <c r="AQ21" i="4"/>
  <c r="BL65" i="4"/>
  <c r="BE69" i="4"/>
  <c r="BE85" i="4"/>
  <c r="BE105" i="4"/>
  <c r="BE120" i="4"/>
  <c r="AQ15" i="4"/>
  <c r="AQ115" i="4"/>
  <c r="AT166" i="4"/>
  <c r="BP65" i="4"/>
  <c r="BG169" i="4"/>
  <c r="BE18" i="4"/>
  <c r="BE37" i="4"/>
  <c r="BE19" i="4"/>
  <c r="AY147" i="4"/>
  <c r="BO147" i="4"/>
  <c r="BK150" i="4"/>
  <c r="AV163" i="4"/>
  <c r="AQ52" i="4"/>
  <c r="AQ172" i="4" s="1"/>
  <c r="AQ100" i="4"/>
  <c r="BD143" i="4"/>
  <c r="BM134" i="4"/>
  <c r="BJ184" i="4"/>
  <c r="BE119" i="4"/>
  <c r="AQ12" i="4"/>
  <c r="AS181" i="4"/>
  <c r="AQ44" i="4"/>
  <c r="AQ111" i="4"/>
  <c r="AP181" i="4"/>
  <c r="AY156" i="4"/>
  <c r="AT181" i="4"/>
  <c r="BE81" i="4"/>
  <c r="BE115" i="4"/>
  <c r="BQ159" i="4"/>
  <c r="AQ35" i="4"/>
  <c r="BE101" i="4"/>
  <c r="BE116" i="4"/>
  <c r="AQ31" i="4"/>
  <c r="AQ97" i="4"/>
  <c r="BR134" i="4"/>
  <c r="BJ140" i="4"/>
  <c r="BH156" i="4"/>
  <c r="BQ178" i="4"/>
  <c r="BN181" i="4"/>
  <c r="AQ95" i="4"/>
  <c r="BL103" i="4"/>
  <c r="BP113" i="4"/>
  <c r="BI156" i="4"/>
  <c r="BR178" i="4"/>
  <c r="AQ37" i="4"/>
  <c r="BQ40" i="4"/>
  <c r="BJ147" i="4"/>
  <c r="BR150" i="4"/>
  <c r="BN153" i="4"/>
  <c r="BJ156" i="4"/>
  <c r="BH178" i="4"/>
  <c r="AQ53" i="4"/>
  <c r="BE78" i="4"/>
  <c r="BE110" i="4"/>
  <c r="BI178" i="4"/>
  <c r="BE12" i="4"/>
  <c r="BE31" i="4"/>
  <c r="BI87" i="4"/>
  <c r="BQ87" i="4"/>
  <c r="BQ113" i="4"/>
  <c r="AQ60" i="4"/>
  <c r="AQ94" i="4"/>
  <c r="BE13" i="4"/>
  <c r="BE32" i="4"/>
  <c r="BE38" i="4"/>
  <c r="BE45" i="4"/>
  <c r="AQ26" i="4"/>
  <c r="BE92" i="4"/>
  <c r="BR113" i="4"/>
  <c r="AQ116" i="4"/>
  <c r="BE53" i="4"/>
  <c r="BH184" i="4"/>
  <c r="BE89" i="4"/>
  <c r="BE28" i="4"/>
  <c r="BE16" i="4"/>
  <c r="BE29" i="4"/>
  <c r="BE35" i="4"/>
  <c r="BE82" i="4"/>
  <c r="AQ18" i="4"/>
  <c r="AQ84" i="4"/>
  <c r="AK159" i="4"/>
  <c r="BM24" i="4"/>
  <c r="BP134" i="4"/>
  <c r="BL137" i="4"/>
  <c r="BH140" i="4"/>
  <c r="BR147" i="4"/>
  <c r="BL181" i="4"/>
  <c r="AQ82" i="4"/>
  <c r="BE15" i="4"/>
  <c r="AD132" i="4"/>
  <c r="AQ120" i="4"/>
  <c r="AW140" i="4"/>
  <c r="AS143" i="4"/>
  <c r="AU178" i="4"/>
  <c r="BG156" i="4"/>
  <c r="BM181" i="4"/>
  <c r="BN178" i="4"/>
  <c r="BK181" i="4"/>
  <c r="BI128" i="4"/>
  <c r="BO153" i="4"/>
  <c r="BK156" i="4"/>
  <c r="BJ128" i="4"/>
  <c r="BL184" i="4"/>
  <c r="BP178" i="4"/>
  <c r="AX140" i="4"/>
  <c r="BL128" i="4"/>
  <c r="BE84" i="4"/>
  <c r="AQ38" i="4"/>
  <c r="AQ69" i="4"/>
  <c r="AQ105" i="4"/>
  <c r="BI184" i="4"/>
  <c r="BP143" i="4"/>
  <c r="BO156" i="4"/>
  <c r="BI159" i="4"/>
  <c r="BK128" i="4"/>
  <c r="AQ104" i="4"/>
  <c r="BB137" i="4"/>
  <c r="AT143" i="4"/>
  <c r="BR50" i="4"/>
  <c r="BJ159" i="4"/>
  <c r="BK159" i="4"/>
  <c r="AQ16" i="4"/>
  <c r="BB169" i="4"/>
  <c r="BE44" i="4"/>
  <c r="AQ25" i="4"/>
  <c r="AQ145" i="4" s="1"/>
  <c r="AQ91" i="4"/>
  <c r="AW181" i="4"/>
  <c r="BG113" i="4"/>
  <c r="BG137" i="4"/>
  <c r="BR156" i="4"/>
  <c r="BR184" i="4"/>
  <c r="BH113" i="4"/>
  <c r="BL134" i="4"/>
  <c r="BN147" i="4"/>
  <c r="BO150" i="4"/>
  <c r="AZ150" i="4"/>
  <c r="BN65" i="4"/>
  <c r="BM65" i="4"/>
  <c r="BI113" i="4"/>
  <c r="BL153" i="4"/>
  <c r="BH163" i="4"/>
  <c r="AQ101" i="4"/>
  <c r="AU166" i="4"/>
  <c r="BN24" i="4"/>
  <c r="BO65" i="4"/>
  <c r="BJ103" i="4"/>
  <c r="BN113" i="4"/>
  <c r="BJ113" i="4"/>
  <c r="BJ137" i="4"/>
  <c r="BR137" i="4"/>
  <c r="BP147" i="4"/>
  <c r="BM153" i="4"/>
  <c r="AZ113" i="4"/>
  <c r="BB150" i="4"/>
  <c r="BA181" i="4"/>
  <c r="BG163" i="4"/>
  <c r="BK103" i="4"/>
  <c r="BO113" i="4"/>
  <c r="BK137" i="4"/>
  <c r="BG140" i="4"/>
  <c r="BQ147" i="4"/>
  <c r="BJ163" i="4"/>
  <c r="BP50" i="4"/>
  <c r="BM103" i="4"/>
  <c r="BI140" i="4"/>
  <c r="BH153" i="4"/>
  <c r="BR159" i="4"/>
  <c r="BR174" i="4"/>
  <c r="BR175" i="4" s="1"/>
  <c r="AQ76" i="4"/>
  <c r="AQ34" i="4"/>
  <c r="BE60" i="4"/>
  <c r="BE75" i="4"/>
  <c r="BE100" i="4"/>
  <c r="BE107" i="4"/>
  <c r="AQ89" i="4"/>
  <c r="AQ123" i="4"/>
  <c r="BR40" i="4"/>
  <c r="BN103" i="4"/>
  <c r="BR140" i="4"/>
  <c r="AQ79" i="4"/>
  <c r="BE52" i="4"/>
  <c r="BE76" i="4"/>
  <c r="BE95" i="4"/>
  <c r="BE108" i="4"/>
  <c r="BG24" i="4"/>
  <c r="R127" i="4"/>
  <c r="R128" i="4" s="1"/>
  <c r="AD152" i="4"/>
  <c r="AQ59" i="4"/>
  <c r="AQ98" i="4"/>
  <c r="BH24" i="4"/>
  <c r="BP87" i="4"/>
  <c r="BE34" i="4"/>
  <c r="BK178" i="4"/>
  <c r="BH181" i="4"/>
  <c r="BI169" i="4"/>
  <c r="BL178" i="4"/>
  <c r="BI181" i="4"/>
  <c r="BG178" i="4"/>
  <c r="BO166" i="4"/>
  <c r="BM178" i="4"/>
  <c r="BJ181" i="4"/>
  <c r="D183" i="2"/>
  <c r="CU55" i="2"/>
  <c r="DA48" i="2"/>
  <c r="BI126" i="2"/>
  <c r="Z135" i="2"/>
  <c r="DD182" i="2"/>
  <c r="AD135" i="2"/>
  <c r="AY43" i="2"/>
  <c r="CJ81" i="2"/>
  <c r="CZ128" i="2"/>
  <c r="BO182" i="2"/>
  <c r="BQ182" i="2" s="1"/>
  <c r="DG182" i="2"/>
  <c r="DI182" i="2" s="1"/>
  <c r="X97" i="2"/>
  <c r="Y97" i="2" s="1"/>
  <c r="P183" i="2"/>
  <c r="T167" i="2"/>
  <c r="T171" i="2" s="1"/>
  <c r="O170" i="2"/>
  <c r="AE135" i="2"/>
  <c r="AO185" i="2"/>
  <c r="BJ55" i="2"/>
  <c r="DB56" i="2"/>
  <c r="CG59" i="2"/>
  <c r="CO184" i="2"/>
  <c r="CL81" i="2"/>
  <c r="CM81" i="2" s="1"/>
  <c r="DA103" i="2"/>
  <c r="CJ58" i="2"/>
  <c r="CK114" i="2"/>
  <c r="F127" i="2"/>
  <c r="S138" i="2"/>
  <c r="AQ64" i="2"/>
  <c r="AG57" i="2"/>
  <c r="AA168" i="2"/>
  <c r="AQ40" i="2"/>
  <c r="AR64" i="2"/>
  <c r="AZ46" i="2"/>
  <c r="AZ47" i="2" s="1"/>
  <c r="BB128" i="2"/>
  <c r="AV148" i="2"/>
  <c r="AZ185" i="2"/>
  <c r="DD41" i="2"/>
  <c r="DC59" i="2"/>
  <c r="DF59" i="2" s="1"/>
  <c r="CT110" i="2"/>
  <c r="R70" i="2"/>
  <c r="L88" i="2"/>
  <c r="G118" i="2"/>
  <c r="AI57" i="2"/>
  <c r="AJ57" i="2" s="1"/>
  <c r="AY47" i="2"/>
  <c r="AW184" i="2"/>
  <c r="BX15" i="2"/>
  <c r="DG41" i="2"/>
  <c r="DB70" i="2"/>
  <c r="CA91" i="2"/>
  <c r="CB91" i="2" s="1"/>
  <c r="BS141" i="2"/>
  <c r="CF103" i="2"/>
  <c r="S178" i="2"/>
  <c r="R56" i="2"/>
  <c r="AA128" i="2"/>
  <c r="AA129" i="2" s="1"/>
  <c r="AN49" i="2"/>
  <c r="DF58" i="2"/>
  <c r="CK148" i="2"/>
  <c r="CM148" i="2" s="1"/>
  <c r="Z183" i="2"/>
  <c r="AM42" i="2"/>
  <c r="BR44" i="2"/>
  <c r="DH58" i="2"/>
  <c r="DI58" i="2" s="1"/>
  <c r="AI24" i="2"/>
  <c r="AJ24" i="2" s="1"/>
  <c r="AD59" i="2"/>
  <c r="AC103" i="2"/>
  <c r="AR87" i="2"/>
  <c r="AR125" i="2"/>
  <c r="BC40" i="2"/>
  <c r="BE100" i="2"/>
  <c r="BF100" i="2" s="1"/>
  <c r="CW107" i="2"/>
  <c r="CX107" i="2" s="1"/>
  <c r="BP110" i="2"/>
  <c r="BQ110" i="2" s="1"/>
  <c r="CC157" i="2"/>
  <c r="O59" i="2"/>
  <c r="R59" i="2" s="1"/>
  <c r="O135" i="2"/>
  <c r="S177" i="2"/>
  <c r="S179" i="2" s="1"/>
  <c r="S186" i="2" s="1"/>
  <c r="Z177" i="2"/>
  <c r="AN110" i="2"/>
  <c r="BM21" i="2"/>
  <c r="BU70" i="2"/>
  <c r="CD151" i="2"/>
  <c r="BH154" i="2"/>
  <c r="R48" i="2"/>
  <c r="V58" i="2"/>
  <c r="I157" i="2"/>
  <c r="X58" i="2"/>
  <c r="Y58" i="2" s="1"/>
  <c r="AX58" i="2"/>
  <c r="AX127" i="2"/>
  <c r="CE28" i="2"/>
  <c r="DB127" i="2"/>
  <c r="CU26" i="2"/>
  <c r="CA37" i="2"/>
  <c r="CB37" i="2" s="1"/>
  <c r="CI58" i="2"/>
  <c r="W154" i="2"/>
  <c r="Y154" i="2" s="1"/>
  <c r="CL58" i="2"/>
  <c r="CM58" i="2" s="1"/>
  <c r="E128" i="2"/>
  <c r="G128" i="2" s="1"/>
  <c r="AL50" i="2"/>
  <c r="AY97" i="2"/>
  <c r="DB107" i="2"/>
  <c r="AI181" i="5"/>
  <c r="AH178" i="5"/>
  <c r="AZ24" i="5"/>
  <c r="AG113" i="5"/>
  <c r="AN127" i="5"/>
  <c r="AN128" i="5" s="1"/>
  <c r="V163" i="5"/>
  <c r="AU163" i="5"/>
  <c r="X178" i="5"/>
  <c r="AW178" i="5"/>
  <c r="BA24" i="5"/>
  <c r="AW127" i="5"/>
  <c r="AW128" i="5" s="1"/>
  <c r="AT134" i="5"/>
  <c r="T137" i="5"/>
  <c r="AO137" i="5"/>
  <c r="S143" i="5"/>
  <c r="AN143" i="5"/>
  <c r="AF159" i="5"/>
  <c r="BB159" i="5"/>
  <c r="BA163" i="5"/>
  <c r="BC166" i="5"/>
  <c r="BC178" i="5"/>
  <c r="AF40" i="5"/>
  <c r="BD64" i="5"/>
  <c r="BD65" i="5" s="1"/>
  <c r="T103" i="5"/>
  <c r="AQ95" i="5"/>
  <c r="AX127" i="5"/>
  <c r="AX128" i="5" s="1"/>
  <c r="AP137" i="5"/>
  <c r="S140" i="5"/>
  <c r="AN140" i="5"/>
  <c r="T143" i="5"/>
  <c r="T147" i="5"/>
  <c r="AO147" i="5"/>
  <c r="T150" i="5"/>
  <c r="AO150" i="5"/>
  <c r="BD166" i="5"/>
  <c r="AG178" i="5"/>
  <c r="BD178" i="5"/>
  <c r="AN184" i="5"/>
  <c r="AD157" i="5"/>
  <c r="S169" i="5"/>
  <c r="AO169" i="5"/>
  <c r="AE58" i="5"/>
  <c r="W113" i="5"/>
  <c r="AV137" i="5"/>
  <c r="W140" i="5"/>
  <c r="AT140" i="5"/>
  <c r="X143" i="5"/>
  <c r="AU143" i="5"/>
  <c r="AU150" i="5"/>
  <c r="AO153" i="5"/>
  <c r="AK159" i="5"/>
  <c r="R169" i="5"/>
  <c r="AK178" i="5"/>
  <c r="U181" i="5"/>
  <c r="AP181" i="5"/>
  <c r="AL184" i="5"/>
  <c r="AJ64" i="5"/>
  <c r="AJ65" i="5" s="1"/>
  <c r="Z134" i="5"/>
  <c r="AW134" i="5"/>
  <c r="V147" i="5"/>
  <c r="V150" i="5"/>
  <c r="AI159" i="5"/>
  <c r="AG163" i="5"/>
  <c r="BD163" i="5"/>
  <c r="AD151" i="5"/>
  <c r="AG87" i="5"/>
  <c r="AA134" i="5"/>
  <c r="AX134" i="5"/>
  <c r="AT143" i="5"/>
  <c r="AM163" i="5"/>
  <c r="AJ178" i="5"/>
  <c r="T181" i="5"/>
  <c r="AO181" i="5"/>
  <c r="AD149" i="5"/>
  <c r="AD155" i="5"/>
  <c r="Q56" i="5"/>
  <c r="AQ79" i="5"/>
  <c r="AV103" i="5"/>
  <c r="AQ107" i="5"/>
  <c r="X140" i="5"/>
  <c r="Z140" i="5"/>
  <c r="AV143" i="5"/>
  <c r="U153" i="5"/>
  <c r="AJ163" i="5"/>
  <c r="AM166" i="5"/>
  <c r="V174" i="5"/>
  <c r="V175" i="5" s="1"/>
  <c r="V181" i="5"/>
  <c r="AS181" i="5"/>
  <c r="AN64" i="5"/>
  <c r="AN65" i="5" s="1"/>
  <c r="AP87" i="5"/>
  <c r="AC87" i="5"/>
  <c r="AQ98" i="5"/>
  <c r="AI103" i="5"/>
  <c r="AV113" i="5"/>
  <c r="BD127" i="5"/>
  <c r="BD128" i="5" s="1"/>
  <c r="AE134" i="5"/>
  <c r="BE134" i="5" s="1"/>
  <c r="BA134" i="5"/>
  <c r="BC134" i="5"/>
  <c r="AC137" i="5"/>
  <c r="AV140" i="5"/>
  <c r="Z147" i="5"/>
  <c r="AK163" i="5"/>
  <c r="AT181" i="5"/>
  <c r="AH181" i="5"/>
  <c r="W24" i="5"/>
  <c r="AJ140" i="5"/>
  <c r="AK143" i="5"/>
  <c r="AP40" i="5"/>
  <c r="AZ183" i="5"/>
  <c r="AZ184" i="5" s="1"/>
  <c r="AZ185" i="5" s="1"/>
  <c r="AP127" i="5"/>
  <c r="AP128" i="5" s="1"/>
  <c r="BA147" i="5"/>
  <c r="BA150" i="5"/>
  <c r="AW156" i="5"/>
  <c r="AS159" i="5"/>
  <c r="X159" i="5"/>
  <c r="X163" i="5"/>
  <c r="W166" i="5"/>
  <c r="AX174" i="5"/>
  <c r="AX175" i="5" s="1"/>
  <c r="AX181" i="5"/>
  <c r="AD17" i="5"/>
  <c r="AS40" i="5"/>
  <c r="V40" i="5"/>
  <c r="AA49" i="5"/>
  <c r="AA50" i="5" s="1"/>
  <c r="AE178" i="5"/>
  <c r="BE178" i="5" s="1"/>
  <c r="S103" i="5"/>
  <c r="AN103" i="5"/>
  <c r="AE113" i="5"/>
  <c r="BE113" i="5" s="1"/>
  <c r="AJ134" i="5"/>
  <c r="BB147" i="5"/>
  <c r="AA153" i="5"/>
  <c r="Y156" i="5"/>
  <c r="W159" i="5"/>
  <c r="X166" i="5"/>
  <c r="AY181" i="5"/>
  <c r="AE181" i="5"/>
  <c r="BE181" i="5" s="1"/>
  <c r="AE156" i="5"/>
  <c r="BE156" i="5" s="1"/>
  <c r="AY159" i="5"/>
  <c r="AZ166" i="5"/>
  <c r="U134" i="5"/>
  <c r="AP134" i="5"/>
  <c r="AK140" i="5"/>
  <c r="AL143" i="5"/>
  <c r="BD153" i="5"/>
  <c r="BB156" i="5"/>
  <c r="BA166" i="5"/>
  <c r="BC174" i="5"/>
  <c r="BC175" i="5" s="1"/>
  <c r="BD87" i="5"/>
  <c r="AD96" i="5"/>
  <c r="AN137" i="5"/>
  <c r="R143" i="5"/>
  <c r="AM143" i="5"/>
  <c r="BB166" i="5"/>
  <c r="BD174" i="5"/>
  <c r="BD175" i="5" s="1"/>
  <c r="AY127" i="5"/>
  <c r="T140" i="5"/>
  <c r="AO140" i="5"/>
  <c r="U143" i="5"/>
  <c r="AP143" i="5"/>
  <c r="U150" i="5"/>
  <c r="AP150" i="5"/>
  <c r="BD159" i="5"/>
  <c r="AF163" i="5"/>
  <c r="AK174" i="5"/>
  <c r="AK175" i="5" s="1"/>
  <c r="Q43" i="5"/>
  <c r="AU24" i="5"/>
  <c r="Q39" i="5"/>
  <c r="AX183" i="5"/>
  <c r="BD113" i="5"/>
  <c r="AA113" i="5"/>
  <c r="AX113" i="5"/>
  <c r="X169" i="5"/>
  <c r="AY183" i="5"/>
  <c r="AC103" i="5"/>
  <c r="AB113" i="5"/>
  <c r="BD134" i="5"/>
  <c r="AY140" i="5"/>
  <c r="AZ143" i="5"/>
  <c r="AC147" i="5"/>
  <c r="AC150" i="5"/>
  <c r="AZ150" i="5"/>
  <c r="Y153" i="5"/>
  <c r="V166" i="5"/>
  <c r="X174" i="5"/>
  <c r="X175" i="5" s="1"/>
  <c r="AU174" i="5"/>
  <c r="AU175" i="5" s="1"/>
  <c r="AW181" i="5"/>
  <c r="AY24" i="5"/>
  <c r="AC49" i="5"/>
  <c r="AC50" i="5" s="1"/>
  <c r="Q61" i="5"/>
  <c r="AE63" i="5"/>
  <c r="BB183" i="5"/>
  <c r="AD90" i="5"/>
  <c r="BB113" i="5"/>
  <c r="AV178" i="5"/>
  <c r="AY128" i="5"/>
  <c r="AN40" i="5"/>
  <c r="AT40" i="5"/>
  <c r="AQ89" i="5"/>
  <c r="AK103" i="5"/>
  <c r="T134" i="5"/>
  <c r="X147" i="5"/>
  <c r="BC147" i="5"/>
  <c r="Z174" i="5"/>
  <c r="Z175" i="5" s="1"/>
  <c r="AE43" i="5"/>
  <c r="AL150" i="5"/>
  <c r="AV150" i="5"/>
  <c r="AS169" i="5"/>
  <c r="R103" i="5"/>
  <c r="AM103" i="5"/>
  <c r="AC127" i="5"/>
  <c r="AC128" i="5" s="1"/>
  <c r="T24" i="5"/>
  <c r="AD138" i="5"/>
  <c r="AF137" i="5"/>
  <c r="AE159" i="5"/>
  <c r="BE159" i="5" s="1"/>
  <c r="BA167" i="5"/>
  <c r="BA169" i="5" s="1"/>
  <c r="BA49" i="5"/>
  <c r="BA50" i="5" s="1"/>
  <c r="BB103" i="5"/>
  <c r="AB24" i="5"/>
  <c r="AD179" i="5"/>
  <c r="AO40" i="5"/>
  <c r="U40" i="5"/>
  <c r="AZ40" i="5"/>
  <c r="AK40" i="5"/>
  <c r="Y183" i="5"/>
  <c r="AD124" i="5"/>
  <c r="V137" i="5"/>
  <c r="AG24" i="5"/>
  <c r="S24" i="5"/>
  <c r="BA40" i="5"/>
  <c r="S49" i="5"/>
  <c r="S50" i="5" s="1"/>
  <c r="AC64" i="5"/>
  <c r="AC65" i="5" s="1"/>
  <c r="AH140" i="5"/>
  <c r="AF150" i="5"/>
  <c r="AH24" i="5"/>
  <c r="Q165" i="5"/>
  <c r="AF64" i="5"/>
  <c r="AF65" i="5" s="1"/>
  <c r="AG103" i="5"/>
  <c r="AD93" i="5"/>
  <c r="Q132" i="5"/>
  <c r="AI24" i="5"/>
  <c r="AD142" i="5"/>
  <c r="R162" i="5"/>
  <c r="R163" i="5" s="1"/>
  <c r="Q42" i="5"/>
  <c r="S128" i="5"/>
  <c r="AE162" i="5"/>
  <c r="BE162" i="5" s="1"/>
  <c r="AD42" i="5"/>
  <c r="AD162" i="5" s="1"/>
  <c r="AB87" i="5"/>
  <c r="U167" i="5"/>
  <c r="U169" i="5" s="1"/>
  <c r="U49" i="5"/>
  <c r="U50" i="5" s="1"/>
  <c r="BC167" i="5"/>
  <c r="BC169" i="5" s="1"/>
  <c r="BC49" i="5"/>
  <c r="BC50" i="5" s="1"/>
  <c r="AQ75" i="5"/>
  <c r="AQ110" i="5"/>
  <c r="Q135" i="5"/>
  <c r="AS58" i="5"/>
  <c r="AJ182" i="5"/>
  <c r="AJ184" i="5" s="1"/>
  <c r="Y127" i="5"/>
  <c r="Y128" i="5" s="1"/>
  <c r="AX40" i="5"/>
  <c r="AQ92" i="5"/>
  <c r="U113" i="5"/>
  <c r="AP113" i="5"/>
  <c r="AZ113" i="5"/>
  <c r="AA137" i="5"/>
  <c r="AD23" i="5"/>
  <c r="V134" i="5"/>
  <c r="AJ153" i="5"/>
  <c r="AT153" i="5"/>
  <c r="BC153" i="5"/>
  <c r="AP156" i="5"/>
  <c r="AL163" i="5"/>
  <c r="AX163" i="5"/>
  <c r="AG166" i="5"/>
  <c r="R174" i="5"/>
  <c r="R175" i="5" s="1"/>
  <c r="W178" i="5"/>
  <c r="U24" i="5"/>
  <c r="AQ94" i="5"/>
  <c r="Z113" i="5"/>
  <c r="AF134" i="5"/>
  <c r="AZ134" i="5"/>
  <c r="AW137" i="5"/>
  <c r="W181" i="5"/>
  <c r="Y49" i="5"/>
  <c r="Y50" i="5" s="1"/>
  <c r="T182" i="5"/>
  <c r="T64" i="5"/>
  <c r="T65" i="5" s="1"/>
  <c r="AG134" i="5"/>
  <c r="U156" i="5"/>
  <c r="AD20" i="5"/>
  <c r="V24" i="5"/>
  <c r="AY87" i="5"/>
  <c r="W87" i="5"/>
  <c r="BB87" i="5"/>
  <c r="AE150" i="5"/>
  <c r="BE150" i="5" s="1"/>
  <c r="AK153" i="5"/>
  <c r="AU153" i="5"/>
  <c r="Z153" i="5"/>
  <c r="V156" i="5"/>
  <c r="Q20" i="5"/>
  <c r="BA137" i="5"/>
  <c r="AG137" i="5"/>
  <c r="Y147" i="5"/>
  <c r="BD147" i="5"/>
  <c r="AJ147" i="5"/>
  <c r="AS103" i="5"/>
  <c r="AK134" i="5"/>
  <c r="BB137" i="5"/>
  <c r="AH137" i="5"/>
  <c r="S153" i="5"/>
  <c r="AN153" i="5"/>
  <c r="AC153" i="5"/>
  <c r="AU166" i="5"/>
  <c r="R181" i="5"/>
  <c r="Z24" i="5"/>
  <c r="AL103" i="5"/>
  <c r="AL134" i="5"/>
  <c r="AI143" i="5"/>
  <c r="AS143" i="5"/>
  <c r="T153" i="5"/>
  <c r="AV166" i="5"/>
  <c r="AB178" i="5"/>
  <c r="X182" i="5"/>
  <c r="BB40" i="5"/>
  <c r="W40" i="5"/>
  <c r="AK64" i="5"/>
  <c r="AK65" i="5" s="1"/>
  <c r="AK182" i="5"/>
  <c r="AV182" i="5"/>
  <c r="AV64" i="5"/>
  <c r="AV65" i="5" s="1"/>
  <c r="AC183" i="5"/>
  <c r="AC184" i="5" s="1"/>
  <c r="AS87" i="5"/>
  <c r="Z103" i="5"/>
  <c r="AE153" i="5"/>
  <c r="BE153" i="5" s="1"/>
  <c r="Y24" i="5"/>
  <c r="AD146" i="5"/>
  <c r="X40" i="5"/>
  <c r="AL64" i="5"/>
  <c r="AL65" i="5" s="1"/>
  <c r="AW182" i="5"/>
  <c r="AT87" i="5"/>
  <c r="AD102" i="5"/>
  <c r="AP140" i="5"/>
  <c r="AZ140" i="5"/>
  <c r="Y143" i="5"/>
  <c r="BD143" i="5"/>
  <c r="R147" i="5"/>
  <c r="AM147" i="5"/>
  <c r="AW147" i="5"/>
  <c r="AL156" i="5"/>
  <c r="AV156" i="5"/>
  <c r="AA156" i="5"/>
  <c r="AI174" i="5"/>
  <c r="AI175" i="5" s="1"/>
  <c r="S178" i="5"/>
  <c r="AO178" i="5"/>
  <c r="BA178" i="5"/>
  <c r="AX24" i="5"/>
  <c r="Q138" i="5"/>
  <c r="Y40" i="5"/>
  <c r="BD40" i="5"/>
  <c r="AH40" i="5"/>
  <c r="AF183" i="5"/>
  <c r="AF184" i="5" s="1"/>
  <c r="AQ91" i="5"/>
  <c r="S147" i="5"/>
  <c r="AN147" i="5"/>
  <c r="AX147" i="5"/>
  <c r="Z150" i="5"/>
  <c r="R156" i="5"/>
  <c r="AM156" i="5"/>
  <c r="W127" i="5"/>
  <c r="W128" i="5" s="1"/>
  <c r="AM127" i="5"/>
  <c r="AM128" i="5" s="1"/>
  <c r="AB134" i="5"/>
  <c r="AU147" i="5"/>
  <c r="R150" i="5"/>
  <c r="AM150" i="5"/>
  <c r="AB150" i="5"/>
  <c r="AL153" i="5"/>
  <c r="AV153" i="5"/>
  <c r="S156" i="5"/>
  <c r="AX156" i="5"/>
  <c r="AL178" i="5"/>
  <c r="AX178" i="5"/>
  <c r="AF178" i="5"/>
  <c r="Q158" i="5"/>
  <c r="Q46" i="5"/>
  <c r="Z49" i="5"/>
  <c r="Z50" i="5" s="1"/>
  <c r="AA182" i="5"/>
  <c r="T183" i="5"/>
  <c r="AO183" i="5"/>
  <c r="AN87" i="5"/>
  <c r="BA87" i="5"/>
  <c r="Q106" i="5"/>
  <c r="AQ120" i="5"/>
  <c r="AI128" i="5"/>
  <c r="AQ123" i="5"/>
  <c r="X127" i="5"/>
  <c r="X128" i="5" s="1"/>
  <c r="AZ127" i="5"/>
  <c r="AZ128" i="5" s="1"/>
  <c r="AY137" i="5"/>
  <c r="AV147" i="5"/>
  <c r="S150" i="5"/>
  <c r="AX150" i="5"/>
  <c r="R153" i="5"/>
  <c r="AM153" i="5"/>
  <c r="AW153" i="5"/>
  <c r="AO156" i="5"/>
  <c r="Y163" i="5"/>
  <c r="S163" i="5"/>
  <c r="AW174" i="5"/>
  <c r="AW175" i="5" s="1"/>
  <c r="AY178" i="5"/>
  <c r="AF181" i="5"/>
  <c r="AB163" i="5"/>
  <c r="T178" i="5"/>
  <c r="AP178" i="5"/>
  <c r="AT24" i="5"/>
  <c r="AD141" i="5"/>
  <c r="AD39" i="5"/>
  <c r="AG182" i="5"/>
  <c r="BC87" i="5"/>
  <c r="AE103" i="5"/>
  <c r="BE103" i="5" s="1"/>
  <c r="V127" i="5"/>
  <c r="V128" i="5" s="1"/>
  <c r="AS137" i="5"/>
  <c r="AS140" i="5"/>
  <c r="U147" i="5"/>
  <c r="AP147" i="5"/>
  <c r="AZ147" i="5"/>
  <c r="V153" i="5"/>
  <c r="BC156" i="5"/>
  <c r="Z159" i="5"/>
  <c r="AC163" i="5"/>
  <c r="S166" i="5"/>
  <c r="AN166" i="5"/>
  <c r="AX166" i="5"/>
  <c r="BA174" i="5"/>
  <c r="BA175" i="5" s="1"/>
  <c r="AJ181" i="5"/>
  <c r="AB166" i="5"/>
  <c r="BB24" i="5"/>
  <c r="Q164" i="5"/>
  <c r="Y169" i="5"/>
  <c r="U182" i="5"/>
  <c r="AH87" i="5"/>
  <c r="AX103" i="5"/>
  <c r="AT127" i="5"/>
  <c r="AT128" i="5" s="1"/>
  <c r="AG153" i="5"/>
  <c r="AY143" i="5"/>
  <c r="AG150" i="5"/>
  <c r="AT159" i="5"/>
  <c r="R166" i="5"/>
  <c r="AP174" i="5"/>
  <c r="AP175" i="5" s="1"/>
  <c r="X24" i="5"/>
  <c r="AC40" i="5"/>
  <c r="AL40" i="5"/>
  <c r="AD164" i="5"/>
  <c r="Z169" i="5"/>
  <c r="AZ103" i="5"/>
  <c r="AO103" i="5"/>
  <c r="AQ105" i="5"/>
  <c r="AO127" i="5"/>
  <c r="AO128" i="5" s="1"/>
  <c r="AI134" i="5"/>
  <c r="Y137" i="5"/>
  <c r="BD137" i="5"/>
  <c r="V143" i="5"/>
  <c r="BA143" i="5"/>
  <c r="AI150" i="5"/>
  <c r="BC150" i="5"/>
  <c r="AH153" i="5"/>
  <c r="AJ156" i="5"/>
  <c r="AT156" i="5"/>
  <c r="BD156" i="5"/>
  <c r="AV159" i="5"/>
  <c r="AA159" i="5"/>
  <c r="AP163" i="5"/>
  <c r="BB163" i="5"/>
  <c r="AE166" i="5"/>
  <c r="BE166" i="5" s="1"/>
  <c r="AT178" i="5"/>
  <c r="Z181" i="5"/>
  <c r="AE143" i="5"/>
  <c r="AJ159" i="5"/>
  <c r="AF174" i="5"/>
  <c r="AF175" i="5" s="1"/>
  <c r="AD135" i="5"/>
  <c r="W64" i="5"/>
  <c r="W65" i="5" s="1"/>
  <c r="AK183" i="5"/>
  <c r="BA103" i="5"/>
  <c r="Q102" i="5"/>
  <c r="AT113" i="5"/>
  <c r="T127" i="5"/>
  <c r="T128" i="5" s="1"/>
  <c r="BB127" i="5"/>
  <c r="BB128" i="5" s="1"/>
  <c r="W143" i="5"/>
  <c r="AJ150" i="5"/>
  <c r="AT150" i="5"/>
  <c r="BD150" i="5"/>
  <c r="AI153" i="5"/>
  <c r="AS153" i="5"/>
  <c r="AK156" i="5"/>
  <c r="AU156" i="5"/>
  <c r="R159" i="5"/>
  <c r="AM159" i="5"/>
  <c r="U163" i="5"/>
  <c r="BC163" i="5"/>
  <c r="AF166" i="5"/>
  <c r="AU178" i="5"/>
  <c r="AA181" i="5"/>
  <c r="AL181" i="5"/>
  <c r="X87" i="5"/>
  <c r="AE127" i="5"/>
  <c r="BE127" i="5" s="1"/>
  <c r="AD121" i="5"/>
  <c r="S40" i="5"/>
  <c r="AM40" i="5"/>
  <c r="Q161" i="5"/>
  <c r="R177" i="5"/>
  <c r="R178" i="5" s="1"/>
  <c r="Q57" i="5"/>
  <c r="AH182" i="5"/>
  <c r="AH184" i="5" s="1"/>
  <c r="AH64" i="5"/>
  <c r="AH65" i="5" s="1"/>
  <c r="AD136" i="5"/>
  <c r="Q141" i="5"/>
  <c r="Z40" i="5"/>
  <c r="AD177" i="5"/>
  <c r="U87" i="5"/>
  <c r="Q33" i="5"/>
  <c r="AJ24" i="5"/>
  <c r="AS24" i="5"/>
  <c r="Q23" i="5"/>
  <c r="AA40" i="5"/>
  <c r="Q151" i="5"/>
  <c r="AE161" i="5"/>
  <c r="AD41" i="5"/>
  <c r="AQ41" i="5" s="1"/>
  <c r="AD165" i="5"/>
  <c r="Y103" i="5"/>
  <c r="BC103" i="5"/>
  <c r="AQ97" i="5"/>
  <c r="AQ101" i="5"/>
  <c r="T113" i="5"/>
  <c r="Q126" i="5"/>
  <c r="AM184" i="5"/>
  <c r="AD36" i="5"/>
  <c r="W167" i="5"/>
  <c r="W169" i="5" s="1"/>
  <c r="W49" i="5"/>
  <c r="W50" i="5" s="1"/>
  <c r="AW183" i="5"/>
  <c r="AS63" i="5"/>
  <c r="AS183" i="5" s="1"/>
  <c r="Q86" i="5"/>
  <c r="BC127" i="5"/>
  <c r="BC128" i="5" s="1"/>
  <c r="Q154" i="5"/>
  <c r="Q14" i="5"/>
  <c r="AE40" i="5"/>
  <c r="Y87" i="5"/>
  <c r="AQ108" i="5"/>
  <c r="AN24" i="5"/>
  <c r="Q145" i="5"/>
  <c r="Q27" i="5"/>
  <c r="AD158" i="5"/>
  <c r="AX182" i="5"/>
  <c r="AX64" i="5"/>
  <c r="AX65" i="5" s="1"/>
  <c r="S183" i="5"/>
  <c r="Q63" i="5"/>
  <c r="AQ119" i="5"/>
  <c r="AG143" i="5"/>
  <c r="R50" i="5"/>
  <c r="V182" i="5"/>
  <c r="R62" i="5"/>
  <c r="V64" i="5"/>
  <c r="V65" i="5" s="1"/>
  <c r="AD46" i="5"/>
  <c r="AF167" i="5"/>
  <c r="AD47" i="5"/>
  <c r="Q133" i="5"/>
  <c r="Q67" i="5"/>
  <c r="AP24" i="5"/>
  <c r="AD33" i="5"/>
  <c r="AG167" i="5"/>
  <c r="AG169" i="5" s="1"/>
  <c r="AG49" i="5"/>
  <c r="AG50" i="5" s="1"/>
  <c r="BC24" i="5"/>
  <c r="AV40" i="5"/>
  <c r="AH167" i="5"/>
  <c r="AH169" i="5" s="1"/>
  <c r="AH49" i="5"/>
  <c r="AH50" i="5" s="1"/>
  <c r="AW64" i="5"/>
  <c r="AW65" i="5" s="1"/>
  <c r="Q80" i="5"/>
  <c r="BD24" i="5"/>
  <c r="AD139" i="5"/>
  <c r="Q30" i="5"/>
  <c r="AW40" i="5"/>
  <c r="AT167" i="5"/>
  <c r="AT169" i="5" s="1"/>
  <c r="AT49" i="5"/>
  <c r="AT50" i="5" s="1"/>
  <c r="Z182" i="5"/>
  <c r="Z183" i="5"/>
  <c r="AZ64" i="5"/>
  <c r="AZ65" i="5" s="1"/>
  <c r="AL113" i="5"/>
  <c r="AO182" i="5"/>
  <c r="AO64" i="5"/>
  <c r="AO65" i="5" s="1"/>
  <c r="BA183" i="5"/>
  <c r="BA184" i="5" s="1"/>
  <c r="BA64" i="5"/>
  <c r="BA65" i="5" s="1"/>
  <c r="BB182" i="5"/>
  <c r="AA24" i="5"/>
  <c r="Q155" i="5"/>
  <c r="AY40" i="5"/>
  <c r="AJ167" i="5"/>
  <c r="AJ169" i="5" s="1"/>
  <c r="AJ49" i="5"/>
  <c r="AJ50" i="5" s="1"/>
  <c r="AU167" i="5"/>
  <c r="AU169" i="5" s="1"/>
  <c r="AU49" i="5"/>
  <c r="AU50" i="5" s="1"/>
  <c r="AA183" i="5"/>
  <c r="BB64" i="5"/>
  <c r="BB65" i="5" s="1"/>
  <c r="Q17" i="5"/>
  <c r="AD148" i="5"/>
  <c r="AK167" i="5"/>
  <c r="AK169" i="5" s="1"/>
  <c r="AK49" i="5"/>
  <c r="AK50" i="5" s="1"/>
  <c r="AV167" i="5"/>
  <c r="AV169" i="5" s="1"/>
  <c r="AV49" i="5"/>
  <c r="AV50" i="5" s="1"/>
  <c r="Q48" i="5"/>
  <c r="U64" i="5"/>
  <c r="U65" i="5" s="1"/>
  <c r="S113" i="5"/>
  <c r="Q112" i="5"/>
  <c r="U137" i="5"/>
  <c r="AD132" i="5"/>
  <c r="AP64" i="5"/>
  <c r="AP65" i="5" s="1"/>
  <c r="AP182" i="5"/>
  <c r="AQ12" i="5"/>
  <c r="BC183" i="5"/>
  <c r="BC64" i="5"/>
  <c r="BC65" i="5" s="1"/>
  <c r="S87" i="5"/>
  <c r="Q83" i="5"/>
  <c r="Z127" i="5"/>
  <c r="Z128" i="5" s="1"/>
  <c r="Q146" i="5"/>
  <c r="AD30" i="5"/>
  <c r="AJ40" i="5"/>
  <c r="AD154" i="5"/>
  <c r="AB127" i="5"/>
  <c r="AB128" i="5" s="1"/>
  <c r="AC24" i="5"/>
  <c r="AD27" i="5"/>
  <c r="AI40" i="5"/>
  <c r="R40" i="5"/>
  <c r="AL167" i="5"/>
  <c r="AL169" i="5" s="1"/>
  <c r="AL49" i="5"/>
  <c r="AL50" i="5" s="1"/>
  <c r="AW167" i="5"/>
  <c r="AW169" i="5" s="1"/>
  <c r="AW49" i="5"/>
  <c r="AW50" i="5" s="1"/>
  <c r="Y64" i="5"/>
  <c r="Y65" i="5" s="1"/>
  <c r="AK87" i="5"/>
  <c r="AU87" i="5"/>
  <c r="AW103" i="5"/>
  <c r="AO113" i="5"/>
  <c r="AY113" i="5"/>
  <c r="Q179" i="5"/>
  <c r="AE24" i="5"/>
  <c r="AD14" i="5"/>
  <c r="R24" i="5"/>
  <c r="Q149" i="5"/>
  <c r="AM167" i="5"/>
  <c r="AM169" i="5" s="1"/>
  <c r="AM49" i="5"/>
  <c r="AM50" i="5" s="1"/>
  <c r="AX167" i="5"/>
  <c r="AX169" i="5" s="1"/>
  <c r="AX49" i="5"/>
  <c r="AX50" i="5" s="1"/>
  <c r="AF49" i="5"/>
  <c r="AD54" i="5"/>
  <c r="AD62" i="5"/>
  <c r="Q77" i="5"/>
  <c r="AD118" i="5"/>
  <c r="Q118" i="5"/>
  <c r="AF24" i="5"/>
  <c r="AU40" i="5"/>
  <c r="Q47" i="5"/>
  <c r="AN167" i="5"/>
  <c r="AN169" i="5" s="1"/>
  <c r="AN49" i="5"/>
  <c r="AN50" i="5" s="1"/>
  <c r="AY167" i="5"/>
  <c r="AY169" i="5" s="1"/>
  <c r="AY49" i="5"/>
  <c r="AY50" i="5" s="1"/>
  <c r="BB168" i="5"/>
  <c r="BB169" i="5" s="1"/>
  <c r="BB49" i="5"/>
  <c r="BB50" i="5" s="1"/>
  <c r="AO49" i="5"/>
  <c r="AO50" i="5" s="1"/>
  <c r="R58" i="5"/>
  <c r="Q58" i="5" s="1"/>
  <c r="AD61" i="5"/>
  <c r="AA64" i="5"/>
  <c r="AA65" i="5" s="1"/>
  <c r="R87" i="5"/>
  <c r="AM87" i="5"/>
  <c r="AQ88" i="5"/>
  <c r="AA103" i="5"/>
  <c r="BD103" i="5"/>
  <c r="Q109" i="5"/>
  <c r="AB143" i="5"/>
  <c r="Q139" i="5"/>
  <c r="Q148" i="5"/>
  <c r="AI169" i="5"/>
  <c r="U183" i="5"/>
  <c r="AB103" i="5"/>
  <c r="AT103" i="5"/>
  <c r="AD106" i="5"/>
  <c r="BA113" i="5"/>
  <c r="AC143" i="5"/>
  <c r="W182" i="5"/>
  <c r="AD145" i="5"/>
  <c r="BC40" i="5"/>
  <c r="AS43" i="5"/>
  <c r="AS50" i="5" s="1"/>
  <c r="T167" i="5"/>
  <c r="T169" i="5" s="1"/>
  <c r="T49" i="5"/>
  <c r="T50" i="5" s="1"/>
  <c r="AP167" i="5"/>
  <c r="AP169" i="5" s="1"/>
  <c r="AP49" i="5"/>
  <c r="AP50" i="5" s="1"/>
  <c r="AZ167" i="5"/>
  <c r="AZ169" i="5" s="1"/>
  <c r="AZ49" i="5"/>
  <c r="AZ50" i="5" s="1"/>
  <c r="AD67" i="5"/>
  <c r="BB174" i="5"/>
  <c r="BB175" i="5" s="1"/>
  <c r="AW87" i="5"/>
  <c r="AD86" i="5"/>
  <c r="AH127" i="5"/>
  <c r="AH128" i="5" s="1"/>
  <c r="AD125" i="5"/>
  <c r="AB40" i="5"/>
  <c r="V167" i="5"/>
  <c r="V169" i="5" s="1"/>
  <c r="V49" i="5"/>
  <c r="V50" i="5" s="1"/>
  <c r="Q54" i="5"/>
  <c r="T87" i="5"/>
  <c r="AO87" i="5"/>
  <c r="AX87" i="5"/>
  <c r="AD112" i="5"/>
  <c r="AF113" i="5"/>
  <c r="Q117" i="5"/>
  <c r="AS182" i="5"/>
  <c r="AG183" i="5"/>
  <c r="AG64" i="5"/>
  <c r="AG65" i="5" s="1"/>
  <c r="AD83" i="5"/>
  <c r="AQ84" i="5"/>
  <c r="Q93" i="5"/>
  <c r="AI113" i="5"/>
  <c r="Q124" i="5"/>
  <c r="R127" i="5"/>
  <c r="AD172" i="5"/>
  <c r="AI182" i="5"/>
  <c r="AI184" i="5" s="1"/>
  <c r="AI64" i="5"/>
  <c r="AI65" i="5" s="1"/>
  <c r="AV163" i="5"/>
  <c r="AI49" i="5"/>
  <c r="AI50" i="5" s="1"/>
  <c r="Q173" i="5"/>
  <c r="AT182" i="5"/>
  <c r="AT64" i="5"/>
  <c r="AT65" i="5" s="1"/>
  <c r="U103" i="5"/>
  <c r="AG40" i="5"/>
  <c r="AU182" i="5"/>
  <c r="AU64" i="5"/>
  <c r="AU65" i="5" s="1"/>
  <c r="AK113" i="5"/>
  <c r="AU113" i="5"/>
  <c r="R113" i="5"/>
  <c r="Q142" i="5"/>
  <c r="Q152" i="5"/>
  <c r="AB167" i="5"/>
  <c r="AB169" i="5" s="1"/>
  <c r="AB49" i="5"/>
  <c r="AB50" i="5" s="1"/>
  <c r="AF168" i="5"/>
  <c r="AD48" i="5"/>
  <c r="S182" i="5"/>
  <c r="S64" i="5"/>
  <c r="S65" i="5" s="1"/>
  <c r="AM64" i="5"/>
  <c r="AM65" i="5" s="1"/>
  <c r="Z87" i="5"/>
  <c r="Q90" i="5"/>
  <c r="W103" i="5"/>
  <c r="AD99" i="5"/>
  <c r="AD109" i="5"/>
  <c r="Q157" i="5"/>
  <c r="AD80" i="5"/>
  <c r="AE87" i="5"/>
  <c r="BE87" i="5" s="1"/>
  <c r="X103" i="5"/>
  <c r="AJ113" i="5"/>
  <c r="AW113" i="5"/>
  <c r="AI137" i="5"/>
  <c r="BD49" i="5"/>
  <c r="BD50" i="5" s="1"/>
  <c r="R55" i="5"/>
  <c r="Q55" i="5" s="1"/>
  <c r="AS178" i="5"/>
  <c r="AB183" i="5"/>
  <c r="AV87" i="5"/>
  <c r="V103" i="5"/>
  <c r="Q121" i="5"/>
  <c r="Q125" i="5"/>
  <c r="AI140" i="5"/>
  <c r="AG156" i="5"/>
  <c r="Y174" i="5"/>
  <c r="Y175" i="5" s="1"/>
  <c r="AI178" i="5"/>
  <c r="AY182" i="5"/>
  <c r="Y182" i="5"/>
  <c r="AD77" i="5"/>
  <c r="AH103" i="5"/>
  <c r="Q99" i="5"/>
  <c r="V113" i="5"/>
  <c r="BC182" i="5"/>
  <c r="V183" i="5"/>
  <c r="AP183" i="5"/>
  <c r="X113" i="5"/>
  <c r="BB143" i="5"/>
  <c r="AD56" i="5"/>
  <c r="AB182" i="5"/>
  <c r="BD182" i="5"/>
  <c r="BD184" i="5" s="1"/>
  <c r="W183" i="5"/>
  <c r="Q96" i="5"/>
  <c r="Y113" i="5"/>
  <c r="AD117" i="5"/>
  <c r="AT147" i="5"/>
  <c r="AY174" i="5"/>
  <c r="AY175" i="5" s="1"/>
  <c r="X49" i="5"/>
  <c r="X50" i="5" s="1"/>
  <c r="X183" i="5"/>
  <c r="AF87" i="5"/>
  <c r="AL147" i="5"/>
  <c r="U174" i="5"/>
  <c r="U175" i="5" s="1"/>
  <c r="AU103" i="5"/>
  <c r="AK147" i="5"/>
  <c r="AS147" i="5"/>
  <c r="AS166" i="5"/>
  <c r="R134" i="5"/>
  <c r="AU134" i="5"/>
  <c r="R137" i="5"/>
  <c r="AL137" i="5"/>
  <c r="AT137" i="5"/>
  <c r="AL140" i="5"/>
  <c r="W163" i="5"/>
  <c r="AD126" i="5"/>
  <c r="S134" i="5"/>
  <c r="AN134" i="5"/>
  <c r="AV134" i="5"/>
  <c r="S137" i="5"/>
  <c r="AM137" i="5"/>
  <c r="AU137" i="5"/>
  <c r="R140" i="5"/>
  <c r="AM140" i="5"/>
  <c r="AU140" i="5"/>
  <c r="AO143" i="5"/>
  <c r="AW143" i="5"/>
  <c r="AB159" i="5"/>
  <c r="U178" i="5"/>
  <c r="BB178" i="5"/>
  <c r="AG127" i="5"/>
  <c r="AG128" i="5" s="1"/>
  <c r="AO134" i="5"/>
  <c r="AC113" i="5"/>
  <c r="AJ127" i="5"/>
  <c r="AJ128" i="5" s="1"/>
  <c r="AG159" i="5"/>
  <c r="AH159" i="5"/>
  <c r="Z178" i="5"/>
  <c r="Z143" i="5"/>
  <c r="AF153" i="5"/>
  <c r="AC159" i="5"/>
  <c r="T163" i="5"/>
  <c r="AN163" i="5"/>
  <c r="AY163" i="5"/>
  <c r="AA143" i="5"/>
  <c r="Y166" i="5"/>
  <c r="AF147" i="5"/>
  <c r="AK150" i="5"/>
  <c r="AS150" i="5"/>
  <c r="AF156" i="5"/>
  <c r="AK181" i="5"/>
  <c r="AG147" i="5"/>
  <c r="AU181" i="5"/>
  <c r="AH147" i="5"/>
  <c r="AH156" i="5"/>
  <c r="AM181" i="5"/>
  <c r="AV181" i="5"/>
  <c r="AI147" i="5"/>
  <c r="AI156" i="5"/>
  <c r="S181" i="5"/>
  <c r="AN181" i="5"/>
  <c r="BK113" i="4"/>
  <c r="BE122" i="4"/>
  <c r="AQ29" i="4"/>
  <c r="BO87" i="4"/>
  <c r="BI103" i="4"/>
  <c r="BL143" i="4"/>
  <c r="BO163" i="4"/>
  <c r="BK166" i="4"/>
  <c r="BE111" i="4"/>
  <c r="BE97" i="4"/>
  <c r="BE104" i="4"/>
  <c r="AQ92" i="4"/>
  <c r="BG134" i="4"/>
  <c r="BP163" i="4"/>
  <c r="BL166" i="4"/>
  <c r="BL113" i="4"/>
  <c r="BM159" i="4"/>
  <c r="BQ181" i="4"/>
  <c r="BM113" i="4"/>
  <c r="BQ140" i="4"/>
  <c r="BJ174" i="4"/>
  <c r="BJ175" i="4" s="1"/>
  <c r="BG147" i="4"/>
  <c r="BE98" i="4"/>
  <c r="AQ81" i="4"/>
  <c r="AQ138" i="4" s="1"/>
  <c r="BR87" i="4"/>
  <c r="BH169" i="4"/>
  <c r="BJ178" i="4"/>
  <c r="BL159" i="4"/>
  <c r="AQ32" i="4"/>
  <c r="BK87" i="4"/>
  <c r="AE169" i="4"/>
  <c r="BE88" i="4"/>
  <c r="AQ75" i="4"/>
  <c r="AQ119" i="4"/>
  <c r="AG156" i="4"/>
  <c r="BA150" i="4"/>
  <c r="BP150" i="4"/>
  <c r="BE22" i="4"/>
  <c r="AQ22" i="4"/>
  <c r="AQ142" i="4" s="1"/>
  <c r="BL150" i="4"/>
  <c r="BG103" i="4"/>
  <c r="BM150" i="4"/>
  <c r="BR181" i="4"/>
  <c r="BE21" i="4"/>
  <c r="BJ87" i="4"/>
  <c r="BO169" i="4"/>
  <c r="BH128" i="4"/>
  <c r="BE123" i="4"/>
  <c r="AQ107" i="4"/>
  <c r="AQ164" i="4" s="1"/>
  <c r="BR65" i="4"/>
  <c r="BH103" i="4"/>
  <c r="BP140" i="4"/>
  <c r="BK143" i="4"/>
  <c r="BI174" i="4"/>
  <c r="BI175" i="4" s="1"/>
  <c r="BH150" i="4"/>
  <c r="BQ184" i="4"/>
  <c r="BI150" i="4"/>
  <c r="BO24" i="4"/>
  <c r="BM50" i="4"/>
  <c r="BN134" i="4"/>
  <c r="BH137" i="4"/>
  <c r="BJ150" i="4"/>
  <c r="BP24" i="4"/>
  <c r="BN169" i="4"/>
  <c r="BO134" i="4"/>
  <c r="BI137" i="4"/>
  <c r="BQ137" i="4"/>
  <c r="BM147" i="4"/>
  <c r="BO178" i="4"/>
  <c r="U103" i="4"/>
  <c r="BN40" i="4"/>
  <c r="BM87" i="4"/>
  <c r="BI153" i="4"/>
  <c r="BL87" i="4"/>
  <c r="BK163" i="4"/>
  <c r="AD139" i="4"/>
  <c r="BB128" i="4"/>
  <c r="AU137" i="4"/>
  <c r="BC137" i="4"/>
  <c r="AY150" i="4"/>
  <c r="BO40" i="4"/>
  <c r="BN87" i="4"/>
  <c r="BI143" i="4"/>
  <c r="BJ153" i="4"/>
  <c r="BI166" i="4"/>
  <c r="BG174" i="4"/>
  <c r="BG175" i="4" s="1"/>
  <c r="BO181" i="4"/>
  <c r="X153" i="4"/>
  <c r="BD147" i="4"/>
  <c r="AQ19" i="4"/>
  <c r="BP40" i="4"/>
  <c r="BJ143" i="4"/>
  <c r="BK153" i="4"/>
  <c r="BJ166" i="4"/>
  <c r="BH174" i="4"/>
  <c r="BH175" i="4" s="1"/>
  <c r="BP174" i="4"/>
  <c r="BP175" i="4" s="1"/>
  <c r="BP181" i="4"/>
  <c r="Q177" i="4"/>
  <c r="AU147" i="4"/>
  <c r="AS174" i="4"/>
  <c r="AS175" i="4" s="1"/>
  <c r="BA174" i="4"/>
  <c r="BA175" i="4" s="1"/>
  <c r="BI24" i="4"/>
  <c r="BG127" i="4"/>
  <c r="BG128" i="4" s="1"/>
  <c r="BH134" i="4"/>
  <c r="BM143" i="4"/>
  <c r="BP156" i="4"/>
  <c r="BQ163" i="4"/>
  <c r="BM166" i="4"/>
  <c r="BK174" i="4"/>
  <c r="BK175" i="4" s="1"/>
  <c r="BG181" i="4"/>
  <c r="BM184" i="4"/>
  <c r="AT174" i="4"/>
  <c r="AT175" i="4" s="1"/>
  <c r="BB174" i="4"/>
  <c r="BB175" i="4" s="1"/>
  <c r="BJ24" i="4"/>
  <c r="BH50" i="4"/>
  <c r="BG87" i="4"/>
  <c r="BQ134" i="4"/>
  <c r="BN143" i="4"/>
  <c r="BQ150" i="4"/>
  <c r="BG153" i="4"/>
  <c r="BQ156" i="4"/>
  <c r="BR163" i="4"/>
  <c r="BN166" i="4"/>
  <c r="BN184" i="4"/>
  <c r="Z40" i="4"/>
  <c r="BC156" i="4"/>
  <c r="BK24" i="4"/>
  <c r="BO184" i="4"/>
  <c r="BD156" i="4"/>
  <c r="BL24" i="4"/>
  <c r="BP184" i="4"/>
  <c r="BO103" i="4"/>
  <c r="BP103" i="4"/>
  <c r="BG40" i="4"/>
  <c r="BJ168" i="4"/>
  <c r="BJ169" i="4" s="1"/>
  <c r="BJ49" i="4"/>
  <c r="BJ50" i="4" s="1"/>
  <c r="BK168" i="4"/>
  <c r="BK169" i="4" s="1"/>
  <c r="BK49" i="4"/>
  <c r="BK50" i="4" s="1"/>
  <c r="BR169" i="4"/>
  <c r="BN50" i="4"/>
  <c r="BO127" i="4"/>
  <c r="BO128" i="4" s="1"/>
  <c r="BI134" i="4"/>
  <c r="BM140" i="4"/>
  <c r="BP169" i="4"/>
  <c r="BO50" i="4"/>
  <c r="BP127" i="4"/>
  <c r="BP128" i="4" s="1"/>
  <c r="BJ134" i="4"/>
  <c r="BN140" i="4"/>
  <c r="BL163" i="4"/>
  <c r="BL40" i="4"/>
  <c r="BG43" i="4"/>
  <c r="BG50" i="4" s="1"/>
  <c r="BG58" i="4"/>
  <c r="BQ127" i="4"/>
  <c r="BQ128" i="4" s="1"/>
  <c r="BK134" i="4"/>
  <c r="BO140" i="4"/>
  <c r="BM163" i="4"/>
  <c r="BM40" i="4"/>
  <c r="BQ49" i="4"/>
  <c r="BQ50" i="4" s="1"/>
  <c r="BH87" i="4"/>
  <c r="BR128" i="4"/>
  <c r="BN163" i="4"/>
  <c r="BJ40" i="4"/>
  <c r="BI50" i="4"/>
  <c r="BP137" i="4"/>
  <c r="BO174" i="4"/>
  <c r="BO175" i="4" s="1"/>
  <c r="BQ24" i="4"/>
  <c r="BK40" i="4"/>
  <c r="BH65" i="4"/>
  <c r="BL169" i="4"/>
  <c r="BR24" i="4"/>
  <c r="BI65" i="4"/>
  <c r="BM169" i="4"/>
  <c r="BL50" i="4"/>
  <c r="BJ64" i="4"/>
  <c r="BJ65" i="4" s="1"/>
  <c r="BK140" i="4"/>
  <c r="BQ103" i="4"/>
  <c r="BM137" i="4"/>
  <c r="BQ143" i="4"/>
  <c r="BP166" i="4"/>
  <c r="BL174" i="4"/>
  <c r="BL175" i="4" s="1"/>
  <c r="BH40" i="4"/>
  <c r="BG62" i="4"/>
  <c r="BK182" i="4"/>
  <c r="BK184" i="4" s="1"/>
  <c r="BR103" i="4"/>
  <c r="BN137" i="4"/>
  <c r="BR143" i="4"/>
  <c r="BQ166" i="4"/>
  <c r="BM174" i="4"/>
  <c r="BM175" i="4" s="1"/>
  <c r="BI40" i="4"/>
  <c r="BO137" i="4"/>
  <c r="BG150" i="4"/>
  <c r="BR166" i="4"/>
  <c r="BN174" i="4"/>
  <c r="BN175" i="4" s="1"/>
  <c r="BQ169" i="4"/>
  <c r="BQ64" i="4"/>
  <c r="BQ65" i="4" s="1"/>
  <c r="BK64" i="4"/>
  <c r="BK65" i="4" s="1"/>
  <c r="BN127" i="4"/>
  <c r="BN128" i="4" s="1"/>
  <c r="BL140" i="4"/>
  <c r="BG159" i="4"/>
  <c r="AL128" i="4"/>
  <c r="BC150" i="4"/>
  <c r="AW153" i="4"/>
  <c r="AX153" i="4"/>
  <c r="AK156" i="4"/>
  <c r="AY153" i="4"/>
  <c r="AU156" i="4"/>
  <c r="AD138" i="4"/>
  <c r="W169" i="4"/>
  <c r="AA24" i="4"/>
  <c r="AD148" i="4"/>
  <c r="X169" i="4"/>
  <c r="AB24" i="4"/>
  <c r="AD149" i="4"/>
  <c r="K163" i="4"/>
  <c r="AZ156" i="4"/>
  <c r="BD181" i="4"/>
  <c r="AS103" i="4"/>
  <c r="AU143" i="4"/>
  <c r="AU174" i="4"/>
  <c r="AU175" i="4" s="1"/>
  <c r="AV143" i="4"/>
  <c r="AY159" i="4"/>
  <c r="AV174" i="4"/>
  <c r="AV175" i="4" s="1"/>
  <c r="BD174" i="4"/>
  <c r="BD175" i="4" s="1"/>
  <c r="AQ165" i="4"/>
  <c r="AW174" i="4"/>
  <c r="AW175" i="4" s="1"/>
  <c r="AT178" i="4"/>
  <c r="BA113" i="4"/>
  <c r="AH128" i="4"/>
  <c r="BD40" i="4"/>
  <c r="BA156" i="4"/>
  <c r="AD145" i="4"/>
  <c r="BB156" i="4"/>
  <c r="AK147" i="4"/>
  <c r="AU153" i="4"/>
  <c r="AD151" i="4"/>
  <c r="AK128" i="4"/>
  <c r="AL147" i="4"/>
  <c r="AH150" i="4"/>
  <c r="AY40" i="4"/>
  <c r="AX147" i="4"/>
  <c r="W140" i="4"/>
  <c r="S143" i="4"/>
  <c r="W147" i="4"/>
  <c r="W178" i="4"/>
  <c r="AG64" i="4"/>
  <c r="AG65" i="4" s="1"/>
  <c r="AG127" i="4"/>
  <c r="AG128" i="4" s="1"/>
  <c r="AO140" i="4"/>
  <c r="AG153" i="4"/>
  <c r="AH181" i="4"/>
  <c r="BD182" i="4"/>
  <c r="BD184" i="4" s="1"/>
  <c r="AY113" i="4"/>
  <c r="AX127" i="4"/>
  <c r="AX128" i="4" s="1"/>
  <c r="AU134" i="4"/>
  <c r="BC143" i="4"/>
  <c r="BA153" i="4"/>
  <c r="AW156" i="4"/>
  <c r="AZ166" i="4"/>
  <c r="AZ181" i="4"/>
  <c r="G182" i="4"/>
  <c r="H182" i="4"/>
  <c r="U183" i="4"/>
  <c r="X140" i="4"/>
  <c r="T143" i="4"/>
  <c r="AL49" i="4"/>
  <c r="AL50" i="4" s="1"/>
  <c r="AL134" i="4"/>
  <c r="AH153" i="4"/>
  <c r="AO163" i="4"/>
  <c r="AT183" i="4"/>
  <c r="AT184" i="4" s="1"/>
  <c r="AV134" i="4"/>
  <c r="BD134" i="4"/>
  <c r="BB153" i="4"/>
  <c r="AV159" i="4"/>
  <c r="BA166" i="4"/>
  <c r="AT169" i="4"/>
  <c r="V183" i="4"/>
  <c r="AC137" i="4"/>
  <c r="U143" i="4"/>
  <c r="AC143" i="4"/>
  <c r="AN128" i="4"/>
  <c r="AI127" i="4"/>
  <c r="AI128" i="4" s="1"/>
  <c r="AM134" i="4"/>
  <c r="AI147" i="4"/>
  <c r="AG163" i="4"/>
  <c r="AJ181" i="4"/>
  <c r="AZ49" i="4"/>
  <c r="AZ50" i="4" s="1"/>
  <c r="AU183" i="4"/>
  <c r="AU184" i="4" s="1"/>
  <c r="AW134" i="4"/>
  <c r="AS137" i="4"/>
  <c r="AV147" i="4"/>
  <c r="BC153" i="4"/>
  <c r="AW159" i="4"/>
  <c r="BB166" i="4"/>
  <c r="Y24" i="4"/>
  <c r="V143" i="4"/>
  <c r="AJ127" i="4"/>
  <c r="AJ128" i="4" s="1"/>
  <c r="AJ147" i="4"/>
  <c r="AL159" i="4"/>
  <c r="AS24" i="4"/>
  <c r="AZ40" i="4"/>
  <c r="BA49" i="4"/>
  <c r="BA50" i="4" s="1"/>
  <c r="AV183" i="4"/>
  <c r="AV184" i="4" s="1"/>
  <c r="BA127" i="4"/>
  <c r="BA128" i="4" s="1"/>
  <c r="AT137" i="4"/>
  <c r="AW147" i="4"/>
  <c r="BD153" i="4"/>
  <c r="BC166" i="4"/>
  <c r="BC181" i="4"/>
  <c r="R40" i="4"/>
  <c r="S140" i="4"/>
  <c r="W153" i="4"/>
  <c r="AO153" i="4"/>
  <c r="AZ103" i="4"/>
  <c r="AU113" i="4"/>
  <c r="AY143" i="4"/>
  <c r="AS156" i="4"/>
  <c r="BC159" i="4"/>
  <c r="AZ163" i="4"/>
  <c r="AV166" i="4"/>
  <c r="AV181" i="4"/>
  <c r="F64" i="4"/>
  <c r="F65" i="4" s="1"/>
  <c r="AV178" i="4"/>
  <c r="AX178" i="4"/>
  <c r="T140" i="4"/>
  <c r="AP153" i="4"/>
  <c r="AL156" i="4"/>
  <c r="BA64" i="4"/>
  <c r="BA65" i="4" s="1"/>
  <c r="BA103" i="4"/>
  <c r="AV113" i="4"/>
  <c r="AZ143" i="4"/>
  <c r="AT156" i="4"/>
  <c r="BD159" i="4"/>
  <c r="AW166" i="4"/>
  <c r="AX174" i="4"/>
  <c r="AX175" i="4" s="1"/>
  <c r="AW178" i="4"/>
  <c r="H127" i="4"/>
  <c r="H128" i="4" s="1"/>
  <c r="U140" i="4"/>
  <c r="U147" i="4"/>
  <c r="R166" i="4"/>
  <c r="U178" i="4"/>
  <c r="AM140" i="4"/>
  <c r="AE153" i="4"/>
  <c r="AO159" i="4"/>
  <c r="AV49" i="4"/>
  <c r="AV50" i="4" s="1"/>
  <c r="BB103" i="4"/>
  <c r="AS134" i="4"/>
  <c r="BA134" i="4"/>
  <c r="BA143" i="4"/>
  <c r="AZ147" i="4"/>
  <c r="M49" i="4"/>
  <c r="M50" i="4" s="1"/>
  <c r="AX113" i="4"/>
  <c r="BD113" i="4"/>
  <c r="AS127" i="4"/>
  <c r="AS128" i="4" s="1"/>
  <c r="R169" i="4"/>
  <c r="AD176" i="4"/>
  <c r="AY140" i="4"/>
  <c r="AS153" i="4"/>
  <c r="K49" i="4"/>
  <c r="K50" i="4" s="1"/>
  <c r="H64" i="4"/>
  <c r="H65" i="4" s="1"/>
  <c r="AW103" i="4"/>
  <c r="BC103" i="4"/>
  <c r="AT153" i="4"/>
  <c r="AZ159" i="4"/>
  <c r="I64" i="4"/>
  <c r="I65" i="4" s="1"/>
  <c r="AC147" i="4"/>
  <c r="Y150" i="4"/>
  <c r="AZ87" i="4"/>
  <c r="AX103" i="4"/>
  <c r="AS113" i="4"/>
  <c r="BA159" i="4"/>
  <c r="AX163" i="4"/>
  <c r="V153" i="4"/>
  <c r="AC182" i="4"/>
  <c r="AN153" i="4"/>
  <c r="AJ156" i="4"/>
  <c r="AT113" i="4"/>
  <c r="AX143" i="4"/>
  <c r="AY163" i="4"/>
  <c r="Z137" i="4"/>
  <c r="V140" i="4"/>
  <c r="R143" i="4"/>
  <c r="V147" i="4"/>
  <c r="V178" i="4"/>
  <c r="AF127" i="4"/>
  <c r="AF128" i="4" s="1"/>
  <c r="AF153" i="4"/>
  <c r="AH159" i="4"/>
  <c r="AP159" i="4"/>
  <c r="AW169" i="4"/>
  <c r="BB49" i="4"/>
  <c r="BB50" i="4" s="1"/>
  <c r="BC182" i="4"/>
  <c r="BC184" i="4" s="1"/>
  <c r="AW127" i="4"/>
  <c r="AW128" i="4" s="1"/>
  <c r="BB134" i="4"/>
  <c r="BB143" i="4"/>
  <c r="BA147" i="4"/>
  <c r="AY166" i="4"/>
  <c r="AY181" i="4"/>
  <c r="W49" i="4"/>
  <c r="W50" i="4" s="1"/>
  <c r="X156" i="4"/>
  <c r="AA65" i="4"/>
  <c r="AI178" i="4"/>
  <c r="AW24" i="4"/>
  <c r="AT64" i="4"/>
  <c r="AT65" i="4" s="1"/>
  <c r="BA87" i="4"/>
  <c r="AY103" i="4"/>
  <c r="R147" i="4"/>
  <c r="AH182" i="4"/>
  <c r="AH184" i="4" s="1"/>
  <c r="AL174" i="4"/>
  <c r="AL175" i="4" s="1"/>
  <c r="AJ178" i="4"/>
  <c r="AX24" i="4"/>
  <c r="AT49" i="4"/>
  <c r="AT50" i="4" s="1"/>
  <c r="AS184" i="4"/>
  <c r="AS118" i="4"/>
  <c r="R163" i="4"/>
  <c r="M183" i="4"/>
  <c r="M184" i="4" s="1"/>
  <c r="AB40" i="4"/>
  <c r="AD48" i="4"/>
  <c r="AM174" i="4"/>
  <c r="AM175" i="4" s="1"/>
  <c r="AK178" i="4"/>
  <c r="AY24" i="4"/>
  <c r="BB40" i="4"/>
  <c r="AW49" i="4"/>
  <c r="AW50" i="4" s="1"/>
  <c r="AS147" i="4"/>
  <c r="G64" i="4"/>
  <c r="G65" i="4" s="1"/>
  <c r="L103" i="4"/>
  <c r="M168" i="4"/>
  <c r="M169" i="4" s="1"/>
  <c r="Q42" i="4"/>
  <c r="N182" i="4"/>
  <c r="N183" i="4"/>
  <c r="AC40" i="4"/>
  <c r="AJ24" i="4"/>
  <c r="AE43" i="4"/>
  <c r="AD43" i="4" s="1"/>
  <c r="AF169" i="4"/>
  <c r="AD146" i="4"/>
  <c r="AM159" i="4"/>
  <c r="AN174" i="4"/>
  <c r="AN175" i="4" s="1"/>
  <c r="BC40" i="4"/>
  <c r="AY169" i="4"/>
  <c r="AX49" i="4"/>
  <c r="AX50" i="4" s="1"/>
  <c r="BC113" i="4"/>
  <c r="BA182" i="4"/>
  <c r="BA184" i="4" s="1"/>
  <c r="BB182" i="4"/>
  <c r="BB184" i="4" s="1"/>
  <c r="AM147" i="4"/>
  <c r="J49" i="4"/>
  <c r="J50" i="4" s="1"/>
  <c r="Q165" i="4"/>
  <c r="X178" i="4"/>
  <c r="AH169" i="4"/>
  <c r="AP113" i="4"/>
  <c r="AF183" i="4"/>
  <c r="AN147" i="4"/>
  <c r="AM178" i="4"/>
  <c r="BD24" i="4"/>
  <c r="AX169" i="4"/>
  <c r="AX183" i="4"/>
  <c r="AW137" i="4"/>
  <c r="AS150" i="4"/>
  <c r="AU181" i="4"/>
  <c r="S24" i="4"/>
  <c r="AB174" i="4"/>
  <c r="AB175" i="4" s="1"/>
  <c r="Y178" i="4"/>
  <c r="V181" i="4"/>
  <c r="AI169" i="4"/>
  <c r="AN178" i="4"/>
  <c r="AK181" i="4"/>
  <c r="AQ135" i="4"/>
  <c r="AZ183" i="4"/>
  <c r="BC134" i="4"/>
  <c r="AX137" i="4"/>
  <c r="AT150" i="4"/>
  <c r="AY178" i="4"/>
  <c r="Q164" i="4"/>
  <c r="T24" i="4"/>
  <c r="T40" i="4"/>
  <c r="V182" i="4"/>
  <c r="V184" i="4" s="1"/>
  <c r="AC127" i="4"/>
  <c r="AC128" i="4" s="1"/>
  <c r="AJ49" i="4"/>
  <c r="AJ50" i="4" s="1"/>
  <c r="AK183" i="4"/>
  <c r="AL167" i="4"/>
  <c r="AL169" i="4" s="1"/>
  <c r="AO178" i="4"/>
  <c r="AL181" i="4"/>
  <c r="AY137" i="4"/>
  <c r="AV156" i="4"/>
  <c r="AZ178" i="4"/>
  <c r="Q132" i="4"/>
  <c r="S64" i="4"/>
  <c r="S65" i="4" s="1"/>
  <c r="U40" i="4"/>
  <c r="V166" i="4"/>
  <c r="X181" i="4"/>
  <c r="AK49" i="4"/>
  <c r="AK50" i="4" s="1"/>
  <c r="AL183" i="4"/>
  <c r="AL184" i="4" s="1"/>
  <c r="AP178" i="4"/>
  <c r="AM181" i="4"/>
  <c r="AZ137" i="4"/>
  <c r="AS140" i="4"/>
  <c r="AV150" i="4"/>
  <c r="BA178" i="4"/>
  <c r="U87" i="4"/>
  <c r="AM128" i="4"/>
  <c r="V103" i="4"/>
  <c r="AD135" i="4"/>
  <c r="T127" i="4"/>
  <c r="T128" i="4" s="1"/>
  <c r="X87" i="4"/>
  <c r="AI150" i="4"/>
  <c r="V24" i="4"/>
  <c r="V40" i="4"/>
  <c r="T49" i="4"/>
  <c r="T50" i="4" s="1"/>
  <c r="S113" i="4"/>
  <c r="W166" i="4"/>
  <c r="U167" i="4"/>
  <c r="U169" i="4" s="1"/>
  <c r="Y181" i="4"/>
  <c r="Z169" i="4"/>
  <c r="AD164" i="4"/>
  <c r="AM183" i="4"/>
  <c r="AM184" i="4" s="1"/>
  <c r="AM185" i="4" s="1"/>
  <c r="BB87" i="4"/>
  <c r="AV103" i="4"/>
  <c r="BA137" i="4"/>
  <c r="AT140" i="4"/>
  <c r="AW150" i="4"/>
  <c r="AZ153" i="4"/>
  <c r="AX156" i="4"/>
  <c r="BB178" i="4"/>
  <c r="AW183" i="4"/>
  <c r="AD90" i="4"/>
  <c r="AT128" i="4"/>
  <c r="BB181" i="4"/>
  <c r="W87" i="4"/>
  <c r="BD150" i="4"/>
  <c r="U127" i="4"/>
  <c r="U128" i="4" s="1"/>
  <c r="AO113" i="4"/>
  <c r="AI181" i="4"/>
  <c r="BD166" i="4"/>
  <c r="F182" i="4"/>
  <c r="W40" i="4"/>
  <c r="AA147" i="4"/>
  <c r="V167" i="4"/>
  <c r="V169" i="4" s="1"/>
  <c r="AM49" i="4"/>
  <c r="AM50" i="4" s="1"/>
  <c r="AN183" i="4"/>
  <c r="AN184" i="4" s="1"/>
  <c r="AU24" i="4"/>
  <c r="BC87" i="4"/>
  <c r="AU140" i="4"/>
  <c r="BC140" i="4"/>
  <c r="BB147" i="4"/>
  <c r="AX150" i="4"/>
  <c r="AT163" i="4"/>
  <c r="BC178" i="4"/>
  <c r="AD136" i="4"/>
  <c r="BB24" i="4"/>
  <c r="AS43" i="4"/>
  <c r="AV137" i="4"/>
  <c r="X24" i="4"/>
  <c r="AB147" i="4"/>
  <c r="S178" i="4"/>
  <c r="AP40" i="4"/>
  <c r="AN49" i="4"/>
  <c r="AN50" i="4" s="1"/>
  <c r="AF182" i="4"/>
  <c r="AO183" i="4"/>
  <c r="AO184" i="4" s="1"/>
  <c r="AV24" i="4"/>
  <c r="AU169" i="4"/>
  <c r="BD87" i="4"/>
  <c r="BD103" i="4"/>
  <c r="AV127" i="4"/>
  <c r="AV128" i="4" s="1"/>
  <c r="BD140" i="4"/>
  <c r="BC147" i="4"/>
  <c r="BB159" i="4"/>
  <c r="AU163" i="4"/>
  <c r="BD163" i="4"/>
  <c r="BD178" i="4"/>
  <c r="AS64" i="4"/>
  <c r="AX64" i="4"/>
  <c r="AX65" i="4" s="1"/>
  <c r="AX182" i="4"/>
  <c r="AY64" i="4"/>
  <c r="AY65" i="4" s="1"/>
  <c r="AY182" i="4"/>
  <c r="AU64" i="4"/>
  <c r="AU65" i="4" s="1"/>
  <c r="BB113" i="4"/>
  <c r="AZ64" i="4"/>
  <c r="AZ65" i="4" s="1"/>
  <c r="AZ182" i="4"/>
  <c r="AS87" i="4"/>
  <c r="AV153" i="4"/>
  <c r="AV167" i="4"/>
  <c r="AV169" i="4" s="1"/>
  <c r="AT24" i="4"/>
  <c r="AU40" i="4"/>
  <c r="AY174" i="4"/>
  <c r="AY175" i="4" s="1"/>
  <c r="AX40" i="4"/>
  <c r="AW87" i="4"/>
  <c r="BC127" i="4"/>
  <c r="BC128" i="4" s="1"/>
  <c r="AY134" i="4"/>
  <c r="AX159" i="4"/>
  <c r="AY183" i="4"/>
  <c r="AX87" i="4"/>
  <c r="BD127" i="4"/>
  <c r="BD128" i="4" s="1"/>
  <c r="AZ134" i="4"/>
  <c r="AY87" i="4"/>
  <c r="BA24" i="4"/>
  <c r="BA40" i="4"/>
  <c r="AW143" i="4"/>
  <c r="AX166" i="4"/>
  <c r="AW182" i="4"/>
  <c r="AV64" i="4"/>
  <c r="AV65" i="4" s="1"/>
  <c r="BC64" i="4"/>
  <c r="BC65" i="4" s="1"/>
  <c r="AS55" i="4"/>
  <c r="AS176" i="4"/>
  <c r="AS178" i="4" s="1"/>
  <c r="AS58" i="4"/>
  <c r="BD64" i="4"/>
  <c r="BD65" i="4" s="1"/>
  <c r="AU103" i="4"/>
  <c r="AT134" i="4"/>
  <c r="AU150" i="4"/>
  <c r="AS159" i="4"/>
  <c r="AZ167" i="4"/>
  <c r="AZ169" i="4" s="1"/>
  <c r="AZ24" i="4"/>
  <c r="AT40" i="4"/>
  <c r="AW113" i="4"/>
  <c r="AY127" i="4"/>
  <c r="AY128" i="4" s="1"/>
  <c r="AU127" i="4"/>
  <c r="AT159" i="4"/>
  <c r="BA167" i="4"/>
  <c r="BA169" i="4" s="1"/>
  <c r="BC174" i="4"/>
  <c r="BC175" i="4" s="1"/>
  <c r="BC49" i="4"/>
  <c r="BC50" i="4" s="1"/>
  <c r="AY49" i="4"/>
  <c r="AY50" i="4" s="1"/>
  <c r="AT87" i="4"/>
  <c r="AZ127" i="4"/>
  <c r="AZ128" i="4" s="1"/>
  <c r="AZ140" i="4"/>
  <c r="AU159" i="4"/>
  <c r="BA163" i="4"/>
  <c r="AV40" i="4"/>
  <c r="BD49" i="4"/>
  <c r="BD50" i="4" s="1"/>
  <c r="AU87" i="4"/>
  <c r="BA140" i="4"/>
  <c r="BB163" i="4"/>
  <c r="BC167" i="4"/>
  <c r="BC169" i="4" s="1"/>
  <c r="AW64" i="4"/>
  <c r="AW65" i="4" s="1"/>
  <c r="AU49" i="4"/>
  <c r="AU50" i="4" s="1"/>
  <c r="BB64" i="4"/>
  <c r="BB65" i="4" s="1"/>
  <c r="BD137" i="4"/>
  <c r="AV140" i="4"/>
  <c r="AW163" i="4"/>
  <c r="AZ174" i="4"/>
  <c r="AZ175" i="4" s="1"/>
  <c r="AV87" i="4"/>
  <c r="AT103" i="4"/>
  <c r="BC24" i="4"/>
  <c r="AW40" i="4"/>
  <c r="AX134" i="4"/>
  <c r="BB140" i="4"/>
  <c r="AT147" i="4"/>
  <c r="BC163" i="4"/>
  <c r="BD169" i="4"/>
  <c r="AS40" i="4"/>
  <c r="AE174" i="4"/>
  <c r="AE175" i="4" s="1"/>
  <c r="AP182" i="4"/>
  <c r="AP184" i="4" s="1"/>
  <c r="K183" i="4"/>
  <c r="X143" i="4"/>
  <c r="Z182" i="4"/>
  <c r="AE40" i="4"/>
  <c r="AE127" i="4"/>
  <c r="AE128" i="4" s="1"/>
  <c r="AO147" i="4"/>
  <c r="AF163" i="4"/>
  <c r="J64" i="4"/>
  <c r="J65" i="4" s="1"/>
  <c r="J167" i="4"/>
  <c r="J169" i="4" s="1"/>
  <c r="R103" i="4"/>
  <c r="R137" i="4"/>
  <c r="X147" i="4"/>
  <c r="W163" i="4"/>
  <c r="S166" i="4"/>
  <c r="AB183" i="4"/>
  <c r="AO64" i="4"/>
  <c r="AO65" i="4" s="1"/>
  <c r="AI103" i="4"/>
  <c r="AO103" i="4"/>
  <c r="AE113" i="4"/>
  <c r="AI140" i="4"/>
  <c r="AE143" i="4"/>
  <c r="AK153" i="4"/>
  <c r="AE156" i="4"/>
  <c r="AG159" i="4"/>
  <c r="F49" i="4"/>
  <c r="F50" i="4" s="1"/>
  <c r="K182" i="4"/>
  <c r="H103" i="4"/>
  <c r="J150" i="4"/>
  <c r="S103" i="4"/>
  <c r="S137" i="4"/>
  <c r="Y147" i="4"/>
  <c r="X163" i="4"/>
  <c r="T166" i="4"/>
  <c r="AB182" i="4"/>
  <c r="AJ169" i="4"/>
  <c r="AG49" i="4"/>
  <c r="AG50" i="4" s="1"/>
  <c r="AP64" i="4"/>
  <c r="AP65" i="4" s="1"/>
  <c r="AJ103" i="4"/>
  <c r="AH103" i="4"/>
  <c r="AJ140" i="4"/>
  <c r="AF143" i="4"/>
  <c r="AL153" i="4"/>
  <c r="AN156" i="4"/>
  <c r="G49" i="4"/>
  <c r="G50" i="4" s="1"/>
  <c r="L182" i="4"/>
  <c r="K87" i="4"/>
  <c r="K156" i="4"/>
  <c r="J163" i="4"/>
  <c r="G166" i="4"/>
  <c r="T103" i="4"/>
  <c r="T113" i="4"/>
  <c r="T137" i="4"/>
  <c r="Y153" i="4"/>
  <c r="T156" i="4"/>
  <c r="Y163" i="4"/>
  <c r="U166" i="4"/>
  <c r="W181" i="4"/>
  <c r="AD39" i="4"/>
  <c r="AK169" i="4"/>
  <c r="AH49" i="4"/>
  <c r="AH50" i="4" s="1"/>
  <c r="AE63" i="4"/>
  <c r="AE183" i="4" s="1"/>
  <c r="AK103" i="4"/>
  <c r="AG143" i="4"/>
  <c r="AO143" i="4"/>
  <c r="AM153" i="4"/>
  <c r="AO156" i="4"/>
  <c r="AI159" i="4"/>
  <c r="AI49" i="4"/>
  <c r="AI50" i="4" s="1"/>
  <c r="AD155" i="4"/>
  <c r="AG150" i="4"/>
  <c r="AP156" i="4"/>
  <c r="AL178" i="4"/>
  <c r="AG181" i="4"/>
  <c r="N49" i="4"/>
  <c r="N50" i="4" s="1"/>
  <c r="O49" i="4"/>
  <c r="O50" i="4" s="1"/>
  <c r="AC49" i="4"/>
  <c r="AC50" i="4" s="1"/>
  <c r="AD109" i="4"/>
  <c r="I49" i="4"/>
  <c r="I50" i="4" s="1"/>
  <c r="E63" i="4"/>
  <c r="E183" i="4" s="1"/>
  <c r="E184" i="4" s="1"/>
  <c r="Z153" i="4"/>
  <c r="U156" i="4"/>
  <c r="P49" i="4"/>
  <c r="P50" i="4" s="1"/>
  <c r="AD27" i="4"/>
  <c r="K103" i="4"/>
  <c r="Q102" i="4"/>
  <c r="AA49" i="4"/>
  <c r="AA50" i="4" s="1"/>
  <c r="AD57" i="4"/>
  <c r="AD177" i="4" s="1"/>
  <c r="AD178" i="4" s="1"/>
  <c r="AD46" i="4"/>
  <c r="Q135" i="4"/>
  <c r="Q136" i="4"/>
  <c r="Q154" i="4"/>
  <c r="J127" i="4"/>
  <c r="J128" i="4" s="1"/>
  <c r="Q155" i="4"/>
  <c r="AK40" i="4"/>
  <c r="AF64" i="4"/>
  <c r="AF65" i="4" s="1"/>
  <c r="AM113" i="4"/>
  <c r="AJ150" i="4"/>
  <c r="Y156" i="4"/>
  <c r="AA87" i="4"/>
  <c r="AP147" i="4"/>
  <c r="X113" i="4"/>
  <c r="M24" i="4"/>
  <c r="AB113" i="4"/>
  <c r="AP87" i="4"/>
  <c r="AE140" i="4"/>
  <c r="AL150" i="4"/>
  <c r="AI156" i="4"/>
  <c r="Q61" i="4"/>
  <c r="X183" i="4"/>
  <c r="S134" i="4"/>
  <c r="T163" i="4"/>
  <c r="R174" i="4"/>
  <c r="R175" i="4" s="1"/>
  <c r="N24" i="4"/>
  <c r="N40" i="4"/>
  <c r="AD54" i="4"/>
  <c r="AL64" i="4"/>
  <c r="AL65" i="4" s="1"/>
  <c r="AJ137" i="4"/>
  <c r="AF140" i="4"/>
  <c r="AF147" i="4"/>
  <c r="AM150" i="4"/>
  <c r="AI163" i="4"/>
  <c r="AE166" i="4"/>
  <c r="AF178" i="4"/>
  <c r="D41" i="4"/>
  <c r="D161" i="4" s="1"/>
  <c r="X40" i="4"/>
  <c r="Q141" i="4"/>
  <c r="I127" i="4"/>
  <c r="I128" i="4" s="1"/>
  <c r="P182" i="4"/>
  <c r="P184" i="4" s="1"/>
  <c r="Q148" i="4"/>
  <c r="Q161" i="4"/>
  <c r="X49" i="4"/>
  <c r="X50" i="4" s="1"/>
  <c r="AM24" i="4"/>
  <c r="AK113" i="4"/>
  <c r="F87" i="4"/>
  <c r="Q149" i="4"/>
  <c r="V127" i="4"/>
  <c r="V128" i="4" s="1"/>
  <c r="AF113" i="4"/>
  <c r="T159" i="4"/>
  <c r="AL87" i="4"/>
  <c r="W113" i="4"/>
  <c r="Y143" i="4"/>
  <c r="AA103" i="4"/>
  <c r="AP163" i="4"/>
  <c r="M40" i="4"/>
  <c r="AB103" i="4"/>
  <c r="AE147" i="4"/>
  <c r="T134" i="4"/>
  <c r="Z150" i="4"/>
  <c r="U163" i="4"/>
  <c r="S174" i="4"/>
  <c r="S175" i="4" s="1"/>
  <c r="S181" i="4"/>
  <c r="Z183" i="4"/>
  <c r="AM64" i="4"/>
  <c r="AM65" i="4" s="1"/>
  <c r="AK137" i="4"/>
  <c r="AG140" i="4"/>
  <c r="AG147" i="4"/>
  <c r="AN150" i="4"/>
  <c r="AJ163" i="4"/>
  <c r="AF166" i="4"/>
  <c r="AG178" i="4"/>
  <c r="L183" i="4"/>
  <c r="AN159" i="4"/>
  <c r="S163" i="4"/>
  <c r="AB87" i="4"/>
  <c r="AI137" i="4"/>
  <c r="AH163" i="4"/>
  <c r="R87" i="4"/>
  <c r="V163" i="4"/>
  <c r="AA127" i="4"/>
  <c r="AA128" i="4" s="1"/>
  <c r="AN64" i="4"/>
  <c r="AN65" i="4" s="1"/>
  <c r="AP140" i="4"/>
  <c r="AH147" i="4"/>
  <c r="AK163" i="4"/>
  <c r="AG166" i="4"/>
  <c r="AH178" i="4"/>
  <c r="AO40" i="4"/>
  <c r="U24" i="4"/>
  <c r="Q96" i="4"/>
  <c r="O24" i="4"/>
  <c r="O40" i="4"/>
  <c r="AM55" i="4"/>
  <c r="AD55" i="4" s="1"/>
  <c r="AD180" i="4"/>
  <c r="AD157" i="4"/>
  <c r="AN113" i="4"/>
  <c r="AD124" i="4"/>
  <c r="AO128" i="4"/>
  <c r="P24" i="4"/>
  <c r="P40" i="4"/>
  <c r="AF40" i="4"/>
  <c r="AD158" i="4"/>
  <c r="AP128" i="4"/>
  <c r="O134" i="4"/>
  <c r="Q176" i="4"/>
  <c r="AF87" i="4"/>
  <c r="AD172" i="4"/>
  <c r="R178" i="4"/>
  <c r="Q121" i="4"/>
  <c r="R134" i="4"/>
  <c r="W143" i="4"/>
  <c r="U153" i="4"/>
  <c r="Z87" i="4"/>
  <c r="Q93" i="4"/>
  <c r="AD33" i="4"/>
  <c r="AO50" i="4"/>
  <c r="AD61" i="4"/>
  <c r="AN103" i="4"/>
  <c r="AD102" i="4"/>
  <c r="AL113" i="4"/>
  <c r="AL140" i="4"/>
  <c r="Q90" i="4"/>
  <c r="AD117" i="4"/>
  <c r="U50" i="4"/>
  <c r="AC87" i="4"/>
  <c r="AE134" i="4"/>
  <c r="AF174" i="4"/>
  <c r="AF175" i="4" s="1"/>
  <c r="Q27" i="4"/>
  <c r="V134" i="4"/>
  <c r="M87" i="4"/>
  <c r="AG113" i="4"/>
  <c r="AN134" i="4"/>
  <c r="AM163" i="4"/>
  <c r="AG40" i="4"/>
  <c r="AM103" i="4"/>
  <c r="AO134" i="4"/>
  <c r="AH174" i="4"/>
  <c r="AH175" i="4" s="1"/>
  <c r="AE181" i="4"/>
  <c r="J178" i="4"/>
  <c r="V137" i="4"/>
  <c r="V150" i="4"/>
  <c r="AC153" i="4"/>
  <c r="W174" i="4"/>
  <c r="W175" i="4" s="1"/>
  <c r="AA181" i="4"/>
  <c r="M113" i="4"/>
  <c r="Q83" i="4"/>
  <c r="Q118" i="4"/>
  <c r="AI24" i="4"/>
  <c r="AJ40" i="4"/>
  <c r="AI87" i="4"/>
  <c r="AO87" i="4"/>
  <c r="AJ134" i="4"/>
  <c r="AE137" i="4"/>
  <c r="AM137" i="4"/>
  <c r="AL143" i="4"/>
  <c r="AP150" i="4"/>
  <c r="AF159" i="4"/>
  <c r="AL166" i="4"/>
  <c r="AK174" i="4"/>
  <c r="AK175" i="4" s="1"/>
  <c r="AF181" i="4"/>
  <c r="AA153" i="4"/>
  <c r="V159" i="4"/>
  <c r="Y166" i="4"/>
  <c r="U174" i="4"/>
  <c r="U175" i="4" s="1"/>
  <c r="O87" i="4"/>
  <c r="O103" i="4"/>
  <c r="Q54" i="4"/>
  <c r="BE54" i="4" s="1"/>
  <c r="AH40" i="4"/>
  <c r="AN40" i="4"/>
  <c r="AD86" i="4"/>
  <c r="AD99" i="4"/>
  <c r="AI113" i="4"/>
  <c r="AH134" i="4"/>
  <c r="AP134" i="4"/>
  <c r="AJ143" i="4"/>
  <c r="AJ166" i="4"/>
  <c r="AI174" i="4"/>
  <c r="AI175" i="4" s="1"/>
  <c r="U137" i="4"/>
  <c r="AB153" i="4"/>
  <c r="Z166" i="4"/>
  <c r="V174" i="4"/>
  <c r="V175" i="4" s="1"/>
  <c r="Z181" i="4"/>
  <c r="P103" i="4"/>
  <c r="P113" i="4"/>
  <c r="AC113" i="4"/>
  <c r="AH87" i="4"/>
  <c r="AJ113" i="4"/>
  <c r="AI134" i="4"/>
  <c r="AK143" i="4"/>
  <c r="AO150" i="4"/>
  <c r="AK166" i="4"/>
  <c r="AJ174" i="4"/>
  <c r="AJ175" i="4" s="1"/>
  <c r="H87" i="4"/>
  <c r="E103" i="4"/>
  <c r="K178" i="4"/>
  <c r="W137" i="4"/>
  <c r="W150" i="4"/>
  <c r="W156" i="4"/>
  <c r="Y159" i="4"/>
  <c r="X174" i="4"/>
  <c r="X175" i="4" s="1"/>
  <c r="AB181" i="4"/>
  <c r="N113" i="4"/>
  <c r="Z65" i="4"/>
  <c r="AD133" i="4"/>
  <c r="AD154" i="4"/>
  <c r="AK134" i="4"/>
  <c r="AF137" i="4"/>
  <c r="AN137" i="4"/>
  <c r="AM143" i="4"/>
  <c r="AF156" i="4"/>
  <c r="AM166" i="4"/>
  <c r="U134" i="4"/>
  <c r="AC103" i="4"/>
  <c r="R150" i="4"/>
  <c r="T178" i="4"/>
  <c r="AC24" i="4"/>
  <c r="AL103" i="4"/>
  <c r="AH143" i="4"/>
  <c r="AI153" i="4"/>
  <c r="AJ159" i="4"/>
  <c r="AH166" i="4"/>
  <c r="AG174" i="4"/>
  <c r="AG175" i="4" s="1"/>
  <c r="AN181" i="4"/>
  <c r="G178" i="4"/>
  <c r="S150" i="4"/>
  <c r="X166" i="4"/>
  <c r="T174" i="4"/>
  <c r="T175" i="4" s="1"/>
  <c r="N87" i="4"/>
  <c r="AA113" i="4"/>
  <c r="AH113" i="4"/>
  <c r="AG134" i="4"/>
  <c r="AI143" i="4"/>
  <c r="AN163" i="4"/>
  <c r="E87" i="4"/>
  <c r="F103" i="4"/>
  <c r="J137" i="4"/>
  <c r="J143" i="4"/>
  <c r="G163" i="4"/>
  <c r="V87" i="4"/>
  <c r="X150" i="4"/>
  <c r="S153" i="4"/>
  <c r="R159" i="4"/>
  <c r="Z159" i="4"/>
  <c r="Y174" i="4"/>
  <c r="Y175" i="4" s="1"/>
  <c r="O65" i="4"/>
  <c r="O113" i="4"/>
  <c r="O114" i="4" s="1"/>
  <c r="AA40" i="4"/>
  <c r="AD14" i="4"/>
  <c r="AD141" i="4"/>
  <c r="AL40" i="4"/>
  <c r="AG137" i="4"/>
  <c r="AO137" i="4"/>
  <c r="AN143" i="4"/>
  <c r="AE150" i="4"/>
  <c r="AN166" i="4"/>
  <c r="AD162" i="4"/>
  <c r="AD163" i="4" s="1"/>
  <c r="AK150" i="4"/>
  <c r="AL163" i="4"/>
  <c r="Y40" i="4"/>
  <c r="M103" i="4"/>
  <c r="Q112" i="4"/>
  <c r="AE87" i="4"/>
  <c r="AP143" i="4"/>
  <c r="AM156" i="4"/>
  <c r="AP166" i="4"/>
  <c r="AO174" i="4"/>
  <c r="AO175" i="4" s="1"/>
  <c r="U159" i="4"/>
  <c r="N103" i="4"/>
  <c r="AJ153" i="4"/>
  <c r="AI166" i="4"/>
  <c r="AP174" i="4"/>
  <c r="AP175" i="4" s="1"/>
  <c r="AO181" i="4"/>
  <c r="H178" i="4"/>
  <c r="J87" i="4"/>
  <c r="G103" i="4"/>
  <c r="K137" i="4"/>
  <c r="K143" i="4"/>
  <c r="I150" i="4"/>
  <c r="H163" i="4"/>
  <c r="Q180" i="4"/>
  <c r="Q99" i="4"/>
  <c r="Y128" i="4"/>
  <c r="Y137" i="4"/>
  <c r="R140" i="4"/>
  <c r="T153" i="4"/>
  <c r="S159" i="4"/>
  <c r="R181" i="4"/>
  <c r="P65" i="4"/>
  <c r="P87" i="4"/>
  <c r="AB50" i="4"/>
  <c r="AF24" i="4"/>
  <c r="AD142" i="4"/>
  <c r="AD36" i="4"/>
  <c r="AH137" i="4"/>
  <c r="AP137" i="4"/>
  <c r="AF150" i="4"/>
  <c r="AH156" i="4"/>
  <c r="AO166" i="4"/>
  <c r="U113" i="4"/>
  <c r="Z24" i="4"/>
  <c r="AG24" i="4"/>
  <c r="AD83" i="4"/>
  <c r="L87" i="4"/>
  <c r="Q133" i="4"/>
  <c r="BE133" i="4" s="1"/>
  <c r="Y87" i="4"/>
  <c r="V113" i="4"/>
  <c r="AB140" i="4"/>
  <c r="AA150" i="4"/>
  <c r="T181" i="4"/>
  <c r="AB65" i="4"/>
  <c r="AH24" i="4"/>
  <c r="AN24" i="4"/>
  <c r="AD23" i="4"/>
  <c r="AG103" i="4"/>
  <c r="J103" i="4"/>
  <c r="AC140" i="4"/>
  <c r="AB150" i="4"/>
  <c r="U181" i="4"/>
  <c r="AN140" i="4"/>
  <c r="AD30" i="4"/>
  <c r="AI40" i="4"/>
  <c r="AD67" i="4"/>
  <c r="AD112" i="4"/>
  <c r="AE118" i="4"/>
  <c r="AD118" i="4" s="1"/>
  <c r="AH140" i="4"/>
  <c r="AI64" i="4"/>
  <c r="AI65" i="4" s="1"/>
  <c r="AE62" i="4"/>
  <c r="AI182" i="4"/>
  <c r="AI184" i="4" s="1"/>
  <c r="AM167" i="4"/>
  <c r="AM169" i="4" s="1"/>
  <c r="AD17" i="4"/>
  <c r="AD47" i="4"/>
  <c r="AJ64" i="4"/>
  <c r="AJ65" i="4" s="1"/>
  <c r="AJ182" i="4"/>
  <c r="AJ184" i="4" s="1"/>
  <c r="AD80" i="4"/>
  <c r="AF134" i="4"/>
  <c r="AE159" i="4"/>
  <c r="AN167" i="4"/>
  <c r="AN169" i="4" s="1"/>
  <c r="AE24" i="4"/>
  <c r="AD179" i="4"/>
  <c r="AK64" i="4"/>
  <c r="AK65" i="4" s="1"/>
  <c r="AK182" i="4"/>
  <c r="AK140" i="4"/>
  <c r="AO167" i="4"/>
  <c r="AO169" i="4" s="1"/>
  <c r="AD93" i="4"/>
  <c r="AE103" i="4"/>
  <c r="AF49" i="4"/>
  <c r="AF50" i="4" s="1"/>
  <c r="AH64" i="4"/>
  <c r="AH65" i="4" s="1"/>
  <c r="AG87" i="4"/>
  <c r="AF103" i="4"/>
  <c r="AD165" i="4"/>
  <c r="AD173" i="4"/>
  <c r="AM87" i="4"/>
  <c r="AL137" i="4"/>
  <c r="AN87" i="4"/>
  <c r="AD121" i="4"/>
  <c r="AO24" i="4"/>
  <c r="AD20" i="4"/>
  <c r="AE161" i="4"/>
  <c r="AE163" i="4" s="1"/>
  <c r="AE58" i="4"/>
  <c r="AD58" i="4" s="1"/>
  <c r="AE176" i="4"/>
  <c r="AE178" i="4" s="1"/>
  <c r="AP169" i="4"/>
  <c r="AP49" i="4"/>
  <c r="AP50" i="4" s="1"/>
  <c r="AD77" i="4"/>
  <c r="AJ87" i="4"/>
  <c r="AK24" i="4"/>
  <c r="AK87" i="4"/>
  <c r="AL24" i="4"/>
  <c r="AM40" i="4"/>
  <c r="AP103" i="4"/>
  <c r="AD106" i="4"/>
  <c r="AD126" i="4"/>
  <c r="AG167" i="4"/>
  <c r="AG169" i="4" s="1"/>
  <c r="AP24" i="4"/>
  <c r="AG182" i="4"/>
  <c r="AG184" i="4" s="1"/>
  <c r="AD96" i="4"/>
  <c r="AD125" i="4"/>
  <c r="AA156" i="4"/>
  <c r="Z103" i="4"/>
  <c r="AB156" i="4"/>
  <c r="Q151" i="4"/>
  <c r="Q157" i="4"/>
  <c r="AC156" i="4"/>
  <c r="Q146" i="4"/>
  <c r="Q158" i="4"/>
  <c r="Q172" i="4"/>
  <c r="Q86" i="4"/>
  <c r="Z143" i="4"/>
  <c r="AA178" i="4"/>
  <c r="Q173" i="4"/>
  <c r="AB159" i="4"/>
  <c r="Q117" i="4"/>
  <c r="Z147" i="4"/>
  <c r="AC150" i="4"/>
  <c r="AC159" i="4"/>
  <c r="Z113" i="4"/>
  <c r="Q179" i="4"/>
  <c r="AA163" i="4"/>
  <c r="Z127" i="4"/>
  <c r="Z128" i="4" s="1"/>
  <c r="AC183" i="4"/>
  <c r="AA134" i="4"/>
  <c r="AA183" i="4"/>
  <c r="AA184" i="4" s="1"/>
  <c r="Q80" i="4"/>
  <c r="Z178" i="4"/>
  <c r="AB163" i="4"/>
  <c r="Z174" i="4"/>
  <c r="Z175" i="4" s="1"/>
  <c r="AB127" i="4"/>
  <c r="AB128" i="4" s="1"/>
  <c r="AC169" i="4"/>
  <c r="Z156" i="4"/>
  <c r="AC64" i="4"/>
  <c r="AC65" i="4" s="1"/>
  <c r="AA167" i="4"/>
  <c r="AA169" i="4" s="1"/>
  <c r="Q142" i="4"/>
  <c r="AB167" i="4"/>
  <c r="AB169" i="4" s="1"/>
  <c r="AC181" i="4"/>
  <c r="AC163" i="4"/>
  <c r="AA174" i="4"/>
  <c r="AA175" i="4" s="1"/>
  <c r="Q63" i="4"/>
  <c r="AA159" i="4"/>
  <c r="AB166" i="4"/>
  <c r="AC174" i="4"/>
  <c r="AC175" i="4" s="1"/>
  <c r="Q30" i="4"/>
  <c r="BE30" i="4" s="1"/>
  <c r="Q20" i="4"/>
  <c r="AA137" i="4"/>
  <c r="AB143" i="4"/>
  <c r="AC166" i="4"/>
  <c r="Q23" i="4"/>
  <c r="AB178" i="4"/>
  <c r="AC178" i="4"/>
  <c r="AB137" i="4"/>
  <c r="Q17" i="4"/>
  <c r="Z49" i="4"/>
  <c r="Z50" i="4" s="1"/>
  <c r="Q152" i="4"/>
  <c r="Z55" i="4"/>
  <c r="Q55" i="4" s="1"/>
  <c r="Q47" i="4"/>
  <c r="Q39" i="4"/>
  <c r="Z134" i="4"/>
  <c r="Z163" i="4"/>
  <c r="D126" i="4"/>
  <c r="M127" i="4"/>
  <c r="M128" i="4" s="1"/>
  <c r="O127" i="4"/>
  <c r="O128" i="4" s="1"/>
  <c r="P127" i="4"/>
  <c r="P128" i="4" s="1"/>
  <c r="D172" i="4"/>
  <c r="O181" i="4"/>
  <c r="N127" i="4"/>
  <c r="N128" i="4" s="1"/>
  <c r="O182" i="4"/>
  <c r="O184" i="4" s="1"/>
  <c r="M64" i="4"/>
  <c r="M65" i="4" s="1"/>
  <c r="N64" i="4"/>
  <c r="N65" i="4" s="1"/>
  <c r="V50" i="4"/>
  <c r="W182" i="4"/>
  <c r="W64" i="4"/>
  <c r="W65" i="4" s="1"/>
  <c r="S167" i="4"/>
  <c r="S169" i="4" s="1"/>
  <c r="S49" i="4"/>
  <c r="X182" i="4"/>
  <c r="X64" i="4"/>
  <c r="X65" i="4" s="1"/>
  <c r="Y182" i="4"/>
  <c r="Y64" i="4"/>
  <c r="Y65" i="4" s="1"/>
  <c r="Q33" i="4"/>
  <c r="S40" i="4"/>
  <c r="W128" i="4"/>
  <c r="S128" i="4"/>
  <c r="X128" i="4"/>
  <c r="Y49" i="4"/>
  <c r="Y50" i="4" s="1"/>
  <c r="Y168" i="4"/>
  <c r="Y169" i="4" s="1"/>
  <c r="S182" i="4"/>
  <c r="S184" i="4" s="1"/>
  <c r="Y103" i="4"/>
  <c r="AC134" i="4"/>
  <c r="V156" i="4"/>
  <c r="AA166" i="4"/>
  <c r="Q36" i="4"/>
  <c r="T182" i="4"/>
  <c r="T184" i="4" s="1"/>
  <c r="Q106" i="4"/>
  <c r="BE106" i="4" s="1"/>
  <c r="U182" i="4"/>
  <c r="Y113" i="4"/>
  <c r="R113" i="4"/>
  <c r="X137" i="4"/>
  <c r="AA143" i="4"/>
  <c r="R153" i="4"/>
  <c r="T150" i="4"/>
  <c r="Q14" i="4"/>
  <c r="R24" i="4"/>
  <c r="Y140" i="4"/>
  <c r="U150" i="4"/>
  <c r="Z140" i="4"/>
  <c r="W159" i="4"/>
  <c r="Q46" i="4"/>
  <c r="Y183" i="4"/>
  <c r="W134" i="4"/>
  <c r="AA140" i="4"/>
  <c r="X159" i="4"/>
  <c r="Q145" i="4"/>
  <c r="Q48" i="4"/>
  <c r="T168" i="4"/>
  <c r="T169" i="4" s="1"/>
  <c r="X134" i="4"/>
  <c r="S147" i="4"/>
  <c r="Q109" i="4"/>
  <c r="Y134" i="4"/>
  <c r="T147" i="4"/>
  <c r="R156" i="4"/>
  <c r="W24" i="4"/>
  <c r="T64" i="4"/>
  <c r="T65" i="4" s="1"/>
  <c r="S87" i="4"/>
  <c r="Q77" i="4"/>
  <c r="S156" i="4"/>
  <c r="Q138" i="4"/>
  <c r="U64" i="4"/>
  <c r="U65" i="4" s="1"/>
  <c r="T87" i="4"/>
  <c r="W103" i="4"/>
  <c r="Q124" i="4"/>
  <c r="Q139" i="4"/>
  <c r="R62" i="4"/>
  <c r="V64" i="4"/>
  <c r="V65" i="4" s="1"/>
  <c r="X103" i="4"/>
  <c r="Q126" i="4"/>
  <c r="AB134" i="4"/>
  <c r="Q67" i="4"/>
  <c r="R43" i="4"/>
  <c r="Q43" i="4" s="1"/>
  <c r="W183" i="4"/>
  <c r="R58" i="4"/>
  <c r="Q58" i="4" s="1"/>
  <c r="P153" i="4"/>
  <c r="F156" i="4"/>
  <c r="P159" i="4"/>
  <c r="P166" i="4"/>
  <c r="F163" i="4"/>
  <c r="I178" i="4"/>
  <c r="L153" i="4"/>
  <c r="F166" i="4"/>
  <c r="D165" i="4"/>
  <c r="D179" i="4"/>
  <c r="K113" i="4"/>
  <c r="L113" i="4"/>
  <c r="G87" i="4"/>
  <c r="G134" i="4"/>
  <c r="E174" i="4"/>
  <c r="E175" i="4" s="1"/>
  <c r="F147" i="4"/>
  <c r="P150" i="4"/>
  <c r="I87" i="4"/>
  <c r="I140" i="4"/>
  <c r="G147" i="4"/>
  <c r="E166" i="4"/>
  <c r="O147" i="4"/>
  <c r="M153" i="4"/>
  <c r="H143" i="4"/>
  <c r="P147" i="4"/>
  <c r="N153" i="4"/>
  <c r="N159" i="4"/>
  <c r="H140" i="4"/>
  <c r="N156" i="4"/>
  <c r="F174" i="4"/>
  <c r="F175" i="4" s="1"/>
  <c r="O156" i="4"/>
  <c r="J134" i="4"/>
  <c r="M181" i="4"/>
  <c r="G143" i="4"/>
  <c r="N181" i="4"/>
  <c r="I143" i="4"/>
  <c r="O153" i="4"/>
  <c r="O159" i="4"/>
  <c r="O166" i="4"/>
  <c r="H147" i="4"/>
  <c r="P156" i="4"/>
  <c r="J181" i="4"/>
  <c r="F159" i="4"/>
  <c r="K134" i="4"/>
  <c r="K181" i="4"/>
  <c r="P178" i="4"/>
  <c r="J140" i="4"/>
  <c r="M137" i="4"/>
  <c r="K150" i="4"/>
  <c r="F134" i="4"/>
  <c r="N137" i="4"/>
  <c r="I163" i="4"/>
  <c r="O150" i="4"/>
  <c r="I103" i="4"/>
  <c r="E40" i="4"/>
  <c r="K40" i="4"/>
  <c r="K169" i="4"/>
  <c r="K140" i="4"/>
  <c r="I147" i="4"/>
  <c r="G159" i="4"/>
  <c r="F40" i="4"/>
  <c r="D142" i="4"/>
  <c r="L140" i="4"/>
  <c r="J147" i="4"/>
  <c r="H159" i="4"/>
  <c r="L156" i="4"/>
  <c r="I134" i="4"/>
  <c r="M156" i="4"/>
  <c r="M140" i="4"/>
  <c r="I159" i="4"/>
  <c r="J174" i="4"/>
  <c r="J175" i="4" s="1"/>
  <c r="F181" i="4"/>
  <c r="L181" i="4"/>
  <c r="O178" i="4"/>
  <c r="L24" i="4"/>
  <c r="I113" i="4"/>
  <c r="N140" i="4"/>
  <c r="J159" i="4"/>
  <c r="K174" i="4"/>
  <c r="K175" i="4" s="1"/>
  <c r="D20" i="4"/>
  <c r="D148" i="4"/>
  <c r="D62" i="4"/>
  <c r="E143" i="4"/>
  <c r="M147" i="4"/>
  <c r="K159" i="4"/>
  <c r="F140" i="4"/>
  <c r="E147" i="4"/>
  <c r="D141" i="4"/>
  <c r="D149" i="4"/>
  <c r="D173" i="4"/>
  <c r="F137" i="4"/>
  <c r="L137" i="4"/>
  <c r="F143" i="4"/>
  <c r="N147" i="4"/>
  <c r="L159" i="4"/>
  <c r="H134" i="4"/>
  <c r="D158" i="4"/>
  <c r="D154" i="4"/>
  <c r="F169" i="4"/>
  <c r="D139" i="4"/>
  <c r="E137" i="4"/>
  <c r="D135" i="4"/>
  <c r="D132" i="4"/>
  <c r="E140" i="4"/>
  <c r="E156" i="4"/>
  <c r="E127" i="4"/>
  <c r="E128" i="4" s="1"/>
  <c r="D145" i="4"/>
  <c r="E169" i="4"/>
  <c r="D155" i="4"/>
  <c r="D164" i="4"/>
  <c r="L143" i="4"/>
  <c r="H156" i="4"/>
  <c r="L163" i="4"/>
  <c r="D109" i="4"/>
  <c r="N143" i="4"/>
  <c r="D106" i="4"/>
  <c r="O143" i="4"/>
  <c r="O163" i="4"/>
  <c r="H113" i="4"/>
  <c r="P163" i="4"/>
  <c r="J113" i="4"/>
  <c r="F178" i="4"/>
  <c r="D30" i="4"/>
  <c r="D36" i="4"/>
  <c r="O137" i="4"/>
  <c r="E150" i="4"/>
  <c r="J153" i="4"/>
  <c r="D133" i="4"/>
  <c r="P137" i="4"/>
  <c r="F150" i="4"/>
  <c r="K153" i="4"/>
  <c r="H166" i="4"/>
  <c r="N169" i="4"/>
  <c r="D90" i="4"/>
  <c r="D93" i="4"/>
  <c r="D102" i="4"/>
  <c r="G150" i="4"/>
  <c r="I166" i="4"/>
  <c r="O169" i="4"/>
  <c r="H40" i="4"/>
  <c r="P134" i="4"/>
  <c r="G140" i="4"/>
  <c r="H150" i="4"/>
  <c r="J166" i="4"/>
  <c r="P169" i="4"/>
  <c r="G174" i="4"/>
  <c r="G175" i="4" s="1"/>
  <c r="P181" i="4"/>
  <c r="O174" i="4"/>
  <c r="O175" i="4" s="1"/>
  <c r="K147" i="4"/>
  <c r="P174" i="4"/>
  <c r="P175" i="4" s="1"/>
  <c r="H24" i="4"/>
  <c r="E113" i="4"/>
  <c r="L147" i="4"/>
  <c r="M163" i="4"/>
  <c r="J156" i="4"/>
  <c r="J24" i="4"/>
  <c r="D157" i="4"/>
  <c r="D121" i="4"/>
  <c r="P143" i="4"/>
  <c r="O140" i="4"/>
  <c r="D177" i="4"/>
  <c r="K166" i="4"/>
  <c r="H174" i="4"/>
  <c r="H175" i="4" s="1"/>
  <c r="D180" i="4"/>
  <c r="E134" i="4"/>
  <c r="E181" i="4"/>
  <c r="M143" i="4"/>
  <c r="I156" i="4"/>
  <c r="I24" i="4"/>
  <c r="N163" i="4"/>
  <c r="D136" i="4"/>
  <c r="D124" i="4"/>
  <c r="E153" i="4"/>
  <c r="F153" i="4"/>
  <c r="P140" i="4"/>
  <c r="D146" i="4"/>
  <c r="D152" i="4"/>
  <c r="J40" i="4"/>
  <c r="G156" i="4"/>
  <c r="E159" i="4"/>
  <c r="L166" i="4"/>
  <c r="I174" i="4"/>
  <c r="I175" i="4" s="1"/>
  <c r="D77" i="4"/>
  <c r="D54" i="4"/>
  <c r="H55" i="4"/>
  <c r="D55" i="4" s="1"/>
  <c r="I40" i="4"/>
  <c r="F113" i="4"/>
  <c r="G113" i="4"/>
  <c r="G169" i="4"/>
  <c r="L127" i="4"/>
  <c r="L128" i="4" s="1"/>
  <c r="H137" i="4"/>
  <c r="L150" i="4"/>
  <c r="I181" i="4"/>
  <c r="J182" i="4"/>
  <c r="E176" i="4"/>
  <c r="G137" i="4"/>
  <c r="D17" i="4"/>
  <c r="D48" i="4"/>
  <c r="D168" i="4" s="1"/>
  <c r="D67" i="4"/>
  <c r="I137" i="4"/>
  <c r="F24" i="4"/>
  <c r="D46" i="4"/>
  <c r="L64" i="4"/>
  <c r="L65" i="4" s="1"/>
  <c r="N150" i="4"/>
  <c r="G181" i="4"/>
  <c r="K127" i="4"/>
  <c r="K128" i="4" s="1"/>
  <c r="H181" i="4"/>
  <c r="D125" i="4"/>
  <c r="L134" i="4"/>
  <c r="M159" i="4"/>
  <c r="L178" i="4"/>
  <c r="I169" i="4"/>
  <c r="D56" i="4"/>
  <c r="D176" i="4" s="1"/>
  <c r="G183" i="4"/>
  <c r="D151" i="4"/>
  <c r="D27" i="4"/>
  <c r="N166" i="4"/>
  <c r="M174" i="4"/>
  <c r="M175" i="4" s="1"/>
  <c r="D138" i="4"/>
  <c r="D33" i="4"/>
  <c r="D58" i="4"/>
  <c r="F127" i="4"/>
  <c r="F128" i="4" s="1"/>
  <c r="H153" i="4"/>
  <c r="D47" i="4"/>
  <c r="D167" i="4" s="1"/>
  <c r="G127" i="4"/>
  <c r="G128" i="4" s="1"/>
  <c r="E24" i="4"/>
  <c r="M178" i="4"/>
  <c r="E163" i="4"/>
  <c r="L49" i="4"/>
  <c r="L50" i="4" s="1"/>
  <c r="N134" i="4"/>
  <c r="N178" i="4"/>
  <c r="F183" i="4"/>
  <c r="E177" i="4"/>
  <c r="M166" i="4"/>
  <c r="L174" i="4"/>
  <c r="L175" i="4" s="1"/>
  <c r="N174" i="4"/>
  <c r="N175" i="4" s="1"/>
  <c r="L40" i="4"/>
  <c r="G153" i="4"/>
  <c r="I153" i="4"/>
  <c r="M134" i="4"/>
  <c r="G24" i="4"/>
  <c r="D39" i="4"/>
  <c r="H49" i="4"/>
  <c r="H50" i="4" s="1"/>
  <c r="D80" i="4"/>
  <c r="D83" i="4"/>
  <c r="K64" i="4"/>
  <c r="K65" i="4" s="1"/>
  <c r="D86" i="4"/>
  <c r="K24" i="4"/>
  <c r="E118" i="4"/>
  <c r="D117" i="4"/>
  <c r="M150" i="4"/>
  <c r="E43" i="4"/>
  <c r="D43" i="4" s="1"/>
  <c r="H168" i="4"/>
  <c r="H169" i="4" s="1"/>
  <c r="D96" i="4"/>
  <c r="D112" i="4"/>
  <c r="D42" i="4"/>
  <c r="D61" i="4"/>
  <c r="D14" i="4"/>
  <c r="D99" i="4"/>
  <c r="L168" i="4"/>
  <c r="L169" i="4" s="1"/>
  <c r="H183" i="4"/>
  <c r="I183" i="4"/>
  <c r="I184" i="4" s="1"/>
  <c r="G40" i="4"/>
  <c r="J183" i="4"/>
  <c r="D23" i="4"/>
  <c r="P145" i="3"/>
  <c r="P164" i="3"/>
  <c r="P160" i="3"/>
  <c r="H186" i="3"/>
  <c r="K186" i="3"/>
  <c r="M161" i="3"/>
  <c r="M170" i="3"/>
  <c r="M171" i="3" s="1"/>
  <c r="N161" i="3"/>
  <c r="N170" i="3"/>
  <c r="N171" i="3" s="1"/>
  <c r="E161" i="3"/>
  <c r="O170" i="3"/>
  <c r="O171" i="3" s="1"/>
  <c r="I141" i="3"/>
  <c r="I157" i="3"/>
  <c r="K167" i="3"/>
  <c r="K171" i="3" s="1"/>
  <c r="J141" i="3"/>
  <c r="J145" i="3" s="1"/>
  <c r="F148" i="3"/>
  <c r="F175" i="3"/>
  <c r="F176" i="3" s="1"/>
  <c r="G88" i="3"/>
  <c r="K141" i="3"/>
  <c r="G148" i="3"/>
  <c r="K157" i="3"/>
  <c r="G175" i="3"/>
  <c r="G176" i="3" s="1"/>
  <c r="E141" i="3"/>
  <c r="H148" i="3"/>
  <c r="F164" i="3"/>
  <c r="F171" i="3" s="1"/>
  <c r="H175" i="3"/>
  <c r="H176" i="3" s="1"/>
  <c r="F185" i="3"/>
  <c r="F186" i="3" s="1"/>
  <c r="L185" i="3"/>
  <c r="L186" i="3" s="1"/>
  <c r="E157" i="3"/>
  <c r="H135" i="3"/>
  <c r="H151" i="3"/>
  <c r="H170" i="3"/>
  <c r="L141" i="3"/>
  <c r="L145" i="3" s="1"/>
  <c r="L167" i="3"/>
  <c r="L171" i="3" s="1"/>
  <c r="L175" i="3"/>
  <c r="L176" i="3" s="1"/>
  <c r="P31" i="3"/>
  <c r="I135" i="3"/>
  <c r="I151" i="3"/>
  <c r="I161" i="3" s="1"/>
  <c r="I170" i="3"/>
  <c r="M141" i="3"/>
  <c r="M167" i="3"/>
  <c r="M175" i="3"/>
  <c r="M176" i="3" s="1"/>
  <c r="J135" i="3"/>
  <c r="H144" i="3"/>
  <c r="J151" i="3"/>
  <c r="H160" i="3"/>
  <c r="H167" i="3"/>
  <c r="N141" i="3"/>
  <c r="N145" i="3" s="1"/>
  <c r="N167" i="3"/>
  <c r="N175" i="3"/>
  <c r="N176" i="3" s="1"/>
  <c r="E164" i="3"/>
  <c r="E171" i="3" s="1"/>
  <c r="E172" i="3" s="1"/>
  <c r="K135" i="3"/>
  <c r="K145" i="3" s="1"/>
  <c r="G141" i="3"/>
  <c r="K151" i="3"/>
  <c r="K161" i="3" s="1"/>
  <c r="I160" i="3"/>
  <c r="I167" i="3"/>
  <c r="O141" i="3"/>
  <c r="O167" i="3"/>
  <c r="O175" i="3"/>
  <c r="O176" i="3" s="1"/>
  <c r="I186" i="3"/>
  <c r="J186" i="3"/>
  <c r="L161" i="3"/>
  <c r="O161" i="3"/>
  <c r="H164" i="3"/>
  <c r="H154" i="3"/>
  <c r="G135" i="3"/>
  <c r="G145" i="3" s="1"/>
  <c r="K144" i="3"/>
  <c r="G151" i="3"/>
  <c r="G161" i="3" s="1"/>
  <c r="G172" i="3" s="1"/>
  <c r="K160" i="3"/>
  <c r="G179" i="3"/>
  <c r="G186" i="3" s="1"/>
  <c r="E135" i="3"/>
  <c r="E145" i="3" s="1"/>
  <c r="H141" i="3"/>
  <c r="H145" i="3" s="1"/>
  <c r="F151" i="3"/>
  <c r="F161" i="3" s="1"/>
  <c r="H157" i="3"/>
  <c r="P161" i="3"/>
  <c r="P171" i="3"/>
  <c r="P172" i="3" s="1"/>
  <c r="M145" i="3"/>
  <c r="O145" i="3"/>
  <c r="M186" i="3"/>
  <c r="N186" i="3"/>
  <c r="O186" i="3"/>
  <c r="H161" i="3"/>
  <c r="H171" i="3"/>
  <c r="I145" i="3"/>
  <c r="I171" i="3"/>
  <c r="J161" i="3"/>
  <c r="J171" i="3"/>
  <c r="F145" i="3"/>
  <c r="E186" i="3"/>
  <c r="P47" i="3"/>
  <c r="P113" i="3"/>
  <c r="P125" i="3"/>
  <c r="M129" i="3"/>
  <c r="P110" i="3"/>
  <c r="P50" i="3"/>
  <c r="O66" i="3"/>
  <c r="P97" i="3"/>
  <c r="P103" i="3"/>
  <c r="P37" i="3"/>
  <c r="P81" i="3"/>
  <c r="P40" i="3"/>
  <c r="P18" i="3"/>
  <c r="P84" i="3"/>
  <c r="P107" i="3"/>
  <c r="P24" i="3"/>
  <c r="K114" i="3"/>
  <c r="P94" i="3"/>
  <c r="P118" i="3"/>
  <c r="P91" i="3"/>
  <c r="P59" i="3"/>
  <c r="N88" i="3"/>
  <c r="P34" i="3"/>
  <c r="P100" i="3"/>
  <c r="F41" i="3"/>
  <c r="F52" i="3" s="1"/>
  <c r="F67" i="3" s="1"/>
  <c r="G41" i="3"/>
  <c r="P62" i="3"/>
  <c r="O25" i="3"/>
  <c r="P87" i="3"/>
  <c r="M41" i="3"/>
  <c r="I88" i="3"/>
  <c r="P15" i="3"/>
  <c r="P122" i="3"/>
  <c r="N41" i="3"/>
  <c r="O41" i="3"/>
  <c r="J104" i="3"/>
  <c r="P56" i="3"/>
  <c r="I41" i="3"/>
  <c r="K51" i="3"/>
  <c r="M114" i="3"/>
  <c r="P55" i="3"/>
  <c r="F114" i="3"/>
  <c r="F115" i="3" s="1"/>
  <c r="I104" i="3"/>
  <c r="H25" i="3"/>
  <c r="J25" i="3"/>
  <c r="N51" i="3"/>
  <c r="H104" i="3"/>
  <c r="I114" i="3"/>
  <c r="M88" i="3"/>
  <c r="H66" i="3"/>
  <c r="O114" i="3"/>
  <c r="I66" i="3"/>
  <c r="G104" i="3"/>
  <c r="I129" i="3"/>
  <c r="K66" i="3"/>
  <c r="H51" i="3"/>
  <c r="O129" i="3"/>
  <c r="F104" i="3"/>
  <c r="G66" i="3"/>
  <c r="J51" i="3"/>
  <c r="J41" i="3"/>
  <c r="N129" i="3"/>
  <c r="G129" i="3"/>
  <c r="G25" i="3"/>
  <c r="M51" i="3"/>
  <c r="M52" i="3" s="1"/>
  <c r="H129" i="3"/>
  <c r="K41" i="3"/>
  <c r="K104" i="3"/>
  <c r="I25" i="3"/>
  <c r="H88" i="3"/>
  <c r="K129" i="3"/>
  <c r="M66" i="3"/>
  <c r="F129" i="3"/>
  <c r="J114" i="3"/>
  <c r="K25" i="3"/>
  <c r="O51" i="3"/>
  <c r="J129" i="3"/>
  <c r="P78" i="3"/>
  <c r="H114" i="3"/>
  <c r="F51" i="3"/>
  <c r="J66" i="3"/>
  <c r="M104" i="3"/>
  <c r="G51" i="3"/>
  <c r="N114" i="3"/>
  <c r="N115" i="3" s="1"/>
  <c r="N130" i="3" s="1"/>
  <c r="G114" i="3"/>
  <c r="I51" i="3"/>
  <c r="I52" i="3" s="1"/>
  <c r="I67" i="3" s="1"/>
  <c r="H41" i="3"/>
  <c r="P68" i="3"/>
  <c r="N66" i="3"/>
  <c r="O88" i="3"/>
  <c r="E114" i="3"/>
  <c r="E115" i="3" s="1"/>
  <c r="E150" i="1"/>
  <c r="J30" i="1"/>
  <c r="W150" i="1"/>
  <c r="W156" i="1"/>
  <c r="Y156" i="1" s="1"/>
  <c r="AC90" i="1"/>
  <c r="L181" i="1"/>
  <c r="N181" i="1" s="1"/>
  <c r="J25" i="1"/>
  <c r="AG54" i="1"/>
  <c r="AC99" i="1"/>
  <c r="K102" i="1"/>
  <c r="AC83" i="1"/>
  <c r="G102" i="1"/>
  <c r="AC69" i="1"/>
  <c r="AG93" i="1"/>
  <c r="AE174" i="1"/>
  <c r="AE175" i="1" s="1"/>
  <c r="T184" i="1"/>
  <c r="F36" i="1"/>
  <c r="AA163" i="1"/>
  <c r="G33" i="1"/>
  <c r="X14" i="1"/>
  <c r="Y14" i="1" s="1"/>
  <c r="R36" i="1"/>
  <c r="S184" i="1"/>
  <c r="AE163" i="1"/>
  <c r="F27" i="1"/>
  <c r="F78" i="1"/>
  <c r="T113" i="1"/>
  <c r="S137" i="1"/>
  <c r="S174" i="1"/>
  <c r="S175" i="1" s="1"/>
  <c r="AG90" i="1"/>
  <c r="AD169" i="1"/>
  <c r="N179" i="1"/>
  <c r="AE169" i="1"/>
  <c r="M25" i="1"/>
  <c r="N25" i="1" s="1"/>
  <c r="P179" i="2"/>
  <c r="AP114" i="2"/>
  <c r="AP135" i="2"/>
  <c r="DD154" i="2"/>
  <c r="AA154" i="2"/>
  <c r="CV41" i="2"/>
  <c r="DG154" i="2"/>
  <c r="DI154" i="2" s="1"/>
  <c r="J94" i="2"/>
  <c r="T179" i="2"/>
  <c r="AD129" i="2"/>
  <c r="AA141" i="2"/>
  <c r="AA146" i="2"/>
  <c r="AA148" i="2" s="1"/>
  <c r="AD154" i="2"/>
  <c r="AA160" i="2"/>
  <c r="AN24" i="2"/>
  <c r="AR37" i="2"/>
  <c r="AN87" i="2"/>
  <c r="AN125" i="2"/>
  <c r="AX103" i="2"/>
  <c r="DH84" i="2"/>
  <c r="DI84" i="2" s="1"/>
  <c r="CP100" i="2"/>
  <c r="DD129" i="2"/>
  <c r="CO151" i="2"/>
  <c r="AS114" i="2"/>
  <c r="CN151" i="2"/>
  <c r="G34" i="2"/>
  <c r="M65" i="2"/>
  <c r="N65" i="2" s="1"/>
  <c r="L167" i="2"/>
  <c r="N167" i="2" s="1"/>
  <c r="H170" i="2"/>
  <c r="AC31" i="2"/>
  <c r="AD141" i="2"/>
  <c r="AE148" i="2"/>
  <c r="CW59" i="2"/>
  <c r="CX59" i="2" s="1"/>
  <c r="CL97" i="2"/>
  <c r="CM97" i="2" s="1"/>
  <c r="BX113" i="2"/>
  <c r="DF128" i="2"/>
  <c r="BV144" i="2"/>
  <c r="CW70" i="2"/>
  <c r="CX70" i="2" s="1"/>
  <c r="BP91" i="2"/>
  <c r="BQ91" i="2" s="1"/>
  <c r="CC114" i="2"/>
  <c r="G70" i="2"/>
  <c r="X94" i="2"/>
  <c r="Y94" i="2" s="1"/>
  <c r="AF100" i="2"/>
  <c r="AR97" i="2"/>
  <c r="AM122" i="2"/>
  <c r="AX100" i="2"/>
  <c r="CL18" i="2"/>
  <c r="CM18" i="2" s="1"/>
  <c r="CP37" i="2"/>
  <c r="BP50" i="2"/>
  <c r="BQ50" i="2" s="1"/>
  <c r="CL87" i="2"/>
  <c r="CM87" i="2" s="1"/>
  <c r="CI113" i="2"/>
  <c r="BK135" i="2"/>
  <c r="F122" i="2"/>
  <c r="AO175" i="2"/>
  <c r="AO176" i="2" s="1"/>
  <c r="CW87" i="2"/>
  <c r="CX87" i="2" s="1"/>
  <c r="R110" i="2"/>
  <c r="AO151" i="2"/>
  <c r="CH25" i="2"/>
  <c r="BU40" i="2"/>
  <c r="J122" i="2"/>
  <c r="P175" i="2"/>
  <c r="P176" i="2" s="1"/>
  <c r="AH144" i="2"/>
  <c r="AJ144" i="2" s="1"/>
  <c r="AH157" i="2"/>
  <c r="AJ157" i="2" s="1"/>
  <c r="AQ128" i="2"/>
  <c r="AP175" i="2"/>
  <c r="AP176" i="2" s="1"/>
  <c r="BW88" i="2"/>
  <c r="BJ87" i="2"/>
  <c r="CS154" i="2"/>
  <c r="O157" i="2"/>
  <c r="AH138" i="2"/>
  <c r="AJ138" i="2" s="1"/>
  <c r="AO141" i="2"/>
  <c r="AL146" i="2"/>
  <c r="AL148" i="2" s="1"/>
  <c r="BA182" i="2"/>
  <c r="BL114" i="2"/>
  <c r="AZ160" i="2"/>
  <c r="K70" i="2"/>
  <c r="AL157" i="2"/>
  <c r="BP70" i="2"/>
  <c r="BQ70" i="2" s="1"/>
  <c r="T129" i="2"/>
  <c r="E151" i="2"/>
  <c r="AG94" i="2"/>
  <c r="R18" i="2"/>
  <c r="BV170" i="2"/>
  <c r="G103" i="2"/>
  <c r="H151" i="2"/>
  <c r="AS141" i="2"/>
  <c r="AU141" i="2" s="1"/>
  <c r="CF21" i="2"/>
  <c r="CD157" i="2"/>
  <c r="DG129" i="2"/>
  <c r="BV25" i="2"/>
  <c r="BR138" i="2"/>
  <c r="AP182" i="2"/>
  <c r="CZ151" i="2"/>
  <c r="AP144" i="2"/>
  <c r="J97" i="2"/>
  <c r="Q118" i="2"/>
  <c r="AF81" i="2"/>
  <c r="AO135" i="2"/>
  <c r="AL168" i="2"/>
  <c r="CF70" i="2"/>
  <c r="BN113" i="2"/>
  <c r="BJ125" i="2"/>
  <c r="CT128" i="2"/>
  <c r="CH151" i="2"/>
  <c r="BN24" i="2"/>
  <c r="U84" i="2"/>
  <c r="DH24" i="2"/>
  <c r="DI24" i="2" s="1"/>
  <c r="AE175" i="2"/>
  <c r="AE176" i="2" s="1"/>
  <c r="AW141" i="2"/>
  <c r="CY175" i="2"/>
  <c r="CY176" i="2" s="1"/>
  <c r="P104" i="2"/>
  <c r="AW25" i="2"/>
  <c r="AZ141" i="2"/>
  <c r="CI40" i="2"/>
  <c r="CH104" i="2"/>
  <c r="BW114" i="2"/>
  <c r="M50" i="2"/>
  <c r="N50" i="2" s="1"/>
  <c r="L164" i="2"/>
  <c r="N164" i="2" s="1"/>
  <c r="BE15" i="2"/>
  <c r="BF15" i="2" s="1"/>
  <c r="BA114" i="2"/>
  <c r="CF112" i="2"/>
  <c r="BY113" i="2"/>
  <c r="R37" i="2"/>
  <c r="R84" i="2"/>
  <c r="M113" i="2"/>
  <c r="N113" i="2" s="1"/>
  <c r="G122" i="2"/>
  <c r="S129" i="2"/>
  <c r="S135" i="2"/>
  <c r="S145" i="2" s="1"/>
  <c r="L144" i="2"/>
  <c r="N144" i="2" s="1"/>
  <c r="T148" i="2"/>
  <c r="I170" i="2"/>
  <c r="AC47" i="2"/>
  <c r="BC78" i="2"/>
  <c r="AX87" i="2"/>
  <c r="AW104" i="2"/>
  <c r="BD141" i="2"/>
  <c r="BF141" i="2" s="1"/>
  <c r="AW179" i="2"/>
  <c r="CJ18" i="2"/>
  <c r="CQ28" i="2"/>
  <c r="BJ47" i="2"/>
  <c r="BX81" i="2"/>
  <c r="BW104" i="2"/>
  <c r="CK154" i="2"/>
  <c r="CM154" i="2" s="1"/>
  <c r="CQ84" i="2"/>
  <c r="CZ148" i="2"/>
  <c r="CU110" i="2"/>
  <c r="CH114" i="2"/>
  <c r="CZ175" i="2"/>
  <c r="CZ176" i="2" s="1"/>
  <c r="BR182" i="2"/>
  <c r="Q62" i="2"/>
  <c r="X84" i="2"/>
  <c r="Y84" i="2" s="1"/>
  <c r="Q125" i="2"/>
  <c r="AB18" i="2"/>
  <c r="AI65" i="2"/>
  <c r="AJ65" i="2" s="1"/>
  <c r="AE141" i="2"/>
  <c r="AD185" i="2"/>
  <c r="AP141" i="2"/>
  <c r="AP148" i="2"/>
  <c r="AY24" i="2"/>
  <c r="DA28" i="2"/>
  <c r="CJ78" i="2"/>
  <c r="CI81" i="2"/>
  <c r="DE87" i="2"/>
  <c r="CW110" i="2"/>
  <c r="CX110" i="2" s="1"/>
  <c r="DB122" i="2"/>
  <c r="CN141" i="2"/>
  <c r="DG144" i="2"/>
  <c r="DI144" i="2" s="1"/>
  <c r="BS182" i="2"/>
  <c r="AQ37" i="2"/>
  <c r="CT78" i="2"/>
  <c r="V122" i="2"/>
  <c r="L151" i="2"/>
  <c r="N151" i="2" s="1"/>
  <c r="AF125" i="2"/>
  <c r="BK129" i="2"/>
  <c r="CS170" i="2"/>
  <c r="CG182" i="2"/>
  <c r="CF47" i="2"/>
  <c r="D88" i="2"/>
  <c r="P148" i="2"/>
  <c r="O175" i="2"/>
  <c r="O176" i="2" s="1"/>
  <c r="S185" i="2"/>
  <c r="AV41" i="2"/>
  <c r="CG41" i="2"/>
  <c r="CR141" i="2"/>
  <c r="BZ148" i="2"/>
  <c r="CB148" i="2" s="1"/>
  <c r="CR151" i="2"/>
  <c r="BR154" i="2"/>
  <c r="O128" i="2"/>
  <c r="O129" i="2" s="1"/>
  <c r="X81" i="2"/>
  <c r="Y81" i="2" s="1"/>
  <c r="AM87" i="2"/>
  <c r="P151" i="2"/>
  <c r="W185" i="2"/>
  <c r="Y185" i="2" s="1"/>
  <c r="AA144" i="2"/>
  <c r="AD151" i="2"/>
  <c r="AE170" i="2"/>
  <c r="Z182" i="2"/>
  <c r="BO129" i="2"/>
  <c r="BL141" i="2"/>
  <c r="DD141" i="2"/>
  <c r="BL148" i="2"/>
  <c r="BS154" i="2"/>
  <c r="CN175" i="2"/>
  <c r="CN176" i="2" s="1"/>
  <c r="G110" i="2"/>
  <c r="AO104" i="2"/>
  <c r="AE154" i="2"/>
  <c r="M15" i="2"/>
  <c r="N15" i="2" s="1"/>
  <c r="I129" i="2"/>
  <c r="I141" i="2"/>
  <c r="S151" i="2"/>
  <c r="S175" i="2"/>
  <c r="S176" i="2" s="1"/>
  <c r="AE151" i="2"/>
  <c r="AR31" i="2"/>
  <c r="AZ182" i="2"/>
  <c r="BO141" i="2"/>
  <c r="BQ141" i="2" s="1"/>
  <c r="BG151" i="2"/>
  <c r="CS164" i="2"/>
  <c r="CZ168" i="2"/>
  <c r="BS164" i="2"/>
  <c r="L114" i="2"/>
  <c r="X110" i="2"/>
  <c r="Y110" i="2" s="1"/>
  <c r="T175" i="2"/>
  <c r="T176" i="2" s="1"/>
  <c r="P182" i="2"/>
  <c r="AH151" i="2"/>
  <c r="AL182" i="2"/>
  <c r="CC128" i="2"/>
  <c r="CC129" i="2" s="1"/>
  <c r="BR141" i="2"/>
  <c r="DG160" i="2"/>
  <c r="DI160" i="2" s="1"/>
  <c r="AI21" i="2"/>
  <c r="AJ21" i="2" s="1"/>
  <c r="BP24" i="2"/>
  <c r="BQ24" i="2" s="1"/>
  <c r="AO56" i="2"/>
  <c r="AQ56" i="2" s="1"/>
  <c r="BE37" i="2"/>
  <c r="BF37" i="2" s="1"/>
  <c r="V81" i="2"/>
  <c r="DG66" i="2"/>
  <c r="BN40" i="2"/>
  <c r="I104" i="2"/>
  <c r="O141" i="2"/>
  <c r="S160" i="2"/>
  <c r="AE138" i="2"/>
  <c r="BA144" i="2"/>
  <c r="BR160" i="2"/>
  <c r="BP40" i="2"/>
  <c r="BQ40" i="2" s="1"/>
  <c r="X15" i="2"/>
  <c r="Y15" i="2" s="1"/>
  <c r="V70" i="2"/>
  <c r="S88" i="2"/>
  <c r="P141" i="2"/>
  <c r="D182" i="2"/>
  <c r="AG24" i="2"/>
  <c r="AC34" i="2"/>
  <c r="AB70" i="2"/>
  <c r="AD175" i="2"/>
  <c r="AD176" i="2" s="1"/>
  <c r="AM28" i="2"/>
  <c r="AN107" i="2"/>
  <c r="AT122" i="2"/>
  <c r="AU122" i="2" s="1"/>
  <c r="BN34" i="2"/>
  <c r="DA47" i="2"/>
  <c r="BN81" i="2"/>
  <c r="CL128" i="2"/>
  <c r="CM128" i="2" s="1"/>
  <c r="BH160" i="2"/>
  <c r="BG170" i="2"/>
  <c r="AD137" i="1"/>
  <c r="O156" i="1"/>
  <c r="AE137" i="1"/>
  <c r="H145" i="1"/>
  <c r="H147" i="1" s="1"/>
  <c r="R61" i="1"/>
  <c r="P150" i="1"/>
  <c r="P163" i="1"/>
  <c r="Z64" i="1"/>
  <c r="AI121" i="1"/>
  <c r="AJ121" i="1" s="1"/>
  <c r="F124" i="1"/>
  <c r="R17" i="1"/>
  <c r="V96" i="1"/>
  <c r="S113" i="1"/>
  <c r="V113" i="1" s="1"/>
  <c r="S150" i="1"/>
  <c r="S156" i="1"/>
  <c r="T163" i="1"/>
  <c r="AF30" i="1"/>
  <c r="AA103" i="1"/>
  <c r="Q99" i="1"/>
  <c r="O159" i="1"/>
  <c r="AC33" i="1"/>
  <c r="AD134" i="1"/>
  <c r="AE147" i="1"/>
  <c r="H165" i="1"/>
  <c r="G27" i="1"/>
  <c r="X33" i="1"/>
  <c r="Y33" i="1" s="1"/>
  <c r="V112" i="1"/>
  <c r="P132" i="1"/>
  <c r="W140" i="1"/>
  <c r="Y140" i="1" s="1"/>
  <c r="P167" i="1"/>
  <c r="AE134" i="1"/>
  <c r="Z143" i="1"/>
  <c r="AD150" i="1"/>
  <c r="AH163" i="1"/>
  <c r="AJ163" i="1" s="1"/>
  <c r="Z174" i="1"/>
  <c r="Z175" i="1" s="1"/>
  <c r="J20" i="1"/>
  <c r="T143" i="1"/>
  <c r="AH65" i="1"/>
  <c r="G54" i="1"/>
  <c r="J86" i="1"/>
  <c r="K30" i="1"/>
  <c r="R20" i="1"/>
  <c r="X49" i="1"/>
  <c r="Y49" i="1" s="1"/>
  <c r="X112" i="1"/>
  <c r="Y112" i="1" s="1"/>
  <c r="P178" i="1"/>
  <c r="AC27" i="1"/>
  <c r="AH174" i="1"/>
  <c r="AH175" i="1" s="1"/>
  <c r="AJ175" i="1" s="1"/>
  <c r="P181" i="1"/>
  <c r="S181" i="1"/>
  <c r="G23" i="1"/>
  <c r="Z150" i="1"/>
  <c r="M124" i="1"/>
  <c r="N124" i="1" s="1"/>
  <c r="J83" i="1"/>
  <c r="R124" i="1"/>
  <c r="T159" i="1"/>
  <c r="T160" i="1" s="1"/>
  <c r="T178" i="1"/>
  <c r="AI61" i="1"/>
  <c r="AJ61" i="1" s="1"/>
  <c r="AI96" i="1"/>
  <c r="AJ96" i="1" s="1"/>
  <c r="AH156" i="1"/>
  <c r="AJ156" i="1" s="1"/>
  <c r="I147" i="1"/>
  <c r="M83" i="1"/>
  <c r="N83" i="1" s="1"/>
  <c r="P24" i="1"/>
  <c r="O140" i="1"/>
  <c r="AH50" i="1"/>
  <c r="AA140" i="1"/>
  <c r="AA145" i="1"/>
  <c r="AA147" i="1" s="1"/>
  <c r="AE181" i="1"/>
  <c r="L174" i="1"/>
  <c r="L175" i="1" s="1"/>
  <c r="N175" i="1" s="1"/>
  <c r="E153" i="1"/>
  <c r="E143" i="1"/>
  <c r="O178" i="1"/>
  <c r="T128" i="1"/>
  <c r="U128" i="1" s="1"/>
  <c r="P140" i="1"/>
  <c r="AD140" i="1"/>
  <c r="D153" i="1"/>
  <c r="K83" i="1"/>
  <c r="X61" i="1"/>
  <c r="Y61" i="1" s="1"/>
  <c r="S140" i="1"/>
  <c r="O147" i="1"/>
  <c r="AI14" i="1"/>
  <c r="AJ14" i="1" s="1"/>
  <c r="AC75" i="1"/>
  <c r="AI83" i="1"/>
  <c r="AJ83" i="1" s="1"/>
  <c r="AE140" i="1"/>
  <c r="I128" i="1"/>
  <c r="J128" i="1" s="1"/>
  <c r="Q109" i="1"/>
  <c r="T140" i="1"/>
  <c r="T153" i="1"/>
  <c r="P166" i="1"/>
  <c r="T181" i="1"/>
  <c r="AB93" i="1"/>
  <c r="AF124" i="1"/>
  <c r="F83" i="1"/>
  <c r="AG23" i="1"/>
  <c r="T103" i="1"/>
  <c r="T114" i="1" s="1"/>
  <c r="T129" i="1" s="1"/>
  <c r="AG106" i="1"/>
  <c r="I137" i="1"/>
  <c r="S161" i="1"/>
  <c r="AE24" i="1"/>
  <c r="AH113" i="1"/>
  <c r="G93" i="1"/>
  <c r="O174" i="1"/>
  <c r="O175" i="1" s="1"/>
  <c r="J109" i="1"/>
  <c r="M90" i="1"/>
  <c r="N90" i="1" s="1"/>
  <c r="G14" i="1"/>
  <c r="S24" i="1"/>
  <c r="U24" i="1" s="1"/>
  <c r="Z103" i="1"/>
  <c r="AH178" i="1"/>
  <c r="AJ178" i="1" s="1"/>
  <c r="V41" i="1"/>
  <c r="X96" i="1"/>
  <c r="Y96" i="1" s="1"/>
  <c r="V23" i="1"/>
  <c r="AI41" i="1"/>
  <c r="AJ41" i="1" s="1"/>
  <c r="AC76" i="1"/>
  <c r="X83" i="1"/>
  <c r="Y83" i="1" s="1"/>
  <c r="V124" i="1"/>
  <c r="Z55" i="1"/>
  <c r="AC55" i="1" s="1"/>
  <c r="AB102" i="1"/>
  <c r="W87" i="1"/>
  <c r="AA77" i="1"/>
  <c r="AB77" i="1" s="1"/>
  <c r="AA112" i="1"/>
  <c r="AA113" i="1" s="1"/>
  <c r="L113" i="1"/>
  <c r="AA174" i="1"/>
  <c r="AA175" i="1" s="1"/>
  <c r="T24" i="1"/>
  <c r="Q39" i="1"/>
  <c r="S178" i="1"/>
  <c r="P77" i="1"/>
  <c r="R77" i="1" s="1"/>
  <c r="AG30" i="1"/>
  <c r="AD103" i="1"/>
  <c r="AE143" i="1"/>
  <c r="X41" i="1"/>
  <c r="Y41" i="1" s="1"/>
  <c r="F99" i="1"/>
  <c r="X124" i="1"/>
  <c r="Y124" i="1" s="1"/>
  <c r="T87" i="1"/>
  <c r="AD161" i="1"/>
  <c r="H137" i="1"/>
  <c r="X20" i="1"/>
  <c r="Y20" i="1" s="1"/>
  <c r="L166" i="1"/>
  <c r="N166" i="1" s="1"/>
  <c r="E140" i="1"/>
  <c r="M20" i="1"/>
  <c r="N20" i="1" s="1"/>
  <c r="X77" i="1"/>
  <c r="Y77" i="1" s="1"/>
  <c r="O118" i="1"/>
  <c r="R118" i="1" s="1"/>
  <c r="O166" i="1"/>
  <c r="AC96" i="1"/>
  <c r="AE103" i="1"/>
  <c r="AG112" i="1"/>
  <c r="AH137" i="1"/>
  <c r="AJ137" i="1" s="1"/>
  <c r="U83" i="1"/>
  <c r="AH134" i="1"/>
  <c r="AJ134" i="1" s="1"/>
  <c r="S103" i="1"/>
  <c r="S134" i="1"/>
  <c r="AI23" i="1"/>
  <c r="AJ23" i="1" s="1"/>
  <c r="O55" i="1"/>
  <c r="Q55" i="1" s="1"/>
  <c r="O169" i="1"/>
  <c r="AB117" i="1"/>
  <c r="I166" i="1"/>
  <c r="L147" i="1"/>
  <c r="N147" i="1" s="1"/>
  <c r="D140" i="1"/>
  <c r="L65" i="1"/>
  <c r="Q14" i="1"/>
  <c r="U39" i="1"/>
  <c r="Q61" i="1"/>
  <c r="R86" i="1"/>
  <c r="AE50" i="1"/>
  <c r="AB83" i="1"/>
  <c r="AH103" i="1"/>
  <c r="AA132" i="1"/>
  <c r="AA134" i="1" s="1"/>
  <c r="Z159" i="1"/>
  <c r="DG114" i="2"/>
  <c r="AR62" i="2"/>
  <c r="CS104" i="2"/>
  <c r="J70" i="2"/>
  <c r="AT21" i="2"/>
  <c r="AU21" i="2" s="1"/>
  <c r="AT62" i="2"/>
  <c r="AU62" i="2" s="1"/>
  <c r="M100" i="2"/>
  <c r="N100" i="2" s="1"/>
  <c r="AN84" i="2"/>
  <c r="DE15" i="2"/>
  <c r="DF15" i="2"/>
  <c r="F80" i="2"/>
  <c r="AT87" i="2"/>
  <c r="AU87" i="2" s="1"/>
  <c r="CF55" i="2"/>
  <c r="I51" i="2"/>
  <c r="X119" i="2"/>
  <c r="Y119" i="2" s="1"/>
  <c r="AK141" i="2"/>
  <c r="BR114" i="2"/>
  <c r="DD148" i="2"/>
  <c r="V125" i="2"/>
  <c r="L135" i="2"/>
  <c r="N135" i="2" s="1"/>
  <c r="AL141" i="2"/>
  <c r="AK148" i="2"/>
  <c r="AK160" i="2"/>
  <c r="BJ21" i="2"/>
  <c r="BR144" i="2"/>
  <c r="W129" i="2"/>
  <c r="BS144" i="2"/>
  <c r="BK182" i="2"/>
  <c r="X122" i="2"/>
  <c r="Y122" i="2" s="1"/>
  <c r="T160" i="2"/>
  <c r="N184" i="2"/>
  <c r="L185" i="2"/>
  <c r="AT50" i="2"/>
  <c r="AU50" i="2" s="1"/>
  <c r="AN100" i="2"/>
  <c r="BJ28" i="2"/>
  <c r="BJ62" i="2"/>
  <c r="CV104" i="2"/>
  <c r="M78" i="2"/>
  <c r="N78" i="2" s="1"/>
  <c r="AE164" i="2"/>
  <c r="AX18" i="2"/>
  <c r="BB26" i="2"/>
  <c r="CC41" i="2"/>
  <c r="AY87" i="2"/>
  <c r="H104" i="2"/>
  <c r="U50" i="2"/>
  <c r="W88" i="2"/>
  <c r="X88" i="2" s="1"/>
  <c r="Y88" i="2" s="1"/>
  <c r="S157" i="2"/>
  <c r="AO182" i="2"/>
  <c r="BC26" i="2"/>
  <c r="BE34" i="2"/>
  <c r="BF34" i="2" s="1"/>
  <c r="CR119" i="2"/>
  <c r="CT119" i="2" s="1"/>
  <c r="CU118" i="2"/>
  <c r="CT118" i="2"/>
  <c r="AY79" i="2"/>
  <c r="AW136" i="2"/>
  <c r="T151" i="2"/>
  <c r="AG31" i="2"/>
  <c r="BB125" i="2"/>
  <c r="CQ112" i="2"/>
  <c r="AV167" i="2"/>
  <c r="E137" i="2"/>
  <c r="E138" i="2" s="1"/>
  <c r="W151" i="2"/>
  <c r="Y151" i="2" s="1"/>
  <c r="AU180" i="2"/>
  <c r="AS182" i="2"/>
  <c r="AU182" i="2" s="1"/>
  <c r="BA129" i="2"/>
  <c r="BC129" i="2" s="1"/>
  <c r="BY91" i="2"/>
  <c r="AQ100" i="2"/>
  <c r="U81" i="2"/>
  <c r="CQ94" i="2"/>
  <c r="J78" i="2"/>
  <c r="I88" i="2"/>
  <c r="AN18" i="2"/>
  <c r="CP125" i="2"/>
  <c r="DF87" i="2"/>
  <c r="BL179" i="2"/>
  <c r="K97" i="2"/>
  <c r="Y152" i="2"/>
  <c r="BA175" i="2"/>
  <c r="BA176" i="2" s="1"/>
  <c r="BO179" i="2"/>
  <c r="BQ179" i="2" s="1"/>
  <c r="V31" i="2"/>
  <c r="BC128" i="2"/>
  <c r="BZ114" i="2"/>
  <c r="F111" i="2"/>
  <c r="G111" i="2"/>
  <c r="CY88" i="2"/>
  <c r="BG157" i="2"/>
  <c r="E25" i="2"/>
  <c r="E175" i="2"/>
  <c r="E176" i="2" s="1"/>
  <c r="AI31" i="2"/>
  <c r="AJ31" i="2" s="1"/>
  <c r="AI78" i="2"/>
  <c r="AJ78" i="2" s="1"/>
  <c r="CU21" i="2"/>
  <c r="DE24" i="2"/>
  <c r="CK51" i="2"/>
  <c r="CN154" i="2"/>
  <c r="CH170" i="2"/>
  <c r="BN18" i="2"/>
  <c r="DA100" i="2"/>
  <c r="CJ125" i="2"/>
  <c r="N162" i="2"/>
  <c r="CJ70" i="2"/>
  <c r="AN63" i="2"/>
  <c r="AK65" i="2"/>
  <c r="CF122" i="2"/>
  <c r="AF94" i="2"/>
  <c r="AI94" i="2"/>
  <c r="AJ94" i="2" s="1"/>
  <c r="X31" i="2"/>
  <c r="Y31" i="2" s="1"/>
  <c r="S41" i="2"/>
  <c r="Q100" i="2"/>
  <c r="Z157" i="2"/>
  <c r="AW167" i="2"/>
  <c r="CW94" i="2"/>
  <c r="CX94" i="2" s="1"/>
  <c r="N149" i="2"/>
  <c r="BX50" i="2"/>
  <c r="CV88" i="2"/>
  <c r="CZ164" i="2"/>
  <c r="AD157" i="2"/>
  <c r="CG179" i="2"/>
  <c r="BP84" i="2"/>
  <c r="BQ84" i="2" s="1"/>
  <c r="T88" i="2"/>
  <c r="U88" i="2" s="1"/>
  <c r="O144" i="2"/>
  <c r="G21" i="2"/>
  <c r="U125" i="2"/>
  <c r="AT118" i="2"/>
  <c r="AU118" i="2" s="1"/>
  <c r="CW21" i="2"/>
  <c r="CX21" i="2" s="1"/>
  <c r="CD41" i="2"/>
  <c r="BJ56" i="2"/>
  <c r="CU113" i="2"/>
  <c r="BL144" i="2"/>
  <c r="DD144" i="2"/>
  <c r="D154" i="2"/>
  <c r="W179" i="2"/>
  <c r="Y179" i="2" s="1"/>
  <c r="AR84" i="2"/>
  <c r="BA25" i="2"/>
  <c r="BW41" i="2"/>
  <c r="CU70" i="2"/>
  <c r="BV185" i="2"/>
  <c r="Q18" i="2"/>
  <c r="Q47" i="2"/>
  <c r="U55" i="2"/>
  <c r="W114" i="2"/>
  <c r="I135" i="2"/>
  <c r="AG59" i="2"/>
  <c r="AC107" i="2"/>
  <c r="AN21" i="2"/>
  <c r="AT34" i="2"/>
  <c r="AU34" i="2" s="1"/>
  <c r="AM118" i="2"/>
  <c r="AL175" i="2"/>
  <c r="AL176" i="2" s="1"/>
  <c r="AY34" i="2"/>
  <c r="DB34" i="2"/>
  <c r="CO113" i="2"/>
  <c r="CP113" i="2" s="1"/>
  <c r="CF125" i="2"/>
  <c r="BK144" i="2"/>
  <c r="DC144" i="2"/>
  <c r="CH154" i="2"/>
  <c r="CR157" i="2"/>
  <c r="CN167" i="2"/>
  <c r="CC170" i="2"/>
  <c r="BS175" i="2"/>
  <c r="BS176" i="2" s="1"/>
  <c r="BH182" i="2"/>
  <c r="AY110" i="2"/>
  <c r="AW133" i="2"/>
  <c r="AW135" i="2" s="1"/>
  <c r="BA141" i="2"/>
  <c r="DB15" i="2"/>
  <c r="CD51" i="2"/>
  <c r="DF81" i="2"/>
  <c r="DH87" i="2"/>
  <c r="DI87" i="2" s="1"/>
  <c r="DF103" i="2"/>
  <c r="CU125" i="2"/>
  <c r="BW129" i="2"/>
  <c r="BG141" i="2"/>
  <c r="CY141" i="2"/>
  <c r="CK151" i="2"/>
  <c r="CM151" i="2" s="1"/>
  <c r="BG154" i="2"/>
  <c r="BR157" i="2"/>
  <c r="BG167" i="2"/>
  <c r="BW182" i="2"/>
  <c r="W135" i="2"/>
  <c r="Y135" i="2" s="1"/>
  <c r="O160" i="2"/>
  <c r="AA167" i="2"/>
  <c r="AM37" i="2"/>
  <c r="BD148" i="2"/>
  <c r="BF148" i="2" s="1"/>
  <c r="AW168" i="2"/>
  <c r="BA179" i="2"/>
  <c r="CI78" i="2"/>
  <c r="BY81" i="2"/>
  <c r="CJ87" i="2"/>
  <c r="DF91" i="2"/>
  <c r="DE94" i="2"/>
  <c r="BP97" i="2"/>
  <c r="BQ97" i="2" s="1"/>
  <c r="BM113" i="2"/>
  <c r="CG157" i="2"/>
  <c r="BL164" i="2"/>
  <c r="CG185" i="2"/>
  <c r="CP122" i="2"/>
  <c r="M21" i="2"/>
  <c r="N21" i="2" s="1"/>
  <c r="O104" i="2"/>
  <c r="S28" i="2"/>
  <c r="V28" i="2" s="1"/>
  <c r="V97" i="2"/>
  <c r="S144" i="2"/>
  <c r="I160" i="2"/>
  <c r="AT84" i="2"/>
  <c r="AU84" i="2" s="1"/>
  <c r="BO104" i="2"/>
  <c r="DD104" i="2"/>
  <c r="DF113" i="2"/>
  <c r="BW138" i="2"/>
  <c r="CC144" i="2"/>
  <c r="BW148" i="2"/>
  <c r="BH164" i="2"/>
  <c r="R62" i="2"/>
  <c r="J91" i="2"/>
  <c r="J113" i="2"/>
  <c r="V128" i="2"/>
  <c r="AH88" i="2"/>
  <c r="Z141" i="2"/>
  <c r="X26" i="2"/>
  <c r="Y26" i="2" s="1"/>
  <c r="U34" i="2"/>
  <c r="X62" i="2"/>
  <c r="Y62" i="2" s="1"/>
  <c r="K113" i="2"/>
  <c r="I148" i="2"/>
  <c r="P164" i="2"/>
  <c r="D175" i="2"/>
  <c r="D176" i="2" s="1"/>
  <c r="E179" i="2"/>
  <c r="S182" i="2"/>
  <c r="AT81" i="2"/>
  <c r="AU81" i="2" s="1"/>
  <c r="AT125" i="2"/>
  <c r="AU125" i="2" s="1"/>
  <c r="BD51" i="2"/>
  <c r="BD52" i="2" s="1"/>
  <c r="BD67" i="2" s="1"/>
  <c r="BD185" i="2"/>
  <c r="BY15" i="2"/>
  <c r="BW25" i="2"/>
  <c r="BV28" i="2"/>
  <c r="BX28" i="2" s="1"/>
  <c r="DC179" i="2"/>
  <c r="DA76" i="2"/>
  <c r="CA81" i="2"/>
  <c r="CB81" i="2" s="1"/>
  <c r="CE84" i="2"/>
  <c r="DH91" i="2"/>
  <c r="DI91" i="2" s="1"/>
  <c r="CN114" i="2"/>
  <c r="CC148" i="2"/>
  <c r="DC151" i="2"/>
  <c r="CH157" i="2"/>
  <c r="CR160" i="2"/>
  <c r="CC167" i="2"/>
  <c r="CK185" i="2"/>
  <c r="AP160" i="2"/>
  <c r="AY107" i="2"/>
  <c r="BA154" i="2"/>
  <c r="BA160" i="2"/>
  <c r="DB55" i="2"/>
  <c r="CW122" i="2"/>
  <c r="CX122" i="2" s="1"/>
  <c r="BL129" i="2"/>
  <c r="V26" i="2"/>
  <c r="W182" i="2"/>
  <c r="Y182" i="2" s="1"/>
  <c r="G47" i="2"/>
  <c r="J125" i="2"/>
  <c r="X128" i="2"/>
  <c r="Y128" i="2" s="1"/>
  <c r="T182" i="2"/>
  <c r="AF24" i="2"/>
  <c r="AR94" i="2"/>
  <c r="AZ144" i="2"/>
  <c r="CA18" i="2"/>
  <c r="CB18" i="2" s="1"/>
  <c r="CH41" i="2"/>
  <c r="CI41" i="2" s="1"/>
  <c r="CO41" i="2"/>
  <c r="BJ37" i="2"/>
  <c r="BW51" i="2"/>
  <c r="CQ62" i="2"/>
  <c r="CF91" i="2"/>
  <c r="CF100" i="2"/>
  <c r="CD114" i="2"/>
  <c r="CE114" i="2" s="1"/>
  <c r="CN135" i="2"/>
  <c r="CH148" i="2"/>
  <c r="CK157" i="2"/>
  <c r="CM157" i="2" s="1"/>
  <c r="BG160" i="2"/>
  <c r="CS160" i="2"/>
  <c r="BR170" i="2"/>
  <c r="DC175" i="2"/>
  <c r="DC176" i="2" s="1"/>
  <c r="AW160" i="2"/>
  <c r="W160" i="2"/>
  <c r="Y160" i="2" s="1"/>
  <c r="AI55" i="2"/>
  <c r="AJ55" i="2" s="1"/>
  <c r="O148" i="2"/>
  <c r="AP164" i="2"/>
  <c r="AZ138" i="2"/>
  <c r="BA164" i="2"/>
  <c r="BG56" i="2"/>
  <c r="BI56" i="2" s="1"/>
  <c r="K18" i="2"/>
  <c r="D114" i="2"/>
  <c r="I114" i="2"/>
  <c r="E134" i="2"/>
  <c r="AC21" i="2"/>
  <c r="AE179" i="2"/>
  <c r="AQ55" i="2"/>
  <c r="AN111" i="2"/>
  <c r="AP138" i="2"/>
  <c r="AP157" i="2"/>
  <c r="BA151" i="2"/>
  <c r="BD164" i="2"/>
  <c r="BF164" i="2" s="1"/>
  <c r="AV170" i="2"/>
  <c r="CD25" i="2"/>
  <c r="CA55" i="2"/>
  <c r="CB55" i="2" s="1"/>
  <c r="DA77" i="2"/>
  <c r="CQ87" i="2"/>
  <c r="CN157" i="2"/>
  <c r="DC185" i="2"/>
  <c r="CZ157" i="2"/>
  <c r="P144" i="2"/>
  <c r="S148" i="2"/>
  <c r="AA104" i="2"/>
  <c r="BL104" i="2"/>
  <c r="BL115" i="2" s="1"/>
  <c r="E164" i="2"/>
  <c r="CU122" i="2"/>
  <c r="BV138" i="2"/>
  <c r="CM158" i="2"/>
  <c r="BZ185" i="2"/>
  <c r="CB185" i="2" s="1"/>
  <c r="U26" i="2"/>
  <c r="T135" i="2"/>
  <c r="L160" i="2"/>
  <c r="N160" i="2" s="1"/>
  <c r="Z154" i="2"/>
  <c r="Z170" i="2"/>
  <c r="AS88" i="2"/>
  <c r="AO138" i="2"/>
  <c r="AO157" i="2"/>
  <c r="AP170" i="2"/>
  <c r="AZ151" i="2"/>
  <c r="BD170" i="2"/>
  <c r="BF170" i="2" s="1"/>
  <c r="DD175" i="2"/>
  <c r="DD176" i="2" s="1"/>
  <c r="CO179" i="2"/>
  <c r="M18" i="2"/>
  <c r="N18" i="2" s="1"/>
  <c r="J37" i="2"/>
  <c r="E141" i="2"/>
  <c r="AI34" i="2"/>
  <c r="AJ34" i="2" s="1"/>
  <c r="AC94" i="2"/>
  <c r="AI125" i="2"/>
  <c r="AJ125" i="2" s="1"/>
  <c r="AD160" i="2"/>
  <c r="AD170" i="2"/>
  <c r="AH179" i="2"/>
  <c r="AJ179" i="2" s="1"/>
  <c r="AT37" i="2"/>
  <c r="AU37" i="2" s="1"/>
  <c r="AN103" i="2"/>
  <c r="AS157" i="2"/>
  <c r="AU157" i="2" s="1"/>
  <c r="AK175" i="2"/>
  <c r="AK176" i="2" s="1"/>
  <c r="AY21" i="2"/>
  <c r="BD25" i="2"/>
  <c r="BD151" i="2"/>
  <c r="BF151" i="2" s="1"/>
  <c r="CP31" i="2"/>
  <c r="DB77" i="2"/>
  <c r="BH144" i="2"/>
  <c r="CZ144" i="2"/>
  <c r="CG154" i="2"/>
  <c r="CO157" i="2"/>
  <c r="BR175" i="2"/>
  <c r="BR176" i="2" s="1"/>
  <c r="CY182" i="2"/>
  <c r="K115" i="3"/>
  <c r="K130" i="3" s="1"/>
  <c r="D63" i="3"/>
  <c r="D64" i="3"/>
  <c r="E51" i="3"/>
  <c r="E25" i="3"/>
  <c r="D138" i="3"/>
  <c r="E128" i="3"/>
  <c r="E129" i="3" s="1"/>
  <c r="D141" i="3"/>
  <c r="L41" i="3"/>
  <c r="D135" i="3"/>
  <c r="D178" i="3"/>
  <c r="D148" i="3"/>
  <c r="D114" i="3"/>
  <c r="D177" i="3"/>
  <c r="D119" i="3"/>
  <c r="P119" i="3" s="1"/>
  <c r="D157" i="3"/>
  <c r="L66" i="3"/>
  <c r="D160" i="3"/>
  <c r="D167" i="3"/>
  <c r="D170" i="3"/>
  <c r="D175" i="3"/>
  <c r="D176" i="3" s="1"/>
  <c r="D41" i="3"/>
  <c r="L114" i="3"/>
  <c r="D128" i="3"/>
  <c r="L88" i="3"/>
  <c r="L25" i="3"/>
  <c r="L51" i="3"/>
  <c r="D151" i="3"/>
  <c r="D154" i="3"/>
  <c r="D182" i="3"/>
  <c r="L104" i="3"/>
  <c r="D44" i="3"/>
  <c r="P44" i="3" s="1"/>
  <c r="D163" i="3"/>
  <c r="D162" i="3"/>
  <c r="D88" i="3"/>
  <c r="L129" i="3"/>
  <c r="D104" i="3"/>
  <c r="D25" i="3"/>
  <c r="AQ26" i="2"/>
  <c r="AO146" i="2"/>
  <c r="AO148" i="2" s="1"/>
  <c r="AO28" i="2"/>
  <c r="AT28" i="2" s="1"/>
  <c r="AU28" i="2" s="1"/>
  <c r="BU57" i="2"/>
  <c r="Z114" i="2"/>
  <c r="AR26" i="2"/>
  <c r="AR34" i="2"/>
  <c r="V18" i="2"/>
  <c r="X18" i="2"/>
  <c r="Y18" i="2" s="1"/>
  <c r="P134" i="2"/>
  <c r="Q77" i="2"/>
  <c r="R77" i="2"/>
  <c r="AM18" i="2"/>
  <c r="AT26" i="2"/>
  <c r="AU26" i="2" s="1"/>
  <c r="CC177" i="2"/>
  <c r="CF57" i="2"/>
  <c r="CE57" i="2"/>
  <c r="CC59" i="2"/>
  <c r="AC84" i="2"/>
  <c r="U31" i="2"/>
  <c r="AI87" i="2"/>
  <c r="AJ87" i="2" s="1"/>
  <c r="AS51" i="2"/>
  <c r="Y173" i="2"/>
  <c r="W175" i="2"/>
  <c r="W176" i="2" s="1"/>
  <c r="Y176" i="2" s="1"/>
  <c r="AC70" i="2"/>
  <c r="AF84" i="2"/>
  <c r="BU44" i="2"/>
  <c r="BT44" i="2"/>
  <c r="G89" i="2"/>
  <c r="E91" i="2"/>
  <c r="G91" i="2" s="1"/>
  <c r="E146" i="2"/>
  <c r="E148" i="2" s="1"/>
  <c r="AX70" i="2"/>
  <c r="AY70" i="2"/>
  <c r="R80" i="2"/>
  <c r="F89" i="2"/>
  <c r="G49" i="2"/>
  <c r="F49" i="2"/>
  <c r="V40" i="2"/>
  <c r="X125" i="2"/>
  <c r="Y125" i="2" s="1"/>
  <c r="Q127" i="2"/>
  <c r="AN34" i="2"/>
  <c r="AL134" i="2"/>
  <c r="AM77" i="2"/>
  <c r="AN77" i="2"/>
  <c r="AY37" i="2"/>
  <c r="AW41" i="2"/>
  <c r="AX41" i="2" s="1"/>
  <c r="AY64" i="2"/>
  <c r="AV65" i="2"/>
  <c r="CI70" i="2"/>
  <c r="M37" i="2"/>
  <c r="N37" i="2" s="1"/>
  <c r="K37" i="2"/>
  <c r="CZ169" i="2"/>
  <c r="CZ50" i="2"/>
  <c r="CZ51" i="2" s="1"/>
  <c r="DB49" i="2"/>
  <c r="AL41" i="2"/>
  <c r="AR78" i="2"/>
  <c r="AT78" i="2"/>
  <c r="AU78" i="2" s="1"/>
  <c r="CQ34" i="2"/>
  <c r="CP34" i="2"/>
  <c r="AG63" i="2"/>
  <c r="AF63" i="2"/>
  <c r="AE65" i="2"/>
  <c r="AE66" i="2" s="1"/>
  <c r="AE183" i="2"/>
  <c r="P113" i="2"/>
  <c r="Q113" i="2" s="1"/>
  <c r="R111" i="2"/>
  <c r="N155" i="2"/>
  <c r="L157" i="2"/>
  <c r="N157" i="2" s="1"/>
  <c r="CE122" i="2"/>
  <c r="BZ175" i="2"/>
  <c r="BZ176" i="2" s="1"/>
  <c r="CB176" i="2" s="1"/>
  <c r="CB173" i="2"/>
  <c r="M110" i="2"/>
  <c r="N110" i="2" s="1"/>
  <c r="H114" i="2"/>
  <c r="M114" i="2" s="1"/>
  <c r="N114" i="2" s="1"/>
  <c r="J110" i="2"/>
  <c r="K110" i="2"/>
  <c r="AA184" i="2"/>
  <c r="AA185" i="2" s="1"/>
  <c r="AA65" i="2"/>
  <c r="AA66" i="2" s="1"/>
  <c r="CQ118" i="2"/>
  <c r="J107" i="2"/>
  <c r="K107" i="2"/>
  <c r="AE184" i="2"/>
  <c r="AG64" i="2"/>
  <c r="AF64" i="2"/>
  <c r="CT21" i="2"/>
  <c r="CU31" i="2"/>
  <c r="CW31" i="2"/>
  <c r="CX31" i="2" s="1"/>
  <c r="CT31" i="2"/>
  <c r="BJ97" i="2"/>
  <c r="BI97" i="2"/>
  <c r="Y133" i="2"/>
  <c r="CS25" i="2"/>
  <c r="BI24" i="2"/>
  <c r="CQ125" i="2"/>
  <c r="DG138" i="2"/>
  <c r="DI138" i="2" s="1"/>
  <c r="DI136" i="2"/>
  <c r="X50" i="2"/>
  <c r="Y50" i="2" s="1"/>
  <c r="BE87" i="2"/>
  <c r="BF87" i="2" s="1"/>
  <c r="BD88" i="2"/>
  <c r="BI21" i="2"/>
  <c r="D59" i="2"/>
  <c r="G59" i="2" s="1"/>
  <c r="D177" i="2"/>
  <c r="D179" i="2" s="1"/>
  <c r="AZ178" i="2"/>
  <c r="BB58" i="2"/>
  <c r="BB84" i="2"/>
  <c r="BC84" i="2"/>
  <c r="BH25" i="2"/>
  <c r="BC58" i="2"/>
  <c r="BF181" i="2"/>
  <c r="BD182" i="2"/>
  <c r="BF182" i="2" s="1"/>
  <c r="CI87" i="2"/>
  <c r="AB76" i="2"/>
  <c r="AA133" i="2"/>
  <c r="AA135" i="2" s="1"/>
  <c r="AA78" i="2"/>
  <c r="AB78" i="2" s="1"/>
  <c r="H59" i="2"/>
  <c r="H66" i="2" s="1"/>
  <c r="H177" i="2"/>
  <c r="M57" i="2"/>
  <c r="N57" i="2" s="1"/>
  <c r="K57" i="2"/>
  <c r="G94" i="2"/>
  <c r="F94" i="2"/>
  <c r="BE58" i="2"/>
  <c r="BF58" i="2" s="1"/>
  <c r="CU78" i="2"/>
  <c r="CW78" i="2"/>
  <c r="CX78" i="2" s="1"/>
  <c r="X70" i="2"/>
  <c r="Y70" i="2" s="1"/>
  <c r="G125" i="2"/>
  <c r="L141" i="2"/>
  <c r="N141" i="2" s="1"/>
  <c r="AC18" i="2"/>
  <c r="CQ100" i="2"/>
  <c r="DI152" i="2"/>
  <c r="R76" i="2"/>
  <c r="Q76" i="2"/>
  <c r="P133" i="2"/>
  <c r="P78" i="2"/>
  <c r="R78" i="2" s="1"/>
  <c r="T141" i="2"/>
  <c r="AU133" i="2"/>
  <c r="AS135" i="2"/>
  <c r="CQ40" i="2"/>
  <c r="CP40" i="2"/>
  <c r="CC178" i="2"/>
  <c r="CF58" i="2"/>
  <c r="CL59" i="2"/>
  <c r="CM59" i="2" s="1"/>
  <c r="CJ59" i="2"/>
  <c r="CI59" i="2"/>
  <c r="CG66" i="2"/>
  <c r="CH65" i="2"/>
  <c r="CH66" i="2" s="1"/>
  <c r="CU100" i="2"/>
  <c r="CT100" i="2"/>
  <c r="AL25" i="2"/>
  <c r="AS138" i="2"/>
  <c r="AU138" i="2" s="1"/>
  <c r="AU137" i="2"/>
  <c r="CL70" i="2"/>
  <c r="CM70" i="2" s="1"/>
  <c r="CZ137" i="2"/>
  <c r="DB80" i="2"/>
  <c r="DA80" i="2"/>
  <c r="S45" i="2"/>
  <c r="U45" i="2" s="1"/>
  <c r="O162" i="2"/>
  <c r="O44" i="2"/>
  <c r="R44" i="2" s="1"/>
  <c r="F126" i="2"/>
  <c r="L170" i="2"/>
  <c r="N170" i="2" s="1"/>
  <c r="Z44" i="2"/>
  <c r="Z51" i="2" s="1"/>
  <c r="AD45" i="2"/>
  <c r="AN15" i="2"/>
  <c r="CS88" i="2"/>
  <c r="Q37" i="2"/>
  <c r="Q42" i="2"/>
  <c r="U103" i="2"/>
  <c r="G126" i="2"/>
  <c r="Y165" i="2"/>
  <c r="AC37" i="2"/>
  <c r="AC42" i="2"/>
  <c r="AF55" i="2"/>
  <c r="BH51" i="2"/>
  <c r="BI50" i="2"/>
  <c r="R28" i="2"/>
  <c r="S42" i="2"/>
  <c r="V42" i="2" s="1"/>
  <c r="S104" i="2"/>
  <c r="AD46" i="2"/>
  <c r="AG46" i="2" s="1"/>
  <c r="Z163" i="2"/>
  <c r="AG55" i="2"/>
  <c r="DG25" i="2"/>
  <c r="P184" i="2"/>
  <c r="V100" i="2"/>
  <c r="U107" i="2"/>
  <c r="X107" i="2"/>
  <c r="Y107" i="2" s="1"/>
  <c r="V107" i="2"/>
  <c r="BW184" i="2"/>
  <c r="BX64" i="2"/>
  <c r="DI180" i="2"/>
  <c r="V64" i="2"/>
  <c r="U64" i="2"/>
  <c r="U70" i="2"/>
  <c r="AG56" i="2"/>
  <c r="BF177" i="2"/>
  <c r="BV42" i="2"/>
  <c r="CA42" i="2" s="1"/>
  <c r="CB42" i="2" s="1"/>
  <c r="AD146" i="2"/>
  <c r="AD148" i="2" s="1"/>
  <c r="AD28" i="2"/>
  <c r="AI28" i="2" s="1"/>
  <c r="AJ28" i="2" s="1"/>
  <c r="AI26" i="2"/>
  <c r="AJ26" i="2" s="1"/>
  <c r="CG42" i="2"/>
  <c r="CG162" i="2" s="1"/>
  <c r="CF42" i="2"/>
  <c r="CE42" i="2"/>
  <c r="AF26" i="2"/>
  <c r="K122" i="2"/>
  <c r="M122" i="2"/>
  <c r="N122" i="2" s="1"/>
  <c r="W141" i="2"/>
  <c r="Y141" i="2" s="1"/>
  <c r="Y184" i="2"/>
  <c r="CE58" i="2"/>
  <c r="CX142" i="2"/>
  <c r="CV144" i="2"/>
  <c r="CX144" i="2" s="1"/>
  <c r="BZ167" i="2"/>
  <c r="CB167" i="2" s="1"/>
  <c r="CB165" i="2"/>
  <c r="H45" i="2"/>
  <c r="M45" i="2" s="1"/>
  <c r="N45" i="2" s="1"/>
  <c r="D162" i="2"/>
  <c r="AG97" i="2"/>
  <c r="AF97" i="2"/>
  <c r="BF153" i="2"/>
  <c r="BD154" i="2"/>
  <c r="BF154" i="2" s="1"/>
  <c r="DA18" i="2"/>
  <c r="DB18" i="2"/>
  <c r="CW118" i="2"/>
  <c r="CX118" i="2" s="1"/>
  <c r="CV119" i="2"/>
  <c r="W25" i="2"/>
  <c r="E133" i="2"/>
  <c r="E78" i="2"/>
  <c r="G78" i="2" s="1"/>
  <c r="Y147" i="2"/>
  <c r="W148" i="2"/>
  <c r="Y148" i="2" s="1"/>
  <c r="G76" i="2"/>
  <c r="BQ180" i="2"/>
  <c r="V21" i="2"/>
  <c r="X21" i="2"/>
  <c r="Y21" i="2" s="1"/>
  <c r="X103" i="2"/>
  <c r="Y103" i="2" s="1"/>
  <c r="BT42" i="2"/>
  <c r="BS65" i="2"/>
  <c r="BS66" i="2" s="1"/>
  <c r="V37" i="2"/>
  <c r="U28" i="2"/>
  <c r="X100" i="2"/>
  <c r="Y100" i="2" s="1"/>
  <c r="O119" i="2"/>
  <c r="R118" i="2"/>
  <c r="F125" i="2"/>
  <c r="AE51" i="2"/>
  <c r="CM173" i="2"/>
  <c r="T184" i="2"/>
  <c r="T185" i="2" s="1"/>
  <c r="N137" i="2"/>
  <c r="L138" i="2"/>
  <c r="BC87" i="2"/>
  <c r="BJ100" i="2"/>
  <c r="CM146" i="2"/>
  <c r="T65" i="2"/>
  <c r="T66" i="2" s="1"/>
  <c r="BC62" i="2"/>
  <c r="BE62" i="2"/>
  <c r="BF62" i="2" s="1"/>
  <c r="BB62" i="2"/>
  <c r="AY84" i="2"/>
  <c r="BD129" i="2"/>
  <c r="BE128" i="2"/>
  <c r="BF128" i="2" s="1"/>
  <c r="CL31" i="2"/>
  <c r="CM31" i="2" s="1"/>
  <c r="CJ31" i="2"/>
  <c r="CI31" i="2"/>
  <c r="BZ129" i="2"/>
  <c r="CA122" i="2"/>
  <c r="CB122" i="2" s="1"/>
  <c r="AV157" i="2"/>
  <c r="AZ170" i="2"/>
  <c r="CS183" i="2"/>
  <c r="CS185" i="2" s="1"/>
  <c r="CS65" i="2"/>
  <c r="CT65" i="2" s="1"/>
  <c r="CK66" i="2"/>
  <c r="CL65" i="2"/>
  <c r="CM65" i="2" s="1"/>
  <c r="BS104" i="2"/>
  <c r="DH100" i="2"/>
  <c r="DI100" i="2" s="1"/>
  <c r="DF100" i="2"/>
  <c r="DE100" i="2"/>
  <c r="X28" i="2"/>
  <c r="Y28" i="2" s="1"/>
  <c r="J34" i="2"/>
  <c r="X37" i="2"/>
  <c r="Y37" i="2" s="1"/>
  <c r="G87" i="2"/>
  <c r="H138" i="2"/>
  <c r="Y163" i="2"/>
  <c r="W164" i="2"/>
  <c r="Y164" i="2" s="1"/>
  <c r="AS25" i="2"/>
  <c r="AM126" i="2"/>
  <c r="AX49" i="2"/>
  <c r="AW50" i="2"/>
  <c r="AW51" i="2" s="1"/>
  <c r="AY55" i="2"/>
  <c r="AV56" i="2"/>
  <c r="BD104" i="2"/>
  <c r="AZ129" i="2"/>
  <c r="BA170" i="2"/>
  <c r="BM62" i="2"/>
  <c r="DB62" i="2"/>
  <c r="CT63" i="2"/>
  <c r="BT100" i="2"/>
  <c r="CR114" i="2"/>
  <c r="I41" i="2"/>
  <c r="R58" i="2"/>
  <c r="O178" i="2"/>
  <c r="L66" i="2"/>
  <c r="U87" i="2"/>
  <c r="T138" i="2"/>
  <c r="D151" i="2"/>
  <c r="D167" i="2"/>
  <c r="AH170" i="2"/>
  <c r="AJ170" i="2" s="1"/>
  <c r="AJ169" i="2"/>
  <c r="AK119" i="2"/>
  <c r="AN119" i="2" s="1"/>
  <c r="BU28" i="2"/>
  <c r="BT28" i="2"/>
  <c r="BV41" i="2"/>
  <c r="BY31" i="2"/>
  <c r="BX31" i="2"/>
  <c r="DC157" i="2"/>
  <c r="J50" i="2"/>
  <c r="K50" i="2"/>
  <c r="Q58" i="2"/>
  <c r="K64" i="2"/>
  <c r="I184" i="2"/>
  <c r="I185" i="2" s="1"/>
  <c r="J118" i="2"/>
  <c r="U122" i="2"/>
  <c r="D148" i="2"/>
  <c r="I175" i="2"/>
  <c r="I176" i="2" s="1"/>
  <c r="Y177" i="2"/>
  <c r="AA138" i="2"/>
  <c r="AH114" i="2"/>
  <c r="AN70" i="2"/>
  <c r="AN76" i="2"/>
  <c r="AL133" i="2"/>
  <c r="AY118" i="2"/>
  <c r="CI26" i="2"/>
  <c r="DC46" i="2"/>
  <c r="DC166" i="2" s="1"/>
  <c r="DC43" i="2"/>
  <c r="DC163" i="2" s="1"/>
  <c r="CO169" i="2"/>
  <c r="CQ49" i="2"/>
  <c r="CE55" i="2"/>
  <c r="DG141" i="2"/>
  <c r="DI141" i="2" s="1"/>
  <c r="DI139" i="2"/>
  <c r="H146" i="2"/>
  <c r="H148" i="2" s="1"/>
  <c r="H28" i="2"/>
  <c r="M26" i="2"/>
  <c r="N26" i="2" s="1"/>
  <c r="F77" i="2"/>
  <c r="V87" i="2"/>
  <c r="Q112" i="2"/>
  <c r="K118" i="2"/>
  <c r="T144" i="2"/>
  <c r="E160" i="2"/>
  <c r="I167" i="2"/>
  <c r="L175" i="2"/>
  <c r="L176" i="2" s="1"/>
  <c r="N176" i="2" s="1"/>
  <c r="AF107" i="2"/>
  <c r="AB111" i="2"/>
  <c r="AA113" i="2"/>
  <c r="AA114" i="2" s="1"/>
  <c r="AB114" i="2" s="1"/>
  <c r="AH141" i="2"/>
  <c r="AJ141" i="2" s="1"/>
  <c r="AJ139" i="2"/>
  <c r="AA182" i="2"/>
  <c r="AN55" i="2"/>
  <c r="AK56" i="2"/>
  <c r="AQ97" i="2"/>
  <c r="AT113" i="2"/>
  <c r="AU113" i="2" s="1"/>
  <c r="AS154" i="2"/>
  <c r="AU154" i="2" s="1"/>
  <c r="CQ21" i="2"/>
  <c r="CJ26" i="2"/>
  <c r="BJ48" i="2"/>
  <c r="BH168" i="2"/>
  <c r="BI48" i="2"/>
  <c r="BG184" i="2"/>
  <c r="BJ64" i="2"/>
  <c r="BI64" i="2"/>
  <c r="CE70" i="2"/>
  <c r="CF79" i="2"/>
  <c r="BJ89" i="2"/>
  <c r="BH146" i="2"/>
  <c r="BH148" i="2" s="1"/>
  <c r="BU107" i="2"/>
  <c r="DB112" i="2"/>
  <c r="DA112" i="2"/>
  <c r="DG157" i="2"/>
  <c r="DI157" i="2" s="1"/>
  <c r="DI155" i="2"/>
  <c r="J18" i="2"/>
  <c r="P25" i="2"/>
  <c r="K26" i="2"/>
  <c r="V55" i="2"/>
  <c r="V84" i="2"/>
  <c r="X87" i="2"/>
  <c r="Y87" i="2" s="1"/>
  <c r="V91" i="2"/>
  <c r="U91" i="2"/>
  <c r="D141" i="2"/>
  <c r="W144" i="2"/>
  <c r="Y144" i="2" s="1"/>
  <c r="N173" i="2"/>
  <c r="AI59" i="2"/>
  <c r="AJ59" i="2" s="1"/>
  <c r="AC63" i="2"/>
  <c r="AC111" i="2"/>
  <c r="AP151" i="2"/>
  <c r="AL179" i="2"/>
  <c r="AY100" i="2"/>
  <c r="AV104" i="2"/>
  <c r="CU24" i="2"/>
  <c r="CT24" i="2"/>
  <c r="BI47" i="2"/>
  <c r="BI89" i="2"/>
  <c r="CE103" i="2"/>
  <c r="BX107" i="2"/>
  <c r="CA107" i="2"/>
  <c r="CB107" i="2" s="1"/>
  <c r="BY107" i="2"/>
  <c r="BH113" i="2"/>
  <c r="BI113" i="2" s="1"/>
  <c r="BJ112" i="2"/>
  <c r="BI112" i="2"/>
  <c r="DE128" i="2"/>
  <c r="BO148" i="2"/>
  <c r="BQ148" i="2" s="1"/>
  <c r="BQ146" i="2"/>
  <c r="DD164" i="2"/>
  <c r="P157" i="2"/>
  <c r="AP25" i="2"/>
  <c r="AF34" i="2"/>
  <c r="AY111" i="2"/>
  <c r="BM31" i="2"/>
  <c r="CQ37" i="2"/>
  <c r="CS141" i="2"/>
  <c r="BQ177" i="2"/>
  <c r="U63" i="2"/>
  <c r="D104" i="2"/>
  <c r="E154" i="2"/>
  <c r="D170" i="2"/>
  <c r="AE25" i="2"/>
  <c r="BC125" i="2"/>
  <c r="BN31" i="2"/>
  <c r="CW34" i="2"/>
  <c r="CX34" i="2" s="1"/>
  <c r="DE81" i="2"/>
  <c r="BJ107" i="2"/>
  <c r="CD164" i="2"/>
  <c r="X24" i="2"/>
  <c r="Y24" i="2" s="1"/>
  <c r="F58" i="2"/>
  <c r="G62" i="2"/>
  <c r="V63" i="2"/>
  <c r="J84" i="2"/>
  <c r="Q122" i="2"/>
  <c r="K125" i="2"/>
  <c r="AH25" i="2"/>
  <c r="AO178" i="2"/>
  <c r="AT58" i="2"/>
  <c r="AU58" i="2" s="1"/>
  <c r="BB31" i="2"/>
  <c r="BE31" i="2"/>
  <c r="BF31" i="2" s="1"/>
  <c r="BC31" i="2"/>
  <c r="AY122" i="2"/>
  <c r="BE125" i="2"/>
  <c r="BF125" i="2" s="1"/>
  <c r="BI28" i="2"/>
  <c r="DH55" i="2"/>
  <c r="DI55" i="2" s="1"/>
  <c r="CP57" i="2"/>
  <c r="BP62" i="2"/>
  <c r="BQ62" i="2" s="1"/>
  <c r="BX103" i="2"/>
  <c r="BW179" i="2"/>
  <c r="V24" i="2"/>
  <c r="R47" i="2"/>
  <c r="AA164" i="2"/>
  <c r="AJ177" i="2"/>
  <c r="BZ138" i="2"/>
  <c r="CB138" i="2" s="1"/>
  <c r="V119" i="2"/>
  <c r="W157" i="2"/>
  <c r="Y157" i="2" s="1"/>
  <c r="AB58" i="2"/>
  <c r="Z59" i="2"/>
  <c r="AC59" i="2" s="1"/>
  <c r="AA151" i="2"/>
  <c r="AK178" i="2"/>
  <c r="AK179" i="2" s="1"/>
  <c r="AN58" i="2"/>
  <c r="AK59" i="2"/>
  <c r="AM59" i="2" s="1"/>
  <c r="AN118" i="2"/>
  <c r="BE107" i="2"/>
  <c r="BF107" i="2" s="1"/>
  <c r="AZ114" i="2"/>
  <c r="BC114" i="2" s="1"/>
  <c r="BJ34" i="2"/>
  <c r="CX139" i="2"/>
  <c r="CV141" i="2"/>
  <c r="CX141" i="2" s="1"/>
  <c r="S25" i="2"/>
  <c r="E41" i="2"/>
  <c r="K58" i="2"/>
  <c r="H178" i="2"/>
  <c r="J58" i="2"/>
  <c r="M62" i="2"/>
  <c r="N62" i="2" s="1"/>
  <c r="M70" i="2"/>
  <c r="N70" i="2" s="1"/>
  <c r="Q87" i="2"/>
  <c r="K94" i="2"/>
  <c r="G100" i="2"/>
  <c r="R122" i="2"/>
  <c r="M125" i="2"/>
  <c r="N125" i="2" s="1"/>
  <c r="I154" i="2"/>
  <c r="AC110" i="2"/>
  <c r="AL183" i="2"/>
  <c r="AL65" i="2"/>
  <c r="AL66" i="2" s="1"/>
  <c r="AV25" i="2"/>
  <c r="AY15" i="2"/>
  <c r="BC122" i="2"/>
  <c r="BE122" i="2"/>
  <c r="BF122" i="2" s="1"/>
  <c r="AY126" i="2"/>
  <c r="AW128" i="2"/>
  <c r="AW129" i="2" s="1"/>
  <c r="DA34" i="2"/>
  <c r="BR51" i="2"/>
  <c r="CG88" i="2"/>
  <c r="CJ113" i="2"/>
  <c r="CG135" i="2"/>
  <c r="CO141" i="2"/>
  <c r="DI158" i="2"/>
  <c r="BL175" i="2"/>
  <c r="BL176" i="2" s="1"/>
  <c r="BZ179" i="2"/>
  <c r="CB179" i="2" s="1"/>
  <c r="CB177" i="2"/>
  <c r="AT31" i="2"/>
  <c r="AU31" i="2" s="1"/>
  <c r="AS41" i="2"/>
  <c r="P65" i="2"/>
  <c r="P66" i="2" s="1"/>
  <c r="AW157" i="2"/>
  <c r="BH137" i="2"/>
  <c r="BJ80" i="2"/>
  <c r="BI80" i="2"/>
  <c r="DI142" i="2"/>
  <c r="AY49" i="2"/>
  <c r="BZ25" i="2"/>
  <c r="CA15" i="2"/>
  <c r="CB15" i="2" s="1"/>
  <c r="DH62" i="2"/>
  <c r="DI62" i="2" s="1"/>
  <c r="CU63" i="2"/>
  <c r="DA70" i="2"/>
  <c r="BI84" i="2"/>
  <c r="E113" i="2"/>
  <c r="E114" i="2" s="1"/>
  <c r="F112" i="2"/>
  <c r="F118" i="2"/>
  <c r="D119" i="2"/>
  <c r="G119" i="2" s="1"/>
  <c r="O177" i="2"/>
  <c r="Z88" i="2"/>
  <c r="AI113" i="2"/>
  <c r="AJ113" i="2" s="1"/>
  <c r="Z178" i="2"/>
  <c r="Z179" i="2" s="1"/>
  <c r="BE55" i="2"/>
  <c r="BF55" i="2" s="1"/>
  <c r="BC55" i="2"/>
  <c r="BB55" i="2"/>
  <c r="BJ40" i="2"/>
  <c r="CO168" i="2"/>
  <c r="CO50" i="2"/>
  <c r="CO51" i="2" s="1"/>
  <c r="BS179" i="2"/>
  <c r="K31" i="2"/>
  <c r="Q56" i="2"/>
  <c r="M84" i="2"/>
  <c r="N84" i="2" s="1"/>
  <c r="M94" i="2"/>
  <c r="N94" i="2" s="1"/>
  <c r="R125" i="2"/>
  <c r="H135" i="2"/>
  <c r="W138" i="2"/>
  <c r="Y138" i="2" s="1"/>
  <c r="L154" i="2"/>
  <c r="N154" i="2" s="1"/>
  <c r="I164" i="2"/>
  <c r="AB107" i="2"/>
  <c r="AE129" i="2"/>
  <c r="AP183" i="2"/>
  <c r="AP185" i="2" s="1"/>
  <c r="AR63" i="2"/>
  <c r="AP65" i="2"/>
  <c r="AP66" i="2" s="1"/>
  <c r="AL137" i="2"/>
  <c r="AM80" i="2"/>
  <c r="AR113" i="2"/>
  <c r="AO114" i="2"/>
  <c r="AR114" i="2" s="1"/>
  <c r="AZ56" i="2"/>
  <c r="BC56" i="2" s="1"/>
  <c r="AY103" i="2"/>
  <c r="AW169" i="2"/>
  <c r="AX118" i="2"/>
  <c r="AV119" i="2"/>
  <c r="AY119" i="2" s="1"/>
  <c r="BU31" i="2"/>
  <c r="BM34" i="2"/>
  <c r="CA103" i="2"/>
  <c r="CB103" i="2" s="1"/>
  <c r="DE122" i="2"/>
  <c r="CS129" i="2"/>
  <c r="CH135" i="2"/>
  <c r="CC135" i="2"/>
  <c r="DC145" i="2"/>
  <c r="BO175" i="2"/>
  <c r="BO176" i="2" s="1"/>
  <c r="BQ176" i="2" s="1"/>
  <c r="BQ173" i="2"/>
  <c r="Z138" i="2"/>
  <c r="Z145" i="2" s="1"/>
  <c r="AK135" i="2"/>
  <c r="AS151" i="2"/>
  <c r="AU151" i="2" s="1"/>
  <c r="AZ42" i="2"/>
  <c r="AZ162" i="2" s="1"/>
  <c r="AZ164" i="2" s="1"/>
  <c r="AV44" i="2"/>
  <c r="AY44" i="2" s="1"/>
  <c r="BA51" i="2"/>
  <c r="BA104" i="2"/>
  <c r="BA138" i="2"/>
  <c r="AV151" i="2"/>
  <c r="CK25" i="2"/>
  <c r="DD51" i="2"/>
  <c r="BZ88" i="2"/>
  <c r="CZ129" i="2"/>
  <c r="CG141" i="2"/>
  <c r="CR144" i="2"/>
  <c r="BR148" i="2"/>
  <c r="CO154" i="2"/>
  <c r="BR167" i="2"/>
  <c r="V15" i="2"/>
  <c r="V110" i="2"/>
  <c r="D144" i="2"/>
  <c r="L148" i="2"/>
  <c r="N148" i="2" s="1"/>
  <c r="P160" i="2"/>
  <c r="E167" i="2"/>
  <c r="I179" i="2"/>
  <c r="AI40" i="2"/>
  <c r="AJ40" i="2" s="1"/>
  <c r="AD138" i="2"/>
  <c r="AK25" i="2"/>
  <c r="AO42" i="2"/>
  <c r="AT42" i="2" s="1"/>
  <c r="AU42" i="2" s="1"/>
  <c r="AO45" i="2"/>
  <c r="AO165" i="2" s="1"/>
  <c r="AU149" i="2"/>
  <c r="AK162" i="2"/>
  <c r="AK164" i="2" s="1"/>
  <c r="AX42" i="2"/>
  <c r="BC94" i="2"/>
  <c r="BD144" i="2"/>
  <c r="BF144" i="2" s="1"/>
  <c r="AW151" i="2"/>
  <c r="BD175" i="2"/>
  <c r="BD176" i="2" s="1"/>
  <c r="BF176" i="2" s="1"/>
  <c r="CQ15" i="2"/>
  <c r="CJ40" i="2"/>
  <c r="BG162" i="2"/>
  <c r="BG164" i="2" s="1"/>
  <c r="BG44" i="2"/>
  <c r="BJ44" i="2" s="1"/>
  <c r="CD169" i="2"/>
  <c r="CF49" i="2"/>
  <c r="CE49" i="2"/>
  <c r="CA57" i="2"/>
  <c r="CB57" i="2" s="1"/>
  <c r="CA70" i="2"/>
  <c r="CB70" i="2" s="1"/>
  <c r="BY70" i="2"/>
  <c r="BX70" i="2"/>
  <c r="CZ133" i="2"/>
  <c r="CZ135" i="2" s="1"/>
  <c r="CZ78" i="2"/>
  <c r="CC88" i="2"/>
  <c r="CP84" i="2"/>
  <c r="CJ91" i="2"/>
  <c r="CK104" i="2"/>
  <c r="CQ107" i="2"/>
  <c r="CH141" i="2"/>
  <c r="CS144" i="2"/>
  <c r="CM149" i="2"/>
  <c r="CR154" i="2"/>
  <c r="BS167" i="2"/>
  <c r="BG182" i="2"/>
  <c r="CM183" i="2"/>
  <c r="AB91" i="2"/>
  <c r="AI107" i="2"/>
  <c r="AJ107" i="2" s="1"/>
  <c r="AT97" i="2"/>
  <c r="AU97" i="2" s="1"/>
  <c r="BV46" i="2"/>
  <c r="BY46" i="2" s="1"/>
  <c r="CY183" i="2"/>
  <c r="DB63" i="2"/>
  <c r="L41" i="2"/>
  <c r="X34" i="2"/>
  <c r="Y34" i="2" s="1"/>
  <c r="S59" i="2"/>
  <c r="X59" i="2" s="1"/>
  <c r="Y59" i="2" s="1"/>
  <c r="M97" i="2"/>
  <c r="N97" i="2" s="1"/>
  <c r="D135" i="2"/>
  <c r="I138" i="2"/>
  <c r="I151" i="2"/>
  <c r="P154" i="2"/>
  <c r="W170" i="2"/>
  <c r="Y170" i="2" s="1"/>
  <c r="H182" i="2"/>
  <c r="AF58" i="2"/>
  <c r="AB77" i="2"/>
  <c r="AB89" i="2"/>
  <c r="Z148" i="2"/>
  <c r="AY76" i="2"/>
  <c r="AX91" i="2"/>
  <c r="AX97" i="2"/>
  <c r="AW182" i="2"/>
  <c r="CC25" i="2"/>
  <c r="CF25" i="2" s="1"/>
  <c r="CV51" i="2"/>
  <c r="BU62" i="2"/>
  <c r="BJ70" i="2"/>
  <c r="BN100" i="2"/>
  <c r="BZ151" i="2"/>
  <c r="CB151" i="2" s="1"/>
  <c r="CD154" i="2"/>
  <c r="CD179" i="2"/>
  <c r="BK185" i="2"/>
  <c r="AH66" i="2"/>
  <c r="CA94" i="2"/>
  <c r="CB94" i="2" s="1"/>
  <c r="BY94" i="2"/>
  <c r="BX94" i="2"/>
  <c r="U57" i="2"/>
  <c r="E183" i="2"/>
  <c r="V118" i="2"/>
  <c r="D160" i="2"/>
  <c r="I182" i="2"/>
  <c r="AG58" i="2"/>
  <c r="AC77" i="2"/>
  <c r="AC89" i="2"/>
  <c r="AC100" i="2"/>
  <c r="Z160" i="2"/>
  <c r="Z167" i="2"/>
  <c r="AP51" i="2"/>
  <c r="AO177" i="2"/>
  <c r="AR57" i="2"/>
  <c r="BB37" i="2"/>
  <c r="BB40" i="2"/>
  <c r="BB64" i="2"/>
  <c r="BE84" i="2"/>
  <c r="BF84" i="2" s="1"/>
  <c r="BI63" i="2"/>
  <c r="CT64" i="2"/>
  <c r="DG88" i="2"/>
  <c r="CT125" i="2"/>
  <c r="BU127" i="2"/>
  <c r="CB149" i="2"/>
  <c r="BS157" i="2"/>
  <c r="CH179" i="2"/>
  <c r="CH182" i="2"/>
  <c r="BO185" i="2"/>
  <c r="BQ185" i="2" s="1"/>
  <c r="BQ183" i="2"/>
  <c r="E182" i="2"/>
  <c r="AB47" i="2"/>
  <c r="L25" i="2"/>
  <c r="P41" i="2"/>
  <c r="M40" i="2"/>
  <c r="N40" i="2" s="1"/>
  <c r="V57" i="2"/>
  <c r="F63" i="2"/>
  <c r="Q70" i="2"/>
  <c r="F84" i="2"/>
  <c r="X91" i="2"/>
  <c r="Y91" i="2" s="1"/>
  <c r="J100" i="2"/>
  <c r="H157" i="2"/>
  <c r="L182" i="2"/>
  <c r="N182" i="2" s="1"/>
  <c r="AQ57" i="2"/>
  <c r="AN62" i="2"/>
  <c r="AQ94" i="2"/>
  <c r="AO129" i="2"/>
  <c r="AR128" i="2"/>
  <c r="AK170" i="2"/>
  <c r="BE21" i="2"/>
  <c r="BF21" i="2" s="1"/>
  <c r="BC64" i="2"/>
  <c r="CE15" i="2"/>
  <c r="CF43" i="2"/>
  <c r="CU64" i="2"/>
  <c r="BH136" i="2"/>
  <c r="BJ79" i="2"/>
  <c r="DA122" i="2"/>
  <c r="CC151" i="2"/>
  <c r="CN160" i="2"/>
  <c r="BV175" i="2"/>
  <c r="BV176" i="2" s="1"/>
  <c r="CK179" i="2"/>
  <c r="CM179" i="2" s="1"/>
  <c r="CK182" i="2"/>
  <c r="CM182" i="2" s="1"/>
  <c r="CM180" i="2"/>
  <c r="AV182" i="2"/>
  <c r="G24" i="2"/>
  <c r="T51" i="2"/>
  <c r="U97" i="2"/>
  <c r="U118" i="2"/>
  <c r="O151" i="2"/>
  <c r="H160" i="2"/>
  <c r="O182" i="2"/>
  <c r="AB21" i="2"/>
  <c r="AD66" i="2"/>
  <c r="AB97" i="2"/>
  <c r="AN37" i="2"/>
  <c r="AT57" i="2"/>
  <c r="AU57" i="2" s="1"/>
  <c r="AS104" i="2"/>
  <c r="AM107" i="2"/>
  <c r="AP129" i="2"/>
  <c r="AS144" i="2"/>
  <c r="AU144" i="2" s="1"/>
  <c r="AL151" i="2"/>
  <c r="AZ28" i="2"/>
  <c r="BE28" i="2" s="1"/>
  <c r="BF28" i="2" s="1"/>
  <c r="AZ146" i="2"/>
  <c r="AZ148" i="2" s="1"/>
  <c r="BE40" i="2"/>
  <c r="BF40" i="2" s="1"/>
  <c r="CF15" i="2"/>
  <c r="BY18" i="2"/>
  <c r="BU21" i="2"/>
  <c r="BT21" i="2"/>
  <c r="BU24" i="2"/>
  <c r="DF24" i="2"/>
  <c r="CG43" i="2"/>
  <c r="CJ43" i="2" s="1"/>
  <c r="BJ50" i="2"/>
  <c r="CQ76" i="2"/>
  <c r="CP76" i="2"/>
  <c r="DB89" i="2"/>
  <c r="BU100" i="2"/>
  <c r="CW103" i="2"/>
  <c r="CX103" i="2" s="1"/>
  <c r="CU103" i="2"/>
  <c r="CV129" i="2"/>
  <c r="CO160" i="2"/>
  <c r="CN170" i="2"/>
  <c r="BW175" i="2"/>
  <c r="BW176" i="2" s="1"/>
  <c r="F110" i="2"/>
  <c r="O154" i="2"/>
  <c r="AA25" i="2"/>
  <c r="AG21" i="2"/>
  <c r="AF87" i="2"/>
  <c r="AC118" i="2"/>
  <c r="AA157" i="2"/>
  <c r="AA179" i="2"/>
  <c r="AM15" i="2"/>
  <c r="AS129" i="2"/>
  <c r="BC24" i="2"/>
  <c r="AX40" i="2"/>
  <c r="BA88" i="2"/>
  <c r="BT18" i="2"/>
  <c r="DF62" i="2"/>
  <c r="BM91" i="2"/>
  <c r="BT94" i="2"/>
  <c r="CU107" i="2"/>
  <c r="BX119" i="2"/>
  <c r="BL138" i="2"/>
  <c r="BG144" i="2"/>
  <c r="BS160" i="2"/>
  <c r="DG164" i="2"/>
  <c r="DI164" i="2" s="1"/>
  <c r="CS167" i="2"/>
  <c r="BL182" i="2"/>
  <c r="DC182" i="2"/>
  <c r="CR185" i="2"/>
  <c r="AH51" i="2"/>
  <c r="AE160" i="2"/>
  <c r="AT24" i="2"/>
  <c r="AU24" i="2" s="1"/>
  <c r="AK138" i="2"/>
  <c r="BE97" i="2"/>
  <c r="BF97" i="2" s="1"/>
  <c r="BA135" i="2"/>
  <c r="CE21" i="2"/>
  <c r="DB37" i="2"/>
  <c r="CV66" i="2"/>
  <c r="CQ70" i="2"/>
  <c r="CF107" i="2"/>
  <c r="CF110" i="2"/>
  <c r="BX125" i="2"/>
  <c r="DH125" i="2"/>
  <c r="DI125" i="2" s="1"/>
  <c r="DG148" i="2"/>
  <c r="DI148" i="2" s="1"/>
  <c r="BR151" i="2"/>
  <c r="DD151" i="2"/>
  <c r="BV154" i="2"/>
  <c r="BV157" i="2"/>
  <c r="BV160" i="2"/>
  <c r="CK164" i="2"/>
  <c r="CM164" i="2" s="1"/>
  <c r="AG78" i="2"/>
  <c r="AH160" i="2"/>
  <c r="AJ160" i="2" s="1"/>
  <c r="AL81" i="2"/>
  <c r="AN81" i="2" s="1"/>
  <c r="AT107" i="2"/>
  <c r="AU107" i="2" s="1"/>
  <c r="AL136" i="2"/>
  <c r="AS179" i="2"/>
  <c r="AU179" i="2" s="1"/>
  <c r="AY57" i="2"/>
  <c r="AV59" i="2"/>
  <c r="AX59" i="2" s="1"/>
  <c r="BF133" i="2"/>
  <c r="BD135" i="2"/>
  <c r="BF135" i="2" s="1"/>
  <c r="AV141" i="2"/>
  <c r="BA148" i="2"/>
  <c r="CA28" i="2"/>
  <c r="CB28" i="2" s="1"/>
  <c r="DH37" i="2"/>
  <c r="DI37" i="2" s="1"/>
  <c r="DF37" i="2"/>
  <c r="DE37" i="2"/>
  <c r="BT40" i="2"/>
  <c r="BI43" i="2"/>
  <c r="CZ184" i="2"/>
  <c r="CZ185" i="2" s="1"/>
  <c r="BS134" i="2"/>
  <c r="BU77" i="2"/>
  <c r="BU87" i="2"/>
  <c r="CU94" i="2"/>
  <c r="CL113" i="2"/>
  <c r="CM113" i="2" s="1"/>
  <c r="CD141" i="2"/>
  <c r="CM142" i="2"/>
  <c r="CK144" i="2"/>
  <c r="CM144" i="2" s="1"/>
  <c r="DI146" i="2"/>
  <c r="DG151" i="2"/>
  <c r="DI151" i="2" s="1"/>
  <c r="BW154" i="2"/>
  <c r="BW157" i="2"/>
  <c r="BW160" i="2"/>
  <c r="CM162" i="2"/>
  <c r="CD167" i="2"/>
  <c r="BK170" i="2"/>
  <c r="DG170" i="2"/>
  <c r="AD179" i="2"/>
  <c r="AB112" i="2"/>
  <c r="AD144" i="2"/>
  <c r="AJ149" i="2"/>
  <c r="AJ159" i="2"/>
  <c r="AQ24" i="2"/>
  <c r="AN79" i="2"/>
  <c r="AR91" i="2"/>
  <c r="BD66" i="2"/>
  <c r="BB97" i="2"/>
  <c r="CL21" i="2"/>
  <c r="CM21" i="2" s="1"/>
  <c r="CL24" i="2"/>
  <c r="CM24" i="2" s="1"/>
  <c r="BS41" i="2"/>
  <c r="BJ43" i="2"/>
  <c r="BI55" i="2"/>
  <c r="BI62" i="2"/>
  <c r="BU119" i="2"/>
  <c r="DF119" i="2"/>
  <c r="CN144" i="2"/>
  <c r="BV151" i="2"/>
  <c r="BZ157" i="2"/>
  <c r="CB157" i="2" s="1"/>
  <c r="CO164" i="2"/>
  <c r="BL170" i="2"/>
  <c r="DI168" i="2"/>
  <c r="CZ179" i="2"/>
  <c r="H154" i="2"/>
  <c r="H175" i="2"/>
  <c r="H176" i="2" s="1"/>
  <c r="AF57" i="2"/>
  <c r="AC64" i="2"/>
  <c r="AI97" i="2"/>
  <c r="AJ97" i="2" s="1"/>
  <c r="AE144" i="2"/>
  <c r="AR21" i="2"/>
  <c r="AR24" i="2"/>
  <c r="AT103" i="2"/>
  <c r="AU103" i="2" s="1"/>
  <c r="AQ107" i="2"/>
  <c r="AP154" i="2"/>
  <c r="AY62" i="2"/>
  <c r="AZ104" i="2"/>
  <c r="BC104" i="2" s="1"/>
  <c r="BC97" i="2"/>
  <c r="BE113" i="2"/>
  <c r="BF113" i="2" s="1"/>
  <c r="BD114" i="2"/>
  <c r="AZ135" i="2"/>
  <c r="CR25" i="2"/>
  <c r="CJ21" i="2"/>
  <c r="BK43" i="2"/>
  <c r="BK163" i="2" s="1"/>
  <c r="BK46" i="2"/>
  <c r="BN46" i="2" s="1"/>
  <c r="BK59" i="2"/>
  <c r="BN59" i="2" s="1"/>
  <c r="BJ58" i="2"/>
  <c r="DE64" i="2"/>
  <c r="DE91" i="2"/>
  <c r="BH104" i="2"/>
  <c r="CQ97" i="2"/>
  <c r="CP97" i="2"/>
  <c r="DD138" i="2"/>
  <c r="CO144" i="2"/>
  <c r="BG148" i="2"/>
  <c r="BW151" i="2"/>
  <c r="CC154" i="2"/>
  <c r="CB155" i="2"/>
  <c r="CC160" i="2"/>
  <c r="CK167" i="2"/>
  <c r="CM167" i="2" s="1"/>
  <c r="BO170" i="2"/>
  <c r="BQ170" i="2" s="1"/>
  <c r="DD179" i="2"/>
  <c r="CS182" i="2"/>
  <c r="Z151" i="2"/>
  <c r="Z175" i="2"/>
  <c r="Z176" i="2" s="1"/>
  <c r="AO160" i="2"/>
  <c r="AK182" i="2"/>
  <c r="AY28" i="2"/>
  <c r="BD41" i="2"/>
  <c r="BE78" i="2"/>
  <c r="BF78" i="2" s="1"/>
  <c r="BB91" i="2"/>
  <c r="AZ154" i="2"/>
  <c r="AV175" i="2"/>
  <c r="AV176" i="2" s="1"/>
  <c r="BA183" i="2"/>
  <c r="BA185" i="2" s="1"/>
  <c r="BL25" i="2"/>
  <c r="CV25" i="2"/>
  <c r="DA21" i="2"/>
  <c r="BH169" i="2"/>
  <c r="CT103" i="2"/>
  <c r="CN128" i="2"/>
  <c r="CN129" i="2" s="1"/>
  <c r="CA125" i="2"/>
  <c r="CB125" i="2" s="1"/>
  <c r="BH128" i="2"/>
  <c r="BH129" i="2" s="1"/>
  <c r="BV141" i="2"/>
  <c r="CN148" i="2"/>
  <c r="BH151" i="2"/>
  <c r="CS151" i="2"/>
  <c r="BK154" i="2"/>
  <c r="CY154" i="2"/>
  <c r="BH157" i="2"/>
  <c r="CS157" i="2"/>
  <c r="BO164" i="2"/>
  <c r="BQ164" i="2" s="1"/>
  <c r="BH167" i="2"/>
  <c r="CG170" i="2"/>
  <c r="CO175" i="2"/>
  <c r="CO176" i="2" s="1"/>
  <c r="AV160" i="2"/>
  <c r="AW175" i="2"/>
  <c r="AW176" i="2" s="1"/>
  <c r="BW141" i="2"/>
  <c r="CD144" i="2"/>
  <c r="CS148" i="2"/>
  <c r="BK151" i="2"/>
  <c r="BL154" i="2"/>
  <c r="CZ154" i="2"/>
  <c r="BK157" i="2"/>
  <c r="BK160" i="2"/>
  <c r="CY160" i="2"/>
  <c r="BL167" i="2"/>
  <c r="DG167" i="2"/>
  <c r="DI167" i="2" s="1"/>
  <c r="BG175" i="2"/>
  <c r="BG176" i="2" s="1"/>
  <c r="CR175" i="2"/>
  <c r="CR176" i="2" s="1"/>
  <c r="CN182" i="2"/>
  <c r="AN91" i="2"/>
  <c r="AO144" i="2"/>
  <c r="AL167" i="2"/>
  <c r="AX63" i="2"/>
  <c r="AZ175" i="2"/>
  <c r="AZ176" i="2" s="1"/>
  <c r="CZ25" i="2"/>
  <c r="CI18" i="2"/>
  <c r="BM24" i="2"/>
  <c r="CW24" i="2"/>
  <c r="CX24" i="2" s="1"/>
  <c r="CK41" i="2"/>
  <c r="BY37" i="2"/>
  <c r="BM40" i="2"/>
  <c r="CE48" i="2"/>
  <c r="DE57" i="2"/>
  <c r="BS183" i="2"/>
  <c r="BL88" i="2"/>
  <c r="BI111" i="2"/>
  <c r="DE113" i="2"/>
  <c r="CQ122" i="2"/>
  <c r="BL135" i="2"/>
  <c r="DI133" i="2"/>
  <c r="BL151" i="2"/>
  <c r="CY151" i="2"/>
  <c r="BO154" i="2"/>
  <c r="BQ154" i="2" s="1"/>
  <c r="DC154" i="2"/>
  <c r="BL157" i="2"/>
  <c r="CY157" i="2"/>
  <c r="BL160" i="2"/>
  <c r="BO167" i="2"/>
  <c r="BQ167" i="2" s="1"/>
  <c r="DI165" i="2"/>
  <c r="CK170" i="2"/>
  <c r="CM170" i="2" s="1"/>
  <c r="BH175" i="2"/>
  <c r="BH176" i="2" s="1"/>
  <c r="CS175" i="2"/>
  <c r="CS176" i="2" s="1"/>
  <c r="CO182" i="2"/>
  <c r="AT55" i="2"/>
  <c r="AU55" i="2" s="1"/>
  <c r="AN97" i="2"/>
  <c r="AQ125" i="2"/>
  <c r="AV138" i="2"/>
  <c r="BU15" i="2"/>
  <c r="DA15" i="2"/>
  <c r="DB24" i="2"/>
  <c r="CP28" i="2"/>
  <c r="CF34" i="2"/>
  <c r="CP47" i="2"/>
  <c r="BZ51" i="2"/>
  <c r="DF57" i="2"/>
  <c r="DE58" i="2"/>
  <c r="CJ62" i="2"/>
  <c r="DD88" i="2"/>
  <c r="BI87" i="2"/>
  <c r="CU87" i="2"/>
  <c r="DG104" i="2"/>
  <c r="BP122" i="2"/>
  <c r="BQ122" i="2" s="1"/>
  <c r="CT122" i="2"/>
  <c r="CI125" i="2"/>
  <c r="BO135" i="2"/>
  <c r="BQ135" i="2" s="1"/>
  <c r="BG135" i="2"/>
  <c r="CY138" i="2"/>
  <c r="CC141" i="2"/>
  <c r="CY148" i="2"/>
  <c r="BO151" i="2"/>
  <c r="BQ151" i="2" s="1"/>
  <c r="BQ152" i="2"/>
  <c r="BO157" i="2"/>
  <c r="BQ157" i="2" s="1"/>
  <c r="BO160" i="2"/>
  <c r="BQ160" i="2" s="1"/>
  <c r="DC160" i="2"/>
  <c r="BW164" i="2"/>
  <c r="BW171" i="2" s="1"/>
  <c r="BQ165" i="2"/>
  <c r="CM168" i="2"/>
  <c r="BK175" i="2"/>
  <c r="BK176" i="2" s="1"/>
  <c r="CR182" i="2"/>
  <c r="BK25" i="2"/>
  <c r="BP15" i="2"/>
  <c r="BQ15" i="2" s="1"/>
  <c r="BN15" i="2"/>
  <c r="BM15" i="2"/>
  <c r="CE111" i="2"/>
  <c r="BT112" i="2"/>
  <c r="BU112" i="2"/>
  <c r="CP21" i="2"/>
  <c r="CT59" i="2"/>
  <c r="BI70" i="2"/>
  <c r="CF111" i="2"/>
  <c r="CW37" i="2"/>
  <c r="CX37" i="2" s="1"/>
  <c r="CU37" i="2"/>
  <c r="BK166" i="2"/>
  <c r="BP46" i="2"/>
  <c r="BQ46" i="2" s="1"/>
  <c r="CU59" i="2"/>
  <c r="DA110" i="2"/>
  <c r="CG25" i="2"/>
  <c r="CL15" i="2"/>
  <c r="CM15" i="2" s="1"/>
  <c r="BK146" i="2"/>
  <c r="BK148" i="2" s="1"/>
  <c r="BP26" i="2"/>
  <c r="BQ26" i="2" s="1"/>
  <c r="BK28" i="2"/>
  <c r="CU40" i="2"/>
  <c r="CW40" i="2"/>
  <c r="CX40" i="2" s="1"/>
  <c r="CT40" i="2"/>
  <c r="BP78" i="2"/>
  <c r="BQ78" i="2" s="1"/>
  <c r="BN78" i="2"/>
  <c r="BM78" i="2"/>
  <c r="BK88" i="2"/>
  <c r="BM26" i="2"/>
  <c r="CW100" i="2"/>
  <c r="CX100" i="2" s="1"/>
  <c r="CI15" i="2"/>
  <c r="CI21" i="2"/>
  <c r="BN26" i="2"/>
  <c r="BZ41" i="2"/>
  <c r="DB31" i="2"/>
  <c r="DA31" i="2"/>
  <c r="BJ15" i="2"/>
  <c r="BG25" i="2"/>
  <c r="CJ15" i="2"/>
  <c r="CA31" i="2"/>
  <c r="CB31" i="2" s="1"/>
  <c r="DB40" i="2"/>
  <c r="DA40" i="2"/>
  <c r="CC162" i="2"/>
  <c r="CC44" i="2"/>
  <c r="CC51" i="2" s="1"/>
  <c r="CG45" i="2"/>
  <c r="CL55" i="2"/>
  <c r="CM55" i="2" s="1"/>
  <c r="CJ55" i="2"/>
  <c r="CG56" i="2"/>
  <c r="CI55" i="2"/>
  <c r="CD134" i="2"/>
  <c r="CF77" i="2"/>
  <c r="CE77" i="2"/>
  <c r="DE84" i="2"/>
  <c r="DF84" i="2"/>
  <c r="CP87" i="2"/>
  <c r="CQ24" i="2"/>
  <c r="CP24" i="2"/>
  <c r="CN25" i="2"/>
  <c r="BT37" i="2"/>
  <c r="BU37" i="2"/>
  <c r="CY41" i="2"/>
  <c r="DF50" i="2"/>
  <c r="DH50" i="2"/>
  <c r="DI50" i="2" s="1"/>
  <c r="DE50" i="2"/>
  <c r="CG104" i="2"/>
  <c r="CL94" i="2"/>
  <c r="CM94" i="2" s="1"/>
  <c r="CJ94" i="2"/>
  <c r="CI94" i="2"/>
  <c r="BG88" i="2"/>
  <c r="CW91" i="2"/>
  <c r="CX91" i="2" s="1"/>
  <c r="CU91" i="2"/>
  <c r="CT91" i="2"/>
  <c r="CE34" i="2"/>
  <c r="CL34" i="2"/>
  <c r="CM34" i="2" s="1"/>
  <c r="CJ34" i="2"/>
  <c r="CI34" i="2"/>
  <c r="CQ126" i="2"/>
  <c r="CP126" i="2"/>
  <c r="CO128" i="2"/>
  <c r="BI15" i="2"/>
  <c r="BP21" i="2"/>
  <c r="BQ21" i="2" s="1"/>
  <c r="BN21" i="2"/>
  <c r="BU84" i="2"/>
  <c r="BT84" i="2"/>
  <c r="BN87" i="2"/>
  <c r="BM87" i="2"/>
  <c r="BP87" i="2"/>
  <c r="BQ87" i="2" s="1"/>
  <c r="BU110" i="2"/>
  <c r="BT110" i="2"/>
  <c r="DE34" i="2"/>
  <c r="DH34" i="2"/>
  <c r="DI34" i="2" s="1"/>
  <c r="DC41" i="2"/>
  <c r="CT37" i="2"/>
  <c r="DH110" i="2"/>
  <c r="DI110" i="2" s="1"/>
  <c r="DF110" i="2"/>
  <c r="DE110" i="2"/>
  <c r="CZ119" i="2"/>
  <c r="DB119" i="2" s="1"/>
  <c r="DB118" i="2"/>
  <c r="CL41" i="2"/>
  <c r="CM41" i="2" s="1"/>
  <c r="BY110" i="2"/>
  <c r="BX110" i="2"/>
  <c r="BV114" i="2"/>
  <c r="CA110" i="2"/>
  <c r="CB110" i="2" s="1"/>
  <c r="DF34" i="2"/>
  <c r="CO66" i="2"/>
  <c r="CC163" i="2"/>
  <c r="CG46" i="2"/>
  <c r="DB125" i="2"/>
  <c r="BT59" i="2"/>
  <c r="BU59" i="2"/>
  <c r="CU65" i="2"/>
  <c r="CR66" i="2"/>
  <c r="DC88" i="2"/>
  <c r="DE78" i="2"/>
  <c r="CO136" i="2"/>
  <c r="CQ79" i="2"/>
  <c r="CI103" i="2"/>
  <c r="CL103" i="2"/>
  <c r="CM103" i="2" s="1"/>
  <c r="CW97" i="2"/>
  <c r="CX97" i="2" s="1"/>
  <c r="CU97" i="2"/>
  <c r="CR104" i="2"/>
  <c r="BY100" i="2"/>
  <c r="CA100" i="2"/>
  <c r="CB100" i="2" s="1"/>
  <c r="BH179" i="2"/>
  <c r="CO25" i="2"/>
  <c r="CF31" i="2"/>
  <c r="CE31" i="2"/>
  <c r="CE50" i="2"/>
  <c r="CD184" i="2"/>
  <c r="CF64" i="2"/>
  <c r="CE64" i="2"/>
  <c r="CP79" i="2"/>
  <c r="CD137" i="2"/>
  <c r="CD138" i="2" s="1"/>
  <c r="CE80" i="2"/>
  <c r="BG104" i="2"/>
  <c r="BJ94" i="2"/>
  <c r="BI94" i="2"/>
  <c r="BR104" i="2"/>
  <c r="CL107" i="2"/>
  <c r="CM107" i="2" s="1"/>
  <c r="CI107" i="2"/>
  <c r="CJ107" i="2"/>
  <c r="CG114" i="2"/>
  <c r="CA118" i="2"/>
  <c r="CB118" i="2" s="1"/>
  <c r="CP18" i="2"/>
  <c r="DE31" i="2"/>
  <c r="DH40" i="2"/>
  <c r="DI40" i="2" s="1"/>
  <c r="DF40" i="2"/>
  <c r="DG51" i="2"/>
  <c r="BG177" i="2"/>
  <c r="BG179" i="2" s="1"/>
  <c r="BG59" i="2"/>
  <c r="BG66" i="2" s="1"/>
  <c r="CP58" i="2"/>
  <c r="BR183" i="2"/>
  <c r="BU63" i="2"/>
  <c r="BT63" i="2"/>
  <c r="BM65" i="2"/>
  <c r="DF78" i="2"/>
  <c r="CF80" i="2"/>
  <c r="BM81" i="2"/>
  <c r="CT97" i="2"/>
  <c r="DH21" i="2"/>
  <c r="DI21" i="2" s="1"/>
  <c r="DF21" i="2"/>
  <c r="DE21" i="2"/>
  <c r="CY25" i="2"/>
  <c r="CF37" i="2"/>
  <c r="CE37" i="2"/>
  <c r="BK162" i="2"/>
  <c r="BP42" i="2"/>
  <c r="BQ42" i="2" s="1"/>
  <c r="BN42" i="2"/>
  <c r="DH70" i="2"/>
  <c r="DI70" i="2" s="1"/>
  <c r="DE70" i="2"/>
  <c r="CJ24" i="2"/>
  <c r="CR41" i="2"/>
  <c r="BT34" i="2"/>
  <c r="BM42" i="2"/>
  <c r="BK44" i="2"/>
  <c r="CE47" i="2"/>
  <c r="CN88" i="2"/>
  <c r="CE113" i="2"/>
  <c r="DC25" i="2"/>
  <c r="DH15" i="2"/>
  <c r="DI15" i="2" s="1"/>
  <c r="CE18" i="2"/>
  <c r="CF18" i="2"/>
  <c r="CR146" i="2"/>
  <c r="CR148" i="2" s="1"/>
  <c r="CR28" i="2"/>
  <c r="DC56" i="2"/>
  <c r="DE55" i="2"/>
  <c r="DF55" i="2"/>
  <c r="DA62" i="2"/>
  <c r="DF70" i="2"/>
  <c r="CF113" i="2"/>
  <c r="DD25" i="2"/>
  <c r="CT26" i="2"/>
  <c r="BT48" i="2"/>
  <c r="BS50" i="2"/>
  <c r="BS51" i="2" s="1"/>
  <c r="BS168" i="2"/>
  <c r="BL51" i="2"/>
  <c r="BN50" i="2"/>
  <c r="BM50" i="2"/>
  <c r="BN110" i="2"/>
  <c r="CJ122" i="2"/>
  <c r="CL122" i="2"/>
  <c r="CM122" i="2" s="1"/>
  <c r="CI122" i="2"/>
  <c r="DA125" i="2"/>
  <c r="BX100" i="2"/>
  <c r="CU15" i="2"/>
  <c r="BG41" i="2"/>
  <c r="BJ31" i="2"/>
  <c r="BI31" i="2"/>
  <c r="BX37" i="2"/>
  <c r="DA37" i="2"/>
  <c r="BV165" i="2"/>
  <c r="BX45" i="2"/>
  <c r="CH51" i="2"/>
  <c r="BK177" i="2"/>
  <c r="BP57" i="2"/>
  <c r="BQ57" i="2" s="1"/>
  <c r="BN57" i="2"/>
  <c r="BM57" i="2"/>
  <c r="CD133" i="2"/>
  <c r="CF76" i="2"/>
  <c r="CD78" i="2"/>
  <c r="CE76" i="2"/>
  <c r="BP81" i="2"/>
  <c r="BQ81" i="2" s="1"/>
  <c r="CA97" i="2"/>
  <c r="CB97" i="2" s="1"/>
  <c r="BY97" i="2"/>
  <c r="DA97" i="2"/>
  <c r="CI118" i="2"/>
  <c r="CG119" i="2"/>
  <c r="CL118" i="2"/>
  <c r="CM118" i="2" s="1"/>
  <c r="DG119" i="2"/>
  <c r="DH119" i="2" s="1"/>
  <c r="DI119" i="2" s="1"/>
  <c r="DH118" i="2"/>
  <c r="DI118" i="2" s="1"/>
  <c r="CJ103" i="2"/>
  <c r="BV104" i="2"/>
  <c r="CF118" i="2"/>
  <c r="CC119" i="2"/>
  <c r="BO25" i="2"/>
  <c r="CQ18" i="2"/>
  <c r="DA24" i="2"/>
  <c r="DB28" i="2"/>
  <c r="DF31" i="2"/>
  <c r="CA40" i="2"/>
  <c r="CB40" i="2" s="1"/>
  <c r="BY40" i="2"/>
  <c r="BX40" i="2"/>
  <c r="CF50" i="2"/>
  <c r="BI57" i="2"/>
  <c r="CQ58" i="2"/>
  <c r="BL66" i="2"/>
  <c r="CO81" i="2"/>
  <c r="BN91" i="2"/>
  <c r="BK104" i="2"/>
  <c r="BP94" i="2"/>
  <c r="BQ94" i="2" s="1"/>
  <c r="BN94" i="2"/>
  <c r="BM94" i="2"/>
  <c r="BT97" i="2"/>
  <c r="DE118" i="2"/>
  <c r="BU18" i="2"/>
  <c r="BI34" i="2"/>
  <c r="DE40" i="2"/>
  <c r="CY162" i="2"/>
  <c r="DC45" i="2"/>
  <c r="CY44" i="2"/>
  <c r="CL50" i="2"/>
  <c r="CM50" i="2" s="1"/>
  <c r="BK56" i="2"/>
  <c r="BP55" i="2"/>
  <c r="BQ55" i="2" s="1"/>
  <c r="CO56" i="2"/>
  <c r="CP56" i="2" s="1"/>
  <c r="CP55" i="2"/>
  <c r="CQ55" i="2"/>
  <c r="BJ57" i="2"/>
  <c r="CR178" i="2"/>
  <c r="CR179" i="2" s="1"/>
  <c r="CT58" i="2"/>
  <c r="CW58" i="2"/>
  <c r="CX58" i="2" s="1"/>
  <c r="CU58" i="2"/>
  <c r="DD183" i="2"/>
  <c r="DD185" i="2" s="1"/>
  <c r="DF63" i="2"/>
  <c r="DD65" i="2"/>
  <c r="BN65" i="2"/>
  <c r="CW65" i="2"/>
  <c r="CX65" i="2" s="1"/>
  <c r="DH78" i="2"/>
  <c r="DI78" i="2" s="1"/>
  <c r="CT81" i="2"/>
  <c r="CW81" i="2"/>
  <c r="CX81" i="2" s="1"/>
  <c r="CU81" i="2"/>
  <c r="CJ84" i="2"/>
  <c r="CL84" i="2"/>
  <c r="CM84" i="2" s="1"/>
  <c r="BU97" i="2"/>
  <c r="CE118" i="2"/>
  <c r="DF118" i="2"/>
  <c r="CT18" i="2"/>
  <c r="BH41" i="2"/>
  <c r="CF40" i="2"/>
  <c r="CE40" i="2"/>
  <c r="DB42" i="2"/>
  <c r="CI50" i="2"/>
  <c r="BM55" i="2"/>
  <c r="CP62" i="2"/>
  <c r="CN184" i="2"/>
  <c r="CP64" i="2"/>
  <c r="BP65" i="2"/>
  <c r="BQ65" i="2" s="1"/>
  <c r="DB79" i="2"/>
  <c r="CZ81" i="2"/>
  <c r="DB81" i="2" s="1"/>
  <c r="CZ136" i="2"/>
  <c r="CI84" i="2"/>
  <c r="CE100" i="2"/>
  <c r="CW15" i="2"/>
  <c r="CX15" i="2" s="1"/>
  <c r="CU18" i="2"/>
  <c r="BY21" i="2"/>
  <c r="BX21" i="2"/>
  <c r="CA21" i="2"/>
  <c r="CB21" i="2" s="1"/>
  <c r="CF24" i="2"/>
  <c r="DC42" i="2"/>
  <c r="CA45" i="2"/>
  <c r="CB45" i="2" s="1"/>
  <c r="CJ50" i="2"/>
  <c r="BN55" i="2"/>
  <c r="BI58" i="2"/>
  <c r="CU62" i="2"/>
  <c r="CW62" i="2"/>
  <c r="CX62" i="2" s="1"/>
  <c r="CT62" i="2"/>
  <c r="DA79" i="2"/>
  <c r="CO137" i="2"/>
  <c r="CQ80" i="2"/>
  <c r="BX97" i="2"/>
  <c r="DB97" i="2"/>
  <c r="CJ118" i="2"/>
  <c r="BR65" i="2"/>
  <c r="CK88" i="2"/>
  <c r="CW18" i="2"/>
  <c r="CX18" i="2" s="1"/>
  <c r="BJ24" i="2"/>
  <c r="BR41" i="2"/>
  <c r="BU34" i="2"/>
  <c r="BK178" i="2"/>
  <c r="BP58" i="2"/>
  <c r="BQ58" i="2" s="1"/>
  <c r="BN58" i="2"/>
  <c r="BM58" i="2"/>
  <c r="CD183" i="2"/>
  <c r="CD65" i="2"/>
  <c r="CD66" i="2" s="1"/>
  <c r="CL78" i="2"/>
  <c r="CM78" i="2" s="1"/>
  <c r="CY104" i="2"/>
  <c r="DB94" i="2"/>
  <c r="DA94" i="2"/>
  <c r="CA113" i="2"/>
  <c r="CB113" i="2" s="1"/>
  <c r="DD114" i="2"/>
  <c r="BL184" i="2"/>
  <c r="BM64" i="2"/>
  <c r="CZ104" i="2"/>
  <c r="CT15" i="2"/>
  <c r="BY28" i="2"/>
  <c r="CS41" i="2"/>
  <c r="BP34" i="2"/>
  <c r="BQ34" i="2" s="1"/>
  <c r="CL40" i="2"/>
  <c r="CM40" i="2" s="1"/>
  <c r="BK41" i="2"/>
  <c r="DB47" i="2"/>
  <c r="BY55" i="2"/>
  <c r="CE56" i="2"/>
  <c r="CU84" i="2"/>
  <c r="CW84" i="2"/>
  <c r="CX84" i="2" s="1"/>
  <c r="CT84" i="2"/>
  <c r="BJ91" i="2"/>
  <c r="BI91" i="2"/>
  <c r="BJ18" i="2"/>
  <c r="BI18" i="2"/>
  <c r="BT55" i="2"/>
  <c r="BR56" i="2"/>
  <c r="BU79" i="2"/>
  <c r="CT87" i="2"/>
  <c r="CE91" i="2"/>
  <c r="BI107" i="2"/>
  <c r="CP107" i="2"/>
  <c r="CB134" i="2"/>
  <c r="BZ135" i="2"/>
  <c r="BO138" i="2"/>
  <c r="BQ138" i="2" s="1"/>
  <c r="BQ136" i="2"/>
  <c r="CN163" i="2"/>
  <c r="CR43" i="2"/>
  <c r="CQ43" i="2"/>
  <c r="CR46" i="2"/>
  <c r="BT47" i="2"/>
  <c r="BU47" i="2"/>
  <c r="CI57" i="2"/>
  <c r="DE62" i="2"/>
  <c r="BN64" i="2"/>
  <c r="DH18" i="2"/>
  <c r="DI18" i="2" s="1"/>
  <c r="DE18" i="2"/>
  <c r="DC146" i="2"/>
  <c r="DC148" i="2" s="1"/>
  <c r="DC28" i="2"/>
  <c r="DH26" i="2"/>
  <c r="DI26" i="2" s="1"/>
  <c r="DE26" i="2"/>
  <c r="CN41" i="2"/>
  <c r="CJ37" i="2"/>
  <c r="CI37" i="2"/>
  <c r="CP43" i="2"/>
  <c r="CT55" i="2"/>
  <c r="CR56" i="2"/>
  <c r="CW55" i="2"/>
  <c r="CX55" i="2" s="1"/>
  <c r="BV56" i="2"/>
  <c r="CJ57" i="2"/>
  <c r="CN183" i="2"/>
  <c r="CN65" i="2"/>
  <c r="CP63" i="2"/>
  <c r="BZ66" i="2"/>
  <c r="CE110" i="2"/>
  <c r="BR25" i="2"/>
  <c r="BP18" i="2"/>
  <c r="BQ18" i="2" s="1"/>
  <c r="BT24" i="2"/>
  <c r="DF26" i="2"/>
  <c r="BO41" i="2"/>
  <c r="BI37" i="2"/>
  <c r="BI49" i="2"/>
  <c r="CP49" i="2"/>
  <c r="BO51" i="2"/>
  <c r="BU55" i="2"/>
  <c r="CL57" i="2"/>
  <c r="CM57" i="2" s="1"/>
  <c r="CF62" i="2"/>
  <c r="CO183" i="2"/>
  <c r="CO185" i="2" s="1"/>
  <c r="BS133" i="2"/>
  <c r="BS135" i="2" s="1"/>
  <c r="BT76" i="2"/>
  <c r="CO134" i="2"/>
  <c r="CO135" i="2" s="1"/>
  <c r="CP77" i="2"/>
  <c r="BT87" i="2"/>
  <c r="CT107" i="2"/>
  <c r="BG119" i="2"/>
  <c r="BJ118" i="2"/>
  <c r="BI118" i="2"/>
  <c r="CJ110" i="2"/>
  <c r="CI110" i="2"/>
  <c r="CL110" i="2"/>
  <c r="CM110" i="2" s="1"/>
  <c r="BS151" i="2"/>
  <c r="BS81" i="2"/>
  <c r="BT81" i="2" s="1"/>
  <c r="BT79" i="2"/>
  <c r="BR178" i="2"/>
  <c r="BU58" i="2"/>
  <c r="CY178" i="2"/>
  <c r="DA58" i="2"/>
  <c r="CY59" i="2"/>
  <c r="DB58" i="2"/>
  <c r="CL62" i="2"/>
  <c r="CM62" i="2" s="1"/>
  <c r="BR184" i="2"/>
  <c r="BU64" i="2"/>
  <c r="BT64" i="2"/>
  <c r="CA87" i="2"/>
  <c r="CB87" i="2" s="1"/>
  <c r="BX87" i="2"/>
  <c r="BY87" i="2"/>
  <c r="BT15" i="2"/>
  <c r="BM18" i="2"/>
  <c r="CA24" i="2"/>
  <c r="CB24" i="2" s="1"/>
  <c r="BY24" i="2"/>
  <c r="BX24" i="2"/>
  <c r="BS25" i="2"/>
  <c r="BV146" i="2"/>
  <c r="BV148" i="2" s="1"/>
  <c r="BY26" i="2"/>
  <c r="CA26" i="2"/>
  <c r="CB26" i="2" s="1"/>
  <c r="BT31" i="2"/>
  <c r="CQ31" i="2"/>
  <c r="BN37" i="2"/>
  <c r="BP37" i="2"/>
  <c r="BQ37" i="2" s="1"/>
  <c r="BM37" i="2"/>
  <c r="CL37" i="2"/>
  <c r="CM37" i="2" s="1"/>
  <c r="BI40" i="2"/>
  <c r="CN177" i="2"/>
  <c r="CN179" i="2" s="1"/>
  <c r="CN59" i="2"/>
  <c r="BT58" i="2"/>
  <c r="BG183" i="2"/>
  <c r="BJ63" i="2"/>
  <c r="BS78" i="2"/>
  <c r="BU78" i="2" s="1"/>
  <c r="DH103" i="2"/>
  <c r="DI103" i="2" s="1"/>
  <c r="DE103" i="2"/>
  <c r="CP15" i="2"/>
  <c r="BX55" i="2"/>
  <c r="CI62" i="2"/>
  <c r="BH183" i="2"/>
  <c r="BH65" i="2"/>
  <c r="BH66" i="2" s="1"/>
  <c r="BN84" i="2"/>
  <c r="CO146" i="2"/>
  <c r="CO148" i="2" s="1"/>
  <c r="CQ89" i="2"/>
  <c r="CO91" i="2"/>
  <c r="CV114" i="2"/>
  <c r="CW113" i="2"/>
  <c r="CX113" i="2" s="1"/>
  <c r="DH122" i="2"/>
  <c r="DI122" i="2" s="1"/>
  <c r="DF122" i="2"/>
  <c r="CR129" i="2"/>
  <c r="CW128" i="2"/>
  <c r="CX128" i="2" s="1"/>
  <c r="CU128" i="2"/>
  <c r="BH133" i="2"/>
  <c r="BH78" i="2"/>
  <c r="BS137" i="2"/>
  <c r="BS138" i="2" s="1"/>
  <c r="BT80" i="2"/>
  <c r="CC183" i="2"/>
  <c r="CC185" i="2" s="1"/>
  <c r="CE63" i="2"/>
  <c r="CC65" i="2"/>
  <c r="CH184" i="2"/>
  <c r="CI64" i="2"/>
  <c r="CT70" i="2"/>
  <c r="BI76" i="2"/>
  <c r="CH88" i="2"/>
  <c r="BU80" i="2"/>
  <c r="CD81" i="2"/>
  <c r="CE81" i="2" s="1"/>
  <c r="CD146" i="2"/>
  <c r="CD148" i="2" s="1"/>
  <c r="CF89" i="2"/>
  <c r="CE89" i="2"/>
  <c r="CY114" i="2"/>
  <c r="BM125" i="2"/>
  <c r="BP125" i="2"/>
  <c r="BQ125" i="2" s="1"/>
  <c r="BN125" i="2"/>
  <c r="CH164" i="2"/>
  <c r="BS185" i="2"/>
  <c r="CY184" i="2"/>
  <c r="DA64" i="2"/>
  <c r="CA78" i="2"/>
  <c r="CB78" i="2" s="1"/>
  <c r="BY78" i="2"/>
  <c r="BX78" i="2"/>
  <c r="BV88" i="2"/>
  <c r="DF97" i="2"/>
  <c r="DE97" i="2"/>
  <c r="BO144" i="2"/>
  <c r="BQ144" i="2" s="1"/>
  <c r="BQ142" i="2"/>
  <c r="CZ41" i="2"/>
  <c r="BK45" i="2"/>
  <c r="CT57" i="2"/>
  <c r="BV178" i="2"/>
  <c r="BY58" i="2"/>
  <c r="CA58" i="2"/>
  <c r="CB58" i="2" s="1"/>
  <c r="CY65" i="2"/>
  <c r="BM70" i="2"/>
  <c r="DC104" i="2"/>
  <c r="DH94" i="2"/>
  <c r="DI94" i="2" s="1"/>
  <c r="DF94" i="2"/>
  <c r="CE97" i="2"/>
  <c r="CF97" i="2"/>
  <c r="BP113" i="2"/>
  <c r="BQ113" i="2" s="1"/>
  <c r="BO114" i="2"/>
  <c r="BT122" i="2"/>
  <c r="BU122" i="2"/>
  <c r="BR128" i="2"/>
  <c r="CG129" i="2"/>
  <c r="CA34" i="2"/>
  <c r="CB34" i="2" s="1"/>
  <c r="BY34" i="2"/>
  <c r="CW50" i="2"/>
  <c r="CX50" i="2" s="1"/>
  <c r="CU50" i="2"/>
  <c r="CU57" i="2"/>
  <c r="CA62" i="2"/>
  <c r="CB62" i="2" s="1"/>
  <c r="BY62" i="2"/>
  <c r="DB64" i="2"/>
  <c r="CZ65" i="2"/>
  <c r="CZ66" i="2" s="1"/>
  <c r="BS91" i="2"/>
  <c r="BS146" i="2"/>
  <c r="BS148" i="2" s="1"/>
  <c r="DA91" i="2"/>
  <c r="CC104" i="2"/>
  <c r="BU103" i="2"/>
  <c r="BT103" i="2"/>
  <c r="BJ110" i="2"/>
  <c r="BI110" i="2"/>
  <c r="CJ128" i="2"/>
  <c r="CI128" i="2"/>
  <c r="CH129" i="2"/>
  <c r="CD104" i="2"/>
  <c r="CS114" i="2"/>
  <c r="BK119" i="2"/>
  <c r="BP118" i="2"/>
  <c r="BQ118" i="2" s="1"/>
  <c r="BN118" i="2"/>
  <c r="BM118" i="2"/>
  <c r="BY122" i="2"/>
  <c r="BX122" i="2"/>
  <c r="CY128" i="2"/>
  <c r="BS169" i="2"/>
  <c r="CS51" i="2"/>
  <c r="BW183" i="2"/>
  <c r="BW65" i="2"/>
  <c r="CG146" i="2"/>
  <c r="CG148" i="2" s="1"/>
  <c r="CG28" i="2"/>
  <c r="BL41" i="2"/>
  <c r="BX34" i="2"/>
  <c r="CT34" i="2"/>
  <c r="BJ42" i="2"/>
  <c r="CN162" i="2"/>
  <c r="CN44" i="2"/>
  <c r="CN51" i="2" s="1"/>
  <c r="CR45" i="2"/>
  <c r="CR42" i="2"/>
  <c r="CY163" i="2"/>
  <c r="DB43" i="2"/>
  <c r="DA43" i="2"/>
  <c r="CP48" i="2"/>
  <c r="BT49" i="2"/>
  <c r="CA50" i="2"/>
  <c r="CB50" i="2" s="1"/>
  <c r="BY50" i="2"/>
  <c r="CT50" i="2"/>
  <c r="DA55" i="2"/>
  <c r="DH59" i="2"/>
  <c r="DI59" i="2" s="1"/>
  <c r="BX62" i="2"/>
  <c r="BX63" i="2"/>
  <c r="DA63" i="2"/>
  <c r="BY64" i="2"/>
  <c r="DH65" i="2"/>
  <c r="DI65" i="2" s="1"/>
  <c r="CO78" i="2"/>
  <c r="CE79" i="2"/>
  <c r="CE87" i="2"/>
  <c r="BU89" i="2"/>
  <c r="CE94" i="2"/>
  <c r="DA107" i="2"/>
  <c r="BM110" i="2"/>
  <c r="CT113" i="2"/>
  <c r="CJ100" i="2"/>
  <c r="CI100" i="2"/>
  <c r="CL100" i="2"/>
  <c r="CM100" i="2" s="1"/>
  <c r="BP103" i="2"/>
  <c r="BQ103" i="2" s="1"/>
  <c r="BN103" i="2"/>
  <c r="DF107" i="2"/>
  <c r="DE107" i="2"/>
  <c r="BG114" i="2"/>
  <c r="BJ122" i="2"/>
  <c r="BI122" i="2"/>
  <c r="BG128" i="2"/>
  <c r="CF127" i="2"/>
  <c r="CE127" i="2"/>
  <c r="BK141" i="2"/>
  <c r="CA84" i="2"/>
  <c r="CB84" i="2" s="1"/>
  <c r="BY84" i="2"/>
  <c r="BX84" i="2"/>
  <c r="DB87" i="2"/>
  <c r="DA87" i="2"/>
  <c r="BT119" i="2"/>
  <c r="DF125" i="2"/>
  <c r="DE125" i="2"/>
  <c r="BR163" i="2"/>
  <c r="BU43" i="2"/>
  <c r="BR177" i="2"/>
  <c r="BT57" i="2"/>
  <c r="CY177" i="2"/>
  <c r="DA57" i="2"/>
  <c r="DB57" i="2"/>
  <c r="BL183" i="2"/>
  <c r="BN63" i="2"/>
  <c r="BM63" i="2"/>
  <c r="BO88" i="2"/>
  <c r="BI79" i="2"/>
  <c r="DA84" i="2"/>
  <c r="CJ97" i="2"/>
  <c r="CI97" i="2"/>
  <c r="BI100" i="2"/>
  <c r="BM103" i="2"/>
  <c r="CQ103" i="2"/>
  <c r="CP103" i="2"/>
  <c r="CQ111" i="2"/>
  <c r="CP111" i="2"/>
  <c r="BK114" i="2"/>
  <c r="DE119" i="2"/>
  <c r="BY128" i="2"/>
  <c r="BV129" i="2"/>
  <c r="CA128" i="2"/>
  <c r="CB128" i="2" s="1"/>
  <c r="BX128" i="2"/>
  <c r="CR138" i="2"/>
  <c r="BN122" i="2"/>
  <c r="BM122" i="2"/>
  <c r="BR162" i="2"/>
  <c r="BU42" i="2"/>
  <c r="BV43" i="2"/>
  <c r="BO66" i="2"/>
  <c r="BH134" i="2"/>
  <c r="BI77" i="2"/>
  <c r="BR88" i="2"/>
  <c r="BH81" i="2"/>
  <c r="BJ81" i="2" s="1"/>
  <c r="CF84" i="2"/>
  <c r="DB84" i="2"/>
  <c r="BU118" i="2"/>
  <c r="BT118" i="2"/>
  <c r="CA119" i="2"/>
  <c r="CB119" i="2" s="1"/>
  <c r="BY119" i="2"/>
  <c r="CE125" i="2"/>
  <c r="BJ103" i="2"/>
  <c r="CP110" i="2"/>
  <c r="CB139" i="2"/>
  <c r="BZ141" i="2"/>
  <c r="CB141" i="2" s="1"/>
  <c r="CZ160" i="2"/>
  <c r="BK138" i="2"/>
  <c r="BX91" i="2"/>
  <c r="BU94" i="2"/>
  <c r="BN97" i="2"/>
  <c r="BM97" i="2"/>
  <c r="BI103" i="2"/>
  <c r="CO104" i="2"/>
  <c r="CQ110" i="2"/>
  <c r="CZ113" i="2"/>
  <c r="DB111" i="2"/>
  <c r="DA118" i="2"/>
  <c r="BP128" i="2"/>
  <c r="BQ128" i="2" s="1"/>
  <c r="BM128" i="2"/>
  <c r="CG144" i="2"/>
  <c r="DD167" i="2"/>
  <c r="CH144" i="2"/>
  <c r="CH183" i="2"/>
  <c r="CI63" i="2"/>
  <c r="BT70" i="2"/>
  <c r="CP70" i="2"/>
  <c r="DH81" i="2"/>
  <c r="DI81" i="2" s="1"/>
  <c r="CN104" i="2"/>
  <c r="BM100" i="2"/>
  <c r="BN128" i="2"/>
  <c r="BS113" i="2"/>
  <c r="BS114" i="2" s="1"/>
  <c r="DH113" i="2"/>
  <c r="DI113" i="2" s="1"/>
  <c r="DC114" i="2"/>
  <c r="BT126" i="2"/>
  <c r="BS128" i="2"/>
  <c r="BS129" i="2" s="1"/>
  <c r="BU126" i="2"/>
  <c r="DD160" i="2"/>
  <c r="DD170" i="2"/>
  <c r="CD168" i="2"/>
  <c r="BV177" i="2"/>
  <c r="BV59" i="2"/>
  <c r="BY57" i="2"/>
  <c r="CR88" i="2"/>
  <c r="DA89" i="2"/>
  <c r="CL91" i="2"/>
  <c r="CM91" i="2" s="1"/>
  <c r="CI91" i="2"/>
  <c r="BZ104" i="2"/>
  <c r="BP107" i="2"/>
  <c r="BQ107" i="2" s="1"/>
  <c r="BN107" i="2"/>
  <c r="BT111" i="2"/>
  <c r="BY118" i="2"/>
  <c r="BX118" i="2"/>
  <c r="BI127" i="2"/>
  <c r="BJ127" i="2"/>
  <c r="CK135" i="2"/>
  <c r="CM136" i="2"/>
  <c r="CK138" i="2"/>
  <c r="CM138" i="2" s="1"/>
  <c r="BZ144" i="2"/>
  <c r="CB144" i="2" s="1"/>
  <c r="CP94" i="2"/>
  <c r="CN119" i="2"/>
  <c r="CP118" i="2"/>
  <c r="CL125" i="2"/>
  <c r="CM125" i="2" s="1"/>
  <c r="CK129" i="2"/>
  <c r="CZ91" i="2"/>
  <c r="DB91" i="2" s="1"/>
  <c r="BI125" i="2"/>
  <c r="CH175" i="2"/>
  <c r="CH176" i="2" s="1"/>
  <c r="CZ141" i="2"/>
  <c r="CS179" i="2"/>
  <c r="DH107" i="2"/>
  <c r="DI107" i="2" s="1"/>
  <c r="CZ182" i="2"/>
  <c r="DC129" i="2"/>
  <c r="CV135" i="2"/>
  <c r="BW144" i="2"/>
  <c r="BH184" i="2"/>
  <c r="BU125" i="2"/>
  <c r="BT125" i="2"/>
  <c r="DD135" i="2"/>
  <c r="CV138" i="2"/>
  <c r="CX138" i="2" s="1"/>
  <c r="BT107" i="2"/>
  <c r="BY125" i="2"/>
  <c r="CF126" i="2"/>
  <c r="CD128" i="2"/>
  <c r="DI135" i="2"/>
  <c r="BQ133" i="2"/>
  <c r="BQ139" i="2"/>
  <c r="CV148" i="2"/>
  <c r="CX148" i="2" s="1"/>
  <c r="CV154" i="2"/>
  <c r="CX154" i="2" s="1"/>
  <c r="CV160" i="2"/>
  <c r="CX160" i="2" s="1"/>
  <c r="CV164" i="2"/>
  <c r="CX164" i="2" s="1"/>
  <c r="CV170" i="2"/>
  <c r="CV182" i="2"/>
  <c r="CX182" i="2" s="1"/>
  <c r="DH128" i="2"/>
  <c r="DI128" i="2" s="1"/>
  <c r="BZ154" i="2"/>
  <c r="CB154" i="2" s="1"/>
  <c r="BZ160" i="2"/>
  <c r="CB160" i="2" s="1"/>
  <c r="BZ164" i="2"/>
  <c r="CB164" i="2" s="1"/>
  <c r="BZ170" i="2"/>
  <c r="BZ182" i="2"/>
  <c r="CB182" i="2" s="1"/>
  <c r="CK141" i="2"/>
  <c r="CM141" i="2" s="1"/>
  <c r="CV151" i="2"/>
  <c r="CV157" i="2"/>
  <c r="CX157" i="2" s="1"/>
  <c r="CV167" i="2"/>
  <c r="CX167" i="2" s="1"/>
  <c r="CV175" i="2"/>
  <c r="CV179" i="2"/>
  <c r="CX179" i="2" s="1"/>
  <c r="CV185" i="2"/>
  <c r="DG175" i="2"/>
  <c r="DG179" i="2"/>
  <c r="DI179" i="2" s="1"/>
  <c r="DG185" i="2"/>
  <c r="AX47" i="2"/>
  <c r="BE70" i="2"/>
  <c r="BF70" i="2" s="1"/>
  <c r="BB70" i="2"/>
  <c r="BC70" i="2"/>
  <c r="AW81" i="2"/>
  <c r="AY81" i="2" s="1"/>
  <c r="AY91" i="2"/>
  <c r="AW154" i="2"/>
  <c r="AV88" i="2"/>
  <c r="AW183" i="2"/>
  <c r="AW185" i="2" s="1"/>
  <c r="BE50" i="2"/>
  <c r="BF50" i="2" s="1"/>
  <c r="BC50" i="2"/>
  <c r="BB50" i="2"/>
  <c r="AW65" i="2"/>
  <c r="BC91" i="2"/>
  <c r="BB94" i="2"/>
  <c r="BE103" i="2"/>
  <c r="BF103" i="2" s="1"/>
  <c r="BC103" i="2"/>
  <c r="BB103" i="2"/>
  <c r="BF139" i="2"/>
  <c r="BE94" i="2"/>
  <c r="BF94" i="2" s="1"/>
  <c r="BA65" i="2"/>
  <c r="BB65" i="2" s="1"/>
  <c r="AY77" i="2"/>
  <c r="AX80" i="2"/>
  <c r="AX89" i="2"/>
  <c r="BB100" i="2"/>
  <c r="AY112" i="2"/>
  <c r="AV163" i="2"/>
  <c r="AV164" i="2" s="1"/>
  <c r="AV171" i="2" s="1"/>
  <c r="BC118" i="2"/>
  <c r="BB118" i="2"/>
  <c r="AX77" i="2"/>
  <c r="AX112" i="2"/>
  <c r="BF162" i="2"/>
  <c r="AX15" i="2"/>
  <c r="AX21" i="2"/>
  <c r="AY80" i="2"/>
  <c r="AY89" i="2"/>
  <c r="BC100" i="2"/>
  <c r="BE118" i="2"/>
  <c r="BF118" i="2" s="1"/>
  <c r="AV128" i="2"/>
  <c r="AW138" i="2"/>
  <c r="BB24" i="2"/>
  <c r="AX107" i="2"/>
  <c r="AX122" i="2"/>
  <c r="BE18" i="2"/>
  <c r="BF18" i="2" s="1"/>
  <c r="BB18" i="2"/>
  <c r="BC18" i="2"/>
  <c r="BE45" i="2"/>
  <c r="BF45" i="2" s="1"/>
  <c r="BC45" i="2"/>
  <c r="AY63" i="2"/>
  <c r="BE65" i="2"/>
  <c r="BF65" i="2" s="1"/>
  <c r="BF149" i="2"/>
  <c r="BB15" i="2"/>
  <c r="BB45" i="2"/>
  <c r="AZ177" i="2"/>
  <c r="AZ59" i="2"/>
  <c r="AZ66" i="2" s="1"/>
  <c r="BE57" i="2"/>
  <c r="BF57" i="2" s="1"/>
  <c r="AX84" i="2"/>
  <c r="AV114" i="2"/>
  <c r="AW146" i="2"/>
  <c r="AW148" i="2" s="1"/>
  <c r="BF168" i="2"/>
  <c r="BF158" i="2"/>
  <c r="BC15" i="2"/>
  <c r="AW78" i="2"/>
  <c r="AX110" i="2"/>
  <c r="AW113" i="2"/>
  <c r="AW114" i="2" s="1"/>
  <c r="AX37" i="2"/>
  <c r="BC57" i="2"/>
  <c r="BC81" i="2"/>
  <c r="BB81" i="2"/>
  <c r="BB107" i="2"/>
  <c r="AZ119" i="2"/>
  <c r="AV144" i="2"/>
  <c r="AZ157" i="2"/>
  <c r="AV178" i="2"/>
  <c r="AV179" i="2" s="1"/>
  <c r="AX31" i="2"/>
  <c r="AY31" i="2"/>
  <c r="BC34" i="2"/>
  <c r="BC107" i="2"/>
  <c r="AW144" i="2"/>
  <c r="BA157" i="2"/>
  <c r="BD157" i="2"/>
  <c r="BF157" i="2" s="1"/>
  <c r="AZ165" i="2"/>
  <c r="AX28" i="2"/>
  <c r="BB34" i="2"/>
  <c r="BE43" i="2"/>
  <c r="BF43" i="2" s="1"/>
  <c r="BC43" i="2"/>
  <c r="BB43" i="2"/>
  <c r="BE81" i="2"/>
  <c r="BF81" i="2" s="1"/>
  <c r="BB87" i="2"/>
  <c r="BB110" i="2"/>
  <c r="AX126" i="2"/>
  <c r="BF155" i="2"/>
  <c r="BA167" i="2"/>
  <c r="AY125" i="2"/>
  <c r="AX125" i="2"/>
  <c r="AZ25" i="2"/>
  <c r="BA41" i="2"/>
  <c r="AX43" i="2"/>
  <c r="BC110" i="2"/>
  <c r="BD138" i="2"/>
  <c r="BF138" i="2" s="1"/>
  <c r="BD167" i="2"/>
  <c r="BF167" i="2" s="1"/>
  <c r="AY94" i="2"/>
  <c r="AX94" i="2"/>
  <c r="AV154" i="2"/>
  <c r="AX79" i="2"/>
  <c r="AX24" i="2"/>
  <c r="AZ41" i="2"/>
  <c r="AX48" i="2"/>
  <c r="AX55" i="2"/>
  <c r="BB122" i="2"/>
  <c r="AV184" i="2"/>
  <c r="AV185" i="2" s="1"/>
  <c r="BB21" i="2"/>
  <c r="AX34" i="2"/>
  <c r="AX57" i="2"/>
  <c r="AX62" i="2"/>
  <c r="AX64" i="2"/>
  <c r="BB78" i="2"/>
  <c r="AZ88" i="2"/>
  <c r="BB113" i="2"/>
  <c r="AN47" i="2"/>
  <c r="AM47" i="2"/>
  <c r="AT15" i="2"/>
  <c r="AU15" i="2" s="1"/>
  <c r="AR15" i="2"/>
  <c r="AQ15" i="2"/>
  <c r="AO25" i="2"/>
  <c r="AM40" i="2"/>
  <c r="AN40" i="2"/>
  <c r="AS167" i="2"/>
  <c r="AU167" i="2" s="1"/>
  <c r="AU165" i="2"/>
  <c r="AN50" i="2"/>
  <c r="AM50" i="2"/>
  <c r="AL51" i="2"/>
  <c r="AL52" i="2" s="1"/>
  <c r="AL67" i="2" s="1"/>
  <c r="AK104" i="2"/>
  <c r="AM70" i="2"/>
  <c r="AT94" i="2"/>
  <c r="AU94" i="2" s="1"/>
  <c r="AK114" i="2"/>
  <c r="AO119" i="2"/>
  <c r="AS148" i="2"/>
  <c r="AU148" i="2" s="1"/>
  <c r="AK44" i="2"/>
  <c r="AT91" i="2"/>
  <c r="AU91" i="2" s="1"/>
  <c r="AP104" i="2"/>
  <c r="AR104" i="2" s="1"/>
  <c r="AM110" i="2"/>
  <c r="AL113" i="2"/>
  <c r="AL114" i="2" s="1"/>
  <c r="AS160" i="2"/>
  <c r="AU160" i="2" s="1"/>
  <c r="AL169" i="2"/>
  <c r="AU178" i="2"/>
  <c r="AM58" i="2"/>
  <c r="AL184" i="2"/>
  <c r="AQ70" i="2"/>
  <c r="AT70" i="2"/>
  <c r="AU70" i="2" s="1"/>
  <c r="AR70" i="2"/>
  <c r="AK151" i="2"/>
  <c r="AU158" i="2"/>
  <c r="AS164" i="2"/>
  <c r="AU164" i="2" s="1"/>
  <c r="AR110" i="2"/>
  <c r="AT110" i="2"/>
  <c r="AU110" i="2" s="1"/>
  <c r="AK167" i="2"/>
  <c r="AM89" i="2"/>
  <c r="AU139" i="2"/>
  <c r="AK183" i="2"/>
  <c r="AQ58" i="2"/>
  <c r="AN89" i="2"/>
  <c r="AQ110" i="2"/>
  <c r="AM21" i="2"/>
  <c r="AR58" i="2"/>
  <c r="AM127" i="2"/>
  <c r="AK157" i="2"/>
  <c r="AP167" i="2"/>
  <c r="AS175" i="2"/>
  <c r="AN28" i="2"/>
  <c r="AR40" i="2"/>
  <c r="AQ84" i="2"/>
  <c r="AL104" i="2"/>
  <c r="AM97" i="2"/>
  <c r="AM103" i="2"/>
  <c r="AM112" i="2"/>
  <c r="AL144" i="2"/>
  <c r="AK154" i="2"/>
  <c r="AM63" i="2"/>
  <c r="AS66" i="2"/>
  <c r="AM91" i="2"/>
  <c r="AM100" i="2"/>
  <c r="AL154" i="2"/>
  <c r="AT40" i="2"/>
  <c r="AU40" i="2" s="1"/>
  <c r="AP88" i="2"/>
  <c r="AQ87" i="2"/>
  <c r="AT128" i="2"/>
  <c r="AU128" i="2" s="1"/>
  <c r="AO154" i="2"/>
  <c r="AO170" i="2"/>
  <c r="AR100" i="2"/>
  <c r="AT100" i="2"/>
  <c r="AU100" i="2" s="1"/>
  <c r="AT18" i="2"/>
  <c r="AU18" i="2" s="1"/>
  <c r="AR18" i="2"/>
  <c r="AQ18" i="2"/>
  <c r="AO46" i="2"/>
  <c r="AO43" i="2"/>
  <c r="AN43" i="2"/>
  <c r="AQ62" i="2"/>
  <c r="AM31" i="2"/>
  <c r="AN31" i="2"/>
  <c r="AM43" i="2"/>
  <c r="AQ34" i="2"/>
  <c r="AT65" i="2"/>
  <c r="AU65" i="2" s="1"/>
  <c r="AM84" i="2"/>
  <c r="AR118" i="2"/>
  <c r="AQ118" i="2"/>
  <c r="AU155" i="2"/>
  <c r="AS185" i="2"/>
  <c r="AP41" i="2"/>
  <c r="AN78" i="2"/>
  <c r="AK88" i="2"/>
  <c r="AM78" i="2"/>
  <c r="AR81" i="2"/>
  <c r="AQ81" i="2"/>
  <c r="AN94" i="2"/>
  <c r="AM94" i="2"/>
  <c r="AN122" i="2"/>
  <c r="AK128" i="2"/>
  <c r="AK144" i="2"/>
  <c r="AK41" i="2"/>
  <c r="AQ63" i="2"/>
  <c r="AL128" i="2"/>
  <c r="AL129" i="2" s="1"/>
  <c r="AL160" i="2"/>
  <c r="AS170" i="2"/>
  <c r="AM79" i="2"/>
  <c r="AQ50" i="2"/>
  <c r="AQ103" i="2"/>
  <c r="AM125" i="2"/>
  <c r="AM24" i="2"/>
  <c r="AO41" i="2"/>
  <c r="AM48" i="2"/>
  <c r="AR50" i="2"/>
  <c r="AM55" i="2"/>
  <c r="AO59" i="2"/>
  <c r="AR103" i="2"/>
  <c r="AQ122" i="2"/>
  <c r="AK184" i="2"/>
  <c r="AQ21" i="2"/>
  <c r="AM34" i="2"/>
  <c r="AM62" i="2"/>
  <c r="AM64" i="2"/>
  <c r="AQ78" i="2"/>
  <c r="AO88" i="2"/>
  <c r="AQ113" i="2"/>
  <c r="AR122" i="2"/>
  <c r="AQ31" i="2"/>
  <c r="AM76" i="2"/>
  <c r="AI119" i="2"/>
  <c r="AJ119" i="2" s="1"/>
  <c r="AF119" i="2"/>
  <c r="AG119" i="2"/>
  <c r="AB44" i="2"/>
  <c r="AI110" i="2"/>
  <c r="AJ110" i="2" s="1"/>
  <c r="AG110" i="2"/>
  <c r="AF110" i="2"/>
  <c r="AA41" i="2"/>
  <c r="AI15" i="2"/>
  <c r="AJ15" i="2" s="1"/>
  <c r="AD25" i="2"/>
  <c r="AG15" i="2"/>
  <c r="AF15" i="2"/>
  <c r="AH148" i="2"/>
  <c r="AJ148" i="2" s="1"/>
  <c r="AJ146" i="2"/>
  <c r="AG18" i="2"/>
  <c r="AI18" i="2"/>
  <c r="AJ18" i="2" s="1"/>
  <c r="AJ136" i="2"/>
  <c r="AE41" i="2"/>
  <c r="AC114" i="2"/>
  <c r="AG34" i="2"/>
  <c r="AB127" i="2"/>
  <c r="AI45" i="2"/>
  <c r="AJ45" i="2" s="1"/>
  <c r="AB80" i="2"/>
  <c r="AC127" i="2"/>
  <c r="AJ142" i="2"/>
  <c r="AH41" i="2"/>
  <c r="AA169" i="2"/>
  <c r="AA170" i="2" s="1"/>
  <c r="AC49" i="2"/>
  <c r="AB49" i="2"/>
  <c r="AC80" i="2"/>
  <c r="AC87" i="2"/>
  <c r="AB87" i="2"/>
  <c r="AG45" i="2"/>
  <c r="AF56" i="2"/>
  <c r="Z128" i="2"/>
  <c r="AF62" i="2"/>
  <c r="AC40" i="2"/>
  <c r="AB40" i="2"/>
  <c r="AD43" i="2"/>
  <c r="Z104" i="2"/>
  <c r="AE157" i="2"/>
  <c r="AH167" i="2"/>
  <c r="AJ167" i="2" s="1"/>
  <c r="AB94" i="2"/>
  <c r="AH56" i="2"/>
  <c r="AI56" i="2" s="1"/>
  <c r="AJ56" i="2" s="1"/>
  <c r="AI81" i="2"/>
  <c r="AJ81" i="2" s="1"/>
  <c r="AG81" i="2"/>
  <c r="AB103" i="2"/>
  <c r="AB122" i="2"/>
  <c r="AI128" i="2"/>
  <c r="AJ128" i="2" s="1"/>
  <c r="AG128" i="2"/>
  <c r="AF128" i="2"/>
  <c r="AJ151" i="2"/>
  <c r="AH154" i="2"/>
  <c r="AJ154" i="2" s="1"/>
  <c r="AH164" i="2"/>
  <c r="AJ164" i="2" s="1"/>
  <c r="AA50" i="2"/>
  <c r="AC91" i="2"/>
  <c r="AI100" i="2"/>
  <c r="AJ100" i="2" s="1"/>
  <c r="AC122" i="2"/>
  <c r="AJ173" i="2"/>
  <c r="AH175" i="2"/>
  <c r="AI91" i="2"/>
  <c r="AJ91" i="2" s="1"/>
  <c r="AG91" i="2"/>
  <c r="AF91" i="2"/>
  <c r="AH104" i="2"/>
  <c r="AF103" i="2"/>
  <c r="AI103" i="2"/>
  <c r="AJ103" i="2" s="1"/>
  <c r="AG103" i="2"/>
  <c r="AI122" i="2"/>
  <c r="AJ122" i="2" s="1"/>
  <c r="AF122" i="2"/>
  <c r="AG122" i="2"/>
  <c r="AH129" i="2"/>
  <c r="AD182" i="2"/>
  <c r="AB24" i="2"/>
  <c r="AC24" i="2"/>
  <c r="AB43" i="2"/>
  <c r="AE182" i="2"/>
  <c r="AG70" i="2"/>
  <c r="AI70" i="2"/>
  <c r="AJ70" i="2" s="1"/>
  <c r="AA81" i="2"/>
  <c r="AB81" i="2" s="1"/>
  <c r="AC79" i="2"/>
  <c r="AB79" i="2"/>
  <c r="AE114" i="2"/>
  <c r="AB55" i="2"/>
  <c r="AC55" i="2"/>
  <c r="Z56" i="2"/>
  <c r="AF70" i="2"/>
  <c r="AF18" i="2"/>
  <c r="AB31" i="2"/>
  <c r="AI37" i="2"/>
  <c r="AJ37" i="2" s="1"/>
  <c r="AG37" i="2"/>
  <c r="AF37" i="2"/>
  <c r="AB28" i="2"/>
  <c r="Z41" i="2"/>
  <c r="AI118" i="2"/>
  <c r="AJ118" i="2" s="1"/>
  <c r="AG118" i="2"/>
  <c r="AJ183" i="2"/>
  <c r="AH185" i="2"/>
  <c r="AB84" i="2"/>
  <c r="AF118" i="2"/>
  <c r="AB125" i="2"/>
  <c r="AC125" i="2"/>
  <c r="AC43" i="2"/>
  <c r="AF50" i="2"/>
  <c r="AI50" i="2"/>
  <c r="AJ50" i="2" s="1"/>
  <c r="AG50" i="2"/>
  <c r="AE88" i="2"/>
  <c r="AG100" i="2"/>
  <c r="AE167" i="2"/>
  <c r="AB42" i="2"/>
  <c r="AI62" i="2"/>
  <c r="AJ62" i="2" s="1"/>
  <c r="Z65" i="2"/>
  <c r="AD104" i="2"/>
  <c r="Z162" i="2"/>
  <c r="Z25" i="2"/>
  <c r="AE104" i="2"/>
  <c r="AD42" i="2"/>
  <c r="AG84" i="2"/>
  <c r="AD114" i="2"/>
  <c r="AB15" i="2"/>
  <c r="AF40" i="2"/>
  <c r="Z119" i="2"/>
  <c r="AH135" i="2"/>
  <c r="AJ155" i="2"/>
  <c r="AJ165" i="2"/>
  <c r="AH182" i="2"/>
  <c r="AJ182" i="2" s="1"/>
  <c r="AB48" i="2"/>
  <c r="AF21" i="2"/>
  <c r="AB34" i="2"/>
  <c r="AB57" i="2"/>
  <c r="AB62" i="2"/>
  <c r="AB64" i="2"/>
  <c r="AF78" i="2"/>
  <c r="AD88" i="2"/>
  <c r="AF113" i="2"/>
  <c r="AD41" i="2"/>
  <c r="Z184" i="2"/>
  <c r="AF31" i="2"/>
  <c r="AF59" i="2"/>
  <c r="AB118" i="2"/>
  <c r="N185" i="2"/>
  <c r="U37" i="2"/>
  <c r="G56" i="2"/>
  <c r="F56" i="2"/>
  <c r="N142" i="2"/>
  <c r="D25" i="2"/>
  <c r="G15" i="2"/>
  <c r="J62" i="2"/>
  <c r="F87" i="2"/>
  <c r="F15" i="2"/>
  <c r="G55" i="2"/>
  <c r="U110" i="2"/>
  <c r="Q21" i="2"/>
  <c r="G43" i="2"/>
  <c r="H43" i="2"/>
  <c r="H46" i="2"/>
  <c r="H56" i="2"/>
  <c r="K55" i="2"/>
  <c r="M55" i="2"/>
  <c r="N55" i="2" s="1"/>
  <c r="Q84" i="2"/>
  <c r="M87" i="2"/>
  <c r="N87" i="2" s="1"/>
  <c r="K87" i="2"/>
  <c r="J87" i="2"/>
  <c r="G107" i="2"/>
  <c r="F107" i="2"/>
  <c r="O25" i="2"/>
  <c r="F43" i="2"/>
  <c r="E184" i="2"/>
  <c r="E65" i="2"/>
  <c r="E66" i="2" s="1"/>
  <c r="H88" i="2"/>
  <c r="R49" i="2"/>
  <c r="P169" i="2"/>
  <c r="Q49" i="2"/>
  <c r="L104" i="2"/>
  <c r="N180" i="2"/>
  <c r="U119" i="2"/>
  <c r="J21" i="2"/>
  <c r="K21" i="2"/>
  <c r="W51" i="2"/>
  <c r="N165" i="2"/>
  <c r="L179" i="2"/>
  <c r="N179" i="2" s="1"/>
  <c r="T114" i="2"/>
  <c r="N158" i="2"/>
  <c r="M24" i="2"/>
  <c r="N24" i="2" s="1"/>
  <c r="K24" i="2"/>
  <c r="J24" i="2"/>
  <c r="T25" i="2"/>
  <c r="W66" i="2"/>
  <c r="X65" i="2"/>
  <c r="Y65" i="2" s="1"/>
  <c r="V88" i="2"/>
  <c r="V94" i="2"/>
  <c r="U94" i="2"/>
  <c r="T104" i="2"/>
  <c r="M107" i="2"/>
  <c r="N107" i="2" s="1"/>
  <c r="D129" i="2"/>
  <c r="D138" i="2"/>
  <c r="D44" i="2"/>
  <c r="D51" i="2" s="1"/>
  <c r="F42" i="2"/>
  <c r="H42" i="2"/>
  <c r="G42" i="2"/>
  <c r="O114" i="2"/>
  <c r="R107" i="2"/>
  <c r="Q107" i="2"/>
  <c r="O185" i="2"/>
  <c r="U15" i="2"/>
  <c r="U18" i="2"/>
  <c r="H129" i="2"/>
  <c r="M128" i="2"/>
  <c r="N128" i="2" s="1"/>
  <c r="K128" i="2"/>
  <c r="J128" i="2"/>
  <c r="U100" i="2"/>
  <c r="G31" i="2"/>
  <c r="F31" i="2"/>
  <c r="D41" i="2"/>
  <c r="E104" i="2"/>
  <c r="G97" i="2"/>
  <c r="F97" i="2"/>
  <c r="F55" i="2"/>
  <c r="K62" i="2"/>
  <c r="D65" i="2"/>
  <c r="G64" i="2"/>
  <c r="F64" i="2"/>
  <c r="D184" i="2"/>
  <c r="D185" i="2" s="1"/>
  <c r="R31" i="2"/>
  <c r="O41" i="2"/>
  <c r="Q31" i="2"/>
  <c r="J55" i="2"/>
  <c r="I65" i="2"/>
  <c r="J63" i="2"/>
  <c r="D163" i="2"/>
  <c r="V56" i="2"/>
  <c r="U56" i="2"/>
  <c r="K63" i="2"/>
  <c r="Q94" i="2"/>
  <c r="G28" i="2"/>
  <c r="F28" i="2"/>
  <c r="R40" i="2"/>
  <c r="Q40" i="2"/>
  <c r="O51" i="2"/>
  <c r="S114" i="2"/>
  <c r="X113" i="2"/>
  <c r="Y113" i="2" s="1"/>
  <c r="V113" i="2"/>
  <c r="U113" i="2"/>
  <c r="L51" i="2"/>
  <c r="M103" i="2"/>
  <c r="N103" i="2" s="1"/>
  <c r="K103" i="2"/>
  <c r="J103" i="2"/>
  <c r="R126" i="2"/>
  <c r="Q126" i="2"/>
  <c r="P128" i="2"/>
  <c r="X78" i="2"/>
  <c r="Y78" i="2" s="1"/>
  <c r="V78" i="2"/>
  <c r="U78" i="2"/>
  <c r="F103" i="2"/>
  <c r="X40" i="2"/>
  <c r="Y40" i="2" s="1"/>
  <c r="P50" i="2"/>
  <c r="P168" i="2"/>
  <c r="P170" i="2" s="1"/>
  <c r="X55" i="2"/>
  <c r="Y55" i="2" s="1"/>
  <c r="P91" i="2"/>
  <c r="R91" i="2" s="1"/>
  <c r="R89" i="2"/>
  <c r="Q89" i="2"/>
  <c r="H25" i="2"/>
  <c r="V62" i="2"/>
  <c r="U62" i="2"/>
  <c r="J31" i="2"/>
  <c r="F37" i="2"/>
  <c r="H41" i="2"/>
  <c r="R43" i="2"/>
  <c r="S46" i="2"/>
  <c r="F47" i="2"/>
  <c r="F70" i="2"/>
  <c r="M81" i="2"/>
  <c r="N81" i="2" s="1"/>
  <c r="L119" i="2"/>
  <c r="M119" i="2" s="1"/>
  <c r="N119" i="2" s="1"/>
  <c r="M118" i="2"/>
  <c r="N118" i="2" s="1"/>
  <c r="O163" i="2"/>
  <c r="O164" i="2" s="1"/>
  <c r="J15" i="2"/>
  <c r="F34" i="2"/>
  <c r="Q43" i="2"/>
  <c r="K15" i="2"/>
  <c r="F21" i="2"/>
  <c r="F24" i="2"/>
  <c r="J28" i="2"/>
  <c r="M31" i="2"/>
  <c r="N31" i="2" s="1"/>
  <c r="S43" i="2"/>
  <c r="J81" i="2"/>
  <c r="N146" i="2"/>
  <c r="G18" i="2"/>
  <c r="F18" i="2"/>
  <c r="G40" i="2"/>
  <c r="F40" i="2"/>
  <c r="R64" i="2"/>
  <c r="Q64" i="2"/>
  <c r="G79" i="2"/>
  <c r="F79" i="2"/>
  <c r="E81" i="2"/>
  <c r="R97" i="2"/>
  <c r="Q97" i="2"/>
  <c r="I25" i="2"/>
  <c r="J26" i="2"/>
  <c r="M34" i="2"/>
  <c r="N34" i="2" s="1"/>
  <c r="K34" i="2"/>
  <c r="E168" i="2"/>
  <c r="G48" i="2"/>
  <c r="E50" i="2"/>
  <c r="E51" i="2" s="1"/>
  <c r="F48" i="2"/>
  <c r="X56" i="2"/>
  <c r="Y56" i="2" s="1"/>
  <c r="R79" i="2"/>
  <c r="P81" i="2"/>
  <c r="R81" i="2" s="1"/>
  <c r="P136" i="2"/>
  <c r="P138" i="2" s="1"/>
  <c r="Q80" i="2"/>
  <c r="K81" i="2"/>
  <c r="M91" i="2"/>
  <c r="N91" i="2" s="1"/>
  <c r="K91" i="2"/>
  <c r="H185" i="2"/>
  <c r="V34" i="2"/>
  <c r="K40" i="2"/>
  <c r="J57" i="2"/>
  <c r="R87" i="2"/>
  <c r="F100" i="2"/>
  <c r="R103" i="2"/>
  <c r="Q103" i="2"/>
  <c r="X118" i="2"/>
  <c r="Y118" i="2" s="1"/>
  <c r="T41" i="2"/>
  <c r="E169" i="2"/>
  <c r="R55" i="2"/>
  <c r="Q55" i="2"/>
  <c r="O65" i="2"/>
  <c r="W104" i="2"/>
  <c r="O88" i="2"/>
  <c r="K119" i="2"/>
  <c r="J119" i="2"/>
  <c r="Q15" i="2"/>
  <c r="U21" i="2"/>
  <c r="Q24" i="2"/>
  <c r="R34" i="2"/>
  <c r="Q34" i="2"/>
  <c r="G57" i="2"/>
  <c r="Q63" i="2"/>
  <c r="J64" i="2"/>
  <c r="L129" i="2"/>
  <c r="W41" i="2"/>
  <c r="R63" i="2"/>
  <c r="Q57" i="2"/>
  <c r="R42" i="2"/>
  <c r="L178" i="1"/>
  <c r="N178" i="1" s="1"/>
  <c r="N176" i="1"/>
  <c r="AG20" i="1"/>
  <c r="AI20" i="1"/>
  <c r="AJ20" i="1" s="1"/>
  <c r="AD24" i="1"/>
  <c r="T55" i="1"/>
  <c r="V55" i="1" s="1"/>
  <c r="U54" i="1"/>
  <c r="V54" i="1"/>
  <c r="Y152" i="1"/>
  <c r="W153" i="1"/>
  <c r="Y153" i="1" s="1"/>
  <c r="W103" i="1"/>
  <c r="K23" i="1"/>
  <c r="J23" i="1"/>
  <c r="D150" i="1"/>
  <c r="R49" i="1"/>
  <c r="AJ174" i="1"/>
  <c r="R109" i="1"/>
  <c r="J36" i="1"/>
  <c r="AC39" i="1"/>
  <c r="AH87" i="1"/>
  <c r="E178" i="1"/>
  <c r="L150" i="1"/>
  <c r="N150" i="1" s="1"/>
  <c r="L140" i="1"/>
  <c r="N140" i="1" s="1"/>
  <c r="S27" i="1"/>
  <c r="X27" i="1" s="1"/>
  <c r="Y27" i="1" s="1"/>
  <c r="Q90" i="1"/>
  <c r="AA50" i="1"/>
  <c r="Z134" i="1"/>
  <c r="I140" i="1"/>
  <c r="L50" i="1"/>
  <c r="U23" i="1"/>
  <c r="T65" i="1"/>
  <c r="Q76" i="1"/>
  <c r="R88" i="1"/>
  <c r="Q96" i="1"/>
  <c r="O134" i="1"/>
  <c r="O144" i="1" s="1"/>
  <c r="S143" i="1"/>
  <c r="AB79" i="1"/>
  <c r="U20" i="1"/>
  <c r="R76" i="1"/>
  <c r="Q117" i="1"/>
  <c r="X121" i="1"/>
  <c r="Y121" i="1" s="1"/>
  <c r="P134" i="1"/>
  <c r="W147" i="1"/>
  <c r="Y147" i="1" s="1"/>
  <c r="AD27" i="1"/>
  <c r="AI27" i="1" s="1"/>
  <c r="AJ27" i="1" s="1"/>
  <c r="AC79" i="1"/>
  <c r="AC110" i="1"/>
  <c r="Z169" i="1"/>
  <c r="Z181" i="1"/>
  <c r="I174" i="1"/>
  <c r="I175" i="1" s="1"/>
  <c r="H153" i="1"/>
  <c r="D143" i="1"/>
  <c r="F109" i="1"/>
  <c r="M58" i="1"/>
  <c r="N58" i="1" s="1"/>
  <c r="I24" i="1"/>
  <c r="P50" i="1"/>
  <c r="X54" i="1"/>
  <c r="Y54" i="1" s="1"/>
  <c r="X80" i="1"/>
  <c r="Y80" i="1" s="1"/>
  <c r="W137" i="1"/>
  <c r="Y137" i="1" s="1"/>
  <c r="W143" i="1"/>
  <c r="Y143" i="1" s="1"/>
  <c r="AD55" i="1"/>
  <c r="AG55" i="1" s="1"/>
  <c r="AB90" i="1"/>
  <c r="AB99" i="1"/>
  <c r="Z140" i="1"/>
  <c r="AH147" i="1"/>
  <c r="AJ147" i="1" s="1"/>
  <c r="AA167" i="1"/>
  <c r="AG124" i="1"/>
  <c r="D127" i="1"/>
  <c r="D128" i="1" s="1"/>
  <c r="AE87" i="1"/>
  <c r="AA168" i="1"/>
  <c r="R106" i="1"/>
  <c r="AH143" i="1"/>
  <c r="AJ143" i="1" s="1"/>
  <c r="V77" i="1"/>
  <c r="Y138" i="1"/>
  <c r="X25" i="1"/>
  <c r="Y25" i="1" s="1"/>
  <c r="T169" i="1"/>
  <c r="AG25" i="1"/>
  <c r="AF61" i="1"/>
  <c r="X55" i="1"/>
  <c r="Y55" i="1" s="1"/>
  <c r="AI25" i="1"/>
  <c r="AJ25" i="1" s="1"/>
  <c r="R33" i="1"/>
  <c r="O40" i="1"/>
  <c r="P135" i="1"/>
  <c r="P137" i="1" s="1"/>
  <c r="AI77" i="1"/>
  <c r="AJ77" i="1" s="1"/>
  <c r="AI93" i="1"/>
  <c r="AJ93" i="1" s="1"/>
  <c r="Z118" i="1"/>
  <c r="AB118" i="1" s="1"/>
  <c r="AH181" i="1"/>
  <c r="AJ181" i="1" s="1"/>
  <c r="H159" i="1"/>
  <c r="L128" i="1"/>
  <c r="E128" i="1"/>
  <c r="E112" i="1"/>
  <c r="G78" i="1"/>
  <c r="K61" i="1"/>
  <c r="D40" i="1"/>
  <c r="P40" i="1"/>
  <c r="V33" i="1"/>
  <c r="U36" i="1"/>
  <c r="R63" i="1"/>
  <c r="Q75" i="1"/>
  <c r="Q86" i="1"/>
  <c r="V127" i="1"/>
  <c r="T147" i="1"/>
  <c r="P174" i="1"/>
  <c r="P175" i="1" s="1"/>
  <c r="AG14" i="1"/>
  <c r="AA65" i="1"/>
  <c r="AA80" i="1"/>
  <c r="AI112" i="1"/>
  <c r="AJ112" i="1" s="1"/>
  <c r="AA153" i="1"/>
  <c r="AA159" i="1"/>
  <c r="AD174" i="1"/>
  <c r="AD175" i="1" s="1"/>
  <c r="AA184" i="1"/>
  <c r="AA185" i="1" s="1"/>
  <c r="L40" i="1"/>
  <c r="V61" i="1"/>
  <c r="AG96" i="1"/>
  <c r="I50" i="1"/>
  <c r="R46" i="1"/>
  <c r="AF93" i="1"/>
  <c r="AG117" i="1"/>
  <c r="T50" i="1"/>
  <c r="P145" i="1"/>
  <c r="P147" i="1" s="1"/>
  <c r="AD145" i="1"/>
  <c r="AD147" i="1" s="1"/>
  <c r="K99" i="1"/>
  <c r="L137" i="1"/>
  <c r="N137" i="1" s="1"/>
  <c r="W128" i="1"/>
  <c r="T137" i="1"/>
  <c r="AH24" i="1"/>
  <c r="AF33" i="1"/>
  <c r="AD118" i="1"/>
  <c r="AI118" i="1" s="1"/>
  <c r="AJ118" i="1" s="1"/>
  <c r="AH140" i="1"/>
  <c r="AJ140" i="1" s="1"/>
  <c r="AD153" i="1"/>
  <c r="AD159" i="1"/>
  <c r="AH166" i="1"/>
  <c r="AJ166" i="1" s="1"/>
  <c r="AA150" i="1"/>
  <c r="AI124" i="1"/>
  <c r="AJ124" i="1" s="1"/>
  <c r="AJ161" i="1"/>
  <c r="W24" i="1"/>
  <c r="Q36" i="1"/>
  <c r="W134" i="1"/>
  <c r="W113" i="1"/>
  <c r="W114" i="1" s="1"/>
  <c r="W129" i="1" s="1"/>
  <c r="AC36" i="1"/>
  <c r="H174" i="1"/>
  <c r="H175" i="1" s="1"/>
  <c r="H128" i="1"/>
  <c r="E137" i="1"/>
  <c r="V30" i="1"/>
  <c r="X36" i="1"/>
  <c r="Y36" i="1" s="1"/>
  <c r="P112" i="1"/>
  <c r="P113" i="1" s="1"/>
  <c r="X127" i="1"/>
  <c r="Y127" i="1" s="1"/>
  <c r="T166" i="1"/>
  <c r="AI90" i="1"/>
  <c r="AJ90" i="1" s="1"/>
  <c r="AE153" i="1"/>
  <c r="AE159" i="1"/>
  <c r="AC117" i="1"/>
  <c r="V25" i="1"/>
  <c r="P65" i="1"/>
  <c r="AA24" i="1"/>
  <c r="M39" i="1"/>
  <c r="N39" i="1" s="1"/>
  <c r="P156" i="1"/>
  <c r="R110" i="1"/>
  <c r="X90" i="1"/>
  <c r="Y90" i="1" s="1"/>
  <c r="AF14" i="1"/>
  <c r="E159" i="1"/>
  <c r="E174" i="1"/>
  <c r="E175" i="1" s="1"/>
  <c r="I163" i="1"/>
  <c r="G83" i="1"/>
  <c r="R27" i="1"/>
  <c r="R83" i="1"/>
  <c r="S128" i="1"/>
  <c r="W166" i="1"/>
  <c r="Y166" i="1" s="1"/>
  <c r="W178" i="1"/>
  <c r="Y178" i="1" s="1"/>
  <c r="AI33" i="1"/>
  <c r="AJ33" i="1" s="1"/>
  <c r="AF54" i="1"/>
  <c r="AE128" i="1"/>
  <c r="AA143" i="1"/>
  <c r="AH159" i="1"/>
  <c r="AJ159" i="1" s="1"/>
  <c r="G124" i="1"/>
  <c r="F86" i="1"/>
  <c r="W181" i="1"/>
  <c r="Y181" i="1" s="1"/>
  <c r="W50" i="1"/>
  <c r="W51" i="1" s="1"/>
  <c r="S145" i="1"/>
  <c r="S147" i="1" s="1"/>
  <c r="O182" i="1"/>
  <c r="L163" i="1"/>
  <c r="N163" i="1" s="1"/>
  <c r="D159" i="1"/>
  <c r="N164" i="1"/>
  <c r="N139" i="1"/>
  <c r="G61" i="1"/>
  <c r="K20" i="1"/>
  <c r="J17" i="1"/>
  <c r="W40" i="1"/>
  <c r="O143" i="1"/>
  <c r="O181" i="1"/>
  <c r="AC23" i="1"/>
  <c r="AB27" i="1"/>
  <c r="AE113" i="1"/>
  <c r="AD143" i="1"/>
  <c r="AH184" i="1"/>
  <c r="AH185" i="1" s="1"/>
  <c r="AJ185" i="1" s="1"/>
  <c r="AC64" i="1"/>
  <c r="AB64" i="1"/>
  <c r="AB39" i="1"/>
  <c r="AE182" i="1"/>
  <c r="AE184" i="1" s="1"/>
  <c r="AE64" i="1"/>
  <c r="Z87" i="1"/>
  <c r="AF62" i="1"/>
  <c r="AD128" i="1"/>
  <c r="AI127" i="1"/>
  <c r="AJ127" i="1" s="1"/>
  <c r="AG127" i="1"/>
  <c r="AI39" i="1"/>
  <c r="AJ39" i="1" s="1"/>
  <c r="AG39" i="1"/>
  <c r="AF39" i="1"/>
  <c r="AF127" i="1"/>
  <c r="Z58" i="1"/>
  <c r="Z177" i="1"/>
  <c r="Z178" i="1" s="1"/>
  <c r="AC57" i="1"/>
  <c r="AC106" i="1"/>
  <c r="AB106" i="1"/>
  <c r="AI117" i="1"/>
  <c r="AJ117" i="1" s="1"/>
  <c r="AB57" i="1"/>
  <c r="AI80" i="1"/>
  <c r="AJ80" i="1" s="1"/>
  <c r="AG80" i="1"/>
  <c r="AF80" i="1"/>
  <c r="AH55" i="1"/>
  <c r="AI55" i="1" s="1"/>
  <c r="AJ55" i="1" s="1"/>
  <c r="AI54" i="1"/>
  <c r="AJ54" i="1" s="1"/>
  <c r="AG62" i="1"/>
  <c r="AC46" i="1"/>
  <c r="AB46" i="1"/>
  <c r="AF36" i="1"/>
  <c r="AG36" i="1"/>
  <c r="AH40" i="1"/>
  <c r="AI30" i="1"/>
  <c r="AJ30" i="1" s="1"/>
  <c r="AH153" i="1"/>
  <c r="AJ153" i="1" s="1"/>
  <c r="AJ151" i="1"/>
  <c r="Z127" i="1"/>
  <c r="AC121" i="1"/>
  <c r="AB121" i="1"/>
  <c r="AA128" i="1"/>
  <c r="AC86" i="1"/>
  <c r="AB86" i="1"/>
  <c r="AD45" i="1"/>
  <c r="AD42" i="1"/>
  <c r="AC42" i="1"/>
  <c r="Z162" i="1"/>
  <c r="Z163" i="1" s="1"/>
  <c r="AH128" i="1"/>
  <c r="AJ183" i="1"/>
  <c r="AB69" i="1"/>
  <c r="AI69" i="1"/>
  <c r="AJ69" i="1" s="1"/>
  <c r="AG69" i="1"/>
  <c r="AF69" i="1"/>
  <c r="AF106" i="1"/>
  <c r="AG109" i="1"/>
  <c r="AF109" i="1"/>
  <c r="AI109" i="1"/>
  <c r="AJ109" i="1" s="1"/>
  <c r="AB125" i="1"/>
  <c r="AJ157" i="1"/>
  <c r="AG44" i="1"/>
  <c r="AI44" i="1"/>
  <c r="AJ44" i="1" s="1"/>
  <c r="AF44" i="1"/>
  <c r="Z24" i="1"/>
  <c r="AA40" i="1"/>
  <c r="AB111" i="1"/>
  <c r="AB49" i="1"/>
  <c r="AF57" i="1"/>
  <c r="AF83" i="1"/>
  <c r="AB109" i="1"/>
  <c r="AC49" i="1"/>
  <c r="AG83" i="1"/>
  <c r="AB30" i="1"/>
  <c r="AC30" i="1"/>
  <c r="AF96" i="1"/>
  <c r="AG99" i="1"/>
  <c r="AI99" i="1"/>
  <c r="AJ99" i="1" s="1"/>
  <c r="AH150" i="1"/>
  <c r="AJ154" i="1"/>
  <c r="AD40" i="1"/>
  <c r="AF41" i="1"/>
  <c r="AB48" i="1"/>
  <c r="AB62" i="1"/>
  <c r="AB88" i="1"/>
  <c r="AE40" i="1"/>
  <c r="AC62" i="1"/>
  <c r="AC88" i="1"/>
  <c r="AF99" i="1"/>
  <c r="AC111" i="1"/>
  <c r="AA135" i="1"/>
  <c r="AA137" i="1" s="1"/>
  <c r="Z153" i="1"/>
  <c r="Z182" i="1"/>
  <c r="AB78" i="1"/>
  <c r="AI106" i="1"/>
  <c r="AJ106" i="1" s="1"/>
  <c r="Z166" i="1"/>
  <c r="AB14" i="1"/>
  <c r="AG61" i="1"/>
  <c r="AC93" i="1"/>
  <c r="Z156" i="1"/>
  <c r="AA166" i="1"/>
  <c r="AD177" i="1"/>
  <c r="AD178" i="1" s="1"/>
  <c r="AD185" i="1" s="1"/>
  <c r="AC125" i="1"/>
  <c r="Z40" i="1"/>
  <c r="AC78" i="1"/>
  <c r="AB17" i="1"/>
  <c r="AF90" i="1"/>
  <c r="AB96" i="1"/>
  <c r="AA156" i="1"/>
  <c r="AD164" i="1"/>
  <c r="AG57" i="1"/>
  <c r="AJ167" i="1"/>
  <c r="AF86" i="1"/>
  <c r="AG86" i="1"/>
  <c r="AB20" i="1"/>
  <c r="AC20" i="1"/>
  <c r="Z43" i="1"/>
  <c r="Z50" i="1" s="1"/>
  <c r="AD113" i="1"/>
  <c r="AC126" i="1"/>
  <c r="AB126" i="1"/>
  <c r="AD156" i="1"/>
  <c r="AE166" i="1"/>
  <c r="AF118" i="1"/>
  <c r="Z113" i="1"/>
  <c r="AF17" i="1"/>
  <c r="AI17" i="1"/>
  <c r="AJ17" i="1" s="1"/>
  <c r="AG17" i="1"/>
  <c r="AB41" i="1"/>
  <c r="AI64" i="1"/>
  <c r="AJ64" i="1" s="1"/>
  <c r="AB76" i="1"/>
  <c r="AE156" i="1"/>
  <c r="AF49" i="1"/>
  <c r="AF102" i="1"/>
  <c r="AB124" i="1"/>
  <c r="AB23" i="1"/>
  <c r="AB47" i="1"/>
  <c r="AG49" i="1"/>
  <c r="AB54" i="1"/>
  <c r="AD58" i="1"/>
  <c r="AD65" i="1" s="1"/>
  <c r="AG102" i="1"/>
  <c r="AF121" i="1"/>
  <c r="Z183" i="1"/>
  <c r="AF20" i="1"/>
  <c r="AB33" i="1"/>
  <c r="AB61" i="1"/>
  <c r="AB63" i="1"/>
  <c r="AF77" i="1"/>
  <c r="AD87" i="1"/>
  <c r="AF112" i="1"/>
  <c r="AG121" i="1"/>
  <c r="X30" i="1"/>
  <c r="Y30" i="1" s="1"/>
  <c r="X106" i="1"/>
  <c r="Y106" i="1" s="1"/>
  <c r="Q126" i="1"/>
  <c r="X64" i="1"/>
  <c r="Y64" i="1" s="1"/>
  <c r="Y148" i="1"/>
  <c r="X39" i="1"/>
  <c r="Y39" i="1" s="1"/>
  <c r="Q62" i="1"/>
  <c r="V64" i="1"/>
  <c r="U113" i="1"/>
  <c r="O87" i="1"/>
  <c r="Q83" i="1"/>
  <c r="V117" i="1"/>
  <c r="U117" i="1"/>
  <c r="S159" i="1"/>
  <c r="O24" i="1"/>
  <c r="S40" i="1"/>
  <c r="Q46" i="1"/>
  <c r="Q49" i="1"/>
  <c r="V109" i="1"/>
  <c r="X109" i="1"/>
  <c r="Y109" i="1" s="1"/>
  <c r="Q27" i="1"/>
  <c r="S45" i="1"/>
  <c r="O43" i="1"/>
  <c r="S42" i="1"/>
  <c r="R42" i="1"/>
  <c r="O58" i="1"/>
  <c r="O64" i="1"/>
  <c r="U106" i="1"/>
  <c r="O150" i="1"/>
  <c r="W159" i="1"/>
  <c r="Y159" i="1" s="1"/>
  <c r="P168" i="1"/>
  <c r="P169" i="1" s="1"/>
  <c r="U33" i="1"/>
  <c r="R39" i="1"/>
  <c r="Q42" i="1"/>
  <c r="U61" i="1"/>
  <c r="Q88" i="1"/>
  <c r="U109" i="1"/>
  <c r="Y157" i="1"/>
  <c r="W163" i="1"/>
  <c r="Y163" i="1" s="1"/>
  <c r="V39" i="1"/>
  <c r="W174" i="1"/>
  <c r="U64" i="1"/>
  <c r="S87" i="1"/>
  <c r="R111" i="1"/>
  <c r="W184" i="1"/>
  <c r="R14" i="1"/>
  <c r="Q17" i="1"/>
  <c r="V44" i="1"/>
  <c r="U44" i="1"/>
  <c r="X44" i="1"/>
  <c r="Y44" i="1" s="1"/>
  <c r="V83" i="1"/>
  <c r="P143" i="1"/>
  <c r="Q57" i="1"/>
  <c r="Q69" i="1"/>
  <c r="U86" i="1"/>
  <c r="R90" i="1"/>
  <c r="R99" i="1"/>
  <c r="O153" i="1"/>
  <c r="Q79" i="1"/>
  <c r="R79" i="1"/>
  <c r="Y150" i="1"/>
  <c r="Q111" i="1"/>
  <c r="O127" i="1"/>
  <c r="R121" i="1"/>
  <c r="Y154" i="1"/>
  <c r="V62" i="1"/>
  <c r="Q102" i="1"/>
  <c r="X17" i="1"/>
  <c r="Y17" i="1" s="1"/>
  <c r="U17" i="1"/>
  <c r="V17" i="1"/>
  <c r="R57" i="1"/>
  <c r="V99" i="1"/>
  <c r="X99" i="1"/>
  <c r="Y99" i="1" s="1"/>
  <c r="P153" i="1"/>
  <c r="Y164" i="1"/>
  <c r="W65" i="1"/>
  <c r="V80" i="1"/>
  <c r="U80" i="1"/>
  <c r="R93" i="1"/>
  <c r="Q93" i="1"/>
  <c r="Q20" i="1"/>
  <c r="P103" i="1"/>
  <c r="X117" i="1"/>
  <c r="Y117" i="1" s="1"/>
  <c r="R96" i="1"/>
  <c r="U14" i="1"/>
  <c r="U69" i="1"/>
  <c r="X69" i="1"/>
  <c r="Y69" i="1" s="1"/>
  <c r="V69" i="1"/>
  <c r="V93" i="1"/>
  <c r="U96" i="1"/>
  <c r="P127" i="1"/>
  <c r="P128" i="1" s="1"/>
  <c r="S153" i="1"/>
  <c r="S169" i="1"/>
  <c r="P183" i="1"/>
  <c r="P184" i="1" s="1"/>
  <c r="U93" i="1"/>
  <c r="V14" i="1"/>
  <c r="P80" i="1"/>
  <c r="X86" i="1"/>
  <c r="Y86" i="1" s="1"/>
  <c r="V90" i="1"/>
  <c r="U99" i="1"/>
  <c r="O103" i="1"/>
  <c r="O113" i="1"/>
  <c r="O162" i="1"/>
  <c r="O163" i="1" s="1"/>
  <c r="U62" i="1"/>
  <c r="Q30" i="1"/>
  <c r="R30" i="1"/>
  <c r="X93" i="1"/>
  <c r="Y93" i="1" s="1"/>
  <c r="S118" i="1"/>
  <c r="R125" i="1"/>
  <c r="P159" i="1"/>
  <c r="W169" i="1"/>
  <c r="Q78" i="1"/>
  <c r="U49" i="1"/>
  <c r="U102" i="1"/>
  <c r="Q124" i="1"/>
  <c r="Q23" i="1"/>
  <c r="Q47" i="1"/>
  <c r="V49" i="1"/>
  <c r="Q54" i="1"/>
  <c r="S58" i="1"/>
  <c r="S65" i="1" s="1"/>
  <c r="V102" i="1"/>
  <c r="U121" i="1"/>
  <c r="O183" i="1"/>
  <c r="T40" i="1"/>
  <c r="U77" i="1"/>
  <c r="V121" i="1"/>
  <c r="N174" i="1"/>
  <c r="H40" i="1"/>
  <c r="E166" i="1"/>
  <c r="I87" i="1"/>
  <c r="D178" i="1"/>
  <c r="K49" i="1"/>
  <c r="M36" i="1"/>
  <c r="N36" i="1" s="1"/>
  <c r="E113" i="1"/>
  <c r="E24" i="1"/>
  <c r="E40" i="1"/>
  <c r="I153" i="1"/>
  <c r="E134" i="1"/>
  <c r="E163" i="1"/>
  <c r="L156" i="1"/>
  <c r="N156" i="1" s="1"/>
  <c r="D147" i="1"/>
  <c r="D134" i="1"/>
  <c r="I113" i="1"/>
  <c r="I156" i="1"/>
  <c r="K109" i="1"/>
  <c r="H87" i="1"/>
  <c r="G63" i="1"/>
  <c r="K39" i="1"/>
  <c r="M23" i="1"/>
  <c r="N23" i="1" s="1"/>
  <c r="L159" i="1"/>
  <c r="N159" i="1" s="1"/>
  <c r="H156" i="1"/>
  <c r="F121" i="1"/>
  <c r="G109" i="1"/>
  <c r="G99" i="1"/>
  <c r="K86" i="1"/>
  <c r="G79" i="1"/>
  <c r="F63" i="1"/>
  <c r="J39" i="1"/>
  <c r="K36" i="1"/>
  <c r="I159" i="1"/>
  <c r="E156" i="1"/>
  <c r="D137" i="1"/>
  <c r="F79" i="1"/>
  <c r="M33" i="1"/>
  <c r="N33" i="1" s="1"/>
  <c r="M30" i="1"/>
  <c r="N30" i="1" s="1"/>
  <c r="M14" i="1"/>
  <c r="N14" i="1" s="1"/>
  <c r="F20" i="1"/>
  <c r="I181" i="1"/>
  <c r="H169" i="1"/>
  <c r="D169" i="1"/>
  <c r="J61" i="1"/>
  <c r="K25" i="1"/>
  <c r="H103" i="1"/>
  <c r="J103" i="1" s="1"/>
  <c r="F23" i="1"/>
  <c r="I169" i="1"/>
  <c r="M99" i="1"/>
  <c r="N99" i="1" s="1"/>
  <c r="M77" i="1"/>
  <c r="N77" i="1" s="1"/>
  <c r="M49" i="1"/>
  <c r="N49" i="1" s="1"/>
  <c r="L169" i="1"/>
  <c r="D64" i="1"/>
  <c r="G64" i="1" s="1"/>
  <c r="M102" i="1"/>
  <c r="N102" i="1" s="1"/>
  <c r="E80" i="1"/>
  <c r="F80" i="1" s="1"/>
  <c r="I134" i="1"/>
  <c r="J112" i="1"/>
  <c r="L103" i="1"/>
  <c r="L87" i="1"/>
  <c r="E77" i="1"/>
  <c r="F77" i="1" s="1"/>
  <c r="D24" i="1"/>
  <c r="I103" i="1"/>
  <c r="F30" i="1"/>
  <c r="F55" i="1"/>
  <c r="D166" i="1"/>
  <c r="L184" i="1"/>
  <c r="N184" i="1" s="1"/>
  <c r="D174" i="1"/>
  <c r="D175" i="1" s="1"/>
  <c r="I184" i="1"/>
  <c r="L134" i="1"/>
  <c r="N134" i="1" s="1"/>
  <c r="H184" i="1"/>
  <c r="I150" i="1"/>
  <c r="L153" i="1"/>
  <c r="N153" i="1" s="1"/>
  <c r="H150" i="1"/>
  <c r="H134" i="1"/>
  <c r="K77" i="1"/>
  <c r="J49" i="1"/>
  <c r="F46" i="1"/>
  <c r="E49" i="1"/>
  <c r="E168" i="1"/>
  <c r="E169" i="1" s="1"/>
  <c r="D161" i="1"/>
  <c r="D163" i="1" s="1"/>
  <c r="D43" i="1"/>
  <c r="H113" i="1"/>
  <c r="I178" i="1"/>
  <c r="D156" i="1"/>
  <c r="H140" i="1"/>
  <c r="F118" i="1"/>
  <c r="G118" i="1"/>
  <c r="F112" i="1"/>
  <c r="G112" i="1"/>
  <c r="E103" i="1"/>
  <c r="M109" i="1"/>
  <c r="N109" i="1" s="1"/>
  <c r="D103" i="1"/>
  <c r="F96" i="1"/>
  <c r="G96" i="1"/>
  <c r="M93" i="1"/>
  <c r="N93" i="1" s="1"/>
  <c r="J80" i="1"/>
  <c r="K80" i="1"/>
  <c r="M80" i="1"/>
  <c r="N80" i="1" s="1"/>
  <c r="D58" i="1"/>
  <c r="D65" i="1" s="1"/>
  <c r="M121" i="1"/>
  <c r="N121" i="1" s="1"/>
  <c r="J121" i="1"/>
  <c r="K121" i="1"/>
  <c r="D87" i="1"/>
  <c r="K41" i="1"/>
  <c r="N132" i="1"/>
  <c r="G121" i="1"/>
  <c r="K93" i="1"/>
  <c r="K57" i="1"/>
  <c r="M57" i="1"/>
  <c r="N57" i="1" s="1"/>
  <c r="L24" i="1"/>
  <c r="M69" i="1"/>
  <c r="N69" i="1" s="1"/>
  <c r="J69" i="1"/>
  <c r="K69" i="1"/>
  <c r="H161" i="1"/>
  <c r="M41" i="1"/>
  <c r="N41" i="1" s="1"/>
  <c r="M55" i="1"/>
  <c r="N55" i="1" s="1"/>
  <c r="J55" i="1"/>
  <c r="F17" i="1"/>
  <c r="G17" i="1"/>
  <c r="M127" i="1"/>
  <c r="N127" i="1" s="1"/>
  <c r="J127" i="1"/>
  <c r="K127" i="1"/>
  <c r="H44" i="1"/>
  <c r="J106" i="1"/>
  <c r="F106" i="1"/>
  <c r="G106" i="1"/>
  <c r="F88" i="1"/>
  <c r="G88" i="1"/>
  <c r="E90" i="1"/>
  <c r="E182" i="1"/>
  <c r="E184" i="1" s="1"/>
  <c r="D182" i="1"/>
  <c r="D184" i="1" s="1"/>
  <c r="L143" i="1"/>
  <c r="N143" i="1" s="1"/>
  <c r="G117" i="1"/>
  <c r="F76" i="1"/>
  <c r="G76" i="1"/>
  <c r="G46" i="1"/>
  <c r="F39" i="1"/>
  <c r="F69" i="1"/>
  <c r="G69" i="1"/>
  <c r="J58" i="1"/>
  <c r="K58" i="1"/>
  <c r="G86" i="1"/>
  <c r="D113" i="1"/>
  <c r="G62" i="1"/>
  <c r="E181" i="1"/>
  <c r="K55" i="1"/>
  <c r="D181" i="1"/>
  <c r="I143" i="1"/>
  <c r="F117" i="1"/>
  <c r="M64" i="1"/>
  <c r="N64" i="1" s="1"/>
  <c r="H65" i="1"/>
  <c r="J64" i="1"/>
  <c r="K64" i="1"/>
  <c r="M27" i="1"/>
  <c r="N27" i="1" s="1"/>
  <c r="J27" i="1"/>
  <c r="K27" i="1"/>
  <c r="H181" i="1"/>
  <c r="E145" i="1"/>
  <c r="E147" i="1" s="1"/>
  <c r="H118" i="1"/>
  <c r="K117" i="1"/>
  <c r="M117" i="1"/>
  <c r="N117" i="1" s="1"/>
  <c r="N149" i="1"/>
  <c r="H143" i="1"/>
  <c r="J96" i="1"/>
  <c r="I40" i="1"/>
  <c r="H24" i="1"/>
  <c r="M17" i="1"/>
  <c r="N17" i="1" s="1"/>
  <c r="H176" i="1"/>
  <c r="H178" i="1" s="1"/>
  <c r="M112" i="1"/>
  <c r="N112" i="1" s="1"/>
  <c r="M106" i="1"/>
  <c r="N106" i="1" s="1"/>
  <c r="M96" i="1"/>
  <c r="N96" i="1" s="1"/>
  <c r="M86" i="1"/>
  <c r="N86" i="1" s="1"/>
  <c r="G30" i="1"/>
  <c r="K17" i="1"/>
  <c r="K112" i="1"/>
  <c r="K106" i="1"/>
  <c r="K96" i="1"/>
  <c r="H42" i="1"/>
  <c r="G20" i="1"/>
  <c r="BE23" i="5" l="1"/>
  <c r="AQ23" i="5"/>
  <c r="AQ17" i="5"/>
  <c r="BE17" i="5"/>
  <c r="BE33" i="5"/>
  <c r="AQ33" i="5"/>
  <c r="BE39" i="5"/>
  <c r="AQ39" i="5"/>
  <c r="AD153" i="5"/>
  <c r="BE57" i="5"/>
  <c r="AQ57" i="5"/>
  <c r="AQ43" i="5"/>
  <c r="BE43" i="5"/>
  <c r="BE27" i="5"/>
  <c r="AQ27" i="5"/>
  <c r="Q162" i="5"/>
  <c r="Q163" i="5" s="1"/>
  <c r="AQ42" i="5"/>
  <c r="BE42" i="5"/>
  <c r="AY160" i="5"/>
  <c r="BE30" i="5"/>
  <c r="AQ30" i="5"/>
  <c r="AQ46" i="5"/>
  <c r="BE46" i="5"/>
  <c r="BE48" i="5"/>
  <c r="AQ48" i="5"/>
  <c r="BE67" i="5"/>
  <c r="AQ67" i="5"/>
  <c r="AD181" i="5"/>
  <c r="BE47" i="5"/>
  <c r="AQ47" i="5"/>
  <c r="BE63" i="5"/>
  <c r="AQ63" i="5"/>
  <c r="BE61" i="5"/>
  <c r="AQ61" i="5"/>
  <c r="AQ54" i="5"/>
  <c r="BE54" i="5"/>
  <c r="AQ14" i="5"/>
  <c r="BE14" i="5"/>
  <c r="AQ20" i="5"/>
  <c r="BE20" i="5"/>
  <c r="Q176" i="5"/>
  <c r="AQ56" i="5"/>
  <c r="BE56" i="5"/>
  <c r="AQ36" i="5"/>
  <c r="BE36" i="5"/>
  <c r="AH170" i="5"/>
  <c r="AD58" i="5"/>
  <c r="BE58" i="5" s="1"/>
  <c r="X160" i="5"/>
  <c r="AD174" i="5"/>
  <c r="AD175" i="5" s="1"/>
  <c r="AD55" i="5"/>
  <c r="AQ55" i="5" s="1"/>
  <c r="BD144" i="5"/>
  <c r="AO170" i="5"/>
  <c r="U144" i="5"/>
  <c r="AV184" i="5"/>
  <c r="U160" i="5"/>
  <c r="AZ160" i="5"/>
  <c r="AK144" i="5"/>
  <c r="X144" i="5"/>
  <c r="AA170" i="5"/>
  <c r="Y51" i="5"/>
  <c r="Y66" i="5" s="1"/>
  <c r="AT170" i="5"/>
  <c r="BA160" i="5"/>
  <c r="AQ90" i="5"/>
  <c r="AP184" i="5"/>
  <c r="AP185" i="5" s="1"/>
  <c r="BC144" i="5"/>
  <c r="AS51" i="5"/>
  <c r="AW170" i="5"/>
  <c r="AQ164" i="5"/>
  <c r="AQ158" i="5"/>
  <c r="BE43" i="4"/>
  <c r="AQ152" i="4"/>
  <c r="BN160" i="4"/>
  <c r="AQ179" i="4"/>
  <c r="BE161" i="4"/>
  <c r="AD153" i="4"/>
  <c r="AQ132" i="4"/>
  <c r="R170" i="5"/>
  <c r="AX144" i="5"/>
  <c r="AQ173" i="5"/>
  <c r="AE50" i="5"/>
  <c r="BB160" i="5"/>
  <c r="AJ114" i="5"/>
  <c r="AJ129" i="5" s="1"/>
  <c r="AQ152" i="5"/>
  <c r="AG170" i="5"/>
  <c r="AQ136" i="5"/>
  <c r="AL160" i="5"/>
  <c r="AE64" i="5"/>
  <c r="BB144" i="5"/>
  <c r="W144" i="5"/>
  <c r="AF144" i="5"/>
  <c r="AW184" i="5"/>
  <c r="AW185" i="5" s="1"/>
  <c r="AY144" i="5"/>
  <c r="AJ185" i="5"/>
  <c r="AK170" i="5"/>
  <c r="Z170" i="5"/>
  <c r="Z144" i="5"/>
  <c r="AH144" i="5"/>
  <c r="AI160" i="5"/>
  <c r="AV144" i="5"/>
  <c r="AE163" i="5"/>
  <c r="BE163" i="5" s="1"/>
  <c r="BE161" i="5"/>
  <c r="AC185" i="5"/>
  <c r="AN160" i="5"/>
  <c r="AP160" i="5"/>
  <c r="AE175" i="5"/>
  <c r="BE175" i="5" s="1"/>
  <c r="BE174" i="5"/>
  <c r="AJ144" i="5"/>
  <c r="Y144" i="5"/>
  <c r="Z160" i="5"/>
  <c r="AE144" i="5"/>
  <c r="BE144" i="5" s="1"/>
  <c r="BE143" i="5"/>
  <c r="AV185" i="5"/>
  <c r="AZ170" i="5"/>
  <c r="S170" i="5"/>
  <c r="W160" i="5"/>
  <c r="AS144" i="5"/>
  <c r="AF185" i="5"/>
  <c r="BA144" i="5"/>
  <c r="AD137" i="5"/>
  <c r="BC114" i="5"/>
  <c r="BC129" i="5" s="1"/>
  <c r="AU184" i="5"/>
  <c r="AU185" i="5" s="1"/>
  <c r="AU160" i="5"/>
  <c r="AZ114" i="5"/>
  <c r="AZ129" i="5" s="1"/>
  <c r="AQ135" i="5"/>
  <c r="AB144" i="5"/>
  <c r="AQ133" i="5"/>
  <c r="AH185" i="5"/>
  <c r="AM160" i="5"/>
  <c r="AE160" i="5"/>
  <c r="BE160" i="5" s="1"/>
  <c r="AQ125" i="5"/>
  <c r="AS114" i="5"/>
  <c r="AS129" i="5" s="1"/>
  <c r="AA114" i="5"/>
  <c r="AA129" i="5" s="1"/>
  <c r="AT184" i="5"/>
  <c r="AT185" i="5" s="1"/>
  <c r="AC170" i="5"/>
  <c r="AJ170" i="5"/>
  <c r="BD170" i="5"/>
  <c r="AI170" i="5"/>
  <c r="AG114" i="5"/>
  <c r="AG129" i="5" s="1"/>
  <c r="X170" i="5"/>
  <c r="AQ180" i="5"/>
  <c r="AL170" i="5"/>
  <c r="AD134" i="5"/>
  <c r="Y160" i="5"/>
  <c r="T160" i="5"/>
  <c r="AN185" i="5"/>
  <c r="AC144" i="5"/>
  <c r="BC160" i="5"/>
  <c r="AX114" i="5"/>
  <c r="AX129" i="5" s="1"/>
  <c r="T144" i="5"/>
  <c r="BC184" i="5"/>
  <c r="BC185" i="5" s="1"/>
  <c r="V170" i="5"/>
  <c r="AM114" i="5"/>
  <c r="AM129" i="5" s="1"/>
  <c r="BN185" i="4"/>
  <c r="AQ157" i="4"/>
  <c r="BK114" i="4"/>
  <c r="BK129" i="4" s="1"/>
  <c r="AQ136" i="4"/>
  <c r="AQ137" i="4" s="1"/>
  <c r="AQ151" i="4"/>
  <c r="AQ153" i="4" s="1"/>
  <c r="AQ141" i="4"/>
  <c r="AQ143" i="4" s="1"/>
  <c r="BO170" i="4"/>
  <c r="BE138" i="4"/>
  <c r="AQ154" i="4"/>
  <c r="AQ156" i="4" s="1"/>
  <c r="AQ173" i="4"/>
  <c r="AQ174" i="4" s="1"/>
  <c r="AQ175" i="4" s="1"/>
  <c r="AQ155" i="4"/>
  <c r="AQ133" i="4"/>
  <c r="AQ139" i="4"/>
  <c r="AQ140" i="4" s="1"/>
  <c r="AQ146" i="4"/>
  <c r="BE172" i="4"/>
  <c r="AQ148" i="4"/>
  <c r="BE148" i="4"/>
  <c r="BH51" i="4"/>
  <c r="BH66" i="4" s="1"/>
  <c r="BH185" i="4"/>
  <c r="BE61" i="4"/>
  <c r="AQ102" i="4"/>
  <c r="BL185" i="4"/>
  <c r="BE132" i="4"/>
  <c r="BJ185" i="4"/>
  <c r="AQ180" i="4"/>
  <c r="AQ181" i="4" s="1"/>
  <c r="BL160" i="4"/>
  <c r="BI114" i="4"/>
  <c r="BI129" i="4" s="1"/>
  <c r="BE145" i="4"/>
  <c r="AQ158" i="4"/>
  <c r="AQ159" i="4" s="1"/>
  <c r="BO51" i="4"/>
  <c r="BO66" i="4" s="1"/>
  <c r="BI170" i="4"/>
  <c r="BO144" i="4"/>
  <c r="BE158" i="4"/>
  <c r="AD134" i="4"/>
  <c r="BJ160" i="4"/>
  <c r="BI51" i="4"/>
  <c r="BI66" i="4" s="1"/>
  <c r="BG170" i="4"/>
  <c r="AQ149" i="4"/>
  <c r="BO185" i="4"/>
  <c r="BE55" i="4"/>
  <c r="AQ99" i="4"/>
  <c r="BL144" i="4"/>
  <c r="BO160" i="4"/>
  <c r="AQ17" i="4"/>
  <c r="BE17" i="4"/>
  <c r="BQ114" i="4"/>
  <c r="BQ129" i="4" s="1"/>
  <c r="BM51" i="4"/>
  <c r="BM66" i="4" s="1"/>
  <c r="BM114" i="4"/>
  <c r="BM129" i="4" s="1"/>
  <c r="AP185" i="4"/>
  <c r="BE142" i="4"/>
  <c r="AQ126" i="4"/>
  <c r="AD166" i="4"/>
  <c r="BE96" i="4"/>
  <c r="BI160" i="4"/>
  <c r="BE124" i="4"/>
  <c r="BE118" i="4"/>
  <c r="AQ54" i="4"/>
  <c r="BE83" i="4"/>
  <c r="BR160" i="4"/>
  <c r="BI185" i="4"/>
  <c r="BH144" i="4"/>
  <c r="BE46" i="4"/>
  <c r="BK160" i="4"/>
  <c r="BE146" i="4"/>
  <c r="BR51" i="4"/>
  <c r="BR66" i="4" s="1"/>
  <c r="BO114" i="4"/>
  <c r="BN114" i="4"/>
  <c r="BG114" i="4"/>
  <c r="BG129" i="4" s="1"/>
  <c r="BH170" i="4"/>
  <c r="BH171" i="4" s="1"/>
  <c r="BH186" i="4" s="1"/>
  <c r="AV170" i="4"/>
  <c r="BP185" i="4"/>
  <c r="BM185" i="4"/>
  <c r="BP51" i="4"/>
  <c r="BP66" i="4" s="1"/>
  <c r="BG144" i="4"/>
  <c r="BH160" i="4"/>
  <c r="BE139" i="4"/>
  <c r="AQ86" i="4"/>
  <c r="AQ39" i="4"/>
  <c r="BK185" i="4"/>
  <c r="BP144" i="4"/>
  <c r="AQ14" i="4"/>
  <c r="BE121" i="4"/>
  <c r="BE164" i="4"/>
  <c r="BL114" i="4"/>
  <c r="BL129" i="4" s="1"/>
  <c r="BE179" i="4"/>
  <c r="AW160" i="4"/>
  <c r="BR185" i="4"/>
  <c r="BN129" i="4"/>
  <c r="BQ144" i="4"/>
  <c r="BE136" i="4"/>
  <c r="BA185" i="4"/>
  <c r="AQ61" i="4"/>
  <c r="BQ160" i="4"/>
  <c r="BM160" i="4"/>
  <c r="BE67" i="4"/>
  <c r="AD140" i="4"/>
  <c r="BG51" i="4"/>
  <c r="AQ80" i="4"/>
  <c r="AQ33" i="4"/>
  <c r="AD159" i="4"/>
  <c r="AQ27" i="4"/>
  <c r="BP114" i="4"/>
  <c r="BP129" i="4" s="1"/>
  <c r="BH114" i="4"/>
  <c r="BH129" i="4" s="1"/>
  <c r="AZ114" i="4"/>
  <c r="AZ129" i="4" s="1"/>
  <c r="AQ46" i="4"/>
  <c r="BJ114" i="4"/>
  <c r="BJ129" i="4" s="1"/>
  <c r="AZ160" i="4"/>
  <c r="BE126" i="4"/>
  <c r="AJ185" i="4"/>
  <c r="AQ23" i="4"/>
  <c r="AQ36" i="4"/>
  <c r="AM144" i="4"/>
  <c r="BE93" i="4"/>
  <c r="BN51" i="4"/>
  <c r="BN66" i="4" s="1"/>
  <c r="BM144" i="4"/>
  <c r="BE77" i="4"/>
  <c r="BE112" i="4"/>
  <c r="BB185" i="4"/>
  <c r="BN170" i="4"/>
  <c r="BE58" i="4"/>
  <c r="BJ170" i="4"/>
  <c r="BE152" i="4"/>
  <c r="BE117" i="4"/>
  <c r="AQ55" i="4"/>
  <c r="BR144" i="4"/>
  <c r="BO129" i="4"/>
  <c r="BE47" i="2"/>
  <c r="BF47" i="2" s="1"/>
  <c r="BC47" i="2"/>
  <c r="BB47" i="2"/>
  <c r="AY25" i="2"/>
  <c r="BB114" i="2"/>
  <c r="CO114" i="2"/>
  <c r="AZ179" i="2"/>
  <c r="CQ113" i="2"/>
  <c r="AL135" i="2"/>
  <c r="P185" i="2"/>
  <c r="BL145" i="2"/>
  <c r="BP129" i="2"/>
  <c r="BQ129" i="2" s="1"/>
  <c r="AE145" i="2"/>
  <c r="CY145" i="2"/>
  <c r="O171" i="2"/>
  <c r="AR56" i="2"/>
  <c r="DE59" i="2"/>
  <c r="F78" i="2"/>
  <c r="BR145" i="2"/>
  <c r="AF129" i="2"/>
  <c r="AL170" i="2"/>
  <c r="AT56" i="2"/>
  <c r="AU56" i="2" s="1"/>
  <c r="V129" i="2"/>
  <c r="V104" i="2"/>
  <c r="T145" i="2"/>
  <c r="BB46" i="2"/>
  <c r="DC66" i="2"/>
  <c r="AB59" i="2"/>
  <c r="X104" i="2"/>
  <c r="Y104" i="2" s="1"/>
  <c r="CU114" i="2"/>
  <c r="R104" i="2"/>
  <c r="BE46" i="2"/>
  <c r="BF46" i="2" s="1"/>
  <c r="AZ166" i="2"/>
  <c r="AZ167" i="2" s="1"/>
  <c r="AZ171" i="2" s="1"/>
  <c r="BD115" i="2"/>
  <c r="BD130" i="2" s="1"/>
  <c r="E129" i="2"/>
  <c r="G129" i="2" s="1"/>
  <c r="BC46" i="2"/>
  <c r="F128" i="2"/>
  <c r="CK161" i="2"/>
  <c r="CM161" i="2" s="1"/>
  <c r="BK66" i="2"/>
  <c r="BP66" i="2" s="1"/>
  <c r="BQ66" i="2" s="1"/>
  <c r="AQ129" i="2"/>
  <c r="I115" i="2"/>
  <c r="Z115" i="2"/>
  <c r="Z185" i="2"/>
  <c r="AE52" i="2"/>
  <c r="AE67" i="2" s="1"/>
  <c r="Q59" i="2"/>
  <c r="BM46" i="2"/>
  <c r="CW25" i="2"/>
  <c r="CX25" i="2" s="1"/>
  <c r="X24" i="1"/>
  <c r="Y24" i="1" s="1"/>
  <c r="AK51" i="5"/>
  <c r="AK66" i="5" s="1"/>
  <c r="Z51" i="5"/>
  <c r="Z66" i="5" s="1"/>
  <c r="AV114" i="5"/>
  <c r="AV129" i="5" s="1"/>
  <c r="Q137" i="5"/>
  <c r="AP170" i="5"/>
  <c r="AY114" i="5"/>
  <c r="AY129" i="5" s="1"/>
  <c r="AQ146" i="5"/>
  <c r="AD150" i="5"/>
  <c r="AL114" i="5"/>
  <c r="AL129" i="5" s="1"/>
  <c r="AX160" i="5"/>
  <c r="T51" i="5"/>
  <c r="T66" i="5" s="1"/>
  <c r="BD114" i="5"/>
  <c r="BD129" i="5" s="1"/>
  <c r="AQ118" i="5"/>
  <c r="S160" i="5"/>
  <c r="V160" i="5"/>
  <c r="AP114" i="5"/>
  <c r="AP129" i="5" s="1"/>
  <c r="AQ138" i="5"/>
  <c r="AL144" i="5"/>
  <c r="AY184" i="5"/>
  <c r="AY185" i="5" s="1"/>
  <c r="AO51" i="5"/>
  <c r="AO66" i="5" s="1"/>
  <c r="AX170" i="5"/>
  <c r="AG144" i="5"/>
  <c r="AN114" i="5"/>
  <c r="AN129" i="5" s="1"/>
  <c r="AS160" i="5"/>
  <c r="AT144" i="5"/>
  <c r="AI114" i="5"/>
  <c r="AI129" i="5" s="1"/>
  <c r="AQ155" i="5"/>
  <c r="AK184" i="5"/>
  <c r="AK185" i="5" s="1"/>
  <c r="AK160" i="5"/>
  <c r="AQ96" i="5"/>
  <c r="BB170" i="5"/>
  <c r="AM170" i="5"/>
  <c r="AA51" i="5"/>
  <c r="AA66" i="5" s="1"/>
  <c r="BC170" i="5"/>
  <c r="AY51" i="5"/>
  <c r="AY66" i="5" s="1"/>
  <c r="AT114" i="5"/>
  <c r="AT129" i="5" s="1"/>
  <c r="U51" i="5"/>
  <c r="U66" i="5" s="1"/>
  <c r="BD185" i="5"/>
  <c r="AI144" i="5"/>
  <c r="AQ149" i="5"/>
  <c r="BB184" i="5"/>
  <c r="BB185" i="5" s="1"/>
  <c r="BB114" i="5"/>
  <c r="BB129" i="5" s="1"/>
  <c r="AD63" i="5"/>
  <c r="AD183" i="5" s="1"/>
  <c r="AE183" i="5"/>
  <c r="AA144" i="5"/>
  <c r="AB184" i="5"/>
  <c r="AB185" i="5" s="1"/>
  <c r="AX184" i="5"/>
  <c r="AX185" i="5" s="1"/>
  <c r="AL185" i="5"/>
  <c r="AO160" i="5"/>
  <c r="X184" i="5"/>
  <c r="X185" i="5" s="1"/>
  <c r="AT160" i="5"/>
  <c r="BA51" i="5"/>
  <c r="AN144" i="5"/>
  <c r="X51" i="5"/>
  <c r="X66" i="5" s="1"/>
  <c r="R160" i="5"/>
  <c r="AS170" i="5"/>
  <c r="AG184" i="5"/>
  <c r="AG185" i="5" s="1"/>
  <c r="AD156" i="5"/>
  <c r="AD159" i="5"/>
  <c r="AW160" i="5"/>
  <c r="AZ144" i="5"/>
  <c r="BA170" i="5"/>
  <c r="AD147" i="5"/>
  <c r="AC114" i="5"/>
  <c r="AC129" i="5" s="1"/>
  <c r="AD103" i="5"/>
  <c r="AA160" i="5"/>
  <c r="AQ142" i="5"/>
  <c r="W114" i="5"/>
  <c r="W129" i="5" s="1"/>
  <c r="AZ51" i="5"/>
  <c r="AZ66" i="5" s="1"/>
  <c r="AQ139" i="5"/>
  <c r="AV170" i="5"/>
  <c r="BA185" i="5"/>
  <c r="AP144" i="5"/>
  <c r="V144" i="5"/>
  <c r="Q166" i="5"/>
  <c r="AQ83" i="5"/>
  <c r="AU170" i="5"/>
  <c r="W51" i="5"/>
  <c r="W66" i="5" s="1"/>
  <c r="AJ160" i="5"/>
  <c r="Q24" i="5"/>
  <c r="W170" i="5"/>
  <c r="AG160" i="5"/>
  <c r="AB114" i="5"/>
  <c r="AB129" i="5" s="1"/>
  <c r="AV160" i="5"/>
  <c r="U184" i="5"/>
  <c r="U185" i="5" s="1"/>
  <c r="AD43" i="5"/>
  <c r="AQ124" i="5"/>
  <c r="Q49" i="5"/>
  <c r="U114" i="5"/>
  <c r="U129" i="5" s="1"/>
  <c r="Y170" i="5"/>
  <c r="AQ121" i="5"/>
  <c r="AB170" i="5"/>
  <c r="AQ93" i="5"/>
  <c r="Q87" i="5"/>
  <c r="AT51" i="5"/>
  <c r="AT66" i="5" s="1"/>
  <c r="AG51" i="5"/>
  <c r="AG66" i="5" s="1"/>
  <c r="T114" i="5"/>
  <c r="T129" i="5" s="1"/>
  <c r="AP51" i="5"/>
  <c r="AP66" i="5" s="1"/>
  <c r="AC51" i="5"/>
  <c r="AC66" i="5" s="1"/>
  <c r="AQ102" i="5"/>
  <c r="AC160" i="5"/>
  <c r="AB160" i="5"/>
  <c r="BD51" i="5"/>
  <c r="BD66" i="5" s="1"/>
  <c r="AX51" i="5"/>
  <c r="AX66" i="5" s="1"/>
  <c r="AQ165" i="5"/>
  <c r="V51" i="5"/>
  <c r="V66" i="5" s="1"/>
  <c r="BB51" i="5"/>
  <c r="BB66" i="5" s="1"/>
  <c r="AF160" i="5"/>
  <c r="AW144" i="5"/>
  <c r="AN51" i="5"/>
  <c r="AN66" i="5" s="1"/>
  <c r="AW51" i="5"/>
  <c r="AW66" i="5" s="1"/>
  <c r="T184" i="5"/>
  <c r="T185" i="5" s="1"/>
  <c r="AD140" i="5"/>
  <c r="Y184" i="5"/>
  <c r="Y185" i="5" s="1"/>
  <c r="Q174" i="5"/>
  <c r="Q175" i="5" s="1"/>
  <c r="X114" i="5"/>
  <c r="X129" i="5" s="1"/>
  <c r="AQ112" i="5"/>
  <c r="BD160" i="5"/>
  <c r="AQ172" i="5"/>
  <c r="BA114" i="5"/>
  <c r="BA129" i="5" s="1"/>
  <c r="AD166" i="5"/>
  <c r="AL51" i="5"/>
  <c r="AL66" i="5" s="1"/>
  <c r="AA184" i="5"/>
  <c r="AA185" i="5" s="1"/>
  <c r="AO184" i="5"/>
  <c r="AO185" i="5" s="1"/>
  <c r="AH51" i="5"/>
  <c r="AH66" i="5" s="1"/>
  <c r="U170" i="5"/>
  <c r="AH160" i="5"/>
  <c r="BC51" i="5"/>
  <c r="BC66" i="5" s="1"/>
  <c r="AM144" i="5"/>
  <c r="Z114" i="5"/>
  <c r="Z129" i="5" s="1"/>
  <c r="AU51" i="5"/>
  <c r="AU66" i="5" s="1"/>
  <c r="AD143" i="5"/>
  <c r="AB51" i="5"/>
  <c r="AB66" i="5" s="1"/>
  <c r="Q168" i="5"/>
  <c r="Q103" i="5"/>
  <c r="Z184" i="5"/>
  <c r="Z185" i="5" s="1"/>
  <c r="AQ80" i="5"/>
  <c r="S51" i="5"/>
  <c r="S66" i="5" s="1"/>
  <c r="Q147" i="5"/>
  <c r="AQ145" i="5"/>
  <c r="W184" i="5"/>
  <c r="W185" i="5" s="1"/>
  <c r="AV51" i="5"/>
  <c r="AV66" i="5" s="1"/>
  <c r="AD127" i="5"/>
  <c r="AE128" i="5"/>
  <c r="AH114" i="5"/>
  <c r="AH129" i="5" s="1"/>
  <c r="Y114" i="5"/>
  <c r="Y129" i="5" s="1"/>
  <c r="AJ51" i="5"/>
  <c r="AJ66" i="5" s="1"/>
  <c r="Q50" i="5"/>
  <c r="R51" i="5"/>
  <c r="AI51" i="5"/>
  <c r="AI66" i="5" s="1"/>
  <c r="AQ109" i="5"/>
  <c r="AQ77" i="5"/>
  <c r="AQ132" i="5"/>
  <c r="AQ106" i="5"/>
  <c r="AW114" i="5"/>
  <c r="AW129" i="5" s="1"/>
  <c r="Q177" i="5"/>
  <c r="AQ177" i="5" s="1"/>
  <c r="AU144" i="5"/>
  <c r="Q140" i="5"/>
  <c r="Q40" i="5"/>
  <c r="AD161" i="5"/>
  <c r="AD163" i="5" s="1"/>
  <c r="AQ157" i="5"/>
  <c r="Q159" i="5"/>
  <c r="R128" i="5"/>
  <c r="Q128" i="5" s="1"/>
  <c r="Q127" i="5"/>
  <c r="AD167" i="5"/>
  <c r="R144" i="5"/>
  <c r="AQ117" i="5"/>
  <c r="AQ179" i="5"/>
  <c r="Q181" i="5"/>
  <c r="AF169" i="5"/>
  <c r="AF170" i="5" s="1"/>
  <c r="Q183" i="5"/>
  <c r="AD40" i="5"/>
  <c r="AQ86" i="5"/>
  <c r="AD24" i="5"/>
  <c r="AD176" i="5"/>
  <c r="AD178" i="5" s="1"/>
  <c r="AF114" i="5"/>
  <c r="AF129" i="5" s="1"/>
  <c r="AY170" i="5"/>
  <c r="AD182" i="5"/>
  <c r="S114" i="5"/>
  <c r="S129" i="5" s="1"/>
  <c r="Q156" i="5"/>
  <c r="AQ154" i="5"/>
  <c r="Q153" i="5"/>
  <c r="AQ153" i="5" s="1"/>
  <c r="AQ151" i="5"/>
  <c r="BA66" i="5"/>
  <c r="AD87" i="5"/>
  <c r="AI185" i="5"/>
  <c r="AD113" i="5"/>
  <c r="AS64" i="5"/>
  <c r="AS65" i="5" s="1"/>
  <c r="Q143" i="5"/>
  <c r="AQ141" i="5"/>
  <c r="AD168" i="5"/>
  <c r="AE114" i="5"/>
  <c r="BE114" i="5" s="1"/>
  <c r="AS184" i="5"/>
  <c r="AS185" i="5" s="1"/>
  <c r="AN170" i="5"/>
  <c r="AD49" i="5"/>
  <c r="AF50" i="5"/>
  <c r="AM185" i="5"/>
  <c r="V114" i="5"/>
  <c r="V129" i="5" s="1"/>
  <c r="Q113" i="5"/>
  <c r="R114" i="5"/>
  <c r="Q134" i="5"/>
  <c r="Q167" i="5"/>
  <c r="AO114" i="5"/>
  <c r="AO129" i="5" s="1"/>
  <c r="AO144" i="5"/>
  <c r="S144" i="5"/>
  <c r="AQ99" i="5"/>
  <c r="AU114" i="5"/>
  <c r="AU129" i="5" s="1"/>
  <c r="T170" i="5"/>
  <c r="R182" i="5"/>
  <c r="R184" i="5" s="1"/>
  <c r="R185" i="5" s="1"/>
  <c r="R64" i="5"/>
  <c r="Q62" i="5"/>
  <c r="AQ126" i="5"/>
  <c r="S184" i="5"/>
  <c r="S185" i="5" s="1"/>
  <c r="AK114" i="5"/>
  <c r="AK129" i="5" s="1"/>
  <c r="Q150" i="5"/>
  <c r="AQ148" i="5"/>
  <c r="AM51" i="5"/>
  <c r="AM66" i="5" s="1"/>
  <c r="V184" i="5"/>
  <c r="V185" i="5" s="1"/>
  <c r="AQ106" i="4"/>
  <c r="AQ109" i="4"/>
  <c r="BE109" i="4"/>
  <c r="BE39" i="4"/>
  <c r="AQ121" i="4"/>
  <c r="AO144" i="4"/>
  <c r="AQ124" i="4"/>
  <c r="BE102" i="4"/>
  <c r="AW170" i="4"/>
  <c r="AY51" i="4"/>
  <c r="AY66" i="4" s="1"/>
  <c r="BE165" i="4"/>
  <c r="BR114" i="4"/>
  <c r="BR129" i="4" s="1"/>
  <c r="BK170" i="4"/>
  <c r="BJ144" i="4"/>
  <c r="BE149" i="4"/>
  <c r="AD168" i="4"/>
  <c r="AQ48" i="4"/>
  <c r="AQ168" i="4" s="1"/>
  <c r="AV185" i="4"/>
  <c r="AQ93" i="4"/>
  <c r="Q178" i="4"/>
  <c r="BE178" i="4" s="1"/>
  <c r="BE176" i="4"/>
  <c r="AD150" i="4"/>
  <c r="Q167" i="4"/>
  <c r="BE47" i="4"/>
  <c r="BI144" i="4"/>
  <c r="BE23" i="4"/>
  <c r="AQ56" i="4"/>
  <c r="AQ176" i="4" s="1"/>
  <c r="BE80" i="4"/>
  <c r="AQ77" i="4"/>
  <c r="AQ112" i="4"/>
  <c r="BE155" i="4"/>
  <c r="BE177" i="4"/>
  <c r="BE20" i="4"/>
  <c r="BE157" i="4"/>
  <c r="AQ67" i="4"/>
  <c r="AQ83" i="4"/>
  <c r="AQ117" i="4"/>
  <c r="BK144" i="4"/>
  <c r="AQ41" i="4"/>
  <c r="AQ161" i="4" s="1"/>
  <c r="AQ163" i="4" s="1"/>
  <c r="BE151" i="4"/>
  <c r="BE99" i="4"/>
  <c r="BE90" i="4"/>
  <c r="BE154" i="4"/>
  <c r="AQ43" i="4"/>
  <c r="AQ30" i="4"/>
  <c r="BE180" i="4"/>
  <c r="R170" i="4"/>
  <c r="BJ51" i="4"/>
  <c r="BJ66" i="4" s="1"/>
  <c r="BQ185" i="4"/>
  <c r="BE14" i="4"/>
  <c r="AQ58" i="4"/>
  <c r="BE135" i="4"/>
  <c r="AY160" i="4"/>
  <c r="BP160" i="4"/>
  <c r="D162" i="4"/>
  <c r="D163" i="4" s="1"/>
  <c r="AQ42" i="4"/>
  <c r="AQ162" i="4" s="1"/>
  <c r="Q168" i="4"/>
  <c r="BE48" i="4"/>
  <c r="BE33" i="4"/>
  <c r="AQ125" i="4"/>
  <c r="BE125" i="4"/>
  <c r="AQ20" i="4"/>
  <c r="AQ57" i="4"/>
  <c r="AQ177" i="4" s="1"/>
  <c r="BE57" i="4"/>
  <c r="BC185" i="4"/>
  <c r="AD167" i="4"/>
  <c r="AQ47" i="4"/>
  <c r="AQ167" i="4" s="1"/>
  <c r="AQ169" i="4" s="1"/>
  <c r="BE173" i="4"/>
  <c r="BE36" i="4"/>
  <c r="BE86" i="4"/>
  <c r="BE27" i="4"/>
  <c r="AQ96" i="4"/>
  <c r="BE141" i="4"/>
  <c r="AQ90" i="4"/>
  <c r="Q162" i="4"/>
  <c r="BE162" i="4" s="1"/>
  <c r="BE42" i="4"/>
  <c r="BN144" i="4"/>
  <c r="BG182" i="4"/>
  <c r="BG184" i="4" s="1"/>
  <c r="BG185" i="4" s="1"/>
  <c r="BG64" i="4"/>
  <c r="BG65" i="4" s="1"/>
  <c r="BQ170" i="4"/>
  <c r="BQ51" i="4"/>
  <c r="BQ66" i="4" s="1"/>
  <c r="BL170" i="4"/>
  <c r="BK51" i="4"/>
  <c r="BK66" i="4" s="1"/>
  <c r="BP170" i="4"/>
  <c r="BL51" i="4"/>
  <c r="BL66" i="4" s="1"/>
  <c r="BR170" i="4"/>
  <c r="BG160" i="4"/>
  <c r="BM170" i="4"/>
  <c r="AQ166" i="4"/>
  <c r="BD185" i="4"/>
  <c r="G184" i="4"/>
  <c r="AX114" i="4"/>
  <c r="AX129" i="4" s="1"/>
  <c r="F184" i="4"/>
  <c r="F185" i="4" s="1"/>
  <c r="K184" i="4"/>
  <c r="K185" i="4" s="1"/>
  <c r="AS185" i="4"/>
  <c r="BD114" i="4"/>
  <c r="BD129" i="4" s="1"/>
  <c r="AS114" i="4"/>
  <c r="AS129" i="4" s="1"/>
  <c r="BA160" i="4"/>
  <c r="AC184" i="4"/>
  <c r="AC185" i="4" s="1"/>
  <c r="AT160" i="4"/>
  <c r="BC160" i="4"/>
  <c r="BB160" i="4"/>
  <c r="AB51" i="4"/>
  <c r="AB66" i="4" s="1"/>
  <c r="AQ147" i="4"/>
  <c r="H184" i="4"/>
  <c r="H185" i="4" s="1"/>
  <c r="AD147" i="4"/>
  <c r="AT170" i="4"/>
  <c r="AS160" i="4"/>
  <c r="AV51" i="4"/>
  <c r="AV66" i="4" s="1"/>
  <c r="AI170" i="4"/>
  <c r="AD63" i="4"/>
  <c r="AD183" i="4" s="1"/>
  <c r="AT185" i="4"/>
  <c r="V170" i="4"/>
  <c r="N184" i="4"/>
  <c r="N185" i="4" s="1"/>
  <c r="AV114" i="4"/>
  <c r="AV129" i="4" s="1"/>
  <c r="AO170" i="4"/>
  <c r="AV144" i="4"/>
  <c r="AY144" i="4"/>
  <c r="BD160" i="4"/>
  <c r="BD144" i="4"/>
  <c r="Q134" i="4"/>
  <c r="AO114" i="4"/>
  <c r="AO129" i="4" s="1"/>
  <c r="V185" i="4"/>
  <c r="Q143" i="4"/>
  <c r="Q156" i="4"/>
  <c r="BB170" i="4"/>
  <c r="AS50" i="4"/>
  <c r="AO185" i="4"/>
  <c r="W170" i="4"/>
  <c r="BC144" i="4"/>
  <c r="BB114" i="4"/>
  <c r="BB129" i="4" s="1"/>
  <c r="M51" i="4"/>
  <c r="M66" i="4" s="1"/>
  <c r="D63" i="4"/>
  <c r="D183" i="4" s="1"/>
  <c r="AD174" i="4"/>
  <c r="AD175" i="4" s="1"/>
  <c r="AH160" i="4"/>
  <c r="X51" i="4"/>
  <c r="X66" i="4" s="1"/>
  <c r="AX144" i="4"/>
  <c r="AZ51" i="4"/>
  <c r="AZ66" i="4" s="1"/>
  <c r="BA51" i="4"/>
  <c r="BA66" i="4" s="1"/>
  <c r="AN51" i="4"/>
  <c r="AN66" i="4" s="1"/>
  <c r="T51" i="4"/>
  <c r="T66" i="4" s="1"/>
  <c r="AK51" i="4"/>
  <c r="AK66" i="4" s="1"/>
  <c r="AE50" i="4"/>
  <c r="AD50" i="4" s="1"/>
  <c r="BB144" i="4"/>
  <c r="BA144" i="4"/>
  <c r="AF184" i="4"/>
  <c r="AF185" i="4" s="1"/>
  <c r="AL185" i="4"/>
  <c r="AZ170" i="4"/>
  <c r="AN185" i="4"/>
  <c r="AX160" i="4"/>
  <c r="Q166" i="4"/>
  <c r="U184" i="4"/>
  <c r="U185" i="4" s="1"/>
  <c r="AU144" i="4"/>
  <c r="AV160" i="4"/>
  <c r="AY170" i="4"/>
  <c r="BB51" i="4"/>
  <c r="BB66" i="4" s="1"/>
  <c r="AH185" i="4"/>
  <c r="AU170" i="4"/>
  <c r="AS144" i="4"/>
  <c r="BA114" i="4"/>
  <c r="BA129" i="4" s="1"/>
  <c r="E64" i="4"/>
  <c r="D64" i="4" s="1"/>
  <c r="L114" i="4"/>
  <c r="L129" i="4" s="1"/>
  <c r="X184" i="4"/>
  <c r="X185" i="4" s="1"/>
  <c r="O51" i="4"/>
  <c r="O66" i="4" s="1"/>
  <c r="AB184" i="4"/>
  <c r="AB185" i="4" s="1"/>
  <c r="BD170" i="4"/>
  <c r="K114" i="4"/>
  <c r="K129" i="4" s="1"/>
  <c r="U170" i="4"/>
  <c r="AK170" i="4"/>
  <c r="AK184" i="4"/>
  <c r="AK185" i="4" s="1"/>
  <c r="AW184" i="4"/>
  <c r="AW185" i="4" s="1"/>
  <c r="T170" i="4"/>
  <c r="AE160" i="4"/>
  <c r="AJ170" i="4"/>
  <c r="AZ184" i="4"/>
  <c r="AZ185" i="4" s="1"/>
  <c r="BC114" i="4"/>
  <c r="BC129" i="4" s="1"/>
  <c r="N51" i="4"/>
  <c r="N66" i="4" s="1"/>
  <c r="AD113" i="4"/>
  <c r="Q150" i="4"/>
  <c r="AX170" i="4"/>
  <c r="AH114" i="4"/>
  <c r="AH129" i="4" s="1"/>
  <c r="T144" i="4"/>
  <c r="AW114" i="4"/>
  <c r="AW129" i="4" s="1"/>
  <c r="AX51" i="4"/>
  <c r="AX66" i="4" s="1"/>
  <c r="S185" i="4"/>
  <c r="AW144" i="4"/>
  <c r="AM51" i="4"/>
  <c r="AM66" i="4" s="1"/>
  <c r="H114" i="4"/>
  <c r="H129" i="4" s="1"/>
  <c r="AL51" i="4"/>
  <c r="AL66" i="4" s="1"/>
  <c r="P114" i="4"/>
  <c r="P129" i="4" s="1"/>
  <c r="AA51" i="4"/>
  <c r="AA66" i="4" s="1"/>
  <c r="BD51" i="4"/>
  <c r="BD66" i="4" s="1"/>
  <c r="AI114" i="4"/>
  <c r="AI129" i="4" s="1"/>
  <c r="AX184" i="4"/>
  <c r="AX185" i="4" s="1"/>
  <c r="AL144" i="4"/>
  <c r="AM114" i="4"/>
  <c r="AM129" i="4" s="1"/>
  <c r="Q137" i="4"/>
  <c r="Z160" i="4"/>
  <c r="S144" i="4"/>
  <c r="V51" i="4"/>
  <c r="V66" i="4" s="1"/>
  <c r="AK114" i="4"/>
  <c r="AK129" i="4" s="1"/>
  <c r="U114" i="4"/>
  <c r="U129" i="4" s="1"/>
  <c r="Q181" i="4"/>
  <c r="AH170" i="4"/>
  <c r="N114" i="4"/>
  <c r="N129" i="4" s="1"/>
  <c r="AJ160" i="4"/>
  <c r="AA114" i="4"/>
  <c r="AA129" i="4" s="1"/>
  <c r="AT51" i="4"/>
  <c r="AT66" i="4" s="1"/>
  <c r="AB114" i="4"/>
  <c r="AB129" i="4" s="1"/>
  <c r="L184" i="4"/>
  <c r="L185" i="4" s="1"/>
  <c r="AD137" i="4"/>
  <c r="Y160" i="4"/>
  <c r="AG160" i="4"/>
  <c r="AT144" i="4"/>
  <c r="AY114" i="4"/>
  <c r="AY129" i="4" s="1"/>
  <c r="AF160" i="4"/>
  <c r="AF170" i="4"/>
  <c r="AU114" i="4"/>
  <c r="AM170" i="4"/>
  <c r="J144" i="4"/>
  <c r="AC51" i="4"/>
  <c r="AL160" i="4"/>
  <c r="Z184" i="4"/>
  <c r="Z185" i="4" s="1"/>
  <c r="AG170" i="4"/>
  <c r="AI185" i="4"/>
  <c r="AN160" i="4"/>
  <c r="AU185" i="4"/>
  <c r="BC51" i="4"/>
  <c r="BC66" i="4" s="1"/>
  <c r="BC170" i="4"/>
  <c r="AU160" i="4"/>
  <c r="AZ144" i="4"/>
  <c r="AU51" i="4"/>
  <c r="AU66" i="4" s="1"/>
  <c r="AW51" i="4"/>
  <c r="AW66" i="4" s="1"/>
  <c r="AT114" i="4"/>
  <c r="AT129" i="4" s="1"/>
  <c r="BA170" i="4"/>
  <c r="AS65" i="4"/>
  <c r="AU128" i="4"/>
  <c r="AY184" i="4"/>
  <c r="AY185" i="4" s="1"/>
  <c r="AM160" i="4"/>
  <c r="X170" i="4"/>
  <c r="AG185" i="4"/>
  <c r="AD103" i="4"/>
  <c r="AN144" i="4"/>
  <c r="S160" i="4"/>
  <c r="AK144" i="4"/>
  <c r="V144" i="4"/>
  <c r="Y114" i="4"/>
  <c r="Y129" i="4" s="1"/>
  <c r="AD156" i="4"/>
  <c r="AE170" i="4"/>
  <c r="AD127" i="4"/>
  <c r="AC114" i="4"/>
  <c r="AC129" i="4" s="1"/>
  <c r="M114" i="4"/>
  <c r="M129" i="4" s="1"/>
  <c r="AE144" i="4"/>
  <c r="AL170" i="4"/>
  <c r="W114" i="4"/>
  <c r="W129" i="4" s="1"/>
  <c r="X160" i="4"/>
  <c r="U51" i="4"/>
  <c r="U66" i="4" s="1"/>
  <c r="T114" i="4"/>
  <c r="T129" i="4" s="1"/>
  <c r="AP114" i="4"/>
  <c r="AP129" i="4" s="1"/>
  <c r="AD128" i="4"/>
  <c r="AK160" i="4"/>
  <c r="AI160" i="4"/>
  <c r="AC160" i="4"/>
  <c r="T160" i="4"/>
  <c r="R160" i="4"/>
  <c r="AO160" i="4"/>
  <c r="AP170" i="4"/>
  <c r="P51" i="4"/>
  <c r="P66" i="4" s="1"/>
  <c r="S170" i="4"/>
  <c r="AP160" i="4"/>
  <c r="Y51" i="4"/>
  <c r="Y66" i="4" s="1"/>
  <c r="AG144" i="4"/>
  <c r="AD87" i="4"/>
  <c r="R144" i="4"/>
  <c r="F114" i="4"/>
  <c r="F129" i="4" s="1"/>
  <c r="W160" i="4"/>
  <c r="AP51" i="4"/>
  <c r="AP66" i="4" s="1"/>
  <c r="AG51" i="4"/>
  <c r="AG66" i="4" s="1"/>
  <c r="AP144" i="4"/>
  <c r="Q128" i="4"/>
  <c r="BE128" i="4" s="1"/>
  <c r="AC170" i="4"/>
  <c r="AO51" i="4"/>
  <c r="AO66" i="4" s="1"/>
  <c r="Q174" i="4"/>
  <c r="Q40" i="4"/>
  <c r="AN114" i="4"/>
  <c r="AN129" i="4" s="1"/>
  <c r="I144" i="4"/>
  <c r="AA185" i="4"/>
  <c r="J114" i="4"/>
  <c r="J129" i="4" s="1"/>
  <c r="Z170" i="4"/>
  <c r="AA144" i="4"/>
  <c r="AA160" i="4"/>
  <c r="W144" i="4"/>
  <c r="AB160" i="4"/>
  <c r="AH51" i="4"/>
  <c r="AH66" i="4" s="1"/>
  <c r="AH144" i="4"/>
  <c r="G170" i="4"/>
  <c r="AJ114" i="4"/>
  <c r="AJ129" i="4" s="1"/>
  <c r="F170" i="4"/>
  <c r="V160" i="4"/>
  <c r="Z51" i="4"/>
  <c r="Z66" i="4" s="1"/>
  <c r="AN170" i="4"/>
  <c r="V114" i="4"/>
  <c r="V129" i="4" s="1"/>
  <c r="U144" i="4"/>
  <c r="AL114" i="4"/>
  <c r="AL129" i="4" s="1"/>
  <c r="T185" i="4"/>
  <c r="G114" i="4"/>
  <c r="G129" i="4" s="1"/>
  <c r="Q127" i="4"/>
  <c r="AD181" i="4"/>
  <c r="Q87" i="4"/>
  <c r="U160" i="4"/>
  <c r="AC144" i="4"/>
  <c r="AF114" i="4"/>
  <c r="AF129" i="4" s="1"/>
  <c r="AD143" i="4"/>
  <c r="E114" i="4"/>
  <c r="E129" i="4" s="1"/>
  <c r="AG114" i="4"/>
  <c r="AG129" i="4" s="1"/>
  <c r="AF144" i="4"/>
  <c r="AD40" i="4"/>
  <c r="AJ144" i="4"/>
  <c r="AJ51" i="4"/>
  <c r="AJ66" i="4" s="1"/>
  <c r="H144" i="4"/>
  <c r="I114" i="4"/>
  <c r="I129" i="4" s="1"/>
  <c r="Y170" i="4"/>
  <c r="AF51" i="4"/>
  <c r="AF66" i="4" s="1"/>
  <c r="AI144" i="4"/>
  <c r="AI51" i="4"/>
  <c r="AI66" i="4" s="1"/>
  <c r="AE182" i="4"/>
  <c r="AE184" i="4" s="1"/>
  <c r="AE185" i="4" s="1"/>
  <c r="AD62" i="4"/>
  <c r="AE64" i="4"/>
  <c r="AD24" i="4"/>
  <c r="AD49" i="4"/>
  <c r="AE114" i="4"/>
  <c r="AB144" i="4"/>
  <c r="Q103" i="4"/>
  <c r="Q147" i="4"/>
  <c r="BE147" i="4" s="1"/>
  <c r="Q153" i="4"/>
  <c r="BE153" i="4" s="1"/>
  <c r="Z114" i="4"/>
  <c r="Z129" i="4" s="1"/>
  <c r="Q159" i="4"/>
  <c r="Z144" i="4"/>
  <c r="AB170" i="4"/>
  <c r="Q183" i="4"/>
  <c r="AA170" i="4"/>
  <c r="AC66" i="4"/>
  <c r="D140" i="4"/>
  <c r="D174" i="4"/>
  <c r="D175" i="4" s="1"/>
  <c r="O129" i="4"/>
  <c r="M170" i="4"/>
  <c r="P185" i="4"/>
  <c r="P160" i="4"/>
  <c r="D181" i="4"/>
  <c r="D134" i="4"/>
  <c r="Y184" i="4"/>
  <c r="Y185" i="4" s="1"/>
  <c r="Q140" i="4"/>
  <c r="S114" i="4"/>
  <c r="S129" i="4" s="1"/>
  <c r="R50" i="4"/>
  <c r="W51" i="4"/>
  <c r="W66" i="4" s="1"/>
  <c r="S50" i="4"/>
  <c r="S51" i="4" s="1"/>
  <c r="S66" i="4" s="1"/>
  <c r="Q49" i="4"/>
  <c r="X114" i="4"/>
  <c r="X129" i="4" s="1"/>
  <c r="X144" i="4"/>
  <c r="R114" i="4"/>
  <c r="Q113" i="4"/>
  <c r="Y144" i="4"/>
  <c r="Q24" i="4"/>
  <c r="R182" i="4"/>
  <c r="R184" i="4" s="1"/>
  <c r="R185" i="4" s="1"/>
  <c r="Q62" i="4"/>
  <c r="R64" i="4"/>
  <c r="W184" i="4"/>
  <c r="W185" i="4" s="1"/>
  <c r="D159" i="4"/>
  <c r="D166" i="4"/>
  <c r="K144" i="4"/>
  <c r="K170" i="4"/>
  <c r="D156" i="4"/>
  <c r="O185" i="4"/>
  <c r="F51" i="4"/>
  <c r="F66" i="4" s="1"/>
  <c r="D137" i="4"/>
  <c r="N160" i="4"/>
  <c r="J160" i="4"/>
  <c r="F144" i="4"/>
  <c r="G160" i="4"/>
  <c r="F160" i="4"/>
  <c r="H160" i="4"/>
  <c r="O160" i="4"/>
  <c r="P170" i="4"/>
  <c r="J51" i="4"/>
  <c r="J66" i="4" s="1"/>
  <c r="O170" i="4"/>
  <c r="D147" i="4"/>
  <c r="D143" i="4"/>
  <c r="M185" i="4"/>
  <c r="G144" i="4"/>
  <c r="O144" i="4"/>
  <c r="D150" i="4"/>
  <c r="P144" i="4"/>
  <c r="M144" i="4"/>
  <c r="L51" i="4"/>
  <c r="L66" i="4" s="1"/>
  <c r="D153" i="4"/>
  <c r="G185" i="4"/>
  <c r="D182" i="4"/>
  <c r="L160" i="4"/>
  <c r="E144" i="4"/>
  <c r="I51" i="4"/>
  <c r="I66" i="4" s="1"/>
  <c r="G51" i="4"/>
  <c r="G66" i="4" s="1"/>
  <c r="L144" i="4"/>
  <c r="L170" i="4"/>
  <c r="K160" i="4"/>
  <c r="E170" i="4"/>
  <c r="J170" i="4"/>
  <c r="N170" i="4"/>
  <c r="I160" i="4"/>
  <c r="N144" i="4"/>
  <c r="D113" i="4"/>
  <c r="E160" i="4"/>
  <c r="D87" i="4"/>
  <c r="H170" i="4"/>
  <c r="D178" i="4"/>
  <c r="D49" i="4"/>
  <c r="D128" i="4"/>
  <c r="I170" i="4"/>
  <c r="H51" i="4"/>
  <c r="H66" i="4" s="1"/>
  <c r="D169" i="4"/>
  <c r="D127" i="4"/>
  <c r="E178" i="4"/>
  <c r="E185" i="4" s="1"/>
  <c r="D24" i="4"/>
  <c r="D40" i="4"/>
  <c r="D103" i="4"/>
  <c r="I185" i="4"/>
  <c r="J184" i="4"/>
  <c r="J185" i="4" s="1"/>
  <c r="M160" i="4"/>
  <c r="D118" i="4"/>
  <c r="AQ118" i="4" s="1"/>
  <c r="K51" i="4"/>
  <c r="K66" i="4" s="1"/>
  <c r="E50" i="4"/>
  <c r="BF175" i="2"/>
  <c r="G187" i="3"/>
  <c r="H172" i="3"/>
  <c r="H187" i="3" s="1"/>
  <c r="M115" i="3"/>
  <c r="M130" i="3" s="1"/>
  <c r="I172" i="3"/>
  <c r="I187" i="3" s="1"/>
  <c r="H52" i="3"/>
  <c r="H67" i="3" s="1"/>
  <c r="F172" i="3"/>
  <c r="F187" i="3" s="1"/>
  <c r="J115" i="3"/>
  <c r="J130" i="3" s="1"/>
  <c r="G52" i="3"/>
  <c r="G67" i="3" s="1"/>
  <c r="O115" i="3"/>
  <c r="O130" i="3" s="1"/>
  <c r="O172" i="3"/>
  <c r="O187" i="3" s="1"/>
  <c r="N172" i="3"/>
  <c r="N187" i="3" s="1"/>
  <c r="M172" i="3"/>
  <c r="M187" i="3" s="1"/>
  <c r="L172" i="3"/>
  <c r="L187" i="3" s="1"/>
  <c r="K172" i="3"/>
  <c r="K187" i="3" s="1"/>
  <c r="J172" i="3"/>
  <c r="J187" i="3" s="1"/>
  <c r="E187" i="3"/>
  <c r="I115" i="3"/>
  <c r="I130" i="3" s="1"/>
  <c r="H115" i="3"/>
  <c r="H130" i="3" s="1"/>
  <c r="G115" i="3"/>
  <c r="G130" i="3" s="1"/>
  <c r="P88" i="3"/>
  <c r="F130" i="3"/>
  <c r="N52" i="3"/>
  <c r="O52" i="3"/>
  <c r="O67" i="3" s="1"/>
  <c r="D129" i="3"/>
  <c r="P129" i="3" s="1"/>
  <c r="P128" i="3"/>
  <c r="N67" i="3"/>
  <c r="P41" i="3"/>
  <c r="D184" i="3"/>
  <c r="P64" i="3"/>
  <c r="P184" i="3" s="1"/>
  <c r="P25" i="3"/>
  <c r="D183" i="3"/>
  <c r="P63" i="3"/>
  <c r="P183" i="3" s="1"/>
  <c r="P185" i="3" s="1"/>
  <c r="P186" i="3" s="1"/>
  <c r="P187" i="3" s="1"/>
  <c r="M67" i="3"/>
  <c r="P114" i="3"/>
  <c r="J52" i="3"/>
  <c r="J67" i="3" s="1"/>
  <c r="K52" i="3"/>
  <c r="K67" i="3" s="1"/>
  <c r="D115" i="3"/>
  <c r="P104" i="3"/>
  <c r="R40" i="1"/>
  <c r="AB112" i="1"/>
  <c r="T185" i="1"/>
  <c r="K103" i="1"/>
  <c r="AE144" i="1"/>
  <c r="V24" i="1"/>
  <c r="S144" i="1"/>
  <c r="AI103" i="1"/>
  <c r="AJ103" i="1" s="1"/>
  <c r="Q118" i="1"/>
  <c r="AE170" i="1"/>
  <c r="AE171" i="1" s="1"/>
  <c r="AD144" i="1"/>
  <c r="Z160" i="1"/>
  <c r="L114" i="1"/>
  <c r="L129" i="1" s="1"/>
  <c r="M87" i="1"/>
  <c r="N87" i="1" s="1"/>
  <c r="AF24" i="1"/>
  <c r="AC103" i="1"/>
  <c r="AT45" i="2"/>
  <c r="AU45" i="2" s="1"/>
  <c r="Q104" i="2"/>
  <c r="BE42" i="2"/>
  <c r="BF42" i="2" s="1"/>
  <c r="AS115" i="2"/>
  <c r="CO52" i="2"/>
  <c r="CO67" i="2" s="1"/>
  <c r="BV44" i="2"/>
  <c r="BX44" i="2" s="1"/>
  <c r="I161" i="2"/>
  <c r="I172" i="2" s="1"/>
  <c r="BM129" i="2"/>
  <c r="BX25" i="2"/>
  <c r="O145" i="2"/>
  <c r="BA115" i="2"/>
  <c r="BA130" i="2" s="1"/>
  <c r="I145" i="2"/>
  <c r="CG186" i="2"/>
  <c r="AG129" i="2"/>
  <c r="CV115" i="2"/>
  <c r="CV130" i="2" s="1"/>
  <c r="CD161" i="2"/>
  <c r="BD186" i="2"/>
  <c r="BF186" i="2" s="1"/>
  <c r="BW115" i="2"/>
  <c r="BM43" i="2"/>
  <c r="CJ41" i="2"/>
  <c r="I130" i="2"/>
  <c r="CE41" i="2"/>
  <c r="D186" i="2"/>
  <c r="BN43" i="2"/>
  <c r="AA145" i="2"/>
  <c r="X129" i="2"/>
  <c r="Y129" i="2" s="1"/>
  <c r="AF28" i="2"/>
  <c r="BP43" i="2"/>
  <c r="BQ43" i="2" s="1"/>
  <c r="CL88" i="2"/>
  <c r="CM88" i="2" s="1"/>
  <c r="CU25" i="2"/>
  <c r="CC161" i="2"/>
  <c r="CA25" i="2"/>
  <c r="CB25" i="2" s="1"/>
  <c r="T52" i="2"/>
  <c r="T67" i="2" s="1"/>
  <c r="AO145" i="2"/>
  <c r="L145" i="2"/>
  <c r="CO170" i="2"/>
  <c r="CO171" i="2" s="1"/>
  <c r="AI129" i="2"/>
  <c r="AJ129" i="2" s="1"/>
  <c r="DC161" i="2"/>
  <c r="DD161" i="2"/>
  <c r="CI66" i="2"/>
  <c r="AR45" i="2"/>
  <c r="AQ45" i="2"/>
  <c r="AL161" i="2"/>
  <c r="U129" i="2"/>
  <c r="AP186" i="2"/>
  <c r="T186" i="2"/>
  <c r="P186" i="2"/>
  <c r="AD47" i="2"/>
  <c r="AF47" i="2" s="1"/>
  <c r="Q44" i="2"/>
  <c r="BV162" i="2"/>
  <c r="P171" i="2"/>
  <c r="BY42" i="2"/>
  <c r="BR161" i="2"/>
  <c r="AX44" i="2"/>
  <c r="AP145" i="2"/>
  <c r="BG145" i="2"/>
  <c r="D164" i="2"/>
  <c r="CK186" i="2"/>
  <c r="CM186" i="2" s="1"/>
  <c r="AY59" i="2"/>
  <c r="V25" i="2"/>
  <c r="CY164" i="2"/>
  <c r="CY171" i="2" s="1"/>
  <c r="CR186" i="2"/>
  <c r="CS145" i="2"/>
  <c r="BA161" i="2"/>
  <c r="DF46" i="2"/>
  <c r="BI44" i="2"/>
  <c r="O161" i="2"/>
  <c r="DH66" i="2"/>
  <c r="DI66" i="2" s="1"/>
  <c r="N175" i="2"/>
  <c r="BF185" i="2"/>
  <c r="AM25" i="2"/>
  <c r="AW170" i="2"/>
  <c r="AW171" i="2" s="1"/>
  <c r="AY104" i="2"/>
  <c r="I186" i="2"/>
  <c r="AA186" i="2"/>
  <c r="CG161" i="2"/>
  <c r="AQ65" i="2"/>
  <c r="BY25" i="2"/>
  <c r="AZ115" i="2"/>
  <c r="CN145" i="2"/>
  <c r="CS171" i="2"/>
  <c r="BP59" i="2"/>
  <c r="BQ59" i="2" s="1"/>
  <c r="H179" i="2"/>
  <c r="H186" i="2" s="1"/>
  <c r="BV145" i="2"/>
  <c r="AE171" i="2"/>
  <c r="AE172" i="2" s="1"/>
  <c r="DF43" i="2"/>
  <c r="AZ186" i="2"/>
  <c r="BS161" i="2"/>
  <c r="P135" i="2"/>
  <c r="P145" i="2" s="1"/>
  <c r="CN161" i="2"/>
  <c r="AK66" i="2"/>
  <c r="AN66" i="2" s="1"/>
  <c r="AR65" i="2"/>
  <c r="BH170" i="2"/>
  <c r="BH171" i="2" s="1"/>
  <c r="AV51" i="2"/>
  <c r="AY51" i="2" s="1"/>
  <c r="U65" i="2"/>
  <c r="BG185" i="2"/>
  <c r="CH145" i="2"/>
  <c r="I171" i="2"/>
  <c r="E161" i="2"/>
  <c r="V65" i="2"/>
  <c r="CN164" i="2"/>
  <c r="CN171" i="2" s="1"/>
  <c r="DG115" i="2"/>
  <c r="DG130" i="2" s="1"/>
  <c r="BH138" i="2"/>
  <c r="AA161" i="2"/>
  <c r="AW52" i="2"/>
  <c r="AW67" i="2" s="1"/>
  <c r="M59" i="2"/>
  <c r="N59" i="2" s="1"/>
  <c r="CQ50" i="2"/>
  <c r="CW119" i="2"/>
  <c r="CX119" i="2" s="1"/>
  <c r="Z52" i="2"/>
  <c r="DA50" i="2"/>
  <c r="BX46" i="2"/>
  <c r="AX25" i="2"/>
  <c r="J104" i="2"/>
  <c r="M104" i="2"/>
  <c r="N104" i="2" s="1"/>
  <c r="AI66" i="2"/>
  <c r="AJ66" i="2" s="1"/>
  <c r="H145" i="2"/>
  <c r="G114" i="2"/>
  <c r="D171" i="2"/>
  <c r="L171" i="2"/>
  <c r="N171" i="2" s="1"/>
  <c r="CZ170" i="2"/>
  <c r="CZ171" i="2" s="1"/>
  <c r="BL130" i="2"/>
  <c r="S161" i="2"/>
  <c r="BW52" i="2"/>
  <c r="BB28" i="2"/>
  <c r="DE43" i="2"/>
  <c r="BN129" i="2"/>
  <c r="CU119" i="2"/>
  <c r="CT25" i="2"/>
  <c r="BG51" i="2"/>
  <c r="BJ51" i="2" s="1"/>
  <c r="D161" i="2"/>
  <c r="AS52" i="2"/>
  <c r="AS67" i="2" s="1"/>
  <c r="AD161" i="2"/>
  <c r="AP161" i="2"/>
  <c r="J114" i="2"/>
  <c r="BO145" i="2"/>
  <c r="BW145" i="2"/>
  <c r="BG161" i="2"/>
  <c r="AV145" i="2"/>
  <c r="AC113" i="2"/>
  <c r="CD52" i="2"/>
  <c r="CD67" i="2" s="1"/>
  <c r="AW88" i="2"/>
  <c r="AX88" i="2" s="1"/>
  <c r="BX42" i="2"/>
  <c r="BK164" i="2"/>
  <c r="AZ145" i="2"/>
  <c r="BL171" i="2"/>
  <c r="AD145" i="2"/>
  <c r="CH161" i="2"/>
  <c r="AC112" i="1"/>
  <c r="AF55" i="1"/>
  <c r="O170" i="1"/>
  <c r="V103" i="1"/>
  <c r="P51" i="1"/>
  <c r="P66" i="1" s="1"/>
  <c r="P185" i="1"/>
  <c r="F64" i="1"/>
  <c r="J87" i="1"/>
  <c r="AA51" i="1"/>
  <c r="AA66" i="1" s="1"/>
  <c r="P144" i="1"/>
  <c r="S185" i="1"/>
  <c r="H144" i="1"/>
  <c r="I185" i="1"/>
  <c r="G40" i="1"/>
  <c r="P87" i="1"/>
  <c r="R87" i="1" s="1"/>
  <c r="AA144" i="1"/>
  <c r="AB55" i="1"/>
  <c r="AD160" i="1"/>
  <c r="AE160" i="1"/>
  <c r="AF103" i="1"/>
  <c r="V27" i="1"/>
  <c r="AG27" i="1"/>
  <c r="T51" i="1"/>
  <c r="T66" i="1" s="1"/>
  <c r="P170" i="1"/>
  <c r="AE114" i="1"/>
  <c r="AE129" i="1" s="1"/>
  <c r="R112" i="1"/>
  <c r="AG103" i="1"/>
  <c r="AB103" i="1"/>
  <c r="U55" i="1"/>
  <c r="X113" i="1"/>
  <c r="Y113" i="1" s="1"/>
  <c r="W144" i="1"/>
  <c r="F24" i="1"/>
  <c r="M103" i="1"/>
  <c r="N103" i="1" s="1"/>
  <c r="AG118" i="1"/>
  <c r="AE51" i="1"/>
  <c r="AH114" i="1"/>
  <c r="AH129" i="1" s="1"/>
  <c r="K87" i="1"/>
  <c r="E87" i="1"/>
  <c r="F87" i="1" s="1"/>
  <c r="U27" i="1"/>
  <c r="J40" i="1"/>
  <c r="G77" i="1"/>
  <c r="Q40" i="1"/>
  <c r="AH144" i="1"/>
  <c r="U103" i="1"/>
  <c r="AG24" i="1"/>
  <c r="AC77" i="1"/>
  <c r="AH51" i="1"/>
  <c r="AH66" i="1" s="1"/>
  <c r="O160" i="1"/>
  <c r="O171" i="1" s="1"/>
  <c r="O186" i="1" s="1"/>
  <c r="Q77" i="1"/>
  <c r="AH170" i="1"/>
  <c r="AJ170" i="1" s="1"/>
  <c r="X103" i="1"/>
  <c r="Y103" i="1" s="1"/>
  <c r="AE185" i="1"/>
  <c r="O184" i="1"/>
  <c r="O185" i="1" s="1"/>
  <c r="E160" i="1"/>
  <c r="K128" i="1"/>
  <c r="T144" i="1"/>
  <c r="AA87" i="1"/>
  <c r="AA114" i="1" s="1"/>
  <c r="R55" i="1"/>
  <c r="Q112" i="1"/>
  <c r="Z144" i="1"/>
  <c r="CJ66" i="2"/>
  <c r="CI42" i="2"/>
  <c r="BB56" i="2"/>
  <c r="BZ52" i="2"/>
  <c r="BZ67" i="2" s="1"/>
  <c r="CZ161" i="2"/>
  <c r="CL42" i="2"/>
  <c r="CM42" i="2" s="1"/>
  <c r="CJ65" i="2"/>
  <c r="AE185" i="2"/>
  <c r="AE186" i="2" s="1"/>
  <c r="E185" i="2"/>
  <c r="E186" i="2" s="1"/>
  <c r="AF45" i="2"/>
  <c r="AP171" i="2"/>
  <c r="BB104" i="2"/>
  <c r="DD171" i="2"/>
  <c r="BA145" i="2"/>
  <c r="AS130" i="2"/>
  <c r="P161" i="2"/>
  <c r="CO161" i="2"/>
  <c r="O179" i="2"/>
  <c r="O186" i="2" s="1"/>
  <c r="W186" i="2"/>
  <c r="Y186" i="2" s="1"/>
  <c r="AG28" i="2"/>
  <c r="AD165" i="2"/>
  <c r="BA52" i="2"/>
  <c r="BE104" i="2"/>
  <c r="BF104" i="2" s="1"/>
  <c r="CM185" i="2"/>
  <c r="CC164" i="2"/>
  <c r="CC171" i="2" s="1"/>
  <c r="AK145" i="2"/>
  <c r="AX50" i="2"/>
  <c r="BB129" i="2"/>
  <c r="CL66" i="2"/>
  <c r="CM66" i="2" s="1"/>
  <c r="DB50" i="2"/>
  <c r="T161" i="2"/>
  <c r="T172" i="2" s="1"/>
  <c r="I52" i="2"/>
  <c r="AT114" i="2"/>
  <c r="AU114" i="2" s="1"/>
  <c r="AQ114" i="2"/>
  <c r="CZ52" i="2"/>
  <c r="CZ67" i="2" s="1"/>
  <c r="CH52" i="2"/>
  <c r="CH67" i="2" s="1"/>
  <c r="DG52" i="2"/>
  <c r="DG67" i="2" s="1"/>
  <c r="BM59" i="2"/>
  <c r="D145" i="2"/>
  <c r="CK115" i="2"/>
  <c r="CK130" i="2" s="1"/>
  <c r="D115" i="2"/>
  <c r="D130" i="2" s="1"/>
  <c r="K104" i="2"/>
  <c r="AY50" i="2"/>
  <c r="AC44" i="2"/>
  <c r="CA46" i="2"/>
  <c r="CB46" i="2" s="1"/>
  <c r="CI88" i="2"/>
  <c r="CE25" i="2"/>
  <c r="AV161" i="2"/>
  <c r="BW161" i="2"/>
  <c r="AD186" i="2"/>
  <c r="K114" i="2"/>
  <c r="F91" i="2"/>
  <c r="AR28" i="2"/>
  <c r="BE129" i="2"/>
  <c r="BF129" i="2" s="1"/>
  <c r="DD52" i="2"/>
  <c r="CY161" i="2"/>
  <c r="BA186" i="2"/>
  <c r="BV161" i="2"/>
  <c r="DG171" i="2"/>
  <c r="DI171" i="2" s="1"/>
  <c r="DC186" i="2"/>
  <c r="H161" i="2"/>
  <c r="Z161" i="2"/>
  <c r="CZ88" i="2"/>
  <c r="DA88" i="2" s="1"/>
  <c r="CK52" i="2"/>
  <c r="CK67" i="2" s="1"/>
  <c r="E135" i="2"/>
  <c r="E145" i="2" s="1"/>
  <c r="AE161" i="2"/>
  <c r="DD115" i="2"/>
  <c r="DD130" i="2" s="1"/>
  <c r="CC145" i="2"/>
  <c r="AT129" i="2"/>
  <c r="AU129" i="2" s="1"/>
  <c r="H115" i="2"/>
  <c r="H130" i="2" s="1"/>
  <c r="BC28" i="2"/>
  <c r="BC42" i="2"/>
  <c r="CK171" i="2"/>
  <c r="CM171" i="2" s="1"/>
  <c r="CR145" i="2"/>
  <c r="CH171" i="2"/>
  <c r="DH43" i="2"/>
  <c r="DI43" i="2" s="1"/>
  <c r="BH161" i="2"/>
  <c r="W145" i="2"/>
  <c r="E52" i="2"/>
  <c r="E67" i="2" s="1"/>
  <c r="F119" i="2"/>
  <c r="U59" i="2"/>
  <c r="N138" i="2"/>
  <c r="AA171" i="2"/>
  <c r="AA172" i="2" s="1"/>
  <c r="AO161" i="2"/>
  <c r="BL185" i="2"/>
  <c r="BL186" i="2" s="1"/>
  <c r="CQ128" i="2"/>
  <c r="CF114" i="2"/>
  <c r="CF41" i="2"/>
  <c r="BU51" i="2"/>
  <c r="X41" i="2"/>
  <c r="Y41" i="2" s="1"/>
  <c r="V41" i="2"/>
  <c r="AN25" i="2"/>
  <c r="AM113" i="2"/>
  <c r="AY41" i="2"/>
  <c r="CS115" i="2"/>
  <c r="CS130" i="2" s="1"/>
  <c r="BO161" i="2"/>
  <c r="BQ161" i="2" s="1"/>
  <c r="CI65" i="2"/>
  <c r="CR161" i="2"/>
  <c r="AL185" i="2"/>
  <c r="AL186" i="2" s="1"/>
  <c r="BL161" i="2"/>
  <c r="CB175" i="2"/>
  <c r="AW161" i="2"/>
  <c r="AQ28" i="2"/>
  <c r="CY185" i="2"/>
  <c r="CJ42" i="2"/>
  <c r="BS186" i="2"/>
  <c r="AL88" i="2"/>
  <c r="AL115" i="2" s="1"/>
  <c r="AL130" i="2" s="1"/>
  <c r="CS161" i="2"/>
  <c r="L115" i="2"/>
  <c r="L130" i="2" s="1"/>
  <c r="DD145" i="2"/>
  <c r="CD170" i="2"/>
  <c r="CD171" i="2" s="1"/>
  <c r="BG171" i="2"/>
  <c r="AL138" i="2"/>
  <c r="AL145" i="2" s="1"/>
  <c r="CA41" i="2"/>
  <c r="CB41" i="2" s="1"/>
  <c r="BH52" i="2"/>
  <c r="BH67" i="2" s="1"/>
  <c r="AB113" i="2"/>
  <c r="BW130" i="2"/>
  <c r="D65" i="3"/>
  <c r="P65" i="3" s="1"/>
  <c r="E52" i="3"/>
  <c r="D145" i="3"/>
  <c r="D179" i="3"/>
  <c r="D161" i="3"/>
  <c r="L52" i="3"/>
  <c r="L67" i="3" s="1"/>
  <c r="L115" i="3"/>
  <c r="L130" i="3" s="1"/>
  <c r="D164" i="3"/>
  <c r="D171" i="3" s="1"/>
  <c r="D51" i="3"/>
  <c r="P51" i="3" s="1"/>
  <c r="X42" i="2"/>
  <c r="Y42" i="2" s="1"/>
  <c r="S162" i="2"/>
  <c r="U42" i="2"/>
  <c r="L161" i="2"/>
  <c r="BD171" i="2"/>
  <c r="AU135" i="2"/>
  <c r="AS145" i="2"/>
  <c r="AK171" i="2"/>
  <c r="CJ88" i="2"/>
  <c r="AH115" i="2"/>
  <c r="AH130" i="2" s="1"/>
  <c r="CG44" i="2"/>
  <c r="CL44" i="2" s="1"/>
  <c r="CM44" i="2" s="1"/>
  <c r="S47" i="2"/>
  <c r="U47" i="2" s="1"/>
  <c r="F114" i="2"/>
  <c r="CH115" i="2"/>
  <c r="CH130" i="2" s="1"/>
  <c r="CV52" i="2"/>
  <c r="CV67" i="2" s="1"/>
  <c r="K28" i="2"/>
  <c r="M28" i="2"/>
  <c r="N28" i="2" s="1"/>
  <c r="F104" i="2"/>
  <c r="AG65" i="2"/>
  <c r="L52" i="2"/>
  <c r="L67" i="2" s="1"/>
  <c r="AW145" i="2"/>
  <c r="BO171" i="2"/>
  <c r="BH114" i="2"/>
  <c r="BJ114" i="2" s="1"/>
  <c r="BL52" i="2"/>
  <c r="BL67" i="2" s="1"/>
  <c r="CO138" i="2"/>
  <c r="CO145" i="2" s="1"/>
  <c r="CL43" i="2"/>
  <c r="CM43" i="2" s="1"/>
  <c r="W161" i="2"/>
  <c r="Y161" i="2" s="1"/>
  <c r="X45" i="2"/>
  <c r="Y45" i="2" s="1"/>
  <c r="R113" i="2"/>
  <c r="J59" i="2"/>
  <c r="AW186" i="2"/>
  <c r="CS186" i="2"/>
  <c r="BW185" i="2"/>
  <c r="BW186" i="2" s="1"/>
  <c r="CS66" i="2"/>
  <c r="CU66" i="2" s="1"/>
  <c r="CG163" i="2"/>
  <c r="CG164" i="2" s="1"/>
  <c r="DA78" i="2"/>
  <c r="P114" i="2"/>
  <c r="R114" i="2" s="1"/>
  <c r="G104" i="2"/>
  <c r="K59" i="2"/>
  <c r="AR129" i="2"/>
  <c r="AQ42" i="2"/>
  <c r="AM65" i="2"/>
  <c r="AX104" i="2"/>
  <c r="CF81" i="2"/>
  <c r="CS52" i="2"/>
  <c r="DG161" i="2"/>
  <c r="DI161" i="2" s="1"/>
  <c r="BV166" i="2"/>
  <c r="BV167" i="2" s="1"/>
  <c r="AI46" i="2"/>
  <c r="AJ46" i="2" s="1"/>
  <c r="AF46" i="2"/>
  <c r="AD166" i="2"/>
  <c r="CC179" i="2"/>
  <c r="CC186" i="2" s="1"/>
  <c r="S44" i="2"/>
  <c r="X44" i="2" s="1"/>
  <c r="Y44" i="2" s="1"/>
  <c r="E170" i="2"/>
  <c r="E171" i="2" s="1"/>
  <c r="E172" i="2" s="1"/>
  <c r="W115" i="2"/>
  <c r="W130" i="2" s="1"/>
  <c r="Z164" i="2"/>
  <c r="Z171" i="2" s="1"/>
  <c r="AH161" i="2"/>
  <c r="AJ161" i="2" s="1"/>
  <c r="AO162" i="2"/>
  <c r="AN65" i="2"/>
  <c r="CG145" i="2"/>
  <c r="DA119" i="2"/>
  <c r="BU81" i="2"/>
  <c r="CZ138" i="2"/>
  <c r="CZ145" i="2" s="1"/>
  <c r="BV47" i="2"/>
  <c r="CA47" i="2" s="1"/>
  <c r="CB47" i="2" s="1"/>
  <c r="AV66" i="2"/>
  <c r="AG66" i="2"/>
  <c r="AM119" i="2"/>
  <c r="J45" i="2"/>
  <c r="AP115" i="2"/>
  <c r="AP130" i="2" s="1"/>
  <c r="BA171" i="2"/>
  <c r="BZ115" i="2"/>
  <c r="BZ130" i="2" s="1"/>
  <c r="DD186" i="2"/>
  <c r="V59" i="2"/>
  <c r="W171" i="2"/>
  <c r="U41" i="2"/>
  <c r="H165" i="2"/>
  <c r="AQ104" i="2"/>
  <c r="CZ186" i="2"/>
  <c r="Q91" i="2"/>
  <c r="S165" i="2"/>
  <c r="K45" i="2"/>
  <c r="AF65" i="2"/>
  <c r="AH52" i="2"/>
  <c r="AH67" i="2" s="1"/>
  <c r="AN59" i="2"/>
  <c r="AN113" i="2"/>
  <c r="AX119" i="2"/>
  <c r="BE56" i="2"/>
  <c r="BF56" i="2" s="1"/>
  <c r="BO186" i="2"/>
  <c r="BQ186" i="2" s="1"/>
  <c r="BT50" i="2"/>
  <c r="BX41" i="2"/>
  <c r="AZ44" i="2"/>
  <c r="BB42" i="2"/>
  <c r="AT104" i="2"/>
  <c r="AU104" i="2" s="1"/>
  <c r="X25" i="2"/>
  <c r="Y25" i="2" s="1"/>
  <c r="CI43" i="2"/>
  <c r="AO179" i="2"/>
  <c r="AO186" i="2" s="1"/>
  <c r="AY56" i="2"/>
  <c r="AX56" i="2"/>
  <c r="G113" i="2"/>
  <c r="Y175" i="2"/>
  <c r="BJ113" i="2"/>
  <c r="F59" i="2"/>
  <c r="V45" i="2"/>
  <c r="AP52" i="2"/>
  <c r="AP67" i="2" s="1"/>
  <c r="AR42" i="2"/>
  <c r="CQ56" i="2"/>
  <c r="BY41" i="2"/>
  <c r="R119" i="2"/>
  <c r="Q119" i="2"/>
  <c r="DA81" i="2"/>
  <c r="DB78" i="2"/>
  <c r="AN56" i="2"/>
  <c r="AM56" i="2"/>
  <c r="BE114" i="2"/>
  <c r="BF114" i="2" s="1"/>
  <c r="AM81" i="2"/>
  <c r="AZ161" i="2"/>
  <c r="BQ175" i="2"/>
  <c r="DI170" i="2"/>
  <c r="BH135" i="2"/>
  <c r="BH145" i="2" s="1"/>
  <c r="F113" i="2"/>
  <c r="Z186" i="2"/>
  <c r="AC78" i="2"/>
  <c r="AL171" i="2"/>
  <c r="Q78" i="2"/>
  <c r="S66" i="2"/>
  <c r="U66" i="2" s="1"/>
  <c r="AF66" i="2"/>
  <c r="AO44" i="2"/>
  <c r="AR44" i="2" s="1"/>
  <c r="AX81" i="2"/>
  <c r="DG145" i="2"/>
  <c r="CW114" i="2"/>
  <c r="CX114" i="2" s="1"/>
  <c r="CO186" i="2"/>
  <c r="BK161" i="2"/>
  <c r="DE46" i="2"/>
  <c r="DH46" i="2"/>
  <c r="DI46" i="2" s="1"/>
  <c r="AS161" i="2"/>
  <c r="AU161" i="2" s="1"/>
  <c r="CH185" i="2"/>
  <c r="CH186" i="2" s="1"/>
  <c r="BK145" i="2"/>
  <c r="CP50" i="2"/>
  <c r="CF59" i="2"/>
  <c r="CE59" i="2"/>
  <c r="BJ66" i="2"/>
  <c r="BI66" i="2"/>
  <c r="CF51" i="2"/>
  <c r="CE51" i="2"/>
  <c r="CC52" i="2"/>
  <c r="DB41" i="2"/>
  <c r="DA41" i="2"/>
  <c r="CQ104" i="2"/>
  <c r="CP104" i="2"/>
  <c r="CN115" i="2"/>
  <c r="BN114" i="2"/>
  <c r="BK115" i="2"/>
  <c r="BM114" i="2"/>
  <c r="BP114" i="2"/>
  <c r="BQ114" i="2" s="1"/>
  <c r="BR129" i="2"/>
  <c r="BT128" i="2"/>
  <c r="BU128" i="2"/>
  <c r="CW129" i="2"/>
  <c r="CX129" i="2" s="1"/>
  <c r="CU129" i="2"/>
  <c r="CT129" i="2"/>
  <c r="DI185" i="2"/>
  <c r="DG186" i="2"/>
  <c r="DI186" i="2" s="1"/>
  <c r="BZ161" i="2"/>
  <c r="CB161" i="2" s="1"/>
  <c r="DE104" i="2"/>
  <c r="DH104" i="2"/>
  <c r="DI104" i="2" s="1"/>
  <c r="DF104" i="2"/>
  <c r="BH185" i="2"/>
  <c r="BH186" i="2" s="1"/>
  <c r="CD185" i="2"/>
  <c r="CD186" i="2" s="1"/>
  <c r="BS170" i="2"/>
  <c r="BS171" i="2" s="1"/>
  <c r="BI104" i="2"/>
  <c r="BJ104" i="2"/>
  <c r="CW104" i="2"/>
  <c r="CX104" i="2" s="1"/>
  <c r="CU104" i="2"/>
  <c r="CR115" i="2"/>
  <c r="CT104" i="2"/>
  <c r="CG166" i="2"/>
  <c r="CL46" i="2"/>
  <c r="CM46" i="2" s="1"/>
  <c r="CJ46" i="2"/>
  <c r="CI46" i="2"/>
  <c r="BI65" i="2"/>
  <c r="CK145" i="2"/>
  <c r="CM135" i="2"/>
  <c r="CI28" i="2"/>
  <c r="CL28" i="2"/>
  <c r="CM28" i="2" s="1"/>
  <c r="CJ28" i="2"/>
  <c r="CC66" i="2"/>
  <c r="CF65" i="2"/>
  <c r="CE65" i="2"/>
  <c r="CQ81" i="2"/>
  <c r="CP81" i="2"/>
  <c r="BM28" i="2"/>
  <c r="BP28" i="2"/>
  <c r="BQ28" i="2" s="1"/>
  <c r="BN28" i="2"/>
  <c r="DI175" i="2"/>
  <c r="DG176" i="2"/>
  <c r="DI176" i="2" s="1"/>
  <c r="CX135" i="2"/>
  <c r="CV145" i="2"/>
  <c r="BP56" i="2"/>
  <c r="BQ56" i="2" s="1"/>
  <c r="BN56" i="2"/>
  <c r="BM56" i="2"/>
  <c r="BS52" i="2"/>
  <c r="BS67" i="2" s="1"/>
  <c r="BT51" i="2"/>
  <c r="BJ65" i="2"/>
  <c r="CJ56" i="2"/>
  <c r="CI56" i="2"/>
  <c r="CL56" i="2"/>
  <c r="CM56" i="2" s="1"/>
  <c r="DC115" i="2"/>
  <c r="DE114" i="2"/>
  <c r="DH114" i="2"/>
  <c r="DI114" i="2" s="1"/>
  <c r="DF114" i="2"/>
  <c r="DB44" i="2"/>
  <c r="DA44" i="2"/>
  <c r="CY51" i="2"/>
  <c r="BY129" i="2"/>
  <c r="BX129" i="2"/>
  <c r="CA129" i="2"/>
  <c r="CB129" i="2" s="1"/>
  <c r="CG165" i="2"/>
  <c r="CL45" i="2"/>
  <c r="CM45" i="2" s="1"/>
  <c r="CJ45" i="2"/>
  <c r="CI45" i="2"/>
  <c r="CG47" i="2"/>
  <c r="CX185" i="2"/>
  <c r="CV186" i="2"/>
  <c r="CX186" i="2" s="1"/>
  <c r="DH129" i="2"/>
  <c r="DI129" i="2" s="1"/>
  <c r="DF129" i="2"/>
  <c r="DE129" i="2"/>
  <c r="CZ114" i="2"/>
  <c r="DB113" i="2"/>
  <c r="DA113" i="2"/>
  <c r="DA65" i="2"/>
  <c r="DB65" i="2"/>
  <c r="CY66" i="2"/>
  <c r="DB59" i="2"/>
  <c r="DA59" i="2"/>
  <c r="CQ41" i="2"/>
  <c r="CP41" i="2"/>
  <c r="CB135" i="2"/>
  <c r="BZ145" i="2"/>
  <c r="BR185" i="2"/>
  <c r="DH41" i="2"/>
  <c r="DI41" i="2" s="1"/>
  <c r="DF41" i="2"/>
  <c r="DE41" i="2"/>
  <c r="CI104" i="2"/>
  <c r="CJ104" i="2"/>
  <c r="CL104" i="2"/>
  <c r="CM104" i="2" s="1"/>
  <c r="BS145" i="2"/>
  <c r="DC162" i="2"/>
  <c r="DC164" i="2" s="1"/>
  <c r="DC44" i="2"/>
  <c r="DH42" i="2"/>
  <c r="DI42" i="2" s="1"/>
  <c r="DF42" i="2"/>
  <c r="DE42" i="2"/>
  <c r="CD88" i="2"/>
  <c r="CD115" i="2" s="1"/>
  <c r="CF78" i="2"/>
  <c r="CE78" i="2"/>
  <c r="BT25" i="2"/>
  <c r="BU25" i="2"/>
  <c r="BK165" i="2"/>
  <c r="BK167" i="2" s="1"/>
  <c r="BM45" i="2"/>
  <c r="BP45" i="2"/>
  <c r="BQ45" i="2" s="1"/>
  <c r="BN45" i="2"/>
  <c r="BK47" i="2"/>
  <c r="BZ186" i="2"/>
  <c r="CB186" i="2" s="1"/>
  <c r="CU88" i="2"/>
  <c r="CT88" i="2"/>
  <c r="CW88" i="2"/>
  <c r="CX88" i="2" s="1"/>
  <c r="CR162" i="2"/>
  <c r="CW42" i="2"/>
  <c r="CX42" i="2" s="1"/>
  <c r="CU42" i="2"/>
  <c r="CR44" i="2"/>
  <c r="CT42" i="2"/>
  <c r="BU91" i="2"/>
  <c r="BT91" i="2"/>
  <c r="BG186" i="2"/>
  <c r="BT65" i="2"/>
  <c r="BU65" i="2"/>
  <c r="BR66" i="2"/>
  <c r="CR165" i="2"/>
  <c r="CU45" i="2"/>
  <c r="CW45" i="2"/>
  <c r="CX45" i="2" s="1"/>
  <c r="CT45" i="2"/>
  <c r="CR47" i="2"/>
  <c r="CQ65" i="2"/>
  <c r="CP65" i="2"/>
  <c r="CN66" i="2"/>
  <c r="DE56" i="2"/>
  <c r="DH56" i="2"/>
  <c r="DI56" i="2" s="1"/>
  <c r="DF56" i="2"/>
  <c r="BJ25" i="2"/>
  <c r="BI25" i="2"/>
  <c r="BP88" i="2"/>
  <c r="BQ88" i="2" s="1"/>
  <c r="BM88" i="2"/>
  <c r="BN88" i="2"/>
  <c r="BY59" i="2"/>
  <c r="CA59" i="2"/>
  <c r="CB59" i="2" s="1"/>
  <c r="BX59" i="2"/>
  <c r="CQ59" i="2"/>
  <c r="CP59" i="2"/>
  <c r="CD135" i="2"/>
  <c r="CD145" i="2" s="1"/>
  <c r="CU28" i="2"/>
  <c r="CT28" i="2"/>
  <c r="CW28" i="2"/>
  <c r="CX28" i="2" s="1"/>
  <c r="CW41" i="2"/>
  <c r="CX41" i="2" s="1"/>
  <c r="CU41" i="2"/>
  <c r="CT41" i="2"/>
  <c r="CJ114" i="2"/>
  <c r="CI114" i="2"/>
  <c r="CL114" i="2"/>
  <c r="CM114" i="2" s="1"/>
  <c r="CG115" i="2"/>
  <c r="BX65" i="2"/>
  <c r="BY65" i="2"/>
  <c r="BW66" i="2"/>
  <c r="CN52" i="2"/>
  <c r="CP51" i="2"/>
  <c r="CQ51" i="2"/>
  <c r="CI25" i="2"/>
  <c r="CJ25" i="2"/>
  <c r="CL25" i="2"/>
  <c r="CM25" i="2" s="1"/>
  <c r="CX175" i="2"/>
  <c r="CV176" i="2"/>
  <c r="CX176" i="2" s="1"/>
  <c r="BJ78" i="2"/>
  <c r="BI78" i="2"/>
  <c r="BH88" i="2"/>
  <c r="BP41" i="2"/>
  <c r="BQ41" i="2" s="1"/>
  <c r="BN41" i="2"/>
  <c r="BM41" i="2"/>
  <c r="DC165" i="2"/>
  <c r="DC167" i="2" s="1"/>
  <c r="DC47" i="2"/>
  <c r="DH45" i="2"/>
  <c r="DI45" i="2" s="1"/>
  <c r="DE45" i="2"/>
  <c r="DF45" i="2"/>
  <c r="CJ119" i="2"/>
  <c r="CI119" i="2"/>
  <c r="CL119" i="2"/>
  <c r="CM119" i="2" s="1"/>
  <c r="BJ59" i="2"/>
  <c r="BI59" i="2"/>
  <c r="BJ119" i="2"/>
  <c r="BI119" i="2"/>
  <c r="DH28" i="2"/>
  <c r="DI28" i="2" s="1"/>
  <c r="DF28" i="2"/>
  <c r="DE28" i="2"/>
  <c r="CD129" i="2"/>
  <c r="CF128" i="2"/>
  <c r="CE128" i="2"/>
  <c r="BU113" i="2"/>
  <c r="BU41" i="2"/>
  <c r="BT41" i="2"/>
  <c r="BM44" i="2"/>
  <c r="BP44" i="2"/>
  <c r="BQ44" i="2" s="1"/>
  <c r="BN44" i="2"/>
  <c r="CX151" i="2"/>
  <c r="CV161" i="2"/>
  <c r="CX161" i="2" s="1"/>
  <c r="CQ119" i="2"/>
  <c r="CP119" i="2"/>
  <c r="CY179" i="2"/>
  <c r="CL129" i="2"/>
  <c r="CM129" i="2" s="1"/>
  <c r="CI129" i="2"/>
  <c r="CJ129" i="2"/>
  <c r="CF104" i="2"/>
  <c r="CE104" i="2"/>
  <c r="DF88" i="2"/>
  <c r="DE88" i="2"/>
  <c r="DH88" i="2"/>
  <c r="DI88" i="2" s="1"/>
  <c r="BY114" i="2"/>
  <c r="CA114" i="2"/>
  <c r="CB114" i="2" s="1"/>
  <c r="BV115" i="2"/>
  <c r="BX114" i="2"/>
  <c r="BR179" i="2"/>
  <c r="DA128" i="2"/>
  <c r="CY129" i="2"/>
  <c r="DB128" i="2"/>
  <c r="BS88" i="2"/>
  <c r="BS115" i="2" s="1"/>
  <c r="BS130" i="2" s="1"/>
  <c r="BT78" i="2"/>
  <c r="BY44" i="2"/>
  <c r="DD66" i="2"/>
  <c r="DF65" i="2"/>
  <c r="DE65" i="2"/>
  <c r="BJ41" i="2"/>
  <c r="BI41" i="2"/>
  <c r="DB25" i="2"/>
  <c r="DA25" i="2"/>
  <c r="CW66" i="2"/>
  <c r="CX66" i="2" s="1"/>
  <c r="BR52" i="2"/>
  <c r="BJ128" i="2"/>
  <c r="BG129" i="2"/>
  <c r="BI128" i="2"/>
  <c r="BU56" i="2"/>
  <c r="BT56" i="2"/>
  <c r="BI81" i="2"/>
  <c r="CQ25" i="2"/>
  <c r="CP25" i="2"/>
  <c r="CQ44" i="2"/>
  <c r="CP44" i="2"/>
  <c r="BX88" i="2"/>
  <c r="CA88" i="2"/>
  <c r="CB88" i="2" s="1"/>
  <c r="BY88" i="2"/>
  <c r="CN185" i="2"/>
  <c r="CN186" i="2" s="1"/>
  <c r="BV179" i="2"/>
  <c r="BV186" i="2" s="1"/>
  <c r="BG115" i="2"/>
  <c r="CQ78" i="2"/>
  <c r="CO88" i="2"/>
  <c r="CP88" i="2" s="1"/>
  <c r="CP78" i="2"/>
  <c r="BO115" i="2"/>
  <c r="BO130" i="2" s="1"/>
  <c r="CR166" i="2"/>
  <c r="CT46" i="2"/>
  <c r="CU46" i="2"/>
  <c r="CW46" i="2"/>
  <c r="CX46" i="2" s="1"/>
  <c r="BM25" i="2"/>
  <c r="BP25" i="2"/>
  <c r="BQ25" i="2" s="1"/>
  <c r="BN25" i="2"/>
  <c r="CT114" i="2"/>
  <c r="BN119" i="2"/>
  <c r="BP119" i="2"/>
  <c r="BQ119" i="2" s="1"/>
  <c r="BM119" i="2"/>
  <c r="CP91" i="2"/>
  <c r="CQ91" i="2"/>
  <c r="BU50" i="2"/>
  <c r="CA56" i="2"/>
  <c r="CB56" i="2" s="1"/>
  <c r="BX56" i="2"/>
  <c r="BY56" i="2"/>
  <c r="CV171" i="2"/>
  <c r="CX170" i="2"/>
  <c r="BV163" i="2"/>
  <c r="CA43" i="2"/>
  <c r="CB43" i="2" s="1"/>
  <c r="BY43" i="2"/>
  <c r="BX43" i="2"/>
  <c r="BV66" i="2"/>
  <c r="CP114" i="2"/>
  <c r="BO52" i="2"/>
  <c r="BO67" i="2" s="1"/>
  <c r="CR163" i="2"/>
  <c r="CW43" i="2"/>
  <c r="CX43" i="2" s="1"/>
  <c r="CU43" i="2"/>
  <c r="CT43" i="2"/>
  <c r="CF119" i="2"/>
  <c r="CE119" i="2"/>
  <c r="CC115" i="2"/>
  <c r="BU114" i="2"/>
  <c r="BT113" i="2"/>
  <c r="CQ114" i="2"/>
  <c r="CW56" i="2"/>
  <c r="CX56" i="2" s="1"/>
  <c r="CT56" i="2"/>
  <c r="CU56" i="2"/>
  <c r="DB104" i="2"/>
  <c r="DA104" i="2"/>
  <c r="BN104" i="2"/>
  <c r="BM104" i="2"/>
  <c r="BP104" i="2"/>
  <c r="BQ104" i="2" s="1"/>
  <c r="BK179" i="2"/>
  <c r="BK186" i="2" s="1"/>
  <c r="BT104" i="2"/>
  <c r="BU104" i="2"/>
  <c r="CO129" i="2"/>
  <c r="CQ129" i="2" s="1"/>
  <c r="CP128" i="2"/>
  <c r="BT114" i="2"/>
  <c r="CF44" i="2"/>
  <c r="CE44" i="2"/>
  <c r="CY115" i="2"/>
  <c r="CB170" i="2"/>
  <c r="BZ171" i="2"/>
  <c r="BR164" i="2"/>
  <c r="BR171" i="2" s="1"/>
  <c r="CA104" i="2"/>
  <c r="CB104" i="2" s="1"/>
  <c r="BY104" i="2"/>
  <c r="BX104" i="2"/>
  <c r="DH25" i="2"/>
  <c r="DI25" i="2" s="1"/>
  <c r="DF25" i="2"/>
  <c r="DE25" i="2"/>
  <c r="BN66" i="2"/>
  <c r="BR115" i="2"/>
  <c r="BE66" i="2"/>
  <c r="BF66" i="2" s="1"/>
  <c r="BB41" i="2"/>
  <c r="BE41" i="2"/>
  <c r="BF41" i="2" s="1"/>
  <c r="BC41" i="2"/>
  <c r="BD145" i="2"/>
  <c r="BE88" i="2"/>
  <c r="BF88" i="2" s="1"/>
  <c r="BB88" i="2"/>
  <c r="BC88" i="2"/>
  <c r="AX113" i="2"/>
  <c r="AY113" i="2"/>
  <c r="BD161" i="2"/>
  <c r="BF161" i="2" s="1"/>
  <c r="AV186" i="2"/>
  <c r="BE119" i="2"/>
  <c r="BF119" i="2" s="1"/>
  <c r="BC119" i="2"/>
  <c r="BB119" i="2"/>
  <c r="AW66" i="2"/>
  <c r="AX65" i="2"/>
  <c r="AY65" i="2"/>
  <c r="BE115" i="2"/>
  <c r="BF115" i="2" s="1"/>
  <c r="AZ130" i="2"/>
  <c r="AY78" i="2"/>
  <c r="AX78" i="2"/>
  <c r="BA66" i="2"/>
  <c r="BC66" i="2" s="1"/>
  <c r="BC65" i="2"/>
  <c r="BB59" i="2"/>
  <c r="BE59" i="2"/>
  <c r="BF59" i="2" s="1"/>
  <c r="BC59" i="2"/>
  <c r="AX114" i="2"/>
  <c r="AV115" i="2"/>
  <c r="AY114" i="2"/>
  <c r="BE25" i="2"/>
  <c r="BF25" i="2" s="1"/>
  <c r="BC25" i="2"/>
  <c r="BB25" i="2"/>
  <c r="AY128" i="2"/>
  <c r="AV129" i="2"/>
  <c r="AX128" i="2"/>
  <c r="AK161" i="2"/>
  <c r="AR41" i="2"/>
  <c r="AQ41" i="2"/>
  <c r="AT41" i="2"/>
  <c r="AU41" i="2" s="1"/>
  <c r="AM66" i="2"/>
  <c r="AS176" i="2"/>
  <c r="AU176" i="2" s="1"/>
  <c r="AU175" i="2"/>
  <c r="AQ88" i="2"/>
  <c r="AT88" i="2"/>
  <c r="AU88" i="2" s="1"/>
  <c r="AR88" i="2"/>
  <c r="AR119" i="2"/>
  <c r="AQ119" i="2"/>
  <c r="AT119" i="2"/>
  <c r="AU119" i="2" s="1"/>
  <c r="AM41" i="2"/>
  <c r="AN41" i="2"/>
  <c r="AO115" i="2"/>
  <c r="AR59" i="2"/>
  <c r="AQ59" i="2"/>
  <c r="AT59" i="2"/>
  <c r="AU59" i="2" s="1"/>
  <c r="AN128" i="2"/>
  <c r="AK129" i="2"/>
  <c r="AM128" i="2"/>
  <c r="AN104" i="2"/>
  <c r="AM104" i="2"/>
  <c r="AK185" i="2"/>
  <c r="AK186" i="2" s="1"/>
  <c r="AN88" i="2"/>
  <c r="AM88" i="2"/>
  <c r="AN44" i="2"/>
  <c r="AK51" i="2"/>
  <c r="AM44" i="2"/>
  <c r="AS186" i="2"/>
  <c r="AU186" i="2" s="1"/>
  <c r="AU185" i="2"/>
  <c r="AU170" i="2"/>
  <c r="AS171" i="2"/>
  <c r="AK115" i="2"/>
  <c r="AM114" i="2"/>
  <c r="AN114" i="2"/>
  <c r="AT43" i="2"/>
  <c r="AU43" i="2" s="1"/>
  <c r="AR43" i="2"/>
  <c r="AQ43" i="2"/>
  <c r="AO163" i="2"/>
  <c r="AT46" i="2"/>
  <c r="AU46" i="2" s="1"/>
  <c r="AO47" i="2"/>
  <c r="AR46" i="2"/>
  <c r="AQ46" i="2"/>
  <c r="AO166" i="2"/>
  <c r="AO167" i="2" s="1"/>
  <c r="AT25" i="2"/>
  <c r="AU25" i="2" s="1"/>
  <c r="AR25" i="2"/>
  <c r="AQ25" i="2"/>
  <c r="AO66" i="2"/>
  <c r="AD115" i="2"/>
  <c r="AF114" i="2"/>
  <c r="AI114" i="2"/>
  <c r="AJ114" i="2" s="1"/>
  <c r="AG114" i="2"/>
  <c r="Z66" i="2"/>
  <c r="AC65" i="2"/>
  <c r="AB65" i="2"/>
  <c r="AB128" i="2"/>
  <c r="Z129" i="2"/>
  <c r="AC128" i="2"/>
  <c r="AJ135" i="2"/>
  <c r="AH145" i="2"/>
  <c r="AC119" i="2"/>
  <c r="AB119" i="2"/>
  <c r="AE115" i="2"/>
  <c r="AE130" i="2" s="1"/>
  <c r="AC81" i="2"/>
  <c r="AG42" i="2"/>
  <c r="AF42" i="2"/>
  <c r="AD162" i="2"/>
  <c r="AD44" i="2"/>
  <c r="AI42" i="2"/>
  <c r="AJ42" i="2" s="1"/>
  <c r="AJ175" i="2"/>
  <c r="AH176" i="2"/>
  <c r="AJ176" i="2" s="1"/>
  <c r="AG41" i="2"/>
  <c r="AF41" i="2"/>
  <c r="AI41" i="2"/>
  <c r="AJ41" i="2" s="1"/>
  <c r="Z130" i="2"/>
  <c r="AC104" i="2"/>
  <c r="AB104" i="2"/>
  <c r="AC41" i="2"/>
  <c r="AB41" i="2"/>
  <c r="AC25" i="2"/>
  <c r="AB25" i="2"/>
  <c r="AH171" i="2"/>
  <c r="AF88" i="2"/>
  <c r="AI88" i="2"/>
  <c r="AJ88" i="2" s="1"/>
  <c r="AG88" i="2"/>
  <c r="AC56" i="2"/>
  <c r="AB56" i="2"/>
  <c r="AA51" i="2"/>
  <c r="AC50" i="2"/>
  <c r="AB50" i="2"/>
  <c r="AA88" i="2"/>
  <c r="AG104" i="2"/>
  <c r="AF104" i="2"/>
  <c r="AI104" i="2"/>
  <c r="AJ104" i="2" s="1"/>
  <c r="AJ185" i="2"/>
  <c r="AH186" i="2"/>
  <c r="AJ186" i="2" s="1"/>
  <c r="AF43" i="2"/>
  <c r="AI43" i="2"/>
  <c r="AJ43" i="2" s="1"/>
  <c r="AG43" i="2"/>
  <c r="AD163" i="2"/>
  <c r="AG25" i="2"/>
  <c r="AI25" i="2"/>
  <c r="AJ25" i="2" s="1"/>
  <c r="AF25" i="2"/>
  <c r="G41" i="2"/>
  <c r="F41" i="2"/>
  <c r="O115" i="2"/>
  <c r="M56" i="2"/>
  <c r="N56" i="2" s="1"/>
  <c r="K56" i="2"/>
  <c r="J56" i="2"/>
  <c r="G81" i="2"/>
  <c r="E88" i="2"/>
  <c r="E115" i="2" s="1"/>
  <c r="F81" i="2"/>
  <c r="K46" i="2"/>
  <c r="H166" i="2"/>
  <c r="J46" i="2"/>
  <c r="M46" i="2"/>
  <c r="N46" i="2" s="1"/>
  <c r="F50" i="2"/>
  <c r="P88" i="2"/>
  <c r="R88" i="2" s="1"/>
  <c r="U104" i="2"/>
  <c r="U114" i="2"/>
  <c r="V114" i="2"/>
  <c r="S115" i="2"/>
  <c r="X114" i="2"/>
  <c r="Y114" i="2" s="1"/>
  <c r="Q50" i="2"/>
  <c r="R50" i="2"/>
  <c r="P51" i="2"/>
  <c r="P52" i="2" s="1"/>
  <c r="P67" i="2" s="1"/>
  <c r="R128" i="2"/>
  <c r="Q128" i="2"/>
  <c r="P129" i="2"/>
  <c r="O52" i="2"/>
  <c r="G65" i="2"/>
  <c r="F65" i="2"/>
  <c r="D66" i="2"/>
  <c r="M129" i="2"/>
  <c r="N129" i="2" s="1"/>
  <c r="K129" i="2"/>
  <c r="J129" i="2"/>
  <c r="F25" i="2"/>
  <c r="G25" i="2"/>
  <c r="J25" i="2"/>
  <c r="M25" i="2"/>
  <c r="N25" i="2" s="1"/>
  <c r="K25" i="2"/>
  <c r="L186" i="2"/>
  <c r="N186" i="2" s="1"/>
  <c r="Q81" i="2"/>
  <c r="X43" i="2"/>
  <c r="Y43" i="2" s="1"/>
  <c r="V43" i="2"/>
  <c r="U43" i="2"/>
  <c r="S163" i="2"/>
  <c r="K41" i="2"/>
  <c r="J41" i="2"/>
  <c r="M41" i="2"/>
  <c r="N41" i="2" s="1"/>
  <c r="F44" i="2"/>
  <c r="G44" i="2"/>
  <c r="M43" i="2"/>
  <c r="N43" i="2" s="1"/>
  <c r="K43" i="2"/>
  <c r="J43" i="2"/>
  <c r="H163" i="2"/>
  <c r="U25" i="2"/>
  <c r="M66" i="2"/>
  <c r="N66" i="2" s="1"/>
  <c r="J66" i="2"/>
  <c r="H47" i="2"/>
  <c r="W52" i="2"/>
  <c r="W67" i="2" s="1"/>
  <c r="O66" i="2"/>
  <c r="Q65" i="2"/>
  <c r="R65" i="2"/>
  <c r="T115" i="2"/>
  <c r="T130" i="2" s="1"/>
  <c r="G51" i="2"/>
  <c r="F51" i="2"/>
  <c r="D52" i="2"/>
  <c r="K65" i="2"/>
  <c r="J65" i="2"/>
  <c r="I66" i="2"/>
  <c r="K66" i="2" s="1"/>
  <c r="G50" i="2"/>
  <c r="R25" i="2"/>
  <c r="Q25" i="2"/>
  <c r="X46" i="2"/>
  <c r="Y46" i="2" s="1"/>
  <c r="V46" i="2"/>
  <c r="U46" i="2"/>
  <c r="S166" i="2"/>
  <c r="R41" i="2"/>
  <c r="Q41" i="2"/>
  <c r="M42" i="2"/>
  <c r="N42" i="2" s="1"/>
  <c r="H162" i="2"/>
  <c r="K42" i="2"/>
  <c r="J42" i="2"/>
  <c r="H44" i="2"/>
  <c r="K88" i="2"/>
  <c r="J88" i="2"/>
  <c r="M88" i="2"/>
  <c r="N88" i="2" s="1"/>
  <c r="I170" i="1"/>
  <c r="H160" i="1"/>
  <c r="Y134" i="1"/>
  <c r="X128" i="1"/>
  <c r="Y128" i="1" s="1"/>
  <c r="AA160" i="1"/>
  <c r="AB80" i="1"/>
  <c r="M128" i="1"/>
  <c r="N128" i="1" s="1"/>
  <c r="I160" i="1"/>
  <c r="L170" i="1"/>
  <c r="N170" i="1" s="1"/>
  <c r="V128" i="1"/>
  <c r="AC80" i="1"/>
  <c r="L51" i="1"/>
  <c r="L66" i="1" s="1"/>
  <c r="H185" i="1"/>
  <c r="E144" i="1"/>
  <c r="G127" i="1"/>
  <c r="F127" i="1"/>
  <c r="AF27" i="1"/>
  <c r="D170" i="1"/>
  <c r="M40" i="1"/>
  <c r="N40" i="1" s="1"/>
  <c r="Z170" i="1"/>
  <c r="AI24" i="1"/>
  <c r="AJ24" i="1" s="1"/>
  <c r="AA169" i="1"/>
  <c r="AA170" i="1" s="1"/>
  <c r="E170" i="1"/>
  <c r="P160" i="1"/>
  <c r="AC118" i="1"/>
  <c r="I51" i="1"/>
  <c r="I66" i="1" s="1"/>
  <c r="I144" i="1"/>
  <c r="I114" i="1"/>
  <c r="I129" i="1" s="1"/>
  <c r="Z184" i="1"/>
  <c r="Z185" i="1" s="1"/>
  <c r="T170" i="1"/>
  <c r="T171" i="1" s="1"/>
  <c r="T186" i="1" s="1"/>
  <c r="G24" i="1"/>
  <c r="D160" i="1"/>
  <c r="AJ184" i="1"/>
  <c r="W66" i="1"/>
  <c r="S160" i="1"/>
  <c r="AB24" i="1"/>
  <c r="AC24" i="1"/>
  <c r="AI128" i="1"/>
  <c r="AJ128" i="1" s="1"/>
  <c r="AG128" i="1"/>
  <c r="AF128" i="1"/>
  <c r="AH160" i="1"/>
  <c r="AJ160" i="1" s="1"/>
  <c r="AJ150" i="1"/>
  <c r="AF87" i="1"/>
  <c r="AI87" i="1"/>
  <c r="AJ87" i="1" s="1"/>
  <c r="AG87" i="1"/>
  <c r="AG64" i="1"/>
  <c r="AF64" i="1"/>
  <c r="AE65" i="1"/>
  <c r="AG58" i="1"/>
  <c r="AF58" i="1"/>
  <c r="AI58" i="1"/>
  <c r="AJ58" i="1" s="1"/>
  <c r="AC40" i="1"/>
  <c r="AB40" i="1"/>
  <c r="AD114" i="1"/>
  <c r="AI113" i="1"/>
  <c r="AJ113" i="1" s="1"/>
  <c r="AG113" i="1"/>
  <c r="AF113" i="1"/>
  <c r="AI42" i="1"/>
  <c r="AJ42" i="1" s="1"/>
  <c r="AG42" i="1"/>
  <c r="AD162" i="1"/>
  <c r="AD163" i="1" s="1"/>
  <c r="AF42" i="1"/>
  <c r="AD43" i="1"/>
  <c r="AG40" i="1"/>
  <c r="AF40" i="1"/>
  <c r="AI40" i="1"/>
  <c r="AJ40" i="1" s="1"/>
  <c r="AC50" i="1"/>
  <c r="AB50" i="1"/>
  <c r="Z51" i="1"/>
  <c r="AC43" i="1"/>
  <c r="AB43" i="1"/>
  <c r="AA129" i="1"/>
  <c r="AB58" i="1"/>
  <c r="AC58" i="1"/>
  <c r="Z65" i="1"/>
  <c r="Z114" i="1"/>
  <c r="AC113" i="1"/>
  <c r="AB113" i="1"/>
  <c r="AB127" i="1"/>
  <c r="Z128" i="1"/>
  <c r="AC127" i="1"/>
  <c r="AI65" i="1"/>
  <c r="AJ65" i="1" s="1"/>
  <c r="AD165" i="1"/>
  <c r="AD166" i="1" s="1"/>
  <c r="AD170" i="1" s="1"/>
  <c r="AD171" i="1" s="1"/>
  <c r="AD186" i="1" s="1"/>
  <c r="AF45" i="1"/>
  <c r="AD46" i="1"/>
  <c r="AG45" i="1"/>
  <c r="AI45" i="1"/>
  <c r="AJ45" i="1" s="1"/>
  <c r="W160" i="1"/>
  <c r="Y160" i="1" s="1"/>
  <c r="V65" i="1"/>
  <c r="X65" i="1"/>
  <c r="Y65" i="1" s="1"/>
  <c r="U65" i="1"/>
  <c r="R80" i="1"/>
  <c r="Q80" i="1"/>
  <c r="R127" i="1"/>
  <c r="O128" i="1"/>
  <c r="Q127" i="1"/>
  <c r="U87" i="1"/>
  <c r="X87" i="1"/>
  <c r="Y87" i="1" s="1"/>
  <c r="V87" i="1"/>
  <c r="W175" i="1"/>
  <c r="Y175" i="1" s="1"/>
  <c r="Y174" i="1"/>
  <c r="X45" i="1"/>
  <c r="Y45" i="1" s="1"/>
  <c r="S165" i="1"/>
  <c r="S166" i="1" s="1"/>
  <c r="S170" i="1" s="1"/>
  <c r="V45" i="1"/>
  <c r="U45" i="1"/>
  <c r="Y169" i="1"/>
  <c r="W170" i="1"/>
  <c r="W185" i="1"/>
  <c r="Y185" i="1" s="1"/>
  <c r="Y184" i="1"/>
  <c r="X118" i="1"/>
  <c r="Y118" i="1" s="1"/>
  <c r="V118" i="1"/>
  <c r="U118" i="1"/>
  <c r="X42" i="1"/>
  <c r="Y42" i="1" s="1"/>
  <c r="V42" i="1"/>
  <c r="U42" i="1"/>
  <c r="S162" i="1"/>
  <c r="S163" i="1" s="1"/>
  <c r="O114" i="1"/>
  <c r="R113" i="1"/>
  <c r="Q113" i="1"/>
  <c r="S43" i="1"/>
  <c r="S114" i="1"/>
  <c r="Q58" i="1"/>
  <c r="R58" i="1"/>
  <c r="R43" i="1"/>
  <c r="Q43" i="1"/>
  <c r="O50" i="1"/>
  <c r="V58" i="1"/>
  <c r="U58" i="1"/>
  <c r="X58" i="1"/>
  <c r="Y58" i="1" s="1"/>
  <c r="O65" i="1"/>
  <c r="R64" i="1"/>
  <c r="Q64" i="1"/>
  <c r="V40" i="1"/>
  <c r="U40" i="1"/>
  <c r="X40" i="1"/>
  <c r="Y40" i="1" s="1"/>
  <c r="R103" i="1"/>
  <c r="Q103" i="1"/>
  <c r="R24" i="1"/>
  <c r="Q24" i="1"/>
  <c r="S46" i="1"/>
  <c r="F40" i="1"/>
  <c r="K40" i="1"/>
  <c r="L185" i="1"/>
  <c r="N185" i="1" s="1"/>
  <c r="D144" i="1"/>
  <c r="G80" i="1"/>
  <c r="N169" i="1"/>
  <c r="L160" i="1"/>
  <c r="N160" i="1" s="1"/>
  <c r="F103" i="1"/>
  <c r="G103" i="1"/>
  <c r="J44" i="1"/>
  <c r="K44" i="1"/>
  <c r="M44" i="1"/>
  <c r="N44" i="1" s="1"/>
  <c r="H46" i="1"/>
  <c r="H164" i="1"/>
  <c r="H166" i="1" s="1"/>
  <c r="G65" i="1"/>
  <c r="F65" i="1"/>
  <c r="M42" i="1"/>
  <c r="N42" i="1" s="1"/>
  <c r="J42" i="1"/>
  <c r="K42" i="1"/>
  <c r="H162" i="1"/>
  <c r="H163" i="1" s="1"/>
  <c r="J118" i="1"/>
  <c r="K118" i="1"/>
  <c r="M118" i="1"/>
  <c r="N118" i="1" s="1"/>
  <c r="H43" i="1"/>
  <c r="F43" i="1"/>
  <c r="G43" i="1"/>
  <c r="D50" i="1"/>
  <c r="E185" i="1"/>
  <c r="M24" i="1"/>
  <c r="N24" i="1" s="1"/>
  <c r="J24" i="1"/>
  <c r="K24" i="1"/>
  <c r="F90" i="1"/>
  <c r="G90" i="1"/>
  <c r="D114" i="1"/>
  <c r="G113" i="1"/>
  <c r="F113" i="1"/>
  <c r="F49" i="1"/>
  <c r="G49" i="1"/>
  <c r="E50" i="1"/>
  <c r="E51" i="1" s="1"/>
  <c r="E66" i="1" s="1"/>
  <c r="L144" i="1"/>
  <c r="F58" i="1"/>
  <c r="G58" i="1"/>
  <c r="J65" i="1"/>
  <c r="K65" i="1"/>
  <c r="M65" i="1"/>
  <c r="N65" i="1" s="1"/>
  <c r="D185" i="1"/>
  <c r="H114" i="1"/>
  <c r="M113" i="1"/>
  <c r="N113" i="1" s="1"/>
  <c r="K113" i="1"/>
  <c r="J113" i="1"/>
  <c r="F128" i="1"/>
  <c r="G128" i="1"/>
  <c r="BE40" i="5" l="1"/>
  <c r="AQ40" i="5"/>
  <c r="AS66" i="5"/>
  <c r="AQ181" i="5"/>
  <c r="BE49" i="5"/>
  <c r="AQ49" i="5"/>
  <c r="U171" i="5"/>
  <c r="U186" i="5" s="1"/>
  <c r="AZ171" i="5"/>
  <c r="AZ186" i="5" s="1"/>
  <c r="AQ58" i="5"/>
  <c r="AQ162" i="5"/>
  <c r="AQ175" i="5"/>
  <c r="BE55" i="5"/>
  <c r="BE62" i="5"/>
  <c r="AQ62" i="5"/>
  <c r="BE24" i="5"/>
  <c r="AQ24" i="5"/>
  <c r="AK171" i="5"/>
  <c r="AK186" i="5" s="1"/>
  <c r="AA171" i="5"/>
  <c r="AA186" i="5" s="1"/>
  <c r="Z171" i="5"/>
  <c r="R171" i="5"/>
  <c r="AQ156" i="5"/>
  <c r="BC171" i="5"/>
  <c r="AM171" i="5"/>
  <c r="AM186" i="5" s="1"/>
  <c r="AT171" i="5"/>
  <c r="AE51" i="5"/>
  <c r="X171" i="5"/>
  <c r="X186" i="5" s="1"/>
  <c r="AQ137" i="5"/>
  <c r="BA171" i="5"/>
  <c r="BA186" i="5" s="1"/>
  <c r="AS171" i="5"/>
  <c r="AS186" i="5" s="1"/>
  <c r="AI171" i="5"/>
  <c r="AI186" i="5" s="1"/>
  <c r="AH171" i="5"/>
  <c r="AH186" i="5" s="1"/>
  <c r="AW171" i="5"/>
  <c r="AW186" i="5" s="1"/>
  <c r="AJ171" i="5"/>
  <c r="AJ186" i="5" s="1"/>
  <c r="W171" i="5"/>
  <c r="W186" i="5" s="1"/>
  <c r="AQ143" i="5"/>
  <c r="AQ147" i="5"/>
  <c r="AD144" i="5"/>
  <c r="AQ140" i="5"/>
  <c r="BO171" i="4"/>
  <c r="BE159" i="4"/>
  <c r="AQ40" i="4"/>
  <c r="BN171" i="4"/>
  <c r="BN186" i="4" s="1"/>
  <c r="AQ150" i="4"/>
  <c r="AQ134" i="4"/>
  <c r="BB171" i="5"/>
  <c r="BB186" i="5" s="1"/>
  <c r="AB171" i="5"/>
  <c r="AB186" i="5" s="1"/>
  <c r="AL171" i="5"/>
  <c r="AL186" i="5" s="1"/>
  <c r="S171" i="5"/>
  <c r="S186" i="5" s="1"/>
  <c r="Y171" i="5"/>
  <c r="Y186" i="5" s="1"/>
  <c r="AE65" i="5"/>
  <c r="BD171" i="5"/>
  <c r="BD186" i="5" s="1"/>
  <c r="AY171" i="5"/>
  <c r="AY186" i="5" s="1"/>
  <c r="AE184" i="5"/>
  <c r="BE183" i="5"/>
  <c r="AP171" i="5"/>
  <c r="AP186" i="5" s="1"/>
  <c r="AD160" i="5"/>
  <c r="AD64" i="5"/>
  <c r="AD128" i="5"/>
  <c r="AQ128" i="5" s="1"/>
  <c r="BE128" i="5"/>
  <c r="AE170" i="5"/>
  <c r="BE170" i="5" s="1"/>
  <c r="AQ163" i="5"/>
  <c r="AQ159" i="5"/>
  <c r="AQ166" i="5"/>
  <c r="BC186" i="5"/>
  <c r="V171" i="5"/>
  <c r="V186" i="5" s="1"/>
  <c r="AT186" i="5"/>
  <c r="AC171" i="5"/>
  <c r="AC186" i="5" s="1"/>
  <c r="AV171" i="5"/>
  <c r="AV186" i="5" s="1"/>
  <c r="T171" i="5"/>
  <c r="T186" i="5" s="1"/>
  <c r="AG171" i="5"/>
  <c r="AG186" i="5" s="1"/>
  <c r="AU171" i="5"/>
  <c r="AU186" i="5" s="1"/>
  <c r="AX171" i="5"/>
  <c r="AX186" i="5" s="1"/>
  <c r="AQ178" i="4"/>
  <c r="BE140" i="4"/>
  <c r="BE63" i="4"/>
  <c r="BG66" i="4"/>
  <c r="BE134" i="4"/>
  <c r="BL171" i="4"/>
  <c r="BL186" i="4" s="1"/>
  <c r="AQ103" i="4"/>
  <c r="AD169" i="4"/>
  <c r="AD170" i="4" s="1"/>
  <c r="BE167" i="4"/>
  <c r="BG171" i="4"/>
  <c r="BG186" i="4" s="1"/>
  <c r="AM171" i="4"/>
  <c r="AM186" i="4" s="1"/>
  <c r="BI171" i="4"/>
  <c r="BI186" i="4" s="1"/>
  <c r="BO186" i="4"/>
  <c r="BE166" i="4"/>
  <c r="BQ171" i="4"/>
  <c r="BQ186" i="4" s="1"/>
  <c r="E65" i="4"/>
  <c r="D65" i="4" s="1"/>
  <c r="BE127" i="4"/>
  <c r="AW171" i="4"/>
  <c r="AW186" i="4" s="1"/>
  <c r="Q163" i="4"/>
  <c r="BE163" i="4" s="1"/>
  <c r="BM171" i="4"/>
  <c r="BM186" i="4" s="1"/>
  <c r="V171" i="4"/>
  <c r="V186" i="4" s="1"/>
  <c r="BR171" i="4"/>
  <c r="BR186" i="4" s="1"/>
  <c r="BJ171" i="4"/>
  <c r="BJ186" i="4" s="1"/>
  <c r="BE150" i="4"/>
  <c r="BK171" i="4"/>
  <c r="BK186" i="4" s="1"/>
  <c r="AQ170" i="4"/>
  <c r="AQ128" i="4"/>
  <c r="Q169" i="4"/>
  <c r="BE169" i="4" s="1"/>
  <c r="AQ49" i="4"/>
  <c r="BE137" i="4"/>
  <c r="AQ113" i="4"/>
  <c r="BP171" i="4"/>
  <c r="BP186" i="4" s="1"/>
  <c r="BE181" i="4"/>
  <c r="BE87" i="4"/>
  <c r="AS171" i="4"/>
  <c r="AS186" i="4" s="1"/>
  <c r="CA44" i="2"/>
  <c r="CB44" i="2" s="1"/>
  <c r="BM66" i="2"/>
  <c r="CY172" i="2"/>
  <c r="DC171" i="2"/>
  <c r="S167" i="2"/>
  <c r="AV172" i="2"/>
  <c r="F129" i="2"/>
  <c r="AQ103" i="5"/>
  <c r="AQ113" i="5"/>
  <c r="R186" i="5"/>
  <c r="AO171" i="5"/>
  <c r="AO186" i="5" s="1"/>
  <c r="AF171" i="5"/>
  <c r="AF186" i="5" s="1"/>
  <c r="AN171" i="5"/>
  <c r="AN186" i="5" s="1"/>
  <c r="AQ183" i="5"/>
  <c r="Z186" i="5"/>
  <c r="AD184" i="5"/>
  <c r="AD185" i="5" s="1"/>
  <c r="AQ174" i="5"/>
  <c r="Q182" i="5"/>
  <c r="Q144" i="5"/>
  <c r="AQ134" i="5"/>
  <c r="AD169" i="5"/>
  <c r="AD170" i="5" s="1"/>
  <c r="AQ161" i="5"/>
  <c r="AQ87" i="5"/>
  <c r="AQ127" i="5"/>
  <c r="AQ168" i="5"/>
  <c r="Q114" i="5"/>
  <c r="R129" i="5"/>
  <c r="Q129" i="5" s="1"/>
  <c r="Q51" i="5"/>
  <c r="Q178" i="5"/>
  <c r="AQ178" i="5" s="1"/>
  <c r="AD114" i="5"/>
  <c r="AE129" i="5"/>
  <c r="AQ176" i="5"/>
  <c r="Q64" i="5"/>
  <c r="R65" i="5"/>
  <c r="Q65" i="5" s="1"/>
  <c r="AF51" i="5"/>
  <c r="AD50" i="5"/>
  <c r="BE50" i="5" s="1"/>
  <c r="AQ150" i="5"/>
  <c r="Q160" i="5"/>
  <c r="Q169" i="5"/>
  <c r="AQ167" i="5"/>
  <c r="BE49" i="4"/>
  <c r="BE183" i="4"/>
  <c r="BE103" i="4"/>
  <c r="AV171" i="4"/>
  <c r="AV186" i="4" s="1"/>
  <c r="BE40" i="4"/>
  <c r="AQ144" i="4"/>
  <c r="AQ160" i="4"/>
  <c r="Q175" i="4"/>
  <c r="BE175" i="4" s="1"/>
  <c r="BE174" i="4"/>
  <c r="BD171" i="4"/>
  <c r="BD186" i="4" s="1"/>
  <c r="Q182" i="4"/>
  <c r="Q184" i="4" s="1"/>
  <c r="BE62" i="4"/>
  <c r="AQ24" i="4"/>
  <c r="AQ63" i="4"/>
  <c r="AQ183" i="4" s="1"/>
  <c r="AQ87" i="4"/>
  <c r="BA171" i="4"/>
  <c r="BA186" i="4" s="1"/>
  <c r="BE168" i="4"/>
  <c r="BE24" i="4"/>
  <c r="AD182" i="4"/>
  <c r="AD184" i="4" s="1"/>
  <c r="AD185" i="4" s="1"/>
  <c r="AQ62" i="4"/>
  <c r="AQ182" i="4" s="1"/>
  <c r="BE113" i="4"/>
  <c r="AQ127" i="4"/>
  <c r="BE156" i="4"/>
  <c r="AH171" i="4"/>
  <c r="AH186" i="4" s="1"/>
  <c r="BE143" i="4"/>
  <c r="AD160" i="4"/>
  <c r="AT171" i="4"/>
  <c r="AT186" i="4" s="1"/>
  <c r="BB171" i="4"/>
  <c r="BB186" i="4" s="1"/>
  <c r="AX171" i="4"/>
  <c r="AX186" i="4" s="1"/>
  <c r="BC171" i="4"/>
  <c r="BC186" i="4" s="1"/>
  <c r="AN171" i="4"/>
  <c r="AN186" i="4" s="1"/>
  <c r="AO171" i="4"/>
  <c r="AO186" i="4" s="1"/>
  <c r="R171" i="4"/>
  <c r="R186" i="4" s="1"/>
  <c r="T171" i="4"/>
  <c r="T186" i="4" s="1"/>
  <c r="AJ171" i="4"/>
  <c r="AJ186" i="4" s="1"/>
  <c r="AZ171" i="4"/>
  <c r="AZ186" i="4" s="1"/>
  <c r="AY171" i="4"/>
  <c r="AY186" i="4" s="1"/>
  <c r="AE171" i="4"/>
  <c r="AE186" i="4" s="1"/>
  <c r="AS51" i="4"/>
  <c r="AS66" i="4" s="1"/>
  <c r="AE51" i="4"/>
  <c r="AD51" i="4" s="1"/>
  <c r="X171" i="4"/>
  <c r="X186" i="4" s="1"/>
  <c r="AK171" i="4"/>
  <c r="AK186" i="4" s="1"/>
  <c r="AU171" i="4"/>
  <c r="AU186" i="4" s="1"/>
  <c r="AF171" i="4"/>
  <c r="AF186" i="4" s="1"/>
  <c r="AL171" i="4"/>
  <c r="AL186" i="4" s="1"/>
  <c r="AG171" i="4"/>
  <c r="AG186" i="4" s="1"/>
  <c r="S171" i="4"/>
  <c r="S186" i="4" s="1"/>
  <c r="Q144" i="4"/>
  <c r="U171" i="4"/>
  <c r="U186" i="4" s="1"/>
  <c r="AI171" i="4"/>
  <c r="AI186" i="4" s="1"/>
  <c r="AD144" i="4"/>
  <c r="AU129" i="4"/>
  <c r="K171" i="4"/>
  <c r="K186" i="4" s="1"/>
  <c r="AC171" i="4"/>
  <c r="AC186" i="4" s="1"/>
  <c r="Y171" i="4"/>
  <c r="Y186" i="4" s="1"/>
  <c r="AP171" i="4"/>
  <c r="AP186" i="4" s="1"/>
  <c r="F171" i="4"/>
  <c r="F186" i="4" s="1"/>
  <c r="Z171" i="4"/>
  <c r="Z186" i="4" s="1"/>
  <c r="D184" i="4"/>
  <c r="D185" i="4" s="1"/>
  <c r="G171" i="4"/>
  <c r="G186" i="4" s="1"/>
  <c r="D170" i="4"/>
  <c r="AA171" i="4"/>
  <c r="AA186" i="4" s="1"/>
  <c r="W171" i="4"/>
  <c r="W186" i="4" s="1"/>
  <c r="AB171" i="4"/>
  <c r="AB186" i="4" s="1"/>
  <c r="AE65" i="4"/>
  <c r="AD65" i="4" s="1"/>
  <c r="AQ65" i="4" s="1"/>
  <c r="AD64" i="4"/>
  <c r="AQ64" i="4" s="1"/>
  <c r="AE129" i="4"/>
  <c r="AD129" i="4" s="1"/>
  <c r="AD114" i="4"/>
  <c r="Q160" i="4"/>
  <c r="P171" i="4"/>
  <c r="P186" i="4" s="1"/>
  <c r="O171" i="4"/>
  <c r="O186" i="4" s="1"/>
  <c r="Q114" i="4"/>
  <c r="R129" i="4"/>
  <c r="Q129" i="4" s="1"/>
  <c r="R65" i="4"/>
  <c r="Q65" i="4" s="1"/>
  <c r="Q64" i="4"/>
  <c r="Q50" i="4"/>
  <c r="BE50" i="4" s="1"/>
  <c r="R51" i="4"/>
  <c r="M171" i="4"/>
  <c r="M186" i="4" s="1"/>
  <c r="L171" i="4"/>
  <c r="L186" i="4" s="1"/>
  <c r="D144" i="4"/>
  <c r="H171" i="4"/>
  <c r="H186" i="4" s="1"/>
  <c r="J171" i="4"/>
  <c r="J186" i="4" s="1"/>
  <c r="D160" i="4"/>
  <c r="E171" i="4"/>
  <c r="E186" i="4" s="1"/>
  <c r="I171" i="4"/>
  <c r="I186" i="4" s="1"/>
  <c r="N171" i="4"/>
  <c r="N186" i="4" s="1"/>
  <c r="D129" i="4"/>
  <c r="D114" i="4"/>
  <c r="E51" i="4"/>
  <c r="D50" i="4"/>
  <c r="AQ50" i="4" s="1"/>
  <c r="P115" i="3"/>
  <c r="D66" i="3"/>
  <c r="P66" i="3" s="1"/>
  <c r="D130" i="3"/>
  <c r="D185" i="3"/>
  <c r="D186" i="3" s="1"/>
  <c r="Z171" i="1"/>
  <c r="AA171" i="1"/>
  <c r="AA186" i="1" s="1"/>
  <c r="P171" i="1"/>
  <c r="P186" i="1" s="1"/>
  <c r="E171" i="1"/>
  <c r="BG52" i="2"/>
  <c r="BJ52" i="2" s="1"/>
  <c r="BB115" i="2"/>
  <c r="BC115" i="2"/>
  <c r="X47" i="2"/>
  <c r="Y47" i="2" s="1"/>
  <c r="CO172" i="2"/>
  <c r="CO187" i="2" s="1"/>
  <c r="CC172" i="2"/>
  <c r="AX51" i="2"/>
  <c r="I187" i="2"/>
  <c r="D172" i="2"/>
  <c r="D187" i="2" s="1"/>
  <c r="AG47" i="2"/>
  <c r="AI47" i="2"/>
  <c r="AJ47" i="2" s="1"/>
  <c r="BR172" i="2"/>
  <c r="CZ172" i="2"/>
  <c r="CZ187" i="2" s="1"/>
  <c r="BG172" i="2"/>
  <c r="BG187" i="2" s="1"/>
  <c r="O172" i="2"/>
  <c r="O187" i="2" s="1"/>
  <c r="U44" i="2"/>
  <c r="CD172" i="2"/>
  <c r="CD187" i="2" s="1"/>
  <c r="V44" i="2"/>
  <c r="DC172" i="2"/>
  <c r="DC187" i="2" s="1"/>
  <c r="BI51" i="2"/>
  <c r="BV164" i="2"/>
  <c r="BV171" i="2" s="1"/>
  <c r="BV172" i="2" s="1"/>
  <c r="BV187" i="2" s="1"/>
  <c r="T187" i="2"/>
  <c r="AP172" i="2"/>
  <c r="AP187" i="2" s="1"/>
  <c r="AA187" i="2"/>
  <c r="BL172" i="2"/>
  <c r="BL187" i="2" s="1"/>
  <c r="CN172" i="2"/>
  <c r="AD167" i="2"/>
  <c r="AV52" i="2"/>
  <c r="AX52" i="2" s="1"/>
  <c r="BW172" i="2"/>
  <c r="BW187" i="2" s="1"/>
  <c r="P172" i="2"/>
  <c r="P187" i="2" s="1"/>
  <c r="Z67" i="2"/>
  <c r="AZ172" i="2"/>
  <c r="AZ187" i="2" s="1"/>
  <c r="AD164" i="2"/>
  <c r="CQ88" i="2"/>
  <c r="DB88" i="2"/>
  <c r="CG167" i="2"/>
  <c r="CG171" i="2" s="1"/>
  <c r="CG172" i="2" s="1"/>
  <c r="CG187" i="2" s="1"/>
  <c r="BG67" i="2"/>
  <c r="BJ67" i="2" s="1"/>
  <c r="V47" i="2"/>
  <c r="CI44" i="2"/>
  <c r="BW67" i="2"/>
  <c r="CD130" i="2"/>
  <c r="AW115" i="2"/>
  <c r="AW130" i="2" s="1"/>
  <c r="AY88" i="2"/>
  <c r="CS172" i="2"/>
  <c r="CS187" i="2" s="1"/>
  <c r="DD67" i="2"/>
  <c r="W172" i="2"/>
  <c r="Y172" i="2" s="1"/>
  <c r="CH172" i="2"/>
  <c r="CH187" i="2" s="1"/>
  <c r="DD172" i="2"/>
  <c r="DD187" i="2" s="1"/>
  <c r="Z172" i="2"/>
  <c r="Z187" i="2" s="1"/>
  <c r="BV51" i="2"/>
  <c r="BX51" i="2" s="1"/>
  <c r="DG172" i="2"/>
  <c r="DI172" i="2" s="1"/>
  <c r="BI114" i="2"/>
  <c r="CZ115" i="2"/>
  <c r="CZ130" i="2" s="1"/>
  <c r="BO172" i="2"/>
  <c r="BO187" i="2" s="1"/>
  <c r="BQ187" i="2" s="1"/>
  <c r="BK171" i="2"/>
  <c r="BK172" i="2" s="1"/>
  <c r="BK187" i="2" s="1"/>
  <c r="BX47" i="2"/>
  <c r="BH115" i="2"/>
  <c r="BH130" i="2" s="1"/>
  <c r="H164" i="2"/>
  <c r="BY47" i="2"/>
  <c r="S171" i="1"/>
  <c r="S186" i="1" s="1"/>
  <c r="AE66" i="1"/>
  <c r="D171" i="1"/>
  <c r="D186" i="1" s="1"/>
  <c r="P114" i="1"/>
  <c r="P129" i="1" s="1"/>
  <c r="Q87" i="1"/>
  <c r="AE186" i="1"/>
  <c r="E114" i="1"/>
  <c r="E129" i="1" s="1"/>
  <c r="G87" i="1"/>
  <c r="AG65" i="1"/>
  <c r="AH171" i="1"/>
  <c r="AJ171" i="1" s="1"/>
  <c r="AF65" i="1"/>
  <c r="AB87" i="1"/>
  <c r="AC87" i="1"/>
  <c r="AV187" i="2"/>
  <c r="M115" i="2"/>
  <c r="N115" i="2" s="1"/>
  <c r="Y171" i="2"/>
  <c r="H167" i="2"/>
  <c r="CK172" i="2"/>
  <c r="CK187" i="2" s="1"/>
  <c r="CM187" i="2" s="1"/>
  <c r="BD172" i="2"/>
  <c r="BD187" i="2" s="1"/>
  <c r="BF187" i="2" s="1"/>
  <c r="BA172" i="2"/>
  <c r="BA187" i="2" s="1"/>
  <c r="Q51" i="2"/>
  <c r="CY186" i="2"/>
  <c r="CY187" i="2" s="1"/>
  <c r="AW172" i="2"/>
  <c r="AW187" i="2" s="1"/>
  <c r="E187" i="2"/>
  <c r="BH172" i="2"/>
  <c r="BH187" i="2" s="1"/>
  <c r="K115" i="2"/>
  <c r="AK172" i="2"/>
  <c r="AK187" i="2" s="1"/>
  <c r="BQ171" i="2"/>
  <c r="J115" i="2"/>
  <c r="AL172" i="2"/>
  <c r="AL187" i="2" s="1"/>
  <c r="E67" i="3"/>
  <c r="D172" i="3"/>
  <c r="D52" i="3"/>
  <c r="P52" i="3" s="1"/>
  <c r="BE44" i="2"/>
  <c r="BF44" i="2" s="1"/>
  <c r="BB44" i="2"/>
  <c r="BC44" i="2"/>
  <c r="AZ51" i="2"/>
  <c r="Q114" i="2"/>
  <c r="AO164" i="2"/>
  <c r="AO171" i="2" s="1"/>
  <c r="AO172" i="2" s="1"/>
  <c r="AO187" i="2" s="1"/>
  <c r="N161" i="2"/>
  <c r="L172" i="2"/>
  <c r="N172" i="2" s="1"/>
  <c r="CR164" i="2"/>
  <c r="V66" i="2"/>
  <c r="S51" i="2"/>
  <c r="V51" i="2" s="1"/>
  <c r="AQ44" i="2"/>
  <c r="BF171" i="2"/>
  <c r="CT66" i="2"/>
  <c r="CJ44" i="2"/>
  <c r="CO115" i="2"/>
  <c r="CO130" i="2" s="1"/>
  <c r="AT44" i="2"/>
  <c r="AU44" i="2" s="1"/>
  <c r="S164" i="2"/>
  <c r="S171" i="2" s="1"/>
  <c r="S172" i="2" s="1"/>
  <c r="S187" i="2" s="1"/>
  <c r="BS172" i="2"/>
  <c r="BS187" i="2" s="1"/>
  <c r="X66" i="2"/>
  <c r="Y66" i="2" s="1"/>
  <c r="AD171" i="2"/>
  <c r="AD172" i="2" s="1"/>
  <c r="AD187" i="2" s="1"/>
  <c r="DA114" i="2"/>
  <c r="CC187" i="2"/>
  <c r="DB114" i="2"/>
  <c r="CS67" i="2"/>
  <c r="I67" i="2"/>
  <c r="BR186" i="2"/>
  <c r="CJ47" i="2"/>
  <c r="CL47" i="2"/>
  <c r="CM47" i="2" s="1"/>
  <c r="CI47" i="2"/>
  <c r="CG51" i="2"/>
  <c r="DF66" i="2"/>
  <c r="DE66" i="2"/>
  <c r="BZ172" i="2"/>
  <c r="CB171" i="2"/>
  <c r="CF88" i="2"/>
  <c r="CE88" i="2"/>
  <c r="CC67" i="2"/>
  <c r="CF52" i="2"/>
  <c r="CE52" i="2"/>
  <c r="BU52" i="2"/>
  <c r="BR67" i="2"/>
  <c r="BT52" i="2"/>
  <c r="BP115" i="2"/>
  <c r="BQ115" i="2" s="1"/>
  <c r="BN115" i="2"/>
  <c r="BK130" i="2"/>
  <c r="BM115" i="2"/>
  <c r="CW44" i="2"/>
  <c r="CX44" i="2" s="1"/>
  <c r="CT44" i="2"/>
  <c r="CU44" i="2"/>
  <c r="BI88" i="2"/>
  <c r="BR130" i="2"/>
  <c r="BT115" i="2"/>
  <c r="BU115" i="2"/>
  <c r="CP129" i="2"/>
  <c r="DC130" i="2"/>
  <c r="DH115" i="2"/>
  <c r="DI115" i="2" s="1"/>
  <c r="DF115" i="2"/>
  <c r="DE115" i="2"/>
  <c r="CQ52" i="2"/>
  <c r="CP52" i="2"/>
  <c r="CN67" i="2"/>
  <c r="BP47" i="2"/>
  <c r="BQ47" i="2" s="1"/>
  <c r="BN47" i="2"/>
  <c r="BM47" i="2"/>
  <c r="BK51" i="2"/>
  <c r="CN130" i="2"/>
  <c r="BV130" i="2"/>
  <c r="BY115" i="2"/>
  <c r="BX115" i="2"/>
  <c r="CA115" i="2"/>
  <c r="CB115" i="2" s="1"/>
  <c r="DB66" i="2"/>
  <c r="DA66" i="2"/>
  <c r="BT88" i="2"/>
  <c r="CU115" i="2"/>
  <c r="CW115" i="2"/>
  <c r="CX115" i="2" s="1"/>
  <c r="CT115" i="2"/>
  <c r="CR130" i="2"/>
  <c r="BU129" i="2"/>
  <c r="BT129" i="2"/>
  <c r="BU66" i="2"/>
  <c r="BT66" i="2"/>
  <c r="CN187" i="2"/>
  <c r="BU88" i="2"/>
  <c r="BG130" i="2"/>
  <c r="BJ129" i="2"/>
  <c r="BI129" i="2"/>
  <c r="CA66" i="2"/>
  <c r="CB66" i="2" s="1"/>
  <c r="BY66" i="2"/>
  <c r="BX66" i="2"/>
  <c r="CE66" i="2"/>
  <c r="CF66" i="2"/>
  <c r="DH47" i="2"/>
  <c r="DI47" i="2" s="1"/>
  <c r="DF47" i="2"/>
  <c r="DE47" i="2"/>
  <c r="DC51" i="2"/>
  <c r="CG130" i="2"/>
  <c r="CL115" i="2"/>
  <c r="CM115" i="2" s="1"/>
  <c r="CI115" i="2"/>
  <c r="CJ115" i="2"/>
  <c r="CX171" i="2"/>
  <c r="CV172" i="2"/>
  <c r="CF129" i="2"/>
  <c r="CE129" i="2"/>
  <c r="CQ66" i="2"/>
  <c r="CP66" i="2"/>
  <c r="BJ88" i="2"/>
  <c r="CY130" i="2"/>
  <c r="CW47" i="2"/>
  <c r="CX47" i="2" s="1"/>
  <c r="CU47" i="2"/>
  <c r="CT47" i="2"/>
  <c r="CR51" i="2"/>
  <c r="DH44" i="2"/>
  <c r="DI44" i="2" s="1"/>
  <c r="DF44" i="2"/>
  <c r="DE44" i="2"/>
  <c r="DB51" i="2"/>
  <c r="DA51" i="2"/>
  <c r="CY52" i="2"/>
  <c r="CC130" i="2"/>
  <c r="CF115" i="2"/>
  <c r="CE115" i="2"/>
  <c r="DA129" i="2"/>
  <c r="DB129" i="2"/>
  <c r="CR167" i="2"/>
  <c r="BC130" i="2"/>
  <c r="BE130" i="2"/>
  <c r="BF130" i="2" s="1"/>
  <c r="BB130" i="2"/>
  <c r="AY129" i="2"/>
  <c r="AX129" i="2"/>
  <c r="BB66" i="2"/>
  <c r="BA67" i="2"/>
  <c r="AV130" i="2"/>
  <c r="AY66" i="2"/>
  <c r="AX66" i="2"/>
  <c r="AR66" i="2"/>
  <c r="AT66" i="2"/>
  <c r="AU66" i="2" s="1"/>
  <c r="AQ66" i="2"/>
  <c r="AN51" i="2"/>
  <c r="AM51" i="2"/>
  <c r="AK52" i="2"/>
  <c r="AN115" i="2"/>
  <c r="AM115" i="2"/>
  <c r="AK130" i="2"/>
  <c r="AQ115" i="2"/>
  <c r="AT115" i="2"/>
  <c r="AU115" i="2" s="1"/>
  <c r="AR115" i="2"/>
  <c r="AO130" i="2"/>
  <c r="AU171" i="2"/>
  <c r="AS172" i="2"/>
  <c r="AT47" i="2"/>
  <c r="AU47" i="2" s="1"/>
  <c r="AR47" i="2"/>
  <c r="AQ47" i="2"/>
  <c r="AO51" i="2"/>
  <c r="AN129" i="2"/>
  <c r="AM129" i="2"/>
  <c r="AB129" i="2"/>
  <c r="AC129" i="2"/>
  <c r="AI44" i="2"/>
  <c r="AJ44" i="2" s="1"/>
  <c r="AG44" i="2"/>
  <c r="AF44" i="2"/>
  <c r="AD51" i="2"/>
  <c r="AA52" i="2"/>
  <c r="AC51" i="2"/>
  <c r="AB51" i="2"/>
  <c r="AE187" i="2"/>
  <c r="AC88" i="2"/>
  <c r="AB88" i="2"/>
  <c r="AA115" i="2"/>
  <c r="AH172" i="2"/>
  <c r="AJ171" i="2"/>
  <c r="AC66" i="2"/>
  <c r="AB66" i="2"/>
  <c r="AF115" i="2"/>
  <c r="AD130" i="2"/>
  <c r="AI115" i="2"/>
  <c r="AJ115" i="2" s="1"/>
  <c r="AG115" i="2"/>
  <c r="K47" i="2"/>
  <c r="J47" i="2"/>
  <c r="H51" i="2"/>
  <c r="M47" i="2"/>
  <c r="N47" i="2" s="1"/>
  <c r="X115" i="2"/>
  <c r="Y115" i="2" s="1"/>
  <c r="V115" i="2"/>
  <c r="U115" i="2"/>
  <c r="S130" i="2"/>
  <c r="M130" i="2"/>
  <c r="N130" i="2" s="1"/>
  <c r="K130" i="2"/>
  <c r="J130" i="2"/>
  <c r="P115" i="2"/>
  <c r="P130" i="2" s="1"/>
  <c r="J44" i="2"/>
  <c r="M44" i="2"/>
  <c r="N44" i="2" s="1"/>
  <c r="K44" i="2"/>
  <c r="E130" i="2"/>
  <c r="G115" i="2"/>
  <c r="F115" i="2"/>
  <c r="G66" i="2"/>
  <c r="F66" i="2"/>
  <c r="Q88" i="2"/>
  <c r="O130" i="2"/>
  <c r="F88" i="2"/>
  <c r="G88" i="2"/>
  <c r="D67" i="2"/>
  <c r="F52" i="2"/>
  <c r="G52" i="2"/>
  <c r="R52" i="2"/>
  <c r="Q52" i="2"/>
  <c r="O67" i="2"/>
  <c r="R66" i="2"/>
  <c r="Q66" i="2"/>
  <c r="R129" i="2"/>
  <c r="Q129" i="2"/>
  <c r="R51" i="2"/>
  <c r="I171" i="1"/>
  <c r="I186" i="1" s="1"/>
  <c r="Z186" i="1"/>
  <c r="AI46" i="1"/>
  <c r="AJ46" i="1" s="1"/>
  <c r="AD50" i="1"/>
  <c r="AG46" i="1"/>
  <c r="AF46" i="1"/>
  <c r="AC51" i="1"/>
  <c r="AB51" i="1"/>
  <c r="Z66" i="1"/>
  <c r="AC114" i="1"/>
  <c r="AB114" i="1"/>
  <c r="Z129" i="1"/>
  <c r="AF43" i="1"/>
  <c r="AI43" i="1"/>
  <c r="AJ43" i="1" s="1"/>
  <c r="AG43" i="1"/>
  <c r="AC65" i="1"/>
  <c r="AB65" i="1"/>
  <c r="AF114" i="1"/>
  <c r="AD129" i="1"/>
  <c r="AG114" i="1"/>
  <c r="AI114" i="1"/>
  <c r="AJ114" i="1" s="1"/>
  <c r="AC128" i="1"/>
  <c r="AB128" i="1"/>
  <c r="R114" i="1"/>
  <c r="Q114" i="1"/>
  <c r="O129" i="1"/>
  <c r="X46" i="1"/>
  <c r="Y46" i="1" s="1"/>
  <c r="S50" i="1"/>
  <c r="V46" i="1"/>
  <c r="U46" i="1"/>
  <c r="U114" i="1"/>
  <c r="X114" i="1"/>
  <c r="Y114" i="1" s="1"/>
  <c r="V114" i="1"/>
  <c r="S129" i="1"/>
  <c r="V43" i="1"/>
  <c r="X43" i="1"/>
  <c r="Y43" i="1" s="1"/>
  <c r="U43" i="1"/>
  <c r="R128" i="1"/>
  <c r="Q128" i="1"/>
  <c r="R50" i="1"/>
  <c r="Q50" i="1"/>
  <c r="O51" i="1"/>
  <c r="R65" i="1"/>
  <c r="Q65" i="1"/>
  <c r="Y170" i="1"/>
  <c r="W171" i="1"/>
  <c r="E186" i="1"/>
  <c r="L171" i="1"/>
  <c r="L186" i="1" s="1"/>
  <c r="N186" i="1" s="1"/>
  <c r="D51" i="1"/>
  <c r="F50" i="1"/>
  <c r="G50" i="1"/>
  <c r="K43" i="1"/>
  <c r="J43" i="1"/>
  <c r="M43" i="1"/>
  <c r="N43" i="1" s="1"/>
  <c r="H170" i="1"/>
  <c r="H171" i="1" s="1"/>
  <c r="H186" i="1" s="1"/>
  <c r="G114" i="1"/>
  <c r="D129" i="1"/>
  <c r="H129" i="1"/>
  <c r="J114" i="1"/>
  <c r="K114" i="1"/>
  <c r="M114" i="1"/>
  <c r="N114" i="1" s="1"/>
  <c r="M46" i="1"/>
  <c r="N46" i="1" s="1"/>
  <c r="J46" i="1"/>
  <c r="K46" i="1"/>
  <c r="H50" i="1"/>
  <c r="BE64" i="5" l="1"/>
  <c r="AQ64" i="5"/>
  <c r="AQ50" i="5"/>
  <c r="AQ144" i="5"/>
  <c r="AD129" i="5"/>
  <c r="AQ129" i="5" s="1"/>
  <c r="BE129" i="5"/>
  <c r="AD65" i="5"/>
  <c r="AQ65" i="5" s="1"/>
  <c r="AE66" i="5"/>
  <c r="AD171" i="5"/>
  <c r="AD186" i="5" s="1"/>
  <c r="AE171" i="5"/>
  <c r="AE185" i="5"/>
  <c r="BE185" i="5" s="1"/>
  <c r="BE184" i="5"/>
  <c r="AQ160" i="5"/>
  <c r="AD171" i="4"/>
  <c r="BE160" i="4"/>
  <c r="AQ171" i="4"/>
  <c r="AQ186" i="4" s="1"/>
  <c r="AQ184" i="4"/>
  <c r="AQ185" i="4" s="1"/>
  <c r="BE129" i="4"/>
  <c r="BE114" i="4"/>
  <c r="BE144" i="4"/>
  <c r="Q170" i="4"/>
  <c r="BE170" i="4" s="1"/>
  <c r="DA115" i="2"/>
  <c r="BI115" i="2"/>
  <c r="AF66" i="5"/>
  <c r="AD51" i="5"/>
  <c r="BE51" i="5" s="1"/>
  <c r="AQ114" i="5"/>
  <c r="AD66" i="5"/>
  <c r="Q170" i="5"/>
  <c r="AQ169" i="5"/>
  <c r="R66" i="5"/>
  <c r="Q66" i="5" s="1"/>
  <c r="AQ182" i="5"/>
  <c r="Q184" i="5"/>
  <c r="AD186" i="4"/>
  <c r="Q185" i="4"/>
  <c r="BE185" i="4" s="1"/>
  <c r="BE184" i="4"/>
  <c r="AQ114" i="4"/>
  <c r="AQ129" i="4"/>
  <c r="BE182" i="4"/>
  <c r="BE64" i="4"/>
  <c r="BE65" i="4"/>
  <c r="D171" i="4"/>
  <c r="D186" i="4" s="1"/>
  <c r="AE66" i="4"/>
  <c r="AD66" i="4" s="1"/>
  <c r="R66" i="4"/>
  <c r="Q66" i="4" s="1"/>
  <c r="Q51" i="4"/>
  <c r="BE51" i="4" s="1"/>
  <c r="D51" i="4"/>
  <c r="AQ51" i="4" s="1"/>
  <c r="E66" i="4"/>
  <c r="D66" i="4" s="1"/>
  <c r="D187" i="3"/>
  <c r="AH186" i="1"/>
  <c r="AJ186" i="1" s="1"/>
  <c r="F114" i="1"/>
  <c r="W187" i="2"/>
  <c r="Y187" i="2" s="1"/>
  <c r="DB115" i="2"/>
  <c r="AY52" i="2"/>
  <c r="BI52" i="2"/>
  <c r="AV67" i="2"/>
  <c r="AX67" i="2" s="1"/>
  <c r="DG187" i="2"/>
  <c r="DI187" i="2" s="1"/>
  <c r="BV52" i="2"/>
  <c r="BY51" i="2"/>
  <c r="CA51" i="2"/>
  <c r="CB51" i="2" s="1"/>
  <c r="BR187" i="2"/>
  <c r="BJ115" i="2"/>
  <c r="AY67" i="2"/>
  <c r="BI67" i="2"/>
  <c r="L187" i="2"/>
  <c r="N187" i="2" s="1"/>
  <c r="AX115" i="2"/>
  <c r="AY115" i="2"/>
  <c r="BQ172" i="2"/>
  <c r="BF172" i="2"/>
  <c r="CR171" i="2"/>
  <c r="CR172" i="2" s="1"/>
  <c r="CR187" i="2" s="1"/>
  <c r="H171" i="2"/>
  <c r="H172" i="2" s="1"/>
  <c r="H187" i="2" s="1"/>
  <c r="CM172" i="2"/>
  <c r="N171" i="1"/>
  <c r="R115" i="2"/>
  <c r="D67" i="3"/>
  <c r="P67" i="3" s="1"/>
  <c r="CP115" i="2"/>
  <c r="CQ115" i="2"/>
  <c r="BC51" i="2"/>
  <c r="BE51" i="2"/>
  <c r="BF51" i="2" s="1"/>
  <c r="BB51" i="2"/>
  <c r="AZ52" i="2"/>
  <c r="X51" i="2"/>
  <c r="Y51" i="2" s="1"/>
  <c r="S52" i="2"/>
  <c r="S67" i="2" s="1"/>
  <c r="U51" i="2"/>
  <c r="CV187" i="2"/>
  <c r="CX187" i="2" s="1"/>
  <c r="CX172" i="2"/>
  <c r="BM130" i="2"/>
  <c r="BP130" i="2"/>
  <c r="BQ130" i="2" s="1"/>
  <c r="BN130" i="2"/>
  <c r="CA52" i="2"/>
  <c r="CB52" i="2" s="1"/>
  <c r="BY52" i="2"/>
  <c r="BV67" i="2"/>
  <c r="BX52" i="2"/>
  <c r="DH130" i="2"/>
  <c r="DI130" i="2" s="1"/>
  <c r="DF130" i="2"/>
  <c r="DE130" i="2"/>
  <c r="DA130" i="2"/>
  <c r="DB130" i="2"/>
  <c r="CF67" i="2"/>
  <c r="CE67" i="2"/>
  <c r="CB172" i="2"/>
  <c r="BZ187" i="2"/>
  <c r="CB187" i="2" s="1"/>
  <c r="BY130" i="2"/>
  <c r="CA130" i="2"/>
  <c r="CB130" i="2" s="1"/>
  <c r="BX130" i="2"/>
  <c r="CF130" i="2"/>
  <c r="CE130" i="2"/>
  <c r="CJ51" i="2"/>
  <c r="CL51" i="2"/>
  <c r="CM51" i="2" s="1"/>
  <c r="CI51" i="2"/>
  <c r="CG52" i="2"/>
  <c r="DA52" i="2"/>
  <c r="DB52" i="2"/>
  <c r="CY67" i="2"/>
  <c r="CL130" i="2"/>
  <c r="CM130" i="2" s="1"/>
  <c r="CI130" i="2"/>
  <c r="CJ130" i="2"/>
  <c r="DH51" i="2"/>
  <c r="DI51" i="2" s="1"/>
  <c r="DF51" i="2"/>
  <c r="DC52" i="2"/>
  <c r="DE51" i="2"/>
  <c r="CT130" i="2"/>
  <c r="CW130" i="2"/>
  <c r="CX130" i="2" s="1"/>
  <c r="CU130" i="2"/>
  <c r="CT51" i="2"/>
  <c r="CR52" i="2"/>
  <c r="CW51" i="2"/>
  <c r="CX51" i="2" s="1"/>
  <c r="CU51" i="2"/>
  <c r="BU67" i="2"/>
  <c r="BT67" i="2"/>
  <c r="BT130" i="2"/>
  <c r="BU130" i="2"/>
  <c r="BJ130" i="2"/>
  <c r="BI130" i="2"/>
  <c r="CQ130" i="2"/>
  <c r="CP130" i="2"/>
  <c r="BP51" i="2"/>
  <c r="BQ51" i="2" s="1"/>
  <c r="BK52" i="2"/>
  <c r="BM51" i="2"/>
  <c r="BN51" i="2"/>
  <c r="CP67" i="2"/>
  <c r="CQ67" i="2"/>
  <c r="AY130" i="2"/>
  <c r="AX130" i="2"/>
  <c r="AO52" i="2"/>
  <c r="AR51" i="2"/>
  <c r="AQ51" i="2"/>
  <c r="AT51" i="2"/>
  <c r="AU51" i="2" s="1"/>
  <c r="AN52" i="2"/>
  <c r="AM52" i="2"/>
  <c r="AK67" i="2"/>
  <c r="AS187" i="2"/>
  <c r="AU187" i="2" s="1"/>
  <c r="AU172" i="2"/>
  <c r="AT130" i="2"/>
  <c r="AU130" i="2" s="1"/>
  <c r="AR130" i="2"/>
  <c r="AQ130" i="2"/>
  <c r="AN130" i="2"/>
  <c r="AM130" i="2"/>
  <c r="AH187" i="2"/>
  <c r="AJ187" i="2" s="1"/>
  <c r="AJ172" i="2"/>
  <c r="AA130" i="2"/>
  <c r="AB115" i="2"/>
  <c r="AC115" i="2"/>
  <c r="AA67" i="2"/>
  <c r="AB52" i="2"/>
  <c r="AC52" i="2"/>
  <c r="AD52" i="2"/>
  <c r="AG51" i="2"/>
  <c r="AF51" i="2"/>
  <c r="AI51" i="2"/>
  <c r="AJ51" i="2" s="1"/>
  <c r="AG130" i="2"/>
  <c r="AF130" i="2"/>
  <c r="AI130" i="2"/>
  <c r="AJ130" i="2" s="1"/>
  <c r="R67" i="2"/>
  <c r="Q67" i="2"/>
  <c r="G130" i="2"/>
  <c r="F130" i="2"/>
  <c r="V130" i="2"/>
  <c r="U130" i="2"/>
  <c r="X130" i="2"/>
  <c r="Y130" i="2" s="1"/>
  <c r="G67" i="2"/>
  <c r="F67" i="2"/>
  <c r="X52" i="2"/>
  <c r="Y52" i="2" s="1"/>
  <c r="Q130" i="2"/>
  <c r="R130" i="2"/>
  <c r="H52" i="2"/>
  <c r="K51" i="2"/>
  <c r="J51" i="2"/>
  <c r="M51" i="2"/>
  <c r="N51" i="2" s="1"/>
  <c r="Q115" i="2"/>
  <c r="AG129" i="1"/>
  <c r="AF129" i="1"/>
  <c r="AI129" i="1"/>
  <c r="AJ129" i="1" s="1"/>
  <c r="AC66" i="1"/>
  <c r="AB66" i="1"/>
  <c r="AC129" i="1"/>
  <c r="AB129" i="1"/>
  <c r="AD51" i="1"/>
  <c r="AG50" i="1"/>
  <c r="AF50" i="1"/>
  <c r="AI50" i="1"/>
  <c r="AJ50" i="1" s="1"/>
  <c r="R51" i="1"/>
  <c r="Q51" i="1"/>
  <c r="O66" i="1"/>
  <c r="W186" i="1"/>
  <c r="Y186" i="1" s="1"/>
  <c r="Y171" i="1"/>
  <c r="R129" i="1"/>
  <c r="Q129" i="1"/>
  <c r="V129" i="1"/>
  <c r="X129" i="1"/>
  <c r="Y129" i="1" s="1"/>
  <c r="U129" i="1"/>
  <c r="S51" i="1"/>
  <c r="X50" i="1"/>
  <c r="Y50" i="1" s="1"/>
  <c r="U50" i="1"/>
  <c r="V50" i="1"/>
  <c r="H51" i="1"/>
  <c r="M50" i="1"/>
  <c r="N50" i="1" s="1"/>
  <c r="K50" i="1"/>
  <c r="J50" i="1"/>
  <c r="K129" i="1"/>
  <c r="J129" i="1"/>
  <c r="M129" i="1"/>
  <c r="N129" i="1" s="1"/>
  <c r="G129" i="1"/>
  <c r="F129" i="1"/>
  <c r="F51" i="1"/>
  <c r="G51" i="1"/>
  <c r="D66" i="1"/>
  <c r="AQ51" i="5" l="1"/>
  <c r="AQ66" i="5"/>
  <c r="BE66" i="5"/>
  <c r="BE65" i="5"/>
  <c r="AQ66" i="4"/>
  <c r="Q171" i="4"/>
  <c r="AE186" i="5"/>
  <c r="BE186" i="5" s="1"/>
  <c r="BE171" i="5"/>
  <c r="BE66" i="4"/>
  <c r="U52" i="2"/>
  <c r="AQ170" i="5"/>
  <c r="Q171" i="5"/>
  <c r="AQ184" i="5"/>
  <c r="Q185" i="5"/>
  <c r="AQ185" i="5" s="1"/>
  <c r="V52" i="2"/>
  <c r="E130" i="3"/>
  <c r="P130" i="3" s="1"/>
  <c r="BC52" i="2"/>
  <c r="BB52" i="2"/>
  <c r="BE52" i="2"/>
  <c r="BF52" i="2" s="1"/>
  <c r="AZ67" i="2"/>
  <c r="BM52" i="2"/>
  <c r="BK67" i="2"/>
  <c r="BN52" i="2"/>
  <c r="BP52" i="2"/>
  <c r="BQ52" i="2" s="1"/>
  <c r="DC67" i="2"/>
  <c r="DF52" i="2"/>
  <c r="DE52" i="2"/>
  <c r="DH52" i="2"/>
  <c r="DI52" i="2" s="1"/>
  <c r="CW52" i="2"/>
  <c r="CX52" i="2" s="1"/>
  <c r="CU52" i="2"/>
  <c r="CR67" i="2"/>
  <c r="CT52" i="2"/>
  <c r="DA67" i="2"/>
  <c r="DB67" i="2"/>
  <c r="CA67" i="2"/>
  <c r="CB67" i="2" s="1"/>
  <c r="BY67" i="2"/>
  <c r="BX67" i="2"/>
  <c r="CG67" i="2"/>
  <c r="CI52" i="2"/>
  <c r="CL52" i="2"/>
  <c r="CM52" i="2" s="1"/>
  <c r="CJ52" i="2"/>
  <c r="AN67" i="2"/>
  <c r="AM67" i="2"/>
  <c r="AR52" i="2"/>
  <c r="AQ52" i="2"/>
  <c r="AO67" i="2"/>
  <c r="AT52" i="2"/>
  <c r="AU52" i="2" s="1"/>
  <c r="AB67" i="2"/>
  <c r="AC67" i="2"/>
  <c r="AG52" i="2"/>
  <c r="AF52" i="2"/>
  <c r="AI52" i="2"/>
  <c r="AJ52" i="2" s="1"/>
  <c r="AD67" i="2"/>
  <c r="AC130" i="2"/>
  <c r="AB130" i="2"/>
  <c r="X67" i="2"/>
  <c r="Y67" i="2" s="1"/>
  <c r="V67" i="2"/>
  <c r="U67" i="2"/>
  <c r="J52" i="2"/>
  <c r="M52" i="2"/>
  <c r="N52" i="2" s="1"/>
  <c r="K52" i="2"/>
  <c r="H67" i="2"/>
  <c r="AG51" i="1"/>
  <c r="AF51" i="1"/>
  <c r="AD66" i="1"/>
  <c r="AI51" i="1"/>
  <c r="AJ51" i="1" s="1"/>
  <c r="R66" i="1"/>
  <c r="Q66" i="1"/>
  <c r="V51" i="1"/>
  <c r="U51" i="1"/>
  <c r="S66" i="1"/>
  <c r="X51" i="1"/>
  <c r="Y51" i="1" s="1"/>
  <c r="G66" i="1"/>
  <c r="F66" i="1"/>
  <c r="J51" i="1"/>
  <c r="K51" i="1"/>
  <c r="H66" i="1"/>
  <c r="M51" i="1"/>
  <c r="N51" i="1" s="1"/>
  <c r="BE171" i="4" l="1"/>
  <c r="Q186" i="4"/>
  <c r="BE186" i="4" s="1"/>
  <c r="AQ171" i="5"/>
  <c r="Q186" i="5"/>
  <c r="AQ186" i="5" s="1"/>
  <c r="BE67" i="2"/>
  <c r="BF67" i="2" s="1"/>
  <c r="BC67" i="2"/>
  <c r="BB67" i="2"/>
  <c r="CJ67" i="2"/>
  <c r="CL67" i="2"/>
  <c r="CM67" i="2" s="1"/>
  <c r="CI67" i="2"/>
  <c r="CW67" i="2"/>
  <c r="CX67" i="2" s="1"/>
  <c r="CU67" i="2"/>
  <c r="CT67" i="2"/>
  <c r="DH67" i="2"/>
  <c r="DI67" i="2" s="1"/>
  <c r="DF67" i="2"/>
  <c r="DE67" i="2"/>
  <c r="BM67" i="2"/>
  <c r="BP67" i="2"/>
  <c r="BQ67" i="2" s="1"/>
  <c r="BN67" i="2"/>
  <c r="AR67" i="2"/>
  <c r="AT67" i="2"/>
  <c r="AU67" i="2" s="1"/>
  <c r="AQ67" i="2"/>
  <c r="AI67" i="2"/>
  <c r="AJ67" i="2" s="1"/>
  <c r="AG67" i="2"/>
  <c r="AF67" i="2"/>
  <c r="K67" i="2"/>
  <c r="J67" i="2"/>
  <c r="M67" i="2"/>
  <c r="N67" i="2" s="1"/>
  <c r="AG66" i="1"/>
  <c r="AI66" i="1"/>
  <c r="AJ66" i="1" s="1"/>
  <c r="AF66" i="1"/>
  <c r="V66" i="1"/>
  <c r="X66" i="1"/>
  <c r="Y66" i="1" s="1"/>
  <c r="U66" i="1"/>
  <c r="K66" i="1"/>
  <c r="M66" i="1"/>
  <c r="N66" i="1" s="1"/>
  <c r="J66" i="1"/>
</calcChain>
</file>

<file path=xl/sharedStrings.xml><?xml version="1.0" encoding="utf-8"?>
<sst xmlns="http://schemas.openxmlformats.org/spreadsheetml/2006/main" count="1439" uniqueCount="198">
  <si>
    <t>Дельта сделана Факт к Бюджету</t>
  </si>
  <si>
    <t>Поменял местами Факт и Бюджет</t>
  </si>
  <si>
    <t>добавлен ССЧ</t>
  </si>
  <si>
    <t>добавлен MSU</t>
  </si>
  <si>
    <t>% соц.взносов считать только на факт выплат</t>
  </si>
  <si>
    <t>Under-/overaccruals вынесен в отдельный блок</t>
  </si>
  <si>
    <t xml:space="preserve">убрать из бюджета HR Under-/overaccruals </t>
  </si>
  <si>
    <t>Δ HR / FINANCE</t>
  </si>
  <si>
    <t xml:space="preserve">Δ  ДРП / ФД </t>
  </si>
  <si>
    <t>FINANCE</t>
  </si>
  <si>
    <t>ФД</t>
  </si>
  <si>
    <t>ССЧ</t>
  </si>
  <si>
    <t>MSU Closing</t>
  </si>
  <si>
    <t>MSU на коннец периода</t>
  </si>
  <si>
    <t>Total Eployees</t>
  </si>
  <si>
    <t>Итого сотрудников</t>
  </si>
  <si>
    <t>Part-time contracts employees</t>
  </si>
  <si>
    <t>Численность сотрудников - совместителей</t>
  </si>
  <si>
    <t>HC Closing</t>
  </si>
  <si>
    <t>Численность сотрудников на основном месте работы</t>
  </si>
  <si>
    <t>-</t>
  </si>
  <si>
    <t>% Social Security</t>
  </si>
  <si>
    <t>% страховых взносов</t>
  </si>
  <si>
    <t>Total Compencation &amp; Benefits</t>
  </si>
  <si>
    <t>Итого компенсации и льготы</t>
  </si>
  <si>
    <t>Bonus discretionary</t>
  </si>
  <si>
    <t>Годовой бонус</t>
  </si>
  <si>
    <t>Total Bonus discretionary cash</t>
  </si>
  <si>
    <t>Итого годовой бонус</t>
  </si>
  <si>
    <t>Social Security on discretionary Bonus cash</t>
  </si>
  <si>
    <t>Страховые взносы, годовой бонус</t>
  </si>
  <si>
    <t>Bonus discretionary cash</t>
  </si>
  <si>
    <t>Total  Reverse Bonus discretionary Accrual</t>
  </si>
  <si>
    <t>Итого сторно резерва годового бонуса</t>
  </si>
  <si>
    <t>Social Security on Bonus discretionary Accrual</t>
  </si>
  <si>
    <t>Страховые взносы, сторно резерва годового бонуса</t>
  </si>
  <si>
    <t>Reverse Bonus discretionary Accrual</t>
  </si>
  <si>
    <t>Сторно резерва годового бонуса бонуса</t>
  </si>
  <si>
    <t>Total Bonus discretionary Accrual</t>
  </si>
  <si>
    <t>Итого резерв годового бонуса</t>
  </si>
  <si>
    <t>Social Security on discretionary Bonus Accrual</t>
  </si>
  <si>
    <t>Страховые взносы, резерв годового бонуса</t>
  </si>
  <si>
    <t>Bonus discretionary Accrual</t>
  </si>
  <si>
    <t>Резерв годового бонуса</t>
  </si>
  <si>
    <t>Under-/overaccruals - cash</t>
  </si>
  <si>
    <t>Резерв бонуса прошлых лет</t>
  </si>
  <si>
    <t>Total Under-/overaccruals - cash</t>
  </si>
  <si>
    <t>Итого Резерв бонуса прошлых лет</t>
  </si>
  <si>
    <t>Under-/overaccruals - contribution to social secur</t>
  </si>
  <si>
    <t>Страховые взносы, резерв бонуса прошлых лет</t>
  </si>
  <si>
    <t>FIX compensation before Bonus</t>
  </si>
  <si>
    <t>ФОТ до бонуса</t>
  </si>
  <si>
    <t>Quarterly bonus</t>
  </si>
  <si>
    <t>Квартальная премия</t>
  </si>
  <si>
    <t>Total Quarterly bonus cash</t>
  </si>
  <si>
    <t>Итого квртальная премия, выплата</t>
  </si>
  <si>
    <t>Social Security on quarterly cash</t>
  </si>
  <si>
    <t>Страховые взносы, квартальная премия выплата</t>
  </si>
  <si>
    <t>Quarterly bonus cash</t>
  </si>
  <si>
    <t>Квартальная премия, выплата</t>
  </si>
  <si>
    <t>Total Reverse Accruals for Quarterly bonus</t>
  </si>
  <si>
    <t>Итого сторно резерва квартальной премии</t>
  </si>
  <si>
    <t>Social Security on Reverse Accruals for Quarterly bonus</t>
  </si>
  <si>
    <t>Страховые взносы, сторно резерва квартальной премии</t>
  </si>
  <si>
    <t>Reverse Accruals for Quarterly bonus</t>
  </si>
  <si>
    <t>Сторно резерва квартальной премии</t>
  </si>
  <si>
    <t>Total Accruals for Quarterly bonus</t>
  </si>
  <si>
    <t>Итого резерв квартальной премии</t>
  </si>
  <si>
    <t>Social Security on Accruals for Quarterly bonus</t>
  </si>
  <si>
    <t>Страховые взносы резерв квартальной премии</t>
  </si>
  <si>
    <t>Accruals for Quarterly bonus</t>
  </si>
  <si>
    <t>Резерв квартальной премии</t>
  </si>
  <si>
    <t>Other Compensations</t>
  </si>
  <si>
    <t>Прочие компенсационные выплаты</t>
  </si>
  <si>
    <t>Deferred Compensation</t>
  </si>
  <si>
    <t>Итого отложенное вознаграждение</t>
  </si>
  <si>
    <t>Social Security on Deferrals</t>
  </si>
  <si>
    <t>Страховые взносы отложенное вознаграждение</t>
  </si>
  <si>
    <t>Отложенное вознаграждение</t>
  </si>
  <si>
    <t>Total Direct severance payments - cash</t>
  </si>
  <si>
    <t>Итого выплаты при увольнении</t>
  </si>
  <si>
    <t>Social Security on Severance</t>
  </si>
  <si>
    <t>Страховые взносы выплаты при увольнении</t>
  </si>
  <si>
    <t>Direct severance payments - cash</t>
  </si>
  <si>
    <t>Выплаты при увольнении</t>
  </si>
  <si>
    <t>Total Sign-ons - cash</t>
  </si>
  <si>
    <t>Итого премия разовая</t>
  </si>
  <si>
    <t>Social Security on Sign-ons - cash</t>
  </si>
  <si>
    <t>Страховые взносы премия разовая</t>
  </si>
  <si>
    <t>Sign-ons - cash</t>
  </si>
  <si>
    <t>Премия разовая</t>
  </si>
  <si>
    <t>Total Remaining Other Compensation</t>
  </si>
  <si>
    <t>Итого прочие выплаты</t>
  </si>
  <si>
    <t>Social Security on Remaining Other Compensation</t>
  </si>
  <si>
    <t>Страховые взносы прочие выплаты</t>
  </si>
  <si>
    <t>Remaining Other Compensation</t>
  </si>
  <si>
    <t>Прочие выплаты</t>
  </si>
  <si>
    <t>Benefits</t>
  </si>
  <si>
    <t>Бенефиты</t>
  </si>
  <si>
    <t>Other benefits - Non-state mandated</t>
  </si>
  <si>
    <t>Прочие бенефиты</t>
  </si>
  <si>
    <t>Health &amp; welfare</t>
  </si>
  <si>
    <t>Расходы на страхование (ДМС, НС)</t>
  </si>
  <si>
    <t>FIX compensation</t>
  </si>
  <si>
    <t>Фиксированное вознаграждение</t>
  </si>
  <si>
    <t>Total Maternity leave</t>
  </si>
  <si>
    <t>Итого декрет</t>
  </si>
  <si>
    <t>Social Security on Maternity leave</t>
  </si>
  <si>
    <t>Страховые взносы декрет</t>
  </si>
  <si>
    <t>Maternity leave</t>
  </si>
  <si>
    <t>Декрет</t>
  </si>
  <si>
    <t>Total Sick leave compensation</t>
  </si>
  <si>
    <t>Итого оплата больничных листов</t>
  </si>
  <si>
    <t>Social Security on Sick leave compensation</t>
  </si>
  <si>
    <t>Страховые взносы оплата больничных листов</t>
  </si>
  <si>
    <t>Sick leave compensation</t>
  </si>
  <si>
    <t>Оплата больничных листов</t>
  </si>
  <si>
    <t>Total Accruals for unused vacations</t>
  </si>
  <si>
    <t>Итого резерв на отпуск</t>
  </si>
  <si>
    <t>Social Security on accruals for unused vacations</t>
  </si>
  <si>
    <t>Страховые взносы резерв на отпуск</t>
  </si>
  <si>
    <t>Accruals for unused vacations</t>
  </si>
  <si>
    <t>Резерв на отпуск</t>
  </si>
  <si>
    <t>Total Salary</t>
  </si>
  <si>
    <t>Итого оклад</t>
  </si>
  <si>
    <t>Social securities on salaries</t>
  </si>
  <si>
    <t>Страховые взносы оклад</t>
  </si>
  <si>
    <t>Salary</t>
  </si>
  <si>
    <t xml:space="preserve">Оклад </t>
  </si>
  <si>
    <t>HR</t>
  </si>
  <si>
    <t>ДРП</t>
  </si>
  <si>
    <t>Оставшийся бюджет</t>
  </si>
  <si>
    <t>Бюджет</t>
  </si>
  <si>
    <t>Δ Факт / Бюджет</t>
  </si>
  <si>
    <t>Факт</t>
  </si>
  <si>
    <t>Полный год (FY)</t>
  </si>
  <si>
    <t>Нарастающим итогом с начала года (YTD)</t>
  </si>
  <si>
    <t>Текущий месяц (MTD)</t>
  </si>
  <si>
    <t>АО «Капитал Актив»</t>
  </si>
  <si>
    <t>excl.</t>
  </si>
  <si>
    <t>Капитализация</t>
  </si>
  <si>
    <t>Период</t>
  </si>
  <si>
    <t>Руб.</t>
  </si>
  <si>
    <t>Currency</t>
  </si>
  <si>
    <t>Юр.Лицо</t>
  </si>
  <si>
    <t>Новый</t>
  </si>
  <si>
    <t>Периметр</t>
  </si>
  <si>
    <t>Компенсационные расходы (ФОТ)</t>
  </si>
  <si>
    <t>Новый периметр</t>
  </si>
  <si>
    <t>АКБ «НРБанк» (АО)</t>
  </si>
  <si>
    <t>All</t>
  </si>
  <si>
    <t>BU</t>
  </si>
  <si>
    <t>Business</t>
  </si>
  <si>
    <t>CIB Management and Other</t>
  </si>
  <si>
    <t>Credit Business</t>
  </si>
  <si>
    <t>Global Banking</t>
  </si>
  <si>
    <t>Support</t>
  </si>
  <si>
    <t>COO</t>
  </si>
  <si>
    <t>Finance</t>
  </si>
  <si>
    <t>Internal Audit</t>
  </si>
  <si>
    <t>Business&amp;Support Total</t>
  </si>
  <si>
    <t>YTD</t>
  </si>
  <si>
    <t>Scenario</t>
  </si>
  <si>
    <t>Act</t>
  </si>
  <si>
    <t>2026</t>
  </si>
  <si>
    <t>Компенсационные расходы (ФОТ), Прогноз</t>
  </si>
  <si>
    <t>FY</t>
  </si>
  <si>
    <t>RUB</t>
  </si>
  <si>
    <t>%</t>
  </si>
  <si>
    <t>1. Δ  ДРП / ФД  - не нужна здесь ?</t>
  </si>
  <si>
    <t>2. Нужно ли добавлять в дельту "Факт прошлый год / Прогноз" и "Бюджет/ Прогноз"  процент по каждому месяцу или достаточно по году?</t>
  </si>
  <si>
    <t>2027</t>
  </si>
  <si>
    <t>2. Нужно ли добавлять в дельту  "Бюджет/ Прогноз"  процент по каждому месяцу или достаточно по году?</t>
  </si>
  <si>
    <t>Компонент</t>
  </si>
  <si>
    <t>Счет МСФО</t>
  </si>
  <si>
    <t>МИР код</t>
  </si>
  <si>
    <t>Сотрудник</t>
  </si>
  <si>
    <t>Person ID</t>
  </si>
  <si>
    <t>Счет РСБУ</t>
  </si>
  <si>
    <t>Компенсационные расходы (ФОТ), Бюджет</t>
  </si>
  <si>
    <t>добавить вариант отчета по глобальным департаментам без сравнения с данными ФД</t>
  </si>
  <si>
    <t>добавить в фильтр "Бизнес"</t>
  </si>
  <si>
    <t>Прогноз
2026</t>
  </si>
  <si>
    <t>Бюджет
2027</t>
  </si>
  <si>
    <t>Возможность разбивки по структуре и возможность разбивки по периодам</t>
  </si>
  <si>
    <t>добавить в фильтр выбор версии</t>
  </si>
  <si>
    <t>Факт
2025</t>
  </si>
  <si>
    <t>Бюджет
2026</t>
  </si>
  <si>
    <t>Выделить цветом основной сценарий</t>
  </si>
  <si>
    <t>Выделить цветом</t>
  </si>
  <si>
    <t>Ддобавить факт 2025+ отклонения</t>
  </si>
  <si>
    <t>Глобальный департамент</t>
  </si>
  <si>
    <t>Δ Факт 2025 / Прогноз 2026</t>
  </si>
  <si>
    <t>Δ Бюджет 2026/ Прогноз 2026</t>
  </si>
  <si>
    <t>Δ Факт 2025 / Бюджет 2027</t>
  </si>
  <si>
    <t>Δ Прогноз 2026/ Бюджет 2027</t>
  </si>
  <si>
    <t>Компенсационные расходы (ФОТ), структура МИР кодов</t>
  </si>
  <si>
    <t>Компенсационные расходы (ФОТ), Структура глобальных департаментов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</si>
</sst>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\(#,##0\);\-"/>
    <numFmt numFmtId="165" formatCode="0.0%"/>
    <numFmt numFmtId="166" formatCode="[$-419]mmmm\ yyyy;@"/>
    <numFmt numFmtId="167" formatCode="[$-409]mmm\-yy;@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FF4F4F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theme="0"/>
      <name val="Calibri"/>
      <family val="2"/>
      <charset val="204"/>
      <scheme val="minor"/>
    </font>
    <font>
      <b/>
      <sz val="9"/>
      <color theme="0"/>
      <name val="Calibri"/>
      <family val="2"/>
      <charset val="204"/>
      <scheme val="minor"/>
    </font>
    <font>
      <b/>
      <sz val="9"/>
      <color rgb="FF875B5B"/>
      <name val="Calibri"/>
      <family val="2"/>
      <charset val="204"/>
      <scheme val="minor"/>
    </font>
    <font>
      <sz val="9"/>
      <color rgb="FF875B5B"/>
      <name val="Calibri"/>
      <family val="2"/>
      <charset val="204"/>
      <scheme val="minor"/>
    </font>
    <font>
      <b/>
      <sz val="10"/>
      <color rgb="FF875B5B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9"/>
      <color rgb="FF875B5B"/>
      <name val="Calibri"/>
      <family val="2"/>
      <charset val="204"/>
      <scheme val="minor"/>
    </font>
    <font>
      <b/>
      <i/>
      <sz val="9"/>
      <color rgb="FF875B5B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0"/>
      <color rgb="FF875B5B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24"/>
      <color theme="5" tint="-0.499984740745262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75B5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8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 style="thin">
        <color indexed="64"/>
      </left>
      <right style="medium">
        <color rgb="FF956565"/>
      </right>
      <top style="thin">
        <color theme="0" tint="-0.249977111117893"/>
      </top>
      <bottom style="thin">
        <color rgb="FFB08A8A"/>
      </bottom>
      <diagonal/>
    </border>
    <border>
      <left style="double">
        <color rgb="FFB08A8A"/>
      </left>
      <right/>
      <top style="thin">
        <color theme="0" tint="-0.249977111117893"/>
      </top>
      <bottom style="thin">
        <color rgb="FFB08A8A"/>
      </bottom>
      <diagonal/>
    </border>
    <border>
      <left/>
      <right style="thick">
        <color theme="5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rgb="FF875B5B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ck">
        <color rgb="FF875B5B"/>
      </right>
      <top style="thin">
        <color theme="0" tint="-0.249977111117893"/>
      </top>
      <bottom style="thin">
        <color theme="0" tint="-0.249977111117893"/>
      </bottom>
      <diagonal/>
    </border>
    <border>
      <left style="double">
        <color rgb="FFCAB2B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ck">
        <color rgb="FF875B5B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ck">
        <color rgb="FF875B5B"/>
      </left>
      <right style="thin">
        <color theme="0" tint="-0.249977111117893"/>
      </right>
      <top/>
      <bottom/>
      <diagonal/>
    </border>
    <border>
      <left style="thin">
        <color indexed="64"/>
      </left>
      <right style="thick">
        <color rgb="FF875B5B"/>
      </right>
      <top/>
      <bottom style="thin">
        <color theme="0" tint="-0.249977111117893"/>
      </bottom>
      <diagonal/>
    </border>
    <border>
      <left style="double">
        <color rgb="FFCAB2B2"/>
      </left>
      <right/>
      <top/>
      <bottom/>
      <diagonal/>
    </border>
    <border>
      <left/>
      <right style="thick">
        <color theme="5" tint="-0.499984740745262"/>
      </right>
      <top/>
      <bottom/>
      <diagonal/>
    </border>
    <border>
      <left style="thin">
        <color indexed="64"/>
      </left>
      <right style="thick">
        <color rgb="FF875B5B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rgb="FFCAB2B2"/>
      </left>
      <right style="thin">
        <color indexed="64"/>
      </right>
      <top/>
      <bottom/>
      <diagonal/>
    </border>
    <border>
      <left/>
      <right style="thick">
        <color rgb="FF875B5B"/>
      </right>
      <top style="double">
        <color rgb="FFB08A8A"/>
      </top>
      <bottom/>
      <diagonal/>
    </border>
    <border>
      <left/>
      <right style="thin">
        <color theme="0" tint="-0.249977111117893"/>
      </right>
      <top style="double">
        <color rgb="FFB08A8A"/>
      </top>
      <bottom/>
      <diagonal/>
    </border>
    <border>
      <left style="thick">
        <color rgb="FF875B5B"/>
      </left>
      <right style="thin">
        <color theme="0" tint="-0.249977111117893"/>
      </right>
      <top style="double">
        <color rgb="FFB08A8A"/>
      </top>
      <bottom/>
      <diagonal/>
    </border>
    <border>
      <left style="thin">
        <color indexed="64"/>
      </left>
      <right/>
      <top style="double">
        <color rgb="FFB08A8A"/>
      </top>
      <bottom/>
      <diagonal/>
    </border>
    <border>
      <left/>
      <right style="thick">
        <color theme="5" tint="-0.499984740745262"/>
      </right>
      <top style="thin">
        <color theme="0" tint="-0.34998626667073579"/>
      </top>
      <bottom style="double">
        <color rgb="FFB08A8A"/>
      </bottom>
      <diagonal/>
    </border>
    <border>
      <left/>
      <right/>
      <top style="thin">
        <color theme="0" tint="-0.34998626667073579"/>
      </top>
      <bottom style="double">
        <color rgb="FFB08A8A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uble">
        <color rgb="FFB08A8A"/>
      </bottom>
      <diagonal/>
    </border>
    <border>
      <left/>
      <right/>
      <top style="thin">
        <color theme="0" tint="-0.249977111117893"/>
      </top>
      <bottom style="double">
        <color rgb="FFB08A8A"/>
      </bottom>
      <diagonal/>
    </border>
    <border>
      <left/>
      <right style="thin">
        <color theme="0" tint="-0.249977111117893"/>
      </right>
      <top style="thin">
        <color rgb="FFCAB2B2"/>
      </top>
      <bottom style="double">
        <color rgb="FFB08A8A"/>
      </bottom>
      <diagonal/>
    </border>
    <border>
      <left/>
      <right/>
      <top style="thin">
        <color rgb="FFCAB2B2"/>
      </top>
      <bottom style="double">
        <color rgb="FFB08A8A"/>
      </bottom>
      <diagonal/>
    </border>
    <border>
      <left/>
      <right style="thin">
        <color theme="0" tint="-0.249977111117893"/>
      </right>
      <top/>
      <bottom style="double">
        <color rgb="FFB08A8A"/>
      </bottom>
      <diagonal/>
    </border>
    <border>
      <left style="double">
        <color rgb="FFB08A8A"/>
      </left>
      <right/>
      <top/>
      <bottom style="double">
        <color rgb="FFB08A8A"/>
      </bottom>
      <diagonal/>
    </border>
    <border>
      <left/>
      <right style="thick">
        <color theme="5" tint="-0.499984740745262"/>
      </right>
      <top/>
      <bottom style="double">
        <color rgb="FFB08A8A"/>
      </bottom>
      <diagonal/>
    </border>
    <border>
      <left style="thin">
        <color theme="0" tint="-0.249977111117893"/>
      </left>
      <right/>
      <top/>
      <bottom style="double">
        <color rgb="FFB08A8A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rgb="FFB08A8A"/>
      </bottom>
      <diagonal/>
    </border>
    <border>
      <left style="thin">
        <color theme="0" tint="-0.249977111117893"/>
      </left>
      <right/>
      <top/>
      <bottom style="double">
        <color rgb="FFB6949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rgb="FFB69494"/>
      </bottom>
      <diagonal/>
    </border>
    <border>
      <left style="thick">
        <color rgb="FF875B5B"/>
      </left>
      <right style="thin">
        <color theme="0" tint="-0.249977111117893"/>
      </right>
      <top/>
      <bottom style="double">
        <color rgb="FFB08A8A"/>
      </bottom>
      <diagonal/>
    </border>
    <border>
      <left style="thin">
        <color indexed="64"/>
      </left>
      <right/>
      <top/>
      <bottom style="double">
        <color rgb="FFB08A8A"/>
      </bottom>
      <diagonal/>
    </border>
    <border>
      <left style="double">
        <color rgb="FFB08A8A"/>
      </left>
      <right/>
      <top/>
      <bottom/>
      <diagonal/>
    </border>
    <border>
      <left/>
      <right style="thick">
        <color theme="5" tint="-0.499984740745262"/>
      </right>
      <top style="thin">
        <color rgb="FFB08A8A"/>
      </top>
      <bottom/>
      <diagonal/>
    </border>
    <border>
      <left/>
      <right style="thin">
        <color theme="0" tint="-0.249977111117893"/>
      </right>
      <top style="thin">
        <color rgb="FFB08A8A"/>
      </top>
      <bottom/>
      <diagonal/>
    </border>
    <border>
      <left style="thick">
        <color rgb="FF875B5B"/>
      </left>
      <right style="thin">
        <color theme="0" tint="-0.249977111117893"/>
      </right>
      <top style="thin">
        <color rgb="FFB08A8A"/>
      </top>
      <bottom/>
      <diagonal/>
    </border>
    <border>
      <left style="medium">
        <color rgb="FF956565"/>
      </left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double">
        <color rgb="FFB08A8A"/>
      </bottom>
      <diagonal/>
    </border>
    <border>
      <left/>
      <right style="thick">
        <color theme="5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CAB2B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CAB2B2"/>
      </right>
      <top style="thin">
        <color theme="0" tint="-0.34998626667073579"/>
      </top>
      <bottom style="thin">
        <color rgb="FFCAB2B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rgb="FFCAB2B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rgb="FFCAB2B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CAB2B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theme="5" tint="-0.499984740745262"/>
      </right>
      <top style="double">
        <color rgb="FFCAB2B2"/>
      </top>
      <bottom style="thin">
        <color theme="0" tint="-0.34998626667073579"/>
      </bottom>
      <diagonal/>
    </border>
    <border>
      <left/>
      <right/>
      <top style="double">
        <color rgb="FFCAB2B2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double">
        <color rgb="FFCAB2B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rgb="FFB08A8A"/>
      </bottom>
      <diagonal/>
    </border>
    <border>
      <left/>
      <right/>
      <top style="double">
        <color rgb="FFB08A8A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ck">
        <color theme="5" tint="-0.499984740745262"/>
      </right>
      <top style="double">
        <color rgb="FFB08A8A"/>
      </top>
      <bottom/>
      <diagonal/>
    </border>
    <border>
      <left style="thin">
        <color indexed="64"/>
      </left>
      <right style="thick">
        <color theme="5" tint="-0.499984740745262"/>
      </right>
      <top/>
      <bottom/>
      <diagonal/>
    </border>
    <border>
      <left style="thin">
        <color indexed="64"/>
      </left>
      <right/>
      <top style="thin">
        <color theme="0" tint="-0.249977111117893"/>
      </top>
      <bottom style="thin">
        <color rgb="FFB08A8A"/>
      </bottom>
      <diagonal/>
    </border>
    <border>
      <left style="thick">
        <color theme="5" tint="-0.499984740745262"/>
      </left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 style="thick">
        <color theme="5" tint="-0.499984740745262"/>
      </left>
      <right style="thin">
        <color theme="0" tint="-0.249977111117893"/>
      </right>
      <top style="thin">
        <color rgb="FFB08A8A"/>
      </top>
      <bottom/>
      <diagonal/>
    </border>
    <border>
      <left style="thick">
        <color theme="5" tint="-0.499984740745262"/>
      </left>
      <right style="thin">
        <color theme="0" tint="-0.249977111117893"/>
      </right>
      <top/>
      <bottom/>
      <diagonal/>
    </border>
    <border>
      <left style="thick">
        <color theme="5" tint="-0.499984740745262"/>
      </left>
      <right style="thin">
        <color theme="0" tint="-0.249977111117893"/>
      </right>
      <top/>
      <bottom style="double">
        <color rgb="FFB69494"/>
      </bottom>
      <diagonal/>
    </border>
    <border>
      <left style="thin">
        <color indexed="64"/>
      </left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5" tint="-0.499984740745262"/>
      </left>
      <right/>
      <top style="thin">
        <color rgb="FFCAB2B2"/>
      </top>
      <bottom style="double">
        <color rgb="FFB08A8A"/>
      </bottom>
      <diagonal/>
    </border>
    <border>
      <left style="thick">
        <color theme="5" tint="-0.499984740745262"/>
      </left>
      <right style="thin">
        <color theme="0" tint="-0.249977111117893"/>
      </right>
      <top style="double">
        <color rgb="FFB08A8A"/>
      </top>
      <bottom/>
      <diagonal/>
    </border>
    <border>
      <left style="thick">
        <color theme="5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5" tint="-0.499984740745262"/>
      </left>
      <right/>
      <top style="double">
        <color rgb="FFCAB2B2"/>
      </top>
      <bottom style="thin">
        <color theme="0" tint="-0.34998626667073579"/>
      </bottom>
      <diagonal/>
    </border>
    <border>
      <left/>
      <right/>
      <top style="thin">
        <color rgb="FFB08A8A"/>
      </top>
      <bottom/>
      <diagonal/>
    </border>
    <border>
      <left/>
      <right style="thin">
        <color theme="0" tint="-0.249977111117893"/>
      </right>
      <top/>
      <bottom style="double">
        <color rgb="FFB69494"/>
      </bottom>
      <diagonal/>
    </border>
    <border>
      <left style="thin">
        <color theme="5" tint="-0.499984740745262"/>
      </left>
      <right/>
      <top style="double">
        <color rgb="FFCAB2B2"/>
      </top>
      <bottom style="thin">
        <color theme="0" tint="-0.34998626667073579"/>
      </bottom>
      <diagonal/>
    </border>
    <border>
      <left style="thin">
        <color theme="5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5" tint="-0.499984740745262"/>
      </left>
      <right/>
      <top style="thin">
        <color rgb="FFCAB2B2"/>
      </top>
      <bottom style="double">
        <color rgb="FFB08A8A"/>
      </bottom>
      <diagonal/>
    </border>
    <border>
      <left style="thin">
        <color theme="5" tint="-0.499984740745262"/>
      </left>
      <right style="thin">
        <color theme="0" tint="-0.249977111117893"/>
      </right>
      <top style="double">
        <color rgb="FFB08A8A"/>
      </top>
      <bottom/>
      <diagonal/>
    </border>
    <border>
      <left style="thin">
        <color theme="5" tint="-0.499984740745262"/>
      </left>
      <right style="thin">
        <color theme="0" tint="-0.249977111117893"/>
      </right>
      <top/>
      <bottom/>
      <diagonal/>
    </border>
    <border>
      <left style="thin">
        <color theme="5" tint="-0.499984740745262"/>
      </left>
      <right style="thin">
        <color theme="0" tint="-0.249977111117893"/>
      </right>
      <top style="thin">
        <color theme="0" tint="-0.249977111117893"/>
      </top>
      <bottom style="thin">
        <color rgb="FFB08A8A"/>
      </bottom>
      <diagonal/>
    </border>
    <border>
      <left style="thin">
        <color theme="5" tint="-0.499984740745262"/>
      </left>
      <right style="thin">
        <color theme="0" tint="-0.249977111117893"/>
      </right>
      <top style="thin">
        <color rgb="FFB08A8A"/>
      </top>
      <bottom/>
      <diagonal/>
    </border>
    <border>
      <left style="thin">
        <color theme="5" tint="-0.499984740745262"/>
      </left>
      <right style="thin">
        <color theme="0" tint="-0.249977111117893"/>
      </right>
      <top/>
      <bottom style="double">
        <color rgb="FFB69494"/>
      </bottom>
      <diagonal/>
    </border>
    <border>
      <left style="thin">
        <color theme="5" tint="-0.499984740745262"/>
      </left>
      <right/>
      <top/>
      <bottom style="double">
        <color rgb="FFB08A8A"/>
      </bottom>
      <diagonal/>
    </border>
    <border>
      <left/>
      <right/>
      <top style="double">
        <color rgb="FFB69494"/>
      </top>
      <bottom/>
      <diagonal/>
    </border>
    <border>
      <left/>
      <right/>
      <top style="thin">
        <color rgb="FFB08A8A"/>
      </top>
      <bottom style="thin">
        <color rgb="FFCAB2B2"/>
      </bottom>
      <diagonal/>
    </border>
    <border>
      <left style="thin">
        <color theme="0" tint="-0.249977111117893"/>
      </left>
      <right style="thick">
        <color theme="5" tint="-0.499984740745262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ck">
        <color theme="5" tint="-0.499984740745262"/>
      </right>
      <top style="thin">
        <color rgb="FFCAB2B2"/>
      </top>
      <bottom style="double">
        <color rgb="FFB08A8A"/>
      </bottom>
      <diagonal/>
    </border>
    <border>
      <left/>
      <right style="thick">
        <color theme="5" tint="-0.499984740745262"/>
      </right>
      <top style="double">
        <color rgb="FFB08A8A"/>
      </top>
      <bottom/>
      <diagonal/>
    </border>
    <border>
      <left/>
      <right style="thick">
        <color theme="5" tint="-0.499984740745262"/>
      </right>
      <top style="thin">
        <color theme="0" tint="-0.249977111117893"/>
      </top>
      <bottom style="thin">
        <color rgb="FFB08A8A"/>
      </bottom>
      <diagonal/>
    </border>
    <border>
      <left style="thin">
        <color theme="0" tint="-0.249977111117893"/>
      </left>
      <right style="thick">
        <color theme="5" tint="-0.499984740745262"/>
      </right>
      <top/>
      <bottom style="double">
        <color rgb="FFB6949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2">
    <xf numFmtId="0" fontId="0" fillId="0" borderId="0" xfId="0"/>
    <xf numFmtId="0" fontId="3" fillId="2" borderId="0" xfId="0" applyFont="1" applyFill="1"/>
    <xf numFmtId="3" fontId="3" fillId="2" borderId="0" xfId="0" applyNumberFormat="1" applyFont="1" applyFill="1"/>
    <xf numFmtId="0" fontId="3" fillId="2" borderId="0" xfId="0" applyFont="1" applyFill="1" applyBorder="1" applyAlignment="1">
      <alignment horizontal="right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164" fontId="7" fillId="3" borderId="1" xfId="1" applyNumberFormat="1" applyFont="1" applyFill="1" applyBorder="1" applyAlignment="1">
      <alignment horizontal="right"/>
    </xf>
    <xf numFmtId="164" fontId="7" fillId="3" borderId="2" xfId="0" applyNumberFormat="1" applyFont="1" applyFill="1" applyBorder="1"/>
    <xf numFmtId="164" fontId="7" fillId="3" borderId="3" xfId="0" applyNumberFormat="1" applyFont="1" applyFill="1" applyBorder="1"/>
    <xf numFmtId="164" fontId="7" fillId="3" borderId="4" xfId="1" applyNumberFormat="1" applyFont="1" applyFill="1" applyBorder="1" applyAlignment="1">
      <alignment horizontal="right"/>
    </xf>
    <xf numFmtId="164" fontId="7" fillId="3" borderId="4" xfId="0" applyNumberFormat="1" applyFont="1" applyFill="1" applyBorder="1"/>
    <xf numFmtId="0" fontId="8" fillId="3" borderId="5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164" fontId="9" fillId="4" borderId="7" xfId="1" applyNumberFormat="1" applyFont="1" applyFill="1" applyBorder="1" applyAlignment="1">
      <alignment horizontal="right"/>
    </xf>
    <xf numFmtId="164" fontId="9" fillId="4" borderId="8" xfId="0" applyNumberFormat="1" applyFont="1" applyFill="1" applyBorder="1"/>
    <xf numFmtId="164" fontId="9" fillId="4" borderId="9" xfId="0" applyNumberFormat="1" applyFont="1" applyFill="1" applyBorder="1"/>
    <xf numFmtId="164" fontId="9" fillId="4" borderId="10" xfId="1" applyNumberFormat="1" applyFont="1" applyFill="1" applyBorder="1" applyAlignment="1">
      <alignment horizontal="right"/>
    </xf>
    <xf numFmtId="164" fontId="9" fillId="4" borderId="10" xfId="0" applyNumberFormat="1" applyFont="1" applyFill="1" applyBorder="1"/>
    <xf numFmtId="164" fontId="9" fillId="4" borderId="11" xfId="0" applyNumberFormat="1" applyFont="1" applyFill="1" applyBorder="1"/>
    <xf numFmtId="0" fontId="9" fillId="4" borderId="12" xfId="0" applyFont="1" applyFill="1" applyBorder="1" applyAlignment="1">
      <alignment horizontal="left" indent="1"/>
    </xf>
    <xf numFmtId="0" fontId="9" fillId="4" borderId="13" xfId="0" applyFont="1" applyFill="1" applyBorder="1" applyAlignment="1">
      <alignment horizontal="left" indent="1"/>
    </xf>
    <xf numFmtId="164" fontId="9" fillId="5" borderId="14" xfId="1" applyNumberFormat="1" applyFont="1" applyFill="1" applyBorder="1" applyAlignment="1">
      <alignment horizontal="right"/>
    </xf>
    <xf numFmtId="164" fontId="9" fillId="5" borderId="15" xfId="0" applyNumberFormat="1" applyFont="1" applyFill="1" applyBorder="1"/>
    <xf numFmtId="164" fontId="9" fillId="2" borderId="16" xfId="0" applyNumberFormat="1" applyFont="1" applyFill="1" applyBorder="1"/>
    <xf numFmtId="164" fontId="9" fillId="5" borderId="17" xfId="1" applyNumberFormat="1" applyFont="1" applyFill="1" applyBorder="1" applyAlignment="1">
      <alignment horizontal="right"/>
    </xf>
    <xf numFmtId="164" fontId="9" fillId="2" borderId="17" xfId="0" applyNumberFormat="1" applyFont="1" applyFill="1" applyBorder="1"/>
    <xf numFmtId="164" fontId="9" fillId="2" borderId="18" xfId="0" applyNumberFormat="1" applyFont="1" applyFill="1" applyBorder="1"/>
    <xf numFmtId="0" fontId="9" fillId="2" borderId="19" xfId="0" applyFont="1" applyFill="1" applyBorder="1" applyAlignment="1">
      <alignment horizontal="left" indent="3"/>
    </xf>
    <xf numFmtId="0" fontId="9" fillId="2" borderId="20" xfId="0" applyFont="1" applyFill="1" applyBorder="1" applyAlignment="1">
      <alignment horizontal="left" indent="3"/>
    </xf>
    <xf numFmtId="0" fontId="6" fillId="0" borderId="0" xfId="0" applyFont="1" applyFill="1"/>
    <xf numFmtId="164" fontId="10" fillId="5" borderId="21" xfId="1" applyNumberFormat="1" applyFont="1" applyFill="1" applyBorder="1" applyAlignment="1">
      <alignment horizontal="right"/>
    </xf>
    <xf numFmtId="164" fontId="10" fillId="5" borderId="15" xfId="0" applyNumberFormat="1" applyFont="1" applyFill="1" applyBorder="1"/>
    <xf numFmtId="164" fontId="10" fillId="0" borderId="16" xfId="0" applyNumberFormat="1" applyFont="1" applyFill="1" applyBorder="1"/>
    <xf numFmtId="164" fontId="10" fillId="5" borderId="17" xfId="1" applyNumberFormat="1" applyFont="1" applyFill="1" applyBorder="1" applyAlignment="1">
      <alignment horizontal="right"/>
    </xf>
    <xf numFmtId="164" fontId="10" fillId="0" borderId="17" xfId="0" applyNumberFormat="1" applyFont="1" applyFill="1" applyBorder="1"/>
    <xf numFmtId="164" fontId="10" fillId="0" borderId="18" xfId="0" applyNumberFormat="1" applyFont="1" applyFill="1" applyBorder="1"/>
    <xf numFmtId="0" fontId="10" fillId="2" borderId="22" xfId="0" applyFont="1" applyFill="1" applyBorder="1" applyAlignment="1">
      <alignment horizontal="left" indent="4"/>
    </xf>
    <xf numFmtId="0" fontId="10" fillId="2" borderId="20" xfId="0" applyFont="1" applyFill="1" applyBorder="1" applyAlignment="1">
      <alignment horizontal="left" indent="4"/>
    </xf>
    <xf numFmtId="164" fontId="10" fillId="2" borderId="16" xfId="0" applyNumberFormat="1" applyFont="1" applyFill="1" applyBorder="1"/>
    <xf numFmtId="164" fontId="10" fillId="2" borderId="17" xfId="0" applyNumberFormat="1" applyFont="1" applyFill="1" applyBorder="1"/>
    <xf numFmtId="164" fontId="10" fillId="2" borderId="18" xfId="0" applyNumberFormat="1" applyFont="1" applyFill="1" applyBorder="1"/>
    <xf numFmtId="0" fontId="9" fillId="2" borderId="22" xfId="0" applyFont="1" applyFill="1" applyBorder="1" applyAlignment="1">
      <alignment horizontal="left" indent="3"/>
    </xf>
    <xf numFmtId="164" fontId="9" fillId="5" borderId="21" xfId="1" applyNumberFormat="1" applyFont="1" applyFill="1" applyBorder="1" applyAlignment="1">
      <alignment horizontal="right"/>
    </xf>
    <xf numFmtId="164" fontId="9" fillId="5" borderId="16" xfId="0" applyNumberFormat="1" applyFont="1" applyFill="1" applyBorder="1"/>
    <xf numFmtId="164" fontId="9" fillId="5" borderId="17" xfId="0" applyNumberFormat="1" applyFont="1" applyFill="1" applyBorder="1"/>
    <xf numFmtId="164" fontId="9" fillId="5" borderId="18" xfId="0" applyNumberFormat="1" applyFont="1" applyFill="1" applyBorder="1"/>
    <xf numFmtId="0" fontId="9" fillId="5" borderId="19" xfId="0" applyFont="1" applyFill="1" applyBorder="1" applyAlignment="1">
      <alignment horizontal="left" indent="2"/>
    </xf>
    <xf numFmtId="0" fontId="9" fillId="5" borderId="20" xfId="0" applyFont="1" applyFill="1" applyBorder="1" applyAlignment="1">
      <alignment horizontal="left" indent="2"/>
    </xf>
    <xf numFmtId="0" fontId="10" fillId="2" borderId="23" xfId="0" applyFont="1" applyFill="1" applyBorder="1" applyAlignment="1">
      <alignment horizontal="left" indent="4"/>
    </xf>
    <xf numFmtId="0" fontId="9" fillId="5" borderId="0" xfId="0" applyFont="1" applyFill="1" applyBorder="1" applyAlignment="1">
      <alignment horizontal="left" indent="2"/>
    </xf>
    <xf numFmtId="0" fontId="9" fillId="5" borderId="24" xfId="0" applyFont="1" applyFill="1" applyBorder="1" applyAlignment="1">
      <alignment horizontal="left" indent="2"/>
    </xf>
    <xf numFmtId="0" fontId="9" fillId="2" borderId="23" xfId="0" applyFont="1" applyFill="1" applyBorder="1" applyAlignment="1">
      <alignment horizontal="left" indent="3"/>
    </xf>
    <xf numFmtId="164" fontId="10" fillId="5" borderId="14" xfId="1" applyNumberFormat="1" applyFont="1" applyFill="1" applyBorder="1" applyAlignment="1">
      <alignment horizontal="right"/>
    </xf>
    <xf numFmtId="0" fontId="3" fillId="0" borderId="0" xfId="0" applyFont="1" applyFill="1"/>
    <xf numFmtId="0" fontId="9" fillId="5" borderId="23" xfId="0" applyFont="1" applyFill="1" applyBorder="1" applyAlignment="1">
      <alignment horizontal="left" indent="2"/>
    </xf>
    <xf numFmtId="0" fontId="10" fillId="0" borderId="23" xfId="0" applyFont="1" applyFill="1" applyBorder="1" applyAlignment="1">
      <alignment horizontal="left" indent="4"/>
    </xf>
    <xf numFmtId="0" fontId="10" fillId="0" borderId="20" xfId="0" applyFont="1" applyFill="1" applyBorder="1" applyAlignment="1">
      <alignment horizontal="left" indent="4"/>
    </xf>
    <xf numFmtId="164" fontId="10" fillId="5" borderId="25" xfId="1" applyNumberFormat="1" applyFont="1" applyFill="1" applyBorder="1" applyAlignment="1">
      <alignment horizontal="right"/>
    </xf>
    <xf numFmtId="164" fontId="10" fillId="5" borderId="26" xfId="0" applyNumberFormat="1" applyFont="1" applyFill="1" applyBorder="1"/>
    <xf numFmtId="164" fontId="10" fillId="2" borderId="26" xfId="0" applyNumberFormat="1" applyFont="1" applyFill="1" applyBorder="1"/>
    <xf numFmtId="164" fontId="10" fillId="2" borderId="27" xfId="0" applyNumberFormat="1" applyFont="1" applyFill="1" applyBorder="1"/>
    <xf numFmtId="0" fontId="10" fillId="2" borderId="28" xfId="0" applyFont="1" applyFill="1" applyBorder="1" applyAlignment="1">
      <alignment horizontal="left" indent="4"/>
    </xf>
    <xf numFmtId="0" fontId="8" fillId="3" borderId="29" xfId="0" applyNumberFormat="1" applyFont="1" applyFill="1" applyBorder="1" applyAlignment="1">
      <alignment horizontal="center" vertical="top" wrapText="1"/>
    </xf>
    <xf numFmtId="0" fontId="8" fillId="3" borderId="30" xfId="0" applyNumberFormat="1" applyFont="1" applyFill="1" applyBorder="1" applyAlignment="1">
      <alignment horizontal="center" vertical="top" wrapText="1"/>
    </xf>
    <xf numFmtId="0" fontId="8" fillId="3" borderId="31" xfId="0" applyNumberFormat="1" applyFont="1" applyFill="1" applyBorder="1" applyAlignment="1">
      <alignment horizontal="center" vertical="top" wrapText="1"/>
    </xf>
    <xf numFmtId="0" fontId="8" fillId="3" borderId="32" xfId="0" applyNumberFormat="1" applyFont="1" applyFill="1" applyBorder="1" applyAlignment="1">
      <alignment horizontal="center" vertical="top" wrapText="1"/>
    </xf>
    <xf numFmtId="0" fontId="8" fillId="3" borderId="33" xfId="0" applyNumberFormat="1" applyFont="1" applyFill="1" applyBorder="1" applyAlignment="1">
      <alignment horizontal="center" vertical="top" wrapText="1"/>
    </xf>
    <xf numFmtId="0" fontId="8" fillId="3" borderId="34" xfId="0" applyFont="1" applyFill="1" applyBorder="1" applyAlignment="1">
      <alignment horizontal="center" vertical="top"/>
    </xf>
    <xf numFmtId="0" fontId="2" fillId="3" borderId="35" xfId="0" applyFont="1" applyFill="1" applyBorder="1" applyAlignment="1">
      <alignment horizontal="left" vertical="center" indent="1"/>
    </xf>
    <xf numFmtId="0" fontId="2" fillId="3" borderId="36" xfId="0" applyFont="1" applyFill="1" applyBorder="1" applyAlignment="1">
      <alignment horizontal="left" vertical="center" indent="1"/>
    </xf>
    <xf numFmtId="9" fontId="7" fillId="3" borderId="1" xfId="1" applyFont="1" applyFill="1" applyBorder="1" applyAlignment="1">
      <alignment horizontal="right"/>
    </xf>
    <xf numFmtId="9" fontId="7" fillId="3" borderId="4" xfId="1" applyFont="1" applyFill="1" applyBorder="1" applyAlignment="1">
      <alignment horizontal="right"/>
    </xf>
    <xf numFmtId="9" fontId="9" fillId="4" borderId="7" xfId="1" applyFont="1" applyFill="1" applyBorder="1" applyAlignment="1">
      <alignment horizontal="right"/>
    </xf>
    <xf numFmtId="9" fontId="9" fillId="4" borderId="10" xfId="1" applyFont="1" applyFill="1" applyBorder="1" applyAlignment="1">
      <alignment horizontal="right"/>
    </xf>
    <xf numFmtId="9" fontId="9" fillId="5" borderId="14" xfId="1" applyFont="1" applyFill="1" applyBorder="1" applyAlignment="1">
      <alignment horizontal="right"/>
    </xf>
    <xf numFmtId="9" fontId="9" fillId="5" borderId="17" xfId="1" applyFont="1" applyFill="1" applyBorder="1" applyAlignment="1">
      <alignment horizontal="right"/>
    </xf>
    <xf numFmtId="9" fontId="10" fillId="5" borderId="14" xfId="1" applyFont="1" applyFill="1" applyBorder="1" applyAlignment="1">
      <alignment horizontal="right"/>
    </xf>
    <xf numFmtId="9" fontId="10" fillId="5" borderId="17" xfId="1" applyFont="1" applyFill="1" applyBorder="1" applyAlignment="1">
      <alignment horizontal="right"/>
    </xf>
    <xf numFmtId="9" fontId="10" fillId="5" borderId="25" xfId="1" applyFont="1" applyFill="1" applyBorder="1" applyAlignment="1">
      <alignment horizontal="right"/>
    </xf>
    <xf numFmtId="0" fontId="3" fillId="0" borderId="0" xfId="0" applyFont="1" applyFill="1" applyBorder="1"/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/>
    <xf numFmtId="0" fontId="8" fillId="0" borderId="0" xfId="0" applyFont="1" applyFill="1" applyBorder="1" applyAlignment="1">
      <alignment horizontal="left" indent="1"/>
    </xf>
    <xf numFmtId="9" fontId="9" fillId="5" borderId="37" xfId="1" applyFont="1" applyFill="1" applyBorder="1" applyAlignment="1">
      <alignment horizontal="right" indent="1"/>
    </xf>
    <xf numFmtId="164" fontId="9" fillId="5" borderId="38" xfId="0" applyNumberFormat="1" applyFont="1" applyFill="1" applyBorder="1" applyAlignment="1">
      <alignment horizontal="right" indent="1"/>
    </xf>
    <xf numFmtId="0" fontId="9" fillId="0" borderId="39" xfId="0" applyFont="1" applyFill="1" applyBorder="1" applyAlignment="1">
      <alignment horizontal="right" indent="1"/>
    </xf>
    <xf numFmtId="9" fontId="9" fillId="5" borderId="35" xfId="1" applyFont="1" applyFill="1" applyBorder="1" applyAlignment="1">
      <alignment horizontal="right" indent="1"/>
    </xf>
    <xf numFmtId="164" fontId="9" fillId="5" borderId="40" xfId="0" applyNumberFormat="1" applyFont="1" applyFill="1" applyBorder="1"/>
    <xf numFmtId="0" fontId="9" fillId="0" borderId="41" xfId="0" applyFont="1" applyFill="1" applyBorder="1" applyAlignment="1">
      <alignment horizontal="right" indent="1"/>
    </xf>
    <xf numFmtId="0" fontId="9" fillId="0" borderId="42" xfId="0" applyFont="1" applyFill="1" applyBorder="1" applyAlignment="1">
      <alignment horizontal="right" indent="1"/>
    </xf>
    <xf numFmtId="0" fontId="11" fillId="2" borderId="43" xfId="0" applyFont="1" applyFill="1" applyBorder="1" applyAlignment="1">
      <alignment horizontal="left" indent="1"/>
    </xf>
    <xf numFmtId="0" fontId="9" fillId="0" borderId="36" xfId="0" applyFont="1" applyFill="1" applyBorder="1" applyAlignment="1">
      <alignment horizontal="left" indent="1"/>
    </xf>
    <xf numFmtId="9" fontId="9" fillId="5" borderId="21" xfId="1" applyFont="1" applyFill="1" applyBorder="1" applyAlignment="1">
      <alignment horizontal="right" indent="1"/>
    </xf>
    <xf numFmtId="164" fontId="9" fillId="5" borderId="15" xfId="0" applyNumberFormat="1" applyFont="1" applyFill="1" applyBorder="1" applyAlignment="1">
      <alignment horizontal="right" indent="1"/>
    </xf>
    <xf numFmtId="0" fontId="9" fillId="0" borderId="16" xfId="0" applyFont="1" applyFill="1" applyBorder="1" applyAlignment="1">
      <alignment horizontal="right" indent="1"/>
    </xf>
    <xf numFmtId="9" fontId="9" fillId="5" borderId="17" xfId="1" applyFont="1" applyFill="1" applyBorder="1" applyAlignment="1">
      <alignment horizontal="right" indent="1"/>
    </xf>
    <xf numFmtId="1" fontId="9" fillId="0" borderId="16" xfId="0" applyNumberFormat="1" applyFont="1" applyFill="1" applyBorder="1" applyAlignment="1">
      <alignment horizontal="right" indent="1"/>
    </xf>
    <xf numFmtId="1" fontId="9" fillId="0" borderId="17" xfId="0" applyNumberFormat="1" applyFont="1" applyFill="1" applyBorder="1" applyAlignment="1">
      <alignment horizontal="right" indent="1"/>
    </xf>
    <xf numFmtId="0" fontId="9" fillId="0" borderId="18" xfId="0" applyFont="1" applyFill="1" applyBorder="1" applyAlignment="1">
      <alignment horizontal="right" indent="1"/>
    </xf>
    <xf numFmtId="0" fontId="9" fillId="0" borderId="23" xfId="0" applyFont="1" applyFill="1" applyBorder="1" applyAlignment="1">
      <alignment horizontal="left" indent="1"/>
    </xf>
    <xf numFmtId="0" fontId="9" fillId="0" borderId="44" xfId="0" applyFont="1" applyFill="1" applyBorder="1" applyAlignment="1">
      <alignment horizontal="left" indent="1"/>
    </xf>
    <xf numFmtId="0" fontId="9" fillId="0" borderId="17" xfId="0" applyFont="1" applyFill="1" applyBorder="1" applyAlignment="1">
      <alignment horizontal="right" indent="1"/>
    </xf>
    <xf numFmtId="0" fontId="12" fillId="2" borderId="0" xfId="0" applyFont="1" applyFill="1"/>
    <xf numFmtId="9" fontId="13" fillId="5" borderId="21" xfId="1" applyFont="1" applyFill="1" applyBorder="1" applyAlignment="1">
      <alignment horizontal="right" indent="1"/>
    </xf>
    <xf numFmtId="164" fontId="13" fillId="5" borderId="15" xfId="0" applyNumberFormat="1" applyFont="1" applyFill="1" applyBorder="1" applyAlignment="1">
      <alignment horizontal="right" indent="1"/>
    </xf>
    <xf numFmtId="0" fontId="13" fillId="0" borderId="16" xfId="0" applyFont="1" applyFill="1" applyBorder="1" applyAlignment="1">
      <alignment horizontal="right" indent="1"/>
    </xf>
    <xf numFmtId="9" fontId="13" fillId="5" borderId="0" xfId="1" applyFont="1" applyFill="1" applyBorder="1" applyAlignment="1">
      <alignment horizontal="right" indent="1"/>
    </xf>
    <xf numFmtId="0" fontId="13" fillId="0" borderId="17" xfId="0" applyFont="1" applyFill="1" applyBorder="1" applyAlignment="1">
      <alignment horizontal="right" indent="1"/>
    </xf>
    <xf numFmtId="0" fontId="13" fillId="0" borderId="18" xfId="0" applyFont="1" applyFill="1" applyBorder="1" applyAlignment="1">
      <alignment horizontal="right" indent="1"/>
    </xf>
    <xf numFmtId="0" fontId="13" fillId="0" borderId="23" xfId="0" applyFont="1" applyFill="1" applyBorder="1" applyAlignment="1">
      <alignment horizontal="left" indent="2"/>
    </xf>
    <xf numFmtId="0" fontId="13" fillId="0" borderId="44" xfId="0" applyFont="1" applyFill="1" applyBorder="1" applyAlignment="1">
      <alignment horizontal="left" indent="2"/>
    </xf>
    <xf numFmtId="9" fontId="13" fillId="5" borderId="17" xfId="1" applyFont="1" applyFill="1" applyBorder="1" applyAlignment="1">
      <alignment horizontal="right" indent="1"/>
    </xf>
    <xf numFmtId="9" fontId="14" fillId="5" borderId="45" xfId="1" applyFont="1" applyFill="1" applyBorder="1" applyAlignment="1">
      <alignment horizontal="right"/>
    </xf>
    <xf numFmtId="165" fontId="14" fillId="5" borderId="15" xfId="1" applyNumberFormat="1" applyFont="1" applyFill="1" applyBorder="1" applyAlignment="1">
      <alignment horizontal="right"/>
    </xf>
    <xf numFmtId="165" fontId="14" fillId="0" borderId="16" xfId="1" applyNumberFormat="1" applyFont="1" applyFill="1" applyBorder="1"/>
    <xf numFmtId="9" fontId="14" fillId="5" borderId="46" xfId="1" applyFont="1" applyFill="1" applyBorder="1" applyAlignment="1">
      <alignment horizontal="right"/>
    </xf>
    <xf numFmtId="165" fontId="14" fillId="0" borderId="46" xfId="1" applyNumberFormat="1" applyFont="1" applyFill="1" applyBorder="1"/>
    <xf numFmtId="165" fontId="14" fillId="0" borderId="47" xfId="1" applyNumberFormat="1" applyFont="1" applyFill="1" applyBorder="1"/>
    <xf numFmtId="164" fontId="7" fillId="3" borderId="48" xfId="0" applyNumberFormat="1" applyFont="1" applyFill="1" applyBorder="1"/>
    <xf numFmtId="0" fontId="8" fillId="3" borderId="34" xfId="0" applyNumberFormat="1" applyFont="1" applyFill="1" applyBorder="1" applyAlignment="1">
      <alignment horizontal="center" vertical="top" wrapText="1"/>
    </xf>
    <xf numFmtId="0" fontId="8" fillId="3" borderId="49" xfId="0" applyNumberFormat="1" applyFont="1" applyFill="1" applyBorder="1" applyAlignment="1">
      <alignment horizontal="center" vertical="top" wrapText="1"/>
    </xf>
    <xf numFmtId="3" fontId="8" fillId="3" borderId="52" xfId="0" applyNumberFormat="1" applyFont="1" applyFill="1" applyBorder="1" applyAlignment="1">
      <alignment horizontal="center" vertical="center" wrapText="1"/>
    </xf>
    <xf numFmtId="3" fontId="8" fillId="3" borderId="54" xfId="0" applyNumberFormat="1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3" fontId="8" fillId="3" borderId="55" xfId="0" applyNumberFormat="1" applyFont="1" applyFill="1" applyBorder="1" applyAlignment="1">
      <alignment horizontal="center" vertical="center" wrapText="1"/>
    </xf>
    <xf numFmtId="0" fontId="3" fillId="3" borderId="17" xfId="0" applyFont="1" applyFill="1" applyBorder="1"/>
    <xf numFmtId="0" fontId="3" fillId="3" borderId="0" xfId="0" applyFont="1" applyFill="1"/>
    <xf numFmtId="0" fontId="3" fillId="2" borderId="0" xfId="0" applyFont="1" applyFill="1" applyBorder="1" applyAlignment="1"/>
    <xf numFmtId="4" fontId="3" fillId="2" borderId="0" xfId="0" applyNumberFormat="1" applyFont="1" applyFill="1" applyBorder="1" applyAlignment="1"/>
    <xf numFmtId="17" fontId="16" fillId="2" borderId="0" xfId="0" applyNumberFormat="1" applyFont="1" applyFill="1" applyBorder="1" applyAlignment="1">
      <alignment horizontal="left"/>
    </xf>
    <xf numFmtId="0" fontId="7" fillId="0" borderId="0" xfId="0" applyFont="1" applyFill="1" applyBorder="1"/>
    <xf numFmtId="0" fontId="3" fillId="2" borderId="0" xfId="0" applyFont="1" applyFill="1" applyBorder="1"/>
    <xf numFmtId="0" fontId="3" fillId="2" borderId="62" xfId="0" applyFont="1" applyFill="1" applyBorder="1" applyAlignment="1"/>
    <xf numFmtId="17" fontId="16" fillId="2" borderId="63" xfId="0" applyNumberFormat="1" applyFont="1" applyFill="1" applyBorder="1" applyAlignment="1">
      <alignment horizontal="left"/>
    </xf>
    <xf numFmtId="0" fontId="7" fillId="3" borderId="63" xfId="0" applyFont="1" applyFill="1" applyBorder="1"/>
    <xf numFmtId="0" fontId="17" fillId="2" borderId="0" xfId="0" applyFont="1" applyFill="1"/>
    <xf numFmtId="166" fontId="16" fillId="2" borderId="63" xfId="0" applyNumberFormat="1" applyFont="1" applyFill="1" applyBorder="1" applyAlignment="1">
      <alignment horizontal="left"/>
    </xf>
    <xf numFmtId="0" fontId="16" fillId="2" borderId="63" xfId="0" applyFont="1" applyFill="1" applyBorder="1"/>
    <xf numFmtId="0" fontId="18" fillId="2" borderId="0" xfId="0" applyFont="1" applyFill="1" applyBorder="1" applyAlignment="1">
      <alignment horizontal="left" vertical="center"/>
    </xf>
    <xf numFmtId="167" fontId="8" fillId="3" borderId="9" xfId="0" applyNumberFormat="1" applyFont="1" applyFill="1" applyBorder="1" applyAlignment="1">
      <alignment horizontal="center" vertical="top" wrapText="1"/>
    </xf>
    <xf numFmtId="166" fontId="16" fillId="2" borderId="63" xfId="0" quotePrefix="1" applyNumberFormat="1" applyFont="1" applyFill="1" applyBorder="1" applyAlignment="1">
      <alignment horizontal="left"/>
    </xf>
    <xf numFmtId="0" fontId="16" fillId="2" borderId="0" xfId="0" applyFont="1" applyFill="1" applyBorder="1"/>
    <xf numFmtId="166" fontId="16" fillId="2" borderId="0" xfId="0" quotePrefix="1" applyNumberFormat="1" applyFont="1" applyFill="1" applyBorder="1" applyAlignment="1">
      <alignment horizontal="left"/>
    </xf>
    <xf numFmtId="0" fontId="2" fillId="3" borderId="64" xfId="0" applyFont="1" applyFill="1" applyBorder="1" applyAlignment="1">
      <alignment horizontal="left" vertical="center" indent="1"/>
    </xf>
    <xf numFmtId="0" fontId="10" fillId="2" borderId="65" xfId="0" applyFont="1" applyFill="1" applyBorder="1" applyAlignment="1">
      <alignment horizontal="left" indent="4"/>
    </xf>
    <xf numFmtId="0" fontId="10" fillId="2" borderId="0" xfId="0" applyFont="1" applyFill="1" applyBorder="1" applyAlignment="1">
      <alignment horizontal="left" indent="4"/>
    </xf>
    <xf numFmtId="167" fontId="8" fillId="3" borderId="10" xfId="0" applyNumberFormat="1" applyFont="1" applyFill="1" applyBorder="1" applyAlignment="1">
      <alignment horizontal="center" vertical="top" wrapText="1"/>
    </xf>
    <xf numFmtId="0" fontId="3" fillId="3" borderId="21" xfId="0" applyFont="1" applyFill="1" applyBorder="1"/>
    <xf numFmtId="0" fontId="2" fillId="3" borderId="37" xfId="0" applyFont="1" applyFill="1" applyBorder="1" applyAlignment="1">
      <alignment horizontal="left" vertical="center" indent="1"/>
    </xf>
    <xf numFmtId="0" fontId="10" fillId="2" borderId="67" xfId="0" applyFont="1" applyFill="1" applyBorder="1" applyAlignment="1">
      <alignment horizontal="left" indent="4"/>
    </xf>
    <xf numFmtId="0" fontId="10" fillId="2" borderId="68" xfId="0" applyFont="1" applyFill="1" applyBorder="1" applyAlignment="1">
      <alignment horizontal="left" indent="4"/>
    </xf>
    <xf numFmtId="0" fontId="9" fillId="2" borderId="68" xfId="0" applyFont="1" applyFill="1" applyBorder="1" applyAlignment="1">
      <alignment horizontal="left" indent="3"/>
    </xf>
    <xf numFmtId="0" fontId="10" fillId="0" borderId="68" xfId="0" applyFont="1" applyFill="1" applyBorder="1" applyAlignment="1">
      <alignment horizontal="left" indent="4"/>
    </xf>
    <xf numFmtId="0" fontId="9" fillId="5" borderId="68" xfId="0" applyFont="1" applyFill="1" applyBorder="1" applyAlignment="1">
      <alignment horizontal="left" indent="2"/>
    </xf>
    <xf numFmtId="0" fontId="9" fillId="5" borderId="21" xfId="0" applyFont="1" applyFill="1" applyBorder="1" applyAlignment="1">
      <alignment horizontal="left" indent="2"/>
    </xf>
    <xf numFmtId="0" fontId="8" fillId="3" borderId="69" xfId="0" applyFont="1" applyFill="1" applyBorder="1" applyAlignment="1">
      <alignment horizontal="left" vertical="center"/>
    </xf>
    <xf numFmtId="164" fontId="7" fillId="3" borderId="70" xfId="0" applyNumberFormat="1" applyFont="1" applyFill="1" applyBorder="1"/>
    <xf numFmtId="165" fontId="14" fillId="0" borderId="71" xfId="1" applyNumberFormat="1" applyFont="1" applyFill="1" applyBorder="1"/>
    <xf numFmtId="0" fontId="13" fillId="0" borderId="72" xfId="0" applyFont="1" applyFill="1" applyBorder="1" applyAlignment="1">
      <alignment horizontal="right" indent="1"/>
    </xf>
    <xf numFmtId="0" fontId="9" fillId="0" borderId="72" xfId="0" applyFont="1" applyFill="1" applyBorder="1" applyAlignment="1">
      <alignment horizontal="right" indent="1"/>
    </xf>
    <xf numFmtId="1" fontId="9" fillId="0" borderId="72" xfId="0" applyNumberFormat="1" applyFont="1" applyFill="1" applyBorder="1" applyAlignment="1">
      <alignment horizontal="right" indent="1"/>
    </xf>
    <xf numFmtId="0" fontId="9" fillId="0" borderId="73" xfId="0" applyFont="1" applyFill="1" applyBorder="1" applyAlignment="1">
      <alignment horizontal="right" indent="1"/>
    </xf>
    <xf numFmtId="0" fontId="9" fillId="5" borderId="74" xfId="0" applyFont="1" applyFill="1" applyBorder="1" applyAlignment="1">
      <alignment horizontal="left" indent="2"/>
    </xf>
    <xf numFmtId="0" fontId="9" fillId="4" borderId="75" xfId="0" applyFont="1" applyFill="1" applyBorder="1" applyAlignment="1">
      <alignment horizontal="left" indent="1"/>
    </xf>
    <xf numFmtId="0" fontId="9" fillId="2" borderId="74" xfId="0" applyFont="1" applyFill="1" applyBorder="1" applyAlignment="1">
      <alignment horizontal="left" indent="3"/>
    </xf>
    <xf numFmtId="0" fontId="8" fillId="3" borderId="76" xfId="0" applyFont="1" applyFill="1" applyBorder="1" applyAlignment="1">
      <alignment horizontal="center" vertical="top"/>
    </xf>
    <xf numFmtId="164" fontId="10" fillId="2" borderId="77" xfId="0" applyNumberFormat="1" applyFont="1" applyFill="1" applyBorder="1"/>
    <xf numFmtId="164" fontId="10" fillId="2" borderId="72" xfId="0" applyNumberFormat="1" applyFont="1" applyFill="1" applyBorder="1"/>
    <xf numFmtId="164" fontId="9" fillId="2" borderId="72" xfId="0" applyNumberFormat="1" applyFont="1" applyFill="1" applyBorder="1"/>
    <xf numFmtId="164" fontId="9" fillId="5" borderId="72" xfId="0" applyNumberFormat="1" applyFont="1" applyFill="1" applyBorder="1"/>
    <xf numFmtId="164" fontId="10" fillId="0" borderId="72" xfId="0" applyNumberFormat="1" applyFont="1" applyFill="1" applyBorder="1"/>
    <xf numFmtId="164" fontId="9" fillId="4" borderId="78" xfId="0" applyNumberFormat="1" applyFont="1" applyFill="1" applyBorder="1"/>
    <xf numFmtId="167" fontId="8" fillId="3" borderId="8" xfId="0" applyNumberFormat="1" applyFont="1" applyFill="1" applyBorder="1" applyAlignment="1">
      <alignment horizontal="center" vertical="top" wrapText="1"/>
    </xf>
    <xf numFmtId="167" fontId="8" fillId="3" borderId="78" xfId="0" applyNumberFormat="1" applyFont="1" applyFill="1" applyBorder="1" applyAlignment="1">
      <alignment horizontal="center" vertical="top" wrapText="1"/>
    </xf>
    <xf numFmtId="164" fontId="10" fillId="2" borderId="65" xfId="0" applyNumberFormat="1" applyFont="1" applyFill="1" applyBorder="1"/>
    <xf numFmtId="164" fontId="10" fillId="2" borderId="0" xfId="0" applyNumberFormat="1" applyFont="1" applyFill="1" applyBorder="1"/>
    <xf numFmtId="164" fontId="9" fillId="2" borderId="0" xfId="0" applyNumberFormat="1" applyFont="1" applyFill="1" applyBorder="1"/>
    <xf numFmtId="164" fontId="9" fillId="5" borderId="0" xfId="0" applyNumberFormat="1" applyFont="1" applyFill="1" applyBorder="1"/>
    <xf numFmtId="164" fontId="10" fillId="0" borderId="0" xfId="0" applyNumberFormat="1" applyFont="1" applyFill="1" applyBorder="1"/>
    <xf numFmtId="164" fontId="9" fillId="4" borderId="66" xfId="0" applyNumberFormat="1" applyFont="1" applyFill="1" applyBorder="1"/>
    <xf numFmtId="164" fontId="7" fillId="3" borderId="1" xfId="0" applyNumberFormat="1" applyFont="1" applyFill="1" applyBorder="1"/>
    <xf numFmtId="165" fontId="14" fillId="0" borderId="80" xfId="1" applyNumberFormat="1" applyFont="1" applyFill="1" applyBorder="1"/>
    <xf numFmtId="0" fontId="13" fillId="0" borderId="0" xfId="0" applyFont="1" applyFill="1" applyBorder="1" applyAlignment="1">
      <alignment horizontal="right" indent="1"/>
    </xf>
    <xf numFmtId="0" fontId="9" fillId="0" borderId="0" xfId="0" applyFont="1" applyFill="1" applyBorder="1" applyAlignment="1">
      <alignment horizontal="right" indent="1"/>
    </xf>
    <xf numFmtId="1" fontId="9" fillId="0" borderId="0" xfId="0" applyNumberFormat="1" applyFont="1" applyFill="1" applyBorder="1" applyAlignment="1">
      <alignment horizontal="right" indent="1"/>
    </xf>
    <xf numFmtId="0" fontId="9" fillId="0" borderId="40" xfId="0" applyFont="1" applyFill="1" applyBorder="1" applyAlignment="1">
      <alignment horizontal="right" indent="1"/>
    </xf>
    <xf numFmtId="0" fontId="9" fillId="0" borderId="81" xfId="0" applyFont="1" applyFill="1" applyBorder="1" applyAlignment="1">
      <alignment horizontal="right" indent="1"/>
    </xf>
    <xf numFmtId="167" fontId="8" fillId="3" borderId="83" xfId="0" applyNumberFormat="1" applyFont="1" applyFill="1" applyBorder="1" applyAlignment="1">
      <alignment horizontal="center" vertical="top" wrapText="1"/>
    </xf>
    <xf numFmtId="0" fontId="8" fillId="3" borderId="84" xfId="0" applyFont="1" applyFill="1" applyBorder="1" applyAlignment="1">
      <alignment horizontal="center" vertical="top"/>
    </xf>
    <xf numFmtId="164" fontId="10" fillId="2" borderId="85" xfId="0" applyNumberFormat="1" applyFont="1" applyFill="1" applyBorder="1"/>
    <xf numFmtId="164" fontId="10" fillId="2" borderId="86" xfId="0" applyNumberFormat="1" applyFont="1" applyFill="1" applyBorder="1"/>
    <xf numFmtId="164" fontId="9" fillId="2" borderId="86" xfId="0" applyNumberFormat="1" applyFont="1" applyFill="1" applyBorder="1"/>
    <xf numFmtId="164" fontId="9" fillId="5" borderId="86" xfId="0" applyNumberFormat="1" applyFont="1" applyFill="1" applyBorder="1"/>
    <xf numFmtId="164" fontId="10" fillId="0" borderId="86" xfId="0" applyNumberFormat="1" applyFont="1" applyFill="1" applyBorder="1"/>
    <xf numFmtId="164" fontId="9" fillId="4" borderId="83" xfId="0" applyNumberFormat="1" applyFont="1" applyFill="1" applyBorder="1"/>
    <xf numFmtId="164" fontId="7" fillId="3" borderId="87" xfId="0" applyNumberFormat="1" applyFont="1" applyFill="1" applyBorder="1"/>
    <xf numFmtId="165" fontId="14" fillId="0" borderId="88" xfId="1" applyNumberFormat="1" applyFont="1" applyFill="1" applyBorder="1"/>
    <xf numFmtId="0" fontId="13" fillId="0" borderId="86" xfId="0" applyFont="1" applyFill="1" applyBorder="1" applyAlignment="1">
      <alignment horizontal="right" indent="1"/>
    </xf>
    <xf numFmtId="0" fontId="9" fillId="0" borderId="86" xfId="0" applyFont="1" applyFill="1" applyBorder="1" applyAlignment="1">
      <alignment horizontal="right" indent="1"/>
    </xf>
    <xf numFmtId="1" fontId="9" fillId="0" borderId="86" xfId="0" applyNumberFormat="1" applyFont="1" applyFill="1" applyBorder="1" applyAlignment="1">
      <alignment horizontal="right" indent="1"/>
    </xf>
    <xf numFmtId="0" fontId="9" fillId="0" borderId="89" xfId="0" applyFont="1" applyFill="1" applyBorder="1" applyAlignment="1">
      <alignment horizontal="right" indent="1"/>
    </xf>
    <xf numFmtId="0" fontId="8" fillId="3" borderId="90" xfId="0" applyFont="1" applyFill="1" applyBorder="1" applyAlignment="1">
      <alignment horizontal="center" vertical="top"/>
    </xf>
    <xf numFmtId="0" fontId="8" fillId="0" borderId="91" xfId="0" applyFont="1" applyFill="1" applyBorder="1" applyAlignment="1">
      <alignment horizontal="left" indent="1"/>
    </xf>
    <xf numFmtId="0" fontId="3" fillId="2" borderId="92" xfId="0" applyFont="1" applyFill="1" applyBorder="1"/>
    <xf numFmtId="167" fontId="8" fillId="3" borderId="93" xfId="0" applyNumberFormat="1" applyFont="1" applyFill="1" applyBorder="1" applyAlignment="1">
      <alignment horizontal="center" vertical="top" wrapText="1"/>
    </xf>
    <xf numFmtId="0" fontId="8" fillId="3" borderId="94" xfId="0" applyFont="1" applyFill="1" applyBorder="1" applyAlignment="1">
      <alignment horizontal="center" vertical="top"/>
    </xf>
    <xf numFmtId="164" fontId="10" fillId="2" borderId="95" xfId="0" applyNumberFormat="1" applyFont="1" applyFill="1" applyBorder="1"/>
    <xf numFmtId="164" fontId="10" fillId="2" borderId="21" xfId="0" applyNumberFormat="1" applyFont="1" applyFill="1" applyBorder="1"/>
    <xf numFmtId="164" fontId="9" fillId="2" borderId="21" xfId="0" applyNumberFormat="1" applyFont="1" applyFill="1" applyBorder="1"/>
    <xf numFmtId="164" fontId="9" fillId="5" borderId="21" xfId="0" applyNumberFormat="1" applyFont="1" applyFill="1" applyBorder="1"/>
    <xf numFmtId="164" fontId="10" fillId="0" borderId="21" xfId="0" applyNumberFormat="1" applyFont="1" applyFill="1" applyBorder="1"/>
    <xf numFmtId="164" fontId="9" fillId="4" borderId="7" xfId="0" applyNumberFormat="1" applyFont="1" applyFill="1" applyBorder="1"/>
    <xf numFmtId="164" fontId="7" fillId="3" borderId="96" xfId="0" applyNumberFormat="1" applyFont="1" applyFill="1" applyBorder="1"/>
    <xf numFmtId="165" fontId="14" fillId="0" borderId="45" xfId="1" applyNumberFormat="1" applyFont="1" applyFill="1" applyBorder="1"/>
    <xf numFmtId="0" fontId="13" fillId="0" borderId="21" xfId="0" applyFont="1" applyFill="1" applyBorder="1" applyAlignment="1">
      <alignment horizontal="right" indent="1"/>
    </xf>
    <xf numFmtId="0" fontId="9" fillId="0" borderId="21" xfId="0" applyFont="1" applyFill="1" applyBorder="1" applyAlignment="1">
      <alignment horizontal="right" indent="1"/>
    </xf>
    <xf numFmtId="1" fontId="9" fillId="0" borderId="21" xfId="0" applyNumberFormat="1" applyFont="1" applyFill="1" applyBorder="1" applyAlignment="1">
      <alignment horizontal="right" indent="1"/>
    </xf>
    <xf numFmtId="0" fontId="9" fillId="0" borderId="97" xfId="0" applyFont="1" applyFill="1" applyBorder="1" applyAlignment="1">
      <alignment horizontal="right" indent="1"/>
    </xf>
    <xf numFmtId="0" fontId="19" fillId="2" borderId="0" xfId="0" applyFont="1" applyFill="1"/>
    <xf numFmtId="0" fontId="5" fillId="3" borderId="0" xfId="0" applyFont="1" applyFill="1" applyAlignment="1">
      <alignment horizontal="left" indent="1"/>
    </xf>
    <xf numFmtId="0" fontId="7" fillId="3" borderId="51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/>
    <xf numFmtId="3" fontId="17" fillId="2" borderId="0" xfId="0" applyNumberFormat="1" applyFont="1" applyFill="1"/>
    <xf numFmtId="164" fontId="10" fillId="6" borderId="85" xfId="0" applyNumberFormat="1" applyFont="1" applyFill="1" applyBorder="1"/>
    <xf numFmtId="164" fontId="10" fillId="6" borderId="86" xfId="0" applyNumberFormat="1" applyFont="1" applyFill="1" applyBorder="1"/>
    <xf numFmtId="164" fontId="9" fillId="6" borderId="86" xfId="0" applyNumberFormat="1" applyFont="1" applyFill="1" applyBorder="1"/>
    <xf numFmtId="164" fontId="9" fillId="7" borderId="86" xfId="0" applyNumberFormat="1" applyFont="1" applyFill="1" applyBorder="1"/>
    <xf numFmtId="164" fontId="9" fillId="8" borderId="83" xfId="0" applyNumberFormat="1" applyFont="1" applyFill="1" applyBorder="1"/>
    <xf numFmtId="165" fontId="14" fillId="6" borderId="88" xfId="1" applyNumberFormat="1" applyFont="1" applyFill="1" applyBorder="1"/>
    <xf numFmtId="0" fontId="13" fillId="6" borderId="86" xfId="0" applyFont="1" applyFill="1" applyBorder="1" applyAlignment="1">
      <alignment horizontal="right" indent="1"/>
    </xf>
    <xf numFmtId="0" fontId="9" fillId="6" borderId="86" xfId="0" applyFont="1" applyFill="1" applyBorder="1" applyAlignment="1">
      <alignment horizontal="right" indent="1"/>
    </xf>
    <xf numFmtId="1" fontId="9" fillId="6" borderId="86" xfId="0" applyNumberFormat="1" applyFont="1" applyFill="1" applyBorder="1" applyAlignment="1">
      <alignment horizontal="right" indent="1"/>
    </xf>
    <xf numFmtId="0" fontId="9" fillId="6" borderId="89" xfId="0" applyFont="1" applyFill="1" applyBorder="1" applyAlignment="1">
      <alignment horizontal="right" indent="1"/>
    </xf>
    <xf numFmtId="0" fontId="7" fillId="3" borderId="61" xfId="0" applyFont="1" applyFill="1" applyBorder="1" applyAlignment="1">
      <alignment horizontal="center"/>
    </xf>
    <xf numFmtId="0" fontId="7" fillId="3" borderId="60" xfId="0" applyFont="1" applyFill="1" applyBorder="1" applyAlignment="1">
      <alignment horizontal="center"/>
    </xf>
    <xf numFmtId="0" fontId="7" fillId="3" borderId="59" xfId="0" applyFont="1" applyFill="1" applyBorder="1" applyAlignment="1">
      <alignment horizontal="center"/>
    </xf>
    <xf numFmtId="3" fontId="8" fillId="3" borderId="56" xfId="0" applyNumberFormat="1" applyFont="1" applyFill="1" applyBorder="1" applyAlignment="1">
      <alignment horizontal="center" vertical="center" wrapText="1"/>
    </xf>
    <xf numFmtId="3" fontId="8" fillId="3" borderId="58" xfId="0" applyNumberFormat="1" applyFont="1" applyFill="1" applyBorder="1" applyAlignment="1">
      <alignment horizontal="center" vertical="center" wrapText="1"/>
    </xf>
    <xf numFmtId="3" fontId="8" fillId="3" borderId="57" xfId="0" applyNumberFormat="1" applyFont="1" applyFill="1" applyBorder="1" applyAlignment="1">
      <alignment horizontal="center" vertical="center" wrapText="1"/>
    </xf>
    <xf numFmtId="3" fontId="8" fillId="3" borderId="51" xfId="0" applyNumberFormat="1" applyFont="1" applyFill="1" applyBorder="1" applyAlignment="1">
      <alignment horizontal="center" vertical="center" wrapText="1"/>
    </xf>
    <xf numFmtId="3" fontId="8" fillId="3" borderId="50" xfId="0" applyNumberFormat="1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vertical="center" wrapText="1"/>
    </xf>
    <xf numFmtId="0" fontId="7" fillId="3" borderId="61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/>
    </xf>
    <xf numFmtId="0" fontId="7" fillId="3" borderId="79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8140"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 val="0"/>
        <i val="0"/>
        <color theme="9" tint="-0.499984740745262"/>
      </font>
    </dxf>
    <dxf>
      <font>
        <b val="0"/>
        <i val="0"/>
        <color theme="9" tint="-0.499984740745262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5" tint="0.39994506668294322"/>
      </font>
    </dxf>
    <dxf>
      <font>
        <b/>
        <i val="0"/>
        <color theme="9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0.39994506668294322"/>
      </font>
    </dxf>
    <dxf>
      <font>
        <b/>
        <i val="0"/>
        <color theme="5" tint="0.39994506668294322"/>
      </font>
    </dxf>
    <dxf>
      <font>
        <b/>
        <i val="0"/>
        <color rgb="FF92D050"/>
      </font>
    </dxf>
    <dxf>
      <font>
        <b/>
        <i val="0"/>
        <color theme="5" tint="0.3999450666829432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color rgb="FFFF0000"/>
      </font>
    </dxf>
    <dxf>
      <font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rgb="FFFF0000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b/>
        <i val="0"/>
        <color theme="9" tint="-0.499984740745262"/>
      </font>
    </dxf>
    <dxf>
      <font>
        <b/>
        <i val="0"/>
        <color rgb="FFFF4F4F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  <dxf>
      <font>
        <color theme="9" tint="-0.499984740745262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fileserv\finshare\Users\Documents%20and%20Settings\VDavidov\Local%20Settings\Temporary%20Internet%20Files\OLK41F\Analyse\Base%20products\M&#233;taux\Acier\Pricing%20model\Steel%20assumptions\sta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\i%20drive\Documents%20and%20Settings\arunn\Local%20Settings\Temporary%20Internet%20Files\OLK1850\SPRM.SI.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search\Vadim\YUKOS\YUKO_MOD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SEARCH\VADIM\NOVATEK\NVTK_mod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_Manager\Mirogroup\&#1059;&#1087;&#1088;&#1072;&#1074;&#1083;&#1077;&#1085;&#1082;&#1072;\&#1057;&#1045;&#1054;\CEO%20report%20&#1052;&#1043;&#1056;_3%20m%20201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_BOARD%20OF%20DIRECTORS\2016\6m%202016\&#1053;&#1048;&#1048;\&#1053;&#1048;&#1048;%20_6%20&#1084;&#1077;&#1089;_201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.seperteladze\Desktop\&#1044;&#1045;&#1051;&#1054;\&#1041;&#1070;&#1044;&#1046;&#1045;&#1058;\&#1092;&#1080;&#1085;&#1072;&#1083;&#1100;&#1085;&#1099;&#1077;%20&#1074;&#1077;&#1088;&#1089;&#1080;&#1080;\&#1041;&#1102;&#1076;&#1078;&#1077;&#1090;%202016-2017%20&#1052;&#1043;&#1056;%20BIZ%20PLAN%20final%20v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2231%20Financial%20Statements%20(BS%20and%20IS)%20for%20the%20period%20ended%2031%2012%202009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s2\%20Cherkizovo%20Group%20Final%202010\2231%20Financial%20Statements%20(BS%20and%20IS)%20for%2012m%20201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91.6332%20ST&amp;LT%20rollforward%20and%20testing%20200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.seperteladze\Downloads\Users\ENedashkovskaya\AppData\Local\Microsoft\Windows\Temporary%20Internet%20Files\Content.Outlook\KG4OY7R4\&#1088;&#1072;&#1073;&#1086;&#1090;&#1072;\&#1041;&#1102;&#1076;&#1078;&#1077;&#1090;%202013\BUDGET_form_KSK_2013_v1.0%20&#1092;&#1080;&#1085;&#1072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  <sheetName val="Tav_22_Rischio_di_Credito"/>
      <sheetName val="SP_puntuale"/>
      <sheetName val="Settore_composizione"/>
      <sheetName val="Tav_23_Sofferenze_dettaglio"/>
      <sheetName val="Oneri_di_Gestione"/>
      <sheetName val="Serie2_(last_but_not_least)"/>
      <sheetName val="SP_medio"/>
      <sheetName val="Patrimonio_netto"/>
      <sheetName val="File_vuoto"/>
      <sheetName val="totale_patr_"/>
      <sheetName val="R&amp;R_Il_Sole_24_Ore"/>
      <sheetName val="6_GPF_&amp;_GPM"/>
      <sheetName val="9_Costo_personale"/>
      <sheetName val="10_Spese_Amm__&amp;_Rett_Acc_"/>
      <sheetName val="quarterly_income_and_e&amp;p"/>
      <sheetName val="Tav_22 Rischio di Credito"/>
      <sheetName val="Tav_23 Sofferenze dettaglio"/>
      <sheetName val="Serie2 _last but not least_"/>
      <sheetName val="ORE AJE"/>
      <sheetName val="Лист2"/>
      <sheetName val="FX"/>
      <sheetName val="Справочник"/>
      <sheetName val="Prelim Cost"/>
      <sheetName val="lang"/>
      <sheetName val="[͘_x0000__x0004__x0000__x0000__x0000__x0000__x0000__x0000_䞬е_x0000__x0000__x0000__x0000__x0000__x0000__x0000__x0000__xd978_͘_x0000__x0000__x0019__x0000__x0000__x0000__x0000__x0000_"/>
      <sheetName val="italy"/>
      <sheetName val="Datos"/>
      <sheetName val="98IN03AT"/>
      <sheetName val="Control"/>
      <sheetName val="Sheet1"/>
      <sheetName val="100"/>
      <sheetName val="[͘䞬е͘"/>
      <sheetName val="LCR by busin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R COSTS"/>
      <sheetName val="Sales Plan "/>
      <sheetName val="PL VTB"/>
      <sheetName val="Assumptions"/>
      <sheetName val="financing costs"/>
      <sheetName val="PL"/>
      <sheetName val="PL(Прогноз)"/>
      <sheetName val="PL для свода"/>
      <sheetName val="трансформация МСФО"/>
      <sheetName val="бюджетная форма"/>
      <sheetName val="гарантии и проценты к получ"/>
      <sheetName val="НДС расчет"/>
      <sheetName val="PRICES"/>
      <sheetName val="ST EXPORT"/>
      <sheetName val="2Y Graph"/>
      <sheetName val="PrGRAPH"/>
      <sheetName val="SALESPRES"/>
      <sheetName val="QoQ overview"/>
      <sheetName val="ImpExport"/>
      <sheetName val="ST PROD_MEPS"/>
      <sheetName val="CONS"/>
      <sheetName val="Summary"/>
      <sheetName val="PROD_MB_MAAND"/>
      <sheetName val="PROD_MB_HJ"/>
      <sheetName val="ST_EXPORT"/>
      <sheetName val="2Y_Graph"/>
      <sheetName val="QoQ_overview"/>
      <sheetName val="ST_PROD_MEPS"/>
    </sheetNames>
    <sheetDataSet>
      <sheetData sheetId="0"/>
      <sheetData sheetId="1"/>
      <sheetData sheetId="2"/>
      <sheetData sheetId="3"/>
      <sheetData sheetId="4"/>
      <sheetData sheetId="5">
        <row r="7">
          <cell r="B7">
            <v>4769181.6750209089</v>
          </cell>
        </row>
        <row r="60">
          <cell r="C60">
            <v>0</v>
          </cell>
          <cell r="D60">
            <v>0</v>
          </cell>
        </row>
        <row r="61">
          <cell r="C61">
            <v>0</v>
          </cell>
          <cell r="D61">
            <v>0</v>
          </cell>
        </row>
        <row r="62">
          <cell r="C62">
            <v>0</v>
          </cell>
          <cell r="D62">
            <v>0</v>
          </cell>
        </row>
        <row r="63">
          <cell r="C63">
            <v>0</v>
          </cell>
          <cell r="D63">
            <v>0</v>
          </cell>
        </row>
        <row r="64">
          <cell r="C64">
            <v>0</v>
          </cell>
          <cell r="D64">
            <v>0</v>
          </cell>
        </row>
        <row r="65">
          <cell r="C65">
            <v>0</v>
          </cell>
          <cell r="D65">
            <v>0</v>
          </cell>
        </row>
        <row r="66">
          <cell r="C66">
            <v>0</v>
          </cell>
          <cell r="D66">
            <v>0</v>
          </cell>
        </row>
        <row r="71">
          <cell r="E7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3"/>
      <sheetName val="Sheet3"/>
      <sheetName val="Chart12"/>
      <sheetName val="Sheet1 (2)"/>
      <sheetName val="Sheet1"/>
      <sheetName val="bond crap"/>
      <sheetName val="Chart1"/>
      <sheetName val="Chart2"/>
      <sheetName val="Chart3"/>
      <sheetName val="Chart4"/>
      <sheetName val="Chart5"/>
      <sheetName val="Chart6"/>
      <sheetName val="Chart7"/>
      <sheetName val="Chart8"/>
      <sheetName val="Chart9"/>
      <sheetName val="Chart10"/>
      <sheetName val="Chart11"/>
      <sheetName val="Chart14"/>
      <sheetName val="Chart15"/>
      <sheetName val="Chart17"/>
      <sheetName val="Chart16"/>
      <sheetName val="Chart18"/>
      <sheetName val="graphs"/>
      <sheetName val="valuation"/>
      <sheetName val="ACE-IN"/>
      <sheetName val="interims"/>
      <sheetName val="Op stats"/>
      <sheetName val="Financials"/>
      <sheetName val="circulation"/>
      <sheetName val="dep, interest and other inc "/>
      <sheetName val="employee costs"/>
      <sheetName val="srim request"/>
      <sheetName val="client calling list"/>
      <sheetName val="Sheet1_(2)"/>
      <sheetName val="bond_crap"/>
      <sheetName val="Op_stats"/>
      <sheetName val="dep,_interest_and_other_inc_"/>
      <sheetName val="employee_costs"/>
      <sheetName val="srim_request"/>
      <sheetName val="client_calling_list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s"/>
      <sheetName val="2000 US GAAP"/>
      <sheetName val="US GAAP results"/>
      <sheetName val="Model"/>
      <sheetName val="Sheet1"/>
      <sheetName val="Sheet2"/>
      <sheetName val="Sheet3"/>
      <sheetName val="Key Analyst Data"/>
      <sheetName val="Summary page"/>
      <sheetName val="Shareholders"/>
      <sheetName val="TMP summary"/>
      <sheetName val="Upstream Summary"/>
      <sheetName val="DCF"/>
      <sheetName val="CF Ch"/>
      <sheetName val="WACC"/>
      <sheetName val="Upstream Costs Ch"/>
      <sheetName val="Cost Profile"/>
      <sheetName val="Aux 1"/>
      <sheetName val="Capex estimates"/>
      <sheetName val="Forecasts_VDF"/>
      <sheetName val="2000_US_GAAP"/>
      <sheetName val="US_GAAP_results"/>
      <sheetName val="Key_Analyst_Data"/>
      <sheetName val="Summary_page"/>
      <sheetName val="TMP_summary"/>
      <sheetName val="Upstream_Summary"/>
      <sheetName val="CF_Ch"/>
      <sheetName val="Upstream_Costs_Ch"/>
      <sheetName val="Cost_Profile"/>
      <sheetName val="Aux_1"/>
      <sheetName val="Capex_estimates"/>
      <sheetName val="YUKO_MOD10"/>
      <sheetName val="Page 10"/>
      <sheetName val="Aux"/>
      <sheetName val="Конкуренты_Вклады_CNY"/>
      <sheetName val="информация"/>
      <sheetName val="XLR_NoRangeSheet"/>
      <sheetName val="REITs &amp; S&amp;P"/>
      <sheetName val="cus_HK1033"/>
    </sheetNames>
    <sheetDataSet>
      <sheetData sheetId="0">
        <row r="1">
          <cell r="A1">
            <v>1</v>
          </cell>
        </row>
      </sheetData>
      <sheetData sheetId="1">
        <row r="1">
          <cell r="A1">
            <v>1</v>
          </cell>
        </row>
      </sheetData>
      <sheetData sheetId="2">
        <row r="276">
          <cell r="A276" t="str">
            <v>VAT (% of net price)</v>
          </cell>
        </row>
      </sheetData>
      <sheetData sheetId="3">
        <row r="276">
          <cell r="A276" t="str">
            <v>VAT (% of net price)</v>
          </cell>
        </row>
      </sheetData>
      <sheetData sheetId="4"/>
      <sheetData sheetId="5"/>
      <sheetData sheetId="6">
        <row r="1">
          <cell r="A1">
            <v>1</v>
          </cell>
        </row>
      </sheetData>
      <sheetData sheetId="7">
        <row r="1">
          <cell r="A1">
            <v>1</v>
          </cell>
        </row>
        <row r="12">
          <cell r="I12" t="str">
            <v>BUY</v>
          </cell>
        </row>
        <row r="14">
          <cell r="D14">
            <v>36525</v>
          </cell>
        </row>
        <row r="15">
          <cell r="D15" t="str">
            <v>A</v>
          </cell>
        </row>
        <row r="16">
          <cell r="D16">
            <v>5325.4147312541472</v>
          </cell>
        </row>
        <row r="17">
          <cell r="D17">
            <v>2148.2083609820834</v>
          </cell>
        </row>
        <row r="18">
          <cell r="D18">
            <v>1965.2621101526211</v>
          </cell>
        </row>
        <row r="19">
          <cell r="D19">
            <v>1474.4193762441937</v>
          </cell>
        </row>
        <row r="20">
          <cell r="G20">
            <v>1.276</v>
          </cell>
        </row>
        <row r="21">
          <cell r="D21">
            <v>0.6591080974009822</v>
          </cell>
        </row>
        <row r="22">
          <cell r="D22">
            <v>0.66625367204889008</v>
          </cell>
        </row>
        <row r="23">
          <cell r="D23">
            <v>5704.7389682558178</v>
          </cell>
        </row>
        <row r="24">
          <cell r="D24">
            <v>0.23837931396081424</v>
          </cell>
        </row>
        <row r="25">
          <cell r="D25">
            <v>14433.379050380934</v>
          </cell>
        </row>
        <row r="26">
          <cell r="D26">
            <v>0.12587520714159389</v>
          </cell>
        </row>
        <row r="27">
          <cell r="D27">
            <v>4.7635975826519732E-2</v>
          </cell>
        </row>
        <row r="28">
          <cell r="D28">
            <v>2109.8249834107496</v>
          </cell>
        </row>
        <row r="29">
          <cell r="D29">
            <v>1816.2906436629064</v>
          </cell>
        </row>
        <row r="31">
          <cell r="D31">
            <v>0.14199999999999999</v>
          </cell>
          <cell r="I31">
            <v>9.23</v>
          </cell>
        </row>
        <row r="32">
          <cell r="D32">
            <v>0.20686847301671313</v>
          </cell>
          <cell r="G32">
            <v>-0.51847939896454354</v>
          </cell>
        </row>
        <row r="34">
          <cell r="G34">
            <v>0.21</v>
          </cell>
          <cell r="I34">
            <v>12.5</v>
          </cell>
        </row>
        <row r="35">
          <cell r="D35">
            <v>3.1097135027717617</v>
          </cell>
        </row>
        <row r="36">
          <cell r="D36">
            <v>-3.7670409723526421E-2</v>
          </cell>
        </row>
        <row r="38">
          <cell r="D38">
            <v>0.18</v>
          </cell>
        </row>
        <row r="39">
          <cell r="D39">
            <v>2236.9917500000001</v>
          </cell>
          <cell r="G39">
            <v>2236.9917500000001</v>
          </cell>
        </row>
        <row r="42">
          <cell r="G42">
            <v>21100.031843033063</v>
          </cell>
        </row>
        <row r="43">
          <cell r="D43">
            <v>402.65851500000002</v>
          </cell>
          <cell r="G43">
            <v>20647.436160000001</v>
          </cell>
        </row>
        <row r="44">
          <cell r="D44">
            <v>400.61335937733224</v>
          </cell>
          <cell r="G44">
            <v>-5755.2474197692227</v>
          </cell>
        </row>
        <row r="45">
          <cell r="D45">
            <v>-969.15000000000009</v>
          </cell>
          <cell r="G45">
            <v>-969.15000000000009</v>
          </cell>
        </row>
        <row r="49">
          <cell r="D49">
            <v>37256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>
        <row r="1">
          <cell r="A1">
            <v>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Link"/>
      <sheetName val="ValueDriver"/>
      <sheetName val="Report"/>
      <sheetName val="Abridged"/>
      <sheetName val="Base"/>
      <sheetName val="KADS Upload Template"/>
      <sheetName val="WACC new"/>
      <sheetName val="WACC"/>
      <sheetName val="Scenarios"/>
      <sheetName val="Key Analyst Data"/>
      <sheetName val="Summary"/>
      <sheetName val="Tails"/>
      <sheetName val="Disposals"/>
      <sheetName val="Quarterly data"/>
      <sheetName val="RDB_Upload_Status"/>
      <sheetName val="Optimistic"/>
      <sheetName val="Pessimistic"/>
      <sheetName val="IniConfig"/>
      <sheetName val="Oper stat monthly"/>
      <sheetName val="KADS_Upload_Template"/>
      <sheetName val="WACC_new"/>
      <sheetName val="Key_Analyst_Data"/>
      <sheetName val="Quarterly_data"/>
      <sheetName val="Oper_stat_monthly"/>
      <sheetName val="NVTK_mod6"/>
      <sheetName val="GAAP 0302"/>
      <sheetName val="Драйверы"/>
      <sheetName val="Типы ТУ СПиК и MIR-стр"/>
      <sheetName val="лангензипен"/>
      <sheetName val="обновление"/>
      <sheetName val="цена"/>
      <sheetName val="product"/>
      <sheetName val="XLR_NoRangeSheet"/>
      <sheetName val="A"/>
      <sheetName val="_Control"/>
    </sheetNames>
    <sheetDataSet>
      <sheetData sheetId="0"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>
        <row r="7">
          <cell r="B7">
            <v>2001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3">
          <cell r="B3">
            <v>0</v>
          </cell>
          <cell r="D3" t="str">
            <v>Vadim Mitroshin</v>
          </cell>
          <cell r="F3" t="str">
            <v>7 501 967 8355</v>
          </cell>
          <cell r="H3" t="str">
            <v>vadim.mitroshin@csfb.com</v>
          </cell>
          <cell r="AT3">
            <v>38352</v>
          </cell>
          <cell r="AU3">
            <v>1094</v>
          </cell>
          <cell r="AV3">
            <v>260.9546072561601</v>
          </cell>
        </row>
        <row r="7">
          <cell r="I7" t="str">
            <v>USD</v>
          </cell>
          <cell r="K7" t="str">
            <v xml:space="preserve"> </v>
          </cell>
        </row>
        <row r="10">
          <cell r="M10" t="str">
            <v>RESTRICTED</v>
          </cell>
        </row>
        <row r="12">
          <cell r="D12">
            <v>37621</v>
          </cell>
        </row>
        <row r="13">
          <cell r="D13" t="str">
            <v>A</v>
          </cell>
        </row>
        <row r="16">
          <cell r="D16">
            <v>21.938775510204081</v>
          </cell>
        </row>
        <row r="20">
          <cell r="D20">
            <v>0.18019538068044783</v>
          </cell>
          <cell r="G20">
            <v>1.5934559001463291</v>
          </cell>
        </row>
        <row r="31">
          <cell r="D31">
            <v>29.154230204386003</v>
          </cell>
        </row>
        <row r="34">
          <cell r="J34" t="str">
            <v>USD</v>
          </cell>
        </row>
        <row r="35">
          <cell r="M35" t="e">
            <v>#N/A</v>
          </cell>
        </row>
        <row r="38">
          <cell r="D38">
            <v>529.62757079923597</v>
          </cell>
        </row>
        <row r="39">
          <cell r="D39">
            <v>0.19400808392203928</v>
          </cell>
        </row>
        <row r="43">
          <cell r="H43" t="str">
            <v>import</v>
          </cell>
        </row>
        <row r="46">
          <cell r="G46">
            <v>5427.5406667740372</v>
          </cell>
        </row>
        <row r="55">
          <cell r="D55">
            <v>2004</v>
          </cell>
        </row>
        <row r="63">
          <cell r="F63">
            <v>4.8150510204081636</v>
          </cell>
        </row>
        <row r="64">
          <cell r="F64">
            <v>0</v>
          </cell>
        </row>
        <row r="65">
          <cell r="F65">
            <v>7.0471938775510203</v>
          </cell>
        </row>
        <row r="66">
          <cell r="D66">
            <v>-121.4599836019419</v>
          </cell>
        </row>
        <row r="67">
          <cell r="F67">
            <v>23.883928571428573</v>
          </cell>
        </row>
        <row r="68">
          <cell r="F68">
            <v>-1.6581632653061225</v>
          </cell>
        </row>
        <row r="70">
          <cell r="G70">
            <v>0</v>
          </cell>
        </row>
        <row r="71">
          <cell r="G71">
            <v>864.90538295487715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">
          <cell r="A3" t="str">
            <v>MenuDetails.MenuName</v>
          </cell>
        </row>
      </sheetData>
      <sheetData sheetId="18" refreshError="1"/>
      <sheetData sheetId="19"/>
      <sheetData sheetId="20"/>
      <sheetData sheetId="21">
        <row r="3">
          <cell r="D3" t="str">
            <v>Vadim Mitroshin</v>
          </cell>
        </row>
      </sheetData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!!!"/>
      <sheetName val="ПРОВЕРКА"/>
      <sheetName val="Статьи"/>
      <sheetName val="PL"/>
      <sheetName val="PL_1"/>
      <sheetName val="PL_2"/>
      <sheetName val="PL_3"/>
      <sheetName val="PL_STO"/>
      <sheetName val="PL_МСФО"/>
      <sheetName val="PL_Z"/>
      <sheetName val="BS"/>
      <sheetName val="BS_1"/>
      <sheetName val="BS_2"/>
      <sheetName val="BS_STO"/>
      <sheetName val="BS_МСФО"/>
      <sheetName val="BS_Z"/>
      <sheetName val="BUDGET_PL"/>
      <sheetName val="ICO"/>
      <sheetName val="1.2В"/>
      <sheetName val="Ключевые события и результаты"/>
      <sheetName val="ПЕЧАТЬ -&gt;&gt;&gt;"/>
      <sheetName val="ТИТУЛ"/>
      <sheetName val="Содержание"/>
      <sheetName val="Раздел 1"/>
      <sheetName val="1.1"/>
      <sheetName val="1.1а"/>
      <sheetName val="1.2"/>
      <sheetName val="1.2A"/>
      <sheetName val="1.2Б"/>
      <sheetName val="1.2 Б"/>
      <sheetName val="1.2 B"/>
      <sheetName val="1.3"/>
      <sheetName val="1.3А"/>
      <sheetName val="1.3 А"/>
      <sheetName val="1.3 Б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Раздел 2"/>
      <sheetName val="2.1"/>
      <sheetName val="2.2"/>
      <sheetName val="Раздел 3"/>
      <sheetName val="3.1"/>
      <sheetName val="3.2"/>
      <sheetName val="3.3"/>
      <sheetName val="Раздел_3"/>
      <sheetName val="Раздел 4"/>
      <sheetName val="4.1"/>
      <sheetName val="4.2"/>
      <sheetName val="4.2."/>
      <sheetName val="4.3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!!!"/>
      <sheetName val="ПРОВЕРКА"/>
      <sheetName val="Статьи"/>
      <sheetName val="PL"/>
      <sheetName val="PL_1"/>
      <sheetName val="PL_МСФО"/>
      <sheetName val="PL_МСФО_OB"/>
      <sheetName val="PL_1 Прогноз"/>
      <sheetName val="BUDGET_PL"/>
      <sheetName val="PL_2"/>
      <sheetName val="BS"/>
      <sheetName val="BS_1"/>
      <sheetName val="BS_МСФО"/>
      <sheetName val="BS_STO"/>
      <sheetName val="BS_МСФО 2"/>
      <sheetName val="BS_Z"/>
      <sheetName val="ICO"/>
      <sheetName val="BS_1 (2015 факт)"/>
      <sheetName val="BS_2_OB"/>
      <sheetName val="BS_1 &lt;Бюджет 2016"/>
      <sheetName val="BS_прогноз"/>
      <sheetName val="ПЕЧАТЬ -&gt;&gt;&gt;"/>
      <sheetName val="Приложение № 1"/>
      <sheetName val="ДДС 15"/>
      <sheetName val="Приложение №2"/>
      <sheetName val="ДДС 2016"/>
      <sheetName val="ТИТУЛ"/>
      <sheetName val="Содержание"/>
      <sheetName val="Ключевые события и результаты"/>
      <sheetName val="Раздел 1"/>
      <sheetName val="1.1"/>
      <sheetName val="1.1а"/>
      <sheetName val="1.2"/>
      <sheetName val="1.3"/>
      <sheetName val="1.4"/>
      <sheetName val="1.5"/>
      <sheetName val="1.6а"/>
      <sheetName val="1.7а"/>
      <sheetName val="1.8"/>
      <sheetName val="1.9"/>
      <sheetName val="1.10"/>
      <sheetName val="1.11"/>
      <sheetName val="1.12"/>
      <sheetName val="1.13"/>
      <sheetName val="Раздел 2"/>
      <sheetName val="2.1"/>
      <sheetName val="Раздел 3"/>
      <sheetName val="3.1"/>
      <sheetName val="3.2"/>
      <sheetName val="3.3"/>
      <sheetName val="3.4"/>
      <sheetName val="1.2A"/>
      <sheetName val="1.2Б"/>
      <sheetName val="1.2В"/>
      <sheetName val="1.3А"/>
      <sheetName val="2.3"/>
      <sheetName val="2.3 (2)"/>
      <sheetName val="1.6"/>
      <sheetName val="2.1 1"/>
      <sheetName val="2.2"/>
      <sheetName val="Лист8"/>
      <sheetName val="Раздел 4 "/>
      <sheetName val="4"/>
      <sheetName val="3.2 (2)"/>
      <sheetName val="Приложение №1"/>
      <sheetName val="Приложение №3 (субподряд)"/>
      <sheetName val="3.2 1"/>
      <sheetName val="3.3 1"/>
      <sheetName val="Раздел 4"/>
      <sheetName val="4.1"/>
      <sheetName val="4.2"/>
      <sheetName val="Лист1"/>
      <sheetName val="Лист2"/>
      <sheetName val="Лист5"/>
      <sheetName val="Лист6"/>
      <sheetName val="Лист4"/>
      <sheetName val="Лист9"/>
    </sheetNames>
    <sheetDataSet>
      <sheetData sheetId="0">
        <row r="1">
          <cell r="H1" t="str">
            <v>6 мес. 2015 г.</v>
          </cell>
        </row>
      </sheetData>
      <sheetData sheetId="1"/>
      <sheetData sheetId="2"/>
      <sheetData sheetId="3">
        <row r="5">
          <cell r="B5" t="str">
            <v>Проектно-изыскательские работы</v>
          </cell>
        </row>
      </sheetData>
      <sheetData sheetId="4">
        <row r="8">
          <cell r="V8" t="str">
            <v>31.03.2016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">
          <cell r="D20">
            <v>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раткие итоги"/>
      <sheetName val="разделение объемов"/>
      <sheetName val="staff costs MGR  (2)"/>
      <sheetName val="общие предположения"/>
      <sheetName val="итоги прошлого сезона"/>
      <sheetName val="Biz plan"/>
      <sheetName val="CF_МГР"/>
      <sheetName val="PL_МГР"/>
      <sheetName val="financing"/>
      <sheetName val="Вертолет "/>
      <sheetName val="ТранспортГрузовой"/>
      <sheetName val="staff and fixed costs MGR "/>
      <sheetName val="бюджет рабочего места"/>
      <sheetName val="бюджет ИТ"/>
      <sheetName val="бюджет служебных авто"/>
      <sheetName val="расчет страховых взносов"/>
      <sheetName val="investments"/>
    </sheetNames>
    <sheetDataSet>
      <sheetData sheetId="0"/>
      <sheetData sheetId="1"/>
      <sheetData sheetId="2"/>
      <sheetData sheetId="3"/>
      <sheetData sheetId="4"/>
      <sheetData sheetId="5">
        <row r="51">
          <cell r="G51">
            <v>3535.4849999999997</v>
          </cell>
        </row>
      </sheetData>
      <sheetData sheetId="6">
        <row r="15">
          <cell r="B15">
            <v>0</v>
          </cell>
        </row>
      </sheetData>
      <sheetData sheetId="7">
        <row r="13">
          <cell r="B13">
            <v>5250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FS check"/>
      <sheetName val="Financial Statements"/>
      <sheetName val="Audit"/>
      <sheetName val="Auditors adjustments"/>
      <sheetName val="FA"/>
      <sheetName val="TK APK changes"/>
      <sheetName val="PKXP"/>
      <sheetName val="VPF"/>
      <sheetName val="FS lines"/>
      <sheetName val="Consolidation schedule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 check"/>
      <sheetName val="Financial Statements"/>
      <sheetName val="TB"/>
      <sheetName val="Consolidation schedule"/>
      <sheetName val="Tickmarks"/>
      <sheetName val="Exrates 09,10F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JE&amp;AJE"/>
      <sheetName val="Disclosure"/>
      <sheetName val="Insurance"/>
      <sheetName val="Rollforward ST"/>
      <sheetName val="Rollforward LT"/>
      <sheetName val="Testing"/>
      <sheetName val="Pledged FA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атьи"/>
      <sheetName val="ИНФО"/>
      <sheetName val="!"/>
      <sheetName val="PL"/>
      <sheetName val="PL_1"/>
      <sheetName val="PL$_2"/>
      <sheetName val="PL_2"/>
      <sheetName val="BS"/>
      <sheetName val="BS_1"/>
      <sheetName val="BS$_2"/>
      <sheetName val="BS_2"/>
      <sheetName val="ICO"/>
      <sheetName val="ФВ"/>
      <sheetName val="Оплата труда"/>
      <sheetName val="ПЕЧАТЬ -&gt;&gt;&gt;"/>
      <sheetName val="ТИТУЛ"/>
      <sheetName val="Содержание"/>
      <sheetName val="Раздел 1"/>
      <sheetName val="1.1"/>
      <sheetName val="Раздел 2"/>
      <sheetName val="2"/>
      <sheetName val="2.1"/>
      <sheetName val="2.1а"/>
      <sheetName val="2.2"/>
      <sheetName val="2.2а"/>
      <sheetName val="2.3"/>
      <sheetName val="2.3а"/>
      <sheetName val="2.4"/>
      <sheetName val="2.4а"/>
      <sheetName val="2.5"/>
      <sheetName val="2.5а"/>
      <sheetName val="2.6"/>
      <sheetName val="2.7"/>
      <sheetName val="2.8"/>
      <sheetName val="2.9"/>
      <sheetName val="Раздел 3"/>
      <sheetName val="3.1"/>
      <sheetName val="3.2"/>
      <sheetName val="Раздел 4"/>
      <sheetName val="СЕЙЧАС"/>
      <sheetName val="4.1"/>
      <sheetName val="4.2"/>
      <sheetName val="Раздел 5"/>
      <sheetName val="5.1"/>
      <sheetName val="Кредиты "/>
      <sheetName val="Лист1"/>
      <sheetName val="осв"/>
      <sheetName val="!!!"/>
      <sheetName val="ПРОВЕРКА"/>
      <sheetName val="PLпрогноз "/>
      <sheetName val="PL_STO"/>
      <sheetName val="PL_МСФО"/>
      <sheetName val="PL_Z"/>
      <sheetName val="BS_прогноз"/>
      <sheetName val="BS_бюджет"/>
      <sheetName val="BS_STO"/>
      <sheetName val="BS_МСФО"/>
      <sheetName val="BS_Z"/>
      <sheetName val="бддс2015"/>
      <sheetName val="БДДС 2018"/>
      <sheetName val="BUDGET_PL"/>
      <sheetName val="Ключевые события и результаты"/>
      <sheetName val="1.1а"/>
      <sheetName val="1.2"/>
      <sheetName val="1.2A"/>
      <sheetName val="1.2Б"/>
      <sheetName val="1.2В"/>
      <sheetName val="1.3"/>
      <sheetName val="1.3А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.13"/>
      <sheetName val="1.14"/>
      <sheetName val="3.3"/>
      <sheetName val="расшифровка выручки"/>
      <sheetName val="20-14"/>
    </sheetNames>
    <sheetDataSet>
      <sheetData sheetId="0">
        <row r="5">
          <cell r="B5" t="str">
            <v>ПРР в портовых терминалах - контейнеры</v>
          </cell>
        </row>
      </sheetData>
      <sheetData sheetId="1">
        <row r="7">
          <cell r="D7" t="str">
            <v>ОАО Комбинат "Стройкомплект"</v>
          </cell>
        </row>
      </sheetData>
      <sheetData sheetId="2"/>
      <sheetData sheetId="3"/>
      <sheetData sheetId="4">
        <row r="5">
          <cell r="B5" t="str">
            <v>ПРР в портовых терминалах - контейнеры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K366"/>
  <sheetViews>
    <sheetView showGridLines="0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69" sqref="C69"/>
    </sheetView>
  </sheetViews>
  <sheetFormatPr defaultColWidth="9.140625" defaultRowHeight="12.75" outlineLevelRow="3" outlineLevelCol="1" x14ac:dyDescent="0.2"/>
  <cols>
    <col min="1" max="1" width="5" style="1" customWidth="1"/>
    <col min="2" max="3" width="38.85546875" style="1" customWidth="1"/>
    <col min="4" max="7" width="15" style="1" customWidth="1"/>
    <col min="8" max="8" width="15" style="2" customWidth="1"/>
    <col min="9" max="14" width="15" style="1" customWidth="1"/>
    <col min="15" max="18" width="15" style="1" hidden="1" customWidth="1" outlineLevel="1"/>
    <col min="19" max="19" width="15" style="2" hidden="1" customWidth="1" outlineLevel="1"/>
    <col min="20" max="29" width="15" style="1" hidden="1" customWidth="1" outlineLevel="1"/>
    <col min="30" max="30" width="15" style="2" hidden="1" customWidth="1" outlineLevel="1"/>
    <col min="31" max="36" width="15" style="1" hidden="1" customWidth="1" outlineLevel="1"/>
    <col min="37" max="37" width="9.140625" style="1" collapsed="1"/>
    <col min="38" max="16384" width="9.140625" style="1"/>
  </cols>
  <sheetData>
    <row r="1" spans="1:36" ht="31.5" x14ac:dyDescent="0.2">
      <c r="B1" s="139" t="s">
        <v>147</v>
      </c>
    </row>
    <row r="2" spans="1:36" x14ac:dyDescent="0.2">
      <c r="B2" s="135" t="s">
        <v>146</v>
      </c>
      <c r="C2" s="138" t="s">
        <v>145</v>
      </c>
    </row>
    <row r="3" spans="1:36" x14ac:dyDescent="0.2">
      <c r="B3" s="135" t="s">
        <v>144</v>
      </c>
      <c r="C3" s="138" t="s">
        <v>150</v>
      </c>
    </row>
    <row r="4" spans="1:36" x14ac:dyDescent="0.2">
      <c r="B4" s="135" t="s">
        <v>143</v>
      </c>
      <c r="C4" s="138" t="s">
        <v>142</v>
      </c>
      <c r="M4" s="136"/>
      <c r="X4" s="136"/>
      <c r="AI4" s="136"/>
    </row>
    <row r="5" spans="1:36" x14ac:dyDescent="0.2">
      <c r="B5" s="135" t="s">
        <v>141</v>
      </c>
      <c r="C5" s="137">
        <v>46174</v>
      </c>
      <c r="E5" s="2"/>
      <c r="F5" s="54"/>
      <c r="G5" s="54"/>
      <c r="M5" s="136"/>
      <c r="P5" s="2"/>
      <c r="Q5" s="54"/>
      <c r="R5" s="54"/>
      <c r="X5" s="136"/>
      <c r="AA5" s="2"/>
      <c r="AB5" s="54"/>
      <c r="AC5" s="54"/>
      <c r="AI5" s="136"/>
    </row>
    <row r="6" spans="1:36" x14ac:dyDescent="0.2">
      <c r="B6" s="135" t="s">
        <v>140</v>
      </c>
      <c r="C6" s="134" t="s">
        <v>139</v>
      </c>
      <c r="D6" s="133"/>
      <c r="E6" s="128"/>
      <c r="F6" s="128"/>
      <c r="G6" s="129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9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9"/>
      <c r="AD6" s="128"/>
      <c r="AE6" s="128"/>
      <c r="AF6" s="128"/>
      <c r="AG6" s="128"/>
      <c r="AH6" s="128"/>
      <c r="AI6" s="128"/>
      <c r="AJ6" s="128"/>
    </row>
    <row r="7" spans="1:36" ht="13.5" thickBot="1" x14ac:dyDescent="0.25">
      <c r="B7" s="131"/>
      <c r="C7" s="130"/>
      <c r="D7" s="128"/>
      <c r="E7" s="128"/>
      <c r="F7" s="128"/>
      <c r="G7" s="129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9"/>
      <c r="AD7" s="128"/>
      <c r="AE7" s="128"/>
      <c r="AF7" s="128"/>
      <c r="AG7" s="128"/>
      <c r="AH7" s="128"/>
      <c r="AI7" s="128"/>
      <c r="AJ7" s="128"/>
    </row>
    <row r="8" spans="1:36" ht="15.75" customHeight="1" thickTop="1" x14ac:dyDescent="0.2">
      <c r="B8" s="127"/>
      <c r="C8" s="127"/>
      <c r="D8" s="234" t="s">
        <v>148</v>
      </c>
      <c r="E8" s="235"/>
      <c r="F8" s="235"/>
      <c r="G8" s="235"/>
      <c r="H8" s="235"/>
      <c r="I8" s="235"/>
      <c r="J8" s="235"/>
      <c r="K8" s="235"/>
      <c r="L8" s="235"/>
      <c r="M8" s="235"/>
      <c r="N8" s="236"/>
      <c r="O8" s="234" t="s">
        <v>138</v>
      </c>
      <c r="P8" s="235"/>
      <c r="Q8" s="235"/>
      <c r="R8" s="235"/>
      <c r="S8" s="235"/>
      <c r="T8" s="235"/>
      <c r="U8" s="235"/>
      <c r="V8" s="235"/>
      <c r="W8" s="235"/>
      <c r="X8" s="235"/>
      <c r="Y8" s="236"/>
      <c r="Z8" s="234" t="s">
        <v>149</v>
      </c>
      <c r="AA8" s="235"/>
      <c r="AB8" s="235"/>
      <c r="AC8" s="235"/>
      <c r="AD8" s="235"/>
      <c r="AE8" s="235"/>
      <c r="AF8" s="235"/>
      <c r="AG8" s="235"/>
      <c r="AH8" s="235"/>
      <c r="AI8" s="235"/>
      <c r="AJ8" s="236"/>
    </row>
    <row r="9" spans="1:36" ht="15.75" customHeight="1" x14ac:dyDescent="0.2">
      <c r="B9" s="127"/>
      <c r="C9" s="126"/>
      <c r="D9" s="237" t="s">
        <v>137</v>
      </c>
      <c r="E9" s="237"/>
      <c r="F9" s="237"/>
      <c r="G9" s="237"/>
      <c r="H9" s="238" t="s">
        <v>136</v>
      </c>
      <c r="I9" s="237"/>
      <c r="J9" s="237"/>
      <c r="K9" s="239"/>
      <c r="L9" s="240" t="s">
        <v>135</v>
      </c>
      <c r="M9" s="237"/>
      <c r="N9" s="241"/>
      <c r="O9" s="237" t="s">
        <v>137</v>
      </c>
      <c r="P9" s="237"/>
      <c r="Q9" s="237"/>
      <c r="R9" s="237"/>
      <c r="S9" s="238" t="s">
        <v>136</v>
      </c>
      <c r="T9" s="237"/>
      <c r="U9" s="237"/>
      <c r="V9" s="239"/>
      <c r="W9" s="240" t="s">
        <v>135</v>
      </c>
      <c r="X9" s="237"/>
      <c r="Y9" s="241"/>
      <c r="Z9" s="237" t="s">
        <v>137</v>
      </c>
      <c r="AA9" s="237"/>
      <c r="AB9" s="237"/>
      <c r="AC9" s="237"/>
      <c r="AD9" s="238" t="s">
        <v>136</v>
      </c>
      <c r="AE9" s="237"/>
      <c r="AF9" s="237"/>
      <c r="AG9" s="239"/>
      <c r="AH9" s="240" t="s">
        <v>135</v>
      </c>
      <c r="AI9" s="237"/>
      <c r="AJ9" s="241"/>
    </row>
    <row r="10" spans="1:36" ht="34.5" customHeight="1" x14ac:dyDescent="0.2">
      <c r="B10" s="127"/>
      <c r="C10" s="126"/>
      <c r="D10" s="125" t="s">
        <v>134</v>
      </c>
      <c r="E10" s="123" t="s">
        <v>132</v>
      </c>
      <c r="F10" s="242" t="s">
        <v>133</v>
      </c>
      <c r="G10" s="243"/>
      <c r="H10" s="124" t="s">
        <v>134</v>
      </c>
      <c r="I10" s="123" t="s">
        <v>132</v>
      </c>
      <c r="J10" s="242" t="s">
        <v>133</v>
      </c>
      <c r="K10" s="243"/>
      <c r="L10" s="122" t="s">
        <v>132</v>
      </c>
      <c r="M10" s="244" t="s">
        <v>131</v>
      </c>
      <c r="N10" s="245"/>
      <c r="O10" s="125" t="s">
        <v>134</v>
      </c>
      <c r="P10" s="123" t="s">
        <v>132</v>
      </c>
      <c r="Q10" s="242" t="s">
        <v>133</v>
      </c>
      <c r="R10" s="243"/>
      <c r="S10" s="124" t="s">
        <v>134</v>
      </c>
      <c r="T10" s="123" t="s">
        <v>132</v>
      </c>
      <c r="U10" s="242" t="s">
        <v>133</v>
      </c>
      <c r="V10" s="243"/>
      <c r="W10" s="122" t="s">
        <v>132</v>
      </c>
      <c r="X10" s="244" t="s">
        <v>131</v>
      </c>
      <c r="Y10" s="245"/>
      <c r="Z10" s="125" t="s">
        <v>134</v>
      </c>
      <c r="AA10" s="123" t="s">
        <v>132</v>
      </c>
      <c r="AB10" s="242" t="s">
        <v>133</v>
      </c>
      <c r="AC10" s="243"/>
      <c r="AD10" s="124" t="s">
        <v>134</v>
      </c>
      <c r="AE10" s="123" t="s">
        <v>132</v>
      </c>
      <c r="AF10" s="242" t="s">
        <v>133</v>
      </c>
      <c r="AG10" s="243"/>
      <c r="AH10" s="122" t="s">
        <v>132</v>
      </c>
      <c r="AI10" s="244" t="s">
        <v>131</v>
      </c>
      <c r="AJ10" s="245"/>
    </row>
    <row r="11" spans="1:36" ht="16.5" customHeight="1" thickBot="1" x14ac:dyDescent="0.25">
      <c r="A11" s="54"/>
      <c r="B11" s="70" t="s">
        <v>130</v>
      </c>
      <c r="C11" s="69" t="s">
        <v>129</v>
      </c>
      <c r="D11" s="120"/>
      <c r="E11" s="68"/>
      <c r="F11" s="64"/>
      <c r="G11" s="66"/>
      <c r="H11" s="121"/>
      <c r="I11" s="120"/>
      <c r="J11" s="66"/>
      <c r="K11" s="66"/>
      <c r="L11" s="65"/>
      <c r="M11" s="64"/>
      <c r="N11" s="63"/>
      <c r="O11" s="120"/>
      <c r="P11" s="68"/>
      <c r="Q11" s="64"/>
      <c r="R11" s="66"/>
      <c r="S11" s="121"/>
      <c r="T11" s="120"/>
      <c r="U11" s="66"/>
      <c r="V11" s="66"/>
      <c r="W11" s="65"/>
      <c r="X11" s="64"/>
      <c r="Y11" s="63"/>
      <c r="Z11" s="120"/>
      <c r="AA11" s="68"/>
      <c r="AB11" s="64"/>
      <c r="AC11" s="66"/>
      <c r="AD11" s="121"/>
      <c r="AE11" s="120"/>
      <c r="AF11" s="66"/>
      <c r="AG11" s="66"/>
      <c r="AH11" s="65"/>
      <c r="AI11" s="64"/>
      <c r="AJ11" s="63"/>
    </row>
    <row r="12" spans="1:36" ht="13.5" hidden="1" outlineLevel="3" thickTop="1" x14ac:dyDescent="0.2">
      <c r="A12" s="54"/>
      <c r="B12" s="38" t="s">
        <v>128</v>
      </c>
      <c r="C12" s="62" t="s">
        <v>127</v>
      </c>
      <c r="D12" s="61">
        <v>135195586.78999999</v>
      </c>
      <c r="E12" s="60">
        <v>145701750</v>
      </c>
      <c r="F12" s="32">
        <f t="shared" ref="F12:F43" si="0">D12-E12</f>
        <v>-10506163.210000008</v>
      </c>
      <c r="G12" s="78">
        <f t="shared" ref="G12:G43" si="1">IFERROR(D12/E12-1,"-")</f>
        <v>-7.2107323419245195E-2</v>
      </c>
      <c r="H12" s="39">
        <v>851059330</v>
      </c>
      <c r="I12" s="39">
        <v>866543899</v>
      </c>
      <c r="J12" s="32">
        <f t="shared" ref="J12:J43" si="2">H12-I12</f>
        <v>-15484569</v>
      </c>
      <c r="K12" s="78">
        <f t="shared" ref="K12:K43" si="3">IFERROR(H12/I12-1,"-")</f>
        <v>-1.7869341666209126E-2</v>
      </c>
      <c r="L12" s="39">
        <v>1740754399</v>
      </c>
      <c r="M12" s="32">
        <f t="shared" ref="M12:M43" si="4">H12-L12</f>
        <v>-889695069</v>
      </c>
      <c r="N12" s="79">
        <f t="shared" ref="N12:N43" si="5">IFERROR(M12/L12,"-")</f>
        <v>-0.51109741242710482</v>
      </c>
      <c r="O12" s="61">
        <v>135195586.78999999</v>
      </c>
      <c r="P12" s="60">
        <v>145701750</v>
      </c>
      <c r="Q12" s="32">
        <f t="shared" ref="Q12:Q43" si="6">O12-P12</f>
        <v>-10506163.210000008</v>
      </c>
      <c r="R12" s="78">
        <f t="shared" ref="R12:R43" si="7">IFERROR(O12/P12-1,"-")</f>
        <v>-7.2107323419245195E-2</v>
      </c>
      <c r="S12" s="39">
        <v>851059330</v>
      </c>
      <c r="T12" s="39">
        <v>866543899</v>
      </c>
      <c r="U12" s="32">
        <f t="shared" ref="U12:U43" si="8">S12-T12</f>
        <v>-15484569</v>
      </c>
      <c r="V12" s="78">
        <f t="shared" ref="V12:V43" si="9">IFERROR(S12/T12-1,"-")</f>
        <v>-1.7869341666209126E-2</v>
      </c>
      <c r="W12" s="39">
        <v>1740754399</v>
      </c>
      <c r="X12" s="32">
        <f t="shared" ref="X12:X43" si="10">S12-W12</f>
        <v>-889695069</v>
      </c>
      <c r="Y12" s="79">
        <f t="shared" ref="Y12:Y43" si="11">IFERROR(X12/W12,"-")</f>
        <v>-0.51109741242710482</v>
      </c>
      <c r="Z12" s="61">
        <v>135195586.78999999</v>
      </c>
      <c r="AA12" s="60">
        <v>145701750</v>
      </c>
      <c r="AB12" s="32">
        <f t="shared" ref="AB12:AB43" si="12">Z12-AA12</f>
        <v>-10506163.210000008</v>
      </c>
      <c r="AC12" s="78">
        <f t="shared" ref="AC12:AC43" si="13">IFERROR(Z12/AA12-1,"-")</f>
        <v>-7.2107323419245195E-2</v>
      </c>
      <c r="AD12" s="39">
        <v>851059330</v>
      </c>
      <c r="AE12" s="39">
        <v>866543899</v>
      </c>
      <c r="AF12" s="32">
        <f t="shared" ref="AF12:AF43" si="14">AD12-AE12</f>
        <v>-15484569</v>
      </c>
      <c r="AG12" s="78">
        <f t="shared" ref="AG12:AG43" si="15">IFERROR(AD12/AE12-1,"-")</f>
        <v>-1.7869341666209126E-2</v>
      </c>
      <c r="AH12" s="39">
        <v>1740754399</v>
      </c>
      <c r="AI12" s="32">
        <f t="shared" ref="AI12:AI43" si="16">AD12-AH12</f>
        <v>-889695069</v>
      </c>
      <c r="AJ12" s="79">
        <f t="shared" ref="AJ12:AJ43" si="17">IFERROR(AI12/AH12,"-")</f>
        <v>-0.51109741242710482</v>
      </c>
    </row>
    <row r="13" spans="1:36" hidden="1" outlineLevel="3" x14ac:dyDescent="0.2">
      <c r="A13" s="54"/>
      <c r="B13" s="38" t="s">
        <v>126</v>
      </c>
      <c r="C13" s="49" t="s">
        <v>125</v>
      </c>
      <c r="D13" s="41">
        <v>27369683.629999999</v>
      </c>
      <c r="E13" s="40">
        <v>26954823.75</v>
      </c>
      <c r="F13" s="32">
        <f t="shared" si="0"/>
        <v>414859.87999999896</v>
      </c>
      <c r="G13" s="78">
        <f t="shared" si="1"/>
        <v>1.5390932763936105E-2</v>
      </c>
      <c r="H13" s="39">
        <v>198975930</v>
      </c>
      <c r="I13" s="39">
        <v>160310621.315</v>
      </c>
      <c r="J13" s="32">
        <f t="shared" si="2"/>
        <v>38665308.685000002</v>
      </c>
      <c r="K13" s="78">
        <f t="shared" si="3"/>
        <v>0.24118993718466841</v>
      </c>
      <c r="L13" s="39">
        <v>322039563.815</v>
      </c>
      <c r="M13" s="32">
        <f t="shared" si="4"/>
        <v>-123063633.815</v>
      </c>
      <c r="N13" s="77">
        <f t="shared" si="5"/>
        <v>-0.38213824524273537</v>
      </c>
      <c r="O13" s="41">
        <v>27369683.629999999</v>
      </c>
      <c r="P13" s="40">
        <v>26954823.75</v>
      </c>
      <c r="Q13" s="32">
        <f t="shared" si="6"/>
        <v>414859.87999999896</v>
      </c>
      <c r="R13" s="78">
        <f t="shared" si="7"/>
        <v>1.5390932763936105E-2</v>
      </c>
      <c r="S13" s="39">
        <v>198975930</v>
      </c>
      <c r="T13" s="39">
        <v>160310621.315</v>
      </c>
      <c r="U13" s="32">
        <f t="shared" si="8"/>
        <v>38665308.685000002</v>
      </c>
      <c r="V13" s="78">
        <f t="shared" si="9"/>
        <v>0.24118993718466841</v>
      </c>
      <c r="W13" s="39">
        <v>322039563.815</v>
      </c>
      <c r="X13" s="32">
        <f t="shared" si="10"/>
        <v>-123063633.815</v>
      </c>
      <c r="Y13" s="77">
        <f t="shared" si="11"/>
        <v>-0.38213824524273537</v>
      </c>
      <c r="Z13" s="41">
        <v>27369683.629999999</v>
      </c>
      <c r="AA13" s="40">
        <v>26954823.75</v>
      </c>
      <c r="AB13" s="32">
        <f t="shared" si="12"/>
        <v>414859.87999999896</v>
      </c>
      <c r="AC13" s="78">
        <f t="shared" si="13"/>
        <v>1.5390932763936105E-2</v>
      </c>
      <c r="AD13" s="39">
        <v>198975930</v>
      </c>
      <c r="AE13" s="39">
        <v>160310621.315</v>
      </c>
      <c r="AF13" s="32">
        <f t="shared" si="14"/>
        <v>38665308.685000002</v>
      </c>
      <c r="AG13" s="78">
        <f t="shared" si="15"/>
        <v>0.24118993718466841</v>
      </c>
      <c r="AH13" s="39">
        <v>322039563.815</v>
      </c>
      <c r="AI13" s="32">
        <f t="shared" si="16"/>
        <v>-123063633.815</v>
      </c>
      <c r="AJ13" s="77">
        <f t="shared" si="17"/>
        <v>-0.38213824524273537</v>
      </c>
    </row>
    <row r="14" spans="1:36" s="6" customFormat="1" ht="13.5" outlineLevel="2" collapsed="1" thickTop="1" x14ac:dyDescent="0.2">
      <c r="A14" s="30"/>
      <c r="B14" s="29" t="s">
        <v>124</v>
      </c>
      <c r="C14" s="52" t="s">
        <v>123</v>
      </c>
      <c r="D14" s="27">
        <f>SUM(D12:D13)</f>
        <v>162565270.41999999</v>
      </c>
      <c r="E14" s="26">
        <f>SUM(E12:E13)</f>
        <v>172656573.75</v>
      </c>
      <c r="F14" s="23">
        <f t="shared" si="0"/>
        <v>-10091303.330000013</v>
      </c>
      <c r="G14" s="76">
        <f t="shared" si="1"/>
        <v>-5.844725810794682E-2</v>
      </c>
      <c r="H14" s="24">
        <f>SUM(H12:H13)</f>
        <v>1050035260</v>
      </c>
      <c r="I14" s="24">
        <f>SUM(I12:I13)</f>
        <v>1026854520.3150001</v>
      </c>
      <c r="J14" s="23">
        <f t="shared" si="2"/>
        <v>23180739.684999943</v>
      </c>
      <c r="K14" s="76">
        <f t="shared" si="3"/>
        <v>2.2574511994054358E-2</v>
      </c>
      <c r="L14" s="24">
        <f>SUM(L12:L13)</f>
        <v>2062793962.8150001</v>
      </c>
      <c r="M14" s="23">
        <f t="shared" si="4"/>
        <v>-1012758702.8150001</v>
      </c>
      <c r="N14" s="75">
        <f t="shared" si="5"/>
        <v>-0.49096454666414419</v>
      </c>
      <c r="O14" s="27">
        <f>SUM(O12:O13)</f>
        <v>162565270.41999999</v>
      </c>
      <c r="P14" s="26">
        <f>SUM(P12:P13)</f>
        <v>172656573.75</v>
      </c>
      <c r="Q14" s="23">
        <f t="shared" si="6"/>
        <v>-10091303.330000013</v>
      </c>
      <c r="R14" s="76">
        <f t="shared" si="7"/>
        <v>-5.844725810794682E-2</v>
      </c>
      <c r="S14" s="24">
        <f>SUM(S12:S13)</f>
        <v>1050035260</v>
      </c>
      <c r="T14" s="24">
        <f>SUM(T12:T13)</f>
        <v>1026854520.3150001</v>
      </c>
      <c r="U14" s="23">
        <f t="shared" si="8"/>
        <v>23180739.684999943</v>
      </c>
      <c r="V14" s="76">
        <f t="shared" si="9"/>
        <v>2.2574511994054358E-2</v>
      </c>
      <c r="W14" s="24">
        <f>SUM(W12:W13)</f>
        <v>2062793962.8150001</v>
      </c>
      <c r="X14" s="23">
        <f t="shared" si="10"/>
        <v>-1012758702.8150001</v>
      </c>
      <c r="Y14" s="75">
        <f t="shared" si="11"/>
        <v>-0.49096454666414419</v>
      </c>
      <c r="Z14" s="27">
        <f>SUM(Z12:Z13)</f>
        <v>162565270.41999999</v>
      </c>
      <c r="AA14" s="26">
        <f>SUM(AA12:AA13)</f>
        <v>172656573.75</v>
      </c>
      <c r="AB14" s="23">
        <f t="shared" si="12"/>
        <v>-10091303.330000013</v>
      </c>
      <c r="AC14" s="76">
        <f t="shared" si="13"/>
        <v>-5.844725810794682E-2</v>
      </c>
      <c r="AD14" s="24">
        <f>SUM(AD12:AD13)</f>
        <v>1050035260</v>
      </c>
      <c r="AE14" s="24">
        <f>SUM(AE12:AE13)</f>
        <v>1026854520.3150001</v>
      </c>
      <c r="AF14" s="23">
        <f t="shared" si="14"/>
        <v>23180739.684999943</v>
      </c>
      <c r="AG14" s="76">
        <f t="shared" si="15"/>
        <v>2.2574511994054358E-2</v>
      </c>
      <c r="AH14" s="24">
        <f>SUM(AH12:AH13)</f>
        <v>2062793962.8150001</v>
      </c>
      <c r="AI14" s="23">
        <f t="shared" si="16"/>
        <v>-1012758702.8150001</v>
      </c>
      <c r="AJ14" s="75">
        <f t="shared" si="17"/>
        <v>-0.49096454666414419</v>
      </c>
    </row>
    <row r="15" spans="1:36" hidden="1" outlineLevel="3" x14ac:dyDescent="0.2">
      <c r="A15" s="54"/>
      <c r="B15" s="57" t="s">
        <v>122</v>
      </c>
      <c r="C15" s="56" t="s">
        <v>121</v>
      </c>
      <c r="D15" s="41">
        <v>44268446.450000003</v>
      </c>
      <c r="E15" s="40">
        <v>41309276.698853597</v>
      </c>
      <c r="F15" s="32">
        <f t="shared" si="0"/>
        <v>2959169.7511464059</v>
      </c>
      <c r="G15" s="78">
        <f t="shared" si="1"/>
        <v>7.1634508943811293E-2</v>
      </c>
      <c r="H15" s="39">
        <v>416503908.48000002</v>
      </c>
      <c r="I15" s="39">
        <v>247877363.72588509</v>
      </c>
      <c r="J15" s="32">
        <f t="shared" si="2"/>
        <v>168626544.75411493</v>
      </c>
      <c r="K15" s="78">
        <f t="shared" si="3"/>
        <v>0.68028214524901265</v>
      </c>
      <c r="L15" s="39">
        <v>495733023.91900676</v>
      </c>
      <c r="M15" s="32">
        <f t="shared" si="4"/>
        <v>-79229115.439006746</v>
      </c>
      <c r="N15" s="77">
        <f t="shared" si="5"/>
        <v>-0.15982214542146633</v>
      </c>
      <c r="O15" s="41">
        <v>44268446.450000003</v>
      </c>
      <c r="P15" s="40">
        <v>41309276.698853597</v>
      </c>
      <c r="Q15" s="32">
        <f t="shared" si="6"/>
        <v>2959169.7511464059</v>
      </c>
      <c r="R15" s="78">
        <f t="shared" si="7"/>
        <v>7.1634508943811293E-2</v>
      </c>
      <c r="S15" s="39">
        <v>416503908.48000002</v>
      </c>
      <c r="T15" s="39">
        <v>247877363.72588509</v>
      </c>
      <c r="U15" s="32">
        <f t="shared" si="8"/>
        <v>168626544.75411493</v>
      </c>
      <c r="V15" s="78">
        <f t="shared" si="9"/>
        <v>0.68028214524901265</v>
      </c>
      <c r="W15" s="39">
        <v>495733023.91900676</v>
      </c>
      <c r="X15" s="32">
        <f t="shared" si="10"/>
        <v>-79229115.439006746</v>
      </c>
      <c r="Y15" s="77">
        <f t="shared" si="11"/>
        <v>-0.15982214542146633</v>
      </c>
      <c r="Z15" s="41">
        <v>44268446.450000003</v>
      </c>
      <c r="AA15" s="40">
        <v>41309276.698853597</v>
      </c>
      <c r="AB15" s="32">
        <f t="shared" si="12"/>
        <v>2959169.7511464059</v>
      </c>
      <c r="AC15" s="78">
        <f t="shared" si="13"/>
        <v>7.1634508943811293E-2</v>
      </c>
      <c r="AD15" s="39">
        <v>416503908.48000002</v>
      </c>
      <c r="AE15" s="39">
        <v>247877363.72588509</v>
      </c>
      <c r="AF15" s="32">
        <f t="shared" si="14"/>
        <v>168626544.75411493</v>
      </c>
      <c r="AG15" s="78">
        <f t="shared" si="15"/>
        <v>0.68028214524901265</v>
      </c>
      <c r="AH15" s="39">
        <v>495733023.91900676</v>
      </c>
      <c r="AI15" s="32">
        <f t="shared" si="16"/>
        <v>-79229115.439006746</v>
      </c>
      <c r="AJ15" s="77">
        <f t="shared" si="17"/>
        <v>-0.15982214542146633</v>
      </c>
    </row>
    <row r="16" spans="1:36" hidden="1" outlineLevel="3" x14ac:dyDescent="0.2">
      <c r="A16" s="54"/>
      <c r="B16" s="38" t="s">
        <v>120</v>
      </c>
      <c r="C16" s="56" t="s">
        <v>119</v>
      </c>
      <c r="D16" s="41">
        <v>6226136.4199999999</v>
      </c>
      <c r="E16" s="40">
        <v>7642216.1892879102</v>
      </c>
      <c r="F16" s="32">
        <f t="shared" si="0"/>
        <v>-1416079.7692879103</v>
      </c>
      <c r="G16" s="78">
        <f t="shared" si="1"/>
        <v>-0.18529700471871347</v>
      </c>
      <c r="H16" s="39">
        <v>69999585.459999993</v>
      </c>
      <c r="I16" s="39">
        <v>45857312.289288707</v>
      </c>
      <c r="J16" s="32">
        <f t="shared" si="2"/>
        <v>24142273.170711286</v>
      </c>
      <c r="K16" s="78">
        <f t="shared" si="3"/>
        <v>0.5264650710100689</v>
      </c>
      <c r="L16" s="39">
        <v>91710609.42501618</v>
      </c>
      <c r="M16" s="32">
        <f t="shared" si="4"/>
        <v>-21711023.965016186</v>
      </c>
      <c r="N16" s="77">
        <f t="shared" si="5"/>
        <v>-0.23673404964959271</v>
      </c>
      <c r="O16" s="41">
        <v>6226136.4199999999</v>
      </c>
      <c r="P16" s="40">
        <v>7642216.1892879102</v>
      </c>
      <c r="Q16" s="32">
        <f t="shared" si="6"/>
        <v>-1416079.7692879103</v>
      </c>
      <c r="R16" s="78">
        <f t="shared" si="7"/>
        <v>-0.18529700471871347</v>
      </c>
      <c r="S16" s="39">
        <v>69999585.459999993</v>
      </c>
      <c r="T16" s="39">
        <v>45857312.289288707</v>
      </c>
      <c r="U16" s="32">
        <f t="shared" si="8"/>
        <v>24142273.170711286</v>
      </c>
      <c r="V16" s="78">
        <f t="shared" si="9"/>
        <v>0.5264650710100689</v>
      </c>
      <c r="W16" s="39">
        <v>91710609.42501618</v>
      </c>
      <c r="X16" s="32">
        <f t="shared" si="10"/>
        <v>-21711023.965016186</v>
      </c>
      <c r="Y16" s="77">
        <f t="shared" si="11"/>
        <v>-0.23673404964959271</v>
      </c>
      <c r="Z16" s="41">
        <v>6226136.4199999999</v>
      </c>
      <c r="AA16" s="40">
        <v>7642216.1892879102</v>
      </c>
      <c r="AB16" s="32">
        <f t="shared" si="12"/>
        <v>-1416079.7692879103</v>
      </c>
      <c r="AC16" s="78">
        <f t="shared" si="13"/>
        <v>-0.18529700471871347</v>
      </c>
      <c r="AD16" s="39">
        <v>69999585.459999993</v>
      </c>
      <c r="AE16" s="39">
        <v>45857312.289288707</v>
      </c>
      <c r="AF16" s="32">
        <f t="shared" si="14"/>
        <v>24142273.170711286</v>
      </c>
      <c r="AG16" s="78">
        <f t="shared" si="15"/>
        <v>0.5264650710100689</v>
      </c>
      <c r="AH16" s="39">
        <v>91710609.42501618</v>
      </c>
      <c r="AI16" s="32">
        <f t="shared" si="16"/>
        <v>-21711023.965016186</v>
      </c>
      <c r="AJ16" s="77">
        <f t="shared" si="17"/>
        <v>-0.23673404964959271</v>
      </c>
    </row>
    <row r="17" spans="1:36" s="6" customFormat="1" outlineLevel="2" collapsed="1" x14ac:dyDescent="0.2">
      <c r="A17" s="30"/>
      <c r="B17" s="29" t="s">
        <v>118</v>
      </c>
      <c r="C17" s="52" t="s">
        <v>117</v>
      </c>
      <c r="D17" s="27">
        <f>SUM(D15:D16)</f>
        <v>50494582.870000005</v>
      </c>
      <c r="E17" s="26">
        <f>SUM(E15:E16)</f>
        <v>48951492.888141505</v>
      </c>
      <c r="F17" s="23">
        <f t="shared" si="0"/>
        <v>1543089.9818584993</v>
      </c>
      <c r="G17" s="76">
        <f t="shared" si="1"/>
        <v>3.1522838034472089E-2</v>
      </c>
      <c r="H17" s="24">
        <f>SUM(H15:H16)</f>
        <v>486503493.94</v>
      </c>
      <c r="I17" s="24">
        <f>SUM(I15:I16)</f>
        <v>293734676.01517379</v>
      </c>
      <c r="J17" s="23">
        <f t="shared" si="2"/>
        <v>192768817.9248262</v>
      </c>
      <c r="K17" s="76">
        <f t="shared" si="3"/>
        <v>0.6562685091863929</v>
      </c>
      <c r="L17" s="24">
        <f>SUM(L15:L16)</f>
        <v>587443633.34402299</v>
      </c>
      <c r="M17" s="23">
        <f t="shared" si="4"/>
        <v>-100940139.40402299</v>
      </c>
      <c r="N17" s="75">
        <f t="shared" si="5"/>
        <v>-0.17182948911952833</v>
      </c>
      <c r="O17" s="27">
        <f>SUM(O15:O16)</f>
        <v>50494582.870000005</v>
      </c>
      <c r="P17" s="26">
        <f>SUM(P15:P16)</f>
        <v>48951492.888141505</v>
      </c>
      <c r="Q17" s="23">
        <f t="shared" si="6"/>
        <v>1543089.9818584993</v>
      </c>
      <c r="R17" s="76">
        <f t="shared" si="7"/>
        <v>3.1522838034472089E-2</v>
      </c>
      <c r="S17" s="24">
        <f>SUM(S15:S16)</f>
        <v>486503493.94</v>
      </c>
      <c r="T17" s="24">
        <f>SUM(T15:T16)</f>
        <v>293734676.01517379</v>
      </c>
      <c r="U17" s="23">
        <f t="shared" si="8"/>
        <v>192768817.9248262</v>
      </c>
      <c r="V17" s="76">
        <f t="shared" si="9"/>
        <v>0.6562685091863929</v>
      </c>
      <c r="W17" s="24">
        <f>SUM(W15:W16)</f>
        <v>587443633.34402299</v>
      </c>
      <c r="X17" s="23">
        <f t="shared" si="10"/>
        <v>-100940139.40402299</v>
      </c>
      <c r="Y17" s="75">
        <f t="shared" si="11"/>
        <v>-0.17182948911952833</v>
      </c>
      <c r="Z17" s="27">
        <f>SUM(Z15:Z16)</f>
        <v>50494582.870000005</v>
      </c>
      <c r="AA17" s="26">
        <f>SUM(AA15:AA16)</f>
        <v>48951492.888141505</v>
      </c>
      <c r="AB17" s="23">
        <f t="shared" si="12"/>
        <v>1543089.9818584993</v>
      </c>
      <c r="AC17" s="76">
        <f t="shared" si="13"/>
        <v>3.1522838034472089E-2</v>
      </c>
      <c r="AD17" s="24">
        <f>SUM(AD15:AD16)</f>
        <v>486503493.94</v>
      </c>
      <c r="AE17" s="24">
        <f>SUM(AE15:AE16)</f>
        <v>293734676.01517379</v>
      </c>
      <c r="AF17" s="23">
        <f t="shared" si="14"/>
        <v>192768817.9248262</v>
      </c>
      <c r="AG17" s="76">
        <f t="shared" si="15"/>
        <v>0.6562685091863929</v>
      </c>
      <c r="AH17" s="24">
        <f>SUM(AH15:AH16)</f>
        <v>587443633.34402299</v>
      </c>
      <c r="AI17" s="23">
        <f t="shared" si="16"/>
        <v>-100940139.40402299</v>
      </c>
      <c r="AJ17" s="75">
        <f t="shared" si="17"/>
        <v>-0.17182948911952833</v>
      </c>
    </row>
    <row r="18" spans="1:36" hidden="1" outlineLevel="3" x14ac:dyDescent="0.2">
      <c r="A18" s="54"/>
      <c r="B18" s="38" t="s">
        <v>116</v>
      </c>
      <c r="C18" s="49" t="s">
        <v>115</v>
      </c>
      <c r="D18" s="41">
        <v>502299.88</v>
      </c>
      <c r="E18" s="40">
        <v>0</v>
      </c>
      <c r="F18" s="32">
        <f t="shared" si="0"/>
        <v>502299.88</v>
      </c>
      <c r="G18" s="78" t="str">
        <f t="shared" si="1"/>
        <v>-</v>
      </c>
      <c r="H18" s="39">
        <v>2428673.09</v>
      </c>
      <c r="I18" s="39">
        <v>0</v>
      </c>
      <c r="J18" s="32">
        <f t="shared" si="2"/>
        <v>2428673.09</v>
      </c>
      <c r="K18" s="78" t="str">
        <f t="shared" si="3"/>
        <v>-</v>
      </c>
      <c r="L18" s="39">
        <v>0</v>
      </c>
      <c r="M18" s="32">
        <f t="shared" si="4"/>
        <v>2428673.09</v>
      </c>
      <c r="N18" s="77" t="str">
        <f t="shared" si="5"/>
        <v>-</v>
      </c>
      <c r="O18" s="41">
        <v>502299.88</v>
      </c>
      <c r="P18" s="40">
        <v>0</v>
      </c>
      <c r="Q18" s="32">
        <f t="shared" si="6"/>
        <v>502299.88</v>
      </c>
      <c r="R18" s="78" t="str">
        <f t="shared" si="7"/>
        <v>-</v>
      </c>
      <c r="S18" s="39">
        <v>2428673.09</v>
      </c>
      <c r="T18" s="39">
        <v>0</v>
      </c>
      <c r="U18" s="32">
        <f t="shared" si="8"/>
        <v>2428673.09</v>
      </c>
      <c r="V18" s="78" t="str">
        <f t="shared" si="9"/>
        <v>-</v>
      </c>
      <c r="W18" s="39">
        <v>0</v>
      </c>
      <c r="X18" s="32">
        <f t="shared" si="10"/>
        <v>2428673.09</v>
      </c>
      <c r="Y18" s="77" t="str">
        <f t="shared" si="11"/>
        <v>-</v>
      </c>
      <c r="Z18" s="41">
        <v>502299.88</v>
      </c>
      <c r="AA18" s="40">
        <v>0</v>
      </c>
      <c r="AB18" s="32">
        <f t="shared" si="12"/>
        <v>502299.88</v>
      </c>
      <c r="AC18" s="78" t="str">
        <f t="shared" si="13"/>
        <v>-</v>
      </c>
      <c r="AD18" s="39">
        <v>2428673.09</v>
      </c>
      <c r="AE18" s="39">
        <v>0</v>
      </c>
      <c r="AF18" s="32">
        <f t="shared" si="14"/>
        <v>2428673.09</v>
      </c>
      <c r="AG18" s="78" t="str">
        <f t="shared" si="15"/>
        <v>-</v>
      </c>
      <c r="AH18" s="39">
        <v>0</v>
      </c>
      <c r="AI18" s="32">
        <f t="shared" si="16"/>
        <v>2428673.09</v>
      </c>
      <c r="AJ18" s="77" t="str">
        <f t="shared" si="17"/>
        <v>-</v>
      </c>
    </row>
    <row r="19" spans="1:36" hidden="1" outlineLevel="3" x14ac:dyDescent="0.2">
      <c r="A19" s="54"/>
      <c r="B19" s="38" t="s">
        <v>114</v>
      </c>
      <c r="C19" s="49" t="s">
        <v>113</v>
      </c>
      <c r="D19" s="41">
        <v>81339.45</v>
      </c>
      <c r="E19" s="40">
        <v>0</v>
      </c>
      <c r="F19" s="32">
        <f t="shared" si="0"/>
        <v>81339.45</v>
      </c>
      <c r="G19" s="78" t="str">
        <f t="shared" si="1"/>
        <v>-</v>
      </c>
      <c r="H19" s="39">
        <v>429173.05</v>
      </c>
      <c r="I19" s="39">
        <v>0</v>
      </c>
      <c r="J19" s="32">
        <f t="shared" si="2"/>
        <v>429173.05</v>
      </c>
      <c r="K19" s="78" t="str">
        <f t="shared" si="3"/>
        <v>-</v>
      </c>
      <c r="L19" s="39">
        <v>0</v>
      </c>
      <c r="M19" s="32">
        <f t="shared" si="4"/>
        <v>429173.05</v>
      </c>
      <c r="N19" s="77" t="str">
        <f t="shared" si="5"/>
        <v>-</v>
      </c>
      <c r="O19" s="41">
        <v>81339.45</v>
      </c>
      <c r="P19" s="40">
        <v>0</v>
      </c>
      <c r="Q19" s="32">
        <f t="shared" si="6"/>
        <v>81339.45</v>
      </c>
      <c r="R19" s="78" t="str">
        <f t="shared" si="7"/>
        <v>-</v>
      </c>
      <c r="S19" s="39">
        <v>429173.05</v>
      </c>
      <c r="T19" s="39">
        <v>0</v>
      </c>
      <c r="U19" s="32">
        <f t="shared" si="8"/>
        <v>429173.05</v>
      </c>
      <c r="V19" s="78" t="str">
        <f t="shared" si="9"/>
        <v>-</v>
      </c>
      <c r="W19" s="39">
        <v>0</v>
      </c>
      <c r="X19" s="32">
        <f t="shared" si="10"/>
        <v>429173.05</v>
      </c>
      <c r="Y19" s="77" t="str">
        <f t="shared" si="11"/>
        <v>-</v>
      </c>
      <c r="Z19" s="41">
        <v>81339.45</v>
      </c>
      <c r="AA19" s="40">
        <v>0</v>
      </c>
      <c r="AB19" s="32">
        <f t="shared" si="12"/>
        <v>81339.45</v>
      </c>
      <c r="AC19" s="78" t="str">
        <f t="shared" si="13"/>
        <v>-</v>
      </c>
      <c r="AD19" s="39">
        <v>429173.05</v>
      </c>
      <c r="AE19" s="39">
        <v>0</v>
      </c>
      <c r="AF19" s="32">
        <f t="shared" si="14"/>
        <v>429173.05</v>
      </c>
      <c r="AG19" s="78" t="str">
        <f t="shared" si="15"/>
        <v>-</v>
      </c>
      <c r="AH19" s="39">
        <v>0</v>
      </c>
      <c r="AI19" s="32">
        <f t="shared" si="16"/>
        <v>429173.05</v>
      </c>
      <c r="AJ19" s="77" t="str">
        <f t="shared" si="17"/>
        <v>-</v>
      </c>
    </row>
    <row r="20" spans="1:36" s="6" customFormat="1" outlineLevel="2" collapsed="1" x14ac:dyDescent="0.2">
      <c r="A20" s="30"/>
      <c r="B20" s="29" t="s">
        <v>112</v>
      </c>
      <c r="C20" s="52" t="s">
        <v>111</v>
      </c>
      <c r="D20" s="27">
        <f>SUM(D18:D19)</f>
        <v>583639.32999999996</v>
      </c>
      <c r="E20" s="26">
        <f>SUM(E18:E19)</f>
        <v>0</v>
      </c>
      <c r="F20" s="23">
        <f t="shared" si="0"/>
        <v>583639.32999999996</v>
      </c>
      <c r="G20" s="76" t="str">
        <f t="shared" si="1"/>
        <v>-</v>
      </c>
      <c r="H20" s="24">
        <f>SUM(H18:H19)</f>
        <v>2857846.1399999997</v>
      </c>
      <c r="I20" s="24">
        <f>SUM(I18:I19)</f>
        <v>0</v>
      </c>
      <c r="J20" s="23">
        <f t="shared" si="2"/>
        <v>2857846.1399999997</v>
      </c>
      <c r="K20" s="76" t="str">
        <f t="shared" si="3"/>
        <v>-</v>
      </c>
      <c r="L20" s="24">
        <f>SUM(L18:L19)</f>
        <v>0</v>
      </c>
      <c r="M20" s="23">
        <f t="shared" si="4"/>
        <v>2857846.1399999997</v>
      </c>
      <c r="N20" s="75" t="str">
        <f t="shared" si="5"/>
        <v>-</v>
      </c>
      <c r="O20" s="27">
        <f>SUM(O18:O19)</f>
        <v>583639.32999999996</v>
      </c>
      <c r="P20" s="26">
        <f>SUM(P18:P19)</f>
        <v>0</v>
      </c>
      <c r="Q20" s="23">
        <f t="shared" si="6"/>
        <v>583639.32999999996</v>
      </c>
      <c r="R20" s="76" t="str">
        <f t="shared" si="7"/>
        <v>-</v>
      </c>
      <c r="S20" s="24">
        <f>SUM(S18:S19)</f>
        <v>2857846.1399999997</v>
      </c>
      <c r="T20" s="24">
        <f>SUM(T18:T19)</f>
        <v>0</v>
      </c>
      <c r="U20" s="23">
        <f t="shared" si="8"/>
        <v>2857846.1399999997</v>
      </c>
      <c r="V20" s="76" t="str">
        <f t="shared" si="9"/>
        <v>-</v>
      </c>
      <c r="W20" s="24">
        <f>SUM(W18:W19)</f>
        <v>0</v>
      </c>
      <c r="X20" s="23">
        <f t="shared" si="10"/>
        <v>2857846.1399999997</v>
      </c>
      <c r="Y20" s="75" t="str">
        <f t="shared" si="11"/>
        <v>-</v>
      </c>
      <c r="Z20" s="27">
        <f>SUM(Z18:Z19)</f>
        <v>583639.32999999996</v>
      </c>
      <c r="AA20" s="26">
        <f>SUM(AA18:AA19)</f>
        <v>0</v>
      </c>
      <c r="AB20" s="23">
        <f t="shared" si="12"/>
        <v>583639.32999999996</v>
      </c>
      <c r="AC20" s="76" t="str">
        <f t="shared" si="13"/>
        <v>-</v>
      </c>
      <c r="AD20" s="24">
        <f>SUM(AD18:AD19)</f>
        <v>2857846.1399999997</v>
      </c>
      <c r="AE20" s="24">
        <f>SUM(AE18:AE19)</f>
        <v>0</v>
      </c>
      <c r="AF20" s="23">
        <f t="shared" si="14"/>
        <v>2857846.1399999997</v>
      </c>
      <c r="AG20" s="76" t="str">
        <f t="shared" si="15"/>
        <v>-</v>
      </c>
      <c r="AH20" s="24">
        <f>SUM(AH18:AH19)</f>
        <v>0</v>
      </c>
      <c r="AI20" s="23">
        <f t="shared" si="16"/>
        <v>2857846.1399999997</v>
      </c>
      <c r="AJ20" s="75" t="str">
        <f t="shared" si="17"/>
        <v>-</v>
      </c>
    </row>
    <row r="21" spans="1:36" hidden="1" outlineLevel="3" x14ac:dyDescent="0.2">
      <c r="A21" s="54"/>
      <c r="B21" s="38" t="s">
        <v>110</v>
      </c>
      <c r="C21" s="49" t="s">
        <v>109</v>
      </c>
      <c r="D21" s="41">
        <v>0</v>
      </c>
      <c r="E21" s="40">
        <v>0</v>
      </c>
      <c r="F21" s="32">
        <f t="shared" si="0"/>
        <v>0</v>
      </c>
      <c r="G21" s="78" t="str">
        <f t="shared" si="1"/>
        <v>-</v>
      </c>
      <c r="H21" s="39">
        <v>0</v>
      </c>
      <c r="I21" s="39">
        <v>0</v>
      </c>
      <c r="J21" s="32">
        <f t="shared" si="2"/>
        <v>0</v>
      </c>
      <c r="K21" s="78" t="str">
        <f t="shared" si="3"/>
        <v>-</v>
      </c>
      <c r="L21" s="39">
        <v>0</v>
      </c>
      <c r="M21" s="32">
        <f t="shared" si="4"/>
        <v>0</v>
      </c>
      <c r="N21" s="77" t="str">
        <f t="shared" si="5"/>
        <v>-</v>
      </c>
      <c r="O21" s="41">
        <v>0</v>
      </c>
      <c r="P21" s="40">
        <v>0</v>
      </c>
      <c r="Q21" s="32">
        <f t="shared" si="6"/>
        <v>0</v>
      </c>
      <c r="R21" s="78" t="str">
        <f t="shared" si="7"/>
        <v>-</v>
      </c>
      <c r="S21" s="39">
        <v>0</v>
      </c>
      <c r="T21" s="39">
        <v>0</v>
      </c>
      <c r="U21" s="32">
        <f t="shared" si="8"/>
        <v>0</v>
      </c>
      <c r="V21" s="78" t="str">
        <f t="shared" si="9"/>
        <v>-</v>
      </c>
      <c r="W21" s="39">
        <v>0</v>
      </c>
      <c r="X21" s="32">
        <f t="shared" si="10"/>
        <v>0</v>
      </c>
      <c r="Y21" s="77" t="str">
        <f t="shared" si="11"/>
        <v>-</v>
      </c>
      <c r="Z21" s="41">
        <v>0</v>
      </c>
      <c r="AA21" s="40">
        <v>0</v>
      </c>
      <c r="AB21" s="32">
        <f t="shared" si="12"/>
        <v>0</v>
      </c>
      <c r="AC21" s="78" t="str">
        <f t="shared" si="13"/>
        <v>-</v>
      </c>
      <c r="AD21" s="39">
        <v>0</v>
      </c>
      <c r="AE21" s="39">
        <v>0</v>
      </c>
      <c r="AF21" s="32">
        <f t="shared" si="14"/>
        <v>0</v>
      </c>
      <c r="AG21" s="78" t="str">
        <f t="shared" si="15"/>
        <v>-</v>
      </c>
      <c r="AH21" s="39">
        <v>0</v>
      </c>
      <c r="AI21" s="32">
        <f t="shared" si="16"/>
        <v>0</v>
      </c>
      <c r="AJ21" s="77" t="str">
        <f t="shared" si="17"/>
        <v>-</v>
      </c>
    </row>
    <row r="22" spans="1:36" hidden="1" outlineLevel="3" x14ac:dyDescent="0.2">
      <c r="A22" s="54"/>
      <c r="B22" s="38" t="s">
        <v>108</v>
      </c>
      <c r="C22" s="49" t="s">
        <v>107</v>
      </c>
      <c r="D22" s="41">
        <v>0</v>
      </c>
      <c r="E22" s="40">
        <v>0</v>
      </c>
      <c r="F22" s="32">
        <f t="shared" si="0"/>
        <v>0</v>
      </c>
      <c r="G22" s="78" t="str">
        <f t="shared" si="1"/>
        <v>-</v>
      </c>
      <c r="H22" s="39">
        <v>0</v>
      </c>
      <c r="I22" s="39">
        <v>0</v>
      </c>
      <c r="J22" s="32">
        <f t="shared" si="2"/>
        <v>0</v>
      </c>
      <c r="K22" s="78" t="str">
        <f t="shared" si="3"/>
        <v>-</v>
      </c>
      <c r="L22" s="39">
        <v>0</v>
      </c>
      <c r="M22" s="32">
        <f t="shared" si="4"/>
        <v>0</v>
      </c>
      <c r="N22" s="77" t="str">
        <f t="shared" si="5"/>
        <v>-</v>
      </c>
      <c r="O22" s="41">
        <v>0</v>
      </c>
      <c r="P22" s="40">
        <v>0</v>
      </c>
      <c r="Q22" s="32">
        <f t="shared" si="6"/>
        <v>0</v>
      </c>
      <c r="R22" s="78" t="str">
        <f t="shared" si="7"/>
        <v>-</v>
      </c>
      <c r="S22" s="39">
        <v>0</v>
      </c>
      <c r="T22" s="39">
        <v>0</v>
      </c>
      <c r="U22" s="32">
        <f t="shared" si="8"/>
        <v>0</v>
      </c>
      <c r="V22" s="78" t="str">
        <f t="shared" si="9"/>
        <v>-</v>
      </c>
      <c r="W22" s="39">
        <v>0</v>
      </c>
      <c r="X22" s="32">
        <f t="shared" si="10"/>
        <v>0</v>
      </c>
      <c r="Y22" s="77" t="str">
        <f t="shared" si="11"/>
        <v>-</v>
      </c>
      <c r="Z22" s="41">
        <v>0</v>
      </c>
      <c r="AA22" s="40">
        <v>0</v>
      </c>
      <c r="AB22" s="32">
        <f t="shared" si="12"/>
        <v>0</v>
      </c>
      <c r="AC22" s="78" t="str">
        <f t="shared" si="13"/>
        <v>-</v>
      </c>
      <c r="AD22" s="39">
        <v>0</v>
      </c>
      <c r="AE22" s="39">
        <v>0</v>
      </c>
      <c r="AF22" s="32">
        <f t="shared" si="14"/>
        <v>0</v>
      </c>
      <c r="AG22" s="78" t="str">
        <f t="shared" si="15"/>
        <v>-</v>
      </c>
      <c r="AH22" s="39">
        <v>0</v>
      </c>
      <c r="AI22" s="32">
        <f t="shared" si="16"/>
        <v>0</v>
      </c>
      <c r="AJ22" s="77" t="str">
        <f t="shared" si="17"/>
        <v>-</v>
      </c>
    </row>
    <row r="23" spans="1:36" s="6" customFormat="1" outlineLevel="2" collapsed="1" x14ac:dyDescent="0.2">
      <c r="A23" s="30"/>
      <c r="B23" s="29" t="s">
        <v>106</v>
      </c>
      <c r="C23" s="52" t="s">
        <v>105</v>
      </c>
      <c r="D23" s="27">
        <f>SUM(D21:D22)</f>
        <v>0</v>
      </c>
      <c r="E23" s="26">
        <f>SUM(E21:E22)</f>
        <v>0</v>
      </c>
      <c r="F23" s="23">
        <f t="shared" si="0"/>
        <v>0</v>
      </c>
      <c r="G23" s="76" t="str">
        <f t="shared" si="1"/>
        <v>-</v>
      </c>
      <c r="H23" s="24">
        <f>SUM(H21:H22)</f>
        <v>0</v>
      </c>
      <c r="I23" s="24">
        <f>SUM(I21:I22)</f>
        <v>0</v>
      </c>
      <c r="J23" s="23">
        <f t="shared" si="2"/>
        <v>0</v>
      </c>
      <c r="K23" s="76" t="str">
        <f t="shared" si="3"/>
        <v>-</v>
      </c>
      <c r="L23" s="24">
        <f>SUM(L21:L22)</f>
        <v>0</v>
      </c>
      <c r="M23" s="23">
        <f t="shared" si="4"/>
        <v>0</v>
      </c>
      <c r="N23" s="75" t="str">
        <f t="shared" si="5"/>
        <v>-</v>
      </c>
      <c r="O23" s="27">
        <f>SUM(O21:O22)</f>
        <v>0</v>
      </c>
      <c r="P23" s="26">
        <f>SUM(P21:P22)</f>
        <v>0</v>
      </c>
      <c r="Q23" s="23">
        <f t="shared" si="6"/>
        <v>0</v>
      </c>
      <c r="R23" s="76" t="str">
        <f t="shared" si="7"/>
        <v>-</v>
      </c>
      <c r="S23" s="24">
        <f>SUM(S21:S22)</f>
        <v>0</v>
      </c>
      <c r="T23" s="24">
        <f>SUM(T21:T22)</f>
        <v>0</v>
      </c>
      <c r="U23" s="23">
        <f t="shared" si="8"/>
        <v>0</v>
      </c>
      <c r="V23" s="76" t="str">
        <f t="shared" si="9"/>
        <v>-</v>
      </c>
      <c r="W23" s="24">
        <f>SUM(W21:W22)</f>
        <v>0</v>
      </c>
      <c r="X23" s="23">
        <f t="shared" si="10"/>
        <v>0</v>
      </c>
      <c r="Y23" s="75" t="str">
        <f t="shared" si="11"/>
        <v>-</v>
      </c>
      <c r="Z23" s="27">
        <f>SUM(Z21:Z22)</f>
        <v>0</v>
      </c>
      <c r="AA23" s="26">
        <f>SUM(AA21:AA22)</f>
        <v>0</v>
      </c>
      <c r="AB23" s="23">
        <f t="shared" si="12"/>
        <v>0</v>
      </c>
      <c r="AC23" s="76" t="str">
        <f t="shared" si="13"/>
        <v>-</v>
      </c>
      <c r="AD23" s="24">
        <f>SUM(AD21:AD22)</f>
        <v>0</v>
      </c>
      <c r="AE23" s="24">
        <f>SUM(AE21:AE22)</f>
        <v>0</v>
      </c>
      <c r="AF23" s="23">
        <f t="shared" si="14"/>
        <v>0</v>
      </c>
      <c r="AG23" s="76" t="str">
        <f t="shared" si="15"/>
        <v>-</v>
      </c>
      <c r="AH23" s="24">
        <f>SUM(AH21:AH22)</f>
        <v>0</v>
      </c>
      <c r="AI23" s="23">
        <f t="shared" si="16"/>
        <v>0</v>
      </c>
      <c r="AJ23" s="75" t="str">
        <f t="shared" si="17"/>
        <v>-</v>
      </c>
    </row>
    <row r="24" spans="1:36" s="6" customFormat="1" outlineLevel="1" x14ac:dyDescent="0.2">
      <c r="A24" s="30"/>
      <c r="B24" s="48" t="s">
        <v>104</v>
      </c>
      <c r="C24" s="55" t="s">
        <v>103</v>
      </c>
      <c r="D24" s="46">
        <f>D14+D17+D20+D23</f>
        <v>213643492.62</v>
      </c>
      <c r="E24" s="45">
        <f>E14+E17+E20+E23</f>
        <v>221608066.63814151</v>
      </c>
      <c r="F24" s="23">
        <f t="shared" si="0"/>
        <v>-7964574.0181415081</v>
      </c>
      <c r="G24" s="76">
        <f t="shared" si="1"/>
        <v>-3.5939910216114423E-2</v>
      </c>
      <c r="H24" s="44">
        <f>H14+H17+H20+H23</f>
        <v>1539396600.0800002</v>
      </c>
      <c r="I24" s="44">
        <f>I14+I17+I20+I23</f>
        <v>1320589196.330174</v>
      </c>
      <c r="J24" s="23">
        <f t="shared" si="2"/>
        <v>218807403.74982619</v>
      </c>
      <c r="K24" s="76">
        <f t="shared" si="3"/>
        <v>0.16568922747352222</v>
      </c>
      <c r="L24" s="44">
        <f>L14+L17+L20+L23</f>
        <v>2650237596.1590233</v>
      </c>
      <c r="M24" s="23">
        <f t="shared" si="4"/>
        <v>-1110840996.0790231</v>
      </c>
      <c r="N24" s="75">
        <f t="shared" si="5"/>
        <v>-0.4191477012057182</v>
      </c>
      <c r="O24" s="46">
        <f>O14+O17+O20+O23</f>
        <v>213643492.62</v>
      </c>
      <c r="P24" s="45">
        <f>P14+P17+P20+P23</f>
        <v>221608066.63814151</v>
      </c>
      <c r="Q24" s="23">
        <f t="shared" si="6"/>
        <v>-7964574.0181415081</v>
      </c>
      <c r="R24" s="76">
        <f t="shared" si="7"/>
        <v>-3.5939910216114423E-2</v>
      </c>
      <c r="S24" s="44">
        <f>S14+S17+S20+S23</f>
        <v>1539396600.0800002</v>
      </c>
      <c r="T24" s="44">
        <f>T14+T17+T20+T23</f>
        <v>1320589196.330174</v>
      </c>
      <c r="U24" s="23">
        <f t="shared" si="8"/>
        <v>218807403.74982619</v>
      </c>
      <c r="V24" s="76">
        <f t="shared" si="9"/>
        <v>0.16568922747352222</v>
      </c>
      <c r="W24" s="44">
        <f>W14+W17+W20+W23</f>
        <v>2650237596.1590233</v>
      </c>
      <c r="X24" s="23">
        <f t="shared" si="10"/>
        <v>-1110840996.0790231</v>
      </c>
      <c r="Y24" s="75">
        <f t="shared" si="11"/>
        <v>-0.4191477012057182</v>
      </c>
      <c r="Z24" s="46">
        <f>Z14+Z17+Z20+Z23</f>
        <v>213643492.62</v>
      </c>
      <c r="AA24" s="45">
        <f>AA14+AA17+AA20+AA23</f>
        <v>221608066.63814151</v>
      </c>
      <c r="AB24" s="23">
        <f t="shared" si="12"/>
        <v>-7964574.0181415081</v>
      </c>
      <c r="AC24" s="76">
        <f t="shared" si="13"/>
        <v>-3.5939910216114423E-2</v>
      </c>
      <c r="AD24" s="44">
        <f>AD14+AD17+AD20+AD23</f>
        <v>1539396600.0800002</v>
      </c>
      <c r="AE24" s="44">
        <f>AE14+AE17+AE20+AE23</f>
        <v>1320589196.330174</v>
      </c>
      <c r="AF24" s="23">
        <f t="shared" si="14"/>
        <v>218807403.74982619</v>
      </c>
      <c r="AG24" s="76">
        <f t="shared" si="15"/>
        <v>0.16568922747352222</v>
      </c>
      <c r="AH24" s="44">
        <f>AH14+AH17+AH20+AH23</f>
        <v>2650237596.1590233</v>
      </c>
      <c r="AI24" s="23">
        <f t="shared" si="16"/>
        <v>-1110840996.0790231</v>
      </c>
      <c r="AJ24" s="75">
        <f t="shared" si="17"/>
        <v>-0.4191477012057182</v>
      </c>
    </row>
    <row r="25" spans="1:36" s="6" customFormat="1" hidden="1" outlineLevel="2" x14ac:dyDescent="0.2">
      <c r="B25" s="29" t="s">
        <v>102</v>
      </c>
      <c r="C25" s="52" t="s">
        <v>101</v>
      </c>
      <c r="D25" s="27">
        <v>5000000</v>
      </c>
      <c r="E25" s="26">
        <v>5753441.4887820091</v>
      </c>
      <c r="F25" s="23">
        <f t="shared" si="0"/>
        <v>-753441.48878200911</v>
      </c>
      <c r="G25" s="76">
        <f t="shared" si="1"/>
        <v>-0.13095492328392666</v>
      </c>
      <c r="H25" s="24">
        <f>D25*6</f>
        <v>30000000</v>
      </c>
      <c r="I25" s="24">
        <v>33785316.582061373</v>
      </c>
      <c r="J25" s="23">
        <f t="shared" si="2"/>
        <v>-3785316.5820613727</v>
      </c>
      <c r="K25" s="76">
        <f t="shared" si="3"/>
        <v>-0.11204028746829098</v>
      </c>
      <c r="L25" s="24">
        <v>68305965.514753431</v>
      </c>
      <c r="M25" s="23">
        <f t="shared" si="4"/>
        <v>-38305965.514753431</v>
      </c>
      <c r="N25" s="75">
        <f t="shared" si="5"/>
        <v>-0.56079970799153278</v>
      </c>
      <c r="O25" s="27">
        <v>5000000</v>
      </c>
      <c r="P25" s="26">
        <v>5753441.4887820091</v>
      </c>
      <c r="Q25" s="23">
        <f t="shared" si="6"/>
        <v>-753441.48878200911</v>
      </c>
      <c r="R25" s="76">
        <f t="shared" si="7"/>
        <v>-0.13095492328392666</v>
      </c>
      <c r="S25" s="24">
        <f>O25*6</f>
        <v>30000000</v>
      </c>
      <c r="T25" s="24">
        <v>33785316.582061373</v>
      </c>
      <c r="U25" s="23">
        <f t="shared" si="8"/>
        <v>-3785316.5820613727</v>
      </c>
      <c r="V25" s="76">
        <f t="shared" si="9"/>
        <v>-0.11204028746829098</v>
      </c>
      <c r="W25" s="24">
        <v>68305965.514753431</v>
      </c>
      <c r="X25" s="23">
        <f t="shared" si="10"/>
        <v>-38305965.514753431</v>
      </c>
      <c r="Y25" s="75">
        <f t="shared" si="11"/>
        <v>-0.56079970799153278</v>
      </c>
      <c r="Z25" s="27">
        <v>5000000</v>
      </c>
      <c r="AA25" s="26">
        <v>5753441.4887820091</v>
      </c>
      <c r="AB25" s="23">
        <f t="shared" si="12"/>
        <v>-753441.48878200911</v>
      </c>
      <c r="AC25" s="76">
        <f t="shared" si="13"/>
        <v>-0.13095492328392666</v>
      </c>
      <c r="AD25" s="24">
        <f>Z25*6</f>
        <v>30000000</v>
      </c>
      <c r="AE25" s="24">
        <v>33785316.582061373</v>
      </c>
      <c r="AF25" s="23">
        <f t="shared" si="14"/>
        <v>-3785316.5820613727</v>
      </c>
      <c r="AG25" s="76">
        <f t="shared" si="15"/>
        <v>-0.11204028746829098</v>
      </c>
      <c r="AH25" s="24">
        <v>68305965.514753431</v>
      </c>
      <c r="AI25" s="23">
        <f t="shared" si="16"/>
        <v>-38305965.514753431</v>
      </c>
      <c r="AJ25" s="75">
        <f t="shared" si="17"/>
        <v>-0.56079970799153278</v>
      </c>
    </row>
    <row r="26" spans="1:36" s="6" customFormat="1" hidden="1" outlineLevel="2" x14ac:dyDescent="0.2">
      <c r="B26" s="29" t="s">
        <v>100</v>
      </c>
      <c r="C26" s="52" t="s">
        <v>99</v>
      </c>
      <c r="D26" s="27">
        <v>0</v>
      </c>
      <c r="E26" s="26">
        <v>0</v>
      </c>
      <c r="F26" s="23">
        <f t="shared" si="0"/>
        <v>0</v>
      </c>
      <c r="G26" s="76" t="str">
        <f t="shared" si="1"/>
        <v>-</v>
      </c>
      <c r="H26" s="24">
        <v>0</v>
      </c>
      <c r="I26" s="24">
        <v>0</v>
      </c>
      <c r="J26" s="23">
        <f t="shared" si="2"/>
        <v>0</v>
      </c>
      <c r="K26" s="76" t="str">
        <f t="shared" si="3"/>
        <v>-</v>
      </c>
      <c r="L26" s="24">
        <v>0</v>
      </c>
      <c r="M26" s="23">
        <f t="shared" si="4"/>
        <v>0</v>
      </c>
      <c r="N26" s="75" t="str">
        <f t="shared" si="5"/>
        <v>-</v>
      </c>
      <c r="O26" s="27">
        <v>0</v>
      </c>
      <c r="P26" s="26">
        <v>0</v>
      </c>
      <c r="Q26" s="23">
        <f t="shared" si="6"/>
        <v>0</v>
      </c>
      <c r="R26" s="76" t="str">
        <f t="shared" si="7"/>
        <v>-</v>
      </c>
      <c r="S26" s="24">
        <v>0</v>
      </c>
      <c r="T26" s="24">
        <v>0</v>
      </c>
      <c r="U26" s="23">
        <f t="shared" si="8"/>
        <v>0</v>
      </c>
      <c r="V26" s="76" t="str">
        <f t="shared" si="9"/>
        <v>-</v>
      </c>
      <c r="W26" s="24">
        <v>0</v>
      </c>
      <c r="X26" s="23">
        <f t="shared" si="10"/>
        <v>0</v>
      </c>
      <c r="Y26" s="75" t="str">
        <f t="shared" si="11"/>
        <v>-</v>
      </c>
      <c r="Z26" s="27">
        <v>0</v>
      </c>
      <c r="AA26" s="26">
        <v>0</v>
      </c>
      <c r="AB26" s="23">
        <f t="shared" si="12"/>
        <v>0</v>
      </c>
      <c r="AC26" s="76" t="str">
        <f t="shared" si="13"/>
        <v>-</v>
      </c>
      <c r="AD26" s="24">
        <v>0</v>
      </c>
      <c r="AE26" s="24">
        <v>0</v>
      </c>
      <c r="AF26" s="23">
        <f t="shared" si="14"/>
        <v>0</v>
      </c>
      <c r="AG26" s="76" t="str">
        <f t="shared" si="15"/>
        <v>-</v>
      </c>
      <c r="AH26" s="24">
        <v>0</v>
      </c>
      <c r="AI26" s="23">
        <f t="shared" si="16"/>
        <v>0</v>
      </c>
      <c r="AJ26" s="75" t="str">
        <f t="shared" si="17"/>
        <v>-</v>
      </c>
    </row>
    <row r="27" spans="1:36" s="6" customFormat="1" outlineLevel="1" collapsed="1" x14ac:dyDescent="0.2">
      <c r="A27" s="30"/>
      <c r="B27" s="48" t="s">
        <v>98</v>
      </c>
      <c r="C27" s="55" t="s">
        <v>97</v>
      </c>
      <c r="D27" s="46">
        <f>SUM(D25:D26)</f>
        <v>5000000</v>
      </c>
      <c r="E27" s="45">
        <f>SUM(E25:E26)</f>
        <v>5753441.4887820091</v>
      </c>
      <c r="F27" s="23">
        <f t="shared" si="0"/>
        <v>-753441.48878200911</v>
      </c>
      <c r="G27" s="76">
        <f t="shared" si="1"/>
        <v>-0.13095492328392666</v>
      </c>
      <c r="H27" s="44">
        <f>SUM(H25:H26)</f>
        <v>30000000</v>
      </c>
      <c r="I27" s="44">
        <f>SUM(I25:I26)</f>
        <v>33785316.582061373</v>
      </c>
      <c r="J27" s="23">
        <f t="shared" si="2"/>
        <v>-3785316.5820613727</v>
      </c>
      <c r="K27" s="76">
        <f t="shared" si="3"/>
        <v>-0.11204028746829098</v>
      </c>
      <c r="L27" s="44">
        <f>SUM(L25:L26)</f>
        <v>68305965.514753431</v>
      </c>
      <c r="M27" s="23">
        <f t="shared" si="4"/>
        <v>-38305965.514753431</v>
      </c>
      <c r="N27" s="75">
        <f t="shared" si="5"/>
        <v>-0.56079970799153278</v>
      </c>
      <c r="O27" s="46">
        <f>SUM(O25:O26)</f>
        <v>5000000</v>
      </c>
      <c r="P27" s="45">
        <f>SUM(P25:P26)</f>
        <v>5753441.4887820091</v>
      </c>
      <c r="Q27" s="23">
        <f t="shared" si="6"/>
        <v>-753441.48878200911</v>
      </c>
      <c r="R27" s="76">
        <f t="shared" si="7"/>
        <v>-0.13095492328392666</v>
      </c>
      <c r="S27" s="44">
        <f>SUM(S25:S26)</f>
        <v>30000000</v>
      </c>
      <c r="T27" s="44">
        <f>SUM(T25:T26)</f>
        <v>33785316.582061373</v>
      </c>
      <c r="U27" s="23">
        <f t="shared" si="8"/>
        <v>-3785316.5820613727</v>
      </c>
      <c r="V27" s="76">
        <f t="shared" si="9"/>
        <v>-0.11204028746829098</v>
      </c>
      <c r="W27" s="44">
        <f>SUM(W25:W26)</f>
        <v>68305965.514753431</v>
      </c>
      <c r="X27" s="23">
        <f t="shared" si="10"/>
        <v>-38305965.514753431</v>
      </c>
      <c r="Y27" s="75">
        <f t="shared" si="11"/>
        <v>-0.56079970799153278</v>
      </c>
      <c r="Z27" s="46">
        <f>SUM(Z25:Z26)</f>
        <v>5000000</v>
      </c>
      <c r="AA27" s="45">
        <f>SUM(AA25:AA26)</f>
        <v>5753441.4887820091</v>
      </c>
      <c r="AB27" s="23">
        <f t="shared" si="12"/>
        <v>-753441.48878200911</v>
      </c>
      <c r="AC27" s="76">
        <f t="shared" si="13"/>
        <v>-0.13095492328392666</v>
      </c>
      <c r="AD27" s="44">
        <f>SUM(AD25:AD26)</f>
        <v>30000000</v>
      </c>
      <c r="AE27" s="44">
        <f>SUM(AE25:AE26)</f>
        <v>33785316.582061373</v>
      </c>
      <c r="AF27" s="23">
        <f t="shared" si="14"/>
        <v>-3785316.5820613727</v>
      </c>
      <c r="AG27" s="76">
        <f t="shared" si="15"/>
        <v>-0.11204028746829098</v>
      </c>
      <c r="AH27" s="44">
        <f>SUM(AH25:AH26)</f>
        <v>68305965.514753431</v>
      </c>
      <c r="AI27" s="23">
        <f t="shared" si="16"/>
        <v>-38305965.514753431</v>
      </c>
      <c r="AJ27" s="75">
        <f t="shared" si="17"/>
        <v>-0.56079970799153278</v>
      </c>
    </row>
    <row r="28" spans="1:36" hidden="1" outlineLevel="3" x14ac:dyDescent="0.2">
      <c r="A28" s="54"/>
      <c r="B28" s="38" t="s">
        <v>96</v>
      </c>
      <c r="C28" s="49" t="s">
        <v>95</v>
      </c>
      <c r="D28" s="41">
        <v>120000</v>
      </c>
      <c r="E28" s="40">
        <v>0</v>
      </c>
      <c r="F28" s="32">
        <f t="shared" si="0"/>
        <v>120000</v>
      </c>
      <c r="G28" s="78" t="str">
        <f t="shared" si="1"/>
        <v>-</v>
      </c>
      <c r="H28" s="39">
        <v>498360</v>
      </c>
      <c r="I28" s="39">
        <v>0</v>
      </c>
      <c r="J28" s="32">
        <f t="shared" si="2"/>
        <v>498360</v>
      </c>
      <c r="K28" s="78" t="str">
        <f t="shared" si="3"/>
        <v>-</v>
      </c>
      <c r="L28" s="39">
        <v>0</v>
      </c>
      <c r="M28" s="32">
        <f t="shared" si="4"/>
        <v>498360</v>
      </c>
      <c r="N28" s="77" t="str">
        <f t="shared" si="5"/>
        <v>-</v>
      </c>
      <c r="O28" s="41">
        <v>120000</v>
      </c>
      <c r="P28" s="40">
        <v>0</v>
      </c>
      <c r="Q28" s="32">
        <f t="shared" si="6"/>
        <v>120000</v>
      </c>
      <c r="R28" s="78" t="str">
        <f t="shared" si="7"/>
        <v>-</v>
      </c>
      <c r="S28" s="39">
        <v>498360</v>
      </c>
      <c r="T28" s="39">
        <v>0</v>
      </c>
      <c r="U28" s="32">
        <f t="shared" si="8"/>
        <v>498360</v>
      </c>
      <c r="V28" s="78" t="str">
        <f t="shared" si="9"/>
        <v>-</v>
      </c>
      <c r="W28" s="39">
        <v>0</v>
      </c>
      <c r="X28" s="32">
        <f t="shared" si="10"/>
        <v>498360</v>
      </c>
      <c r="Y28" s="77" t="str">
        <f t="shared" si="11"/>
        <v>-</v>
      </c>
      <c r="Z28" s="41">
        <v>120000</v>
      </c>
      <c r="AA28" s="40">
        <v>0</v>
      </c>
      <c r="AB28" s="32">
        <f t="shared" si="12"/>
        <v>120000</v>
      </c>
      <c r="AC28" s="78" t="str">
        <f t="shared" si="13"/>
        <v>-</v>
      </c>
      <c r="AD28" s="39">
        <v>498360</v>
      </c>
      <c r="AE28" s="39">
        <v>0</v>
      </c>
      <c r="AF28" s="32">
        <f t="shared" si="14"/>
        <v>498360</v>
      </c>
      <c r="AG28" s="78" t="str">
        <f t="shared" si="15"/>
        <v>-</v>
      </c>
      <c r="AH28" s="39">
        <v>0</v>
      </c>
      <c r="AI28" s="32">
        <f t="shared" si="16"/>
        <v>498360</v>
      </c>
      <c r="AJ28" s="77" t="str">
        <f t="shared" si="17"/>
        <v>-</v>
      </c>
    </row>
    <row r="29" spans="1:36" hidden="1" outlineLevel="3" x14ac:dyDescent="0.2">
      <c r="A29" s="54"/>
      <c r="B29" s="38" t="s">
        <v>94</v>
      </c>
      <c r="C29" s="49" t="s">
        <v>93</v>
      </c>
      <c r="D29" s="41">
        <v>0</v>
      </c>
      <c r="E29" s="40">
        <v>0</v>
      </c>
      <c r="F29" s="32">
        <f t="shared" si="0"/>
        <v>0</v>
      </c>
      <c r="G29" s="78" t="str">
        <f t="shared" si="1"/>
        <v>-</v>
      </c>
      <c r="H29" s="39">
        <v>0</v>
      </c>
      <c r="I29" s="39">
        <v>0</v>
      </c>
      <c r="J29" s="32">
        <f t="shared" si="2"/>
        <v>0</v>
      </c>
      <c r="K29" s="78" t="str">
        <f t="shared" si="3"/>
        <v>-</v>
      </c>
      <c r="L29" s="39">
        <v>0</v>
      </c>
      <c r="M29" s="32">
        <f t="shared" si="4"/>
        <v>0</v>
      </c>
      <c r="N29" s="77" t="str">
        <f t="shared" si="5"/>
        <v>-</v>
      </c>
      <c r="O29" s="41">
        <v>0</v>
      </c>
      <c r="P29" s="40">
        <v>0</v>
      </c>
      <c r="Q29" s="32">
        <f t="shared" si="6"/>
        <v>0</v>
      </c>
      <c r="R29" s="78" t="str">
        <f t="shared" si="7"/>
        <v>-</v>
      </c>
      <c r="S29" s="39">
        <v>0</v>
      </c>
      <c r="T29" s="39">
        <v>0</v>
      </c>
      <c r="U29" s="32">
        <f t="shared" si="8"/>
        <v>0</v>
      </c>
      <c r="V29" s="78" t="str">
        <f t="shared" si="9"/>
        <v>-</v>
      </c>
      <c r="W29" s="39">
        <v>0</v>
      </c>
      <c r="X29" s="32">
        <f t="shared" si="10"/>
        <v>0</v>
      </c>
      <c r="Y29" s="77" t="str">
        <f t="shared" si="11"/>
        <v>-</v>
      </c>
      <c r="Z29" s="41">
        <v>0</v>
      </c>
      <c r="AA29" s="40">
        <v>0</v>
      </c>
      <c r="AB29" s="32">
        <f t="shared" si="12"/>
        <v>0</v>
      </c>
      <c r="AC29" s="78" t="str">
        <f t="shared" si="13"/>
        <v>-</v>
      </c>
      <c r="AD29" s="39">
        <v>0</v>
      </c>
      <c r="AE29" s="39">
        <v>0</v>
      </c>
      <c r="AF29" s="32">
        <f t="shared" si="14"/>
        <v>0</v>
      </c>
      <c r="AG29" s="78" t="str">
        <f t="shared" si="15"/>
        <v>-</v>
      </c>
      <c r="AH29" s="39">
        <v>0</v>
      </c>
      <c r="AI29" s="32">
        <f t="shared" si="16"/>
        <v>0</v>
      </c>
      <c r="AJ29" s="77" t="str">
        <f t="shared" si="17"/>
        <v>-</v>
      </c>
    </row>
    <row r="30" spans="1:36" s="6" customFormat="1" hidden="1" outlineLevel="2" collapsed="1" x14ac:dyDescent="0.2">
      <c r="A30" s="30"/>
      <c r="B30" s="29" t="s">
        <v>92</v>
      </c>
      <c r="C30" s="52" t="s">
        <v>91</v>
      </c>
      <c r="D30" s="27">
        <f>SUM(D28:D29)</f>
        <v>120000</v>
      </c>
      <c r="E30" s="26">
        <f>SUM(E28:E29)</f>
        <v>0</v>
      </c>
      <c r="F30" s="23">
        <f t="shared" si="0"/>
        <v>120000</v>
      </c>
      <c r="G30" s="76" t="str">
        <f t="shared" si="1"/>
        <v>-</v>
      </c>
      <c r="H30" s="24">
        <f>SUM(H28:H29)</f>
        <v>498360</v>
      </c>
      <c r="I30" s="24">
        <f>SUM(I28:I29)</f>
        <v>0</v>
      </c>
      <c r="J30" s="23">
        <f t="shared" si="2"/>
        <v>498360</v>
      </c>
      <c r="K30" s="76" t="str">
        <f t="shared" si="3"/>
        <v>-</v>
      </c>
      <c r="L30" s="24">
        <f>SUM(L28:L29)</f>
        <v>0</v>
      </c>
      <c r="M30" s="23">
        <f t="shared" si="4"/>
        <v>498360</v>
      </c>
      <c r="N30" s="75" t="str">
        <f t="shared" si="5"/>
        <v>-</v>
      </c>
      <c r="O30" s="27">
        <f>SUM(O28:O29)</f>
        <v>120000</v>
      </c>
      <c r="P30" s="26">
        <f>SUM(P28:P29)</f>
        <v>0</v>
      </c>
      <c r="Q30" s="23">
        <f t="shared" si="6"/>
        <v>120000</v>
      </c>
      <c r="R30" s="76" t="str">
        <f t="shared" si="7"/>
        <v>-</v>
      </c>
      <c r="S30" s="24">
        <f>SUM(S28:S29)</f>
        <v>498360</v>
      </c>
      <c r="T30" s="24">
        <f>SUM(T28:T29)</f>
        <v>0</v>
      </c>
      <c r="U30" s="23">
        <f t="shared" si="8"/>
        <v>498360</v>
      </c>
      <c r="V30" s="76" t="str">
        <f t="shared" si="9"/>
        <v>-</v>
      </c>
      <c r="W30" s="24">
        <f>SUM(W28:W29)</f>
        <v>0</v>
      </c>
      <c r="X30" s="23">
        <f t="shared" si="10"/>
        <v>498360</v>
      </c>
      <c r="Y30" s="75" t="str">
        <f t="shared" si="11"/>
        <v>-</v>
      </c>
      <c r="Z30" s="27">
        <f>SUM(Z28:Z29)</f>
        <v>120000</v>
      </c>
      <c r="AA30" s="26">
        <f>SUM(AA28:AA29)</f>
        <v>0</v>
      </c>
      <c r="AB30" s="23">
        <f t="shared" si="12"/>
        <v>120000</v>
      </c>
      <c r="AC30" s="76" t="str">
        <f t="shared" si="13"/>
        <v>-</v>
      </c>
      <c r="AD30" s="24">
        <f>SUM(AD28:AD29)</f>
        <v>498360</v>
      </c>
      <c r="AE30" s="24">
        <f>SUM(AE28:AE29)</f>
        <v>0</v>
      </c>
      <c r="AF30" s="23">
        <f t="shared" si="14"/>
        <v>498360</v>
      </c>
      <c r="AG30" s="76" t="str">
        <f t="shared" si="15"/>
        <v>-</v>
      </c>
      <c r="AH30" s="24">
        <f>SUM(AH28:AH29)</f>
        <v>0</v>
      </c>
      <c r="AI30" s="23">
        <f t="shared" si="16"/>
        <v>498360</v>
      </c>
      <c r="AJ30" s="75" t="str">
        <f t="shared" si="17"/>
        <v>-</v>
      </c>
    </row>
    <row r="31" spans="1:36" ht="12.75" hidden="1" customHeight="1" outlineLevel="3" x14ac:dyDescent="0.2">
      <c r="A31" s="54"/>
      <c r="B31" s="38" t="s">
        <v>90</v>
      </c>
      <c r="C31" s="49" t="s">
        <v>89</v>
      </c>
      <c r="D31" s="41">
        <v>19000000</v>
      </c>
      <c r="E31" s="40">
        <v>0</v>
      </c>
      <c r="F31" s="32">
        <f t="shared" si="0"/>
        <v>19000000</v>
      </c>
      <c r="G31" s="78" t="str">
        <f t="shared" si="1"/>
        <v>-</v>
      </c>
      <c r="H31" s="39">
        <v>19000000</v>
      </c>
      <c r="I31" s="39">
        <v>0</v>
      </c>
      <c r="J31" s="32">
        <f t="shared" si="2"/>
        <v>19000000</v>
      </c>
      <c r="K31" s="78" t="str">
        <f t="shared" si="3"/>
        <v>-</v>
      </c>
      <c r="L31" s="39">
        <v>0</v>
      </c>
      <c r="M31" s="32">
        <f t="shared" si="4"/>
        <v>19000000</v>
      </c>
      <c r="N31" s="77" t="str">
        <f t="shared" si="5"/>
        <v>-</v>
      </c>
      <c r="O31" s="41">
        <v>19000000</v>
      </c>
      <c r="P31" s="40">
        <v>0</v>
      </c>
      <c r="Q31" s="32">
        <f t="shared" si="6"/>
        <v>19000000</v>
      </c>
      <c r="R31" s="78" t="str">
        <f t="shared" si="7"/>
        <v>-</v>
      </c>
      <c r="S31" s="39">
        <v>19000000</v>
      </c>
      <c r="T31" s="39">
        <v>0</v>
      </c>
      <c r="U31" s="32">
        <f t="shared" si="8"/>
        <v>19000000</v>
      </c>
      <c r="V31" s="78" t="str">
        <f t="shared" si="9"/>
        <v>-</v>
      </c>
      <c r="W31" s="39">
        <v>0</v>
      </c>
      <c r="X31" s="32">
        <f t="shared" si="10"/>
        <v>19000000</v>
      </c>
      <c r="Y31" s="77" t="str">
        <f t="shared" si="11"/>
        <v>-</v>
      </c>
      <c r="Z31" s="41">
        <v>19000000</v>
      </c>
      <c r="AA31" s="40">
        <v>0</v>
      </c>
      <c r="AB31" s="32">
        <f t="shared" si="12"/>
        <v>19000000</v>
      </c>
      <c r="AC31" s="78" t="str">
        <f t="shared" si="13"/>
        <v>-</v>
      </c>
      <c r="AD31" s="39">
        <v>19000000</v>
      </c>
      <c r="AE31" s="39">
        <v>0</v>
      </c>
      <c r="AF31" s="32">
        <f t="shared" si="14"/>
        <v>19000000</v>
      </c>
      <c r="AG31" s="78" t="str">
        <f t="shared" si="15"/>
        <v>-</v>
      </c>
      <c r="AH31" s="39">
        <v>0</v>
      </c>
      <c r="AI31" s="32">
        <f t="shared" si="16"/>
        <v>19000000</v>
      </c>
      <c r="AJ31" s="77" t="str">
        <f t="shared" si="17"/>
        <v>-</v>
      </c>
    </row>
    <row r="32" spans="1:36" ht="12.75" hidden="1" customHeight="1" outlineLevel="3" x14ac:dyDescent="0.2">
      <c r="A32" s="54"/>
      <c r="B32" s="38" t="s">
        <v>88</v>
      </c>
      <c r="C32" s="49" t="s">
        <v>87</v>
      </c>
      <c r="D32" s="41">
        <v>3328677</v>
      </c>
      <c r="E32" s="40">
        <v>0</v>
      </c>
      <c r="F32" s="32">
        <f t="shared" si="0"/>
        <v>3328677</v>
      </c>
      <c r="G32" s="78" t="str">
        <f t="shared" si="1"/>
        <v>-</v>
      </c>
      <c r="H32" s="39">
        <v>3328677</v>
      </c>
      <c r="I32" s="39">
        <v>0</v>
      </c>
      <c r="J32" s="32">
        <f t="shared" si="2"/>
        <v>3328677</v>
      </c>
      <c r="K32" s="78" t="str">
        <f t="shared" si="3"/>
        <v>-</v>
      </c>
      <c r="L32" s="39">
        <v>0</v>
      </c>
      <c r="M32" s="32">
        <f t="shared" si="4"/>
        <v>3328677</v>
      </c>
      <c r="N32" s="77" t="str">
        <f t="shared" si="5"/>
        <v>-</v>
      </c>
      <c r="O32" s="41">
        <v>3328677</v>
      </c>
      <c r="P32" s="40">
        <v>0</v>
      </c>
      <c r="Q32" s="32">
        <f t="shared" si="6"/>
        <v>3328677</v>
      </c>
      <c r="R32" s="78" t="str">
        <f t="shared" si="7"/>
        <v>-</v>
      </c>
      <c r="S32" s="39">
        <v>3328677</v>
      </c>
      <c r="T32" s="39">
        <v>0</v>
      </c>
      <c r="U32" s="32">
        <f t="shared" si="8"/>
        <v>3328677</v>
      </c>
      <c r="V32" s="78" t="str">
        <f t="shared" si="9"/>
        <v>-</v>
      </c>
      <c r="W32" s="39">
        <v>0</v>
      </c>
      <c r="X32" s="32">
        <f t="shared" si="10"/>
        <v>3328677</v>
      </c>
      <c r="Y32" s="77" t="str">
        <f t="shared" si="11"/>
        <v>-</v>
      </c>
      <c r="Z32" s="41">
        <v>3328677</v>
      </c>
      <c r="AA32" s="40">
        <v>0</v>
      </c>
      <c r="AB32" s="32">
        <f t="shared" si="12"/>
        <v>3328677</v>
      </c>
      <c r="AC32" s="78" t="str">
        <f t="shared" si="13"/>
        <v>-</v>
      </c>
      <c r="AD32" s="39">
        <v>3328677</v>
      </c>
      <c r="AE32" s="39">
        <v>0</v>
      </c>
      <c r="AF32" s="32">
        <f t="shared" si="14"/>
        <v>3328677</v>
      </c>
      <c r="AG32" s="78" t="str">
        <f t="shared" si="15"/>
        <v>-</v>
      </c>
      <c r="AH32" s="39">
        <v>0</v>
      </c>
      <c r="AI32" s="32">
        <f t="shared" si="16"/>
        <v>3328677</v>
      </c>
      <c r="AJ32" s="77" t="str">
        <f t="shared" si="17"/>
        <v>-</v>
      </c>
    </row>
    <row r="33" spans="1:36" s="6" customFormat="1" hidden="1" outlineLevel="2" collapsed="1" x14ac:dyDescent="0.2">
      <c r="A33" s="30"/>
      <c r="B33" s="29" t="s">
        <v>86</v>
      </c>
      <c r="C33" s="52" t="s">
        <v>85</v>
      </c>
      <c r="D33" s="27">
        <f>SUM(D31:D32)</f>
        <v>22328677</v>
      </c>
      <c r="E33" s="26">
        <f>SUM(E31:E32)</f>
        <v>0</v>
      </c>
      <c r="F33" s="23">
        <f t="shared" si="0"/>
        <v>22328677</v>
      </c>
      <c r="G33" s="76" t="str">
        <f t="shared" si="1"/>
        <v>-</v>
      </c>
      <c r="H33" s="24">
        <f>SUM(H31:H32)</f>
        <v>22328677</v>
      </c>
      <c r="I33" s="24">
        <f>SUM(I31:I32)</f>
        <v>0</v>
      </c>
      <c r="J33" s="23">
        <f t="shared" si="2"/>
        <v>22328677</v>
      </c>
      <c r="K33" s="76" t="str">
        <f t="shared" si="3"/>
        <v>-</v>
      </c>
      <c r="L33" s="24">
        <f>SUM(L31:L32)</f>
        <v>0</v>
      </c>
      <c r="M33" s="23">
        <f t="shared" si="4"/>
        <v>22328677</v>
      </c>
      <c r="N33" s="75" t="str">
        <f t="shared" si="5"/>
        <v>-</v>
      </c>
      <c r="O33" s="27">
        <f>SUM(O31:O32)</f>
        <v>22328677</v>
      </c>
      <c r="P33" s="26">
        <f>SUM(P31:P32)</f>
        <v>0</v>
      </c>
      <c r="Q33" s="23">
        <f t="shared" si="6"/>
        <v>22328677</v>
      </c>
      <c r="R33" s="76" t="str">
        <f t="shared" si="7"/>
        <v>-</v>
      </c>
      <c r="S33" s="24">
        <f>SUM(S31:S32)</f>
        <v>22328677</v>
      </c>
      <c r="T33" s="24">
        <f>SUM(T31:T32)</f>
        <v>0</v>
      </c>
      <c r="U33" s="23">
        <f t="shared" si="8"/>
        <v>22328677</v>
      </c>
      <c r="V33" s="76" t="str">
        <f t="shared" si="9"/>
        <v>-</v>
      </c>
      <c r="W33" s="24">
        <f>SUM(W31:W32)</f>
        <v>0</v>
      </c>
      <c r="X33" s="23">
        <f t="shared" si="10"/>
        <v>22328677</v>
      </c>
      <c r="Y33" s="75" t="str">
        <f t="shared" si="11"/>
        <v>-</v>
      </c>
      <c r="Z33" s="27">
        <f>SUM(Z31:Z32)</f>
        <v>22328677</v>
      </c>
      <c r="AA33" s="26">
        <f>SUM(AA31:AA32)</f>
        <v>0</v>
      </c>
      <c r="AB33" s="23">
        <f t="shared" si="12"/>
        <v>22328677</v>
      </c>
      <c r="AC33" s="76" t="str">
        <f t="shared" si="13"/>
        <v>-</v>
      </c>
      <c r="AD33" s="24">
        <f>SUM(AD31:AD32)</f>
        <v>22328677</v>
      </c>
      <c r="AE33" s="24">
        <f>SUM(AE31:AE32)</f>
        <v>0</v>
      </c>
      <c r="AF33" s="23">
        <f t="shared" si="14"/>
        <v>22328677</v>
      </c>
      <c r="AG33" s="76" t="str">
        <f t="shared" si="15"/>
        <v>-</v>
      </c>
      <c r="AH33" s="24">
        <f>SUM(AH31:AH32)</f>
        <v>0</v>
      </c>
      <c r="AI33" s="23">
        <f t="shared" si="16"/>
        <v>22328677</v>
      </c>
      <c r="AJ33" s="75" t="str">
        <f t="shared" si="17"/>
        <v>-</v>
      </c>
    </row>
    <row r="34" spans="1:36" ht="12.75" hidden="1" customHeight="1" outlineLevel="3" x14ac:dyDescent="0.2">
      <c r="A34" s="54"/>
      <c r="B34" s="38" t="s">
        <v>84</v>
      </c>
      <c r="C34" s="49" t="s">
        <v>83</v>
      </c>
      <c r="D34" s="41">
        <v>0</v>
      </c>
      <c r="E34" s="40">
        <v>0</v>
      </c>
      <c r="F34" s="32">
        <f t="shared" si="0"/>
        <v>0</v>
      </c>
      <c r="G34" s="78" t="str">
        <f t="shared" si="1"/>
        <v>-</v>
      </c>
      <c r="H34" s="39">
        <v>4743000</v>
      </c>
      <c r="I34" s="39">
        <v>0</v>
      </c>
      <c r="J34" s="32">
        <f t="shared" si="2"/>
        <v>4743000</v>
      </c>
      <c r="K34" s="78" t="str">
        <f t="shared" si="3"/>
        <v>-</v>
      </c>
      <c r="L34" s="39">
        <v>0</v>
      </c>
      <c r="M34" s="32">
        <f t="shared" si="4"/>
        <v>4743000</v>
      </c>
      <c r="N34" s="77" t="str">
        <f t="shared" si="5"/>
        <v>-</v>
      </c>
      <c r="O34" s="41">
        <v>0</v>
      </c>
      <c r="P34" s="40">
        <v>0</v>
      </c>
      <c r="Q34" s="32">
        <f t="shared" si="6"/>
        <v>0</v>
      </c>
      <c r="R34" s="78" t="str">
        <f t="shared" si="7"/>
        <v>-</v>
      </c>
      <c r="S34" s="39">
        <v>4743000</v>
      </c>
      <c r="T34" s="39">
        <v>0</v>
      </c>
      <c r="U34" s="32">
        <f t="shared" si="8"/>
        <v>4743000</v>
      </c>
      <c r="V34" s="78" t="str">
        <f t="shared" si="9"/>
        <v>-</v>
      </c>
      <c r="W34" s="39">
        <v>0</v>
      </c>
      <c r="X34" s="32">
        <f t="shared" si="10"/>
        <v>4743000</v>
      </c>
      <c r="Y34" s="77" t="str">
        <f t="shared" si="11"/>
        <v>-</v>
      </c>
      <c r="Z34" s="41">
        <v>0</v>
      </c>
      <c r="AA34" s="40">
        <v>0</v>
      </c>
      <c r="AB34" s="32">
        <f t="shared" si="12"/>
        <v>0</v>
      </c>
      <c r="AC34" s="78" t="str">
        <f t="shared" si="13"/>
        <v>-</v>
      </c>
      <c r="AD34" s="39">
        <v>4743000</v>
      </c>
      <c r="AE34" s="39">
        <v>0</v>
      </c>
      <c r="AF34" s="32">
        <f t="shared" si="14"/>
        <v>4743000</v>
      </c>
      <c r="AG34" s="78" t="str">
        <f t="shared" si="15"/>
        <v>-</v>
      </c>
      <c r="AH34" s="39">
        <v>0</v>
      </c>
      <c r="AI34" s="32">
        <f t="shared" si="16"/>
        <v>4743000</v>
      </c>
      <c r="AJ34" s="77" t="str">
        <f t="shared" si="17"/>
        <v>-</v>
      </c>
    </row>
    <row r="35" spans="1:36" ht="12.75" hidden="1" customHeight="1" outlineLevel="3" x14ac:dyDescent="0.2">
      <c r="A35" s="54"/>
      <c r="B35" s="38" t="s">
        <v>82</v>
      </c>
      <c r="C35" s="49" t="s">
        <v>81</v>
      </c>
      <c r="D35" s="41">
        <v>0</v>
      </c>
      <c r="E35" s="40">
        <v>0</v>
      </c>
      <c r="F35" s="32">
        <f t="shared" si="0"/>
        <v>0</v>
      </c>
      <c r="G35" s="78" t="str">
        <f t="shared" si="1"/>
        <v>-</v>
      </c>
      <c r="H35" s="39">
        <v>32028.32</v>
      </c>
      <c r="I35" s="39">
        <v>0</v>
      </c>
      <c r="J35" s="32">
        <f t="shared" si="2"/>
        <v>32028.32</v>
      </c>
      <c r="K35" s="78" t="str">
        <f t="shared" si="3"/>
        <v>-</v>
      </c>
      <c r="L35" s="39">
        <v>0</v>
      </c>
      <c r="M35" s="32">
        <f t="shared" si="4"/>
        <v>32028.32</v>
      </c>
      <c r="N35" s="77" t="str">
        <f t="shared" si="5"/>
        <v>-</v>
      </c>
      <c r="O35" s="41">
        <v>0</v>
      </c>
      <c r="P35" s="40">
        <v>0</v>
      </c>
      <c r="Q35" s="32">
        <f t="shared" si="6"/>
        <v>0</v>
      </c>
      <c r="R35" s="78" t="str">
        <f t="shared" si="7"/>
        <v>-</v>
      </c>
      <c r="S35" s="39">
        <v>32028.32</v>
      </c>
      <c r="T35" s="39">
        <v>0</v>
      </c>
      <c r="U35" s="32">
        <f t="shared" si="8"/>
        <v>32028.32</v>
      </c>
      <c r="V35" s="78" t="str">
        <f t="shared" si="9"/>
        <v>-</v>
      </c>
      <c r="W35" s="39">
        <v>0</v>
      </c>
      <c r="X35" s="32">
        <f t="shared" si="10"/>
        <v>32028.32</v>
      </c>
      <c r="Y35" s="77" t="str">
        <f t="shared" si="11"/>
        <v>-</v>
      </c>
      <c r="Z35" s="41">
        <v>0</v>
      </c>
      <c r="AA35" s="40">
        <v>0</v>
      </c>
      <c r="AB35" s="32">
        <f t="shared" si="12"/>
        <v>0</v>
      </c>
      <c r="AC35" s="78" t="str">
        <f t="shared" si="13"/>
        <v>-</v>
      </c>
      <c r="AD35" s="39">
        <v>32028.32</v>
      </c>
      <c r="AE35" s="39">
        <v>0</v>
      </c>
      <c r="AF35" s="32">
        <f t="shared" si="14"/>
        <v>32028.32</v>
      </c>
      <c r="AG35" s="78" t="str">
        <f t="shared" si="15"/>
        <v>-</v>
      </c>
      <c r="AH35" s="39">
        <v>0</v>
      </c>
      <c r="AI35" s="32">
        <f t="shared" si="16"/>
        <v>32028.32</v>
      </c>
      <c r="AJ35" s="77" t="str">
        <f t="shared" si="17"/>
        <v>-</v>
      </c>
    </row>
    <row r="36" spans="1:36" s="6" customFormat="1" hidden="1" outlineLevel="2" collapsed="1" x14ac:dyDescent="0.2">
      <c r="A36" s="30"/>
      <c r="B36" s="29" t="s">
        <v>80</v>
      </c>
      <c r="C36" s="52" t="s">
        <v>79</v>
      </c>
      <c r="D36" s="27">
        <f>SUM(D34:D35)</f>
        <v>0</v>
      </c>
      <c r="E36" s="26">
        <f>SUM(E34:E35)</f>
        <v>0</v>
      </c>
      <c r="F36" s="23">
        <f t="shared" si="0"/>
        <v>0</v>
      </c>
      <c r="G36" s="76" t="str">
        <f t="shared" si="1"/>
        <v>-</v>
      </c>
      <c r="H36" s="24">
        <f>SUM(H34:H35)</f>
        <v>4775028.32</v>
      </c>
      <c r="I36" s="24">
        <f>SUM(I34:I35)</f>
        <v>0</v>
      </c>
      <c r="J36" s="23">
        <f t="shared" si="2"/>
        <v>4775028.32</v>
      </c>
      <c r="K36" s="76" t="str">
        <f t="shared" si="3"/>
        <v>-</v>
      </c>
      <c r="L36" s="24">
        <f>SUM(L34:L35)</f>
        <v>0</v>
      </c>
      <c r="M36" s="23">
        <f t="shared" si="4"/>
        <v>4775028.32</v>
      </c>
      <c r="N36" s="75" t="str">
        <f t="shared" si="5"/>
        <v>-</v>
      </c>
      <c r="O36" s="27">
        <f>SUM(O34:O35)</f>
        <v>0</v>
      </c>
      <c r="P36" s="26">
        <f>SUM(P34:P35)</f>
        <v>0</v>
      </c>
      <c r="Q36" s="23">
        <f t="shared" si="6"/>
        <v>0</v>
      </c>
      <c r="R36" s="76" t="str">
        <f t="shared" si="7"/>
        <v>-</v>
      </c>
      <c r="S36" s="24">
        <f>SUM(S34:S35)</f>
        <v>4775028.32</v>
      </c>
      <c r="T36" s="24">
        <f>SUM(T34:T35)</f>
        <v>0</v>
      </c>
      <c r="U36" s="23">
        <f t="shared" si="8"/>
        <v>4775028.32</v>
      </c>
      <c r="V36" s="76" t="str">
        <f t="shared" si="9"/>
        <v>-</v>
      </c>
      <c r="W36" s="24">
        <f>SUM(W34:W35)</f>
        <v>0</v>
      </c>
      <c r="X36" s="23">
        <f t="shared" si="10"/>
        <v>4775028.32</v>
      </c>
      <c r="Y36" s="75" t="str">
        <f t="shared" si="11"/>
        <v>-</v>
      </c>
      <c r="Z36" s="27">
        <f>SUM(Z34:Z35)</f>
        <v>0</v>
      </c>
      <c r="AA36" s="26">
        <f>SUM(AA34:AA35)</f>
        <v>0</v>
      </c>
      <c r="AB36" s="23">
        <f t="shared" si="12"/>
        <v>0</v>
      </c>
      <c r="AC36" s="76" t="str">
        <f t="shared" si="13"/>
        <v>-</v>
      </c>
      <c r="AD36" s="24">
        <f>SUM(AD34:AD35)</f>
        <v>4775028.32</v>
      </c>
      <c r="AE36" s="24">
        <f>SUM(AE34:AE35)</f>
        <v>0</v>
      </c>
      <c r="AF36" s="23">
        <f t="shared" si="14"/>
        <v>4775028.32</v>
      </c>
      <c r="AG36" s="76" t="str">
        <f t="shared" si="15"/>
        <v>-</v>
      </c>
      <c r="AH36" s="24">
        <f>SUM(AH34:AH35)</f>
        <v>0</v>
      </c>
      <c r="AI36" s="23">
        <f t="shared" si="16"/>
        <v>4775028.32</v>
      </c>
      <c r="AJ36" s="75" t="str">
        <f t="shared" si="17"/>
        <v>-</v>
      </c>
    </row>
    <row r="37" spans="1:36" ht="12.75" hidden="1" customHeight="1" outlineLevel="3" x14ac:dyDescent="0.2">
      <c r="B37" s="38" t="s">
        <v>78</v>
      </c>
      <c r="C37" s="49" t="s">
        <v>74</v>
      </c>
      <c r="D37" s="41">
        <v>0</v>
      </c>
      <c r="E37" s="40">
        <v>0</v>
      </c>
      <c r="F37" s="32">
        <f t="shared" si="0"/>
        <v>0</v>
      </c>
      <c r="G37" s="78" t="str">
        <f t="shared" si="1"/>
        <v>-</v>
      </c>
      <c r="H37" s="39">
        <v>0</v>
      </c>
      <c r="I37" s="39">
        <v>0</v>
      </c>
      <c r="J37" s="32">
        <f t="shared" si="2"/>
        <v>0</v>
      </c>
      <c r="K37" s="78" t="str">
        <f t="shared" si="3"/>
        <v>-</v>
      </c>
      <c r="L37" s="39">
        <v>0</v>
      </c>
      <c r="M37" s="32">
        <f t="shared" si="4"/>
        <v>0</v>
      </c>
      <c r="N37" s="77" t="str">
        <f t="shared" si="5"/>
        <v>-</v>
      </c>
      <c r="O37" s="41">
        <v>0</v>
      </c>
      <c r="P37" s="40">
        <v>0</v>
      </c>
      <c r="Q37" s="32">
        <f t="shared" si="6"/>
        <v>0</v>
      </c>
      <c r="R37" s="78" t="str">
        <f t="shared" si="7"/>
        <v>-</v>
      </c>
      <c r="S37" s="39">
        <v>0</v>
      </c>
      <c r="T37" s="39">
        <v>0</v>
      </c>
      <c r="U37" s="32">
        <f t="shared" si="8"/>
        <v>0</v>
      </c>
      <c r="V37" s="78" t="str">
        <f t="shared" si="9"/>
        <v>-</v>
      </c>
      <c r="W37" s="39">
        <v>0</v>
      </c>
      <c r="X37" s="32">
        <f t="shared" si="10"/>
        <v>0</v>
      </c>
      <c r="Y37" s="77" t="str">
        <f t="shared" si="11"/>
        <v>-</v>
      </c>
      <c r="Z37" s="41">
        <v>0</v>
      </c>
      <c r="AA37" s="40">
        <v>0</v>
      </c>
      <c r="AB37" s="32">
        <f t="shared" si="12"/>
        <v>0</v>
      </c>
      <c r="AC37" s="78" t="str">
        <f t="shared" si="13"/>
        <v>-</v>
      </c>
      <c r="AD37" s="39">
        <v>0</v>
      </c>
      <c r="AE37" s="39">
        <v>0</v>
      </c>
      <c r="AF37" s="32">
        <f t="shared" si="14"/>
        <v>0</v>
      </c>
      <c r="AG37" s="78" t="str">
        <f t="shared" si="15"/>
        <v>-</v>
      </c>
      <c r="AH37" s="39">
        <v>0</v>
      </c>
      <c r="AI37" s="32">
        <f t="shared" si="16"/>
        <v>0</v>
      </c>
      <c r="AJ37" s="77" t="str">
        <f t="shared" si="17"/>
        <v>-</v>
      </c>
    </row>
    <row r="38" spans="1:36" ht="12.75" hidden="1" customHeight="1" outlineLevel="3" x14ac:dyDescent="0.2">
      <c r="B38" s="38" t="s">
        <v>77</v>
      </c>
      <c r="C38" s="49" t="s">
        <v>76</v>
      </c>
      <c r="D38" s="41">
        <v>0</v>
      </c>
      <c r="E38" s="40">
        <v>0</v>
      </c>
      <c r="F38" s="32">
        <f t="shared" si="0"/>
        <v>0</v>
      </c>
      <c r="G38" s="78" t="str">
        <f t="shared" si="1"/>
        <v>-</v>
      </c>
      <c r="H38" s="39">
        <v>0</v>
      </c>
      <c r="I38" s="39">
        <v>0</v>
      </c>
      <c r="J38" s="32">
        <f t="shared" si="2"/>
        <v>0</v>
      </c>
      <c r="K38" s="78" t="str">
        <f t="shared" si="3"/>
        <v>-</v>
      </c>
      <c r="L38" s="39">
        <v>0</v>
      </c>
      <c r="M38" s="32">
        <f t="shared" si="4"/>
        <v>0</v>
      </c>
      <c r="N38" s="77" t="str">
        <f t="shared" si="5"/>
        <v>-</v>
      </c>
      <c r="O38" s="41">
        <v>0</v>
      </c>
      <c r="P38" s="40">
        <v>0</v>
      </c>
      <c r="Q38" s="32">
        <f t="shared" si="6"/>
        <v>0</v>
      </c>
      <c r="R38" s="78" t="str">
        <f t="shared" si="7"/>
        <v>-</v>
      </c>
      <c r="S38" s="39">
        <v>0</v>
      </c>
      <c r="T38" s="39">
        <v>0</v>
      </c>
      <c r="U38" s="32">
        <f t="shared" si="8"/>
        <v>0</v>
      </c>
      <c r="V38" s="78" t="str">
        <f t="shared" si="9"/>
        <v>-</v>
      </c>
      <c r="W38" s="39">
        <v>0</v>
      </c>
      <c r="X38" s="32">
        <f t="shared" si="10"/>
        <v>0</v>
      </c>
      <c r="Y38" s="77" t="str">
        <f t="shared" si="11"/>
        <v>-</v>
      </c>
      <c r="Z38" s="41">
        <v>0</v>
      </c>
      <c r="AA38" s="40">
        <v>0</v>
      </c>
      <c r="AB38" s="32">
        <f t="shared" si="12"/>
        <v>0</v>
      </c>
      <c r="AC38" s="78" t="str">
        <f t="shared" si="13"/>
        <v>-</v>
      </c>
      <c r="AD38" s="39">
        <v>0</v>
      </c>
      <c r="AE38" s="39">
        <v>0</v>
      </c>
      <c r="AF38" s="32">
        <f t="shared" si="14"/>
        <v>0</v>
      </c>
      <c r="AG38" s="78" t="str">
        <f t="shared" si="15"/>
        <v>-</v>
      </c>
      <c r="AH38" s="39">
        <v>0</v>
      </c>
      <c r="AI38" s="32">
        <f t="shared" si="16"/>
        <v>0</v>
      </c>
      <c r="AJ38" s="77" t="str">
        <f t="shared" si="17"/>
        <v>-</v>
      </c>
    </row>
    <row r="39" spans="1:36" s="6" customFormat="1" hidden="1" outlineLevel="2" collapsed="1" x14ac:dyDescent="0.2">
      <c r="B39" s="29" t="s">
        <v>75</v>
      </c>
      <c r="C39" s="52" t="s">
        <v>74</v>
      </c>
      <c r="D39" s="27">
        <f>SUM(D37:D38)</f>
        <v>0</v>
      </c>
      <c r="E39" s="26">
        <f>SUM(E37:E38)</f>
        <v>0</v>
      </c>
      <c r="F39" s="23">
        <f t="shared" si="0"/>
        <v>0</v>
      </c>
      <c r="G39" s="76" t="str">
        <f t="shared" si="1"/>
        <v>-</v>
      </c>
      <c r="H39" s="24">
        <f>SUM(H37:H38)</f>
        <v>0</v>
      </c>
      <c r="I39" s="24">
        <f>SUM(I37:I38)</f>
        <v>0</v>
      </c>
      <c r="J39" s="23">
        <f t="shared" si="2"/>
        <v>0</v>
      </c>
      <c r="K39" s="76" t="str">
        <f t="shared" si="3"/>
        <v>-</v>
      </c>
      <c r="L39" s="24">
        <f>SUM(L37:L38)</f>
        <v>0</v>
      </c>
      <c r="M39" s="23">
        <f t="shared" si="4"/>
        <v>0</v>
      </c>
      <c r="N39" s="75" t="str">
        <f t="shared" si="5"/>
        <v>-</v>
      </c>
      <c r="O39" s="27">
        <f>SUM(O37:O38)</f>
        <v>0</v>
      </c>
      <c r="P39" s="26">
        <f>SUM(P37:P38)</f>
        <v>0</v>
      </c>
      <c r="Q39" s="23">
        <f t="shared" si="6"/>
        <v>0</v>
      </c>
      <c r="R39" s="76" t="str">
        <f t="shared" si="7"/>
        <v>-</v>
      </c>
      <c r="S39" s="24">
        <f>SUM(S37:S38)</f>
        <v>0</v>
      </c>
      <c r="T39" s="24">
        <f>SUM(T37:T38)</f>
        <v>0</v>
      </c>
      <c r="U39" s="23">
        <f t="shared" si="8"/>
        <v>0</v>
      </c>
      <c r="V39" s="76" t="str">
        <f t="shared" si="9"/>
        <v>-</v>
      </c>
      <c r="W39" s="24">
        <f>SUM(W37:W38)</f>
        <v>0</v>
      </c>
      <c r="X39" s="23">
        <f t="shared" si="10"/>
        <v>0</v>
      </c>
      <c r="Y39" s="75" t="str">
        <f t="shared" si="11"/>
        <v>-</v>
      </c>
      <c r="Z39" s="27">
        <f>SUM(Z37:Z38)</f>
        <v>0</v>
      </c>
      <c r="AA39" s="26">
        <f>SUM(AA37:AA38)</f>
        <v>0</v>
      </c>
      <c r="AB39" s="23">
        <f t="shared" si="12"/>
        <v>0</v>
      </c>
      <c r="AC39" s="76" t="str">
        <f t="shared" si="13"/>
        <v>-</v>
      </c>
      <c r="AD39" s="24">
        <f>SUM(AD37:AD38)</f>
        <v>0</v>
      </c>
      <c r="AE39" s="24">
        <f>SUM(AE37:AE38)</f>
        <v>0</v>
      </c>
      <c r="AF39" s="23">
        <f t="shared" si="14"/>
        <v>0</v>
      </c>
      <c r="AG39" s="76" t="str">
        <f t="shared" si="15"/>
        <v>-</v>
      </c>
      <c r="AH39" s="24">
        <f>SUM(AH37:AH38)</f>
        <v>0</v>
      </c>
      <c r="AI39" s="23">
        <f t="shared" si="16"/>
        <v>0</v>
      </c>
      <c r="AJ39" s="75" t="str">
        <f t="shared" si="17"/>
        <v>-</v>
      </c>
    </row>
    <row r="40" spans="1:36" s="6" customFormat="1" outlineLevel="1" collapsed="1" x14ac:dyDescent="0.2">
      <c r="A40" s="30"/>
      <c r="B40" s="51" t="s">
        <v>73</v>
      </c>
      <c r="C40" s="50" t="s">
        <v>72</v>
      </c>
      <c r="D40" s="46">
        <f>D30+D33+D36+D39</f>
        <v>22448677</v>
      </c>
      <c r="E40" s="45">
        <f>E30+E33+E36+E39</f>
        <v>0</v>
      </c>
      <c r="F40" s="23">
        <f t="shared" si="0"/>
        <v>22448677</v>
      </c>
      <c r="G40" s="76" t="str">
        <f t="shared" si="1"/>
        <v>-</v>
      </c>
      <c r="H40" s="44">
        <f>H30+H33+H36+H39</f>
        <v>27602065.32</v>
      </c>
      <c r="I40" s="44">
        <f>I30+I33+I36+I39</f>
        <v>0</v>
      </c>
      <c r="J40" s="23">
        <f t="shared" si="2"/>
        <v>27602065.32</v>
      </c>
      <c r="K40" s="76" t="str">
        <f t="shared" si="3"/>
        <v>-</v>
      </c>
      <c r="L40" s="44">
        <f>L30+L33+L36+L39</f>
        <v>0</v>
      </c>
      <c r="M40" s="23">
        <f t="shared" si="4"/>
        <v>27602065.32</v>
      </c>
      <c r="N40" s="75" t="str">
        <f t="shared" si="5"/>
        <v>-</v>
      </c>
      <c r="O40" s="46">
        <f>O30+O33+O36+O39</f>
        <v>22448677</v>
      </c>
      <c r="P40" s="45">
        <f>P30+P33+P36+P39</f>
        <v>0</v>
      </c>
      <c r="Q40" s="23">
        <f t="shared" si="6"/>
        <v>22448677</v>
      </c>
      <c r="R40" s="76" t="str">
        <f t="shared" si="7"/>
        <v>-</v>
      </c>
      <c r="S40" s="44">
        <f>S30+S33+S36+S39</f>
        <v>27602065.32</v>
      </c>
      <c r="T40" s="44">
        <f>T30+T33+T36+T39</f>
        <v>0</v>
      </c>
      <c r="U40" s="23">
        <f t="shared" si="8"/>
        <v>27602065.32</v>
      </c>
      <c r="V40" s="76" t="str">
        <f t="shared" si="9"/>
        <v>-</v>
      </c>
      <c r="W40" s="44">
        <f>W30+W33+W36+W39</f>
        <v>0</v>
      </c>
      <c r="X40" s="23">
        <f t="shared" si="10"/>
        <v>27602065.32</v>
      </c>
      <c r="Y40" s="75" t="str">
        <f t="shared" si="11"/>
        <v>-</v>
      </c>
      <c r="Z40" s="46">
        <f>Z30+Z33+Z36+Z39</f>
        <v>22448677</v>
      </c>
      <c r="AA40" s="45">
        <f>AA30+AA33+AA36+AA39</f>
        <v>0</v>
      </c>
      <c r="AB40" s="23">
        <f t="shared" si="12"/>
        <v>22448677</v>
      </c>
      <c r="AC40" s="76" t="str">
        <f t="shared" si="13"/>
        <v>-</v>
      </c>
      <c r="AD40" s="44">
        <f>AD30+AD33+AD36+AD39</f>
        <v>27602065.32</v>
      </c>
      <c r="AE40" s="44">
        <f>AE30+AE33+AE36+AE39</f>
        <v>0</v>
      </c>
      <c r="AF40" s="23">
        <f t="shared" si="14"/>
        <v>27602065.32</v>
      </c>
      <c r="AG40" s="76" t="str">
        <f t="shared" si="15"/>
        <v>-</v>
      </c>
      <c r="AH40" s="44">
        <f>AH30+AH33+AH36+AH39</f>
        <v>0</v>
      </c>
      <c r="AI40" s="23">
        <f t="shared" si="16"/>
        <v>27602065.32</v>
      </c>
      <c r="AJ40" s="75" t="str">
        <f t="shared" si="17"/>
        <v>-</v>
      </c>
    </row>
    <row r="41" spans="1:36" ht="12.75" hidden="1" customHeight="1" outlineLevel="3" x14ac:dyDescent="0.2">
      <c r="B41" s="38" t="s">
        <v>71</v>
      </c>
      <c r="C41" s="49" t="s">
        <v>70</v>
      </c>
      <c r="D41" s="27">
        <f>33645750/3</f>
        <v>11215250</v>
      </c>
      <c r="E41" s="40">
        <v>0</v>
      </c>
      <c r="F41" s="32">
        <f t="shared" si="0"/>
        <v>11215250</v>
      </c>
      <c r="G41" s="78" t="str">
        <f t="shared" si="1"/>
        <v>-</v>
      </c>
      <c r="H41" s="39">
        <f>D41*6</f>
        <v>67291500</v>
      </c>
      <c r="I41" s="39">
        <v>0</v>
      </c>
      <c r="J41" s="32">
        <f t="shared" si="2"/>
        <v>67291500</v>
      </c>
      <c r="K41" s="78" t="str">
        <f t="shared" si="3"/>
        <v>-</v>
      </c>
      <c r="L41" s="39">
        <v>0</v>
      </c>
      <c r="M41" s="32">
        <f t="shared" si="4"/>
        <v>67291500</v>
      </c>
      <c r="N41" s="77" t="str">
        <f t="shared" si="5"/>
        <v>-</v>
      </c>
      <c r="O41" s="27">
        <f>33645750/3</f>
        <v>11215250</v>
      </c>
      <c r="P41" s="40">
        <v>0</v>
      </c>
      <c r="Q41" s="32">
        <f t="shared" si="6"/>
        <v>11215250</v>
      </c>
      <c r="R41" s="78" t="str">
        <f t="shared" si="7"/>
        <v>-</v>
      </c>
      <c r="S41" s="39">
        <f>O41*6</f>
        <v>67291500</v>
      </c>
      <c r="T41" s="39">
        <v>0</v>
      </c>
      <c r="U41" s="32">
        <f t="shared" si="8"/>
        <v>67291500</v>
      </c>
      <c r="V41" s="78" t="str">
        <f t="shared" si="9"/>
        <v>-</v>
      </c>
      <c r="W41" s="39">
        <v>0</v>
      </c>
      <c r="X41" s="32">
        <f t="shared" si="10"/>
        <v>67291500</v>
      </c>
      <c r="Y41" s="77" t="str">
        <f t="shared" si="11"/>
        <v>-</v>
      </c>
      <c r="Z41" s="27">
        <f>33645750/3</f>
        <v>11215250</v>
      </c>
      <c r="AA41" s="40">
        <v>0</v>
      </c>
      <c r="AB41" s="32">
        <f t="shared" si="12"/>
        <v>11215250</v>
      </c>
      <c r="AC41" s="78" t="str">
        <f t="shared" si="13"/>
        <v>-</v>
      </c>
      <c r="AD41" s="39">
        <f>Z41*6</f>
        <v>67291500</v>
      </c>
      <c r="AE41" s="39">
        <v>0</v>
      </c>
      <c r="AF41" s="32">
        <f t="shared" si="14"/>
        <v>67291500</v>
      </c>
      <c r="AG41" s="78" t="str">
        <f t="shared" si="15"/>
        <v>-</v>
      </c>
      <c r="AH41" s="39">
        <v>0</v>
      </c>
      <c r="AI41" s="32">
        <f t="shared" si="16"/>
        <v>67291500</v>
      </c>
      <c r="AJ41" s="77" t="str">
        <f t="shared" si="17"/>
        <v>-</v>
      </c>
    </row>
    <row r="42" spans="1:36" ht="12.75" hidden="1" customHeight="1" outlineLevel="3" x14ac:dyDescent="0.2">
      <c r="B42" s="38" t="s">
        <v>69</v>
      </c>
      <c r="C42" s="49" t="s">
        <v>68</v>
      </c>
      <c r="D42" s="27">
        <f>6224463.75/3</f>
        <v>2074821.25</v>
      </c>
      <c r="E42" s="40">
        <v>0</v>
      </c>
      <c r="F42" s="32">
        <f t="shared" si="0"/>
        <v>2074821.25</v>
      </c>
      <c r="G42" s="78" t="str">
        <f t="shared" si="1"/>
        <v>-</v>
      </c>
      <c r="H42" s="39">
        <f>D42*6</f>
        <v>12448927.5</v>
      </c>
      <c r="I42" s="39">
        <v>0</v>
      </c>
      <c r="J42" s="32">
        <f t="shared" si="2"/>
        <v>12448927.5</v>
      </c>
      <c r="K42" s="78" t="str">
        <f t="shared" si="3"/>
        <v>-</v>
      </c>
      <c r="L42" s="39">
        <v>0</v>
      </c>
      <c r="M42" s="32">
        <f t="shared" si="4"/>
        <v>12448927.5</v>
      </c>
      <c r="N42" s="77" t="str">
        <f t="shared" si="5"/>
        <v>-</v>
      </c>
      <c r="O42" s="27">
        <f>6224463.75/3</f>
        <v>2074821.25</v>
      </c>
      <c r="P42" s="40">
        <v>0</v>
      </c>
      <c r="Q42" s="32">
        <f t="shared" si="6"/>
        <v>2074821.25</v>
      </c>
      <c r="R42" s="78" t="str">
        <f t="shared" si="7"/>
        <v>-</v>
      </c>
      <c r="S42" s="39">
        <f>O42*6</f>
        <v>12448927.5</v>
      </c>
      <c r="T42" s="39">
        <v>0</v>
      </c>
      <c r="U42" s="32">
        <f t="shared" si="8"/>
        <v>12448927.5</v>
      </c>
      <c r="V42" s="78" t="str">
        <f t="shared" si="9"/>
        <v>-</v>
      </c>
      <c r="W42" s="39">
        <v>0</v>
      </c>
      <c r="X42" s="32">
        <f t="shared" si="10"/>
        <v>12448927.5</v>
      </c>
      <c r="Y42" s="77" t="str">
        <f t="shared" si="11"/>
        <v>-</v>
      </c>
      <c r="Z42" s="27">
        <f>6224463.75/3</f>
        <v>2074821.25</v>
      </c>
      <c r="AA42" s="40">
        <v>0</v>
      </c>
      <c r="AB42" s="32">
        <f t="shared" si="12"/>
        <v>2074821.25</v>
      </c>
      <c r="AC42" s="78" t="str">
        <f t="shared" si="13"/>
        <v>-</v>
      </c>
      <c r="AD42" s="39">
        <f>Z42*6</f>
        <v>12448927.5</v>
      </c>
      <c r="AE42" s="39">
        <v>0</v>
      </c>
      <c r="AF42" s="32">
        <f t="shared" si="14"/>
        <v>12448927.5</v>
      </c>
      <c r="AG42" s="78" t="str">
        <f t="shared" si="15"/>
        <v>-</v>
      </c>
      <c r="AH42" s="39">
        <v>0</v>
      </c>
      <c r="AI42" s="32">
        <f t="shared" si="16"/>
        <v>12448927.5</v>
      </c>
      <c r="AJ42" s="77" t="str">
        <f t="shared" si="17"/>
        <v>-</v>
      </c>
    </row>
    <row r="43" spans="1:36" s="6" customFormat="1" hidden="1" outlineLevel="2" collapsed="1" x14ac:dyDescent="0.2">
      <c r="A43" s="30"/>
      <c r="B43" s="29" t="s">
        <v>67</v>
      </c>
      <c r="C43" s="42" t="s">
        <v>66</v>
      </c>
      <c r="D43" s="27">
        <f>SUM(D41:D42)</f>
        <v>13290071.25</v>
      </c>
      <c r="E43" s="26">
        <f>SUM(E41:E42)</f>
        <v>0</v>
      </c>
      <c r="F43" s="23">
        <f t="shared" si="0"/>
        <v>13290071.25</v>
      </c>
      <c r="G43" s="76" t="str">
        <f t="shared" si="1"/>
        <v>-</v>
      </c>
      <c r="H43" s="24">
        <f>SUM(H41:H42)</f>
        <v>79740427.5</v>
      </c>
      <c r="I43" s="24">
        <f>SUM(I41:I42)</f>
        <v>0</v>
      </c>
      <c r="J43" s="23">
        <f t="shared" si="2"/>
        <v>79740427.5</v>
      </c>
      <c r="K43" s="76" t="str">
        <f t="shared" si="3"/>
        <v>-</v>
      </c>
      <c r="L43" s="24">
        <f>SUM(L41:L42)</f>
        <v>0</v>
      </c>
      <c r="M43" s="23">
        <f t="shared" si="4"/>
        <v>79740427.5</v>
      </c>
      <c r="N43" s="75" t="str">
        <f t="shared" si="5"/>
        <v>-</v>
      </c>
      <c r="O43" s="27">
        <f>SUM(O41:O42)</f>
        <v>13290071.25</v>
      </c>
      <c r="P43" s="26">
        <f>SUM(P41:P42)</f>
        <v>0</v>
      </c>
      <c r="Q43" s="23">
        <f t="shared" si="6"/>
        <v>13290071.25</v>
      </c>
      <c r="R43" s="76" t="str">
        <f t="shared" si="7"/>
        <v>-</v>
      </c>
      <c r="S43" s="24">
        <f>SUM(S41:S42)</f>
        <v>79740427.5</v>
      </c>
      <c r="T43" s="24">
        <f>SUM(T41:T42)</f>
        <v>0</v>
      </c>
      <c r="U43" s="23">
        <f t="shared" si="8"/>
        <v>79740427.5</v>
      </c>
      <c r="V43" s="76" t="str">
        <f t="shared" si="9"/>
        <v>-</v>
      </c>
      <c r="W43" s="24">
        <f>SUM(W41:W42)</f>
        <v>0</v>
      </c>
      <c r="X43" s="23">
        <f t="shared" si="10"/>
        <v>79740427.5</v>
      </c>
      <c r="Y43" s="75" t="str">
        <f t="shared" si="11"/>
        <v>-</v>
      </c>
      <c r="Z43" s="27">
        <f>SUM(Z41:Z42)</f>
        <v>13290071.25</v>
      </c>
      <c r="AA43" s="26">
        <f>SUM(AA41:AA42)</f>
        <v>0</v>
      </c>
      <c r="AB43" s="23">
        <f t="shared" si="12"/>
        <v>13290071.25</v>
      </c>
      <c r="AC43" s="76" t="str">
        <f t="shared" si="13"/>
        <v>-</v>
      </c>
      <c r="AD43" s="24">
        <f>SUM(AD41:AD42)</f>
        <v>79740427.5</v>
      </c>
      <c r="AE43" s="24">
        <f>SUM(AE41:AE42)</f>
        <v>0</v>
      </c>
      <c r="AF43" s="23">
        <f t="shared" si="14"/>
        <v>79740427.5</v>
      </c>
      <c r="AG43" s="76" t="str">
        <f t="shared" si="15"/>
        <v>-</v>
      </c>
      <c r="AH43" s="24">
        <f>SUM(AH41:AH42)</f>
        <v>0</v>
      </c>
      <c r="AI43" s="23">
        <f t="shared" si="16"/>
        <v>79740427.5</v>
      </c>
      <c r="AJ43" s="75" t="str">
        <f t="shared" si="17"/>
        <v>-</v>
      </c>
    </row>
    <row r="44" spans="1:36" ht="12.75" hidden="1" customHeight="1" outlineLevel="3" x14ac:dyDescent="0.2">
      <c r="B44" s="38" t="s">
        <v>65</v>
      </c>
      <c r="C44" s="37" t="s">
        <v>64</v>
      </c>
      <c r="D44" s="41">
        <v>0</v>
      </c>
      <c r="E44" s="40">
        <v>0</v>
      </c>
      <c r="F44" s="32">
        <f t="shared" ref="F44:F66" si="18">D44-E44</f>
        <v>0</v>
      </c>
      <c r="G44" s="78" t="str">
        <f t="shared" ref="G44:G66" si="19">IFERROR(D44/E44-1,"-")</f>
        <v>-</v>
      </c>
      <c r="H44" s="39">
        <f>-D41*3</f>
        <v>-33645750</v>
      </c>
      <c r="I44" s="39">
        <v>0</v>
      </c>
      <c r="J44" s="32">
        <f t="shared" ref="J44:J66" si="20">H44-I44</f>
        <v>-33645750</v>
      </c>
      <c r="K44" s="78" t="str">
        <f t="shared" ref="K44:K66" si="21">IFERROR(H44/I44-1,"-")</f>
        <v>-</v>
      </c>
      <c r="L44" s="39">
        <v>0</v>
      </c>
      <c r="M44" s="32">
        <f t="shared" ref="M44:M66" si="22">H44-L44</f>
        <v>-33645750</v>
      </c>
      <c r="N44" s="77" t="str">
        <f t="shared" ref="N44:N66" si="23">IFERROR(M44/L44,"-")</f>
        <v>-</v>
      </c>
      <c r="O44" s="41">
        <v>0</v>
      </c>
      <c r="P44" s="40">
        <v>0</v>
      </c>
      <c r="Q44" s="32">
        <f t="shared" ref="Q44:Q66" si="24">O44-P44</f>
        <v>0</v>
      </c>
      <c r="R44" s="78" t="str">
        <f t="shared" ref="R44:R66" si="25">IFERROR(O44/P44-1,"-")</f>
        <v>-</v>
      </c>
      <c r="S44" s="39">
        <f>-O41*3</f>
        <v>-33645750</v>
      </c>
      <c r="T44" s="39">
        <v>0</v>
      </c>
      <c r="U44" s="32">
        <f t="shared" ref="U44:U66" si="26">S44-T44</f>
        <v>-33645750</v>
      </c>
      <c r="V44" s="78" t="str">
        <f t="shared" ref="V44:V66" si="27">IFERROR(S44/T44-1,"-")</f>
        <v>-</v>
      </c>
      <c r="W44" s="39">
        <v>0</v>
      </c>
      <c r="X44" s="32">
        <f t="shared" ref="X44:X66" si="28">S44-W44</f>
        <v>-33645750</v>
      </c>
      <c r="Y44" s="77" t="str">
        <f t="shared" ref="Y44:Y66" si="29">IFERROR(X44/W44,"-")</f>
        <v>-</v>
      </c>
      <c r="Z44" s="41">
        <v>0</v>
      </c>
      <c r="AA44" s="40">
        <v>0</v>
      </c>
      <c r="AB44" s="32">
        <f t="shared" ref="AB44:AB66" si="30">Z44-AA44</f>
        <v>0</v>
      </c>
      <c r="AC44" s="78" t="str">
        <f t="shared" ref="AC44:AC66" si="31">IFERROR(Z44/AA44-1,"-")</f>
        <v>-</v>
      </c>
      <c r="AD44" s="39">
        <f>-Z41*3</f>
        <v>-33645750</v>
      </c>
      <c r="AE44" s="39">
        <v>0</v>
      </c>
      <c r="AF44" s="32">
        <f t="shared" ref="AF44:AF66" si="32">AD44-AE44</f>
        <v>-33645750</v>
      </c>
      <c r="AG44" s="78" t="str">
        <f t="shared" ref="AG44:AG66" si="33">IFERROR(AD44/AE44-1,"-")</f>
        <v>-</v>
      </c>
      <c r="AH44" s="39">
        <v>0</v>
      </c>
      <c r="AI44" s="32">
        <f t="shared" ref="AI44:AI66" si="34">AD44-AH44</f>
        <v>-33645750</v>
      </c>
      <c r="AJ44" s="77" t="str">
        <f t="shared" ref="AJ44:AJ66" si="35">IFERROR(AI44/AH44,"-")</f>
        <v>-</v>
      </c>
    </row>
    <row r="45" spans="1:36" ht="12.75" hidden="1" customHeight="1" outlineLevel="3" x14ac:dyDescent="0.2">
      <c r="B45" s="38" t="s">
        <v>63</v>
      </c>
      <c r="C45" s="37" t="s">
        <v>62</v>
      </c>
      <c r="D45" s="41">
        <v>0</v>
      </c>
      <c r="E45" s="40">
        <v>0</v>
      </c>
      <c r="F45" s="32">
        <f t="shared" si="18"/>
        <v>0</v>
      </c>
      <c r="G45" s="78" t="str">
        <f t="shared" si="19"/>
        <v>-</v>
      </c>
      <c r="H45" s="39">
        <f>-D42*3</f>
        <v>-6224463.75</v>
      </c>
      <c r="I45" s="39">
        <v>0</v>
      </c>
      <c r="J45" s="32">
        <f t="shared" si="20"/>
        <v>-6224463.75</v>
      </c>
      <c r="K45" s="78" t="str">
        <f t="shared" si="21"/>
        <v>-</v>
      </c>
      <c r="L45" s="39">
        <v>0</v>
      </c>
      <c r="M45" s="32">
        <f t="shared" si="22"/>
        <v>-6224463.75</v>
      </c>
      <c r="N45" s="77" t="str">
        <f t="shared" si="23"/>
        <v>-</v>
      </c>
      <c r="O45" s="41">
        <v>0</v>
      </c>
      <c r="P45" s="40">
        <v>0</v>
      </c>
      <c r="Q45" s="32">
        <f t="shared" si="24"/>
        <v>0</v>
      </c>
      <c r="R45" s="78" t="str">
        <f t="shared" si="25"/>
        <v>-</v>
      </c>
      <c r="S45" s="39">
        <f>-O42*3</f>
        <v>-6224463.75</v>
      </c>
      <c r="T45" s="39">
        <v>0</v>
      </c>
      <c r="U45" s="32">
        <f t="shared" si="26"/>
        <v>-6224463.75</v>
      </c>
      <c r="V45" s="78" t="str">
        <f t="shared" si="27"/>
        <v>-</v>
      </c>
      <c r="W45" s="39">
        <v>0</v>
      </c>
      <c r="X45" s="32">
        <f t="shared" si="28"/>
        <v>-6224463.75</v>
      </c>
      <c r="Y45" s="77" t="str">
        <f t="shared" si="29"/>
        <v>-</v>
      </c>
      <c r="Z45" s="41">
        <v>0</v>
      </c>
      <c r="AA45" s="40">
        <v>0</v>
      </c>
      <c r="AB45" s="32">
        <f t="shared" si="30"/>
        <v>0</v>
      </c>
      <c r="AC45" s="78" t="str">
        <f t="shared" si="31"/>
        <v>-</v>
      </c>
      <c r="AD45" s="39">
        <f>-Z42*3</f>
        <v>-6224463.75</v>
      </c>
      <c r="AE45" s="39">
        <v>0</v>
      </c>
      <c r="AF45" s="32">
        <f t="shared" si="32"/>
        <v>-6224463.75</v>
      </c>
      <c r="AG45" s="78" t="str">
        <f t="shared" si="33"/>
        <v>-</v>
      </c>
      <c r="AH45" s="39">
        <v>0</v>
      </c>
      <c r="AI45" s="32">
        <f t="shared" si="34"/>
        <v>-6224463.75</v>
      </c>
      <c r="AJ45" s="77" t="str">
        <f t="shared" si="35"/>
        <v>-</v>
      </c>
    </row>
    <row r="46" spans="1:36" s="6" customFormat="1" hidden="1" outlineLevel="2" collapsed="1" x14ac:dyDescent="0.2">
      <c r="A46" s="30"/>
      <c r="B46" s="29" t="s">
        <v>61</v>
      </c>
      <c r="C46" s="42" t="s">
        <v>60</v>
      </c>
      <c r="D46" s="27">
        <f>SUM(D44:D45)</f>
        <v>0</v>
      </c>
      <c r="E46" s="26">
        <f>SUM(E44:E45)</f>
        <v>0</v>
      </c>
      <c r="F46" s="23">
        <f t="shared" si="18"/>
        <v>0</v>
      </c>
      <c r="G46" s="76" t="str">
        <f t="shared" si="19"/>
        <v>-</v>
      </c>
      <c r="H46" s="24">
        <f>SUM(H44:H45)</f>
        <v>-39870213.75</v>
      </c>
      <c r="I46" s="24">
        <f>SUM(I44:I45)</f>
        <v>0</v>
      </c>
      <c r="J46" s="23">
        <f t="shared" si="20"/>
        <v>-39870213.75</v>
      </c>
      <c r="K46" s="76" t="str">
        <f t="shared" si="21"/>
        <v>-</v>
      </c>
      <c r="L46" s="24">
        <f>SUM(L44:L45)</f>
        <v>0</v>
      </c>
      <c r="M46" s="23">
        <f t="shared" si="22"/>
        <v>-39870213.75</v>
      </c>
      <c r="N46" s="75" t="str">
        <f t="shared" si="23"/>
        <v>-</v>
      </c>
      <c r="O46" s="27">
        <f>SUM(O44:O45)</f>
        <v>0</v>
      </c>
      <c r="P46" s="26">
        <f>SUM(P44:P45)</f>
        <v>0</v>
      </c>
      <c r="Q46" s="23">
        <f t="shared" si="24"/>
        <v>0</v>
      </c>
      <c r="R46" s="76" t="str">
        <f t="shared" si="25"/>
        <v>-</v>
      </c>
      <c r="S46" s="24">
        <f>SUM(S44:S45)</f>
        <v>-39870213.75</v>
      </c>
      <c r="T46" s="24">
        <f>SUM(T44:T45)</f>
        <v>0</v>
      </c>
      <c r="U46" s="23">
        <f t="shared" si="26"/>
        <v>-39870213.75</v>
      </c>
      <c r="V46" s="76" t="str">
        <f t="shared" si="27"/>
        <v>-</v>
      </c>
      <c r="W46" s="24">
        <f>SUM(W44:W45)</f>
        <v>0</v>
      </c>
      <c r="X46" s="23">
        <f t="shared" si="28"/>
        <v>-39870213.75</v>
      </c>
      <c r="Y46" s="75" t="str">
        <f t="shared" si="29"/>
        <v>-</v>
      </c>
      <c r="Z46" s="27">
        <f>SUM(Z44:Z45)</f>
        <v>0</v>
      </c>
      <c r="AA46" s="26">
        <f>SUM(AA44:AA45)</f>
        <v>0</v>
      </c>
      <c r="AB46" s="23">
        <f t="shared" si="30"/>
        <v>0</v>
      </c>
      <c r="AC46" s="76" t="str">
        <f t="shared" si="31"/>
        <v>-</v>
      </c>
      <c r="AD46" s="24">
        <f>SUM(AD44:AD45)</f>
        <v>-39870213.75</v>
      </c>
      <c r="AE46" s="24">
        <f>SUM(AE44:AE45)</f>
        <v>0</v>
      </c>
      <c r="AF46" s="23">
        <f t="shared" si="32"/>
        <v>-39870213.75</v>
      </c>
      <c r="AG46" s="76" t="str">
        <f t="shared" si="33"/>
        <v>-</v>
      </c>
      <c r="AH46" s="24">
        <f>SUM(AH44:AH45)</f>
        <v>0</v>
      </c>
      <c r="AI46" s="23">
        <f t="shared" si="34"/>
        <v>-39870213.75</v>
      </c>
      <c r="AJ46" s="75" t="str">
        <f t="shared" si="35"/>
        <v>-</v>
      </c>
    </row>
    <row r="47" spans="1:36" ht="12.75" hidden="1" customHeight="1" outlineLevel="3" x14ac:dyDescent="0.2">
      <c r="B47" s="38" t="s">
        <v>59</v>
      </c>
      <c r="C47" s="37" t="s">
        <v>58</v>
      </c>
      <c r="D47" s="41">
        <v>0</v>
      </c>
      <c r="E47" s="40">
        <f>33645750/3</f>
        <v>11215250</v>
      </c>
      <c r="F47" s="32">
        <f t="shared" si="18"/>
        <v>-11215250</v>
      </c>
      <c r="G47" s="78">
        <f t="shared" si="19"/>
        <v>-1</v>
      </c>
      <c r="H47" s="39">
        <v>32425066</v>
      </c>
      <c r="I47" s="39">
        <v>66701000</v>
      </c>
      <c r="J47" s="32">
        <f t="shared" si="20"/>
        <v>-34275934</v>
      </c>
      <c r="K47" s="78">
        <f t="shared" si="21"/>
        <v>-0.5138743647021784</v>
      </c>
      <c r="L47" s="39">
        <v>133992500</v>
      </c>
      <c r="M47" s="32">
        <f t="shared" si="22"/>
        <v>-101567434</v>
      </c>
      <c r="N47" s="77">
        <f t="shared" si="23"/>
        <v>-0.75800835121368737</v>
      </c>
      <c r="O47" s="41">
        <v>0</v>
      </c>
      <c r="P47" s="40">
        <f>33645750/3</f>
        <v>11215250</v>
      </c>
      <c r="Q47" s="32">
        <f t="shared" si="24"/>
        <v>-11215250</v>
      </c>
      <c r="R47" s="78">
        <f t="shared" si="25"/>
        <v>-1</v>
      </c>
      <c r="S47" s="39">
        <v>32425066</v>
      </c>
      <c r="T47" s="39">
        <v>66701000</v>
      </c>
      <c r="U47" s="32">
        <f t="shared" si="26"/>
        <v>-34275934</v>
      </c>
      <c r="V47" s="78">
        <f t="shared" si="27"/>
        <v>-0.5138743647021784</v>
      </c>
      <c r="W47" s="39">
        <v>133992500</v>
      </c>
      <c r="X47" s="32">
        <f t="shared" si="28"/>
        <v>-101567434</v>
      </c>
      <c r="Y47" s="77">
        <f t="shared" si="29"/>
        <v>-0.75800835121368737</v>
      </c>
      <c r="Z47" s="41">
        <v>0</v>
      </c>
      <c r="AA47" s="40">
        <f>33645750/3</f>
        <v>11215250</v>
      </c>
      <c r="AB47" s="32">
        <f t="shared" si="30"/>
        <v>-11215250</v>
      </c>
      <c r="AC47" s="78">
        <f t="shared" si="31"/>
        <v>-1</v>
      </c>
      <c r="AD47" s="39">
        <v>32425066</v>
      </c>
      <c r="AE47" s="39">
        <v>66701000</v>
      </c>
      <c r="AF47" s="32">
        <f t="shared" si="32"/>
        <v>-34275934</v>
      </c>
      <c r="AG47" s="78">
        <f t="shared" si="33"/>
        <v>-0.5138743647021784</v>
      </c>
      <c r="AH47" s="39">
        <v>133992500</v>
      </c>
      <c r="AI47" s="32">
        <f t="shared" si="34"/>
        <v>-101567434</v>
      </c>
      <c r="AJ47" s="77">
        <f t="shared" si="35"/>
        <v>-0.75800835121368737</v>
      </c>
    </row>
    <row r="48" spans="1:36" ht="12.75" hidden="1" customHeight="1" outlineLevel="3" x14ac:dyDescent="0.2">
      <c r="B48" s="38" t="s">
        <v>57</v>
      </c>
      <c r="C48" s="37" t="s">
        <v>56</v>
      </c>
      <c r="D48" s="36">
        <v>0</v>
      </c>
      <c r="E48" s="35">
        <f>6224463.75/3</f>
        <v>2074821.25</v>
      </c>
      <c r="F48" s="32">
        <f t="shared" si="18"/>
        <v>-2074821.25</v>
      </c>
      <c r="G48" s="78">
        <f t="shared" si="19"/>
        <v>-1</v>
      </c>
      <c r="H48" s="33">
        <v>9492847</v>
      </c>
      <c r="I48" s="33">
        <v>12339685</v>
      </c>
      <c r="J48" s="32">
        <f t="shared" si="20"/>
        <v>-2846838</v>
      </c>
      <c r="K48" s="78">
        <f t="shared" si="21"/>
        <v>-0.2307058891697803</v>
      </c>
      <c r="L48" s="33">
        <v>24788612.5</v>
      </c>
      <c r="M48" s="32">
        <f t="shared" si="22"/>
        <v>-15295765.5</v>
      </c>
      <c r="N48" s="77">
        <f t="shared" si="23"/>
        <v>-0.61704806995550876</v>
      </c>
      <c r="O48" s="36">
        <v>0</v>
      </c>
      <c r="P48" s="35">
        <f>6224463.75/3</f>
        <v>2074821.25</v>
      </c>
      <c r="Q48" s="32">
        <f t="shared" si="24"/>
        <v>-2074821.25</v>
      </c>
      <c r="R48" s="78">
        <f t="shared" si="25"/>
        <v>-1</v>
      </c>
      <c r="S48" s="33">
        <v>9492847</v>
      </c>
      <c r="T48" s="33">
        <v>12339685</v>
      </c>
      <c r="U48" s="32">
        <f t="shared" si="26"/>
        <v>-2846838</v>
      </c>
      <c r="V48" s="78">
        <f t="shared" si="27"/>
        <v>-0.2307058891697803</v>
      </c>
      <c r="W48" s="33">
        <v>24788612.5</v>
      </c>
      <c r="X48" s="32">
        <f t="shared" si="28"/>
        <v>-15295765.5</v>
      </c>
      <c r="Y48" s="77">
        <f t="shared" si="29"/>
        <v>-0.61704806995550876</v>
      </c>
      <c r="Z48" s="36">
        <v>0</v>
      </c>
      <c r="AA48" s="35">
        <f>6224463.75/3</f>
        <v>2074821.25</v>
      </c>
      <c r="AB48" s="32">
        <f t="shared" si="30"/>
        <v>-2074821.25</v>
      </c>
      <c r="AC48" s="78">
        <f t="shared" si="31"/>
        <v>-1</v>
      </c>
      <c r="AD48" s="33">
        <v>9492847</v>
      </c>
      <c r="AE48" s="33">
        <v>12339685</v>
      </c>
      <c r="AF48" s="32">
        <f t="shared" si="32"/>
        <v>-2846838</v>
      </c>
      <c r="AG48" s="78">
        <f t="shared" si="33"/>
        <v>-0.2307058891697803</v>
      </c>
      <c r="AH48" s="33">
        <v>24788612.5</v>
      </c>
      <c r="AI48" s="32">
        <f t="shared" si="34"/>
        <v>-15295765.5</v>
      </c>
      <c r="AJ48" s="77">
        <f t="shared" si="35"/>
        <v>-0.61704806995550876</v>
      </c>
    </row>
    <row r="49" spans="1:36" s="6" customFormat="1" hidden="1" outlineLevel="2" collapsed="1" x14ac:dyDescent="0.2">
      <c r="A49" s="30"/>
      <c r="B49" s="29" t="s">
        <v>55</v>
      </c>
      <c r="C49" s="42" t="s">
        <v>54</v>
      </c>
      <c r="D49" s="27">
        <f>SUM(D47:D48)</f>
        <v>0</v>
      </c>
      <c r="E49" s="26">
        <f>SUM(E47:E48)</f>
        <v>13290071.25</v>
      </c>
      <c r="F49" s="23">
        <f t="shared" si="18"/>
        <v>-13290071.25</v>
      </c>
      <c r="G49" s="76">
        <f t="shared" si="19"/>
        <v>-1</v>
      </c>
      <c r="H49" s="24">
        <f>SUM(H47:H48)</f>
        <v>41917913</v>
      </c>
      <c r="I49" s="24">
        <f>SUM(I47:I48)</f>
        <v>79040685</v>
      </c>
      <c r="J49" s="23">
        <f t="shared" si="20"/>
        <v>-37122772</v>
      </c>
      <c r="K49" s="76">
        <f t="shared" si="21"/>
        <v>-0.46966662801568582</v>
      </c>
      <c r="L49" s="24">
        <f>SUM(L47:L48)</f>
        <v>158781112.5</v>
      </c>
      <c r="M49" s="23">
        <f t="shared" si="22"/>
        <v>-116863199.5</v>
      </c>
      <c r="N49" s="75">
        <f t="shared" si="23"/>
        <v>-0.73600189380207293</v>
      </c>
      <c r="O49" s="27">
        <f>SUM(O47:O48)</f>
        <v>0</v>
      </c>
      <c r="P49" s="26">
        <f>SUM(P47:P48)</f>
        <v>13290071.25</v>
      </c>
      <c r="Q49" s="23">
        <f t="shared" si="24"/>
        <v>-13290071.25</v>
      </c>
      <c r="R49" s="76">
        <f t="shared" si="25"/>
        <v>-1</v>
      </c>
      <c r="S49" s="24">
        <f>SUM(S47:S48)</f>
        <v>41917913</v>
      </c>
      <c r="T49" s="24">
        <f>SUM(T47:T48)</f>
        <v>79040685</v>
      </c>
      <c r="U49" s="23">
        <f t="shared" si="26"/>
        <v>-37122772</v>
      </c>
      <c r="V49" s="76">
        <f t="shared" si="27"/>
        <v>-0.46966662801568582</v>
      </c>
      <c r="W49" s="24">
        <f>SUM(W47:W48)</f>
        <v>158781112.5</v>
      </c>
      <c r="X49" s="23">
        <f t="shared" si="28"/>
        <v>-116863199.5</v>
      </c>
      <c r="Y49" s="75">
        <f t="shared" si="29"/>
        <v>-0.73600189380207293</v>
      </c>
      <c r="Z49" s="27">
        <f>SUM(Z47:Z48)</f>
        <v>0</v>
      </c>
      <c r="AA49" s="26">
        <f>SUM(AA47:AA48)</f>
        <v>13290071.25</v>
      </c>
      <c r="AB49" s="23">
        <f t="shared" si="30"/>
        <v>-13290071.25</v>
      </c>
      <c r="AC49" s="76">
        <f t="shared" si="31"/>
        <v>-1</v>
      </c>
      <c r="AD49" s="24">
        <f>SUM(AD47:AD48)</f>
        <v>41917913</v>
      </c>
      <c r="AE49" s="24">
        <f>SUM(AE47:AE48)</f>
        <v>79040685</v>
      </c>
      <c r="AF49" s="23">
        <f t="shared" si="32"/>
        <v>-37122772</v>
      </c>
      <c r="AG49" s="76">
        <f t="shared" si="33"/>
        <v>-0.46966662801568582</v>
      </c>
      <c r="AH49" s="24">
        <f>SUM(AH47:AH48)</f>
        <v>158781112.5</v>
      </c>
      <c r="AI49" s="23">
        <f t="shared" si="34"/>
        <v>-116863199.5</v>
      </c>
      <c r="AJ49" s="75">
        <f t="shared" si="35"/>
        <v>-0.73600189380207293</v>
      </c>
    </row>
    <row r="50" spans="1:36" s="6" customFormat="1" ht="14.45" customHeight="1" outlineLevel="1" collapsed="1" x14ac:dyDescent="0.2">
      <c r="A50" s="30"/>
      <c r="B50" s="48" t="s">
        <v>53</v>
      </c>
      <c r="C50" s="47" t="s">
        <v>52</v>
      </c>
      <c r="D50" s="46">
        <f>D49+D46+D43</f>
        <v>13290071.25</v>
      </c>
      <c r="E50" s="45">
        <f>E49+E46+E43</f>
        <v>13290071.25</v>
      </c>
      <c r="F50" s="23">
        <f t="shared" si="18"/>
        <v>0</v>
      </c>
      <c r="G50" s="76">
        <f t="shared" si="19"/>
        <v>0</v>
      </c>
      <c r="H50" s="44">
        <f>H49+H46+H43</f>
        <v>81788126.75</v>
      </c>
      <c r="I50" s="44">
        <f>I49+I46+I43</f>
        <v>79040685</v>
      </c>
      <c r="J50" s="23">
        <f t="shared" si="20"/>
        <v>2747441.75</v>
      </c>
      <c r="K50" s="76">
        <f t="shared" si="21"/>
        <v>3.4759842352074743E-2</v>
      </c>
      <c r="L50" s="44">
        <f>L49+L46+L43</f>
        <v>158781112.5</v>
      </c>
      <c r="M50" s="23">
        <f t="shared" si="22"/>
        <v>-76992985.75</v>
      </c>
      <c r="N50" s="75">
        <f t="shared" si="23"/>
        <v>-0.48490015303300005</v>
      </c>
      <c r="O50" s="46">
        <f>O49+O46+O43</f>
        <v>13290071.25</v>
      </c>
      <c r="P50" s="45">
        <f>P49+P46+P43</f>
        <v>13290071.25</v>
      </c>
      <c r="Q50" s="23">
        <f t="shared" si="24"/>
        <v>0</v>
      </c>
      <c r="R50" s="76">
        <f t="shared" si="25"/>
        <v>0</v>
      </c>
      <c r="S50" s="44">
        <f>S49+S46+S43</f>
        <v>81788126.75</v>
      </c>
      <c r="T50" s="44">
        <f>T49+T46+T43</f>
        <v>79040685</v>
      </c>
      <c r="U50" s="23">
        <f t="shared" si="26"/>
        <v>2747441.75</v>
      </c>
      <c r="V50" s="76">
        <f t="shared" si="27"/>
        <v>3.4759842352074743E-2</v>
      </c>
      <c r="W50" s="44">
        <f>W49+W46+W43</f>
        <v>158781112.5</v>
      </c>
      <c r="X50" s="23">
        <f t="shared" si="28"/>
        <v>-76992985.75</v>
      </c>
      <c r="Y50" s="75">
        <f t="shared" si="29"/>
        <v>-0.48490015303300005</v>
      </c>
      <c r="Z50" s="46">
        <f>Z49+Z46+Z43</f>
        <v>13290071.25</v>
      </c>
      <c r="AA50" s="45">
        <f>AA49+AA46+AA43</f>
        <v>13290071.25</v>
      </c>
      <c r="AB50" s="23">
        <f t="shared" si="30"/>
        <v>0</v>
      </c>
      <c r="AC50" s="76">
        <f t="shared" si="31"/>
        <v>0</v>
      </c>
      <c r="AD50" s="44">
        <f>AD49+AD46+AD43</f>
        <v>81788126.75</v>
      </c>
      <c r="AE50" s="44">
        <f>AE49+AE46+AE43</f>
        <v>79040685</v>
      </c>
      <c r="AF50" s="23">
        <f t="shared" si="32"/>
        <v>2747441.75</v>
      </c>
      <c r="AG50" s="76">
        <f t="shared" si="33"/>
        <v>3.4759842352074743E-2</v>
      </c>
      <c r="AH50" s="44">
        <f>AH49+AH46+AH43</f>
        <v>158781112.5</v>
      </c>
      <c r="AI50" s="23">
        <f t="shared" si="34"/>
        <v>-76992985.75</v>
      </c>
      <c r="AJ50" s="75">
        <f t="shared" si="35"/>
        <v>-0.48490015303300005</v>
      </c>
    </row>
    <row r="51" spans="1:36" s="6" customFormat="1" ht="15.75" customHeight="1" x14ac:dyDescent="0.2">
      <c r="B51" s="21" t="s">
        <v>51</v>
      </c>
      <c r="C51" s="20" t="s">
        <v>50</v>
      </c>
      <c r="D51" s="19">
        <f>D50+D40+D27+D24</f>
        <v>254382240.87</v>
      </c>
      <c r="E51" s="18">
        <f>E50+E40+E27+E24</f>
        <v>240651579.37692353</v>
      </c>
      <c r="F51" s="15">
        <f t="shared" si="18"/>
        <v>13730661.493076473</v>
      </c>
      <c r="G51" s="74">
        <f t="shared" si="19"/>
        <v>5.7056186909833828E-2</v>
      </c>
      <c r="H51" s="16">
        <f>H50+H40+H27+H24</f>
        <v>1678786792.1500001</v>
      </c>
      <c r="I51" s="16">
        <f>I50+I40+I27+I24</f>
        <v>1433415197.9122353</v>
      </c>
      <c r="J51" s="15">
        <f t="shared" si="20"/>
        <v>245371594.23776484</v>
      </c>
      <c r="K51" s="74">
        <f t="shared" si="21"/>
        <v>0.17117970745332389</v>
      </c>
      <c r="L51" s="16">
        <f>L50+L40+L27+L24</f>
        <v>2877324674.1737766</v>
      </c>
      <c r="M51" s="15">
        <f t="shared" si="22"/>
        <v>-1198537882.0237765</v>
      </c>
      <c r="N51" s="73">
        <f t="shared" si="23"/>
        <v>-0.41654592989855638</v>
      </c>
      <c r="O51" s="19">
        <f>O50+O40+O27+O24</f>
        <v>254382240.87</v>
      </c>
      <c r="P51" s="18">
        <f>P50+P40+P27+P24</f>
        <v>240651579.37692353</v>
      </c>
      <c r="Q51" s="15">
        <f t="shared" si="24"/>
        <v>13730661.493076473</v>
      </c>
      <c r="R51" s="74">
        <f t="shared" si="25"/>
        <v>5.7056186909833828E-2</v>
      </c>
      <c r="S51" s="16">
        <f>S50+S40+S27+S24</f>
        <v>1678786792.1500001</v>
      </c>
      <c r="T51" s="16">
        <f>T50+T40+T27+T24</f>
        <v>1433415197.9122353</v>
      </c>
      <c r="U51" s="15">
        <f t="shared" si="26"/>
        <v>245371594.23776484</v>
      </c>
      <c r="V51" s="74">
        <f t="shared" si="27"/>
        <v>0.17117970745332389</v>
      </c>
      <c r="W51" s="16">
        <f>W50+W40+W27+W24</f>
        <v>2877324674.1737766</v>
      </c>
      <c r="X51" s="15">
        <f t="shared" si="28"/>
        <v>-1198537882.0237765</v>
      </c>
      <c r="Y51" s="73">
        <f t="shared" si="29"/>
        <v>-0.41654592989855638</v>
      </c>
      <c r="Z51" s="19">
        <f>Z50+Z40+Z27+Z24</f>
        <v>254382240.87</v>
      </c>
      <c r="AA51" s="18">
        <f>AA50+AA40+AA27+AA24</f>
        <v>240651579.37692353</v>
      </c>
      <c r="AB51" s="15">
        <f t="shared" si="30"/>
        <v>13730661.493076473</v>
      </c>
      <c r="AC51" s="74">
        <f t="shared" si="31"/>
        <v>5.7056186909833828E-2</v>
      </c>
      <c r="AD51" s="16">
        <f>AD50+AD40+AD27+AD24</f>
        <v>1678786792.1500001</v>
      </c>
      <c r="AE51" s="16">
        <f>AE50+AE40+AE27+AE24</f>
        <v>1433415197.9122353</v>
      </c>
      <c r="AF51" s="15">
        <f t="shared" si="32"/>
        <v>245371594.23776484</v>
      </c>
      <c r="AG51" s="74">
        <f t="shared" si="33"/>
        <v>0.17117970745332389</v>
      </c>
      <c r="AH51" s="16">
        <f>AH50+AH40+AH27+AH24</f>
        <v>2877324674.1737766</v>
      </c>
      <c r="AI51" s="15">
        <f t="shared" si="34"/>
        <v>-1198537882.0237765</v>
      </c>
      <c r="AJ51" s="73">
        <f t="shared" si="35"/>
        <v>-0.41654592989855638</v>
      </c>
    </row>
    <row r="52" spans="1:36" ht="12.75" hidden="1" customHeight="1" outlineLevel="3" x14ac:dyDescent="0.2">
      <c r="B52" s="38" t="s">
        <v>45</v>
      </c>
      <c r="C52" s="37" t="s">
        <v>44</v>
      </c>
      <c r="D52" s="36">
        <v>0</v>
      </c>
      <c r="E52" s="40">
        <v>0</v>
      </c>
      <c r="F52" s="32">
        <f t="shared" si="18"/>
        <v>0</v>
      </c>
      <c r="G52" s="78" t="str">
        <f t="shared" si="19"/>
        <v>-</v>
      </c>
      <c r="H52" s="33">
        <v>0</v>
      </c>
      <c r="I52" s="33">
        <v>0</v>
      </c>
      <c r="J52" s="32">
        <f t="shared" si="20"/>
        <v>0</v>
      </c>
      <c r="K52" s="78" t="str">
        <f t="shared" si="21"/>
        <v>-</v>
      </c>
      <c r="L52" s="33">
        <v>0</v>
      </c>
      <c r="M52" s="32">
        <f t="shared" si="22"/>
        <v>0</v>
      </c>
      <c r="N52" s="77" t="str">
        <f t="shared" si="23"/>
        <v>-</v>
      </c>
      <c r="O52" s="36">
        <v>0</v>
      </c>
      <c r="P52" s="40">
        <v>0</v>
      </c>
      <c r="Q52" s="32">
        <f t="shared" si="24"/>
        <v>0</v>
      </c>
      <c r="R52" s="78" t="str">
        <f t="shared" si="25"/>
        <v>-</v>
      </c>
      <c r="S52" s="33">
        <v>0</v>
      </c>
      <c r="T52" s="33">
        <v>0</v>
      </c>
      <c r="U52" s="32">
        <f t="shared" si="26"/>
        <v>0</v>
      </c>
      <c r="V52" s="78" t="str">
        <f t="shared" si="27"/>
        <v>-</v>
      </c>
      <c r="W52" s="33">
        <v>0</v>
      </c>
      <c r="X52" s="32">
        <f t="shared" si="28"/>
        <v>0</v>
      </c>
      <c r="Y52" s="77" t="str">
        <f t="shared" si="29"/>
        <v>-</v>
      </c>
      <c r="Z52" s="36">
        <v>0</v>
      </c>
      <c r="AA52" s="40">
        <v>0</v>
      </c>
      <c r="AB52" s="32">
        <f t="shared" si="30"/>
        <v>0</v>
      </c>
      <c r="AC52" s="78" t="str">
        <f t="shared" si="31"/>
        <v>-</v>
      </c>
      <c r="AD52" s="33">
        <v>0</v>
      </c>
      <c r="AE52" s="33">
        <v>0</v>
      </c>
      <c r="AF52" s="32">
        <f t="shared" si="32"/>
        <v>0</v>
      </c>
      <c r="AG52" s="78" t="str">
        <f t="shared" si="33"/>
        <v>-</v>
      </c>
      <c r="AH52" s="33">
        <v>0</v>
      </c>
      <c r="AI52" s="32">
        <f t="shared" si="34"/>
        <v>0</v>
      </c>
      <c r="AJ52" s="77" t="str">
        <f t="shared" si="35"/>
        <v>-</v>
      </c>
    </row>
    <row r="53" spans="1:36" ht="12.75" hidden="1" customHeight="1" outlineLevel="3" x14ac:dyDescent="0.2">
      <c r="B53" s="38" t="s">
        <v>49</v>
      </c>
      <c r="C53" s="37" t="s">
        <v>48</v>
      </c>
      <c r="D53" s="36">
        <v>0</v>
      </c>
      <c r="E53" s="40">
        <v>0</v>
      </c>
      <c r="F53" s="32">
        <f t="shared" si="18"/>
        <v>0</v>
      </c>
      <c r="G53" s="78" t="str">
        <f t="shared" si="19"/>
        <v>-</v>
      </c>
      <c r="H53" s="33">
        <v>0</v>
      </c>
      <c r="I53" s="33">
        <v>0</v>
      </c>
      <c r="J53" s="32">
        <f t="shared" si="20"/>
        <v>0</v>
      </c>
      <c r="K53" s="78" t="str">
        <f t="shared" si="21"/>
        <v>-</v>
      </c>
      <c r="L53" s="33">
        <v>0</v>
      </c>
      <c r="M53" s="32">
        <f t="shared" si="22"/>
        <v>0</v>
      </c>
      <c r="N53" s="77" t="str">
        <f t="shared" si="23"/>
        <v>-</v>
      </c>
      <c r="O53" s="36">
        <v>0</v>
      </c>
      <c r="P53" s="40">
        <v>0</v>
      </c>
      <c r="Q53" s="32">
        <f t="shared" si="24"/>
        <v>0</v>
      </c>
      <c r="R53" s="78" t="str">
        <f t="shared" si="25"/>
        <v>-</v>
      </c>
      <c r="S53" s="33">
        <v>0</v>
      </c>
      <c r="T53" s="33">
        <v>0</v>
      </c>
      <c r="U53" s="32">
        <f t="shared" si="26"/>
        <v>0</v>
      </c>
      <c r="V53" s="78" t="str">
        <f t="shared" si="27"/>
        <v>-</v>
      </c>
      <c r="W53" s="33">
        <v>0</v>
      </c>
      <c r="X53" s="32">
        <f t="shared" si="28"/>
        <v>0</v>
      </c>
      <c r="Y53" s="77" t="str">
        <f t="shared" si="29"/>
        <v>-</v>
      </c>
      <c r="Z53" s="36">
        <v>0</v>
      </c>
      <c r="AA53" s="40">
        <v>0</v>
      </c>
      <c r="AB53" s="32">
        <f t="shared" si="30"/>
        <v>0</v>
      </c>
      <c r="AC53" s="78" t="str">
        <f t="shared" si="31"/>
        <v>-</v>
      </c>
      <c r="AD53" s="33">
        <v>0</v>
      </c>
      <c r="AE53" s="33">
        <v>0</v>
      </c>
      <c r="AF53" s="32">
        <f t="shared" si="32"/>
        <v>0</v>
      </c>
      <c r="AG53" s="78" t="str">
        <f t="shared" si="33"/>
        <v>-</v>
      </c>
      <c r="AH53" s="33">
        <v>0</v>
      </c>
      <c r="AI53" s="32">
        <f t="shared" si="34"/>
        <v>0</v>
      </c>
      <c r="AJ53" s="77" t="str">
        <f t="shared" si="35"/>
        <v>-</v>
      </c>
    </row>
    <row r="54" spans="1:36" s="6" customFormat="1" ht="14.45" customHeight="1" outlineLevel="1" collapsed="1" x14ac:dyDescent="0.2">
      <c r="A54" s="30"/>
      <c r="B54" s="48" t="s">
        <v>47</v>
      </c>
      <c r="C54" s="47" t="s">
        <v>46</v>
      </c>
      <c r="D54" s="46">
        <f>SUM(D52:D53)</f>
        <v>0</v>
      </c>
      <c r="E54" s="45">
        <f>SUM(E52:E53)</f>
        <v>0</v>
      </c>
      <c r="F54" s="23">
        <f t="shared" si="18"/>
        <v>0</v>
      </c>
      <c r="G54" s="76" t="str">
        <f t="shared" si="19"/>
        <v>-</v>
      </c>
      <c r="H54" s="44">
        <f>SUM(H52:H53)</f>
        <v>0</v>
      </c>
      <c r="I54" s="44">
        <f>SUM(I52:I53)</f>
        <v>0</v>
      </c>
      <c r="J54" s="23">
        <f t="shared" si="20"/>
        <v>0</v>
      </c>
      <c r="K54" s="76" t="str">
        <f t="shared" si="21"/>
        <v>-</v>
      </c>
      <c r="L54" s="44">
        <f>SUM(L52:L53)</f>
        <v>0</v>
      </c>
      <c r="M54" s="23">
        <f t="shared" si="22"/>
        <v>0</v>
      </c>
      <c r="N54" s="75" t="str">
        <f t="shared" si="23"/>
        <v>-</v>
      </c>
      <c r="O54" s="46">
        <f>SUM(O52:O53)</f>
        <v>0</v>
      </c>
      <c r="P54" s="45">
        <f>SUM(P52:P53)</f>
        <v>0</v>
      </c>
      <c r="Q54" s="23">
        <f t="shared" si="24"/>
        <v>0</v>
      </c>
      <c r="R54" s="76" t="str">
        <f t="shared" si="25"/>
        <v>-</v>
      </c>
      <c r="S54" s="44">
        <f>SUM(S52:S53)</f>
        <v>0</v>
      </c>
      <c r="T54" s="44">
        <f>SUM(T52:T53)</f>
        <v>0</v>
      </c>
      <c r="U54" s="23">
        <f t="shared" si="26"/>
        <v>0</v>
      </c>
      <c r="V54" s="76" t="str">
        <f t="shared" si="27"/>
        <v>-</v>
      </c>
      <c r="W54" s="44">
        <f>SUM(W52:W53)</f>
        <v>0</v>
      </c>
      <c r="X54" s="23">
        <f t="shared" si="28"/>
        <v>0</v>
      </c>
      <c r="Y54" s="75" t="str">
        <f t="shared" si="29"/>
        <v>-</v>
      </c>
      <c r="Z54" s="46">
        <f>SUM(Z52:Z53)</f>
        <v>0</v>
      </c>
      <c r="AA54" s="45">
        <f>SUM(AA52:AA53)</f>
        <v>0</v>
      </c>
      <c r="AB54" s="23">
        <f t="shared" si="30"/>
        <v>0</v>
      </c>
      <c r="AC54" s="76" t="str">
        <f t="shared" si="31"/>
        <v>-</v>
      </c>
      <c r="AD54" s="44">
        <f>SUM(AD52:AD53)</f>
        <v>0</v>
      </c>
      <c r="AE54" s="44">
        <f>SUM(AE52:AE53)</f>
        <v>0</v>
      </c>
      <c r="AF54" s="23">
        <f t="shared" si="32"/>
        <v>0</v>
      </c>
      <c r="AG54" s="76" t="str">
        <f t="shared" si="33"/>
        <v>-</v>
      </c>
      <c r="AH54" s="44">
        <f>SUM(AH52:AH53)</f>
        <v>0</v>
      </c>
      <c r="AI54" s="23">
        <f t="shared" si="34"/>
        <v>0</v>
      </c>
      <c r="AJ54" s="75" t="str">
        <f t="shared" si="35"/>
        <v>-</v>
      </c>
    </row>
    <row r="55" spans="1:36" s="6" customFormat="1" ht="15.75" customHeight="1" x14ac:dyDescent="0.2">
      <c r="B55" s="21" t="s">
        <v>45</v>
      </c>
      <c r="C55" s="20" t="s">
        <v>44</v>
      </c>
      <c r="D55" s="19">
        <f>D54</f>
        <v>0</v>
      </c>
      <c r="E55" s="18">
        <f>E54</f>
        <v>0</v>
      </c>
      <c r="F55" s="15">
        <f t="shared" si="18"/>
        <v>0</v>
      </c>
      <c r="G55" s="74" t="str">
        <f t="shared" si="19"/>
        <v>-</v>
      </c>
      <c r="H55" s="16">
        <f>H54</f>
        <v>0</v>
      </c>
      <c r="I55" s="16">
        <f>I54</f>
        <v>0</v>
      </c>
      <c r="J55" s="15">
        <f t="shared" si="20"/>
        <v>0</v>
      </c>
      <c r="K55" s="74" t="str">
        <f t="shared" si="21"/>
        <v>-</v>
      </c>
      <c r="L55" s="16">
        <f>L54</f>
        <v>0</v>
      </c>
      <c r="M55" s="15">
        <f t="shared" si="22"/>
        <v>0</v>
      </c>
      <c r="N55" s="73" t="str">
        <f t="shared" si="23"/>
        <v>-</v>
      </c>
      <c r="O55" s="19">
        <f>O54</f>
        <v>0</v>
      </c>
      <c r="P55" s="18">
        <f>P54</f>
        <v>0</v>
      </c>
      <c r="Q55" s="15">
        <f t="shared" si="24"/>
        <v>0</v>
      </c>
      <c r="R55" s="74" t="str">
        <f t="shared" si="25"/>
        <v>-</v>
      </c>
      <c r="S55" s="16">
        <f>S54</f>
        <v>0</v>
      </c>
      <c r="T55" s="16">
        <f>T54</f>
        <v>0</v>
      </c>
      <c r="U55" s="15">
        <f t="shared" si="26"/>
        <v>0</v>
      </c>
      <c r="V55" s="74" t="str">
        <f t="shared" si="27"/>
        <v>-</v>
      </c>
      <c r="W55" s="16">
        <f>W54</f>
        <v>0</v>
      </c>
      <c r="X55" s="15">
        <f t="shared" si="28"/>
        <v>0</v>
      </c>
      <c r="Y55" s="73" t="str">
        <f t="shared" si="29"/>
        <v>-</v>
      </c>
      <c r="Z55" s="19">
        <f>Z54</f>
        <v>0</v>
      </c>
      <c r="AA55" s="18">
        <f>AA54</f>
        <v>0</v>
      </c>
      <c r="AB55" s="15">
        <f t="shared" si="30"/>
        <v>0</v>
      </c>
      <c r="AC55" s="74" t="str">
        <f t="shared" si="31"/>
        <v>-</v>
      </c>
      <c r="AD55" s="16">
        <f>AD54</f>
        <v>0</v>
      </c>
      <c r="AE55" s="16">
        <f>AE54</f>
        <v>0</v>
      </c>
      <c r="AF55" s="15">
        <f t="shared" si="32"/>
        <v>0</v>
      </c>
      <c r="AG55" s="74" t="str">
        <f t="shared" si="33"/>
        <v>-</v>
      </c>
      <c r="AH55" s="16">
        <f>AH54</f>
        <v>0</v>
      </c>
      <c r="AI55" s="15">
        <f t="shared" si="34"/>
        <v>0</v>
      </c>
      <c r="AJ55" s="73" t="str">
        <f t="shared" si="35"/>
        <v>-</v>
      </c>
    </row>
    <row r="56" spans="1:36" ht="12.75" hidden="1" customHeight="1" outlineLevel="3" x14ac:dyDescent="0.2">
      <c r="B56" s="38" t="s">
        <v>43</v>
      </c>
      <c r="C56" s="37" t="s">
        <v>42</v>
      </c>
      <c r="D56" s="41">
        <f>3528170167.46521*1/12</f>
        <v>294014180.62210083</v>
      </c>
      <c r="E56" s="40">
        <v>0</v>
      </c>
      <c r="F56" s="32">
        <f t="shared" si="18"/>
        <v>294014180.62210083</v>
      </c>
      <c r="G56" s="78" t="str">
        <f t="shared" si="19"/>
        <v>-</v>
      </c>
      <c r="H56" s="40">
        <f>3528170167.46521/2</f>
        <v>1764085083.732605</v>
      </c>
      <c r="I56" s="39">
        <v>0</v>
      </c>
      <c r="J56" s="32">
        <f t="shared" si="20"/>
        <v>1764085083.732605</v>
      </c>
      <c r="K56" s="78" t="str">
        <f t="shared" si="21"/>
        <v>-</v>
      </c>
      <c r="L56" s="39">
        <v>0</v>
      </c>
      <c r="M56" s="32">
        <f t="shared" si="22"/>
        <v>1764085083.732605</v>
      </c>
      <c r="N56" s="77" t="str">
        <f t="shared" si="23"/>
        <v>-</v>
      </c>
      <c r="O56" s="41">
        <f>3528170167.46521*1/12</f>
        <v>294014180.62210083</v>
      </c>
      <c r="P56" s="40">
        <v>0</v>
      </c>
      <c r="Q56" s="32">
        <f t="shared" si="24"/>
        <v>294014180.62210083</v>
      </c>
      <c r="R56" s="78" t="str">
        <f t="shared" si="25"/>
        <v>-</v>
      </c>
      <c r="S56" s="40">
        <f>3528170167.46521/2</f>
        <v>1764085083.732605</v>
      </c>
      <c r="T56" s="39">
        <v>0</v>
      </c>
      <c r="U56" s="32">
        <f t="shared" si="26"/>
        <v>1764085083.732605</v>
      </c>
      <c r="V56" s="78" t="str">
        <f t="shared" si="27"/>
        <v>-</v>
      </c>
      <c r="W56" s="39">
        <v>0</v>
      </c>
      <c r="X56" s="32">
        <f t="shared" si="28"/>
        <v>1764085083.732605</v>
      </c>
      <c r="Y56" s="77" t="str">
        <f t="shared" si="29"/>
        <v>-</v>
      </c>
      <c r="Z56" s="41">
        <f>3528170167.46521*1/12</f>
        <v>294014180.62210083</v>
      </c>
      <c r="AA56" s="40">
        <v>0</v>
      </c>
      <c r="AB56" s="32">
        <f t="shared" si="30"/>
        <v>294014180.62210083</v>
      </c>
      <c r="AC56" s="78" t="str">
        <f t="shared" si="31"/>
        <v>-</v>
      </c>
      <c r="AD56" s="40">
        <f>3528170167.46521/2</f>
        <v>1764085083.732605</v>
      </c>
      <c r="AE56" s="39">
        <v>0</v>
      </c>
      <c r="AF56" s="32">
        <f t="shared" si="32"/>
        <v>1764085083.732605</v>
      </c>
      <c r="AG56" s="78" t="str">
        <f t="shared" si="33"/>
        <v>-</v>
      </c>
      <c r="AH56" s="39">
        <v>0</v>
      </c>
      <c r="AI56" s="32">
        <f t="shared" si="34"/>
        <v>1764085083.732605</v>
      </c>
      <c r="AJ56" s="77" t="str">
        <f t="shared" si="35"/>
        <v>-</v>
      </c>
    </row>
    <row r="57" spans="1:36" ht="12.75" hidden="1" customHeight="1" outlineLevel="3" x14ac:dyDescent="0.2">
      <c r="B57" s="38" t="s">
        <v>41</v>
      </c>
      <c r="C57" s="37" t="s">
        <v>40</v>
      </c>
      <c r="D57" s="41">
        <f>652711480.981065*1/12</f>
        <v>54392623.41508875</v>
      </c>
      <c r="E57" s="40">
        <v>0</v>
      </c>
      <c r="F57" s="32">
        <f t="shared" si="18"/>
        <v>54392623.41508875</v>
      </c>
      <c r="G57" s="78" t="str">
        <f t="shared" si="19"/>
        <v>-</v>
      </c>
      <c r="H57" s="35">
        <f>652711480.981063/2</f>
        <v>326355740.4905315</v>
      </c>
      <c r="I57" s="39">
        <v>0</v>
      </c>
      <c r="J57" s="32">
        <f t="shared" si="20"/>
        <v>326355740.4905315</v>
      </c>
      <c r="K57" s="78" t="str">
        <f t="shared" si="21"/>
        <v>-</v>
      </c>
      <c r="L57" s="39">
        <v>0</v>
      </c>
      <c r="M57" s="32">
        <f t="shared" si="22"/>
        <v>326355740.4905315</v>
      </c>
      <c r="N57" s="77" t="str">
        <f t="shared" si="23"/>
        <v>-</v>
      </c>
      <c r="O57" s="41">
        <f>652711480.981065*1/12</f>
        <v>54392623.41508875</v>
      </c>
      <c r="P57" s="40">
        <v>0</v>
      </c>
      <c r="Q57" s="32">
        <f t="shared" si="24"/>
        <v>54392623.41508875</v>
      </c>
      <c r="R57" s="78" t="str">
        <f t="shared" si="25"/>
        <v>-</v>
      </c>
      <c r="S57" s="35">
        <f>652711480.981063/2</f>
        <v>326355740.4905315</v>
      </c>
      <c r="T57" s="39">
        <v>0</v>
      </c>
      <c r="U57" s="32">
        <f t="shared" si="26"/>
        <v>326355740.4905315</v>
      </c>
      <c r="V57" s="78" t="str">
        <f t="shared" si="27"/>
        <v>-</v>
      </c>
      <c r="W57" s="39">
        <v>0</v>
      </c>
      <c r="X57" s="32">
        <f t="shared" si="28"/>
        <v>326355740.4905315</v>
      </c>
      <c r="Y57" s="77" t="str">
        <f t="shared" si="29"/>
        <v>-</v>
      </c>
      <c r="Z57" s="41">
        <f>652711480.981065*1/12</f>
        <v>54392623.41508875</v>
      </c>
      <c r="AA57" s="40">
        <v>0</v>
      </c>
      <c r="AB57" s="32">
        <f t="shared" si="30"/>
        <v>54392623.41508875</v>
      </c>
      <c r="AC57" s="78" t="str">
        <f t="shared" si="31"/>
        <v>-</v>
      </c>
      <c r="AD57" s="35">
        <f>652711480.981063/2</f>
        <v>326355740.4905315</v>
      </c>
      <c r="AE57" s="39">
        <v>0</v>
      </c>
      <c r="AF57" s="32">
        <f t="shared" si="32"/>
        <v>326355740.4905315</v>
      </c>
      <c r="AG57" s="78" t="str">
        <f t="shared" si="33"/>
        <v>-</v>
      </c>
      <c r="AH57" s="39">
        <v>0</v>
      </c>
      <c r="AI57" s="32">
        <f t="shared" si="34"/>
        <v>326355740.4905315</v>
      </c>
      <c r="AJ57" s="77" t="str">
        <f t="shared" si="35"/>
        <v>-</v>
      </c>
    </row>
    <row r="58" spans="1:36" s="6" customFormat="1" hidden="1" outlineLevel="2" collapsed="1" x14ac:dyDescent="0.2">
      <c r="A58" s="30"/>
      <c r="B58" s="29" t="s">
        <v>39</v>
      </c>
      <c r="C58" s="42" t="s">
        <v>38</v>
      </c>
      <c r="D58" s="27">
        <f>SUM(D56:D57)</f>
        <v>348406804.0371896</v>
      </c>
      <c r="E58" s="26">
        <f>SUM(E56:E57)</f>
        <v>0</v>
      </c>
      <c r="F58" s="23">
        <f t="shared" si="18"/>
        <v>348406804.0371896</v>
      </c>
      <c r="G58" s="76" t="str">
        <f t="shared" si="19"/>
        <v>-</v>
      </c>
      <c r="H58" s="24">
        <f>SUM(H56:H57)</f>
        <v>2090440824.2231364</v>
      </c>
      <c r="I58" s="24">
        <f>SUM(I56:I57)</f>
        <v>0</v>
      </c>
      <c r="J58" s="23">
        <f t="shared" si="20"/>
        <v>2090440824.2231364</v>
      </c>
      <c r="K58" s="76" t="str">
        <f t="shared" si="21"/>
        <v>-</v>
      </c>
      <c r="L58" s="24">
        <f>SUM(L56:L57)</f>
        <v>0</v>
      </c>
      <c r="M58" s="23">
        <f t="shared" si="22"/>
        <v>2090440824.2231364</v>
      </c>
      <c r="N58" s="75" t="str">
        <f t="shared" si="23"/>
        <v>-</v>
      </c>
      <c r="O58" s="27">
        <f>SUM(O56:O57)</f>
        <v>348406804.0371896</v>
      </c>
      <c r="P58" s="26">
        <f>SUM(P56:P57)</f>
        <v>0</v>
      </c>
      <c r="Q58" s="23">
        <f t="shared" si="24"/>
        <v>348406804.0371896</v>
      </c>
      <c r="R58" s="76" t="str">
        <f t="shared" si="25"/>
        <v>-</v>
      </c>
      <c r="S58" s="24">
        <f>SUM(S56:S57)</f>
        <v>2090440824.2231364</v>
      </c>
      <c r="T58" s="24">
        <f>SUM(T56:T57)</f>
        <v>0</v>
      </c>
      <c r="U58" s="23">
        <f t="shared" si="26"/>
        <v>2090440824.2231364</v>
      </c>
      <c r="V58" s="76" t="str">
        <f t="shared" si="27"/>
        <v>-</v>
      </c>
      <c r="W58" s="24">
        <f>SUM(W56:W57)</f>
        <v>0</v>
      </c>
      <c r="X58" s="23">
        <f t="shared" si="28"/>
        <v>2090440824.2231364</v>
      </c>
      <c r="Y58" s="75" t="str">
        <f t="shared" si="29"/>
        <v>-</v>
      </c>
      <c r="Z58" s="27">
        <f>SUM(Z56:Z57)</f>
        <v>348406804.0371896</v>
      </c>
      <c r="AA58" s="26">
        <f>SUM(AA56:AA57)</f>
        <v>0</v>
      </c>
      <c r="AB58" s="23">
        <f t="shared" si="30"/>
        <v>348406804.0371896</v>
      </c>
      <c r="AC58" s="76" t="str">
        <f t="shared" si="31"/>
        <v>-</v>
      </c>
      <c r="AD58" s="24">
        <f>SUM(AD56:AD57)</f>
        <v>2090440824.2231364</v>
      </c>
      <c r="AE58" s="24">
        <f>SUM(AE56:AE57)</f>
        <v>0</v>
      </c>
      <c r="AF58" s="23">
        <f t="shared" si="32"/>
        <v>2090440824.2231364</v>
      </c>
      <c r="AG58" s="76" t="str">
        <f t="shared" si="33"/>
        <v>-</v>
      </c>
      <c r="AH58" s="24">
        <f>SUM(AH56:AH57)</f>
        <v>0</v>
      </c>
      <c r="AI58" s="23">
        <f t="shared" si="34"/>
        <v>2090440824.2231364</v>
      </c>
      <c r="AJ58" s="75" t="str">
        <f t="shared" si="35"/>
        <v>-</v>
      </c>
    </row>
    <row r="59" spans="1:36" ht="12.75" hidden="1" customHeight="1" outlineLevel="3" x14ac:dyDescent="0.2">
      <c r="B59" s="38" t="s">
        <v>37</v>
      </c>
      <c r="C59" s="37" t="s">
        <v>36</v>
      </c>
      <c r="D59" s="41">
        <v>0</v>
      </c>
      <c r="E59" s="40">
        <v>0</v>
      </c>
      <c r="F59" s="32">
        <f t="shared" si="18"/>
        <v>0</v>
      </c>
      <c r="G59" s="78" t="str">
        <f t="shared" si="19"/>
        <v>-</v>
      </c>
      <c r="H59" s="39">
        <v>0</v>
      </c>
      <c r="I59" s="39">
        <v>0</v>
      </c>
      <c r="J59" s="32">
        <f t="shared" si="20"/>
        <v>0</v>
      </c>
      <c r="K59" s="78" t="str">
        <f t="shared" si="21"/>
        <v>-</v>
      </c>
      <c r="L59" s="39">
        <v>0</v>
      </c>
      <c r="M59" s="32">
        <f t="shared" si="22"/>
        <v>0</v>
      </c>
      <c r="N59" s="77" t="str">
        <f t="shared" si="23"/>
        <v>-</v>
      </c>
      <c r="O59" s="41">
        <v>0</v>
      </c>
      <c r="P59" s="40">
        <v>0</v>
      </c>
      <c r="Q59" s="32">
        <f t="shared" si="24"/>
        <v>0</v>
      </c>
      <c r="R59" s="78" t="str">
        <f t="shared" si="25"/>
        <v>-</v>
      </c>
      <c r="S59" s="39">
        <v>0</v>
      </c>
      <c r="T59" s="39">
        <v>0</v>
      </c>
      <c r="U59" s="32">
        <f t="shared" si="26"/>
        <v>0</v>
      </c>
      <c r="V59" s="78" t="str">
        <f t="shared" si="27"/>
        <v>-</v>
      </c>
      <c r="W59" s="39">
        <v>0</v>
      </c>
      <c r="X59" s="32">
        <f t="shared" si="28"/>
        <v>0</v>
      </c>
      <c r="Y59" s="77" t="str">
        <f t="shared" si="29"/>
        <v>-</v>
      </c>
      <c r="Z59" s="41">
        <v>0</v>
      </c>
      <c r="AA59" s="40">
        <v>0</v>
      </c>
      <c r="AB59" s="32">
        <f t="shared" si="30"/>
        <v>0</v>
      </c>
      <c r="AC59" s="78" t="str">
        <f t="shared" si="31"/>
        <v>-</v>
      </c>
      <c r="AD59" s="39">
        <v>0</v>
      </c>
      <c r="AE59" s="39">
        <v>0</v>
      </c>
      <c r="AF59" s="32">
        <f t="shared" si="32"/>
        <v>0</v>
      </c>
      <c r="AG59" s="78" t="str">
        <f t="shared" si="33"/>
        <v>-</v>
      </c>
      <c r="AH59" s="39">
        <v>0</v>
      </c>
      <c r="AI59" s="32">
        <f t="shared" si="34"/>
        <v>0</v>
      </c>
      <c r="AJ59" s="77" t="str">
        <f t="shared" si="35"/>
        <v>-</v>
      </c>
    </row>
    <row r="60" spans="1:36" ht="12.75" hidden="1" customHeight="1" outlineLevel="3" x14ac:dyDescent="0.2">
      <c r="B60" s="38" t="s">
        <v>35</v>
      </c>
      <c r="C60" s="37" t="s">
        <v>34</v>
      </c>
      <c r="D60" s="41">
        <v>0</v>
      </c>
      <c r="E60" s="40">
        <v>0</v>
      </c>
      <c r="F60" s="32">
        <f t="shared" si="18"/>
        <v>0</v>
      </c>
      <c r="G60" s="78" t="str">
        <f t="shared" si="19"/>
        <v>-</v>
      </c>
      <c r="H60" s="39">
        <v>0</v>
      </c>
      <c r="I60" s="39">
        <v>0</v>
      </c>
      <c r="J60" s="32">
        <f t="shared" si="20"/>
        <v>0</v>
      </c>
      <c r="K60" s="78" t="str">
        <f t="shared" si="21"/>
        <v>-</v>
      </c>
      <c r="L60" s="39">
        <v>0</v>
      </c>
      <c r="M60" s="32">
        <f t="shared" si="22"/>
        <v>0</v>
      </c>
      <c r="N60" s="77" t="str">
        <f t="shared" si="23"/>
        <v>-</v>
      </c>
      <c r="O60" s="41">
        <v>0</v>
      </c>
      <c r="P60" s="40">
        <v>0</v>
      </c>
      <c r="Q60" s="32">
        <f t="shared" si="24"/>
        <v>0</v>
      </c>
      <c r="R60" s="78" t="str">
        <f t="shared" si="25"/>
        <v>-</v>
      </c>
      <c r="S60" s="39">
        <v>0</v>
      </c>
      <c r="T60" s="39">
        <v>0</v>
      </c>
      <c r="U60" s="32">
        <f t="shared" si="26"/>
        <v>0</v>
      </c>
      <c r="V60" s="78" t="str">
        <f t="shared" si="27"/>
        <v>-</v>
      </c>
      <c r="W60" s="39">
        <v>0</v>
      </c>
      <c r="X60" s="32">
        <f t="shared" si="28"/>
        <v>0</v>
      </c>
      <c r="Y60" s="77" t="str">
        <f t="shared" si="29"/>
        <v>-</v>
      </c>
      <c r="Z60" s="41">
        <v>0</v>
      </c>
      <c r="AA60" s="40">
        <v>0</v>
      </c>
      <c r="AB60" s="32">
        <f t="shared" si="30"/>
        <v>0</v>
      </c>
      <c r="AC60" s="78" t="str">
        <f t="shared" si="31"/>
        <v>-</v>
      </c>
      <c r="AD60" s="39">
        <v>0</v>
      </c>
      <c r="AE60" s="39">
        <v>0</v>
      </c>
      <c r="AF60" s="32">
        <f t="shared" si="32"/>
        <v>0</v>
      </c>
      <c r="AG60" s="78" t="str">
        <f t="shared" si="33"/>
        <v>-</v>
      </c>
      <c r="AH60" s="39">
        <v>0</v>
      </c>
      <c r="AI60" s="32">
        <f t="shared" si="34"/>
        <v>0</v>
      </c>
      <c r="AJ60" s="77" t="str">
        <f t="shared" si="35"/>
        <v>-</v>
      </c>
    </row>
    <row r="61" spans="1:36" s="6" customFormat="1" hidden="1" outlineLevel="2" collapsed="1" x14ac:dyDescent="0.2">
      <c r="A61" s="30"/>
      <c r="B61" s="29" t="s">
        <v>33</v>
      </c>
      <c r="C61" s="42" t="s">
        <v>32</v>
      </c>
      <c r="D61" s="27">
        <f>SUM(D59:D60)</f>
        <v>0</v>
      </c>
      <c r="E61" s="26">
        <f>SUM(E59:E60)</f>
        <v>0</v>
      </c>
      <c r="F61" s="23">
        <f t="shared" si="18"/>
        <v>0</v>
      </c>
      <c r="G61" s="76" t="str">
        <f t="shared" si="19"/>
        <v>-</v>
      </c>
      <c r="H61" s="24">
        <f>SUM(H59:H60)</f>
        <v>0</v>
      </c>
      <c r="I61" s="24">
        <f>SUM(I59:I60)</f>
        <v>0</v>
      </c>
      <c r="J61" s="23">
        <f t="shared" si="20"/>
        <v>0</v>
      </c>
      <c r="K61" s="76" t="str">
        <f t="shared" si="21"/>
        <v>-</v>
      </c>
      <c r="L61" s="24">
        <f>SUM(L59:L60)</f>
        <v>0</v>
      </c>
      <c r="M61" s="23">
        <f t="shared" si="22"/>
        <v>0</v>
      </c>
      <c r="N61" s="75" t="str">
        <f t="shared" si="23"/>
        <v>-</v>
      </c>
      <c r="O61" s="27">
        <f>SUM(O59:O60)</f>
        <v>0</v>
      </c>
      <c r="P61" s="26">
        <f>SUM(P59:P60)</f>
        <v>0</v>
      </c>
      <c r="Q61" s="23">
        <f t="shared" si="24"/>
        <v>0</v>
      </c>
      <c r="R61" s="76" t="str">
        <f t="shared" si="25"/>
        <v>-</v>
      </c>
      <c r="S61" s="24">
        <f>SUM(S59:S60)</f>
        <v>0</v>
      </c>
      <c r="T61" s="24">
        <f>SUM(T59:T60)</f>
        <v>0</v>
      </c>
      <c r="U61" s="23">
        <f t="shared" si="26"/>
        <v>0</v>
      </c>
      <c r="V61" s="76" t="str">
        <f t="shared" si="27"/>
        <v>-</v>
      </c>
      <c r="W61" s="24">
        <f>SUM(W59:W60)</f>
        <v>0</v>
      </c>
      <c r="X61" s="23">
        <f t="shared" si="28"/>
        <v>0</v>
      </c>
      <c r="Y61" s="75" t="str">
        <f t="shared" si="29"/>
        <v>-</v>
      </c>
      <c r="Z61" s="27">
        <f>SUM(Z59:Z60)</f>
        <v>0</v>
      </c>
      <c r="AA61" s="26">
        <f>SUM(AA59:AA60)</f>
        <v>0</v>
      </c>
      <c r="AB61" s="23">
        <f t="shared" si="30"/>
        <v>0</v>
      </c>
      <c r="AC61" s="76" t="str">
        <f t="shared" si="31"/>
        <v>-</v>
      </c>
      <c r="AD61" s="24">
        <f>SUM(AD59:AD60)</f>
        <v>0</v>
      </c>
      <c r="AE61" s="24">
        <f>SUM(AE59:AE60)</f>
        <v>0</v>
      </c>
      <c r="AF61" s="23">
        <f t="shared" si="32"/>
        <v>0</v>
      </c>
      <c r="AG61" s="76" t="str">
        <f t="shared" si="33"/>
        <v>-</v>
      </c>
      <c r="AH61" s="24">
        <f>SUM(AH59:AH60)</f>
        <v>0</v>
      </c>
      <c r="AI61" s="23">
        <f t="shared" si="34"/>
        <v>0</v>
      </c>
      <c r="AJ61" s="75" t="str">
        <f t="shared" si="35"/>
        <v>-</v>
      </c>
    </row>
    <row r="62" spans="1:36" ht="12.75" hidden="1" customHeight="1" outlineLevel="3" x14ac:dyDescent="0.2">
      <c r="B62" s="38" t="s">
        <v>26</v>
      </c>
      <c r="C62" s="37" t="s">
        <v>31</v>
      </c>
      <c r="D62" s="41">
        <f>H62/3</f>
        <v>0</v>
      </c>
      <c r="E62" s="40">
        <f>3528170167.46521/12</f>
        <v>294014180.62210083</v>
      </c>
      <c r="F62" s="32">
        <f t="shared" si="18"/>
        <v>-294014180.62210083</v>
      </c>
      <c r="G62" s="78">
        <f t="shared" si="19"/>
        <v>-1</v>
      </c>
      <c r="H62" s="39">
        <v>0</v>
      </c>
      <c r="I62" s="40">
        <f>3528170167.46521/2</f>
        <v>1764085083.732605</v>
      </c>
      <c r="J62" s="32">
        <f t="shared" si="20"/>
        <v>-1764085083.732605</v>
      </c>
      <c r="K62" s="78">
        <f t="shared" si="21"/>
        <v>-1</v>
      </c>
      <c r="L62" s="39">
        <v>3528170167.4652085</v>
      </c>
      <c r="M62" s="32">
        <f t="shared" si="22"/>
        <v>-3528170167.4652085</v>
      </c>
      <c r="N62" s="77">
        <f t="shared" si="23"/>
        <v>-1</v>
      </c>
      <c r="O62" s="41">
        <f>S62/3</f>
        <v>0</v>
      </c>
      <c r="P62" s="40">
        <f>3528170167.46521/12</f>
        <v>294014180.62210083</v>
      </c>
      <c r="Q62" s="32">
        <f t="shared" si="24"/>
        <v>-294014180.62210083</v>
      </c>
      <c r="R62" s="78">
        <f t="shared" si="25"/>
        <v>-1</v>
      </c>
      <c r="S62" s="39">
        <v>0</v>
      </c>
      <c r="T62" s="40">
        <f>3528170167.46521/2</f>
        <v>1764085083.732605</v>
      </c>
      <c r="U62" s="32">
        <f t="shared" si="26"/>
        <v>-1764085083.732605</v>
      </c>
      <c r="V62" s="78">
        <f t="shared" si="27"/>
        <v>-1</v>
      </c>
      <c r="W62" s="39">
        <v>3528170167.4652085</v>
      </c>
      <c r="X62" s="32">
        <f t="shared" si="28"/>
        <v>-3528170167.4652085</v>
      </c>
      <c r="Y62" s="77">
        <f t="shared" si="29"/>
        <v>-1</v>
      </c>
      <c r="Z62" s="41">
        <f>AD62/3</f>
        <v>0</v>
      </c>
      <c r="AA62" s="40">
        <f>3528170167.46521/12</f>
        <v>294014180.62210083</v>
      </c>
      <c r="AB62" s="32">
        <f t="shared" si="30"/>
        <v>-294014180.62210083</v>
      </c>
      <c r="AC62" s="78">
        <f t="shared" si="31"/>
        <v>-1</v>
      </c>
      <c r="AD62" s="39">
        <v>0</v>
      </c>
      <c r="AE62" s="40">
        <f>3528170167.46521/2</f>
        <v>1764085083.732605</v>
      </c>
      <c r="AF62" s="32">
        <f t="shared" si="32"/>
        <v>-1764085083.732605</v>
      </c>
      <c r="AG62" s="78">
        <f t="shared" si="33"/>
        <v>-1</v>
      </c>
      <c r="AH62" s="39">
        <v>3528170167.4652085</v>
      </c>
      <c r="AI62" s="32">
        <f t="shared" si="34"/>
        <v>-3528170167.4652085</v>
      </c>
      <c r="AJ62" s="77">
        <f t="shared" si="35"/>
        <v>-1</v>
      </c>
    </row>
    <row r="63" spans="1:36" ht="12.75" hidden="1" customHeight="1" outlineLevel="3" x14ac:dyDescent="0.2">
      <c r="B63" s="38" t="s">
        <v>30</v>
      </c>
      <c r="C63" s="37" t="s">
        <v>29</v>
      </c>
      <c r="D63" s="36">
        <f>H63/3</f>
        <v>0</v>
      </c>
      <c r="E63" s="35">
        <f>652711480.981063/12</f>
        <v>54392623.415088587</v>
      </c>
      <c r="F63" s="32">
        <f t="shared" si="18"/>
        <v>-54392623.415088587</v>
      </c>
      <c r="G63" s="78">
        <f t="shared" si="19"/>
        <v>-1</v>
      </c>
      <c r="H63" s="33">
        <v>0</v>
      </c>
      <c r="I63" s="35">
        <f>652711480.981063/2</f>
        <v>326355740.4905315</v>
      </c>
      <c r="J63" s="32">
        <f t="shared" si="20"/>
        <v>-326355740.4905315</v>
      </c>
      <c r="K63" s="78">
        <f t="shared" si="21"/>
        <v>-1</v>
      </c>
      <c r="L63" s="33">
        <v>652711480.98106337</v>
      </c>
      <c r="M63" s="32">
        <f t="shared" si="22"/>
        <v>-652711480.98106337</v>
      </c>
      <c r="N63" s="77">
        <f t="shared" si="23"/>
        <v>-1</v>
      </c>
      <c r="O63" s="36">
        <f>S63/3</f>
        <v>0</v>
      </c>
      <c r="P63" s="35">
        <f>652711480.981063/12</f>
        <v>54392623.415088587</v>
      </c>
      <c r="Q63" s="32">
        <f t="shared" si="24"/>
        <v>-54392623.415088587</v>
      </c>
      <c r="R63" s="78">
        <f t="shared" si="25"/>
        <v>-1</v>
      </c>
      <c r="S63" s="33">
        <v>0</v>
      </c>
      <c r="T63" s="35">
        <f>652711480.981063/2</f>
        <v>326355740.4905315</v>
      </c>
      <c r="U63" s="32">
        <f t="shared" si="26"/>
        <v>-326355740.4905315</v>
      </c>
      <c r="V63" s="78">
        <f t="shared" si="27"/>
        <v>-1</v>
      </c>
      <c r="W63" s="33">
        <v>652711480.98106337</v>
      </c>
      <c r="X63" s="32">
        <f t="shared" si="28"/>
        <v>-652711480.98106337</v>
      </c>
      <c r="Y63" s="77">
        <f t="shared" si="29"/>
        <v>-1</v>
      </c>
      <c r="Z63" s="36">
        <f>AD63/3</f>
        <v>0</v>
      </c>
      <c r="AA63" s="35">
        <f>652711480.981063/12</f>
        <v>54392623.415088587</v>
      </c>
      <c r="AB63" s="32">
        <f t="shared" si="30"/>
        <v>-54392623.415088587</v>
      </c>
      <c r="AC63" s="78">
        <f t="shared" si="31"/>
        <v>-1</v>
      </c>
      <c r="AD63" s="33">
        <v>0</v>
      </c>
      <c r="AE63" s="35">
        <f>652711480.981063/2</f>
        <v>326355740.4905315</v>
      </c>
      <c r="AF63" s="32">
        <f t="shared" si="32"/>
        <v>-326355740.4905315</v>
      </c>
      <c r="AG63" s="78">
        <f t="shared" si="33"/>
        <v>-1</v>
      </c>
      <c r="AH63" s="33">
        <v>652711480.98106337</v>
      </c>
      <c r="AI63" s="32">
        <f t="shared" si="34"/>
        <v>-652711480.98106337</v>
      </c>
      <c r="AJ63" s="77">
        <f t="shared" si="35"/>
        <v>-1</v>
      </c>
    </row>
    <row r="64" spans="1:36" s="6" customFormat="1" hidden="1" outlineLevel="2" collapsed="1" x14ac:dyDescent="0.2">
      <c r="A64" s="30"/>
      <c r="B64" s="29" t="s">
        <v>28</v>
      </c>
      <c r="C64" s="28" t="s">
        <v>27</v>
      </c>
      <c r="D64" s="27">
        <f>SUM(D62:D63)</f>
        <v>0</v>
      </c>
      <c r="E64" s="26">
        <f>SUM(E62:E63)</f>
        <v>348406804.03718942</v>
      </c>
      <c r="F64" s="23">
        <f t="shared" si="18"/>
        <v>-348406804.03718942</v>
      </c>
      <c r="G64" s="76">
        <f t="shared" si="19"/>
        <v>-1</v>
      </c>
      <c r="H64" s="24">
        <f>SUM(H62:H63)</f>
        <v>0</v>
      </c>
      <c r="I64" s="24">
        <f>SUM(I62:I63)</f>
        <v>2090440824.2231364</v>
      </c>
      <c r="J64" s="23">
        <f t="shared" si="20"/>
        <v>-2090440824.2231364</v>
      </c>
      <c r="K64" s="76">
        <f t="shared" si="21"/>
        <v>-1</v>
      </c>
      <c r="L64" s="24">
        <f>SUM(L62:L63)</f>
        <v>4180881648.4462719</v>
      </c>
      <c r="M64" s="23">
        <f t="shared" si="22"/>
        <v>-4180881648.4462719</v>
      </c>
      <c r="N64" s="75">
        <f t="shared" si="23"/>
        <v>-1</v>
      </c>
      <c r="O64" s="27">
        <f>SUM(O62:O63)</f>
        <v>0</v>
      </c>
      <c r="P64" s="26">
        <f>SUM(P62:P63)</f>
        <v>348406804.03718942</v>
      </c>
      <c r="Q64" s="23">
        <f t="shared" si="24"/>
        <v>-348406804.03718942</v>
      </c>
      <c r="R64" s="76">
        <f t="shared" si="25"/>
        <v>-1</v>
      </c>
      <c r="S64" s="24">
        <f>SUM(S62:S63)</f>
        <v>0</v>
      </c>
      <c r="T64" s="24">
        <f>SUM(T62:T63)</f>
        <v>2090440824.2231364</v>
      </c>
      <c r="U64" s="23">
        <f t="shared" si="26"/>
        <v>-2090440824.2231364</v>
      </c>
      <c r="V64" s="76">
        <f t="shared" si="27"/>
        <v>-1</v>
      </c>
      <c r="W64" s="24">
        <f>SUM(W62:W63)</f>
        <v>4180881648.4462719</v>
      </c>
      <c r="X64" s="23">
        <f t="shared" si="28"/>
        <v>-4180881648.4462719</v>
      </c>
      <c r="Y64" s="75">
        <f t="shared" si="29"/>
        <v>-1</v>
      </c>
      <c r="Z64" s="27">
        <f>SUM(Z62:Z63)</f>
        <v>0</v>
      </c>
      <c r="AA64" s="26">
        <f>SUM(AA62:AA63)</f>
        <v>348406804.03718942</v>
      </c>
      <c r="AB64" s="23">
        <f t="shared" si="30"/>
        <v>-348406804.03718942</v>
      </c>
      <c r="AC64" s="76">
        <f t="shared" si="31"/>
        <v>-1</v>
      </c>
      <c r="AD64" s="24">
        <f>SUM(AD62:AD63)</f>
        <v>0</v>
      </c>
      <c r="AE64" s="24">
        <f>SUM(AE62:AE63)</f>
        <v>2090440824.2231364</v>
      </c>
      <c r="AF64" s="23">
        <f t="shared" si="32"/>
        <v>-2090440824.2231364</v>
      </c>
      <c r="AG64" s="76">
        <f t="shared" si="33"/>
        <v>-1</v>
      </c>
      <c r="AH64" s="24">
        <f>SUM(AH62:AH63)</f>
        <v>4180881648.4462719</v>
      </c>
      <c r="AI64" s="23">
        <f t="shared" si="34"/>
        <v>-4180881648.4462719</v>
      </c>
      <c r="AJ64" s="75">
        <f t="shared" si="35"/>
        <v>-1</v>
      </c>
    </row>
    <row r="65" spans="1:36" ht="15.75" customHeight="1" collapsed="1" x14ac:dyDescent="0.2">
      <c r="B65" s="21" t="s">
        <v>26</v>
      </c>
      <c r="C65" s="20" t="s">
        <v>25</v>
      </c>
      <c r="D65" s="19">
        <f>D64+D61+D58</f>
        <v>348406804.0371896</v>
      </c>
      <c r="E65" s="18">
        <f>E64+E61+E58</f>
        <v>348406804.03718942</v>
      </c>
      <c r="F65" s="15">
        <f t="shared" si="18"/>
        <v>0</v>
      </c>
      <c r="G65" s="74">
        <f t="shared" si="19"/>
        <v>4.4408920985006262E-16</v>
      </c>
      <c r="H65" s="16">
        <f>H64+H61+H58</f>
        <v>2090440824.2231364</v>
      </c>
      <c r="I65" s="16">
        <f>I64+I61+I58</f>
        <v>2090440824.2231364</v>
      </c>
      <c r="J65" s="15">
        <f t="shared" si="20"/>
        <v>0</v>
      </c>
      <c r="K65" s="74">
        <f t="shared" si="21"/>
        <v>0</v>
      </c>
      <c r="L65" s="16">
        <f>L64+L61+L58</f>
        <v>4180881648.4462719</v>
      </c>
      <c r="M65" s="15">
        <f t="shared" si="22"/>
        <v>-2090440824.2231355</v>
      </c>
      <c r="N65" s="73">
        <f t="shared" si="23"/>
        <v>-0.49999999999999989</v>
      </c>
      <c r="O65" s="19">
        <f>O64+O61+O58</f>
        <v>348406804.0371896</v>
      </c>
      <c r="P65" s="18">
        <f>P64+P61+P58</f>
        <v>348406804.03718942</v>
      </c>
      <c r="Q65" s="15">
        <f t="shared" si="24"/>
        <v>0</v>
      </c>
      <c r="R65" s="74">
        <f t="shared" si="25"/>
        <v>4.4408920985006262E-16</v>
      </c>
      <c r="S65" s="16">
        <f>S64+S61+S58</f>
        <v>2090440824.2231364</v>
      </c>
      <c r="T65" s="16">
        <f>T64+T61+T58</f>
        <v>2090440824.2231364</v>
      </c>
      <c r="U65" s="15">
        <f t="shared" si="26"/>
        <v>0</v>
      </c>
      <c r="V65" s="74">
        <f t="shared" si="27"/>
        <v>0</v>
      </c>
      <c r="W65" s="16">
        <f>W64+W61+W58</f>
        <v>4180881648.4462719</v>
      </c>
      <c r="X65" s="15">
        <f t="shared" si="28"/>
        <v>-2090440824.2231355</v>
      </c>
      <c r="Y65" s="73">
        <f t="shared" si="29"/>
        <v>-0.49999999999999989</v>
      </c>
      <c r="Z65" s="19">
        <f>Z64+Z61+Z58</f>
        <v>348406804.0371896</v>
      </c>
      <c r="AA65" s="18">
        <f>AA64+AA61+AA58</f>
        <v>348406804.03718942</v>
      </c>
      <c r="AB65" s="15">
        <f t="shared" si="30"/>
        <v>0</v>
      </c>
      <c r="AC65" s="74">
        <f t="shared" si="31"/>
        <v>4.4408920985006262E-16</v>
      </c>
      <c r="AD65" s="16">
        <f>AD64+AD61+AD58</f>
        <v>2090440824.2231364</v>
      </c>
      <c r="AE65" s="16">
        <f>AE64+AE61+AE58</f>
        <v>2090440824.2231364</v>
      </c>
      <c r="AF65" s="15">
        <f t="shared" si="32"/>
        <v>0</v>
      </c>
      <c r="AG65" s="74">
        <f t="shared" si="33"/>
        <v>0</v>
      </c>
      <c r="AH65" s="16">
        <f>AH64+AH61+AH58</f>
        <v>4180881648.4462719</v>
      </c>
      <c r="AI65" s="15">
        <f t="shared" si="34"/>
        <v>-2090440824.2231355</v>
      </c>
      <c r="AJ65" s="73">
        <f t="shared" si="35"/>
        <v>-0.49999999999999989</v>
      </c>
    </row>
    <row r="66" spans="1:36" s="6" customFormat="1" ht="18.75" customHeight="1" x14ac:dyDescent="0.2">
      <c r="B66" s="13" t="s">
        <v>24</v>
      </c>
      <c r="C66" s="12" t="s">
        <v>23</v>
      </c>
      <c r="D66" s="119">
        <f>D51+D65+D55</f>
        <v>602789044.90718961</v>
      </c>
      <c r="E66" s="11">
        <f>E51+E65+E55</f>
        <v>589058383.41411293</v>
      </c>
      <c r="F66" s="8">
        <f t="shared" si="18"/>
        <v>13730661.493076682</v>
      </c>
      <c r="G66" s="72">
        <f t="shared" si="19"/>
        <v>2.330950866617898E-2</v>
      </c>
      <c r="H66" s="9">
        <f>H51+H65+H55</f>
        <v>3769227616.3731365</v>
      </c>
      <c r="I66" s="9">
        <f>I51+I65+I55</f>
        <v>3523856022.1353717</v>
      </c>
      <c r="J66" s="8">
        <f t="shared" si="20"/>
        <v>245371594.23776484</v>
      </c>
      <c r="K66" s="72">
        <f t="shared" si="21"/>
        <v>6.9631560624623834E-2</v>
      </c>
      <c r="L66" s="9">
        <f>L51+L65+L55</f>
        <v>7058206322.6200485</v>
      </c>
      <c r="M66" s="8">
        <f t="shared" si="22"/>
        <v>-3288978706.246912</v>
      </c>
      <c r="N66" s="71">
        <f t="shared" si="23"/>
        <v>-0.46597939418495538</v>
      </c>
      <c r="O66" s="119">
        <f>O51+O65+O55</f>
        <v>602789044.90718961</v>
      </c>
      <c r="P66" s="11">
        <f>P51+P65+P55</f>
        <v>589058383.41411293</v>
      </c>
      <c r="Q66" s="8">
        <f t="shared" si="24"/>
        <v>13730661.493076682</v>
      </c>
      <c r="R66" s="72">
        <f t="shared" si="25"/>
        <v>2.330950866617898E-2</v>
      </c>
      <c r="S66" s="9">
        <f>S51+S65+S55</f>
        <v>3769227616.3731365</v>
      </c>
      <c r="T66" s="9">
        <f>T51+T65+T55</f>
        <v>3523856022.1353717</v>
      </c>
      <c r="U66" s="8">
        <f t="shared" si="26"/>
        <v>245371594.23776484</v>
      </c>
      <c r="V66" s="72">
        <f t="shared" si="27"/>
        <v>6.9631560624623834E-2</v>
      </c>
      <c r="W66" s="9">
        <f>W51+W65+W55</f>
        <v>7058206322.6200485</v>
      </c>
      <c r="X66" s="8">
        <f t="shared" si="28"/>
        <v>-3288978706.246912</v>
      </c>
      <c r="Y66" s="71">
        <f t="shared" si="29"/>
        <v>-0.46597939418495538</v>
      </c>
      <c r="Z66" s="119">
        <f>Z51+Z65+Z55</f>
        <v>602789044.90718961</v>
      </c>
      <c r="AA66" s="11">
        <f>AA51+AA65+AA55</f>
        <v>589058383.41411293</v>
      </c>
      <c r="AB66" s="8">
        <f t="shared" si="30"/>
        <v>13730661.493076682</v>
      </c>
      <c r="AC66" s="72">
        <f t="shared" si="31"/>
        <v>2.330950866617898E-2</v>
      </c>
      <c r="AD66" s="9">
        <f>AD51+AD65+AD55</f>
        <v>3769227616.3731365</v>
      </c>
      <c r="AE66" s="9">
        <f>AE51+AE65+AE55</f>
        <v>3523856022.1353717</v>
      </c>
      <c r="AF66" s="8">
        <f t="shared" si="32"/>
        <v>245371594.23776484</v>
      </c>
      <c r="AG66" s="72">
        <f t="shared" si="33"/>
        <v>6.9631560624623834E-2</v>
      </c>
      <c r="AH66" s="9">
        <f>AH51+AH65+AH55</f>
        <v>7058206322.6200485</v>
      </c>
      <c r="AI66" s="8">
        <f t="shared" si="34"/>
        <v>-3288978706.246912</v>
      </c>
      <c r="AJ66" s="71">
        <f t="shared" si="35"/>
        <v>-0.46597939418495538</v>
      </c>
    </row>
    <row r="67" spans="1:36" ht="16.5" customHeight="1" outlineLevel="1" x14ac:dyDescent="0.2">
      <c r="A67" s="54"/>
      <c r="B67" s="101" t="s">
        <v>22</v>
      </c>
      <c r="C67" s="100" t="s">
        <v>21</v>
      </c>
      <c r="D67" s="118">
        <f>(D13+D16+D19+D22+D29+D32+D35+D38)/(D12+D15+D18+D21+D28+D31+D34+D37)</f>
        <v>0.18587833690067815</v>
      </c>
      <c r="E67" s="117">
        <f>(E13+E16+E19+E22+E29+E32+E35+E38)/(E12+E15+E18+E21+E28+E31+E34+E37)</f>
        <v>0.18499999999999994</v>
      </c>
      <c r="F67" s="32">
        <v>0</v>
      </c>
      <c r="G67" s="116" t="s">
        <v>20</v>
      </c>
      <c r="H67" s="115">
        <f>(H13+H16+H19+H22+H29+H32+H35+H38)/(H12+H15+H18+H21+H28+H31+H34+H37)</f>
        <v>0.21075442875851549</v>
      </c>
      <c r="I67" s="115">
        <f>(I13+I16+I19+I22+I29+I32+I35+I38)/(I12+I15+I18+I21+I28+I31+I34+I37)</f>
        <v>0.18499999999999994</v>
      </c>
      <c r="J67" s="32">
        <v>0</v>
      </c>
      <c r="K67" s="116" t="s">
        <v>20</v>
      </c>
      <c r="L67" s="115">
        <f>(L13+L16+L19+L22+L29+L32+L35+L38)/(L12+L15+L18+L21+L28+L31+L34+L37)</f>
        <v>0.18499999999999994</v>
      </c>
      <c r="M67" s="114" t="s">
        <v>20</v>
      </c>
      <c r="N67" s="113" t="s">
        <v>20</v>
      </c>
      <c r="O67" s="118">
        <f>(O13+O16+O19+O22+O29+O32+O35+O38)/(O12+O15+O18+O21+O28+O31+O34+O37)</f>
        <v>0.18587833690067815</v>
      </c>
      <c r="P67" s="117">
        <f>(P13+P16+P19+P22+P29+P32+P35+P38)/(P12+P15+P18+P21+P28+P31+P34+P37)</f>
        <v>0.18499999999999994</v>
      </c>
      <c r="Q67" s="32">
        <v>0</v>
      </c>
      <c r="R67" s="116" t="s">
        <v>20</v>
      </c>
      <c r="S67" s="115">
        <f>(S13+S16+S19+S22+S29+S32+S35+S38)/(S12+S15+S18+S21+S28+S31+S34+S37)</f>
        <v>0.21075442875851549</v>
      </c>
      <c r="T67" s="115">
        <f>(T13+T16+T19+T22+T29+T32+T35+T38)/(T12+T15+T18+T21+T28+T31+T34+T37)</f>
        <v>0.18499999999999994</v>
      </c>
      <c r="U67" s="32">
        <v>0</v>
      </c>
      <c r="V67" s="116" t="s">
        <v>20</v>
      </c>
      <c r="W67" s="115">
        <f>(W13+W16+W19+W22+W29+W32+W35+W38)/(W12+W15+W18+W21+W28+W31+W34+W37)</f>
        <v>0.18499999999999994</v>
      </c>
      <c r="X67" s="114" t="s">
        <v>20</v>
      </c>
      <c r="Y67" s="113" t="s">
        <v>20</v>
      </c>
      <c r="Z67" s="118">
        <f>(Z13+Z16+Z19+Z22+Z29+Z32+Z35+Z38)/(Z12+Z15+Z18+Z21+Z28+Z31+Z34+Z37)</f>
        <v>0.18587833690067815</v>
      </c>
      <c r="AA67" s="117">
        <f>(AA13+AA16+AA19+AA22+AA29+AA32+AA35+AA38)/(AA12+AA15+AA18+AA21+AA28+AA31+AA34+AA37)</f>
        <v>0.18499999999999994</v>
      </c>
      <c r="AB67" s="32">
        <v>0</v>
      </c>
      <c r="AC67" s="116" t="s">
        <v>20</v>
      </c>
      <c r="AD67" s="115">
        <f>(AD13+AD16+AD19+AD22+AD29+AD32+AD35+AD38)/(AD12+AD15+AD18+AD21+AD28+AD31+AD34+AD37)</f>
        <v>0.21075442875851549</v>
      </c>
      <c r="AE67" s="115">
        <f>(AE13+AE16+AE19+AE22+AE29+AE32+AE35+AE38)/(AE12+AE15+AE18+AE21+AE28+AE31+AE34+AE37)</f>
        <v>0.18499999999999994</v>
      </c>
      <c r="AF67" s="32">
        <v>0</v>
      </c>
      <c r="AG67" s="116" t="s">
        <v>20</v>
      </c>
      <c r="AH67" s="115">
        <f>(AH13+AH16+AH19+AH22+AH29+AH32+AH35+AH38)/(AH12+AH15+AH18+AH21+AH28+AH31+AH34+AH37)</f>
        <v>0.18499999999999994</v>
      </c>
      <c r="AI67" s="114" t="s">
        <v>20</v>
      </c>
      <c r="AJ67" s="113" t="s">
        <v>20</v>
      </c>
    </row>
    <row r="68" spans="1:36" s="103" customFormat="1" ht="16.5" customHeight="1" outlineLevel="1" x14ac:dyDescent="0.2">
      <c r="B68" s="111" t="s">
        <v>19</v>
      </c>
      <c r="C68" s="110" t="s">
        <v>18</v>
      </c>
      <c r="D68" s="109">
        <v>311</v>
      </c>
      <c r="E68" s="108">
        <v>331</v>
      </c>
      <c r="F68" s="32">
        <f>D68-E68</f>
        <v>-20</v>
      </c>
      <c r="G68" s="112">
        <f>IFERROR(D68/E68-1,"-")</f>
        <v>-6.0422960725075581E-2</v>
      </c>
      <c r="H68" s="106">
        <v>311</v>
      </c>
      <c r="I68" s="106">
        <v>331</v>
      </c>
      <c r="J68" s="32">
        <f>H68-I68</f>
        <v>-20</v>
      </c>
      <c r="K68" s="112">
        <f>IFERROR(H68/I68-1,"-")</f>
        <v>-6.0422960725075581E-2</v>
      </c>
      <c r="L68" s="106">
        <v>331</v>
      </c>
      <c r="M68" s="105">
        <f>H68-L68</f>
        <v>-20</v>
      </c>
      <c r="N68" s="104">
        <f>IFERROR(M68/L68,"-")</f>
        <v>-6.0422960725075532E-2</v>
      </c>
      <c r="O68" s="109">
        <v>311</v>
      </c>
      <c r="P68" s="108">
        <v>331</v>
      </c>
      <c r="Q68" s="32">
        <f>O68-P68</f>
        <v>-20</v>
      </c>
      <c r="R68" s="112">
        <f>IFERROR(O68/P68-1,"-")</f>
        <v>-6.0422960725075581E-2</v>
      </c>
      <c r="S68" s="106">
        <v>311</v>
      </c>
      <c r="T68" s="106">
        <v>331</v>
      </c>
      <c r="U68" s="32">
        <f>S68-T68</f>
        <v>-20</v>
      </c>
      <c r="V68" s="112">
        <f>IFERROR(S68/T68-1,"-")</f>
        <v>-6.0422960725075581E-2</v>
      </c>
      <c r="W68" s="106">
        <v>331</v>
      </c>
      <c r="X68" s="105">
        <f>S68-W68</f>
        <v>-20</v>
      </c>
      <c r="Y68" s="104">
        <f>IFERROR(X68/W68,"-")</f>
        <v>-6.0422960725075532E-2</v>
      </c>
      <c r="Z68" s="109">
        <v>311</v>
      </c>
      <c r="AA68" s="108">
        <v>331</v>
      </c>
      <c r="AB68" s="32">
        <f>Z68-AA68</f>
        <v>-20</v>
      </c>
      <c r="AC68" s="112">
        <f>IFERROR(Z68/AA68-1,"-")</f>
        <v>-6.0422960725075581E-2</v>
      </c>
      <c r="AD68" s="106">
        <v>311</v>
      </c>
      <c r="AE68" s="106">
        <v>331</v>
      </c>
      <c r="AF68" s="32">
        <f>AD68-AE68</f>
        <v>-20</v>
      </c>
      <c r="AG68" s="112">
        <f>IFERROR(AD68/AE68-1,"-")</f>
        <v>-6.0422960725075581E-2</v>
      </c>
      <c r="AH68" s="106">
        <v>331</v>
      </c>
      <c r="AI68" s="105">
        <f>AD68-AH68</f>
        <v>-20</v>
      </c>
      <c r="AJ68" s="104">
        <f>IFERROR(AI68/AH68,"-")</f>
        <v>-6.0422960725075532E-2</v>
      </c>
    </row>
    <row r="69" spans="1:36" s="103" customFormat="1" ht="16.5" customHeight="1" outlineLevel="1" x14ac:dyDescent="0.2">
      <c r="B69" s="111" t="s">
        <v>17</v>
      </c>
      <c r="C69" s="110" t="s">
        <v>16</v>
      </c>
      <c r="D69" s="109">
        <f>D70-D68</f>
        <v>110</v>
      </c>
      <c r="E69" s="108">
        <f>E70-E68</f>
        <v>113</v>
      </c>
      <c r="F69" s="32">
        <f>D69-E69</f>
        <v>-3</v>
      </c>
      <c r="G69" s="107">
        <f>IFERROR(D69/E69-1,"-")</f>
        <v>-2.6548672566371723E-2</v>
      </c>
      <c r="H69" s="106">
        <f>H70-H68</f>
        <v>110</v>
      </c>
      <c r="I69" s="106">
        <f>I70-I68</f>
        <v>113</v>
      </c>
      <c r="J69" s="32">
        <f>H69-I69</f>
        <v>-3</v>
      </c>
      <c r="K69" s="107">
        <f>IFERROR(H69/I69-1,"-")</f>
        <v>-2.6548672566371723E-2</v>
      </c>
      <c r="L69" s="106">
        <f>L70-L68</f>
        <v>113</v>
      </c>
      <c r="M69" s="105">
        <f>H69-L69</f>
        <v>-3</v>
      </c>
      <c r="N69" s="104">
        <f>IFERROR(M69/L69,"-")</f>
        <v>-2.6548672566371681E-2</v>
      </c>
      <c r="O69" s="109">
        <f>O70-O68</f>
        <v>110</v>
      </c>
      <c r="P69" s="108">
        <f>P70-P68</f>
        <v>113</v>
      </c>
      <c r="Q69" s="32">
        <f>O69-P69</f>
        <v>-3</v>
      </c>
      <c r="R69" s="107">
        <f>IFERROR(O69/P69-1,"-")</f>
        <v>-2.6548672566371723E-2</v>
      </c>
      <c r="S69" s="106">
        <f>S70-S68</f>
        <v>110</v>
      </c>
      <c r="T69" s="106">
        <f>T70-T68</f>
        <v>113</v>
      </c>
      <c r="U69" s="32">
        <f>S69-T69</f>
        <v>-3</v>
      </c>
      <c r="V69" s="107">
        <f>IFERROR(S69/T69-1,"-")</f>
        <v>-2.6548672566371723E-2</v>
      </c>
      <c r="W69" s="106">
        <f>W70-W68</f>
        <v>113</v>
      </c>
      <c r="X69" s="105">
        <f>S69-W69</f>
        <v>-3</v>
      </c>
      <c r="Y69" s="104">
        <f>IFERROR(X69/W69,"-")</f>
        <v>-2.6548672566371681E-2</v>
      </c>
      <c r="Z69" s="109">
        <f>Z70-Z68</f>
        <v>110</v>
      </c>
      <c r="AA69" s="108">
        <f>AA70-AA68</f>
        <v>113</v>
      </c>
      <c r="AB69" s="32">
        <f>Z69-AA69</f>
        <v>-3</v>
      </c>
      <c r="AC69" s="107">
        <f>IFERROR(Z69/AA69-1,"-")</f>
        <v>-2.6548672566371723E-2</v>
      </c>
      <c r="AD69" s="106">
        <f>AD70-AD68</f>
        <v>110</v>
      </c>
      <c r="AE69" s="106">
        <f>AE70-AE68</f>
        <v>113</v>
      </c>
      <c r="AF69" s="32">
        <f>AD69-AE69</f>
        <v>-3</v>
      </c>
      <c r="AG69" s="107">
        <f>IFERROR(AD69/AE69-1,"-")</f>
        <v>-2.6548672566371723E-2</v>
      </c>
      <c r="AH69" s="106">
        <f>AH70-AH68</f>
        <v>113</v>
      </c>
      <c r="AI69" s="105">
        <f>AD69-AH69</f>
        <v>-3</v>
      </c>
      <c r="AJ69" s="104">
        <f>IFERROR(AI69/AH69,"-")</f>
        <v>-2.6548672566371681E-2</v>
      </c>
    </row>
    <row r="70" spans="1:36" ht="16.5" customHeight="1" outlineLevel="1" x14ac:dyDescent="0.2">
      <c r="B70" s="101" t="s">
        <v>15</v>
      </c>
      <c r="C70" s="100" t="s">
        <v>14</v>
      </c>
      <c r="D70" s="99">
        <v>421</v>
      </c>
      <c r="E70" s="102">
        <v>444</v>
      </c>
      <c r="F70" s="23">
        <f>D70-E70</f>
        <v>-23</v>
      </c>
      <c r="G70" s="96">
        <f>IFERROR(D70/E70-1,"-")</f>
        <v>-5.1801801801801828E-2</v>
      </c>
      <c r="H70" s="95">
        <v>421</v>
      </c>
      <c r="I70" s="95">
        <v>444</v>
      </c>
      <c r="J70" s="23">
        <f>H70-I70</f>
        <v>-23</v>
      </c>
      <c r="K70" s="96">
        <f>IFERROR(H70/I70-1,"-")</f>
        <v>-5.1801801801801828E-2</v>
      </c>
      <c r="L70" s="95">
        <v>444</v>
      </c>
      <c r="M70" s="94">
        <f>H70-L70</f>
        <v>-23</v>
      </c>
      <c r="N70" s="93">
        <f>IFERROR(M70/L70,"-")</f>
        <v>-5.18018018018018E-2</v>
      </c>
      <c r="O70" s="99">
        <v>421</v>
      </c>
      <c r="P70" s="102">
        <v>444</v>
      </c>
      <c r="Q70" s="23">
        <f>O70-P70</f>
        <v>-23</v>
      </c>
      <c r="R70" s="96">
        <f>IFERROR(O70/P70-1,"-")</f>
        <v>-5.1801801801801828E-2</v>
      </c>
      <c r="S70" s="95">
        <v>421</v>
      </c>
      <c r="T70" s="95">
        <v>444</v>
      </c>
      <c r="U70" s="23">
        <f>S70-T70</f>
        <v>-23</v>
      </c>
      <c r="V70" s="96">
        <f>IFERROR(S70/T70-1,"-")</f>
        <v>-5.1801801801801828E-2</v>
      </c>
      <c r="W70" s="95">
        <v>444</v>
      </c>
      <c r="X70" s="94">
        <f>S70-W70</f>
        <v>-23</v>
      </c>
      <c r="Y70" s="93">
        <f>IFERROR(X70/W70,"-")</f>
        <v>-5.18018018018018E-2</v>
      </c>
      <c r="Z70" s="99">
        <v>421</v>
      </c>
      <c r="AA70" s="102">
        <v>444</v>
      </c>
      <c r="AB70" s="23">
        <f>Z70-AA70</f>
        <v>-23</v>
      </c>
      <c r="AC70" s="96">
        <f>IFERROR(Z70/AA70-1,"-")</f>
        <v>-5.1801801801801828E-2</v>
      </c>
      <c r="AD70" s="95">
        <v>421</v>
      </c>
      <c r="AE70" s="95">
        <v>444</v>
      </c>
      <c r="AF70" s="23">
        <f>AD70-AE70</f>
        <v>-23</v>
      </c>
      <c r="AG70" s="96">
        <f>IFERROR(AD70/AE70-1,"-")</f>
        <v>-5.1801801801801828E-2</v>
      </c>
      <c r="AH70" s="95">
        <v>444</v>
      </c>
      <c r="AI70" s="94">
        <f>AD70-AH70</f>
        <v>-23</v>
      </c>
      <c r="AJ70" s="93">
        <f>IFERROR(AI70/AH70,"-")</f>
        <v>-5.18018018018018E-2</v>
      </c>
    </row>
    <row r="71" spans="1:36" ht="16.5" customHeight="1" outlineLevel="1" x14ac:dyDescent="0.2">
      <c r="B71" s="101" t="s">
        <v>13</v>
      </c>
      <c r="C71" s="100" t="s">
        <v>12</v>
      </c>
      <c r="D71" s="99">
        <v>246</v>
      </c>
      <c r="E71" s="98">
        <v>265.68387212842742</v>
      </c>
      <c r="F71" s="23">
        <f>D71-E71</f>
        <v>-19.683872128427424</v>
      </c>
      <c r="G71" s="96">
        <f>IFERROR(D71/E71-1,"-")</f>
        <v>-7.4087568698609441E-2</v>
      </c>
      <c r="H71" s="95">
        <v>246</v>
      </c>
      <c r="I71" s="97">
        <v>265.68387212842742</v>
      </c>
      <c r="J71" s="23">
        <f>H71-I71</f>
        <v>-19.683872128427424</v>
      </c>
      <c r="K71" s="96">
        <f>IFERROR(H71/I71-1,"-")</f>
        <v>-7.4087568698609441E-2</v>
      </c>
      <c r="L71" s="95">
        <v>266</v>
      </c>
      <c r="M71" s="94">
        <f>H71-L71</f>
        <v>-20</v>
      </c>
      <c r="N71" s="93">
        <f>IFERROR(M71/L71,"-")</f>
        <v>-7.5187969924812026E-2</v>
      </c>
      <c r="O71" s="99">
        <v>246</v>
      </c>
      <c r="P71" s="98">
        <v>265.68387212842742</v>
      </c>
      <c r="Q71" s="23">
        <f>O71-P71</f>
        <v>-19.683872128427424</v>
      </c>
      <c r="R71" s="96">
        <f>IFERROR(O71/P71-1,"-")</f>
        <v>-7.4087568698609441E-2</v>
      </c>
      <c r="S71" s="95">
        <v>246</v>
      </c>
      <c r="T71" s="97">
        <v>265.68387212842742</v>
      </c>
      <c r="U71" s="23">
        <f>S71-T71</f>
        <v>-19.683872128427424</v>
      </c>
      <c r="V71" s="96">
        <f>IFERROR(S71/T71-1,"-")</f>
        <v>-7.4087568698609441E-2</v>
      </c>
      <c r="W71" s="95">
        <v>266</v>
      </c>
      <c r="X71" s="94">
        <f>S71-W71</f>
        <v>-20</v>
      </c>
      <c r="Y71" s="93">
        <f>IFERROR(X71/W71,"-")</f>
        <v>-7.5187969924812026E-2</v>
      </c>
      <c r="Z71" s="99">
        <v>246</v>
      </c>
      <c r="AA71" s="98">
        <v>265.68387212842742</v>
      </c>
      <c r="AB71" s="23">
        <f>Z71-AA71</f>
        <v>-19.683872128427424</v>
      </c>
      <c r="AC71" s="96">
        <f>IFERROR(Z71/AA71-1,"-")</f>
        <v>-7.4087568698609441E-2</v>
      </c>
      <c r="AD71" s="95">
        <v>246</v>
      </c>
      <c r="AE71" s="97">
        <v>265.68387212842742</v>
      </c>
      <c r="AF71" s="23">
        <f>AD71-AE71</f>
        <v>-19.683872128427424</v>
      </c>
      <c r="AG71" s="96">
        <f>IFERROR(AD71/AE71-1,"-")</f>
        <v>-7.4087568698609441E-2</v>
      </c>
      <c r="AH71" s="95">
        <v>266</v>
      </c>
      <c r="AI71" s="94">
        <f>AD71-AH71</f>
        <v>-20</v>
      </c>
      <c r="AJ71" s="93">
        <f>IFERROR(AI71/AH71,"-")</f>
        <v>-7.5187969924812026E-2</v>
      </c>
    </row>
    <row r="72" spans="1:36" ht="13.5" outlineLevel="1" thickBot="1" x14ac:dyDescent="0.25">
      <c r="A72" s="54"/>
      <c r="B72" s="92" t="s">
        <v>11</v>
      </c>
      <c r="C72" s="91" t="s">
        <v>11</v>
      </c>
      <c r="D72" s="90">
        <v>307.7</v>
      </c>
      <c r="E72" s="89">
        <v>310</v>
      </c>
      <c r="F72" s="88">
        <f>D72-E72</f>
        <v>-2.3000000000000114</v>
      </c>
      <c r="G72" s="87">
        <f>IFERROR(D72/E72-1,"-")</f>
        <v>-7.4193548387097019E-3</v>
      </c>
      <c r="H72" s="86">
        <v>305.89999999999998</v>
      </c>
      <c r="I72" s="86">
        <v>310</v>
      </c>
      <c r="J72" s="88">
        <f>H72-I72</f>
        <v>-4.1000000000000227</v>
      </c>
      <c r="K72" s="87">
        <f>IFERROR(H72/I72-1,"-")</f>
        <v>-1.3225806451612976E-2</v>
      </c>
      <c r="L72" s="86">
        <v>310</v>
      </c>
      <c r="M72" s="85">
        <f>H72-L72</f>
        <v>-4.1000000000000227</v>
      </c>
      <c r="N72" s="84">
        <f>IFERROR(M72/L72,"-")</f>
        <v>-1.3225806451612976E-2</v>
      </c>
      <c r="O72" s="90">
        <v>307.7</v>
      </c>
      <c r="P72" s="89">
        <v>310</v>
      </c>
      <c r="Q72" s="88">
        <f>O72-P72</f>
        <v>-2.3000000000000114</v>
      </c>
      <c r="R72" s="87">
        <f>IFERROR(O72/P72-1,"-")</f>
        <v>-7.4193548387097019E-3</v>
      </c>
      <c r="S72" s="86">
        <v>305.89999999999998</v>
      </c>
      <c r="T72" s="86">
        <v>310</v>
      </c>
      <c r="U72" s="88">
        <f>S72-T72</f>
        <v>-4.1000000000000227</v>
      </c>
      <c r="V72" s="87">
        <f>IFERROR(S72/T72-1,"-")</f>
        <v>-1.3225806451612976E-2</v>
      </c>
      <c r="W72" s="86">
        <v>310</v>
      </c>
      <c r="X72" s="85">
        <f>S72-W72</f>
        <v>-4.1000000000000227</v>
      </c>
      <c r="Y72" s="84">
        <f>IFERROR(X72/W72,"-")</f>
        <v>-1.3225806451612976E-2</v>
      </c>
      <c r="Z72" s="90">
        <v>307.7</v>
      </c>
      <c r="AA72" s="89">
        <v>310</v>
      </c>
      <c r="AB72" s="88">
        <f>Z72-AA72</f>
        <v>-2.3000000000000114</v>
      </c>
      <c r="AC72" s="87">
        <f>IFERROR(Z72/AA72-1,"-")</f>
        <v>-7.4193548387097019E-3</v>
      </c>
      <c r="AD72" s="86">
        <v>305.89999999999998</v>
      </c>
      <c r="AE72" s="86">
        <v>310</v>
      </c>
      <c r="AF72" s="88">
        <f>AD72-AE72</f>
        <v>-4.1000000000000227</v>
      </c>
      <c r="AG72" s="87">
        <f>IFERROR(AD72/AE72-1,"-")</f>
        <v>-1.3225806451612976E-2</v>
      </c>
      <c r="AH72" s="86">
        <v>310</v>
      </c>
      <c r="AI72" s="85">
        <f>AD72-AH72</f>
        <v>-4.1000000000000227</v>
      </c>
      <c r="AJ72" s="84">
        <f>IFERROR(AI72/AH72,"-")</f>
        <v>-1.3225806451612976E-2</v>
      </c>
    </row>
    <row r="73" spans="1:36" s="80" customFormat="1" ht="13.5" thickTop="1" x14ac:dyDescent="0.2">
      <c r="B73" s="83"/>
      <c r="C73" s="83"/>
      <c r="D73" s="82"/>
      <c r="E73" s="83"/>
      <c r="F73" s="82"/>
      <c r="G73" s="82"/>
      <c r="H73" s="82"/>
      <c r="I73" s="82"/>
      <c r="J73" s="82"/>
      <c r="K73" s="82"/>
      <c r="L73" s="82"/>
      <c r="M73" s="82"/>
      <c r="N73" s="81"/>
      <c r="O73" s="82"/>
      <c r="P73" s="83"/>
      <c r="Q73" s="82"/>
      <c r="R73" s="82"/>
      <c r="S73" s="82"/>
      <c r="T73" s="82"/>
      <c r="U73" s="82"/>
      <c r="V73" s="82"/>
      <c r="W73" s="82"/>
      <c r="X73" s="82"/>
      <c r="Y73" s="81"/>
      <c r="Z73" s="82"/>
      <c r="AA73" s="83"/>
      <c r="AB73" s="82"/>
      <c r="AC73" s="82"/>
      <c r="AD73" s="82"/>
      <c r="AE73" s="82"/>
      <c r="AF73" s="82"/>
      <c r="AG73" s="82"/>
      <c r="AH73" s="82"/>
      <c r="AI73" s="82"/>
      <c r="AJ73" s="81"/>
    </row>
    <row r="74" spans="1:36" ht="16.5" customHeight="1" thickBot="1" x14ac:dyDescent="0.25">
      <c r="A74" s="54"/>
      <c r="B74" s="70" t="s">
        <v>10</v>
      </c>
      <c r="C74" s="69" t="s">
        <v>9</v>
      </c>
      <c r="D74" s="67"/>
      <c r="E74" s="68"/>
      <c r="F74" s="65"/>
      <c r="G74" s="66"/>
      <c r="H74" s="67"/>
      <c r="I74" s="65"/>
      <c r="J74" s="65"/>
      <c r="K74" s="66"/>
      <c r="L74" s="65"/>
      <c r="M74" s="64"/>
      <c r="N74" s="63"/>
      <c r="O74" s="67"/>
      <c r="P74" s="68"/>
      <c r="Q74" s="65"/>
      <c r="R74" s="66"/>
      <c r="S74" s="67"/>
      <c r="T74" s="65"/>
      <c r="U74" s="65"/>
      <c r="V74" s="66"/>
      <c r="W74" s="65"/>
      <c r="X74" s="64"/>
      <c r="Y74" s="63"/>
      <c r="Z74" s="67"/>
      <c r="AA74" s="68"/>
      <c r="AB74" s="65"/>
      <c r="AC74" s="66"/>
      <c r="AD74" s="67"/>
      <c r="AE74" s="65"/>
      <c r="AF74" s="65"/>
      <c r="AG74" s="66"/>
      <c r="AH74" s="65"/>
      <c r="AI74" s="64"/>
      <c r="AJ74" s="63"/>
    </row>
    <row r="75" spans="1:36" ht="13.5" hidden="1" outlineLevel="3" thickTop="1" x14ac:dyDescent="0.2">
      <c r="A75" s="54"/>
      <c r="B75" s="38" t="str">
        <f t="shared" ref="B75:C94" si="36">B12</f>
        <v xml:space="preserve">Оклад </v>
      </c>
      <c r="C75" s="62" t="str">
        <f t="shared" si="36"/>
        <v>Salary</v>
      </c>
      <c r="D75" s="61">
        <v>135263390.90000001</v>
      </c>
      <c r="E75" s="60">
        <f>I75/6</f>
        <v>144423983.16666666</v>
      </c>
      <c r="F75" s="32">
        <f t="shared" ref="F75:F106" si="37">D75-E75</f>
        <v>-9160592.2666666508</v>
      </c>
      <c r="G75" s="78">
        <f t="shared" ref="G75:G106" si="38">IFERROR(D75/E75-1,"-")</f>
        <v>-6.3428469882978122E-2</v>
      </c>
      <c r="H75" s="39">
        <v>852947329.30999982</v>
      </c>
      <c r="I75" s="39">
        <v>866543899</v>
      </c>
      <c r="J75" s="32">
        <f t="shared" ref="J75:J106" si="39">H75-I75</f>
        <v>-13596569.690000176</v>
      </c>
      <c r="K75" s="78">
        <f t="shared" ref="K75:K106" si="40">IFERROR(H75/I75-1,"-")</f>
        <v>-1.5690572290325666E-2</v>
      </c>
      <c r="L75" s="39">
        <v>1740754399</v>
      </c>
      <c r="M75" s="32">
        <f t="shared" ref="M75:M106" si="41">H75-L75</f>
        <v>-887807069.69000018</v>
      </c>
      <c r="N75" s="79">
        <f t="shared" ref="N75:N106" si="42">IFERROR(M75/L75,"-")</f>
        <v>-0.51001282558872918</v>
      </c>
      <c r="O75" s="61">
        <v>135263390.90000001</v>
      </c>
      <c r="P75" s="60">
        <f>T75/6</f>
        <v>144423983.16666666</v>
      </c>
      <c r="Q75" s="32">
        <f t="shared" ref="Q75:Q106" si="43">O75-P75</f>
        <v>-9160592.2666666508</v>
      </c>
      <c r="R75" s="78">
        <f t="shared" ref="R75:R106" si="44">IFERROR(O75/P75-1,"-")</f>
        <v>-6.3428469882978122E-2</v>
      </c>
      <c r="S75" s="39">
        <v>852947329.30999982</v>
      </c>
      <c r="T75" s="39">
        <v>866543899</v>
      </c>
      <c r="U75" s="32">
        <f t="shared" ref="U75:U106" si="45">S75-T75</f>
        <v>-13596569.690000176</v>
      </c>
      <c r="V75" s="78">
        <f t="shared" ref="V75:V106" si="46">IFERROR(S75/T75-1,"-")</f>
        <v>-1.5690572290325666E-2</v>
      </c>
      <c r="W75" s="39">
        <v>1740754399</v>
      </c>
      <c r="X75" s="32">
        <f t="shared" ref="X75:X106" si="47">S75-W75</f>
        <v>-887807069.69000018</v>
      </c>
      <c r="Y75" s="79">
        <f t="shared" ref="Y75:Y106" si="48">IFERROR(X75/W75,"-")</f>
        <v>-0.51001282558872918</v>
      </c>
      <c r="Z75" s="61">
        <v>135263390.90000001</v>
      </c>
      <c r="AA75" s="60">
        <f>AE75/6</f>
        <v>144423983.16666666</v>
      </c>
      <c r="AB75" s="32">
        <f t="shared" ref="AB75:AB106" si="49">Z75-AA75</f>
        <v>-9160592.2666666508</v>
      </c>
      <c r="AC75" s="78">
        <f t="shared" ref="AC75:AC106" si="50">IFERROR(Z75/AA75-1,"-")</f>
        <v>-6.3428469882978122E-2</v>
      </c>
      <c r="AD75" s="39">
        <v>852947329.30999982</v>
      </c>
      <c r="AE75" s="39">
        <v>866543899</v>
      </c>
      <c r="AF75" s="32">
        <f t="shared" ref="AF75:AF106" si="51">AD75-AE75</f>
        <v>-13596569.690000176</v>
      </c>
      <c r="AG75" s="78">
        <f t="shared" ref="AG75:AG106" si="52">IFERROR(AD75/AE75-1,"-")</f>
        <v>-1.5690572290325666E-2</v>
      </c>
      <c r="AH75" s="39">
        <v>1740754399</v>
      </c>
      <c r="AI75" s="32">
        <f t="shared" ref="AI75:AI106" si="53">AD75-AH75</f>
        <v>-887807069.69000018</v>
      </c>
      <c r="AJ75" s="79">
        <f t="shared" ref="AJ75:AJ106" si="54">IFERROR(AI75/AH75,"-")</f>
        <v>-0.51001282558872918</v>
      </c>
    </row>
    <row r="76" spans="1:36" hidden="1" outlineLevel="3" x14ac:dyDescent="0.2">
      <c r="A76" s="54"/>
      <c r="B76" s="38" t="str">
        <f t="shared" si="36"/>
        <v>Страховые взносы оклад</v>
      </c>
      <c r="C76" s="49" t="str">
        <f t="shared" si="36"/>
        <v>Social securities on salaries</v>
      </c>
      <c r="D76" s="41">
        <v>27298223.000000004</v>
      </c>
      <c r="E76" s="40">
        <f>I76/6</f>
        <v>26718436.885833334</v>
      </c>
      <c r="F76" s="32">
        <f t="shared" si="37"/>
        <v>579786.11416666955</v>
      </c>
      <c r="G76" s="78">
        <f t="shared" si="38"/>
        <v>2.1699851553594662E-2</v>
      </c>
      <c r="H76" s="39">
        <v>195613161.08999997</v>
      </c>
      <c r="I76" s="39">
        <v>160310621.315</v>
      </c>
      <c r="J76" s="32">
        <f t="shared" si="39"/>
        <v>35302539.774999976</v>
      </c>
      <c r="K76" s="78">
        <f t="shared" si="40"/>
        <v>0.22021335508164963</v>
      </c>
      <c r="L76" s="39">
        <v>322039563.815</v>
      </c>
      <c r="M76" s="32">
        <f t="shared" si="41"/>
        <v>-126426402.72500002</v>
      </c>
      <c r="N76" s="77">
        <f t="shared" si="42"/>
        <v>-0.39258034394068236</v>
      </c>
      <c r="O76" s="41">
        <v>27298223.000000004</v>
      </c>
      <c r="P76" s="40">
        <f>T76/6</f>
        <v>26718436.885833334</v>
      </c>
      <c r="Q76" s="32">
        <f t="shared" si="43"/>
        <v>579786.11416666955</v>
      </c>
      <c r="R76" s="78">
        <f t="shared" si="44"/>
        <v>2.1699851553594662E-2</v>
      </c>
      <c r="S76" s="39">
        <v>195613161.08999997</v>
      </c>
      <c r="T76" s="39">
        <v>160310621.315</v>
      </c>
      <c r="U76" s="32">
        <f t="shared" si="45"/>
        <v>35302539.774999976</v>
      </c>
      <c r="V76" s="78">
        <f t="shared" si="46"/>
        <v>0.22021335508164963</v>
      </c>
      <c r="W76" s="39">
        <v>322039563.815</v>
      </c>
      <c r="X76" s="32">
        <f t="shared" si="47"/>
        <v>-126426402.72500002</v>
      </c>
      <c r="Y76" s="77">
        <f t="shared" si="48"/>
        <v>-0.39258034394068236</v>
      </c>
      <c r="Z76" s="41">
        <v>27298223.000000004</v>
      </c>
      <c r="AA76" s="40">
        <f>AE76/6</f>
        <v>26718436.885833334</v>
      </c>
      <c r="AB76" s="32">
        <f t="shared" si="49"/>
        <v>579786.11416666955</v>
      </c>
      <c r="AC76" s="78">
        <f t="shared" si="50"/>
        <v>2.1699851553594662E-2</v>
      </c>
      <c r="AD76" s="39">
        <v>195613161.08999997</v>
      </c>
      <c r="AE76" s="39">
        <v>160310621.315</v>
      </c>
      <c r="AF76" s="32">
        <f t="shared" si="51"/>
        <v>35302539.774999976</v>
      </c>
      <c r="AG76" s="78">
        <f t="shared" si="52"/>
        <v>0.22021335508164963</v>
      </c>
      <c r="AH76" s="39">
        <v>322039563.815</v>
      </c>
      <c r="AI76" s="32">
        <f t="shared" si="53"/>
        <v>-126426402.72500002</v>
      </c>
      <c r="AJ76" s="77">
        <f t="shared" si="54"/>
        <v>-0.39258034394068236</v>
      </c>
    </row>
    <row r="77" spans="1:36" s="6" customFormat="1" ht="13.5" hidden="1" outlineLevel="2" collapsed="1" thickTop="1" x14ac:dyDescent="0.2">
      <c r="A77" s="30"/>
      <c r="B77" s="29" t="str">
        <f t="shared" si="36"/>
        <v>Итого оклад</v>
      </c>
      <c r="C77" s="52" t="str">
        <f t="shared" si="36"/>
        <v>Total Salary</v>
      </c>
      <c r="D77" s="27">
        <f>SUM(D75:D76)</f>
        <v>162561613.90000001</v>
      </c>
      <c r="E77" s="26">
        <f>SUM(E75:E76)</f>
        <v>171142420.05249998</v>
      </c>
      <c r="F77" s="23">
        <f t="shared" si="37"/>
        <v>-8580806.1524999738</v>
      </c>
      <c r="G77" s="76">
        <f t="shared" si="38"/>
        <v>-5.0138394384441343E-2</v>
      </c>
      <c r="H77" s="24">
        <f>SUM(H75:H76)</f>
        <v>1048560490.3999999</v>
      </c>
      <c r="I77" s="24">
        <f>SUM(I75:I76)</f>
        <v>1026854520.3150001</v>
      </c>
      <c r="J77" s="23">
        <f t="shared" si="39"/>
        <v>21705970.0849998</v>
      </c>
      <c r="K77" s="76">
        <f t="shared" si="40"/>
        <v>2.1138310885889799E-2</v>
      </c>
      <c r="L77" s="24">
        <f>SUM(L75:L76)</f>
        <v>2062793962.8150001</v>
      </c>
      <c r="M77" s="23">
        <f t="shared" si="41"/>
        <v>-1014233472.4150002</v>
      </c>
      <c r="N77" s="75">
        <f t="shared" si="42"/>
        <v>-0.49167948457194555</v>
      </c>
      <c r="O77" s="27">
        <f>SUM(O75:O76)</f>
        <v>162561613.90000001</v>
      </c>
      <c r="P77" s="26">
        <f>SUM(P75:P76)</f>
        <v>171142420.05249998</v>
      </c>
      <c r="Q77" s="23">
        <f t="shared" si="43"/>
        <v>-8580806.1524999738</v>
      </c>
      <c r="R77" s="76">
        <f t="shared" si="44"/>
        <v>-5.0138394384441343E-2</v>
      </c>
      <c r="S77" s="24">
        <f>SUM(S75:S76)</f>
        <v>1048560490.3999999</v>
      </c>
      <c r="T77" s="24">
        <f>SUM(T75:T76)</f>
        <v>1026854520.3150001</v>
      </c>
      <c r="U77" s="23">
        <f t="shared" si="45"/>
        <v>21705970.0849998</v>
      </c>
      <c r="V77" s="76">
        <f t="shared" si="46"/>
        <v>2.1138310885889799E-2</v>
      </c>
      <c r="W77" s="24">
        <f>SUM(W75:W76)</f>
        <v>2062793962.8150001</v>
      </c>
      <c r="X77" s="23">
        <f t="shared" si="47"/>
        <v>-1014233472.4150002</v>
      </c>
      <c r="Y77" s="75">
        <f t="shared" si="48"/>
        <v>-0.49167948457194555</v>
      </c>
      <c r="Z77" s="27">
        <f>SUM(Z75:Z76)</f>
        <v>162561613.90000001</v>
      </c>
      <c r="AA77" s="26">
        <f>SUM(AA75:AA76)</f>
        <v>171142420.05249998</v>
      </c>
      <c r="AB77" s="23">
        <f t="shared" si="49"/>
        <v>-8580806.1524999738</v>
      </c>
      <c r="AC77" s="76">
        <f t="shared" si="50"/>
        <v>-5.0138394384441343E-2</v>
      </c>
      <c r="AD77" s="24">
        <f>SUM(AD75:AD76)</f>
        <v>1048560490.3999999</v>
      </c>
      <c r="AE77" s="24">
        <f>SUM(AE75:AE76)</f>
        <v>1026854520.3150001</v>
      </c>
      <c r="AF77" s="23">
        <f t="shared" si="51"/>
        <v>21705970.0849998</v>
      </c>
      <c r="AG77" s="76">
        <f t="shared" si="52"/>
        <v>2.1138310885889799E-2</v>
      </c>
      <c r="AH77" s="24">
        <f>SUM(AH75:AH76)</f>
        <v>2062793962.8150001</v>
      </c>
      <c r="AI77" s="23">
        <f t="shared" si="53"/>
        <v>-1014233472.4150002</v>
      </c>
      <c r="AJ77" s="75">
        <f t="shared" si="54"/>
        <v>-0.49167948457194555</v>
      </c>
    </row>
    <row r="78" spans="1:36" hidden="1" outlineLevel="3" x14ac:dyDescent="0.2">
      <c r="A78" s="54"/>
      <c r="B78" s="57" t="str">
        <f t="shared" si="36"/>
        <v>Резерв на отпуск</v>
      </c>
      <c r="C78" s="56" t="str">
        <f t="shared" si="36"/>
        <v>Accruals for unused vacations</v>
      </c>
      <c r="D78" s="41">
        <v>44272102.969999984</v>
      </c>
      <c r="E78" s="40">
        <f>I78/6</f>
        <v>41312893.95431418</v>
      </c>
      <c r="F78" s="32">
        <f t="shared" si="37"/>
        <v>2959209.0156858042</v>
      </c>
      <c r="G78" s="78">
        <f t="shared" si="38"/>
        <v>7.1629187220780155E-2</v>
      </c>
      <c r="H78" s="39">
        <v>419082278.12999994</v>
      </c>
      <c r="I78" s="39">
        <v>247877363.72588509</v>
      </c>
      <c r="J78" s="32">
        <f t="shared" si="39"/>
        <v>171204914.40411484</v>
      </c>
      <c r="K78" s="78">
        <f t="shared" si="40"/>
        <v>0.69068394076290729</v>
      </c>
      <c r="L78" s="39">
        <v>495733023.91900676</v>
      </c>
      <c r="M78" s="32">
        <f t="shared" si="41"/>
        <v>-76650745.789006829</v>
      </c>
      <c r="N78" s="77">
        <f t="shared" si="42"/>
        <v>-0.15462101996563796</v>
      </c>
      <c r="O78" s="41">
        <v>44272102.969999984</v>
      </c>
      <c r="P78" s="40">
        <f>T78/6</f>
        <v>41312893.95431418</v>
      </c>
      <c r="Q78" s="32">
        <f t="shared" si="43"/>
        <v>2959209.0156858042</v>
      </c>
      <c r="R78" s="78">
        <f t="shared" si="44"/>
        <v>7.1629187220780155E-2</v>
      </c>
      <c r="S78" s="39">
        <v>419082278.12999994</v>
      </c>
      <c r="T78" s="39">
        <v>247877363.72588509</v>
      </c>
      <c r="U78" s="32">
        <f t="shared" si="45"/>
        <v>171204914.40411484</v>
      </c>
      <c r="V78" s="78">
        <f t="shared" si="46"/>
        <v>0.69068394076290729</v>
      </c>
      <c r="W78" s="39">
        <v>495733023.91900676</v>
      </c>
      <c r="X78" s="32">
        <f t="shared" si="47"/>
        <v>-76650745.789006829</v>
      </c>
      <c r="Y78" s="77">
        <f t="shared" si="48"/>
        <v>-0.15462101996563796</v>
      </c>
      <c r="Z78" s="41">
        <v>44272102.969999984</v>
      </c>
      <c r="AA78" s="40">
        <f>AE78/6</f>
        <v>41312893.95431418</v>
      </c>
      <c r="AB78" s="32">
        <f t="shared" si="49"/>
        <v>2959209.0156858042</v>
      </c>
      <c r="AC78" s="78">
        <f t="shared" si="50"/>
        <v>7.1629187220780155E-2</v>
      </c>
      <c r="AD78" s="39">
        <v>419082278.12999994</v>
      </c>
      <c r="AE78" s="39">
        <v>247877363.72588509</v>
      </c>
      <c r="AF78" s="32">
        <f t="shared" si="51"/>
        <v>171204914.40411484</v>
      </c>
      <c r="AG78" s="78">
        <f t="shared" si="52"/>
        <v>0.69068394076290729</v>
      </c>
      <c r="AH78" s="39">
        <v>495733023.91900676</v>
      </c>
      <c r="AI78" s="32">
        <f t="shared" si="53"/>
        <v>-76650745.789006829</v>
      </c>
      <c r="AJ78" s="77">
        <f t="shared" si="54"/>
        <v>-0.15462101996563796</v>
      </c>
    </row>
    <row r="79" spans="1:36" hidden="1" outlineLevel="3" x14ac:dyDescent="0.2">
      <c r="A79" s="54"/>
      <c r="B79" s="38" t="str">
        <f t="shared" si="36"/>
        <v>Страховые взносы резерв на отпуск</v>
      </c>
      <c r="C79" s="56" t="str">
        <f t="shared" si="36"/>
        <v>Social Security on accruals for unused vacations</v>
      </c>
      <c r="D79" s="41">
        <v>6226136.4200000018</v>
      </c>
      <c r="E79" s="40">
        <f>I79/6</f>
        <v>7642885.3815481178</v>
      </c>
      <c r="F79" s="32">
        <f t="shared" si="37"/>
        <v>-1416748.9615481161</v>
      </c>
      <c r="G79" s="78">
        <f t="shared" si="38"/>
        <v>-0.1853683381106972</v>
      </c>
      <c r="H79" s="39">
        <v>69999585.459999993</v>
      </c>
      <c r="I79" s="39">
        <v>45857312.289288707</v>
      </c>
      <c r="J79" s="32">
        <f t="shared" si="39"/>
        <v>24142273.170711286</v>
      </c>
      <c r="K79" s="78">
        <f t="shared" si="40"/>
        <v>0.5264650710100689</v>
      </c>
      <c r="L79" s="39">
        <v>91710609.42501618</v>
      </c>
      <c r="M79" s="32">
        <f t="shared" si="41"/>
        <v>-21711023.965016186</v>
      </c>
      <c r="N79" s="77">
        <f t="shared" si="42"/>
        <v>-0.23673404964959271</v>
      </c>
      <c r="O79" s="41">
        <v>6226136.4200000018</v>
      </c>
      <c r="P79" s="40">
        <f>T79/6</f>
        <v>7642885.3815481178</v>
      </c>
      <c r="Q79" s="32">
        <f t="shared" si="43"/>
        <v>-1416748.9615481161</v>
      </c>
      <c r="R79" s="78">
        <f t="shared" si="44"/>
        <v>-0.1853683381106972</v>
      </c>
      <c r="S79" s="39">
        <v>69999585.459999993</v>
      </c>
      <c r="T79" s="39">
        <v>45857312.289288707</v>
      </c>
      <c r="U79" s="32">
        <f t="shared" si="45"/>
        <v>24142273.170711286</v>
      </c>
      <c r="V79" s="78">
        <f t="shared" si="46"/>
        <v>0.5264650710100689</v>
      </c>
      <c r="W79" s="39">
        <v>91710609.42501618</v>
      </c>
      <c r="X79" s="32">
        <f t="shared" si="47"/>
        <v>-21711023.965016186</v>
      </c>
      <c r="Y79" s="77">
        <f t="shared" si="48"/>
        <v>-0.23673404964959271</v>
      </c>
      <c r="Z79" s="41">
        <v>6226136.4200000018</v>
      </c>
      <c r="AA79" s="40">
        <f>AE79/6</f>
        <v>7642885.3815481178</v>
      </c>
      <c r="AB79" s="32">
        <f t="shared" si="49"/>
        <v>-1416748.9615481161</v>
      </c>
      <c r="AC79" s="78">
        <f t="shared" si="50"/>
        <v>-0.1853683381106972</v>
      </c>
      <c r="AD79" s="39">
        <v>69999585.459999993</v>
      </c>
      <c r="AE79" s="39">
        <v>45857312.289288707</v>
      </c>
      <c r="AF79" s="32">
        <f t="shared" si="51"/>
        <v>24142273.170711286</v>
      </c>
      <c r="AG79" s="78">
        <f t="shared" si="52"/>
        <v>0.5264650710100689</v>
      </c>
      <c r="AH79" s="39">
        <v>91710609.42501618</v>
      </c>
      <c r="AI79" s="32">
        <f t="shared" si="53"/>
        <v>-21711023.965016186</v>
      </c>
      <c r="AJ79" s="77">
        <f t="shared" si="54"/>
        <v>-0.23673404964959271</v>
      </c>
    </row>
    <row r="80" spans="1:36" s="6" customFormat="1" hidden="1" outlineLevel="2" collapsed="1" x14ac:dyDescent="0.2">
      <c r="A80" s="30"/>
      <c r="B80" s="29" t="str">
        <f t="shared" si="36"/>
        <v>Итого резерв на отпуск</v>
      </c>
      <c r="C80" s="52" t="str">
        <f t="shared" si="36"/>
        <v>Total Accruals for unused vacations</v>
      </c>
      <c r="D80" s="27">
        <f>SUM(D78:D79)</f>
        <v>50498239.389999986</v>
      </c>
      <c r="E80" s="26">
        <f>SUM(E78:E79)</f>
        <v>48955779.335862294</v>
      </c>
      <c r="F80" s="23">
        <f t="shared" si="37"/>
        <v>1542460.0541376919</v>
      </c>
      <c r="G80" s="76">
        <f t="shared" si="38"/>
        <v>3.1507210692237386E-2</v>
      </c>
      <c r="H80" s="24">
        <f>SUM(H78:H79)</f>
        <v>489081863.58999991</v>
      </c>
      <c r="I80" s="24">
        <f>SUM(I78:I79)</f>
        <v>293734676.01517379</v>
      </c>
      <c r="J80" s="23">
        <f t="shared" si="39"/>
        <v>195347187.57482612</v>
      </c>
      <c r="K80" s="76">
        <f t="shared" si="40"/>
        <v>0.66504639569600843</v>
      </c>
      <c r="L80" s="24">
        <f>SUM(L78:L79)</f>
        <v>587443633.34402299</v>
      </c>
      <c r="M80" s="23">
        <f t="shared" si="41"/>
        <v>-98361769.754023075</v>
      </c>
      <c r="N80" s="75">
        <f t="shared" si="42"/>
        <v>-0.167440353713766</v>
      </c>
      <c r="O80" s="27">
        <f>SUM(O78:O79)</f>
        <v>50498239.389999986</v>
      </c>
      <c r="P80" s="26">
        <f>SUM(P78:P79)</f>
        <v>48955779.335862294</v>
      </c>
      <c r="Q80" s="23">
        <f t="shared" si="43"/>
        <v>1542460.0541376919</v>
      </c>
      <c r="R80" s="76">
        <f t="shared" si="44"/>
        <v>3.1507210692237386E-2</v>
      </c>
      <c r="S80" s="24">
        <f>SUM(S78:S79)</f>
        <v>489081863.58999991</v>
      </c>
      <c r="T80" s="24">
        <f>SUM(T78:T79)</f>
        <v>293734676.01517379</v>
      </c>
      <c r="U80" s="23">
        <f t="shared" si="45"/>
        <v>195347187.57482612</v>
      </c>
      <c r="V80" s="76">
        <f t="shared" si="46"/>
        <v>0.66504639569600843</v>
      </c>
      <c r="W80" s="24">
        <f>SUM(W78:W79)</f>
        <v>587443633.34402299</v>
      </c>
      <c r="X80" s="23">
        <f t="shared" si="47"/>
        <v>-98361769.754023075</v>
      </c>
      <c r="Y80" s="75">
        <f t="shared" si="48"/>
        <v>-0.167440353713766</v>
      </c>
      <c r="Z80" s="27">
        <f>SUM(Z78:Z79)</f>
        <v>50498239.389999986</v>
      </c>
      <c r="AA80" s="26">
        <f>SUM(AA78:AA79)</f>
        <v>48955779.335862294</v>
      </c>
      <c r="AB80" s="23">
        <f t="shared" si="49"/>
        <v>1542460.0541376919</v>
      </c>
      <c r="AC80" s="76">
        <f t="shared" si="50"/>
        <v>3.1507210692237386E-2</v>
      </c>
      <c r="AD80" s="24">
        <f>SUM(AD78:AD79)</f>
        <v>489081863.58999991</v>
      </c>
      <c r="AE80" s="24">
        <f>SUM(AE78:AE79)</f>
        <v>293734676.01517379</v>
      </c>
      <c r="AF80" s="23">
        <f t="shared" si="51"/>
        <v>195347187.57482612</v>
      </c>
      <c r="AG80" s="76">
        <f t="shared" si="52"/>
        <v>0.66504639569600843</v>
      </c>
      <c r="AH80" s="24">
        <f>SUM(AH78:AH79)</f>
        <v>587443633.34402299</v>
      </c>
      <c r="AI80" s="23">
        <f t="shared" si="53"/>
        <v>-98361769.754023075</v>
      </c>
      <c r="AJ80" s="75">
        <f t="shared" si="54"/>
        <v>-0.167440353713766</v>
      </c>
    </row>
    <row r="81" spans="1:36" hidden="1" outlineLevel="3" x14ac:dyDescent="0.2">
      <c r="A81" s="54"/>
      <c r="B81" s="38" t="str">
        <f t="shared" si="36"/>
        <v>Оплата больничных листов</v>
      </c>
      <c r="C81" s="49" t="str">
        <f t="shared" si="36"/>
        <v>Sick leave compensation</v>
      </c>
      <c r="D81" s="41">
        <v>502299.88</v>
      </c>
      <c r="E81" s="40">
        <v>0</v>
      </c>
      <c r="F81" s="32">
        <f t="shared" si="37"/>
        <v>502299.88</v>
      </c>
      <c r="G81" s="78" t="str">
        <f t="shared" si="38"/>
        <v>-</v>
      </c>
      <c r="H81" s="39">
        <v>2428673.09</v>
      </c>
      <c r="I81" s="39">
        <v>1108089.5900000001</v>
      </c>
      <c r="J81" s="32">
        <f t="shared" si="39"/>
        <v>1320583.4999999998</v>
      </c>
      <c r="K81" s="78">
        <f t="shared" si="40"/>
        <v>1.1917660015197864</v>
      </c>
      <c r="L81" s="39">
        <v>1108089.5900000001</v>
      </c>
      <c r="M81" s="32">
        <f t="shared" si="41"/>
        <v>1320583.4999999998</v>
      </c>
      <c r="N81" s="77">
        <f t="shared" si="42"/>
        <v>1.1917660015197866</v>
      </c>
      <c r="O81" s="41">
        <v>502299.88</v>
      </c>
      <c r="P81" s="40">
        <v>0</v>
      </c>
      <c r="Q81" s="32">
        <f t="shared" si="43"/>
        <v>502299.88</v>
      </c>
      <c r="R81" s="78" t="str">
        <f t="shared" si="44"/>
        <v>-</v>
      </c>
      <c r="S81" s="39">
        <v>2428673.09</v>
      </c>
      <c r="T81" s="39">
        <v>1108089.5900000001</v>
      </c>
      <c r="U81" s="32">
        <f t="shared" si="45"/>
        <v>1320583.4999999998</v>
      </c>
      <c r="V81" s="78">
        <f t="shared" si="46"/>
        <v>1.1917660015197864</v>
      </c>
      <c r="W81" s="39">
        <v>1108089.5900000001</v>
      </c>
      <c r="X81" s="32">
        <f t="shared" si="47"/>
        <v>1320583.4999999998</v>
      </c>
      <c r="Y81" s="77">
        <f t="shared" si="48"/>
        <v>1.1917660015197866</v>
      </c>
      <c r="Z81" s="41">
        <v>502299.88</v>
      </c>
      <c r="AA81" s="40">
        <v>0</v>
      </c>
      <c r="AB81" s="32">
        <f t="shared" si="49"/>
        <v>502299.88</v>
      </c>
      <c r="AC81" s="78" t="str">
        <f t="shared" si="50"/>
        <v>-</v>
      </c>
      <c r="AD81" s="39">
        <v>2428673.09</v>
      </c>
      <c r="AE81" s="39">
        <v>1108089.5900000001</v>
      </c>
      <c r="AF81" s="32">
        <f t="shared" si="51"/>
        <v>1320583.4999999998</v>
      </c>
      <c r="AG81" s="78">
        <f t="shared" si="52"/>
        <v>1.1917660015197864</v>
      </c>
      <c r="AH81" s="39">
        <v>1108089.5900000001</v>
      </c>
      <c r="AI81" s="32">
        <f t="shared" si="53"/>
        <v>1320583.4999999998</v>
      </c>
      <c r="AJ81" s="77">
        <f t="shared" si="54"/>
        <v>1.1917660015197866</v>
      </c>
    </row>
    <row r="82" spans="1:36" hidden="1" outlineLevel="3" x14ac:dyDescent="0.2">
      <c r="A82" s="54"/>
      <c r="B82" s="38" t="str">
        <f t="shared" si="36"/>
        <v>Страховые взносы оплата больничных листов</v>
      </c>
      <c r="C82" s="49" t="str">
        <f t="shared" si="36"/>
        <v>Social Security on Sick leave compensation</v>
      </c>
      <c r="D82" s="41">
        <v>81339.45</v>
      </c>
      <c r="E82" s="40">
        <v>0</v>
      </c>
      <c r="F82" s="32">
        <f t="shared" si="37"/>
        <v>81339.45</v>
      </c>
      <c r="G82" s="78" t="str">
        <f t="shared" si="38"/>
        <v>-</v>
      </c>
      <c r="H82" s="39">
        <v>429173.05</v>
      </c>
      <c r="I82" s="39">
        <v>244088.15</v>
      </c>
      <c r="J82" s="32">
        <f t="shared" si="39"/>
        <v>185084.9</v>
      </c>
      <c r="K82" s="78">
        <f t="shared" si="40"/>
        <v>0.75827073129113387</v>
      </c>
      <c r="L82" s="39">
        <v>244088.15</v>
      </c>
      <c r="M82" s="32">
        <f t="shared" si="41"/>
        <v>185084.9</v>
      </c>
      <c r="N82" s="77">
        <f t="shared" si="42"/>
        <v>0.75827073129113398</v>
      </c>
      <c r="O82" s="41">
        <v>81339.45</v>
      </c>
      <c r="P82" s="40">
        <v>0</v>
      </c>
      <c r="Q82" s="32">
        <f t="shared" si="43"/>
        <v>81339.45</v>
      </c>
      <c r="R82" s="78" t="str">
        <f t="shared" si="44"/>
        <v>-</v>
      </c>
      <c r="S82" s="39">
        <v>429173.05</v>
      </c>
      <c r="T82" s="39">
        <v>244088.15</v>
      </c>
      <c r="U82" s="32">
        <f t="shared" si="45"/>
        <v>185084.9</v>
      </c>
      <c r="V82" s="78">
        <f t="shared" si="46"/>
        <v>0.75827073129113387</v>
      </c>
      <c r="W82" s="39">
        <v>244088.15</v>
      </c>
      <c r="X82" s="32">
        <f t="shared" si="47"/>
        <v>185084.9</v>
      </c>
      <c r="Y82" s="77">
        <f t="shared" si="48"/>
        <v>0.75827073129113398</v>
      </c>
      <c r="Z82" s="41">
        <v>81339.45</v>
      </c>
      <c r="AA82" s="40">
        <v>0</v>
      </c>
      <c r="AB82" s="32">
        <f t="shared" si="49"/>
        <v>81339.45</v>
      </c>
      <c r="AC82" s="78" t="str">
        <f t="shared" si="50"/>
        <v>-</v>
      </c>
      <c r="AD82" s="39">
        <v>429173.05</v>
      </c>
      <c r="AE82" s="39">
        <v>244088.15</v>
      </c>
      <c r="AF82" s="32">
        <f t="shared" si="51"/>
        <v>185084.9</v>
      </c>
      <c r="AG82" s="78">
        <f t="shared" si="52"/>
        <v>0.75827073129113387</v>
      </c>
      <c r="AH82" s="39">
        <v>244088.15</v>
      </c>
      <c r="AI82" s="32">
        <f t="shared" si="53"/>
        <v>185084.9</v>
      </c>
      <c r="AJ82" s="77">
        <f t="shared" si="54"/>
        <v>0.75827073129113398</v>
      </c>
    </row>
    <row r="83" spans="1:36" s="6" customFormat="1" hidden="1" outlineLevel="2" collapsed="1" x14ac:dyDescent="0.2">
      <c r="A83" s="30"/>
      <c r="B83" s="29" t="str">
        <f t="shared" si="36"/>
        <v>Итого оплата больничных листов</v>
      </c>
      <c r="C83" s="52" t="str">
        <f t="shared" si="36"/>
        <v>Total Sick leave compensation</v>
      </c>
      <c r="D83" s="27">
        <f>SUM(D81:D82)</f>
        <v>583639.32999999996</v>
      </c>
      <c r="E83" s="26">
        <f>SUM(E81:E82)</f>
        <v>0</v>
      </c>
      <c r="F83" s="23">
        <f t="shared" si="37"/>
        <v>583639.32999999996</v>
      </c>
      <c r="G83" s="76" t="str">
        <f t="shared" si="38"/>
        <v>-</v>
      </c>
      <c r="H83" s="24">
        <f>SUM(H81:H82)</f>
        <v>2857846.1399999997</v>
      </c>
      <c r="I83" s="24">
        <f>SUM(I81:I82)</f>
        <v>1352177.74</v>
      </c>
      <c r="J83" s="23">
        <f t="shared" si="39"/>
        <v>1505668.3999999997</v>
      </c>
      <c r="K83" s="76">
        <f t="shared" si="40"/>
        <v>1.1135136716568041</v>
      </c>
      <c r="L83" s="24">
        <f>SUM(L81:L82)</f>
        <v>1352177.74</v>
      </c>
      <c r="M83" s="23">
        <f t="shared" si="41"/>
        <v>1505668.3999999997</v>
      </c>
      <c r="N83" s="75">
        <f t="shared" si="42"/>
        <v>1.1135136716568044</v>
      </c>
      <c r="O83" s="27">
        <f>SUM(O81:O82)</f>
        <v>583639.32999999996</v>
      </c>
      <c r="P83" s="26">
        <f>SUM(P81:P82)</f>
        <v>0</v>
      </c>
      <c r="Q83" s="23">
        <f t="shared" si="43"/>
        <v>583639.32999999996</v>
      </c>
      <c r="R83" s="76" t="str">
        <f t="shared" si="44"/>
        <v>-</v>
      </c>
      <c r="S83" s="24">
        <f>SUM(S81:S82)</f>
        <v>2857846.1399999997</v>
      </c>
      <c r="T83" s="24">
        <f>SUM(T81:T82)</f>
        <v>1352177.74</v>
      </c>
      <c r="U83" s="23">
        <f t="shared" si="45"/>
        <v>1505668.3999999997</v>
      </c>
      <c r="V83" s="76">
        <f t="shared" si="46"/>
        <v>1.1135136716568041</v>
      </c>
      <c r="W83" s="24">
        <f>SUM(W81:W82)</f>
        <v>1352177.74</v>
      </c>
      <c r="X83" s="23">
        <f t="shared" si="47"/>
        <v>1505668.3999999997</v>
      </c>
      <c r="Y83" s="75">
        <f t="shared" si="48"/>
        <v>1.1135136716568044</v>
      </c>
      <c r="Z83" s="27">
        <f>SUM(Z81:Z82)</f>
        <v>583639.32999999996</v>
      </c>
      <c r="AA83" s="26">
        <f>SUM(AA81:AA82)</f>
        <v>0</v>
      </c>
      <c r="AB83" s="23">
        <f t="shared" si="49"/>
        <v>583639.32999999996</v>
      </c>
      <c r="AC83" s="76" t="str">
        <f t="shared" si="50"/>
        <v>-</v>
      </c>
      <c r="AD83" s="24">
        <f>SUM(AD81:AD82)</f>
        <v>2857846.1399999997</v>
      </c>
      <c r="AE83" s="24">
        <f>SUM(AE81:AE82)</f>
        <v>1352177.74</v>
      </c>
      <c r="AF83" s="23">
        <f t="shared" si="51"/>
        <v>1505668.3999999997</v>
      </c>
      <c r="AG83" s="76">
        <f t="shared" si="52"/>
        <v>1.1135136716568041</v>
      </c>
      <c r="AH83" s="24">
        <f>SUM(AH81:AH82)</f>
        <v>1352177.74</v>
      </c>
      <c r="AI83" s="23">
        <f t="shared" si="53"/>
        <v>1505668.3999999997</v>
      </c>
      <c r="AJ83" s="75">
        <f t="shared" si="54"/>
        <v>1.1135136716568044</v>
      </c>
    </row>
    <row r="84" spans="1:36" hidden="1" outlineLevel="3" x14ac:dyDescent="0.2">
      <c r="A84" s="54"/>
      <c r="B84" s="38" t="str">
        <f t="shared" si="36"/>
        <v>Декрет</v>
      </c>
      <c r="C84" s="49" t="str">
        <f t="shared" si="36"/>
        <v>Maternity leave</v>
      </c>
      <c r="D84" s="41">
        <v>0</v>
      </c>
      <c r="E84" s="40">
        <v>0</v>
      </c>
      <c r="F84" s="32">
        <f t="shared" si="37"/>
        <v>0</v>
      </c>
      <c r="G84" s="78" t="str">
        <f t="shared" si="38"/>
        <v>-</v>
      </c>
      <c r="H84" s="39">
        <v>0</v>
      </c>
      <c r="I84" s="39">
        <v>0</v>
      </c>
      <c r="J84" s="32">
        <f t="shared" si="39"/>
        <v>0</v>
      </c>
      <c r="K84" s="78" t="str">
        <f t="shared" si="40"/>
        <v>-</v>
      </c>
      <c r="L84" s="39">
        <v>0</v>
      </c>
      <c r="M84" s="32">
        <f t="shared" si="41"/>
        <v>0</v>
      </c>
      <c r="N84" s="77" t="str">
        <f t="shared" si="42"/>
        <v>-</v>
      </c>
      <c r="O84" s="41">
        <v>0</v>
      </c>
      <c r="P84" s="40">
        <v>0</v>
      </c>
      <c r="Q84" s="32">
        <f t="shared" si="43"/>
        <v>0</v>
      </c>
      <c r="R84" s="78" t="str">
        <f t="shared" si="44"/>
        <v>-</v>
      </c>
      <c r="S84" s="39">
        <v>0</v>
      </c>
      <c r="T84" s="39">
        <v>0</v>
      </c>
      <c r="U84" s="32">
        <f t="shared" si="45"/>
        <v>0</v>
      </c>
      <c r="V84" s="78" t="str">
        <f t="shared" si="46"/>
        <v>-</v>
      </c>
      <c r="W84" s="39">
        <v>0</v>
      </c>
      <c r="X84" s="32">
        <f t="shared" si="47"/>
        <v>0</v>
      </c>
      <c r="Y84" s="77" t="str">
        <f t="shared" si="48"/>
        <v>-</v>
      </c>
      <c r="Z84" s="41">
        <v>0</v>
      </c>
      <c r="AA84" s="40">
        <v>0</v>
      </c>
      <c r="AB84" s="32">
        <f t="shared" si="49"/>
        <v>0</v>
      </c>
      <c r="AC84" s="78" t="str">
        <f t="shared" si="50"/>
        <v>-</v>
      </c>
      <c r="AD84" s="39">
        <v>0</v>
      </c>
      <c r="AE84" s="39">
        <v>0</v>
      </c>
      <c r="AF84" s="32">
        <f t="shared" si="51"/>
        <v>0</v>
      </c>
      <c r="AG84" s="78" t="str">
        <f t="shared" si="52"/>
        <v>-</v>
      </c>
      <c r="AH84" s="39">
        <v>0</v>
      </c>
      <c r="AI84" s="32">
        <f t="shared" si="53"/>
        <v>0</v>
      </c>
      <c r="AJ84" s="77" t="str">
        <f t="shared" si="54"/>
        <v>-</v>
      </c>
    </row>
    <row r="85" spans="1:36" hidden="1" outlineLevel="3" x14ac:dyDescent="0.2">
      <c r="A85" s="54"/>
      <c r="B85" s="38" t="str">
        <f t="shared" si="36"/>
        <v>Страховые взносы декрет</v>
      </c>
      <c r="C85" s="49" t="str">
        <f t="shared" si="36"/>
        <v>Social Security on Maternity leave</v>
      </c>
      <c r="D85" s="41">
        <v>0</v>
      </c>
      <c r="E85" s="40">
        <v>0</v>
      </c>
      <c r="F85" s="32">
        <f t="shared" si="37"/>
        <v>0</v>
      </c>
      <c r="G85" s="78" t="str">
        <f t="shared" si="38"/>
        <v>-</v>
      </c>
      <c r="H85" s="39">
        <v>0</v>
      </c>
      <c r="I85" s="39">
        <v>0</v>
      </c>
      <c r="J85" s="32">
        <f t="shared" si="39"/>
        <v>0</v>
      </c>
      <c r="K85" s="78" t="str">
        <f t="shared" si="40"/>
        <v>-</v>
      </c>
      <c r="L85" s="39">
        <v>0</v>
      </c>
      <c r="M85" s="32">
        <f t="shared" si="41"/>
        <v>0</v>
      </c>
      <c r="N85" s="77" t="str">
        <f t="shared" si="42"/>
        <v>-</v>
      </c>
      <c r="O85" s="41">
        <v>0</v>
      </c>
      <c r="P85" s="40">
        <v>0</v>
      </c>
      <c r="Q85" s="32">
        <f t="shared" si="43"/>
        <v>0</v>
      </c>
      <c r="R85" s="78" t="str">
        <f t="shared" si="44"/>
        <v>-</v>
      </c>
      <c r="S85" s="39">
        <v>0</v>
      </c>
      <c r="T85" s="39">
        <v>0</v>
      </c>
      <c r="U85" s="32">
        <f t="shared" si="45"/>
        <v>0</v>
      </c>
      <c r="V85" s="78" t="str">
        <f t="shared" si="46"/>
        <v>-</v>
      </c>
      <c r="W85" s="39">
        <v>0</v>
      </c>
      <c r="X85" s="32">
        <f t="shared" si="47"/>
        <v>0</v>
      </c>
      <c r="Y85" s="77" t="str">
        <f t="shared" si="48"/>
        <v>-</v>
      </c>
      <c r="Z85" s="41">
        <v>0</v>
      </c>
      <c r="AA85" s="40">
        <v>0</v>
      </c>
      <c r="AB85" s="32">
        <f t="shared" si="49"/>
        <v>0</v>
      </c>
      <c r="AC85" s="78" t="str">
        <f t="shared" si="50"/>
        <v>-</v>
      </c>
      <c r="AD85" s="39">
        <v>0</v>
      </c>
      <c r="AE85" s="39">
        <v>0</v>
      </c>
      <c r="AF85" s="32">
        <f t="shared" si="51"/>
        <v>0</v>
      </c>
      <c r="AG85" s="78" t="str">
        <f t="shared" si="52"/>
        <v>-</v>
      </c>
      <c r="AH85" s="39">
        <v>0</v>
      </c>
      <c r="AI85" s="32">
        <f t="shared" si="53"/>
        <v>0</v>
      </c>
      <c r="AJ85" s="77" t="str">
        <f t="shared" si="54"/>
        <v>-</v>
      </c>
    </row>
    <row r="86" spans="1:36" s="6" customFormat="1" hidden="1" outlineLevel="2" collapsed="1" x14ac:dyDescent="0.2">
      <c r="A86" s="30"/>
      <c r="B86" s="29" t="str">
        <f t="shared" si="36"/>
        <v>Итого декрет</v>
      </c>
      <c r="C86" s="52" t="str">
        <f t="shared" si="36"/>
        <v>Total Maternity leave</v>
      </c>
      <c r="D86" s="27">
        <f>SUM(D84:D85)</f>
        <v>0</v>
      </c>
      <c r="E86" s="26">
        <f>SUM(E84:E85)</f>
        <v>0</v>
      </c>
      <c r="F86" s="23">
        <f t="shared" si="37"/>
        <v>0</v>
      </c>
      <c r="G86" s="76" t="str">
        <f t="shared" si="38"/>
        <v>-</v>
      </c>
      <c r="H86" s="24">
        <f>SUM(H84:H85)</f>
        <v>0</v>
      </c>
      <c r="I86" s="24">
        <f>SUM(I84:I85)</f>
        <v>0</v>
      </c>
      <c r="J86" s="23">
        <f t="shared" si="39"/>
        <v>0</v>
      </c>
      <c r="K86" s="76" t="str">
        <f t="shared" si="40"/>
        <v>-</v>
      </c>
      <c r="L86" s="24">
        <f>SUM(L84:L85)</f>
        <v>0</v>
      </c>
      <c r="M86" s="23">
        <f t="shared" si="41"/>
        <v>0</v>
      </c>
      <c r="N86" s="75" t="str">
        <f t="shared" si="42"/>
        <v>-</v>
      </c>
      <c r="O86" s="27">
        <f>SUM(O84:O85)</f>
        <v>0</v>
      </c>
      <c r="P86" s="26">
        <f>SUM(P84:P85)</f>
        <v>0</v>
      </c>
      <c r="Q86" s="23">
        <f t="shared" si="43"/>
        <v>0</v>
      </c>
      <c r="R86" s="76" t="str">
        <f t="shared" si="44"/>
        <v>-</v>
      </c>
      <c r="S86" s="24">
        <f>SUM(S84:S85)</f>
        <v>0</v>
      </c>
      <c r="T86" s="24">
        <f>SUM(T84:T85)</f>
        <v>0</v>
      </c>
      <c r="U86" s="23">
        <f t="shared" si="45"/>
        <v>0</v>
      </c>
      <c r="V86" s="76" t="str">
        <f t="shared" si="46"/>
        <v>-</v>
      </c>
      <c r="W86" s="24">
        <f>SUM(W84:W85)</f>
        <v>0</v>
      </c>
      <c r="X86" s="23">
        <f t="shared" si="47"/>
        <v>0</v>
      </c>
      <c r="Y86" s="75" t="str">
        <f t="shared" si="48"/>
        <v>-</v>
      </c>
      <c r="Z86" s="27">
        <f>SUM(Z84:Z85)</f>
        <v>0</v>
      </c>
      <c r="AA86" s="26">
        <f>SUM(AA84:AA85)</f>
        <v>0</v>
      </c>
      <c r="AB86" s="23">
        <f t="shared" si="49"/>
        <v>0</v>
      </c>
      <c r="AC86" s="76" t="str">
        <f t="shared" si="50"/>
        <v>-</v>
      </c>
      <c r="AD86" s="24">
        <f>SUM(AD84:AD85)</f>
        <v>0</v>
      </c>
      <c r="AE86" s="24">
        <f>SUM(AE84:AE85)</f>
        <v>0</v>
      </c>
      <c r="AF86" s="23">
        <f t="shared" si="51"/>
        <v>0</v>
      </c>
      <c r="AG86" s="76" t="str">
        <f t="shared" si="52"/>
        <v>-</v>
      </c>
      <c r="AH86" s="24">
        <f>SUM(AH84:AH85)</f>
        <v>0</v>
      </c>
      <c r="AI86" s="23">
        <f t="shared" si="53"/>
        <v>0</v>
      </c>
      <c r="AJ86" s="75" t="str">
        <f t="shared" si="54"/>
        <v>-</v>
      </c>
    </row>
    <row r="87" spans="1:36" s="6" customFormat="1" ht="13.5" outlineLevel="1" collapsed="1" thickTop="1" x14ac:dyDescent="0.2">
      <c r="A87" s="30"/>
      <c r="B87" s="48" t="str">
        <f t="shared" si="36"/>
        <v>Фиксированное вознаграждение</v>
      </c>
      <c r="C87" s="55" t="str">
        <f t="shared" si="36"/>
        <v>FIX compensation</v>
      </c>
      <c r="D87" s="46">
        <f>D77+D80+D83+D86</f>
        <v>213643492.62</v>
      </c>
      <c r="E87" s="45">
        <f>E77+E80+E83+E86</f>
        <v>220098199.38836229</v>
      </c>
      <c r="F87" s="23">
        <f t="shared" si="37"/>
        <v>-6454706.7683622837</v>
      </c>
      <c r="G87" s="76">
        <f t="shared" si="38"/>
        <v>-2.9326486024417564E-2</v>
      </c>
      <c r="H87" s="44">
        <f>H77+H80+H83+H86</f>
        <v>1540500200.1299999</v>
      </c>
      <c r="I87" s="44">
        <f>I77+I80+I83+I86</f>
        <v>1321941374.070174</v>
      </c>
      <c r="J87" s="23">
        <f t="shared" si="39"/>
        <v>218558826.0598259</v>
      </c>
      <c r="K87" s="76">
        <f t="shared" si="40"/>
        <v>0.16533170861193125</v>
      </c>
      <c r="L87" s="44">
        <f>L77+L80+L83+L86</f>
        <v>2651589773.8990231</v>
      </c>
      <c r="M87" s="23">
        <f t="shared" si="41"/>
        <v>-1111089573.7690232</v>
      </c>
      <c r="N87" s="75">
        <f t="shared" si="42"/>
        <v>-0.41902770357091268</v>
      </c>
      <c r="O87" s="46">
        <f>O77+O80+O83+O86</f>
        <v>213643492.62</v>
      </c>
      <c r="P87" s="45">
        <f>P77+P80+P83+P86</f>
        <v>220098199.38836229</v>
      </c>
      <c r="Q87" s="23">
        <f t="shared" si="43"/>
        <v>-6454706.7683622837</v>
      </c>
      <c r="R87" s="76">
        <f t="shared" si="44"/>
        <v>-2.9326486024417564E-2</v>
      </c>
      <c r="S87" s="44">
        <f>S77+S80+S83+S86</f>
        <v>1540500200.1299999</v>
      </c>
      <c r="T87" s="44">
        <f>T77+T80+T83+T86</f>
        <v>1321941374.070174</v>
      </c>
      <c r="U87" s="23">
        <f t="shared" si="45"/>
        <v>218558826.0598259</v>
      </c>
      <c r="V87" s="76">
        <f t="shared" si="46"/>
        <v>0.16533170861193125</v>
      </c>
      <c r="W87" s="44">
        <f>W77+W80+W83+W86</f>
        <v>2651589773.8990231</v>
      </c>
      <c r="X87" s="23">
        <f t="shared" si="47"/>
        <v>-1111089573.7690232</v>
      </c>
      <c r="Y87" s="75">
        <f t="shared" si="48"/>
        <v>-0.41902770357091268</v>
      </c>
      <c r="Z87" s="46">
        <f>Z77+Z80+Z83+Z86</f>
        <v>213643492.62</v>
      </c>
      <c r="AA87" s="45">
        <f>AA77+AA80+AA83+AA86</f>
        <v>220098199.38836229</v>
      </c>
      <c r="AB87" s="23">
        <f t="shared" si="49"/>
        <v>-6454706.7683622837</v>
      </c>
      <c r="AC87" s="76">
        <f t="shared" si="50"/>
        <v>-2.9326486024417564E-2</v>
      </c>
      <c r="AD87" s="44">
        <f>AD77+AD80+AD83+AD86</f>
        <v>1540500200.1299999</v>
      </c>
      <c r="AE87" s="44">
        <f>AE77+AE80+AE83+AE86</f>
        <v>1321941374.070174</v>
      </c>
      <c r="AF87" s="23">
        <f t="shared" si="51"/>
        <v>218558826.0598259</v>
      </c>
      <c r="AG87" s="76">
        <f t="shared" si="52"/>
        <v>0.16533170861193125</v>
      </c>
      <c r="AH87" s="44">
        <f>AH77+AH80+AH83+AH86</f>
        <v>2651589773.8990231</v>
      </c>
      <c r="AI87" s="23">
        <f t="shared" si="53"/>
        <v>-1111089573.7690232</v>
      </c>
      <c r="AJ87" s="75">
        <f t="shared" si="54"/>
        <v>-0.41902770357091268</v>
      </c>
    </row>
    <row r="88" spans="1:36" s="6" customFormat="1" hidden="1" outlineLevel="2" x14ac:dyDescent="0.2">
      <c r="B88" s="29" t="str">
        <f t="shared" si="36"/>
        <v>Расходы на страхование (ДМС, НС)</v>
      </c>
      <c r="C88" s="52" t="str">
        <f t="shared" si="36"/>
        <v>Health &amp; welfare</v>
      </c>
      <c r="D88" s="27">
        <v>4988341.6699999981</v>
      </c>
      <c r="E88" s="26">
        <f>I88/6</f>
        <v>5630886.0970102288</v>
      </c>
      <c r="F88" s="23">
        <f t="shared" si="37"/>
        <v>-642544.42701023072</v>
      </c>
      <c r="G88" s="76">
        <f t="shared" si="38"/>
        <v>-0.11411071293937125</v>
      </c>
      <c r="H88" s="24">
        <v>29346208.629999992</v>
      </c>
      <c r="I88" s="24">
        <v>33785316.582061373</v>
      </c>
      <c r="J88" s="23">
        <f t="shared" si="39"/>
        <v>-4439107.9520613812</v>
      </c>
      <c r="K88" s="76">
        <f t="shared" si="40"/>
        <v>-0.13139163403365495</v>
      </c>
      <c r="L88" s="24">
        <v>68305965.514753431</v>
      </c>
      <c r="M88" s="23">
        <f t="shared" si="41"/>
        <v>-38959756.884753436</v>
      </c>
      <c r="N88" s="75">
        <f t="shared" si="42"/>
        <v>-0.57037122001208673</v>
      </c>
      <c r="O88" s="27">
        <v>4988341.6699999981</v>
      </c>
      <c r="P88" s="26">
        <f>T88/6</f>
        <v>5630886.0970102288</v>
      </c>
      <c r="Q88" s="23">
        <f t="shared" si="43"/>
        <v>-642544.42701023072</v>
      </c>
      <c r="R88" s="76">
        <f t="shared" si="44"/>
        <v>-0.11411071293937125</v>
      </c>
      <c r="S88" s="24">
        <v>29346208.629999992</v>
      </c>
      <c r="T88" s="24">
        <v>33785316.582061373</v>
      </c>
      <c r="U88" s="23">
        <f t="shared" si="45"/>
        <v>-4439107.9520613812</v>
      </c>
      <c r="V88" s="76">
        <f t="shared" si="46"/>
        <v>-0.13139163403365495</v>
      </c>
      <c r="W88" s="24">
        <v>68305965.514753431</v>
      </c>
      <c r="X88" s="23">
        <f t="shared" si="47"/>
        <v>-38959756.884753436</v>
      </c>
      <c r="Y88" s="75">
        <f t="shared" si="48"/>
        <v>-0.57037122001208673</v>
      </c>
      <c r="Z88" s="27">
        <v>4988341.6699999981</v>
      </c>
      <c r="AA88" s="26">
        <f>AE88/6</f>
        <v>5630886.0970102288</v>
      </c>
      <c r="AB88" s="23">
        <f t="shared" si="49"/>
        <v>-642544.42701023072</v>
      </c>
      <c r="AC88" s="76">
        <f t="shared" si="50"/>
        <v>-0.11411071293937125</v>
      </c>
      <c r="AD88" s="24">
        <v>29346208.629999992</v>
      </c>
      <c r="AE88" s="24">
        <v>33785316.582061373</v>
      </c>
      <c r="AF88" s="23">
        <f t="shared" si="51"/>
        <v>-4439107.9520613812</v>
      </c>
      <c r="AG88" s="76">
        <f t="shared" si="52"/>
        <v>-0.13139163403365495</v>
      </c>
      <c r="AH88" s="24">
        <v>68305965.514753431</v>
      </c>
      <c r="AI88" s="23">
        <f t="shared" si="53"/>
        <v>-38959756.884753436</v>
      </c>
      <c r="AJ88" s="75">
        <f t="shared" si="54"/>
        <v>-0.57037122001208673</v>
      </c>
    </row>
    <row r="89" spans="1:36" s="6" customFormat="1" hidden="1" outlineLevel="2" x14ac:dyDescent="0.2">
      <c r="B89" s="29" t="str">
        <f t="shared" si="36"/>
        <v>Прочие бенефиты</v>
      </c>
      <c r="C89" s="52" t="str">
        <f t="shared" si="36"/>
        <v>Other benefits - Non-state mandated</v>
      </c>
      <c r="D89" s="27">
        <v>614311.89000000013</v>
      </c>
      <c r="E89" s="26">
        <v>0</v>
      </c>
      <c r="F89" s="23">
        <f t="shared" si="37"/>
        <v>614311.89000000013</v>
      </c>
      <c r="G89" s="76" t="str">
        <f t="shared" si="38"/>
        <v>-</v>
      </c>
      <c r="H89" s="24">
        <v>1914075.8800000001</v>
      </c>
      <c r="I89" s="24">
        <v>996972.98</v>
      </c>
      <c r="J89" s="23">
        <f t="shared" si="39"/>
        <v>917102.90000000014</v>
      </c>
      <c r="K89" s="76">
        <f t="shared" si="40"/>
        <v>0.91988741761085646</v>
      </c>
      <c r="L89" s="24">
        <v>996972.98</v>
      </c>
      <c r="M89" s="23">
        <f t="shared" si="41"/>
        <v>917102.90000000014</v>
      </c>
      <c r="N89" s="75">
        <f t="shared" si="42"/>
        <v>0.91988741761085657</v>
      </c>
      <c r="O89" s="27">
        <v>614311.89000000013</v>
      </c>
      <c r="P89" s="26">
        <v>0</v>
      </c>
      <c r="Q89" s="23">
        <f t="shared" si="43"/>
        <v>614311.89000000013</v>
      </c>
      <c r="R89" s="76" t="str">
        <f t="shared" si="44"/>
        <v>-</v>
      </c>
      <c r="S89" s="24">
        <v>1914075.8800000001</v>
      </c>
      <c r="T89" s="24">
        <v>996972.98</v>
      </c>
      <c r="U89" s="23">
        <f t="shared" si="45"/>
        <v>917102.90000000014</v>
      </c>
      <c r="V89" s="76">
        <f t="shared" si="46"/>
        <v>0.91988741761085646</v>
      </c>
      <c r="W89" s="24">
        <v>996972.98</v>
      </c>
      <c r="X89" s="23">
        <f t="shared" si="47"/>
        <v>917102.90000000014</v>
      </c>
      <c r="Y89" s="75">
        <f t="shared" si="48"/>
        <v>0.91988741761085657</v>
      </c>
      <c r="Z89" s="27">
        <v>614311.89000000013</v>
      </c>
      <c r="AA89" s="26">
        <v>0</v>
      </c>
      <c r="AB89" s="23">
        <f t="shared" si="49"/>
        <v>614311.89000000013</v>
      </c>
      <c r="AC89" s="76" t="str">
        <f t="shared" si="50"/>
        <v>-</v>
      </c>
      <c r="AD89" s="24">
        <v>1914075.8800000001</v>
      </c>
      <c r="AE89" s="24">
        <v>996972.98</v>
      </c>
      <c r="AF89" s="23">
        <f t="shared" si="51"/>
        <v>917102.90000000014</v>
      </c>
      <c r="AG89" s="76">
        <f t="shared" si="52"/>
        <v>0.91988741761085646</v>
      </c>
      <c r="AH89" s="24">
        <v>996972.98</v>
      </c>
      <c r="AI89" s="23">
        <f t="shared" si="53"/>
        <v>917102.90000000014</v>
      </c>
      <c r="AJ89" s="75">
        <f t="shared" si="54"/>
        <v>0.91988741761085657</v>
      </c>
    </row>
    <row r="90" spans="1:36" s="6" customFormat="1" outlineLevel="1" collapsed="1" x14ac:dyDescent="0.2">
      <c r="A90" s="30"/>
      <c r="B90" s="48" t="str">
        <f t="shared" si="36"/>
        <v>Бенефиты</v>
      </c>
      <c r="C90" s="55" t="str">
        <f t="shared" si="36"/>
        <v>Benefits</v>
      </c>
      <c r="D90" s="46">
        <f>SUM(D88:D89)</f>
        <v>5602653.5599999987</v>
      </c>
      <c r="E90" s="45">
        <f>SUM(E88:E89)</f>
        <v>5630886.0970102288</v>
      </c>
      <c r="F90" s="23">
        <f t="shared" si="37"/>
        <v>-28232.537010230124</v>
      </c>
      <c r="G90" s="76">
        <f t="shared" si="38"/>
        <v>-5.0138710895289984E-3</v>
      </c>
      <c r="H90" s="44">
        <f>SUM(H88:H89)</f>
        <v>31260284.50999999</v>
      </c>
      <c r="I90" s="44">
        <f>SUM(I88:I89)</f>
        <v>34782289.562061369</v>
      </c>
      <c r="J90" s="23">
        <f t="shared" si="39"/>
        <v>-3522005.052061379</v>
      </c>
      <c r="K90" s="76">
        <f t="shared" si="40"/>
        <v>-0.1012585743033716</v>
      </c>
      <c r="L90" s="44">
        <f>SUM(L88:L89)</f>
        <v>69302938.494753435</v>
      </c>
      <c r="M90" s="23">
        <f t="shared" si="41"/>
        <v>-38042653.984753445</v>
      </c>
      <c r="N90" s="75">
        <f t="shared" si="42"/>
        <v>-0.54893276982235695</v>
      </c>
      <c r="O90" s="46">
        <f>SUM(O88:O89)</f>
        <v>5602653.5599999987</v>
      </c>
      <c r="P90" s="45">
        <f>SUM(P88:P89)</f>
        <v>5630886.0970102288</v>
      </c>
      <c r="Q90" s="23">
        <f t="shared" si="43"/>
        <v>-28232.537010230124</v>
      </c>
      <c r="R90" s="76">
        <f t="shared" si="44"/>
        <v>-5.0138710895289984E-3</v>
      </c>
      <c r="S90" s="44">
        <f>SUM(S88:S89)</f>
        <v>31260284.50999999</v>
      </c>
      <c r="T90" s="44">
        <f>SUM(T88:T89)</f>
        <v>34782289.562061369</v>
      </c>
      <c r="U90" s="23">
        <f t="shared" si="45"/>
        <v>-3522005.052061379</v>
      </c>
      <c r="V90" s="76">
        <f t="shared" si="46"/>
        <v>-0.1012585743033716</v>
      </c>
      <c r="W90" s="44">
        <f>SUM(W88:W89)</f>
        <v>69302938.494753435</v>
      </c>
      <c r="X90" s="23">
        <f t="shared" si="47"/>
        <v>-38042653.984753445</v>
      </c>
      <c r="Y90" s="75">
        <f t="shared" si="48"/>
        <v>-0.54893276982235695</v>
      </c>
      <c r="Z90" s="46">
        <f>SUM(Z88:Z89)</f>
        <v>5602653.5599999987</v>
      </c>
      <c r="AA90" s="45">
        <f>SUM(AA88:AA89)</f>
        <v>5630886.0970102288</v>
      </c>
      <c r="AB90" s="23">
        <f t="shared" si="49"/>
        <v>-28232.537010230124</v>
      </c>
      <c r="AC90" s="76">
        <f t="shared" si="50"/>
        <v>-5.0138710895289984E-3</v>
      </c>
      <c r="AD90" s="44">
        <f>SUM(AD88:AD89)</f>
        <v>31260284.50999999</v>
      </c>
      <c r="AE90" s="44">
        <f>SUM(AE88:AE89)</f>
        <v>34782289.562061369</v>
      </c>
      <c r="AF90" s="23">
        <f t="shared" si="51"/>
        <v>-3522005.052061379</v>
      </c>
      <c r="AG90" s="76">
        <f t="shared" si="52"/>
        <v>-0.1012585743033716</v>
      </c>
      <c r="AH90" s="44">
        <f>SUM(AH88:AH89)</f>
        <v>69302938.494753435</v>
      </c>
      <c r="AI90" s="23">
        <f t="shared" si="53"/>
        <v>-38042653.984753445</v>
      </c>
      <c r="AJ90" s="75">
        <f t="shared" si="54"/>
        <v>-0.54893276982235695</v>
      </c>
    </row>
    <row r="91" spans="1:36" hidden="1" outlineLevel="3" x14ac:dyDescent="0.2">
      <c r="A91" s="54"/>
      <c r="B91" s="38" t="str">
        <f t="shared" si="36"/>
        <v>Прочие выплаты</v>
      </c>
      <c r="C91" s="49" t="str">
        <f t="shared" si="36"/>
        <v>Remaining Other Compensation</v>
      </c>
      <c r="D91" s="41">
        <v>-120000</v>
      </c>
      <c r="E91" s="40">
        <v>0</v>
      </c>
      <c r="F91" s="32">
        <f t="shared" si="37"/>
        <v>-120000</v>
      </c>
      <c r="G91" s="78" t="str">
        <f t="shared" si="38"/>
        <v>-</v>
      </c>
      <c r="H91" s="39">
        <v>240000</v>
      </c>
      <c r="I91" s="39">
        <v>240000</v>
      </c>
      <c r="J91" s="32">
        <f t="shared" si="39"/>
        <v>0</v>
      </c>
      <c r="K91" s="78">
        <f t="shared" si="40"/>
        <v>0</v>
      </c>
      <c r="L91" s="39">
        <v>240000</v>
      </c>
      <c r="M91" s="32">
        <f t="shared" si="41"/>
        <v>0</v>
      </c>
      <c r="N91" s="77">
        <f t="shared" si="42"/>
        <v>0</v>
      </c>
      <c r="O91" s="41">
        <v>-120000</v>
      </c>
      <c r="P91" s="40">
        <v>0</v>
      </c>
      <c r="Q91" s="32">
        <f t="shared" si="43"/>
        <v>-120000</v>
      </c>
      <c r="R91" s="78" t="str">
        <f t="shared" si="44"/>
        <v>-</v>
      </c>
      <c r="S91" s="39">
        <v>240000</v>
      </c>
      <c r="T91" s="39">
        <v>240000</v>
      </c>
      <c r="U91" s="32">
        <f t="shared" si="45"/>
        <v>0</v>
      </c>
      <c r="V91" s="78">
        <f t="shared" si="46"/>
        <v>0</v>
      </c>
      <c r="W91" s="39">
        <v>240000</v>
      </c>
      <c r="X91" s="32">
        <f t="shared" si="47"/>
        <v>0</v>
      </c>
      <c r="Y91" s="77">
        <f t="shared" si="48"/>
        <v>0</v>
      </c>
      <c r="Z91" s="41">
        <v>-120000</v>
      </c>
      <c r="AA91" s="40">
        <v>0</v>
      </c>
      <c r="AB91" s="32">
        <f t="shared" si="49"/>
        <v>-120000</v>
      </c>
      <c r="AC91" s="78" t="str">
        <f t="shared" si="50"/>
        <v>-</v>
      </c>
      <c r="AD91" s="39">
        <v>240000</v>
      </c>
      <c r="AE91" s="39">
        <v>240000</v>
      </c>
      <c r="AF91" s="32">
        <f t="shared" si="51"/>
        <v>0</v>
      </c>
      <c r="AG91" s="78">
        <f t="shared" si="52"/>
        <v>0</v>
      </c>
      <c r="AH91" s="39">
        <v>240000</v>
      </c>
      <c r="AI91" s="32">
        <f t="shared" si="53"/>
        <v>0</v>
      </c>
      <c r="AJ91" s="77">
        <f t="shared" si="54"/>
        <v>0</v>
      </c>
    </row>
    <row r="92" spans="1:36" hidden="1" outlineLevel="3" x14ac:dyDescent="0.2">
      <c r="A92" s="54"/>
      <c r="B92" s="38" t="str">
        <f t="shared" si="36"/>
        <v>Страховые взносы прочие выплаты</v>
      </c>
      <c r="C92" s="49" t="str">
        <f t="shared" si="36"/>
        <v>Social Security on Remaining Other Compensation</v>
      </c>
      <c r="D92" s="41">
        <v>0</v>
      </c>
      <c r="E92" s="40">
        <v>0</v>
      </c>
      <c r="F92" s="32">
        <f t="shared" si="37"/>
        <v>0</v>
      </c>
      <c r="G92" s="78" t="str">
        <f t="shared" si="38"/>
        <v>-</v>
      </c>
      <c r="H92" s="39">
        <v>54600</v>
      </c>
      <c r="I92" s="39">
        <v>36240</v>
      </c>
      <c r="J92" s="32">
        <f t="shared" si="39"/>
        <v>18360</v>
      </c>
      <c r="K92" s="78">
        <f t="shared" si="40"/>
        <v>0.50662251655629142</v>
      </c>
      <c r="L92" s="39">
        <v>36240</v>
      </c>
      <c r="M92" s="32">
        <f t="shared" si="41"/>
        <v>18360</v>
      </c>
      <c r="N92" s="77">
        <f t="shared" si="42"/>
        <v>0.50662251655629142</v>
      </c>
      <c r="O92" s="41">
        <v>0</v>
      </c>
      <c r="P92" s="40">
        <v>0</v>
      </c>
      <c r="Q92" s="32">
        <f t="shared" si="43"/>
        <v>0</v>
      </c>
      <c r="R92" s="78" t="str">
        <f t="shared" si="44"/>
        <v>-</v>
      </c>
      <c r="S92" s="39">
        <v>54600</v>
      </c>
      <c r="T92" s="39">
        <v>36240</v>
      </c>
      <c r="U92" s="32">
        <f t="shared" si="45"/>
        <v>18360</v>
      </c>
      <c r="V92" s="78">
        <f t="shared" si="46"/>
        <v>0.50662251655629142</v>
      </c>
      <c r="W92" s="39">
        <v>36240</v>
      </c>
      <c r="X92" s="32">
        <f t="shared" si="47"/>
        <v>18360</v>
      </c>
      <c r="Y92" s="77">
        <f t="shared" si="48"/>
        <v>0.50662251655629142</v>
      </c>
      <c r="Z92" s="41">
        <v>0</v>
      </c>
      <c r="AA92" s="40">
        <v>0</v>
      </c>
      <c r="AB92" s="32">
        <f t="shared" si="49"/>
        <v>0</v>
      </c>
      <c r="AC92" s="78" t="str">
        <f t="shared" si="50"/>
        <v>-</v>
      </c>
      <c r="AD92" s="39">
        <v>54600</v>
      </c>
      <c r="AE92" s="39">
        <v>36240</v>
      </c>
      <c r="AF92" s="32">
        <f t="shared" si="51"/>
        <v>18360</v>
      </c>
      <c r="AG92" s="78">
        <f t="shared" si="52"/>
        <v>0.50662251655629142</v>
      </c>
      <c r="AH92" s="39">
        <v>36240</v>
      </c>
      <c r="AI92" s="32">
        <f t="shared" si="53"/>
        <v>18360</v>
      </c>
      <c r="AJ92" s="77">
        <f t="shared" si="54"/>
        <v>0.50662251655629142</v>
      </c>
    </row>
    <row r="93" spans="1:36" s="6" customFormat="1" hidden="1" outlineLevel="2" collapsed="1" x14ac:dyDescent="0.2">
      <c r="A93" s="30"/>
      <c r="B93" s="29" t="str">
        <f t="shared" si="36"/>
        <v>Итого прочие выплаты</v>
      </c>
      <c r="C93" s="52" t="str">
        <f t="shared" si="36"/>
        <v>Total Remaining Other Compensation</v>
      </c>
      <c r="D93" s="27">
        <f>SUM(D91:D92)</f>
        <v>-120000</v>
      </c>
      <c r="E93" s="26">
        <f>SUM(E91:E92)</f>
        <v>0</v>
      </c>
      <c r="F93" s="23">
        <f t="shared" si="37"/>
        <v>-120000</v>
      </c>
      <c r="G93" s="76" t="str">
        <f t="shared" si="38"/>
        <v>-</v>
      </c>
      <c r="H93" s="24">
        <f>SUM(H91:H92)</f>
        <v>294600</v>
      </c>
      <c r="I93" s="24">
        <f>SUM(I91:I92)</f>
        <v>276240</v>
      </c>
      <c r="J93" s="23">
        <f t="shared" si="39"/>
        <v>18360</v>
      </c>
      <c r="K93" s="76">
        <f t="shared" si="40"/>
        <v>6.6463944396177199E-2</v>
      </c>
      <c r="L93" s="24">
        <f>SUM(L91:L92)</f>
        <v>276240</v>
      </c>
      <c r="M93" s="23">
        <f t="shared" si="41"/>
        <v>18360</v>
      </c>
      <c r="N93" s="75">
        <f t="shared" si="42"/>
        <v>6.6463944396177241E-2</v>
      </c>
      <c r="O93" s="27">
        <f>SUM(O91:O92)</f>
        <v>-120000</v>
      </c>
      <c r="P93" s="26">
        <f>SUM(P91:P92)</f>
        <v>0</v>
      </c>
      <c r="Q93" s="23">
        <f t="shared" si="43"/>
        <v>-120000</v>
      </c>
      <c r="R93" s="76" t="str">
        <f t="shared" si="44"/>
        <v>-</v>
      </c>
      <c r="S93" s="24">
        <f>SUM(S91:S92)</f>
        <v>294600</v>
      </c>
      <c r="T93" s="24">
        <f>SUM(T91:T92)</f>
        <v>276240</v>
      </c>
      <c r="U93" s="23">
        <f t="shared" si="45"/>
        <v>18360</v>
      </c>
      <c r="V93" s="76">
        <f t="shared" si="46"/>
        <v>6.6463944396177199E-2</v>
      </c>
      <c r="W93" s="24">
        <f>SUM(W91:W92)</f>
        <v>276240</v>
      </c>
      <c r="X93" s="23">
        <f t="shared" si="47"/>
        <v>18360</v>
      </c>
      <c r="Y93" s="75">
        <f t="shared" si="48"/>
        <v>6.6463944396177241E-2</v>
      </c>
      <c r="Z93" s="27">
        <f>SUM(Z91:Z92)</f>
        <v>-120000</v>
      </c>
      <c r="AA93" s="26">
        <f>SUM(AA91:AA92)</f>
        <v>0</v>
      </c>
      <c r="AB93" s="23">
        <f t="shared" si="49"/>
        <v>-120000</v>
      </c>
      <c r="AC93" s="76" t="str">
        <f t="shared" si="50"/>
        <v>-</v>
      </c>
      <c r="AD93" s="24">
        <f>SUM(AD91:AD92)</f>
        <v>294600</v>
      </c>
      <c r="AE93" s="24">
        <f>SUM(AE91:AE92)</f>
        <v>276240</v>
      </c>
      <c r="AF93" s="23">
        <f t="shared" si="51"/>
        <v>18360</v>
      </c>
      <c r="AG93" s="76">
        <f t="shared" si="52"/>
        <v>6.6463944396177199E-2</v>
      </c>
      <c r="AH93" s="24">
        <f>SUM(AH91:AH92)</f>
        <v>276240</v>
      </c>
      <c r="AI93" s="23">
        <f t="shared" si="53"/>
        <v>18360</v>
      </c>
      <c r="AJ93" s="75">
        <f t="shared" si="54"/>
        <v>6.6463944396177241E-2</v>
      </c>
    </row>
    <row r="94" spans="1:36" ht="12.75" hidden="1" customHeight="1" outlineLevel="3" x14ac:dyDescent="0.2">
      <c r="A94" s="54"/>
      <c r="B94" s="38" t="str">
        <f t="shared" si="36"/>
        <v>Премия разовая</v>
      </c>
      <c r="C94" s="49" t="str">
        <f t="shared" si="36"/>
        <v>Sign-ons - cash</v>
      </c>
      <c r="D94" s="41">
        <v>19000000</v>
      </c>
      <c r="E94" s="40">
        <v>0</v>
      </c>
      <c r="F94" s="32">
        <f t="shared" si="37"/>
        <v>19000000</v>
      </c>
      <c r="G94" s="78" t="str">
        <f t="shared" si="38"/>
        <v>-</v>
      </c>
      <c r="H94" s="39">
        <v>19000000</v>
      </c>
      <c r="I94" s="39">
        <v>0</v>
      </c>
      <c r="J94" s="32">
        <f t="shared" si="39"/>
        <v>19000000</v>
      </c>
      <c r="K94" s="78" t="str">
        <f t="shared" si="40"/>
        <v>-</v>
      </c>
      <c r="L94" s="39">
        <v>0</v>
      </c>
      <c r="M94" s="32">
        <f t="shared" si="41"/>
        <v>19000000</v>
      </c>
      <c r="N94" s="77" t="str">
        <f t="shared" si="42"/>
        <v>-</v>
      </c>
      <c r="O94" s="41">
        <v>19000000</v>
      </c>
      <c r="P94" s="40">
        <v>0</v>
      </c>
      <c r="Q94" s="32">
        <f t="shared" si="43"/>
        <v>19000000</v>
      </c>
      <c r="R94" s="78" t="str">
        <f t="shared" si="44"/>
        <v>-</v>
      </c>
      <c r="S94" s="39">
        <v>19000000</v>
      </c>
      <c r="T94" s="39">
        <v>0</v>
      </c>
      <c r="U94" s="32">
        <f t="shared" si="45"/>
        <v>19000000</v>
      </c>
      <c r="V94" s="78" t="str">
        <f t="shared" si="46"/>
        <v>-</v>
      </c>
      <c r="W94" s="39">
        <v>0</v>
      </c>
      <c r="X94" s="32">
        <f t="shared" si="47"/>
        <v>19000000</v>
      </c>
      <c r="Y94" s="77" t="str">
        <f t="shared" si="48"/>
        <v>-</v>
      </c>
      <c r="Z94" s="41">
        <v>19000000</v>
      </c>
      <c r="AA94" s="40">
        <v>0</v>
      </c>
      <c r="AB94" s="32">
        <f t="shared" si="49"/>
        <v>19000000</v>
      </c>
      <c r="AC94" s="78" t="str">
        <f t="shared" si="50"/>
        <v>-</v>
      </c>
      <c r="AD94" s="39">
        <v>19000000</v>
      </c>
      <c r="AE94" s="39">
        <v>0</v>
      </c>
      <c r="AF94" s="32">
        <f t="shared" si="51"/>
        <v>19000000</v>
      </c>
      <c r="AG94" s="78" t="str">
        <f t="shared" si="52"/>
        <v>-</v>
      </c>
      <c r="AH94" s="39">
        <v>0</v>
      </c>
      <c r="AI94" s="32">
        <f t="shared" si="53"/>
        <v>19000000</v>
      </c>
      <c r="AJ94" s="77" t="str">
        <f t="shared" si="54"/>
        <v>-</v>
      </c>
    </row>
    <row r="95" spans="1:36" ht="12.75" hidden="1" customHeight="1" outlineLevel="3" x14ac:dyDescent="0.2">
      <c r="A95" s="54"/>
      <c r="B95" s="38" t="str">
        <f t="shared" ref="B95:C114" si="55">B32</f>
        <v>Страховые взносы премия разовая</v>
      </c>
      <c r="C95" s="49" t="str">
        <f t="shared" si="55"/>
        <v>Social Security on Sign-ons - cash</v>
      </c>
      <c r="D95" s="41">
        <v>3328677</v>
      </c>
      <c r="E95" s="40">
        <v>0</v>
      </c>
      <c r="F95" s="32">
        <f t="shared" si="37"/>
        <v>3328677</v>
      </c>
      <c r="G95" s="78" t="str">
        <f t="shared" si="38"/>
        <v>-</v>
      </c>
      <c r="H95" s="39">
        <v>3328677</v>
      </c>
      <c r="I95" s="39">
        <v>0</v>
      </c>
      <c r="J95" s="32">
        <f t="shared" si="39"/>
        <v>3328677</v>
      </c>
      <c r="K95" s="78" t="str">
        <f t="shared" si="40"/>
        <v>-</v>
      </c>
      <c r="L95" s="39">
        <v>0</v>
      </c>
      <c r="M95" s="32">
        <f t="shared" si="41"/>
        <v>3328677</v>
      </c>
      <c r="N95" s="77" t="str">
        <f t="shared" si="42"/>
        <v>-</v>
      </c>
      <c r="O95" s="41">
        <v>3328677</v>
      </c>
      <c r="P95" s="40">
        <v>0</v>
      </c>
      <c r="Q95" s="32">
        <f t="shared" si="43"/>
        <v>3328677</v>
      </c>
      <c r="R95" s="78" t="str">
        <f t="shared" si="44"/>
        <v>-</v>
      </c>
      <c r="S95" s="39">
        <v>3328677</v>
      </c>
      <c r="T95" s="39">
        <v>0</v>
      </c>
      <c r="U95" s="32">
        <f t="shared" si="45"/>
        <v>3328677</v>
      </c>
      <c r="V95" s="78" t="str">
        <f t="shared" si="46"/>
        <v>-</v>
      </c>
      <c r="W95" s="39">
        <v>0</v>
      </c>
      <c r="X95" s="32">
        <f t="shared" si="47"/>
        <v>3328677</v>
      </c>
      <c r="Y95" s="77" t="str">
        <f t="shared" si="48"/>
        <v>-</v>
      </c>
      <c r="Z95" s="41">
        <v>3328677</v>
      </c>
      <c r="AA95" s="40">
        <v>0</v>
      </c>
      <c r="AB95" s="32">
        <f t="shared" si="49"/>
        <v>3328677</v>
      </c>
      <c r="AC95" s="78" t="str">
        <f t="shared" si="50"/>
        <v>-</v>
      </c>
      <c r="AD95" s="39">
        <v>3328677</v>
      </c>
      <c r="AE95" s="39">
        <v>0</v>
      </c>
      <c r="AF95" s="32">
        <f t="shared" si="51"/>
        <v>3328677</v>
      </c>
      <c r="AG95" s="78" t="str">
        <f t="shared" si="52"/>
        <v>-</v>
      </c>
      <c r="AH95" s="39">
        <v>0</v>
      </c>
      <c r="AI95" s="32">
        <f t="shared" si="53"/>
        <v>3328677</v>
      </c>
      <c r="AJ95" s="77" t="str">
        <f t="shared" si="54"/>
        <v>-</v>
      </c>
    </row>
    <row r="96" spans="1:36" s="6" customFormat="1" hidden="1" outlineLevel="2" collapsed="1" x14ac:dyDescent="0.2">
      <c r="A96" s="30"/>
      <c r="B96" s="29" t="str">
        <f t="shared" si="55"/>
        <v>Итого премия разовая</v>
      </c>
      <c r="C96" s="52" t="str">
        <f t="shared" si="55"/>
        <v>Total Sign-ons - cash</v>
      </c>
      <c r="D96" s="27">
        <f>SUM(D94:D95)</f>
        <v>22328677</v>
      </c>
      <c r="E96" s="26">
        <f>SUM(E94:E95)</f>
        <v>0</v>
      </c>
      <c r="F96" s="23">
        <f t="shared" si="37"/>
        <v>22328677</v>
      </c>
      <c r="G96" s="76" t="str">
        <f t="shared" si="38"/>
        <v>-</v>
      </c>
      <c r="H96" s="24">
        <f>SUM(H94:H95)</f>
        <v>22328677</v>
      </c>
      <c r="I96" s="24">
        <f>SUM(I94:I95)</f>
        <v>0</v>
      </c>
      <c r="J96" s="23">
        <f t="shared" si="39"/>
        <v>22328677</v>
      </c>
      <c r="K96" s="76" t="str">
        <f t="shared" si="40"/>
        <v>-</v>
      </c>
      <c r="L96" s="24">
        <f>SUM(L94:L95)</f>
        <v>0</v>
      </c>
      <c r="M96" s="23">
        <f t="shared" si="41"/>
        <v>22328677</v>
      </c>
      <c r="N96" s="75" t="str">
        <f t="shared" si="42"/>
        <v>-</v>
      </c>
      <c r="O96" s="27">
        <f>SUM(O94:O95)</f>
        <v>22328677</v>
      </c>
      <c r="P96" s="26">
        <f>SUM(P94:P95)</f>
        <v>0</v>
      </c>
      <c r="Q96" s="23">
        <f t="shared" si="43"/>
        <v>22328677</v>
      </c>
      <c r="R96" s="76" t="str">
        <f t="shared" si="44"/>
        <v>-</v>
      </c>
      <c r="S96" s="24">
        <f>SUM(S94:S95)</f>
        <v>22328677</v>
      </c>
      <c r="T96" s="24">
        <f>SUM(T94:T95)</f>
        <v>0</v>
      </c>
      <c r="U96" s="23">
        <f t="shared" si="45"/>
        <v>22328677</v>
      </c>
      <c r="V96" s="76" t="str">
        <f t="shared" si="46"/>
        <v>-</v>
      </c>
      <c r="W96" s="24">
        <f>SUM(W94:W95)</f>
        <v>0</v>
      </c>
      <c r="X96" s="23">
        <f t="shared" si="47"/>
        <v>22328677</v>
      </c>
      <c r="Y96" s="75" t="str">
        <f t="shared" si="48"/>
        <v>-</v>
      </c>
      <c r="Z96" s="27">
        <f>SUM(Z94:Z95)</f>
        <v>22328677</v>
      </c>
      <c r="AA96" s="26">
        <f>SUM(AA94:AA95)</f>
        <v>0</v>
      </c>
      <c r="AB96" s="23">
        <f t="shared" si="49"/>
        <v>22328677</v>
      </c>
      <c r="AC96" s="76" t="str">
        <f t="shared" si="50"/>
        <v>-</v>
      </c>
      <c r="AD96" s="24">
        <f>SUM(AD94:AD95)</f>
        <v>22328677</v>
      </c>
      <c r="AE96" s="24">
        <f>SUM(AE94:AE95)</f>
        <v>0</v>
      </c>
      <c r="AF96" s="23">
        <f t="shared" si="51"/>
        <v>22328677</v>
      </c>
      <c r="AG96" s="76" t="str">
        <f t="shared" si="52"/>
        <v>-</v>
      </c>
      <c r="AH96" s="24">
        <f>SUM(AH94:AH95)</f>
        <v>0</v>
      </c>
      <c r="AI96" s="23">
        <f t="shared" si="53"/>
        <v>22328677</v>
      </c>
      <c r="AJ96" s="75" t="str">
        <f t="shared" si="54"/>
        <v>-</v>
      </c>
    </row>
    <row r="97" spans="1:36" ht="12.75" hidden="1" customHeight="1" outlineLevel="3" x14ac:dyDescent="0.2">
      <c r="A97" s="54"/>
      <c r="B97" s="38" t="str">
        <f t="shared" si="55"/>
        <v>Выплаты при увольнении</v>
      </c>
      <c r="C97" s="49" t="str">
        <f t="shared" si="55"/>
        <v>Direct severance payments - cash</v>
      </c>
      <c r="D97" s="41">
        <v>0</v>
      </c>
      <c r="E97" s="40">
        <v>0</v>
      </c>
      <c r="F97" s="32">
        <f t="shared" si="37"/>
        <v>0</v>
      </c>
      <c r="G97" s="78" t="str">
        <f t="shared" si="38"/>
        <v>-</v>
      </c>
      <c r="H97" s="39">
        <v>4443000</v>
      </c>
      <c r="I97" s="39">
        <v>0</v>
      </c>
      <c r="J97" s="32">
        <f t="shared" si="39"/>
        <v>4443000</v>
      </c>
      <c r="K97" s="78" t="str">
        <f t="shared" si="40"/>
        <v>-</v>
      </c>
      <c r="L97" s="39">
        <v>1320000</v>
      </c>
      <c r="M97" s="32">
        <f t="shared" si="41"/>
        <v>3123000</v>
      </c>
      <c r="N97" s="77">
        <f t="shared" si="42"/>
        <v>2.3659090909090907</v>
      </c>
      <c r="O97" s="41">
        <v>0</v>
      </c>
      <c r="P97" s="40">
        <v>0</v>
      </c>
      <c r="Q97" s="32">
        <f t="shared" si="43"/>
        <v>0</v>
      </c>
      <c r="R97" s="78" t="str">
        <f t="shared" si="44"/>
        <v>-</v>
      </c>
      <c r="S97" s="39">
        <v>4443000</v>
      </c>
      <c r="T97" s="39">
        <v>0</v>
      </c>
      <c r="U97" s="32">
        <f t="shared" si="45"/>
        <v>4443000</v>
      </c>
      <c r="V97" s="78" t="str">
        <f t="shared" si="46"/>
        <v>-</v>
      </c>
      <c r="W97" s="39">
        <v>1320000</v>
      </c>
      <c r="X97" s="32">
        <f t="shared" si="47"/>
        <v>3123000</v>
      </c>
      <c r="Y97" s="77">
        <f t="shared" si="48"/>
        <v>2.3659090909090907</v>
      </c>
      <c r="Z97" s="41">
        <v>0</v>
      </c>
      <c r="AA97" s="40">
        <v>0</v>
      </c>
      <c r="AB97" s="32">
        <f t="shared" si="49"/>
        <v>0</v>
      </c>
      <c r="AC97" s="78" t="str">
        <f t="shared" si="50"/>
        <v>-</v>
      </c>
      <c r="AD97" s="39">
        <v>4443000</v>
      </c>
      <c r="AE97" s="39">
        <v>0</v>
      </c>
      <c r="AF97" s="32">
        <f t="shared" si="51"/>
        <v>4443000</v>
      </c>
      <c r="AG97" s="78" t="str">
        <f t="shared" si="52"/>
        <v>-</v>
      </c>
      <c r="AH97" s="39">
        <v>1320000</v>
      </c>
      <c r="AI97" s="32">
        <f t="shared" si="53"/>
        <v>3123000</v>
      </c>
      <c r="AJ97" s="77">
        <f t="shared" si="54"/>
        <v>2.3659090909090907</v>
      </c>
    </row>
    <row r="98" spans="1:36" ht="12.75" hidden="1" customHeight="1" outlineLevel="3" x14ac:dyDescent="0.2">
      <c r="A98" s="54"/>
      <c r="B98" s="38" t="str">
        <f t="shared" si="55"/>
        <v>Страховые взносы выплаты при увольнении</v>
      </c>
      <c r="C98" s="49" t="str">
        <f t="shared" si="55"/>
        <v>Social Security on Severance</v>
      </c>
      <c r="D98" s="41">
        <v>0</v>
      </c>
      <c r="E98" s="40">
        <v>0</v>
      </c>
      <c r="F98" s="32">
        <f t="shared" si="37"/>
        <v>0</v>
      </c>
      <c r="G98" s="78" t="str">
        <f t="shared" si="38"/>
        <v>-</v>
      </c>
      <c r="H98" s="39">
        <v>32028.32</v>
      </c>
      <c r="I98" s="39">
        <v>0</v>
      </c>
      <c r="J98" s="32">
        <f t="shared" si="39"/>
        <v>32028.32</v>
      </c>
      <c r="K98" s="78" t="str">
        <f t="shared" si="40"/>
        <v>-</v>
      </c>
      <c r="L98" s="39">
        <v>32028.32</v>
      </c>
      <c r="M98" s="32">
        <f t="shared" si="41"/>
        <v>0</v>
      </c>
      <c r="N98" s="77">
        <f t="shared" si="42"/>
        <v>0</v>
      </c>
      <c r="O98" s="41">
        <v>0</v>
      </c>
      <c r="P98" s="40">
        <v>0</v>
      </c>
      <c r="Q98" s="32">
        <f t="shared" si="43"/>
        <v>0</v>
      </c>
      <c r="R98" s="78" t="str">
        <f t="shared" si="44"/>
        <v>-</v>
      </c>
      <c r="S98" s="39">
        <v>32028.32</v>
      </c>
      <c r="T98" s="39">
        <v>0</v>
      </c>
      <c r="U98" s="32">
        <f t="shared" si="45"/>
        <v>32028.32</v>
      </c>
      <c r="V98" s="78" t="str">
        <f t="shared" si="46"/>
        <v>-</v>
      </c>
      <c r="W98" s="39">
        <v>32028.32</v>
      </c>
      <c r="X98" s="32">
        <f t="shared" si="47"/>
        <v>0</v>
      </c>
      <c r="Y98" s="77">
        <f t="shared" si="48"/>
        <v>0</v>
      </c>
      <c r="Z98" s="41">
        <v>0</v>
      </c>
      <c r="AA98" s="40">
        <v>0</v>
      </c>
      <c r="AB98" s="32">
        <f t="shared" si="49"/>
        <v>0</v>
      </c>
      <c r="AC98" s="78" t="str">
        <f t="shared" si="50"/>
        <v>-</v>
      </c>
      <c r="AD98" s="39">
        <v>32028.32</v>
      </c>
      <c r="AE98" s="39">
        <v>0</v>
      </c>
      <c r="AF98" s="32">
        <f t="shared" si="51"/>
        <v>32028.32</v>
      </c>
      <c r="AG98" s="78" t="str">
        <f t="shared" si="52"/>
        <v>-</v>
      </c>
      <c r="AH98" s="39">
        <v>32028.32</v>
      </c>
      <c r="AI98" s="32">
        <f t="shared" si="53"/>
        <v>0</v>
      </c>
      <c r="AJ98" s="77">
        <f t="shared" si="54"/>
        <v>0</v>
      </c>
    </row>
    <row r="99" spans="1:36" s="6" customFormat="1" hidden="1" outlineLevel="2" collapsed="1" x14ac:dyDescent="0.2">
      <c r="A99" s="30"/>
      <c r="B99" s="29" t="str">
        <f t="shared" si="55"/>
        <v>Итого выплаты при увольнении</v>
      </c>
      <c r="C99" s="52" t="str">
        <f t="shared" si="55"/>
        <v>Total Direct severance payments - cash</v>
      </c>
      <c r="D99" s="27">
        <f>SUM(D97:D98)</f>
        <v>0</v>
      </c>
      <c r="E99" s="26">
        <f>SUM(E97:E98)</f>
        <v>0</v>
      </c>
      <c r="F99" s="23">
        <f t="shared" si="37"/>
        <v>0</v>
      </c>
      <c r="G99" s="76" t="str">
        <f t="shared" si="38"/>
        <v>-</v>
      </c>
      <c r="H99" s="24">
        <f>SUM(H97:H98)</f>
        <v>4475028.32</v>
      </c>
      <c r="I99" s="24">
        <f>SUM(I97:I98)</f>
        <v>0</v>
      </c>
      <c r="J99" s="23">
        <f t="shared" si="39"/>
        <v>4475028.32</v>
      </c>
      <c r="K99" s="76" t="str">
        <f t="shared" si="40"/>
        <v>-</v>
      </c>
      <c r="L99" s="24">
        <f>SUM(L97:L98)</f>
        <v>1352028.32</v>
      </c>
      <c r="M99" s="23">
        <f t="shared" si="41"/>
        <v>3123000</v>
      </c>
      <c r="N99" s="75">
        <f t="shared" si="42"/>
        <v>2.30986285849397</v>
      </c>
      <c r="O99" s="27">
        <f>SUM(O97:O98)</f>
        <v>0</v>
      </c>
      <c r="P99" s="26">
        <f>SUM(P97:P98)</f>
        <v>0</v>
      </c>
      <c r="Q99" s="23">
        <f t="shared" si="43"/>
        <v>0</v>
      </c>
      <c r="R99" s="76" t="str">
        <f t="shared" si="44"/>
        <v>-</v>
      </c>
      <c r="S99" s="24">
        <f>SUM(S97:S98)</f>
        <v>4475028.32</v>
      </c>
      <c r="T99" s="24">
        <f>SUM(T97:T98)</f>
        <v>0</v>
      </c>
      <c r="U99" s="23">
        <f t="shared" si="45"/>
        <v>4475028.32</v>
      </c>
      <c r="V99" s="76" t="str">
        <f t="shared" si="46"/>
        <v>-</v>
      </c>
      <c r="W99" s="24">
        <f>SUM(W97:W98)</f>
        <v>1352028.32</v>
      </c>
      <c r="X99" s="23">
        <f t="shared" si="47"/>
        <v>3123000</v>
      </c>
      <c r="Y99" s="75">
        <f t="shared" si="48"/>
        <v>2.30986285849397</v>
      </c>
      <c r="Z99" s="27">
        <f>SUM(Z97:Z98)</f>
        <v>0</v>
      </c>
      <c r="AA99" s="26">
        <f>SUM(AA97:AA98)</f>
        <v>0</v>
      </c>
      <c r="AB99" s="23">
        <f t="shared" si="49"/>
        <v>0</v>
      </c>
      <c r="AC99" s="76" t="str">
        <f t="shared" si="50"/>
        <v>-</v>
      </c>
      <c r="AD99" s="24">
        <f>SUM(AD97:AD98)</f>
        <v>4475028.32</v>
      </c>
      <c r="AE99" s="24">
        <f>SUM(AE97:AE98)</f>
        <v>0</v>
      </c>
      <c r="AF99" s="23">
        <f t="shared" si="51"/>
        <v>4475028.32</v>
      </c>
      <c r="AG99" s="76" t="str">
        <f t="shared" si="52"/>
        <v>-</v>
      </c>
      <c r="AH99" s="24">
        <f>SUM(AH97:AH98)</f>
        <v>1352028.32</v>
      </c>
      <c r="AI99" s="23">
        <f t="shared" si="53"/>
        <v>3123000</v>
      </c>
      <c r="AJ99" s="75">
        <f t="shared" si="54"/>
        <v>2.30986285849397</v>
      </c>
    </row>
    <row r="100" spans="1:36" ht="12.75" hidden="1" customHeight="1" outlineLevel="3" x14ac:dyDescent="0.2">
      <c r="B100" s="38" t="str">
        <f t="shared" si="55"/>
        <v>Отложенное вознаграждение</v>
      </c>
      <c r="C100" s="49" t="str">
        <f t="shared" si="55"/>
        <v>Deferred Compensation</v>
      </c>
      <c r="D100" s="41">
        <v>0</v>
      </c>
      <c r="E100" s="40">
        <v>0</v>
      </c>
      <c r="F100" s="32">
        <f t="shared" si="37"/>
        <v>0</v>
      </c>
      <c r="G100" s="78" t="str">
        <f t="shared" si="38"/>
        <v>-</v>
      </c>
      <c r="H100" s="39">
        <v>0</v>
      </c>
      <c r="I100" s="39">
        <v>1320000</v>
      </c>
      <c r="J100" s="32">
        <f t="shared" si="39"/>
        <v>-1320000</v>
      </c>
      <c r="K100" s="78">
        <f t="shared" si="40"/>
        <v>-1</v>
      </c>
      <c r="L100" s="39">
        <v>0</v>
      </c>
      <c r="M100" s="32">
        <f t="shared" si="41"/>
        <v>0</v>
      </c>
      <c r="N100" s="77" t="str">
        <f t="shared" si="42"/>
        <v>-</v>
      </c>
      <c r="O100" s="41">
        <v>0</v>
      </c>
      <c r="P100" s="40">
        <v>0</v>
      </c>
      <c r="Q100" s="32">
        <f t="shared" si="43"/>
        <v>0</v>
      </c>
      <c r="R100" s="78" t="str">
        <f t="shared" si="44"/>
        <v>-</v>
      </c>
      <c r="S100" s="39">
        <v>0</v>
      </c>
      <c r="T100" s="39">
        <v>1320000</v>
      </c>
      <c r="U100" s="32">
        <f t="shared" si="45"/>
        <v>-1320000</v>
      </c>
      <c r="V100" s="78">
        <f t="shared" si="46"/>
        <v>-1</v>
      </c>
      <c r="W100" s="39">
        <v>0</v>
      </c>
      <c r="X100" s="32">
        <f t="shared" si="47"/>
        <v>0</v>
      </c>
      <c r="Y100" s="77" t="str">
        <f t="shared" si="48"/>
        <v>-</v>
      </c>
      <c r="Z100" s="41">
        <v>0</v>
      </c>
      <c r="AA100" s="40">
        <v>0</v>
      </c>
      <c r="AB100" s="32">
        <f t="shared" si="49"/>
        <v>0</v>
      </c>
      <c r="AC100" s="78" t="str">
        <f t="shared" si="50"/>
        <v>-</v>
      </c>
      <c r="AD100" s="39">
        <v>0</v>
      </c>
      <c r="AE100" s="39">
        <v>1320000</v>
      </c>
      <c r="AF100" s="32">
        <f t="shared" si="51"/>
        <v>-1320000</v>
      </c>
      <c r="AG100" s="78">
        <f t="shared" si="52"/>
        <v>-1</v>
      </c>
      <c r="AH100" s="39">
        <v>0</v>
      </c>
      <c r="AI100" s="32">
        <f t="shared" si="53"/>
        <v>0</v>
      </c>
      <c r="AJ100" s="77" t="str">
        <f t="shared" si="54"/>
        <v>-</v>
      </c>
    </row>
    <row r="101" spans="1:36" ht="12.75" hidden="1" customHeight="1" outlineLevel="3" x14ac:dyDescent="0.2">
      <c r="B101" s="38" t="str">
        <f t="shared" si="55"/>
        <v>Страховые взносы отложенное вознаграждение</v>
      </c>
      <c r="C101" s="49" t="str">
        <f t="shared" si="55"/>
        <v>Social Security on Deferrals</v>
      </c>
      <c r="D101" s="41">
        <v>0</v>
      </c>
      <c r="E101" s="40">
        <v>0</v>
      </c>
      <c r="F101" s="32">
        <f t="shared" si="37"/>
        <v>0</v>
      </c>
      <c r="G101" s="78" t="str">
        <f t="shared" si="38"/>
        <v>-</v>
      </c>
      <c r="H101" s="39">
        <v>0</v>
      </c>
      <c r="I101" s="39">
        <v>32028.32</v>
      </c>
      <c r="J101" s="32">
        <f t="shared" si="39"/>
        <v>-32028.32</v>
      </c>
      <c r="K101" s="78">
        <f t="shared" si="40"/>
        <v>-1</v>
      </c>
      <c r="L101" s="39">
        <v>0</v>
      </c>
      <c r="M101" s="32">
        <f t="shared" si="41"/>
        <v>0</v>
      </c>
      <c r="N101" s="77" t="str">
        <f t="shared" si="42"/>
        <v>-</v>
      </c>
      <c r="O101" s="41">
        <v>0</v>
      </c>
      <c r="P101" s="40">
        <v>0</v>
      </c>
      <c r="Q101" s="32">
        <f t="shared" si="43"/>
        <v>0</v>
      </c>
      <c r="R101" s="78" t="str">
        <f t="shared" si="44"/>
        <v>-</v>
      </c>
      <c r="S101" s="39">
        <v>0</v>
      </c>
      <c r="T101" s="39">
        <v>32028.32</v>
      </c>
      <c r="U101" s="32">
        <f t="shared" si="45"/>
        <v>-32028.32</v>
      </c>
      <c r="V101" s="78">
        <f t="shared" si="46"/>
        <v>-1</v>
      </c>
      <c r="W101" s="39">
        <v>0</v>
      </c>
      <c r="X101" s="32">
        <f t="shared" si="47"/>
        <v>0</v>
      </c>
      <c r="Y101" s="77" t="str">
        <f t="shared" si="48"/>
        <v>-</v>
      </c>
      <c r="Z101" s="41">
        <v>0</v>
      </c>
      <c r="AA101" s="40">
        <v>0</v>
      </c>
      <c r="AB101" s="32">
        <f t="shared" si="49"/>
        <v>0</v>
      </c>
      <c r="AC101" s="78" t="str">
        <f t="shared" si="50"/>
        <v>-</v>
      </c>
      <c r="AD101" s="39">
        <v>0</v>
      </c>
      <c r="AE101" s="39">
        <v>32028.32</v>
      </c>
      <c r="AF101" s="32">
        <f t="shared" si="51"/>
        <v>-32028.32</v>
      </c>
      <c r="AG101" s="78">
        <f t="shared" si="52"/>
        <v>-1</v>
      </c>
      <c r="AH101" s="39">
        <v>0</v>
      </c>
      <c r="AI101" s="32">
        <f t="shared" si="53"/>
        <v>0</v>
      </c>
      <c r="AJ101" s="77" t="str">
        <f t="shared" si="54"/>
        <v>-</v>
      </c>
    </row>
    <row r="102" spans="1:36" s="6" customFormat="1" hidden="1" outlineLevel="2" collapsed="1" x14ac:dyDescent="0.2">
      <c r="B102" s="29" t="str">
        <f t="shared" si="55"/>
        <v>Итого отложенное вознаграждение</v>
      </c>
      <c r="C102" s="52" t="str">
        <f t="shared" si="55"/>
        <v>Deferred Compensation</v>
      </c>
      <c r="D102" s="27">
        <f>SUM(D100:D101)</f>
        <v>0</v>
      </c>
      <c r="E102" s="26">
        <f>SUM(E100:E101)</f>
        <v>0</v>
      </c>
      <c r="F102" s="23">
        <f t="shared" si="37"/>
        <v>0</v>
      </c>
      <c r="G102" s="76" t="str">
        <f t="shared" si="38"/>
        <v>-</v>
      </c>
      <c r="H102" s="24">
        <f>SUM(H100:H101)</f>
        <v>0</v>
      </c>
      <c r="I102" s="24">
        <f>SUM(I100:I101)</f>
        <v>1352028.32</v>
      </c>
      <c r="J102" s="23">
        <f t="shared" si="39"/>
        <v>-1352028.32</v>
      </c>
      <c r="K102" s="76">
        <f t="shared" si="40"/>
        <v>-1</v>
      </c>
      <c r="L102" s="24">
        <f>SUM(L100:L101)</f>
        <v>0</v>
      </c>
      <c r="M102" s="23">
        <f t="shared" si="41"/>
        <v>0</v>
      </c>
      <c r="N102" s="75" t="str">
        <f t="shared" si="42"/>
        <v>-</v>
      </c>
      <c r="O102" s="27">
        <f>SUM(O100:O101)</f>
        <v>0</v>
      </c>
      <c r="P102" s="26">
        <f>SUM(P100:P101)</f>
        <v>0</v>
      </c>
      <c r="Q102" s="23">
        <f t="shared" si="43"/>
        <v>0</v>
      </c>
      <c r="R102" s="76" t="str">
        <f t="shared" si="44"/>
        <v>-</v>
      </c>
      <c r="S102" s="24">
        <f>SUM(S100:S101)</f>
        <v>0</v>
      </c>
      <c r="T102" s="24">
        <f>SUM(T100:T101)</f>
        <v>1352028.32</v>
      </c>
      <c r="U102" s="23">
        <f t="shared" si="45"/>
        <v>-1352028.32</v>
      </c>
      <c r="V102" s="76">
        <f t="shared" si="46"/>
        <v>-1</v>
      </c>
      <c r="W102" s="24">
        <f>SUM(W100:W101)</f>
        <v>0</v>
      </c>
      <c r="X102" s="23">
        <f t="shared" si="47"/>
        <v>0</v>
      </c>
      <c r="Y102" s="75" t="str">
        <f t="shared" si="48"/>
        <v>-</v>
      </c>
      <c r="Z102" s="27">
        <f>SUM(Z100:Z101)</f>
        <v>0</v>
      </c>
      <c r="AA102" s="26">
        <f>SUM(AA100:AA101)</f>
        <v>0</v>
      </c>
      <c r="AB102" s="23">
        <f t="shared" si="49"/>
        <v>0</v>
      </c>
      <c r="AC102" s="76" t="str">
        <f t="shared" si="50"/>
        <v>-</v>
      </c>
      <c r="AD102" s="24">
        <f>SUM(AD100:AD101)</f>
        <v>0</v>
      </c>
      <c r="AE102" s="24">
        <f>SUM(AE100:AE101)</f>
        <v>1352028.32</v>
      </c>
      <c r="AF102" s="23">
        <f t="shared" si="51"/>
        <v>-1352028.32</v>
      </c>
      <c r="AG102" s="76">
        <f t="shared" si="52"/>
        <v>-1</v>
      </c>
      <c r="AH102" s="24">
        <f>SUM(AH100:AH101)</f>
        <v>0</v>
      </c>
      <c r="AI102" s="23">
        <f t="shared" si="53"/>
        <v>0</v>
      </c>
      <c r="AJ102" s="75" t="str">
        <f t="shared" si="54"/>
        <v>-</v>
      </c>
    </row>
    <row r="103" spans="1:36" s="6" customFormat="1" outlineLevel="1" collapsed="1" x14ac:dyDescent="0.2">
      <c r="A103" s="30"/>
      <c r="B103" s="51" t="str">
        <f t="shared" si="55"/>
        <v>Прочие компенсационные выплаты</v>
      </c>
      <c r="C103" s="50" t="str">
        <f t="shared" si="55"/>
        <v>Other Compensations</v>
      </c>
      <c r="D103" s="46">
        <f>D93+D96+D99+D102</f>
        <v>22208677</v>
      </c>
      <c r="E103" s="45">
        <f>E93+E96+E99+E102</f>
        <v>0</v>
      </c>
      <c r="F103" s="23">
        <f t="shared" si="37"/>
        <v>22208677</v>
      </c>
      <c r="G103" s="76" t="str">
        <f t="shared" si="38"/>
        <v>-</v>
      </c>
      <c r="H103" s="44">
        <f>H93+H96+H99+H102</f>
        <v>27098305.32</v>
      </c>
      <c r="I103" s="44">
        <f>I93+I96+I99+I102</f>
        <v>1628268.32</v>
      </c>
      <c r="J103" s="23">
        <f t="shared" si="39"/>
        <v>25470037</v>
      </c>
      <c r="K103" s="76">
        <f t="shared" si="40"/>
        <v>15.642407757463463</v>
      </c>
      <c r="L103" s="44">
        <f>L93+L96+L99+L102</f>
        <v>1628268.32</v>
      </c>
      <c r="M103" s="23">
        <f t="shared" si="41"/>
        <v>25470037</v>
      </c>
      <c r="N103" s="75">
        <f t="shared" si="42"/>
        <v>15.642407757463463</v>
      </c>
      <c r="O103" s="46">
        <f>O93+O96+O99+O102</f>
        <v>22208677</v>
      </c>
      <c r="P103" s="45">
        <f>P93+P96+P99+P102</f>
        <v>0</v>
      </c>
      <c r="Q103" s="23">
        <f t="shared" si="43"/>
        <v>22208677</v>
      </c>
      <c r="R103" s="76" t="str">
        <f t="shared" si="44"/>
        <v>-</v>
      </c>
      <c r="S103" s="44">
        <f>S93+S96+S99+S102</f>
        <v>27098305.32</v>
      </c>
      <c r="T103" s="44">
        <f>T93+T96+T99+T102</f>
        <v>1628268.32</v>
      </c>
      <c r="U103" s="23">
        <f t="shared" si="45"/>
        <v>25470037</v>
      </c>
      <c r="V103" s="76">
        <f t="shared" si="46"/>
        <v>15.642407757463463</v>
      </c>
      <c r="W103" s="44">
        <f>W93+W96+W99+W102</f>
        <v>1628268.32</v>
      </c>
      <c r="X103" s="23">
        <f t="shared" si="47"/>
        <v>25470037</v>
      </c>
      <c r="Y103" s="75">
        <f t="shared" si="48"/>
        <v>15.642407757463463</v>
      </c>
      <c r="Z103" s="46">
        <f>Z93+Z96+Z99+Z102</f>
        <v>22208677</v>
      </c>
      <c r="AA103" s="45">
        <f>AA93+AA96+AA99+AA102</f>
        <v>0</v>
      </c>
      <c r="AB103" s="23">
        <f t="shared" si="49"/>
        <v>22208677</v>
      </c>
      <c r="AC103" s="76" t="str">
        <f t="shared" si="50"/>
        <v>-</v>
      </c>
      <c r="AD103" s="44">
        <f>AD93+AD96+AD99+AD102</f>
        <v>27098305.32</v>
      </c>
      <c r="AE103" s="44">
        <f>AE93+AE96+AE99+AE102</f>
        <v>1628268.32</v>
      </c>
      <c r="AF103" s="23">
        <f t="shared" si="51"/>
        <v>25470037</v>
      </c>
      <c r="AG103" s="76">
        <f t="shared" si="52"/>
        <v>15.642407757463463</v>
      </c>
      <c r="AH103" s="44">
        <f>AH93+AH96+AH99+AH102</f>
        <v>1628268.32</v>
      </c>
      <c r="AI103" s="23">
        <f t="shared" si="53"/>
        <v>25470037</v>
      </c>
      <c r="AJ103" s="75">
        <f t="shared" si="54"/>
        <v>15.642407757463463</v>
      </c>
    </row>
    <row r="104" spans="1:36" ht="12.75" hidden="1" customHeight="1" outlineLevel="3" x14ac:dyDescent="0.2">
      <c r="B104" s="38" t="str">
        <f t="shared" si="55"/>
        <v>Резерв квартальной премии</v>
      </c>
      <c r="C104" s="49" t="str">
        <f t="shared" si="55"/>
        <v>Accruals for Quarterly bonus</v>
      </c>
      <c r="D104" s="41">
        <v>0</v>
      </c>
      <c r="E104" s="40">
        <v>0</v>
      </c>
      <c r="F104" s="32">
        <f t="shared" si="37"/>
        <v>0</v>
      </c>
      <c r="G104" s="78" t="str">
        <f t="shared" si="38"/>
        <v>-</v>
      </c>
      <c r="H104" s="39">
        <v>0</v>
      </c>
      <c r="I104" s="39">
        <v>0</v>
      </c>
      <c r="J104" s="32">
        <f t="shared" si="39"/>
        <v>0</v>
      </c>
      <c r="K104" s="78" t="str">
        <f t="shared" si="40"/>
        <v>-</v>
      </c>
      <c r="L104" s="39">
        <v>0</v>
      </c>
      <c r="M104" s="32">
        <f t="shared" si="41"/>
        <v>0</v>
      </c>
      <c r="N104" s="77" t="str">
        <f t="shared" si="42"/>
        <v>-</v>
      </c>
      <c r="O104" s="41">
        <v>0</v>
      </c>
      <c r="P104" s="40">
        <v>0</v>
      </c>
      <c r="Q104" s="32">
        <f t="shared" si="43"/>
        <v>0</v>
      </c>
      <c r="R104" s="78" t="str">
        <f t="shared" si="44"/>
        <v>-</v>
      </c>
      <c r="S104" s="39">
        <v>0</v>
      </c>
      <c r="T104" s="39">
        <v>0</v>
      </c>
      <c r="U104" s="32">
        <f t="shared" si="45"/>
        <v>0</v>
      </c>
      <c r="V104" s="78" t="str">
        <f t="shared" si="46"/>
        <v>-</v>
      </c>
      <c r="W104" s="39">
        <v>0</v>
      </c>
      <c r="X104" s="32">
        <f t="shared" si="47"/>
        <v>0</v>
      </c>
      <c r="Y104" s="77" t="str">
        <f t="shared" si="48"/>
        <v>-</v>
      </c>
      <c r="Z104" s="41">
        <v>0</v>
      </c>
      <c r="AA104" s="40">
        <v>0</v>
      </c>
      <c r="AB104" s="32">
        <f t="shared" si="49"/>
        <v>0</v>
      </c>
      <c r="AC104" s="78" t="str">
        <f t="shared" si="50"/>
        <v>-</v>
      </c>
      <c r="AD104" s="39">
        <v>0</v>
      </c>
      <c r="AE104" s="39">
        <v>0</v>
      </c>
      <c r="AF104" s="32">
        <f t="shared" si="51"/>
        <v>0</v>
      </c>
      <c r="AG104" s="78" t="str">
        <f t="shared" si="52"/>
        <v>-</v>
      </c>
      <c r="AH104" s="39">
        <v>0</v>
      </c>
      <c r="AI104" s="32">
        <f t="shared" si="53"/>
        <v>0</v>
      </c>
      <c r="AJ104" s="77" t="str">
        <f t="shared" si="54"/>
        <v>-</v>
      </c>
    </row>
    <row r="105" spans="1:36" ht="12.75" hidden="1" customHeight="1" outlineLevel="3" x14ac:dyDescent="0.2">
      <c r="B105" s="38" t="str">
        <f t="shared" si="55"/>
        <v>Страховые взносы резерв квартальной премии</v>
      </c>
      <c r="C105" s="49" t="str">
        <f t="shared" si="55"/>
        <v>Social Security on Accruals for Quarterly bonus</v>
      </c>
      <c r="D105" s="41">
        <v>0</v>
      </c>
      <c r="E105" s="40">
        <v>0</v>
      </c>
      <c r="F105" s="32">
        <f t="shared" si="37"/>
        <v>0</v>
      </c>
      <c r="G105" s="78" t="str">
        <f t="shared" si="38"/>
        <v>-</v>
      </c>
      <c r="H105" s="39">
        <v>0</v>
      </c>
      <c r="I105" s="39">
        <v>0</v>
      </c>
      <c r="J105" s="32">
        <f t="shared" si="39"/>
        <v>0</v>
      </c>
      <c r="K105" s="78" t="str">
        <f t="shared" si="40"/>
        <v>-</v>
      </c>
      <c r="L105" s="39">
        <v>0</v>
      </c>
      <c r="M105" s="32">
        <f t="shared" si="41"/>
        <v>0</v>
      </c>
      <c r="N105" s="77" t="str">
        <f t="shared" si="42"/>
        <v>-</v>
      </c>
      <c r="O105" s="41">
        <v>0</v>
      </c>
      <c r="P105" s="40">
        <v>0</v>
      </c>
      <c r="Q105" s="32">
        <f t="shared" si="43"/>
        <v>0</v>
      </c>
      <c r="R105" s="78" t="str">
        <f t="shared" si="44"/>
        <v>-</v>
      </c>
      <c r="S105" s="39">
        <v>0</v>
      </c>
      <c r="T105" s="39">
        <v>0</v>
      </c>
      <c r="U105" s="32">
        <f t="shared" si="45"/>
        <v>0</v>
      </c>
      <c r="V105" s="78" t="str">
        <f t="shared" si="46"/>
        <v>-</v>
      </c>
      <c r="W105" s="39">
        <v>0</v>
      </c>
      <c r="X105" s="32">
        <f t="shared" si="47"/>
        <v>0</v>
      </c>
      <c r="Y105" s="77" t="str">
        <f t="shared" si="48"/>
        <v>-</v>
      </c>
      <c r="Z105" s="41">
        <v>0</v>
      </c>
      <c r="AA105" s="40">
        <v>0</v>
      </c>
      <c r="AB105" s="32">
        <f t="shared" si="49"/>
        <v>0</v>
      </c>
      <c r="AC105" s="78" t="str">
        <f t="shared" si="50"/>
        <v>-</v>
      </c>
      <c r="AD105" s="39">
        <v>0</v>
      </c>
      <c r="AE105" s="39">
        <v>0</v>
      </c>
      <c r="AF105" s="32">
        <f t="shared" si="51"/>
        <v>0</v>
      </c>
      <c r="AG105" s="78" t="str">
        <f t="shared" si="52"/>
        <v>-</v>
      </c>
      <c r="AH105" s="39">
        <v>0</v>
      </c>
      <c r="AI105" s="32">
        <f t="shared" si="53"/>
        <v>0</v>
      </c>
      <c r="AJ105" s="77" t="str">
        <f t="shared" si="54"/>
        <v>-</v>
      </c>
    </row>
    <row r="106" spans="1:36" s="6" customFormat="1" hidden="1" outlineLevel="2" collapsed="1" x14ac:dyDescent="0.2">
      <c r="A106" s="30"/>
      <c r="B106" s="29" t="str">
        <f t="shared" si="55"/>
        <v>Итого резерв квартальной премии</v>
      </c>
      <c r="C106" s="42" t="str">
        <f t="shared" si="55"/>
        <v>Total Accruals for Quarterly bonus</v>
      </c>
      <c r="D106" s="27">
        <f>SUM(D104:D105)</f>
        <v>0</v>
      </c>
      <c r="E106" s="26">
        <f>SUM(E104:E105)</f>
        <v>0</v>
      </c>
      <c r="F106" s="23">
        <f t="shared" si="37"/>
        <v>0</v>
      </c>
      <c r="G106" s="76" t="str">
        <f t="shared" si="38"/>
        <v>-</v>
      </c>
      <c r="H106" s="24">
        <f>SUM(H104:H105)</f>
        <v>0</v>
      </c>
      <c r="I106" s="24">
        <f>SUM(I104:I105)</f>
        <v>0</v>
      </c>
      <c r="J106" s="23">
        <f t="shared" si="39"/>
        <v>0</v>
      </c>
      <c r="K106" s="76" t="str">
        <f t="shared" si="40"/>
        <v>-</v>
      </c>
      <c r="L106" s="24">
        <f>SUM(L104:L105)</f>
        <v>0</v>
      </c>
      <c r="M106" s="23">
        <f t="shared" si="41"/>
        <v>0</v>
      </c>
      <c r="N106" s="75" t="str">
        <f t="shared" si="42"/>
        <v>-</v>
      </c>
      <c r="O106" s="27">
        <f>SUM(O104:O105)</f>
        <v>0</v>
      </c>
      <c r="P106" s="26">
        <f>SUM(P104:P105)</f>
        <v>0</v>
      </c>
      <c r="Q106" s="23">
        <f t="shared" si="43"/>
        <v>0</v>
      </c>
      <c r="R106" s="76" t="str">
        <f t="shared" si="44"/>
        <v>-</v>
      </c>
      <c r="S106" s="24">
        <f>SUM(S104:S105)</f>
        <v>0</v>
      </c>
      <c r="T106" s="24">
        <f>SUM(T104:T105)</f>
        <v>0</v>
      </c>
      <c r="U106" s="23">
        <f t="shared" si="45"/>
        <v>0</v>
      </c>
      <c r="V106" s="76" t="str">
        <f t="shared" si="46"/>
        <v>-</v>
      </c>
      <c r="W106" s="24">
        <f>SUM(W104:W105)</f>
        <v>0</v>
      </c>
      <c r="X106" s="23">
        <f t="shared" si="47"/>
        <v>0</v>
      </c>
      <c r="Y106" s="75" t="str">
        <f t="shared" si="48"/>
        <v>-</v>
      </c>
      <c r="Z106" s="27">
        <f>SUM(Z104:Z105)</f>
        <v>0</v>
      </c>
      <c r="AA106" s="26">
        <f>SUM(AA104:AA105)</f>
        <v>0</v>
      </c>
      <c r="AB106" s="23">
        <f t="shared" si="49"/>
        <v>0</v>
      </c>
      <c r="AC106" s="76" t="str">
        <f t="shared" si="50"/>
        <v>-</v>
      </c>
      <c r="AD106" s="24">
        <f>SUM(AD104:AD105)</f>
        <v>0</v>
      </c>
      <c r="AE106" s="24">
        <f>SUM(AE104:AE105)</f>
        <v>0</v>
      </c>
      <c r="AF106" s="23">
        <f t="shared" si="51"/>
        <v>0</v>
      </c>
      <c r="AG106" s="76" t="str">
        <f t="shared" si="52"/>
        <v>-</v>
      </c>
      <c r="AH106" s="24">
        <f>SUM(AH104:AH105)</f>
        <v>0</v>
      </c>
      <c r="AI106" s="23">
        <f t="shared" si="53"/>
        <v>0</v>
      </c>
      <c r="AJ106" s="75" t="str">
        <f t="shared" si="54"/>
        <v>-</v>
      </c>
    </row>
    <row r="107" spans="1:36" ht="12.75" hidden="1" customHeight="1" outlineLevel="3" x14ac:dyDescent="0.2">
      <c r="B107" s="38" t="str">
        <f t="shared" si="55"/>
        <v>Сторно резерва квартальной премии</v>
      </c>
      <c r="C107" s="37" t="str">
        <f t="shared" si="55"/>
        <v>Reverse Accruals for Quarterly bonus</v>
      </c>
      <c r="D107" s="41">
        <v>0</v>
      </c>
      <c r="E107" s="40">
        <v>0</v>
      </c>
      <c r="F107" s="32">
        <f t="shared" ref="F107:F129" si="56">D107-E107</f>
        <v>0</v>
      </c>
      <c r="G107" s="78" t="str">
        <f t="shared" ref="G107:G129" si="57">IFERROR(D107/E107-1,"-")</f>
        <v>-</v>
      </c>
      <c r="H107" s="39">
        <v>0</v>
      </c>
      <c r="I107" s="39">
        <v>0</v>
      </c>
      <c r="J107" s="32">
        <f t="shared" ref="J107:J129" si="58">H107-I107</f>
        <v>0</v>
      </c>
      <c r="K107" s="78" t="str">
        <f t="shared" ref="K107:K129" si="59">IFERROR(H107/I107-1,"-")</f>
        <v>-</v>
      </c>
      <c r="L107" s="39">
        <v>0</v>
      </c>
      <c r="M107" s="32">
        <f t="shared" ref="M107:M129" si="60">H107-L107</f>
        <v>0</v>
      </c>
      <c r="N107" s="77" t="str">
        <f t="shared" ref="N107:N129" si="61">IFERROR(M107/L107,"-")</f>
        <v>-</v>
      </c>
      <c r="O107" s="41">
        <v>0</v>
      </c>
      <c r="P107" s="40">
        <v>0</v>
      </c>
      <c r="Q107" s="32">
        <f t="shared" ref="Q107:Q129" si="62">O107-P107</f>
        <v>0</v>
      </c>
      <c r="R107" s="78" t="str">
        <f t="shared" ref="R107:R129" si="63">IFERROR(O107/P107-1,"-")</f>
        <v>-</v>
      </c>
      <c r="S107" s="39">
        <v>0</v>
      </c>
      <c r="T107" s="39">
        <v>0</v>
      </c>
      <c r="U107" s="32">
        <f t="shared" ref="U107:U129" si="64">S107-T107</f>
        <v>0</v>
      </c>
      <c r="V107" s="78" t="str">
        <f t="shared" ref="V107:V129" si="65">IFERROR(S107/T107-1,"-")</f>
        <v>-</v>
      </c>
      <c r="W107" s="39">
        <v>0</v>
      </c>
      <c r="X107" s="32">
        <f t="shared" ref="X107:X129" si="66">S107-W107</f>
        <v>0</v>
      </c>
      <c r="Y107" s="77" t="str">
        <f t="shared" ref="Y107:Y129" si="67">IFERROR(X107/W107,"-")</f>
        <v>-</v>
      </c>
      <c r="Z107" s="41">
        <v>0</v>
      </c>
      <c r="AA107" s="40">
        <v>0</v>
      </c>
      <c r="AB107" s="32">
        <f t="shared" ref="AB107:AB129" si="68">Z107-AA107</f>
        <v>0</v>
      </c>
      <c r="AC107" s="78" t="str">
        <f t="shared" ref="AC107:AC129" si="69">IFERROR(Z107/AA107-1,"-")</f>
        <v>-</v>
      </c>
      <c r="AD107" s="39">
        <v>0</v>
      </c>
      <c r="AE107" s="39">
        <v>0</v>
      </c>
      <c r="AF107" s="32">
        <f t="shared" ref="AF107:AF129" si="70">AD107-AE107</f>
        <v>0</v>
      </c>
      <c r="AG107" s="78" t="str">
        <f t="shared" ref="AG107:AG129" si="71">IFERROR(AD107/AE107-1,"-")</f>
        <v>-</v>
      </c>
      <c r="AH107" s="39">
        <v>0</v>
      </c>
      <c r="AI107" s="32">
        <f t="shared" ref="AI107:AI129" si="72">AD107-AH107</f>
        <v>0</v>
      </c>
      <c r="AJ107" s="77" t="str">
        <f t="shared" ref="AJ107:AJ129" si="73">IFERROR(AI107/AH107,"-")</f>
        <v>-</v>
      </c>
    </row>
    <row r="108" spans="1:36" ht="12.75" hidden="1" customHeight="1" outlineLevel="3" x14ac:dyDescent="0.2">
      <c r="B108" s="38" t="str">
        <f t="shared" si="55"/>
        <v>Страховые взносы, сторно резерва квартальной премии</v>
      </c>
      <c r="C108" s="37" t="str">
        <f t="shared" si="55"/>
        <v>Social Security on Reverse Accruals for Quarterly bonus</v>
      </c>
      <c r="D108" s="41">
        <v>0</v>
      </c>
      <c r="E108" s="40">
        <v>0</v>
      </c>
      <c r="F108" s="32">
        <f t="shared" si="56"/>
        <v>0</v>
      </c>
      <c r="G108" s="78" t="str">
        <f t="shared" si="57"/>
        <v>-</v>
      </c>
      <c r="H108" s="39">
        <v>0</v>
      </c>
      <c r="I108" s="39">
        <v>0</v>
      </c>
      <c r="J108" s="32">
        <f t="shared" si="58"/>
        <v>0</v>
      </c>
      <c r="K108" s="78" t="str">
        <f t="shared" si="59"/>
        <v>-</v>
      </c>
      <c r="L108" s="39">
        <v>0</v>
      </c>
      <c r="M108" s="32">
        <f t="shared" si="60"/>
        <v>0</v>
      </c>
      <c r="N108" s="77" t="str">
        <f t="shared" si="61"/>
        <v>-</v>
      </c>
      <c r="O108" s="41">
        <v>0</v>
      </c>
      <c r="P108" s="40">
        <v>0</v>
      </c>
      <c r="Q108" s="32">
        <f t="shared" si="62"/>
        <v>0</v>
      </c>
      <c r="R108" s="78" t="str">
        <f t="shared" si="63"/>
        <v>-</v>
      </c>
      <c r="S108" s="39">
        <v>0</v>
      </c>
      <c r="T108" s="39">
        <v>0</v>
      </c>
      <c r="U108" s="32">
        <f t="shared" si="64"/>
        <v>0</v>
      </c>
      <c r="V108" s="78" t="str">
        <f t="shared" si="65"/>
        <v>-</v>
      </c>
      <c r="W108" s="39">
        <v>0</v>
      </c>
      <c r="X108" s="32">
        <f t="shared" si="66"/>
        <v>0</v>
      </c>
      <c r="Y108" s="77" t="str">
        <f t="shared" si="67"/>
        <v>-</v>
      </c>
      <c r="Z108" s="41">
        <v>0</v>
      </c>
      <c r="AA108" s="40">
        <v>0</v>
      </c>
      <c r="AB108" s="32">
        <f t="shared" si="68"/>
        <v>0</v>
      </c>
      <c r="AC108" s="78" t="str">
        <f t="shared" si="69"/>
        <v>-</v>
      </c>
      <c r="AD108" s="39">
        <v>0</v>
      </c>
      <c r="AE108" s="39">
        <v>0</v>
      </c>
      <c r="AF108" s="32">
        <f t="shared" si="70"/>
        <v>0</v>
      </c>
      <c r="AG108" s="78" t="str">
        <f t="shared" si="71"/>
        <v>-</v>
      </c>
      <c r="AH108" s="39">
        <v>0</v>
      </c>
      <c r="AI108" s="32">
        <f t="shared" si="72"/>
        <v>0</v>
      </c>
      <c r="AJ108" s="77" t="str">
        <f t="shared" si="73"/>
        <v>-</v>
      </c>
    </row>
    <row r="109" spans="1:36" s="6" customFormat="1" hidden="1" outlineLevel="2" collapsed="1" x14ac:dyDescent="0.2">
      <c r="A109" s="30"/>
      <c r="B109" s="29" t="str">
        <f t="shared" si="55"/>
        <v>Итого сторно резерва квартальной премии</v>
      </c>
      <c r="C109" s="42" t="str">
        <f t="shared" si="55"/>
        <v>Total Reverse Accruals for Quarterly bonus</v>
      </c>
      <c r="D109" s="27">
        <f>SUM(D107:D108)</f>
        <v>0</v>
      </c>
      <c r="E109" s="26">
        <f>SUM(E107:E108)</f>
        <v>0</v>
      </c>
      <c r="F109" s="23">
        <f t="shared" si="56"/>
        <v>0</v>
      </c>
      <c r="G109" s="76" t="str">
        <f t="shared" si="57"/>
        <v>-</v>
      </c>
      <c r="H109" s="24">
        <f>SUM(H107:H108)</f>
        <v>0</v>
      </c>
      <c r="I109" s="24">
        <f>SUM(I107:I108)</f>
        <v>0</v>
      </c>
      <c r="J109" s="23">
        <f t="shared" si="58"/>
        <v>0</v>
      </c>
      <c r="K109" s="76" t="str">
        <f t="shared" si="59"/>
        <v>-</v>
      </c>
      <c r="L109" s="24">
        <f>SUM(L107:L108)</f>
        <v>0</v>
      </c>
      <c r="M109" s="23">
        <f t="shared" si="60"/>
        <v>0</v>
      </c>
      <c r="N109" s="75" t="str">
        <f t="shared" si="61"/>
        <v>-</v>
      </c>
      <c r="O109" s="27">
        <f>SUM(O107:O108)</f>
        <v>0</v>
      </c>
      <c r="P109" s="26">
        <f>SUM(P107:P108)</f>
        <v>0</v>
      </c>
      <c r="Q109" s="23">
        <f t="shared" si="62"/>
        <v>0</v>
      </c>
      <c r="R109" s="76" t="str">
        <f t="shared" si="63"/>
        <v>-</v>
      </c>
      <c r="S109" s="24">
        <f>SUM(S107:S108)</f>
        <v>0</v>
      </c>
      <c r="T109" s="24">
        <f>SUM(T107:T108)</f>
        <v>0</v>
      </c>
      <c r="U109" s="23">
        <f t="shared" si="64"/>
        <v>0</v>
      </c>
      <c r="V109" s="76" t="str">
        <f t="shared" si="65"/>
        <v>-</v>
      </c>
      <c r="W109" s="24">
        <f>SUM(W107:W108)</f>
        <v>0</v>
      </c>
      <c r="X109" s="23">
        <f t="shared" si="66"/>
        <v>0</v>
      </c>
      <c r="Y109" s="75" t="str">
        <f t="shared" si="67"/>
        <v>-</v>
      </c>
      <c r="Z109" s="27">
        <f>SUM(Z107:Z108)</f>
        <v>0</v>
      </c>
      <c r="AA109" s="26">
        <f>SUM(AA107:AA108)</f>
        <v>0</v>
      </c>
      <c r="AB109" s="23">
        <f t="shared" si="68"/>
        <v>0</v>
      </c>
      <c r="AC109" s="76" t="str">
        <f t="shared" si="69"/>
        <v>-</v>
      </c>
      <c r="AD109" s="24">
        <f>SUM(AD107:AD108)</f>
        <v>0</v>
      </c>
      <c r="AE109" s="24">
        <f>SUM(AE107:AE108)</f>
        <v>0</v>
      </c>
      <c r="AF109" s="23">
        <f t="shared" si="70"/>
        <v>0</v>
      </c>
      <c r="AG109" s="76" t="str">
        <f t="shared" si="71"/>
        <v>-</v>
      </c>
      <c r="AH109" s="24">
        <f>SUM(AH107:AH108)</f>
        <v>0</v>
      </c>
      <c r="AI109" s="23">
        <f t="shared" si="72"/>
        <v>0</v>
      </c>
      <c r="AJ109" s="75" t="str">
        <f t="shared" si="73"/>
        <v>-</v>
      </c>
    </row>
    <row r="110" spans="1:36" ht="12.75" hidden="1" customHeight="1" outlineLevel="3" x14ac:dyDescent="0.2">
      <c r="B110" s="38" t="str">
        <f t="shared" si="55"/>
        <v>Квартальная премия, выплата</v>
      </c>
      <c r="C110" s="37" t="str">
        <f t="shared" si="55"/>
        <v>Quarterly bonus cash</v>
      </c>
      <c r="D110" s="41">
        <v>10571699.000000002</v>
      </c>
      <c r="E110" s="40">
        <f>I110/6</f>
        <v>11205664.548888899</v>
      </c>
      <c r="F110" s="32">
        <f t="shared" si="56"/>
        <v>-633965.54888889752</v>
      </c>
      <c r="G110" s="78">
        <f t="shared" si="57"/>
        <v>-5.657545307759182E-2</v>
      </c>
      <c r="H110" s="39">
        <v>66996249.940000072</v>
      </c>
      <c r="I110" s="39">
        <v>67233987.293333396</v>
      </c>
      <c r="J110" s="32">
        <f t="shared" si="58"/>
        <v>-237737.35333332419</v>
      </c>
      <c r="K110" s="78">
        <f t="shared" si="59"/>
        <v>-3.5359698703589793E-3</v>
      </c>
      <c r="L110" s="39">
        <v>133992500</v>
      </c>
      <c r="M110" s="32">
        <f t="shared" si="60"/>
        <v>-66996250.059999928</v>
      </c>
      <c r="N110" s="77">
        <f t="shared" si="61"/>
        <v>-0.5000000004477857</v>
      </c>
      <c r="O110" s="41">
        <v>10571699.000000002</v>
      </c>
      <c r="P110" s="40">
        <f>T110/6</f>
        <v>11205664.548888899</v>
      </c>
      <c r="Q110" s="32">
        <f t="shared" si="62"/>
        <v>-633965.54888889752</v>
      </c>
      <c r="R110" s="78">
        <f t="shared" si="63"/>
        <v>-5.657545307759182E-2</v>
      </c>
      <c r="S110" s="39">
        <v>66996249.940000072</v>
      </c>
      <c r="T110" s="39">
        <v>67233987.293333396</v>
      </c>
      <c r="U110" s="32">
        <f t="shared" si="64"/>
        <v>-237737.35333332419</v>
      </c>
      <c r="V110" s="78">
        <f t="shared" si="65"/>
        <v>-3.5359698703589793E-3</v>
      </c>
      <c r="W110" s="39">
        <v>133992500</v>
      </c>
      <c r="X110" s="32">
        <f t="shared" si="66"/>
        <v>-66996250.059999928</v>
      </c>
      <c r="Y110" s="77">
        <f t="shared" si="67"/>
        <v>-0.5000000004477857</v>
      </c>
      <c r="Z110" s="41">
        <v>10571699.000000002</v>
      </c>
      <c r="AA110" s="40">
        <f>AE110/6</f>
        <v>11205664.548888899</v>
      </c>
      <c r="AB110" s="32">
        <f t="shared" si="68"/>
        <v>-633965.54888889752</v>
      </c>
      <c r="AC110" s="78">
        <f t="shared" si="69"/>
        <v>-5.657545307759182E-2</v>
      </c>
      <c r="AD110" s="39">
        <v>66996249.940000072</v>
      </c>
      <c r="AE110" s="39">
        <v>67233987.293333396</v>
      </c>
      <c r="AF110" s="32">
        <f t="shared" si="70"/>
        <v>-237737.35333332419</v>
      </c>
      <c r="AG110" s="78">
        <f t="shared" si="71"/>
        <v>-3.5359698703589793E-3</v>
      </c>
      <c r="AH110" s="39">
        <v>133992500</v>
      </c>
      <c r="AI110" s="32">
        <f t="shared" si="72"/>
        <v>-66996250.059999928</v>
      </c>
      <c r="AJ110" s="77">
        <f t="shared" si="73"/>
        <v>-0.5000000004477857</v>
      </c>
    </row>
    <row r="111" spans="1:36" ht="12.75" hidden="1" customHeight="1" outlineLevel="3" x14ac:dyDescent="0.2">
      <c r="B111" s="38" t="str">
        <f t="shared" si="55"/>
        <v>Страховые взносы, квартальная премия выплата</v>
      </c>
      <c r="C111" s="37" t="str">
        <f t="shared" si="55"/>
        <v>Social Security on quarterly cash</v>
      </c>
      <c r="D111" s="36">
        <v>268624.99999999907</v>
      </c>
      <c r="E111" s="35">
        <f>I111/6</f>
        <v>2185523.9722222169</v>
      </c>
      <c r="F111" s="32">
        <f t="shared" si="56"/>
        <v>-1916898.9722222178</v>
      </c>
      <c r="G111" s="78">
        <f t="shared" si="57"/>
        <v>-0.87708897115099405</v>
      </c>
      <c r="H111" s="33">
        <v>12394306.500000004</v>
      </c>
      <c r="I111" s="33">
        <v>13113143.8333333</v>
      </c>
      <c r="J111" s="32">
        <f t="shared" si="58"/>
        <v>-718837.3333332967</v>
      </c>
      <c r="K111" s="78">
        <f t="shared" si="59"/>
        <v>-5.4818077378670171E-2</v>
      </c>
      <c r="L111" s="33">
        <v>24788612.5</v>
      </c>
      <c r="M111" s="32">
        <f t="shared" si="60"/>
        <v>-12394305.999999996</v>
      </c>
      <c r="N111" s="77">
        <f t="shared" si="61"/>
        <v>-0.49999998991472377</v>
      </c>
      <c r="O111" s="36">
        <v>268624.99999999907</v>
      </c>
      <c r="P111" s="35">
        <f>T111/6</f>
        <v>2185523.9722222169</v>
      </c>
      <c r="Q111" s="32">
        <f t="shared" si="62"/>
        <v>-1916898.9722222178</v>
      </c>
      <c r="R111" s="78">
        <f t="shared" si="63"/>
        <v>-0.87708897115099405</v>
      </c>
      <c r="S111" s="33">
        <v>12394306.500000004</v>
      </c>
      <c r="T111" s="33">
        <v>13113143.8333333</v>
      </c>
      <c r="U111" s="32">
        <f t="shared" si="64"/>
        <v>-718837.3333332967</v>
      </c>
      <c r="V111" s="78">
        <f t="shared" si="65"/>
        <v>-5.4818077378670171E-2</v>
      </c>
      <c r="W111" s="33">
        <v>24788612.5</v>
      </c>
      <c r="X111" s="32">
        <f t="shared" si="66"/>
        <v>-12394305.999999996</v>
      </c>
      <c r="Y111" s="77">
        <f t="shared" si="67"/>
        <v>-0.49999998991472377</v>
      </c>
      <c r="Z111" s="36">
        <v>268624.99999999907</v>
      </c>
      <c r="AA111" s="35">
        <f>AE111/6</f>
        <v>2185523.9722222169</v>
      </c>
      <c r="AB111" s="32">
        <f t="shared" si="68"/>
        <v>-1916898.9722222178</v>
      </c>
      <c r="AC111" s="78">
        <f t="shared" si="69"/>
        <v>-0.87708897115099405</v>
      </c>
      <c r="AD111" s="33">
        <v>12394306.500000004</v>
      </c>
      <c r="AE111" s="33">
        <v>13113143.8333333</v>
      </c>
      <c r="AF111" s="32">
        <f t="shared" si="70"/>
        <v>-718837.3333332967</v>
      </c>
      <c r="AG111" s="78">
        <f t="shared" si="71"/>
        <v>-5.4818077378670171E-2</v>
      </c>
      <c r="AH111" s="33">
        <v>24788612.5</v>
      </c>
      <c r="AI111" s="32">
        <f t="shared" si="72"/>
        <v>-12394305.999999996</v>
      </c>
      <c r="AJ111" s="77">
        <f t="shared" si="73"/>
        <v>-0.49999998991472377</v>
      </c>
    </row>
    <row r="112" spans="1:36" s="6" customFormat="1" hidden="1" outlineLevel="2" collapsed="1" x14ac:dyDescent="0.2">
      <c r="A112" s="30"/>
      <c r="B112" s="29" t="str">
        <f t="shared" si="55"/>
        <v>Итого квртальная премия, выплата</v>
      </c>
      <c r="C112" s="42" t="str">
        <f t="shared" si="55"/>
        <v>Total Quarterly bonus cash</v>
      </c>
      <c r="D112" s="27">
        <f>SUM(D110:D111)</f>
        <v>10840324</v>
      </c>
      <c r="E112" s="26">
        <f>SUM(E110:E111)</f>
        <v>13391188.521111116</v>
      </c>
      <c r="F112" s="23">
        <f t="shared" si="56"/>
        <v>-2550864.5211111158</v>
      </c>
      <c r="G112" s="76">
        <f t="shared" si="57"/>
        <v>-0.19048828392563477</v>
      </c>
      <c r="H112" s="24">
        <f>SUM(H110:H111)</f>
        <v>79390556.440000072</v>
      </c>
      <c r="I112" s="24">
        <f>SUM(I110:I111)</f>
        <v>80347131.126666695</v>
      </c>
      <c r="J112" s="23">
        <f t="shared" si="58"/>
        <v>-956574.68666662276</v>
      </c>
      <c r="K112" s="76">
        <f t="shared" si="59"/>
        <v>-1.1905523859446654E-2</v>
      </c>
      <c r="L112" s="24">
        <f>SUM(L110:L111)</f>
        <v>158781112.5</v>
      </c>
      <c r="M112" s="23">
        <f t="shared" si="60"/>
        <v>-79390556.059999928</v>
      </c>
      <c r="N112" s="75">
        <f t="shared" si="61"/>
        <v>-0.49999999880338369</v>
      </c>
      <c r="O112" s="27">
        <f>SUM(O110:O111)</f>
        <v>10840324</v>
      </c>
      <c r="P112" s="26">
        <f>SUM(P110:P111)</f>
        <v>13391188.521111116</v>
      </c>
      <c r="Q112" s="23">
        <f t="shared" si="62"/>
        <v>-2550864.5211111158</v>
      </c>
      <c r="R112" s="76">
        <f t="shared" si="63"/>
        <v>-0.19048828392563477</v>
      </c>
      <c r="S112" s="24">
        <f>SUM(S110:S111)</f>
        <v>79390556.440000072</v>
      </c>
      <c r="T112" s="24">
        <f>SUM(T110:T111)</f>
        <v>80347131.126666695</v>
      </c>
      <c r="U112" s="23">
        <f t="shared" si="64"/>
        <v>-956574.68666662276</v>
      </c>
      <c r="V112" s="76">
        <f t="shared" si="65"/>
        <v>-1.1905523859446654E-2</v>
      </c>
      <c r="W112" s="24">
        <f>SUM(W110:W111)</f>
        <v>158781112.5</v>
      </c>
      <c r="X112" s="23">
        <f t="shared" si="66"/>
        <v>-79390556.059999928</v>
      </c>
      <c r="Y112" s="75">
        <f t="shared" si="67"/>
        <v>-0.49999999880338369</v>
      </c>
      <c r="Z112" s="27">
        <f>SUM(Z110:Z111)</f>
        <v>10840324</v>
      </c>
      <c r="AA112" s="26">
        <f>SUM(AA110:AA111)</f>
        <v>13391188.521111116</v>
      </c>
      <c r="AB112" s="23">
        <f t="shared" si="68"/>
        <v>-2550864.5211111158</v>
      </c>
      <c r="AC112" s="76">
        <f t="shared" si="69"/>
        <v>-0.19048828392563477</v>
      </c>
      <c r="AD112" s="24">
        <f>SUM(AD110:AD111)</f>
        <v>79390556.440000072</v>
      </c>
      <c r="AE112" s="24">
        <f>SUM(AE110:AE111)</f>
        <v>80347131.126666695</v>
      </c>
      <c r="AF112" s="23">
        <f t="shared" si="70"/>
        <v>-956574.68666662276</v>
      </c>
      <c r="AG112" s="76">
        <f t="shared" si="71"/>
        <v>-1.1905523859446654E-2</v>
      </c>
      <c r="AH112" s="24">
        <f>SUM(AH110:AH111)</f>
        <v>158781112.5</v>
      </c>
      <c r="AI112" s="23">
        <f t="shared" si="72"/>
        <v>-79390556.059999928</v>
      </c>
      <c r="AJ112" s="75">
        <f t="shared" si="73"/>
        <v>-0.49999999880338369</v>
      </c>
    </row>
    <row r="113" spans="1:36" s="6" customFormat="1" outlineLevel="1" collapsed="1" x14ac:dyDescent="0.2">
      <c r="A113" s="30"/>
      <c r="B113" s="48" t="str">
        <f t="shared" si="55"/>
        <v>Квартальная премия</v>
      </c>
      <c r="C113" s="47" t="str">
        <f t="shared" si="55"/>
        <v>Quarterly bonus</v>
      </c>
      <c r="D113" s="46">
        <f>D112+D109+D106</f>
        <v>10840324</v>
      </c>
      <c r="E113" s="45">
        <f>E112+E109+E106</f>
        <v>13391188.521111116</v>
      </c>
      <c r="F113" s="23">
        <f t="shared" si="56"/>
        <v>-2550864.5211111158</v>
      </c>
      <c r="G113" s="76">
        <f t="shared" si="57"/>
        <v>-0.19048828392563477</v>
      </c>
      <c r="H113" s="44">
        <f>H112+H109+H106</f>
        <v>79390556.440000072</v>
      </c>
      <c r="I113" s="44">
        <f>I112+I109+I106</f>
        <v>80347131.126666695</v>
      </c>
      <c r="J113" s="23">
        <f t="shared" si="58"/>
        <v>-956574.68666662276</v>
      </c>
      <c r="K113" s="76">
        <f t="shared" si="59"/>
        <v>-1.1905523859446654E-2</v>
      </c>
      <c r="L113" s="44">
        <f>L112+L109+L106</f>
        <v>158781112.5</v>
      </c>
      <c r="M113" s="23">
        <f t="shared" si="60"/>
        <v>-79390556.059999928</v>
      </c>
      <c r="N113" s="75">
        <f t="shared" si="61"/>
        <v>-0.49999999880338369</v>
      </c>
      <c r="O113" s="46">
        <f>O112+O109+O106</f>
        <v>10840324</v>
      </c>
      <c r="P113" s="45">
        <f>P112+P109+P106</f>
        <v>13391188.521111116</v>
      </c>
      <c r="Q113" s="23">
        <f t="shared" si="62"/>
        <v>-2550864.5211111158</v>
      </c>
      <c r="R113" s="76">
        <f t="shared" si="63"/>
        <v>-0.19048828392563477</v>
      </c>
      <c r="S113" s="44">
        <f>S112+S109+S106</f>
        <v>79390556.440000072</v>
      </c>
      <c r="T113" s="44">
        <f>T112+T109+T106</f>
        <v>80347131.126666695</v>
      </c>
      <c r="U113" s="23">
        <f t="shared" si="64"/>
        <v>-956574.68666662276</v>
      </c>
      <c r="V113" s="76">
        <f t="shared" si="65"/>
        <v>-1.1905523859446654E-2</v>
      </c>
      <c r="W113" s="44">
        <f>W112+W109+W106</f>
        <v>158781112.5</v>
      </c>
      <c r="X113" s="23">
        <f t="shared" si="66"/>
        <v>-79390556.059999928</v>
      </c>
      <c r="Y113" s="75">
        <f t="shared" si="67"/>
        <v>-0.49999999880338369</v>
      </c>
      <c r="Z113" s="46">
        <f>Z112+Z109+Z106</f>
        <v>10840324</v>
      </c>
      <c r="AA113" s="45">
        <f>AA112+AA109+AA106</f>
        <v>13391188.521111116</v>
      </c>
      <c r="AB113" s="23">
        <f t="shared" si="68"/>
        <v>-2550864.5211111158</v>
      </c>
      <c r="AC113" s="76">
        <f t="shared" si="69"/>
        <v>-0.19048828392563477</v>
      </c>
      <c r="AD113" s="44">
        <f>AD112+AD109+AD106</f>
        <v>79390556.440000072</v>
      </c>
      <c r="AE113" s="44">
        <f>AE112+AE109+AE106</f>
        <v>80347131.126666695</v>
      </c>
      <c r="AF113" s="23">
        <f t="shared" si="70"/>
        <v>-956574.68666662276</v>
      </c>
      <c r="AG113" s="76">
        <f t="shared" si="71"/>
        <v>-1.1905523859446654E-2</v>
      </c>
      <c r="AH113" s="44">
        <f>AH112+AH109+AH106</f>
        <v>158781112.5</v>
      </c>
      <c r="AI113" s="23">
        <f t="shared" si="72"/>
        <v>-79390556.059999928</v>
      </c>
      <c r="AJ113" s="75">
        <f t="shared" si="73"/>
        <v>-0.49999999880338369</v>
      </c>
    </row>
    <row r="114" spans="1:36" s="6" customFormat="1" x14ac:dyDescent="0.2">
      <c r="B114" s="21" t="str">
        <f t="shared" si="55"/>
        <v>ФОТ до бонуса</v>
      </c>
      <c r="C114" s="20" t="str">
        <f t="shared" si="55"/>
        <v>FIX compensation before Bonus</v>
      </c>
      <c r="D114" s="19">
        <f>D113+D103+D90+D87</f>
        <v>252295147.18000001</v>
      </c>
      <c r="E114" s="18">
        <f>E113+E103+E90+E87</f>
        <v>239120274.00648364</v>
      </c>
      <c r="F114" s="15">
        <f t="shared" si="56"/>
        <v>13174873.173516363</v>
      </c>
      <c r="G114" s="74">
        <f t="shared" si="57"/>
        <v>5.5097265291520703E-2</v>
      </c>
      <c r="H114" s="16">
        <f>H113+H103+H90+H87</f>
        <v>1678249346.3999999</v>
      </c>
      <c r="I114" s="18">
        <f>I113+I103+I90+I87</f>
        <v>1438699063.078902</v>
      </c>
      <c r="J114" s="15">
        <f t="shared" si="58"/>
        <v>239550283.32109785</v>
      </c>
      <c r="K114" s="74">
        <f t="shared" si="59"/>
        <v>0.1665047885750659</v>
      </c>
      <c r="L114" s="16">
        <f>L113+L103+L90+L87</f>
        <v>2881302093.2137766</v>
      </c>
      <c r="M114" s="15">
        <f t="shared" si="60"/>
        <v>-1203052746.8137767</v>
      </c>
      <c r="N114" s="73">
        <f t="shared" si="61"/>
        <v>-0.41753787277192561</v>
      </c>
      <c r="O114" s="19">
        <f>O113+O103+O90+O87</f>
        <v>252295147.18000001</v>
      </c>
      <c r="P114" s="18">
        <f>P113+P103+P90+P87</f>
        <v>239120274.00648364</v>
      </c>
      <c r="Q114" s="15">
        <f t="shared" si="62"/>
        <v>13174873.173516363</v>
      </c>
      <c r="R114" s="74">
        <f t="shared" si="63"/>
        <v>5.5097265291520703E-2</v>
      </c>
      <c r="S114" s="16">
        <f>S113+S103+S90+S87</f>
        <v>1678249346.3999999</v>
      </c>
      <c r="T114" s="18">
        <f>T113+T103+T90+T87</f>
        <v>1438699063.078902</v>
      </c>
      <c r="U114" s="15">
        <f t="shared" si="64"/>
        <v>239550283.32109785</v>
      </c>
      <c r="V114" s="74">
        <f t="shared" si="65"/>
        <v>0.1665047885750659</v>
      </c>
      <c r="W114" s="16">
        <f>W113+W103+W90+W87</f>
        <v>2881302093.2137766</v>
      </c>
      <c r="X114" s="15">
        <f t="shared" si="66"/>
        <v>-1203052746.8137767</v>
      </c>
      <c r="Y114" s="73">
        <f t="shared" si="67"/>
        <v>-0.41753787277192561</v>
      </c>
      <c r="Z114" s="19">
        <f>Z113+Z103+Z90+Z87</f>
        <v>252295147.18000001</v>
      </c>
      <c r="AA114" s="18">
        <f>AA113+AA103+AA90+AA87</f>
        <v>239120274.00648364</v>
      </c>
      <c r="AB114" s="15">
        <f t="shared" si="68"/>
        <v>13174873.173516363</v>
      </c>
      <c r="AC114" s="74">
        <f t="shared" si="69"/>
        <v>5.5097265291520703E-2</v>
      </c>
      <c r="AD114" s="16">
        <f>AD113+AD103+AD90+AD87</f>
        <v>1678249346.3999999</v>
      </c>
      <c r="AE114" s="18">
        <f>AE113+AE103+AE90+AE87</f>
        <v>1438699063.078902</v>
      </c>
      <c r="AF114" s="15">
        <f t="shared" si="70"/>
        <v>239550283.32109785</v>
      </c>
      <c r="AG114" s="74">
        <f t="shared" si="71"/>
        <v>0.1665047885750659</v>
      </c>
      <c r="AH114" s="16">
        <f>AH113+AH103+AH90+AH87</f>
        <v>2881302093.2137766</v>
      </c>
      <c r="AI114" s="15">
        <f t="shared" si="72"/>
        <v>-1203052746.8137767</v>
      </c>
      <c r="AJ114" s="73">
        <f t="shared" si="73"/>
        <v>-0.41753787277192561</v>
      </c>
    </row>
    <row r="115" spans="1:36" ht="12.75" hidden="1" customHeight="1" outlineLevel="3" x14ac:dyDescent="0.2">
      <c r="B115" s="38" t="str">
        <f t="shared" ref="B115:C129" si="74">B52</f>
        <v>Резерв бонуса прошлых лет</v>
      </c>
      <c r="C115" s="37" t="str">
        <f t="shared" si="74"/>
        <v>Under-/overaccruals - cash</v>
      </c>
      <c r="D115" s="36">
        <v>0</v>
      </c>
      <c r="E115" s="40">
        <v>0</v>
      </c>
      <c r="F115" s="32">
        <f t="shared" si="56"/>
        <v>0</v>
      </c>
      <c r="G115" s="78" t="str">
        <f t="shared" si="57"/>
        <v>-</v>
      </c>
      <c r="H115" s="33">
        <v>-1030559766.46</v>
      </c>
      <c r="I115" s="33">
        <v>-1030559766.46</v>
      </c>
      <c r="J115" s="32">
        <f t="shared" si="58"/>
        <v>0</v>
      </c>
      <c r="K115" s="78">
        <f t="shared" si="59"/>
        <v>0</v>
      </c>
      <c r="L115" s="33">
        <v>-1030559766.46</v>
      </c>
      <c r="M115" s="32">
        <f t="shared" si="60"/>
        <v>0</v>
      </c>
      <c r="N115" s="77">
        <f t="shared" si="61"/>
        <v>0</v>
      </c>
      <c r="O115" s="36">
        <v>0</v>
      </c>
      <c r="P115" s="40">
        <v>0</v>
      </c>
      <c r="Q115" s="32">
        <f t="shared" si="62"/>
        <v>0</v>
      </c>
      <c r="R115" s="78" t="str">
        <f t="shared" si="63"/>
        <v>-</v>
      </c>
      <c r="S115" s="33">
        <v>-1030559766.46</v>
      </c>
      <c r="T115" s="33">
        <v>-1030559766.46</v>
      </c>
      <c r="U115" s="32">
        <f t="shared" si="64"/>
        <v>0</v>
      </c>
      <c r="V115" s="78">
        <f t="shared" si="65"/>
        <v>0</v>
      </c>
      <c r="W115" s="33">
        <v>-1030559766.46</v>
      </c>
      <c r="X115" s="32">
        <f t="shared" si="66"/>
        <v>0</v>
      </c>
      <c r="Y115" s="77">
        <f t="shared" si="67"/>
        <v>0</v>
      </c>
      <c r="Z115" s="36">
        <v>0</v>
      </c>
      <c r="AA115" s="40">
        <v>0</v>
      </c>
      <c r="AB115" s="32">
        <f t="shared" si="68"/>
        <v>0</v>
      </c>
      <c r="AC115" s="78" t="str">
        <f t="shared" si="69"/>
        <v>-</v>
      </c>
      <c r="AD115" s="33">
        <v>-1030559766.46</v>
      </c>
      <c r="AE115" s="33">
        <v>-1030559766.46</v>
      </c>
      <c r="AF115" s="32">
        <f t="shared" si="70"/>
        <v>0</v>
      </c>
      <c r="AG115" s="78">
        <f t="shared" si="71"/>
        <v>0</v>
      </c>
      <c r="AH115" s="33">
        <v>-1030559766.46</v>
      </c>
      <c r="AI115" s="32">
        <f t="shared" si="72"/>
        <v>0</v>
      </c>
      <c r="AJ115" s="77">
        <f t="shared" si="73"/>
        <v>0</v>
      </c>
    </row>
    <row r="116" spans="1:36" ht="12.75" hidden="1" customHeight="1" outlineLevel="3" x14ac:dyDescent="0.2">
      <c r="B116" s="38" t="str">
        <f t="shared" si="74"/>
        <v>Страховые взносы, резерв бонуса прошлых лет</v>
      </c>
      <c r="C116" s="37" t="str">
        <f t="shared" si="74"/>
        <v>Under-/overaccruals - contribution to social secur</v>
      </c>
      <c r="D116" s="36">
        <v>0</v>
      </c>
      <c r="E116" s="40">
        <v>0</v>
      </c>
      <c r="F116" s="32">
        <f t="shared" si="56"/>
        <v>0</v>
      </c>
      <c r="G116" s="78" t="str">
        <f t="shared" si="57"/>
        <v>-</v>
      </c>
      <c r="H116" s="33">
        <v>-305311883.32000005</v>
      </c>
      <c r="I116" s="33">
        <v>-281392275.22000003</v>
      </c>
      <c r="J116" s="32">
        <f t="shared" si="58"/>
        <v>-23919608.100000024</v>
      </c>
      <c r="K116" s="78">
        <f t="shared" si="59"/>
        <v>8.5004494459910207E-2</v>
      </c>
      <c r="L116" s="33">
        <v>-281392275.22000003</v>
      </c>
      <c r="M116" s="32">
        <f t="shared" si="60"/>
        <v>-23919608.100000024</v>
      </c>
      <c r="N116" s="77">
        <f t="shared" si="61"/>
        <v>8.5004494459910221E-2</v>
      </c>
      <c r="O116" s="36">
        <v>0</v>
      </c>
      <c r="P116" s="40">
        <v>0</v>
      </c>
      <c r="Q116" s="32">
        <f t="shared" si="62"/>
        <v>0</v>
      </c>
      <c r="R116" s="78" t="str">
        <f t="shared" si="63"/>
        <v>-</v>
      </c>
      <c r="S116" s="33">
        <v>-305311883.32000005</v>
      </c>
      <c r="T116" s="33">
        <v>-281392275.22000003</v>
      </c>
      <c r="U116" s="32">
        <f t="shared" si="64"/>
        <v>-23919608.100000024</v>
      </c>
      <c r="V116" s="78">
        <f t="shared" si="65"/>
        <v>8.5004494459910207E-2</v>
      </c>
      <c r="W116" s="33">
        <v>-281392275.22000003</v>
      </c>
      <c r="X116" s="32">
        <f t="shared" si="66"/>
        <v>-23919608.100000024</v>
      </c>
      <c r="Y116" s="77">
        <f t="shared" si="67"/>
        <v>8.5004494459910221E-2</v>
      </c>
      <c r="Z116" s="36">
        <v>0</v>
      </c>
      <c r="AA116" s="40">
        <v>0</v>
      </c>
      <c r="AB116" s="32">
        <f t="shared" si="68"/>
        <v>0</v>
      </c>
      <c r="AC116" s="78" t="str">
        <f t="shared" si="69"/>
        <v>-</v>
      </c>
      <c r="AD116" s="33">
        <v>-305311883.32000005</v>
      </c>
      <c r="AE116" s="33">
        <v>-281392275.22000003</v>
      </c>
      <c r="AF116" s="32">
        <f t="shared" si="70"/>
        <v>-23919608.100000024</v>
      </c>
      <c r="AG116" s="78">
        <f t="shared" si="71"/>
        <v>8.5004494459910207E-2</v>
      </c>
      <c r="AH116" s="33">
        <v>-281392275.22000003</v>
      </c>
      <c r="AI116" s="32">
        <f t="shared" si="72"/>
        <v>-23919608.100000024</v>
      </c>
      <c r="AJ116" s="77">
        <f t="shared" si="73"/>
        <v>8.5004494459910221E-2</v>
      </c>
    </row>
    <row r="117" spans="1:36" s="6" customFormat="1" ht="14.45" customHeight="1" outlineLevel="1" collapsed="1" x14ac:dyDescent="0.2">
      <c r="A117" s="30"/>
      <c r="B117" s="48" t="str">
        <f t="shared" si="74"/>
        <v>Итого Резерв бонуса прошлых лет</v>
      </c>
      <c r="C117" s="47" t="str">
        <f t="shared" si="74"/>
        <v>Total Under-/overaccruals - cash</v>
      </c>
      <c r="D117" s="46">
        <f>SUM(D115:D116)</f>
        <v>0</v>
      </c>
      <c r="E117" s="45">
        <f>SUM(E115:E116)</f>
        <v>0</v>
      </c>
      <c r="F117" s="23">
        <f t="shared" si="56"/>
        <v>0</v>
      </c>
      <c r="G117" s="76" t="str">
        <f t="shared" si="57"/>
        <v>-</v>
      </c>
      <c r="H117" s="44">
        <f>SUM(H115:H116)</f>
        <v>-1335871649.7800002</v>
      </c>
      <c r="I117" s="44">
        <f>SUM(I115:I116)</f>
        <v>-1311952041.6800001</v>
      </c>
      <c r="J117" s="23">
        <f t="shared" si="58"/>
        <v>-23919608.100000143</v>
      </c>
      <c r="K117" s="76">
        <f t="shared" si="59"/>
        <v>1.8232075060739428E-2</v>
      </c>
      <c r="L117" s="44">
        <f>SUM(L115:L116)</f>
        <v>-1311952041.6800001</v>
      </c>
      <c r="M117" s="23">
        <f t="shared" si="60"/>
        <v>-23919608.100000143</v>
      </c>
      <c r="N117" s="75">
        <f t="shared" si="61"/>
        <v>1.8232075060739459E-2</v>
      </c>
      <c r="O117" s="46">
        <f>SUM(O115:O116)</f>
        <v>0</v>
      </c>
      <c r="P117" s="45">
        <f>SUM(P115:P116)</f>
        <v>0</v>
      </c>
      <c r="Q117" s="23">
        <f t="shared" si="62"/>
        <v>0</v>
      </c>
      <c r="R117" s="76" t="str">
        <f t="shared" si="63"/>
        <v>-</v>
      </c>
      <c r="S117" s="44">
        <f>SUM(S115:S116)</f>
        <v>-1335871649.7800002</v>
      </c>
      <c r="T117" s="44">
        <f>SUM(T115:T116)</f>
        <v>-1311952041.6800001</v>
      </c>
      <c r="U117" s="23">
        <f t="shared" si="64"/>
        <v>-23919608.100000143</v>
      </c>
      <c r="V117" s="76">
        <f t="shared" si="65"/>
        <v>1.8232075060739428E-2</v>
      </c>
      <c r="W117" s="44">
        <f>SUM(W115:W116)</f>
        <v>-1311952041.6800001</v>
      </c>
      <c r="X117" s="23">
        <f t="shared" si="66"/>
        <v>-23919608.100000143</v>
      </c>
      <c r="Y117" s="75">
        <f t="shared" si="67"/>
        <v>1.8232075060739459E-2</v>
      </c>
      <c r="Z117" s="46">
        <f>SUM(Z115:Z116)</f>
        <v>0</v>
      </c>
      <c r="AA117" s="45">
        <f>SUM(AA115:AA116)</f>
        <v>0</v>
      </c>
      <c r="AB117" s="23">
        <f t="shared" si="68"/>
        <v>0</v>
      </c>
      <c r="AC117" s="76" t="str">
        <f t="shared" si="69"/>
        <v>-</v>
      </c>
      <c r="AD117" s="44">
        <f>SUM(AD115:AD116)</f>
        <v>-1335871649.7800002</v>
      </c>
      <c r="AE117" s="44">
        <f>SUM(AE115:AE116)</f>
        <v>-1311952041.6800001</v>
      </c>
      <c r="AF117" s="23">
        <f t="shared" si="70"/>
        <v>-23919608.100000143</v>
      </c>
      <c r="AG117" s="76">
        <f t="shared" si="71"/>
        <v>1.8232075060739428E-2</v>
      </c>
      <c r="AH117" s="44">
        <f>SUM(AH115:AH116)</f>
        <v>-1311952041.6800001</v>
      </c>
      <c r="AI117" s="23">
        <f t="shared" si="72"/>
        <v>-23919608.100000143</v>
      </c>
      <c r="AJ117" s="75">
        <f t="shared" si="73"/>
        <v>1.8232075060739459E-2</v>
      </c>
    </row>
    <row r="118" spans="1:36" s="6" customFormat="1" x14ac:dyDescent="0.2">
      <c r="B118" s="21" t="str">
        <f t="shared" si="74"/>
        <v>Резерв бонуса прошлых лет</v>
      </c>
      <c r="C118" s="20" t="str">
        <f t="shared" si="74"/>
        <v>Under-/overaccruals - cash</v>
      </c>
      <c r="D118" s="19">
        <f>D117</f>
        <v>0</v>
      </c>
      <c r="E118" s="18">
        <f>E117</f>
        <v>0</v>
      </c>
      <c r="F118" s="15">
        <f t="shared" si="56"/>
        <v>0</v>
      </c>
      <c r="G118" s="74" t="str">
        <f t="shared" si="57"/>
        <v>-</v>
      </c>
      <c r="H118" s="16">
        <f>H117</f>
        <v>-1335871649.7800002</v>
      </c>
      <c r="I118" s="18">
        <f>I117</f>
        <v>-1311952041.6800001</v>
      </c>
      <c r="J118" s="15">
        <f t="shared" si="58"/>
        <v>-23919608.100000143</v>
      </c>
      <c r="K118" s="74">
        <f t="shared" si="59"/>
        <v>1.8232075060739428E-2</v>
      </c>
      <c r="L118" s="16">
        <f>L117</f>
        <v>-1311952041.6800001</v>
      </c>
      <c r="M118" s="15">
        <f t="shared" si="60"/>
        <v>-23919608.100000143</v>
      </c>
      <c r="N118" s="73">
        <f t="shared" si="61"/>
        <v>1.8232075060739459E-2</v>
      </c>
      <c r="O118" s="19">
        <f>O117</f>
        <v>0</v>
      </c>
      <c r="P118" s="18">
        <f>P117</f>
        <v>0</v>
      </c>
      <c r="Q118" s="15">
        <f t="shared" si="62"/>
        <v>0</v>
      </c>
      <c r="R118" s="74" t="str">
        <f t="shared" si="63"/>
        <v>-</v>
      </c>
      <c r="S118" s="16">
        <f>S117</f>
        <v>-1335871649.7800002</v>
      </c>
      <c r="T118" s="18">
        <f>T117</f>
        <v>-1311952041.6800001</v>
      </c>
      <c r="U118" s="15">
        <f t="shared" si="64"/>
        <v>-23919608.100000143</v>
      </c>
      <c r="V118" s="74">
        <f t="shared" si="65"/>
        <v>1.8232075060739428E-2</v>
      </c>
      <c r="W118" s="16">
        <f>W117</f>
        <v>-1311952041.6800001</v>
      </c>
      <c r="X118" s="15">
        <f t="shared" si="66"/>
        <v>-23919608.100000143</v>
      </c>
      <c r="Y118" s="73">
        <f t="shared" si="67"/>
        <v>1.8232075060739459E-2</v>
      </c>
      <c r="Z118" s="19">
        <f>Z117</f>
        <v>0</v>
      </c>
      <c r="AA118" s="18">
        <f>AA117</f>
        <v>0</v>
      </c>
      <c r="AB118" s="15">
        <f t="shared" si="68"/>
        <v>0</v>
      </c>
      <c r="AC118" s="74" t="str">
        <f t="shared" si="69"/>
        <v>-</v>
      </c>
      <c r="AD118" s="16">
        <f>AD117</f>
        <v>-1335871649.7800002</v>
      </c>
      <c r="AE118" s="18">
        <f>AE117</f>
        <v>-1311952041.6800001</v>
      </c>
      <c r="AF118" s="15">
        <f t="shared" si="70"/>
        <v>-23919608.100000143</v>
      </c>
      <c r="AG118" s="74">
        <f t="shared" si="71"/>
        <v>1.8232075060739428E-2</v>
      </c>
      <c r="AH118" s="16">
        <f>AH117</f>
        <v>-1311952041.6800001</v>
      </c>
      <c r="AI118" s="15">
        <f t="shared" si="72"/>
        <v>-23919608.100000143</v>
      </c>
      <c r="AJ118" s="73">
        <f t="shared" si="73"/>
        <v>1.8232075060739459E-2</v>
      </c>
    </row>
    <row r="119" spans="1:36" ht="12.75" hidden="1" customHeight="1" outlineLevel="3" x14ac:dyDescent="0.2">
      <c r="B119" s="38" t="str">
        <f t="shared" si="74"/>
        <v>Резерв годового бонуса</v>
      </c>
      <c r="C119" s="37" t="str">
        <f t="shared" si="74"/>
        <v>Bonus discretionary Accrual</v>
      </c>
      <c r="D119" s="36">
        <v>0</v>
      </c>
      <c r="E119" s="40">
        <v>0</v>
      </c>
      <c r="F119" s="32">
        <f t="shared" si="56"/>
        <v>0</v>
      </c>
      <c r="G119" s="78" t="str">
        <f t="shared" si="57"/>
        <v>-</v>
      </c>
      <c r="H119" s="33">
        <v>0</v>
      </c>
      <c r="I119" s="33">
        <v>0</v>
      </c>
      <c r="J119" s="32">
        <f t="shared" si="58"/>
        <v>0</v>
      </c>
      <c r="K119" s="78" t="str">
        <f t="shared" si="59"/>
        <v>-</v>
      </c>
      <c r="L119" s="33">
        <v>0</v>
      </c>
      <c r="M119" s="32">
        <f t="shared" si="60"/>
        <v>0</v>
      </c>
      <c r="N119" s="77" t="str">
        <f t="shared" si="61"/>
        <v>-</v>
      </c>
      <c r="O119" s="36">
        <v>0</v>
      </c>
      <c r="P119" s="40">
        <v>0</v>
      </c>
      <c r="Q119" s="32">
        <f t="shared" si="62"/>
        <v>0</v>
      </c>
      <c r="R119" s="78" t="str">
        <f t="shared" si="63"/>
        <v>-</v>
      </c>
      <c r="S119" s="33">
        <v>0</v>
      </c>
      <c r="T119" s="33">
        <v>0</v>
      </c>
      <c r="U119" s="32">
        <f t="shared" si="64"/>
        <v>0</v>
      </c>
      <c r="V119" s="78" t="str">
        <f t="shared" si="65"/>
        <v>-</v>
      </c>
      <c r="W119" s="33">
        <v>0</v>
      </c>
      <c r="X119" s="32">
        <f t="shared" si="66"/>
        <v>0</v>
      </c>
      <c r="Y119" s="77" t="str">
        <f t="shared" si="67"/>
        <v>-</v>
      </c>
      <c r="Z119" s="36">
        <v>0</v>
      </c>
      <c r="AA119" s="40">
        <v>0</v>
      </c>
      <c r="AB119" s="32">
        <f t="shared" si="68"/>
        <v>0</v>
      </c>
      <c r="AC119" s="78" t="str">
        <f t="shared" si="69"/>
        <v>-</v>
      </c>
      <c r="AD119" s="33">
        <v>0</v>
      </c>
      <c r="AE119" s="33">
        <v>0</v>
      </c>
      <c r="AF119" s="32">
        <f t="shared" si="70"/>
        <v>0</v>
      </c>
      <c r="AG119" s="78" t="str">
        <f t="shared" si="71"/>
        <v>-</v>
      </c>
      <c r="AH119" s="33">
        <v>0</v>
      </c>
      <c r="AI119" s="32">
        <f t="shared" si="72"/>
        <v>0</v>
      </c>
      <c r="AJ119" s="77" t="str">
        <f t="shared" si="73"/>
        <v>-</v>
      </c>
    </row>
    <row r="120" spans="1:36" ht="12.75" hidden="1" customHeight="1" outlineLevel="3" x14ac:dyDescent="0.2">
      <c r="B120" s="38" t="str">
        <f t="shared" si="74"/>
        <v>Страховые взносы, резерв годового бонуса</v>
      </c>
      <c r="C120" s="37" t="str">
        <f t="shared" si="74"/>
        <v>Social Security on discretionary Bonus Accrual</v>
      </c>
      <c r="D120" s="41">
        <v>0</v>
      </c>
      <c r="E120" s="40">
        <v>0</v>
      </c>
      <c r="F120" s="32">
        <f t="shared" si="56"/>
        <v>0</v>
      </c>
      <c r="G120" s="78" t="str">
        <f t="shared" si="57"/>
        <v>-</v>
      </c>
      <c r="H120" s="39">
        <v>0</v>
      </c>
      <c r="I120" s="39">
        <v>0</v>
      </c>
      <c r="J120" s="32">
        <f t="shared" si="58"/>
        <v>0</v>
      </c>
      <c r="K120" s="78" t="str">
        <f t="shared" si="59"/>
        <v>-</v>
      </c>
      <c r="L120" s="39">
        <v>0</v>
      </c>
      <c r="M120" s="32">
        <f t="shared" si="60"/>
        <v>0</v>
      </c>
      <c r="N120" s="77" t="str">
        <f t="shared" si="61"/>
        <v>-</v>
      </c>
      <c r="O120" s="41">
        <v>0</v>
      </c>
      <c r="P120" s="40">
        <v>0</v>
      </c>
      <c r="Q120" s="32">
        <f t="shared" si="62"/>
        <v>0</v>
      </c>
      <c r="R120" s="78" t="str">
        <f t="shared" si="63"/>
        <v>-</v>
      </c>
      <c r="S120" s="39">
        <v>0</v>
      </c>
      <c r="T120" s="39">
        <v>0</v>
      </c>
      <c r="U120" s="32">
        <f t="shared" si="64"/>
        <v>0</v>
      </c>
      <c r="V120" s="78" t="str">
        <f t="shared" si="65"/>
        <v>-</v>
      </c>
      <c r="W120" s="39">
        <v>0</v>
      </c>
      <c r="X120" s="32">
        <f t="shared" si="66"/>
        <v>0</v>
      </c>
      <c r="Y120" s="77" t="str">
        <f t="shared" si="67"/>
        <v>-</v>
      </c>
      <c r="Z120" s="41">
        <v>0</v>
      </c>
      <c r="AA120" s="40">
        <v>0</v>
      </c>
      <c r="AB120" s="32">
        <f t="shared" si="68"/>
        <v>0</v>
      </c>
      <c r="AC120" s="78" t="str">
        <f t="shared" si="69"/>
        <v>-</v>
      </c>
      <c r="AD120" s="39">
        <v>0</v>
      </c>
      <c r="AE120" s="39">
        <v>0</v>
      </c>
      <c r="AF120" s="32">
        <f t="shared" si="70"/>
        <v>0</v>
      </c>
      <c r="AG120" s="78" t="str">
        <f t="shared" si="71"/>
        <v>-</v>
      </c>
      <c r="AH120" s="39">
        <v>0</v>
      </c>
      <c r="AI120" s="32">
        <f t="shared" si="72"/>
        <v>0</v>
      </c>
      <c r="AJ120" s="77" t="str">
        <f t="shared" si="73"/>
        <v>-</v>
      </c>
    </row>
    <row r="121" spans="1:36" s="6" customFormat="1" hidden="1" outlineLevel="2" collapsed="1" x14ac:dyDescent="0.2">
      <c r="A121" s="30"/>
      <c r="B121" s="29" t="str">
        <f t="shared" si="74"/>
        <v>Итого резерв годового бонуса</v>
      </c>
      <c r="C121" s="42" t="str">
        <f t="shared" si="74"/>
        <v>Total Bonus discretionary Accrual</v>
      </c>
      <c r="D121" s="27">
        <f>SUM(D119:D120)</f>
        <v>0</v>
      </c>
      <c r="E121" s="26">
        <f>SUM(E119:E120)</f>
        <v>0</v>
      </c>
      <c r="F121" s="23">
        <f t="shared" si="56"/>
        <v>0</v>
      </c>
      <c r="G121" s="76" t="str">
        <f t="shared" si="57"/>
        <v>-</v>
      </c>
      <c r="H121" s="24">
        <f>SUM(H119:H120)</f>
        <v>0</v>
      </c>
      <c r="I121" s="24">
        <f>SUM(I119:I120)</f>
        <v>0</v>
      </c>
      <c r="J121" s="23">
        <f t="shared" si="58"/>
        <v>0</v>
      </c>
      <c r="K121" s="76" t="str">
        <f t="shared" si="59"/>
        <v>-</v>
      </c>
      <c r="L121" s="24">
        <f>SUM(L119:L120)</f>
        <v>0</v>
      </c>
      <c r="M121" s="23">
        <f t="shared" si="60"/>
        <v>0</v>
      </c>
      <c r="N121" s="75" t="str">
        <f t="shared" si="61"/>
        <v>-</v>
      </c>
      <c r="O121" s="27">
        <f>SUM(O119:O120)</f>
        <v>0</v>
      </c>
      <c r="P121" s="26">
        <f>SUM(P119:P120)</f>
        <v>0</v>
      </c>
      <c r="Q121" s="23">
        <f t="shared" si="62"/>
        <v>0</v>
      </c>
      <c r="R121" s="76" t="str">
        <f t="shared" si="63"/>
        <v>-</v>
      </c>
      <c r="S121" s="24">
        <f>SUM(S119:S120)</f>
        <v>0</v>
      </c>
      <c r="T121" s="24">
        <f>SUM(T119:T120)</f>
        <v>0</v>
      </c>
      <c r="U121" s="23">
        <f t="shared" si="64"/>
        <v>0</v>
      </c>
      <c r="V121" s="76" t="str">
        <f t="shared" si="65"/>
        <v>-</v>
      </c>
      <c r="W121" s="24">
        <f>SUM(W119:W120)</f>
        <v>0</v>
      </c>
      <c r="X121" s="23">
        <f t="shared" si="66"/>
        <v>0</v>
      </c>
      <c r="Y121" s="75" t="str">
        <f t="shared" si="67"/>
        <v>-</v>
      </c>
      <c r="Z121" s="27">
        <f>SUM(Z119:Z120)</f>
        <v>0</v>
      </c>
      <c r="AA121" s="26">
        <f>SUM(AA119:AA120)</f>
        <v>0</v>
      </c>
      <c r="AB121" s="23">
        <f t="shared" si="68"/>
        <v>0</v>
      </c>
      <c r="AC121" s="76" t="str">
        <f t="shared" si="69"/>
        <v>-</v>
      </c>
      <c r="AD121" s="24">
        <f>SUM(AD119:AD120)</f>
        <v>0</v>
      </c>
      <c r="AE121" s="24">
        <f>SUM(AE119:AE120)</f>
        <v>0</v>
      </c>
      <c r="AF121" s="23">
        <f t="shared" si="70"/>
        <v>0</v>
      </c>
      <c r="AG121" s="76" t="str">
        <f t="shared" si="71"/>
        <v>-</v>
      </c>
      <c r="AH121" s="24">
        <f>SUM(AH119:AH120)</f>
        <v>0</v>
      </c>
      <c r="AI121" s="23">
        <f t="shared" si="72"/>
        <v>0</v>
      </c>
      <c r="AJ121" s="75" t="str">
        <f t="shared" si="73"/>
        <v>-</v>
      </c>
    </row>
    <row r="122" spans="1:36" ht="12.75" hidden="1" customHeight="1" outlineLevel="3" x14ac:dyDescent="0.2">
      <c r="B122" s="38" t="str">
        <f t="shared" si="74"/>
        <v>Сторно резерва годового бонуса бонуса</v>
      </c>
      <c r="C122" s="37" t="str">
        <f t="shared" si="74"/>
        <v>Reverse Bonus discretionary Accrual</v>
      </c>
      <c r="D122" s="41">
        <v>0</v>
      </c>
      <c r="E122" s="40">
        <v>0</v>
      </c>
      <c r="F122" s="32">
        <f t="shared" si="56"/>
        <v>0</v>
      </c>
      <c r="G122" s="78" t="str">
        <f t="shared" si="57"/>
        <v>-</v>
      </c>
      <c r="H122" s="39">
        <v>0</v>
      </c>
      <c r="I122" s="39">
        <v>0</v>
      </c>
      <c r="J122" s="32">
        <f t="shared" si="58"/>
        <v>0</v>
      </c>
      <c r="K122" s="78" t="str">
        <f t="shared" si="59"/>
        <v>-</v>
      </c>
      <c r="L122" s="39">
        <v>0</v>
      </c>
      <c r="M122" s="32">
        <f t="shared" si="60"/>
        <v>0</v>
      </c>
      <c r="N122" s="77" t="str">
        <f t="shared" si="61"/>
        <v>-</v>
      </c>
      <c r="O122" s="41">
        <v>0</v>
      </c>
      <c r="P122" s="40">
        <v>0</v>
      </c>
      <c r="Q122" s="32">
        <f t="shared" si="62"/>
        <v>0</v>
      </c>
      <c r="R122" s="78" t="str">
        <f t="shared" si="63"/>
        <v>-</v>
      </c>
      <c r="S122" s="39">
        <v>0</v>
      </c>
      <c r="T122" s="39">
        <v>0</v>
      </c>
      <c r="U122" s="32">
        <f t="shared" si="64"/>
        <v>0</v>
      </c>
      <c r="V122" s="78" t="str">
        <f t="shared" si="65"/>
        <v>-</v>
      </c>
      <c r="W122" s="39">
        <v>0</v>
      </c>
      <c r="X122" s="32">
        <f t="shared" si="66"/>
        <v>0</v>
      </c>
      <c r="Y122" s="77" t="str">
        <f t="shared" si="67"/>
        <v>-</v>
      </c>
      <c r="Z122" s="41">
        <v>0</v>
      </c>
      <c r="AA122" s="40">
        <v>0</v>
      </c>
      <c r="AB122" s="32">
        <f t="shared" si="68"/>
        <v>0</v>
      </c>
      <c r="AC122" s="78" t="str">
        <f t="shared" si="69"/>
        <v>-</v>
      </c>
      <c r="AD122" s="39">
        <v>0</v>
      </c>
      <c r="AE122" s="39">
        <v>0</v>
      </c>
      <c r="AF122" s="32">
        <f t="shared" si="70"/>
        <v>0</v>
      </c>
      <c r="AG122" s="78" t="str">
        <f t="shared" si="71"/>
        <v>-</v>
      </c>
      <c r="AH122" s="39">
        <v>0</v>
      </c>
      <c r="AI122" s="32">
        <f t="shared" si="72"/>
        <v>0</v>
      </c>
      <c r="AJ122" s="77" t="str">
        <f t="shared" si="73"/>
        <v>-</v>
      </c>
    </row>
    <row r="123" spans="1:36" ht="12.75" hidden="1" customHeight="1" outlineLevel="3" x14ac:dyDescent="0.2">
      <c r="B123" s="38" t="str">
        <f t="shared" si="74"/>
        <v>Страховые взносы, сторно резерва годового бонуса</v>
      </c>
      <c r="C123" s="37" t="str">
        <f t="shared" si="74"/>
        <v>Social Security on Bonus discretionary Accrual</v>
      </c>
      <c r="D123" s="41">
        <v>0</v>
      </c>
      <c r="E123" s="40">
        <v>0</v>
      </c>
      <c r="F123" s="32">
        <f t="shared" si="56"/>
        <v>0</v>
      </c>
      <c r="G123" s="78" t="str">
        <f t="shared" si="57"/>
        <v>-</v>
      </c>
      <c r="H123" s="39">
        <v>0</v>
      </c>
      <c r="I123" s="39">
        <v>0</v>
      </c>
      <c r="J123" s="32">
        <f t="shared" si="58"/>
        <v>0</v>
      </c>
      <c r="K123" s="78" t="str">
        <f t="shared" si="59"/>
        <v>-</v>
      </c>
      <c r="L123" s="39">
        <v>0</v>
      </c>
      <c r="M123" s="32">
        <f t="shared" si="60"/>
        <v>0</v>
      </c>
      <c r="N123" s="77" t="str">
        <f t="shared" si="61"/>
        <v>-</v>
      </c>
      <c r="O123" s="41">
        <v>0</v>
      </c>
      <c r="P123" s="40">
        <v>0</v>
      </c>
      <c r="Q123" s="32">
        <f t="shared" si="62"/>
        <v>0</v>
      </c>
      <c r="R123" s="78" t="str">
        <f t="shared" si="63"/>
        <v>-</v>
      </c>
      <c r="S123" s="39">
        <v>0</v>
      </c>
      <c r="T123" s="39">
        <v>0</v>
      </c>
      <c r="U123" s="32">
        <f t="shared" si="64"/>
        <v>0</v>
      </c>
      <c r="V123" s="78" t="str">
        <f t="shared" si="65"/>
        <v>-</v>
      </c>
      <c r="W123" s="39">
        <v>0</v>
      </c>
      <c r="X123" s="32">
        <f t="shared" si="66"/>
        <v>0</v>
      </c>
      <c r="Y123" s="77" t="str">
        <f t="shared" si="67"/>
        <v>-</v>
      </c>
      <c r="Z123" s="41">
        <v>0</v>
      </c>
      <c r="AA123" s="40">
        <v>0</v>
      </c>
      <c r="AB123" s="32">
        <f t="shared" si="68"/>
        <v>0</v>
      </c>
      <c r="AC123" s="78" t="str">
        <f t="shared" si="69"/>
        <v>-</v>
      </c>
      <c r="AD123" s="39">
        <v>0</v>
      </c>
      <c r="AE123" s="39">
        <v>0</v>
      </c>
      <c r="AF123" s="32">
        <f t="shared" si="70"/>
        <v>0</v>
      </c>
      <c r="AG123" s="78" t="str">
        <f t="shared" si="71"/>
        <v>-</v>
      </c>
      <c r="AH123" s="39">
        <v>0</v>
      </c>
      <c r="AI123" s="32">
        <f t="shared" si="72"/>
        <v>0</v>
      </c>
      <c r="AJ123" s="77" t="str">
        <f t="shared" si="73"/>
        <v>-</v>
      </c>
    </row>
    <row r="124" spans="1:36" s="6" customFormat="1" hidden="1" outlineLevel="2" collapsed="1" x14ac:dyDescent="0.2">
      <c r="A124" s="30"/>
      <c r="B124" s="29" t="str">
        <f t="shared" si="74"/>
        <v>Итого сторно резерва годового бонуса</v>
      </c>
      <c r="C124" s="42" t="str">
        <f t="shared" si="74"/>
        <v>Total  Reverse Bonus discretionary Accrual</v>
      </c>
      <c r="D124" s="27">
        <f>SUM(D122:D123)</f>
        <v>0</v>
      </c>
      <c r="E124" s="26">
        <f>SUM(E122:E123)</f>
        <v>0</v>
      </c>
      <c r="F124" s="23">
        <f t="shared" si="56"/>
        <v>0</v>
      </c>
      <c r="G124" s="76" t="str">
        <f t="shared" si="57"/>
        <v>-</v>
      </c>
      <c r="H124" s="24">
        <f>SUM(H122:H123)</f>
        <v>0</v>
      </c>
      <c r="I124" s="24">
        <f>SUM(I122:I123)</f>
        <v>0</v>
      </c>
      <c r="J124" s="23">
        <f t="shared" si="58"/>
        <v>0</v>
      </c>
      <c r="K124" s="76" t="str">
        <f t="shared" si="59"/>
        <v>-</v>
      </c>
      <c r="L124" s="24">
        <f>SUM(L122:L123)</f>
        <v>0</v>
      </c>
      <c r="M124" s="23">
        <f t="shared" si="60"/>
        <v>0</v>
      </c>
      <c r="N124" s="75" t="str">
        <f t="shared" si="61"/>
        <v>-</v>
      </c>
      <c r="O124" s="27">
        <f>SUM(O122:O123)</f>
        <v>0</v>
      </c>
      <c r="P124" s="26">
        <f>SUM(P122:P123)</f>
        <v>0</v>
      </c>
      <c r="Q124" s="23">
        <f t="shared" si="62"/>
        <v>0</v>
      </c>
      <c r="R124" s="76" t="str">
        <f t="shared" si="63"/>
        <v>-</v>
      </c>
      <c r="S124" s="24">
        <f>SUM(S122:S123)</f>
        <v>0</v>
      </c>
      <c r="T124" s="24">
        <f>SUM(T122:T123)</f>
        <v>0</v>
      </c>
      <c r="U124" s="23">
        <f t="shared" si="64"/>
        <v>0</v>
      </c>
      <c r="V124" s="76" t="str">
        <f t="shared" si="65"/>
        <v>-</v>
      </c>
      <c r="W124" s="24">
        <f>SUM(W122:W123)</f>
        <v>0</v>
      </c>
      <c r="X124" s="23">
        <f t="shared" si="66"/>
        <v>0</v>
      </c>
      <c r="Y124" s="75" t="str">
        <f t="shared" si="67"/>
        <v>-</v>
      </c>
      <c r="Z124" s="27">
        <f>SUM(Z122:Z123)</f>
        <v>0</v>
      </c>
      <c r="AA124" s="26">
        <f>SUM(AA122:AA123)</f>
        <v>0</v>
      </c>
      <c r="AB124" s="23">
        <f t="shared" si="68"/>
        <v>0</v>
      </c>
      <c r="AC124" s="76" t="str">
        <f t="shared" si="69"/>
        <v>-</v>
      </c>
      <c r="AD124" s="24">
        <f>SUM(AD122:AD123)</f>
        <v>0</v>
      </c>
      <c r="AE124" s="24">
        <f>SUM(AE122:AE123)</f>
        <v>0</v>
      </c>
      <c r="AF124" s="23">
        <f t="shared" si="70"/>
        <v>0</v>
      </c>
      <c r="AG124" s="76" t="str">
        <f t="shared" si="71"/>
        <v>-</v>
      </c>
      <c r="AH124" s="24">
        <f>SUM(AH122:AH123)</f>
        <v>0</v>
      </c>
      <c r="AI124" s="23">
        <f t="shared" si="72"/>
        <v>0</v>
      </c>
      <c r="AJ124" s="75" t="str">
        <f t="shared" si="73"/>
        <v>-</v>
      </c>
    </row>
    <row r="125" spans="1:36" ht="12.75" hidden="1" customHeight="1" outlineLevel="3" x14ac:dyDescent="0.2">
      <c r="B125" s="38" t="str">
        <f t="shared" si="74"/>
        <v>Годовой бонус</v>
      </c>
      <c r="C125" s="37" t="str">
        <f t="shared" si="74"/>
        <v>Bonus discretionary cash</v>
      </c>
      <c r="D125" s="41">
        <v>-603093921</v>
      </c>
      <c r="E125" s="40">
        <f>3528170167.46521*1/12</f>
        <v>294014180.62210083</v>
      </c>
      <c r="F125" s="32">
        <f t="shared" si="56"/>
        <v>-897108101.62210083</v>
      </c>
      <c r="G125" s="78">
        <f t="shared" si="57"/>
        <v>-3.0512409290052656</v>
      </c>
      <c r="H125" s="39">
        <v>1866384464.9200001</v>
      </c>
      <c r="I125" s="39">
        <v>1764085083.7326</v>
      </c>
      <c r="J125" s="32">
        <f t="shared" si="58"/>
        <v>102299381.1874001</v>
      </c>
      <c r="K125" s="78">
        <f t="shared" si="59"/>
        <v>5.7990049420375112E-2</v>
      </c>
      <c r="L125" s="39">
        <v>3528170167.46521</v>
      </c>
      <c r="M125" s="32">
        <f t="shared" si="60"/>
        <v>-1661785702.5452099</v>
      </c>
      <c r="N125" s="77">
        <f t="shared" si="61"/>
        <v>-0.47100497528981394</v>
      </c>
      <c r="O125" s="41">
        <v>-603093921</v>
      </c>
      <c r="P125" s="40">
        <f>3528170167.46521*1/12</f>
        <v>294014180.62210083</v>
      </c>
      <c r="Q125" s="32">
        <f t="shared" si="62"/>
        <v>-897108101.62210083</v>
      </c>
      <c r="R125" s="78">
        <f t="shared" si="63"/>
        <v>-3.0512409290052656</v>
      </c>
      <c r="S125" s="39">
        <v>1866384464.9200001</v>
      </c>
      <c r="T125" s="39">
        <v>1764085083.7326</v>
      </c>
      <c r="U125" s="32">
        <f t="shared" si="64"/>
        <v>102299381.1874001</v>
      </c>
      <c r="V125" s="78">
        <f t="shared" si="65"/>
        <v>5.7990049420375112E-2</v>
      </c>
      <c r="W125" s="39">
        <v>3528170167.46521</v>
      </c>
      <c r="X125" s="32">
        <f t="shared" si="66"/>
        <v>-1661785702.5452099</v>
      </c>
      <c r="Y125" s="77">
        <f t="shared" si="67"/>
        <v>-0.47100497528981394</v>
      </c>
      <c r="Z125" s="41">
        <v>-603093921</v>
      </c>
      <c r="AA125" s="40">
        <f>3528170167.46521*1/12</f>
        <v>294014180.62210083</v>
      </c>
      <c r="AB125" s="32">
        <f t="shared" si="68"/>
        <v>-897108101.62210083</v>
      </c>
      <c r="AC125" s="78">
        <f t="shared" si="69"/>
        <v>-3.0512409290052656</v>
      </c>
      <c r="AD125" s="39">
        <v>1866384464.9200001</v>
      </c>
      <c r="AE125" s="39">
        <v>1764085083.7326</v>
      </c>
      <c r="AF125" s="32">
        <f t="shared" si="70"/>
        <v>102299381.1874001</v>
      </c>
      <c r="AG125" s="78">
        <f t="shared" si="71"/>
        <v>5.7990049420375112E-2</v>
      </c>
      <c r="AH125" s="39">
        <v>3528170167.46521</v>
      </c>
      <c r="AI125" s="32">
        <f t="shared" si="72"/>
        <v>-1661785702.5452099</v>
      </c>
      <c r="AJ125" s="77">
        <f t="shared" si="73"/>
        <v>-0.47100497528981394</v>
      </c>
    </row>
    <row r="126" spans="1:36" ht="12.75" hidden="1" customHeight="1" outlineLevel="3" x14ac:dyDescent="0.2">
      <c r="B126" s="38" t="str">
        <f t="shared" si="74"/>
        <v>Страховые взносы, годовой бонус</v>
      </c>
      <c r="C126" s="37" t="str">
        <f t="shared" si="74"/>
        <v>Social Security on discretionary Bonus cash</v>
      </c>
      <c r="D126" s="36">
        <v>-39499641</v>
      </c>
      <c r="E126" s="35">
        <f>652711480.981065*1/12</f>
        <v>54392623.41508875</v>
      </c>
      <c r="F126" s="32">
        <f t="shared" si="56"/>
        <v>-93892264.415088743</v>
      </c>
      <c r="G126" s="78">
        <f t="shared" si="57"/>
        <v>-1.7261948131930445</v>
      </c>
      <c r="H126" s="33">
        <v>352450585.80000001</v>
      </c>
      <c r="I126" s="33">
        <v>326355740.49053299</v>
      </c>
      <c r="J126" s="32">
        <f t="shared" si="58"/>
        <v>26094845.309467018</v>
      </c>
      <c r="K126" s="78">
        <f t="shared" si="59"/>
        <v>7.9958284999812834E-2</v>
      </c>
      <c r="L126" s="33">
        <v>652711480.98106503</v>
      </c>
      <c r="M126" s="32">
        <f t="shared" si="60"/>
        <v>-300260895.18106502</v>
      </c>
      <c r="N126" s="77">
        <f t="shared" si="61"/>
        <v>-0.46002085750009275</v>
      </c>
      <c r="O126" s="36">
        <v>-39499641</v>
      </c>
      <c r="P126" s="35">
        <f>652711480.981065*1/12</f>
        <v>54392623.41508875</v>
      </c>
      <c r="Q126" s="32">
        <f t="shared" si="62"/>
        <v>-93892264.415088743</v>
      </c>
      <c r="R126" s="78">
        <f t="shared" si="63"/>
        <v>-1.7261948131930445</v>
      </c>
      <c r="S126" s="33">
        <v>352450585.80000001</v>
      </c>
      <c r="T126" s="33">
        <v>326355740.49053299</v>
      </c>
      <c r="U126" s="32">
        <f t="shared" si="64"/>
        <v>26094845.309467018</v>
      </c>
      <c r="V126" s="78">
        <f t="shared" si="65"/>
        <v>7.9958284999812834E-2</v>
      </c>
      <c r="W126" s="33">
        <v>652711480.98106503</v>
      </c>
      <c r="X126" s="32">
        <f t="shared" si="66"/>
        <v>-300260895.18106502</v>
      </c>
      <c r="Y126" s="77">
        <f t="shared" si="67"/>
        <v>-0.46002085750009275</v>
      </c>
      <c r="Z126" s="36">
        <v>-39499641</v>
      </c>
      <c r="AA126" s="35">
        <f>652711480.981065*1/12</f>
        <v>54392623.41508875</v>
      </c>
      <c r="AB126" s="32">
        <f t="shared" si="68"/>
        <v>-93892264.415088743</v>
      </c>
      <c r="AC126" s="78">
        <f t="shared" si="69"/>
        <v>-1.7261948131930445</v>
      </c>
      <c r="AD126" s="33">
        <v>352450585.80000001</v>
      </c>
      <c r="AE126" s="33">
        <v>326355740.49053299</v>
      </c>
      <c r="AF126" s="32">
        <f t="shared" si="70"/>
        <v>26094845.309467018</v>
      </c>
      <c r="AG126" s="78">
        <f t="shared" si="71"/>
        <v>7.9958284999812834E-2</v>
      </c>
      <c r="AH126" s="33">
        <v>652711480.98106503</v>
      </c>
      <c r="AI126" s="32">
        <f t="shared" si="72"/>
        <v>-300260895.18106502</v>
      </c>
      <c r="AJ126" s="77">
        <f t="shared" si="73"/>
        <v>-0.46002085750009275</v>
      </c>
    </row>
    <row r="127" spans="1:36" s="6" customFormat="1" hidden="1" outlineLevel="2" collapsed="1" x14ac:dyDescent="0.2">
      <c r="A127" s="30"/>
      <c r="B127" s="29" t="str">
        <f t="shared" si="74"/>
        <v>Итого годовой бонус</v>
      </c>
      <c r="C127" s="28" t="str">
        <f t="shared" si="74"/>
        <v>Total Bonus discretionary cash</v>
      </c>
      <c r="D127" s="27">
        <f>SUM(D119:D126)</f>
        <v>-642593562</v>
      </c>
      <c r="E127" s="26">
        <f>SUM(E125:E126)</f>
        <v>348406804.0371896</v>
      </c>
      <c r="F127" s="23">
        <f t="shared" si="56"/>
        <v>-991000366.0371896</v>
      </c>
      <c r="G127" s="76">
        <f t="shared" si="57"/>
        <v>-2.8443771894058889</v>
      </c>
      <c r="H127" s="24">
        <f>SUM(H125:H126)</f>
        <v>2218835050.7200003</v>
      </c>
      <c r="I127" s="24">
        <f>SUM(I125:I126)</f>
        <v>2090440824.2231331</v>
      </c>
      <c r="J127" s="23">
        <f t="shared" si="58"/>
        <v>128394226.49686718</v>
      </c>
      <c r="K127" s="76">
        <f t="shared" si="59"/>
        <v>6.1419689574127023E-2</v>
      </c>
      <c r="L127" s="24">
        <f>SUM(L125:L126)</f>
        <v>4180881648.4462748</v>
      </c>
      <c r="M127" s="23">
        <f t="shared" si="60"/>
        <v>-1962046597.7262745</v>
      </c>
      <c r="N127" s="75">
        <f t="shared" si="61"/>
        <v>-0.46929015521293754</v>
      </c>
      <c r="O127" s="27">
        <f>SUM(O119:O126)</f>
        <v>-642593562</v>
      </c>
      <c r="P127" s="26">
        <f>SUM(P125:P126)</f>
        <v>348406804.0371896</v>
      </c>
      <c r="Q127" s="23">
        <f t="shared" si="62"/>
        <v>-991000366.0371896</v>
      </c>
      <c r="R127" s="76">
        <f t="shared" si="63"/>
        <v>-2.8443771894058889</v>
      </c>
      <c r="S127" s="24">
        <f>SUM(S125:S126)</f>
        <v>2218835050.7200003</v>
      </c>
      <c r="T127" s="24">
        <f>SUM(T125:T126)</f>
        <v>2090440824.2231331</v>
      </c>
      <c r="U127" s="23">
        <f t="shared" si="64"/>
        <v>128394226.49686718</v>
      </c>
      <c r="V127" s="76">
        <f t="shared" si="65"/>
        <v>6.1419689574127023E-2</v>
      </c>
      <c r="W127" s="24">
        <f>SUM(W125:W126)</f>
        <v>4180881648.4462748</v>
      </c>
      <c r="X127" s="23">
        <f t="shared" si="66"/>
        <v>-1962046597.7262745</v>
      </c>
      <c r="Y127" s="75">
        <f t="shared" si="67"/>
        <v>-0.46929015521293754</v>
      </c>
      <c r="Z127" s="27">
        <f>SUM(Z119:Z126)</f>
        <v>-642593562</v>
      </c>
      <c r="AA127" s="26">
        <f>SUM(AA125:AA126)</f>
        <v>348406804.0371896</v>
      </c>
      <c r="AB127" s="23">
        <f t="shared" si="68"/>
        <v>-991000366.0371896</v>
      </c>
      <c r="AC127" s="76">
        <f t="shared" si="69"/>
        <v>-2.8443771894058889</v>
      </c>
      <c r="AD127" s="24">
        <f>SUM(AD125:AD126)</f>
        <v>2218835050.7200003</v>
      </c>
      <c r="AE127" s="24">
        <f>SUM(AE125:AE126)</f>
        <v>2090440824.2231331</v>
      </c>
      <c r="AF127" s="23">
        <f t="shared" si="70"/>
        <v>128394226.49686718</v>
      </c>
      <c r="AG127" s="76">
        <f t="shared" si="71"/>
        <v>6.1419689574127023E-2</v>
      </c>
      <c r="AH127" s="24">
        <f>SUM(AH125:AH126)</f>
        <v>4180881648.4462748</v>
      </c>
      <c r="AI127" s="23">
        <f t="shared" si="72"/>
        <v>-1962046597.7262745</v>
      </c>
      <c r="AJ127" s="75">
        <f t="shared" si="73"/>
        <v>-0.46929015521293754</v>
      </c>
    </row>
    <row r="128" spans="1:36" ht="15.75" customHeight="1" collapsed="1" x14ac:dyDescent="0.2">
      <c r="B128" s="21" t="str">
        <f t="shared" si="74"/>
        <v>Годовой бонус</v>
      </c>
      <c r="C128" s="20" t="str">
        <f t="shared" si="74"/>
        <v>Bonus discretionary</v>
      </c>
      <c r="D128" s="19">
        <f>D127+D124+D121</f>
        <v>-642593562</v>
      </c>
      <c r="E128" s="18">
        <f>E127+E124+E121</f>
        <v>348406804.0371896</v>
      </c>
      <c r="F128" s="15">
        <f t="shared" si="56"/>
        <v>-991000366.0371896</v>
      </c>
      <c r="G128" s="74">
        <f t="shared" si="57"/>
        <v>-2.8443771894058889</v>
      </c>
      <c r="H128" s="16">
        <f>H127+H124+H121</f>
        <v>2218835050.7200003</v>
      </c>
      <c r="I128" s="16">
        <f>I127+I124+I121</f>
        <v>2090440824.2231331</v>
      </c>
      <c r="J128" s="15">
        <f t="shared" si="58"/>
        <v>128394226.49686718</v>
      </c>
      <c r="K128" s="74">
        <f t="shared" si="59"/>
        <v>6.1419689574127023E-2</v>
      </c>
      <c r="L128" s="16">
        <f>L127+L124+L121</f>
        <v>4180881648.4462748</v>
      </c>
      <c r="M128" s="15">
        <f t="shared" si="60"/>
        <v>-1962046597.7262745</v>
      </c>
      <c r="N128" s="73">
        <f t="shared" si="61"/>
        <v>-0.46929015521293754</v>
      </c>
      <c r="O128" s="19">
        <f>O127+O124+O121</f>
        <v>-642593562</v>
      </c>
      <c r="P128" s="18">
        <f>P127+P124+P121</f>
        <v>348406804.0371896</v>
      </c>
      <c r="Q128" s="15">
        <f t="shared" si="62"/>
        <v>-991000366.0371896</v>
      </c>
      <c r="R128" s="74">
        <f t="shared" si="63"/>
        <v>-2.8443771894058889</v>
      </c>
      <c r="S128" s="16">
        <f>S127+S124+S121</f>
        <v>2218835050.7200003</v>
      </c>
      <c r="T128" s="16">
        <f>T127+T124+T121</f>
        <v>2090440824.2231331</v>
      </c>
      <c r="U128" s="15">
        <f t="shared" si="64"/>
        <v>128394226.49686718</v>
      </c>
      <c r="V128" s="74">
        <f t="shared" si="65"/>
        <v>6.1419689574127023E-2</v>
      </c>
      <c r="W128" s="16">
        <f>W127+W124+W121</f>
        <v>4180881648.4462748</v>
      </c>
      <c r="X128" s="15">
        <f t="shared" si="66"/>
        <v>-1962046597.7262745</v>
      </c>
      <c r="Y128" s="73">
        <f t="shared" si="67"/>
        <v>-0.46929015521293754</v>
      </c>
      <c r="Z128" s="19">
        <f>Z127+Z124+Z121</f>
        <v>-642593562</v>
      </c>
      <c r="AA128" s="18">
        <f>AA127+AA124+AA121</f>
        <v>348406804.0371896</v>
      </c>
      <c r="AB128" s="15">
        <f t="shared" si="68"/>
        <v>-991000366.0371896</v>
      </c>
      <c r="AC128" s="74">
        <f t="shared" si="69"/>
        <v>-2.8443771894058889</v>
      </c>
      <c r="AD128" s="16">
        <f>AD127+AD124+AD121</f>
        <v>2218835050.7200003</v>
      </c>
      <c r="AE128" s="16">
        <f>AE127+AE124+AE121</f>
        <v>2090440824.2231331</v>
      </c>
      <c r="AF128" s="15">
        <f t="shared" si="70"/>
        <v>128394226.49686718</v>
      </c>
      <c r="AG128" s="74">
        <f t="shared" si="71"/>
        <v>6.1419689574127023E-2</v>
      </c>
      <c r="AH128" s="16">
        <f>AH127+AH124+AH121</f>
        <v>4180881648.4462748</v>
      </c>
      <c r="AI128" s="15">
        <f t="shared" si="72"/>
        <v>-1962046597.7262745</v>
      </c>
      <c r="AJ128" s="73">
        <f t="shared" si="73"/>
        <v>-0.46929015521293754</v>
      </c>
    </row>
    <row r="129" spans="1:36" s="6" customFormat="1" ht="18.75" customHeight="1" x14ac:dyDescent="0.2">
      <c r="B129" s="13" t="str">
        <f t="shared" si="74"/>
        <v>Итого компенсации и льготы</v>
      </c>
      <c r="C129" s="12" t="str">
        <f t="shared" si="74"/>
        <v>Total Compencation &amp; Benefits</v>
      </c>
      <c r="D129" s="11">
        <f>D114+D128+D118</f>
        <v>-390298414.81999999</v>
      </c>
      <c r="E129" s="11">
        <f>E114+E128+E118</f>
        <v>587527078.04367328</v>
      </c>
      <c r="F129" s="8">
        <f t="shared" si="56"/>
        <v>-977825492.86367321</v>
      </c>
      <c r="G129" s="72">
        <f t="shared" si="57"/>
        <v>-1.6643071092478015</v>
      </c>
      <c r="H129" s="9">
        <f>H114+H128+H118</f>
        <v>2561212747.3399997</v>
      </c>
      <c r="I129" s="9">
        <f>I114+I128+I118</f>
        <v>2217187845.622035</v>
      </c>
      <c r="J129" s="8">
        <f t="shared" si="58"/>
        <v>344024901.71796465</v>
      </c>
      <c r="K129" s="72">
        <f t="shared" si="59"/>
        <v>0.15516272218308513</v>
      </c>
      <c r="L129" s="9">
        <f>L114+L128+L118</f>
        <v>5750231699.980051</v>
      </c>
      <c r="M129" s="8">
        <f t="shared" si="60"/>
        <v>-3189018952.6400514</v>
      </c>
      <c r="N129" s="71">
        <f t="shared" si="61"/>
        <v>-0.5545896442140088</v>
      </c>
      <c r="O129" s="11">
        <f>O114+O128+O118</f>
        <v>-390298414.81999999</v>
      </c>
      <c r="P129" s="11">
        <f>P114+P128+P118</f>
        <v>587527078.04367328</v>
      </c>
      <c r="Q129" s="8">
        <f t="shared" si="62"/>
        <v>-977825492.86367321</v>
      </c>
      <c r="R129" s="72">
        <f t="shared" si="63"/>
        <v>-1.6643071092478015</v>
      </c>
      <c r="S129" s="9">
        <f>S114+S128+S118</f>
        <v>2561212747.3399997</v>
      </c>
      <c r="T129" s="9">
        <f>T114+T128+T118</f>
        <v>2217187845.622035</v>
      </c>
      <c r="U129" s="8">
        <f t="shared" si="64"/>
        <v>344024901.71796465</v>
      </c>
      <c r="V129" s="72">
        <f t="shared" si="65"/>
        <v>0.15516272218308513</v>
      </c>
      <c r="W129" s="9">
        <f>W114+W128+W118</f>
        <v>5750231699.980051</v>
      </c>
      <c r="X129" s="8">
        <f t="shared" si="66"/>
        <v>-3189018952.6400514</v>
      </c>
      <c r="Y129" s="71">
        <f t="shared" si="67"/>
        <v>-0.5545896442140088</v>
      </c>
      <c r="Z129" s="11">
        <f>Z114+Z128+Z118</f>
        <v>-390298414.81999999</v>
      </c>
      <c r="AA129" s="11">
        <f>AA114+AA128+AA118</f>
        <v>587527078.04367328</v>
      </c>
      <c r="AB129" s="8">
        <f t="shared" si="68"/>
        <v>-977825492.86367321</v>
      </c>
      <c r="AC129" s="72">
        <f t="shared" si="69"/>
        <v>-1.6643071092478015</v>
      </c>
      <c r="AD129" s="9">
        <f>AD114+AD128+AD118</f>
        <v>2561212747.3399997</v>
      </c>
      <c r="AE129" s="9">
        <f>AE114+AE128+AE118</f>
        <v>2217187845.622035</v>
      </c>
      <c r="AF129" s="8">
        <f t="shared" si="70"/>
        <v>344024901.71796465</v>
      </c>
      <c r="AG129" s="72">
        <f t="shared" si="71"/>
        <v>0.15516272218308513</v>
      </c>
      <c r="AH129" s="9">
        <f>AH114+AH128+AH118</f>
        <v>5750231699.980051</v>
      </c>
      <c r="AI129" s="8">
        <f t="shared" si="72"/>
        <v>-3189018952.6400514</v>
      </c>
      <c r="AJ129" s="71">
        <f t="shared" si="73"/>
        <v>-0.5545896442140088</v>
      </c>
    </row>
    <row r="130" spans="1:36" x14ac:dyDescent="0.2">
      <c r="N130" s="3"/>
      <c r="Y130" s="3"/>
      <c r="AJ130" s="3"/>
    </row>
    <row r="131" spans="1:36" ht="16.5" customHeight="1" thickBot="1" x14ac:dyDescent="0.25">
      <c r="A131" s="54"/>
      <c r="B131" s="70" t="s">
        <v>8</v>
      </c>
      <c r="C131" s="69" t="s">
        <v>7</v>
      </c>
      <c r="D131" s="67"/>
      <c r="E131" s="68"/>
      <c r="F131" s="65"/>
      <c r="G131" s="66"/>
      <c r="H131" s="67"/>
      <c r="I131" s="65"/>
      <c r="J131" s="65"/>
      <c r="K131" s="66"/>
      <c r="L131" s="65"/>
      <c r="M131" s="64"/>
      <c r="N131" s="63"/>
      <c r="O131" s="67"/>
      <c r="P131" s="68"/>
      <c r="Q131" s="65"/>
      <c r="R131" s="66"/>
      <c r="S131" s="67"/>
      <c r="T131" s="65"/>
      <c r="U131" s="65"/>
      <c r="V131" s="66"/>
      <c r="W131" s="65"/>
      <c r="X131" s="64"/>
      <c r="Y131" s="63"/>
      <c r="Z131" s="67"/>
      <c r="AA131" s="68"/>
      <c r="AB131" s="65"/>
      <c r="AC131" s="66"/>
      <c r="AD131" s="67"/>
      <c r="AE131" s="65"/>
      <c r="AF131" s="65"/>
      <c r="AG131" s="66"/>
      <c r="AH131" s="65"/>
      <c r="AI131" s="64"/>
      <c r="AJ131" s="63"/>
    </row>
    <row r="132" spans="1:36" ht="13.5" hidden="1" outlineLevel="3" thickTop="1" x14ac:dyDescent="0.2">
      <c r="A132" s="54"/>
      <c r="B132" s="38" t="str">
        <f t="shared" ref="B132:C151" si="75">B12</f>
        <v xml:space="preserve">Оклад </v>
      </c>
      <c r="C132" s="62" t="str">
        <f t="shared" si="75"/>
        <v>Salary</v>
      </c>
      <c r="D132" s="61">
        <f>D12-D75</f>
        <v>-67804.110000014305</v>
      </c>
      <c r="E132" s="60">
        <f>E12-E75</f>
        <v>1277766.8333333433</v>
      </c>
      <c r="F132" s="32">
        <v>0</v>
      </c>
      <c r="G132" s="59">
        <v>0</v>
      </c>
      <c r="H132" s="39">
        <f>H12-H75</f>
        <v>-1887999.3099998236</v>
      </c>
      <c r="I132" s="39">
        <f>I12-I75</f>
        <v>0</v>
      </c>
      <c r="J132" s="32">
        <v>0</v>
      </c>
      <c r="K132" s="59">
        <v>0</v>
      </c>
      <c r="L132" s="39">
        <f>L12-L75</f>
        <v>0</v>
      </c>
      <c r="M132" s="32">
        <v>0</v>
      </c>
      <c r="N132" s="58" t="str">
        <f t="shared" ref="N132:N143" si="76">IFERROR(M132/L132,"-")</f>
        <v>-</v>
      </c>
      <c r="O132" s="61">
        <f>O12-O75</f>
        <v>-67804.110000014305</v>
      </c>
      <c r="P132" s="60">
        <f>P12-P75</f>
        <v>1277766.8333333433</v>
      </c>
      <c r="Q132" s="32">
        <v>0</v>
      </c>
      <c r="R132" s="59">
        <v>0</v>
      </c>
      <c r="S132" s="39">
        <f>S12-S75</f>
        <v>-1887999.3099998236</v>
      </c>
      <c r="T132" s="39">
        <f>T12-T75</f>
        <v>0</v>
      </c>
      <c r="U132" s="32">
        <v>0</v>
      </c>
      <c r="V132" s="59">
        <v>0</v>
      </c>
      <c r="W132" s="39">
        <f>W12-W75</f>
        <v>0</v>
      </c>
      <c r="X132" s="32">
        <v>0</v>
      </c>
      <c r="Y132" s="58" t="str">
        <f t="shared" ref="Y132:Y143" si="77">IFERROR(X132/W132,"-")</f>
        <v>-</v>
      </c>
      <c r="Z132" s="61">
        <f>Z12-Z75</f>
        <v>-67804.110000014305</v>
      </c>
      <c r="AA132" s="60">
        <f>AA12-AA75</f>
        <v>1277766.8333333433</v>
      </c>
      <c r="AB132" s="32">
        <v>0</v>
      </c>
      <c r="AC132" s="59">
        <v>0</v>
      </c>
      <c r="AD132" s="39">
        <f>AD12-AD75</f>
        <v>-1887999.3099998236</v>
      </c>
      <c r="AE132" s="39">
        <f>AE12-AE75</f>
        <v>0</v>
      </c>
      <c r="AF132" s="32">
        <v>0</v>
      </c>
      <c r="AG132" s="59">
        <v>0</v>
      </c>
      <c r="AH132" s="39">
        <f>AH12-AH75</f>
        <v>0</v>
      </c>
      <c r="AI132" s="32">
        <v>0</v>
      </c>
      <c r="AJ132" s="58" t="str">
        <f t="shared" ref="AJ132:AJ143" si="78">IFERROR(AI132/AH132,"-")</f>
        <v>-</v>
      </c>
    </row>
    <row r="133" spans="1:36" hidden="1" outlineLevel="3" x14ac:dyDescent="0.2">
      <c r="A133" s="54"/>
      <c r="B133" s="38" t="str">
        <f t="shared" si="75"/>
        <v>Страховые взносы оклад</v>
      </c>
      <c r="C133" s="49" t="str">
        <f t="shared" si="75"/>
        <v>Social securities on salaries</v>
      </c>
      <c r="D133" s="41">
        <f>D13-D76</f>
        <v>71460.629999995232</v>
      </c>
      <c r="E133" s="40">
        <f>E13-E76</f>
        <v>236386.86416666582</v>
      </c>
      <c r="F133" s="32">
        <v>0</v>
      </c>
      <c r="G133" s="34">
        <v>0</v>
      </c>
      <c r="H133" s="39">
        <f>H13-H76</f>
        <v>3362768.9100000262</v>
      </c>
      <c r="I133" s="39">
        <f>I13-I76</f>
        <v>0</v>
      </c>
      <c r="J133" s="32">
        <v>0</v>
      </c>
      <c r="K133" s="34">
        <v>0</v>
      </c>
      <c r="L133" s="39">
        <f>L13-L76</f>
        <v>0</v>
      </c>
      <c r="M133" s="32">
        <v>0</v>
      </c>
      <c r="N133" s="53" t="str">
        <f t="shared" si="76"/>
        <v>-</v>
      </c>
      <c r="O133" s="41">
        <f>O13-O76</f>
        <v>71460.629999995232</v>
      </c>
      <c r="P133" s="40">
        <f>P13-P76</f>
        <v>236386.86416666582</v>
      </c>
      <c r="Q133" s="32">
        <v>0</v>
      </c>
      <c r="R133" s="34">
        <v>0</v>
      </c>
      <c r="S133" s="39">
        <f>S13-S76</f>
        <v>3362768.9100000262</v>
      </c>
      <c r="T133" s="39">
        <f>T13-T76</f>
        <v>0</v>
      </c>
      <c r="U133" s="32">
        <v>0</v>
      </c>
      <c r="V133" s="34">
        <v>0</v>
      </c>
      <c r="W133" s="39">
        <f>W13-W76</f>
        <v>0</v>
      </c>
      <c r="X133" s="32">
        <v>0</v>
      </c>
      <c r="Y133" s="53" t="str">
        <f t="shared" si="77"/>
        <v>-</v>
      </c>
      <c r="Z133" s="41">
        <f>Z13-Z76</f>
        <v>71460.629999995232</v>
      </c>
      <c r="AA133" s="40">
        <f>AA13-AA76</f>
        <v>236386.86416666582</v>
      </c>
      <c r="AB133" s="32">
        <v>0</v>
      </c>
      <c r="AC133" s="34">
        <v>0</v>
      </c>
      <c r="AD133" s="39">
        <f>AD13-AD76</f>
        <v>3362768.9100000262</v>
      </c>
      <c r="AE133" s="39">
        <f>AE13-AE76</f>
        <v>0</v>
      </c>
      <c r="AF133" s="32">
        <v>0</v>
      </c>
      <c r="AG133" s="34">
        <v>0</v>
      </c>
      <c r="AH133" s="39">
        <f>AH13-AH76</f>
        <v>0</v>
      </c>
      <c r="AI133" s="32">
        <v>0</v>
      </c>
      <c r="AJ133" s="53" t="str">
        <f t="shared" si="78"/>
        <v>-</v>
      </c>
    </row>
    <row r="134" spans="1:36" s="6" customFormat="1" ht="13.5" hidden="1" outlineLevel="2" collapsed="1" thickTop="1" x14ac:dyDescent="0.2">
      <c r="A134" s="30"/>
      <c r="B134" s="29" t="str">
        <f t="shared" si="75"/>
        <v>Итого оклад</v>
      </c>
      <c r="C134" s="52" t="str">
        <f t="shared" si="75"/>
        <v>Total Salary</v>
      </c>
      <c r="D134" s="27">
        <f>SUM(D132:D133)</f>
        <v>3656.5199999809265</v>
      </c>
      <c r="E134" s="26">
        <f>SUM(E132:E133)</f>
        <v>1514153.6975000091</v>
      </c>
      <c r="F134" s="23">
        <v>0</v>
      </c>
      <c r="G134" s="25">
        <v>0</v>
      </c>
      <c r="H134" s="24">
        <f>SUM(H132:H133)</f>
        <v>1474769.6000002027</v>
      </c>
      <c r="I134" s="24">
        <f>SUM(I132:I133)</f>
        <v>0</v>
      </c>
      <c r="J134" s="23">
        <v>0</v>
      </c>
      <c r="K134" s="25">
        <v>0</v>
      </c>
      <c r="L134" s="24">
        <f>SUM(L132:L133)</f>
        <v>0</v>
      </c>
      <c r="M134" s="23">
        <v>0</v>
      </c>
      <c r="N134" s="22" t="str">
        <f t="shared" si="76"/>
        <v>-</v>
      </c>
      <c r="O134" s="27">
        <f>SUM(O132:O133)</f>
        <v>3656.5199999809265</v>
      </c>
      <c r="P134" s="26">
        <f>SUM(P132:P133)</f>
        <v>1514153.6975000091</v>
      </c>
      <c r="Q134" s="23">
        <v>0</v>
      </c>
      <c r="R134" s="25">
        <v>0</v>
      </c>
      <c r="S134" s="24">
        <f>SUM(S132:S133)</f>
        <v>1474769.6000002027</v>
      </c>
      <c r="T134" s="24">
        <f>SUM(T132:T133)</f>
        <v>0</v>
      </c>
      <c r="U134" s="23">
        <v>0</v>
      </c>
      <c r="V134" s="25">
        <v>0</v>
      </c>
      <c r="W134" s="24">
        <f>SUM(W132:W133)</f>
        <v>0</v>
      </c>
      <c r="X134" s="23">
        <v>0</v>
      </c>
      <c r="Y134" s="22" t="str">
        <f t="shared" si="77"/>
        <v>-</v>
      </c>
      <c r="Z134" s="27">
        <f>SUM(Z132:Z133)</f>
        <v>3656.5199999809265</v>
      </c>
      <c r="AA134" s="26">
        <f>SUM(AA132:AA133)</f>
        <v>1514153.6975000091</v>
      </c>
      <c r="AB134" s="23">
        <v>0</v>
      </c>
      <c r="AC134" s="25">
        <v>0</v>
      </c>
      <c r="AD134" s="24">
        <f>SUM(AD132:AD133)</f>
        <v>1474769.6000002027</v>
      </c>
      <c r="AE134" s="24">
        <f>SUM(AE132:AE133)</f>
        <v>0</v>
      </c>
      <c r="AF134" s="23">
        <v>0</v>
      </c>
      <c r="AG134" s="25">
        <v>0</v>
      </c>
      <c r="AH134" s="24">
        <f>SUM(AH132:AH133)</f>
        <v>0</v>
      </c>
      <c r="AI134" s="23">
        <v>0</v>
      </c>
      <c r="AJ134" s="22" t="str">
        <f t="shared" si="78"/>
        <v>-</v>
      </c>
    </row>
    <row r="135" spans="1:36" hidden="1" outlineLevel="3" x14ac:dyDescent="0.2">
      <c r="A135" s="54"/>
      <c r="B135" s="57" t="str">
        <f t="shared" si="75"/>
        <v>Резерв на отпуск</v>
      </c>
      <c r="C135" s="56" t="str">
        <f t="shared" si="75"/>
        <v>Accruals for unused vacations</v>
      </c>
      <c r="D135" s="41">
        <f>D15-D78</f>
        <v>-3656.5199999809265</v>
      </c>
      <c r="E135" s="40">
        <f>E15-E78</f>
        <v>-3617.2554605826735</v>
      </c>
      <c r="F135" s="32">
        <v>0</v>
      </c>
      <c r="G135" s="34">
        <v>0</v>
      </c>
      <c r="H135" s="39">
        <f>H15-H78</f>
        <v>-2578369.6499999166</v>
      </c>
      <c r="I135" s="39">
        <f>I15-I78</f>
        <v>0</v>
      </c>
      <c r="J135" s="32">
        <v>0</v>
      </c>
      <c r="K135" s="34">
        <v>0</v>
      </c>
      <c r="L135" s="39">
        <f>L15-L78</f>
        <v>0</v>
      </c>
      <c r="M135" s="32">
        <v>0</v>
      </c>
      <c r="N135" s="53" t="str">
        <f t="shared" si="76"/>
        <v>-</v>
      </c>
      <c r="O135" s="41">
        <f>O15-O78</f>
        <v>-3656.5199999809265</v>
      </c>
      <c r="P135" s="40">
        <f>P15-P78</f>
        <v>-3617.2554605826735</v>
      </c>
      <c r="Q135" s="32">
        <v>0</v>
      </c>
      <c r="R135" s="34">
        <v>0</v>
      </c>
      <c r="S135" s="39">
        <f>S15-S78</f>
        <v>-2578369.6499999166</v>
      </c>
      <c r="T135" s="39">
        <f>T15-T78</f>
        <v>0</v>
      </c>
      <c r="U135" s="32">
        <v>0</v>
      </c>
      <c r="V135" s="34">
        <v>0</v>
      </c>
      <c r="W135" s="39">
        <f>W15-W78</f>
        <v>0</v>
      </c>
      <c r="X135" s="32">
        <v>0</v>
      </c>
      <c r="Y135" s="53" t="str">
        <f t="shared" si="77"/>
        <v>-</v>
      </c>
      <c r="Z135" s="41">
        <f>Z15-Z78</f>
        <v>-3656.5199999809265</v>
      </c>
      <c r="AA135" s="40">
        <f>AA15-AA78</f>
        <v>-3617.2554605826735</v>
      </c>
      <c r="AB135" s="32">
        <v>0</v>
      </c>
      <c r="AC135" s="34">
        <v>0</v>
      </c>
      <c r="AD135" s="39">
        <f>AD15-AD78</f>
        <v>-2578369.6499999166</v>
      </c>
      <c r="AE135" s="39">
        <f>AE15-AE78</f>
        <v>0</v>
      </c>
      <c r="AF135" s="32">
        <v>0</v>
      </c>
      <c r="AG135" s="34">
        <v>0</v>
      </c>
      <c r="AH135" s="39">
        <f>AH15-AH78</f>
        <v>0</v>
      </c>
      <c r="AI135" s="32">
        <v>0</v>
      </c>
      <c r="AJ135" s="53" t="str">
        <f t="shared" si="78"/>
        <v>-</v>
      </c>
    </row>
    <row r="136" spans="1:36" hidden="1" outlineLevel="3" x14ac:dyDescent="0.2">
      <c r="A136" s="54"/>
      <c r="B136" s="38" t="str">
        <f t="shared" si="75"/>
        <v>Страховые взносы резерв на отпуск</v>
      </c>
      <c r="C136" s="56" t="str">
        <f t="shared" si="75"/>
        <v>Social Security on accruals for unused vacations</v>
      </c>
      <c r="D136" s="41">
        <f>D16-D79</f>
        <v>0</v>
      </c>
      <c r="E136" s="40">
        <f>E16-E79</f>
        <v>-669.19226020760834</v>
      </c>
      <c r="F136" s="32">
        <v>0</v>
      </c>
      <c r="G136" s="34">
        <v>0</v>
      </c>
      <c r="H136" s="39">
        <f>H16-H79</f>
        <v>0</v>
      </c>
      <c r="I136" s="39">
        <f>I16-I79</f>
        <v>0</v>
      </c>
      <c r="J136" s="32">
        <v>0</v>
      </c>
      <c r="K136" s="34">
        <v>0</v>
      </c>
      <c r="L136" s="39">
        <f>L16-L79</f>
        <v>0</v>
      </c>
      <c r="M136" s="32">
        <v>0</v>
      </c>
      <c r="N136" s="53" t="str">
        <f t="shared" si="76"/>
        <v>-</v>
      </c>
      <c r="O136" s="41">
        <f>O16-O79</f>
        <v>0</v>
      </c>
      <c r="P136" s="40">
        <f>P16-P79</f>
        <v>-669.19226020760834</v>
      </c>
      <c r="Q136" s="32">
        <v>0</v>
      </c>
      <c r="R136" s="34">
        <v>0</v>
      </c>
      <c r="S136" s="39">
        <f>S16-S79</f>
        <v>0</v>
      </c>
      <c r="T136" s="39">
        <f>T16-T79</f>
        <v>0</v>
      </c>
      <c r="U136" s="32">
        <v>0</v>
      </c>
      <c r="V136" s="34">
        <v>0</v>
      </c>
      <c r="W136" s="39">
        <f>W16-W79</f>
        <v>0</v>
      </c>
      <c r="X136" s="32">
        <v>0</v>
      </c>
      <c r="Y136" s="53" t="str">
        <f t="shared" si="77"/>
        <v>-</v>
      </c>
      <c r="Z136" s="41">
        <f>Z16-Z79</f>
        <v>0</v>
      </c>
      <c r="AA136" s="40">
        <f>AA16-AA79</f>
        <v>-669.19226020760834</v>
      </c>
      <c r="AB136" s="32">
        <v>0</v>
      </c>
      <c r="AC136" s="34">
        <v>0</v>
      </c>
      <c r="AD136" s="39">
        <f>AD16-AD79</f>
        <v>0</v>
      </c>
      <c r="AE136" s="39">
        <f>AE16-AE79</f>
        <v>0</v>
      </c>
      <c r="AF136" s="32">
        <v>0</v>
      </c>
      <c r="AG136" s="34">
        <v>0</v>
      </c>
      <c r="AH136" s="39">
        <f>AH16-AH79</f>
        <v>0</v>
      </c>
      <c r="AI136" s="32">
        <v>0</v>
      </c>
      <c r="AJ136" s="53" t="str">
        <f t="shared" si="78"/>
        <v>-</v>
      </c>
    </row>
    <row r="137" spans="1:36" s="6" customFormat="1" hidden="1" outlineLevel="2" collapsed="1" x14ac:dyDescent="0.2">
      <c r="A137" s="30"/>
      <c r="B137" s="29" t="str">
        <f t="shared" si="75"/>
        <v>Итого резерв на отпуск</v>
      </c>
      <c r="C137" s="52" t="str">
        <f t="shared" si="75"/>
        <v>Total Accruals for unused vacations</v>
      </c>
      <c r="D137" s="27">
        <f>SUM(D135:D136)</f>
        <v>-3656.5199999809265</v>
      </c>
      <c r="E137" s="26">
        <f>SUM(E135:E136)</f>
        <v>-4286.4477207902819</v>
      </c>
      <c r="F137" s="23">
        <v>0</v>
      </c>
      <c r="G137" s="25">
        <v>0</v>
      </c>
      <c r="H137" s="24">
        <f>SUM(H135:H136)</f>
        <v>-2578369.6499999166</v>
      </c>
      <c r="I137" s="24">
        <f>SUM(I135:I136)</f>
        <v>0</v>
      </c>
      <c r="J137" s="23">
        <v>0</v>
      </c>
      <c r="K137" s="25">
        <v>0</v>
      </c>
      <c r="L137" s="24">
        <f>SUM(L135:L136)</f>
        <v>0</v>
      </c>
      <c r="M137" s="23">
        <v>0</v>
      </c>
      <c r="N137" s="22" t="str">
        <f t="shared" si="76"/>
        <v>-</v>
      </c>
      <c r="O137" s="27">
        <f>SUM(O135:O136)</f>
        <v>-3656.5199999809265</v>
      </c>
      <c r="P137" s="26">
        <f>SUM(P135:P136)</f>
        <v>-4286.4477207902819</v>
      </c>
      <c r="Q137" s="23">
        <v>0</v>
      </c>
      <c r="R137" s="25">
        <v>0</v>
      </c>
      <c r="S137" s="24">
        <f>SUM(S135:S136)</f>
        <v>-2578369.6499999166</v>
      </c>
      <c r="T137" s="24">
        <f>SUM(T135:T136)</f>
        <v>0</v>
      </c>
      <c r="U137" s="23">
        <v>0</v>
      </c>
      <c r="V137" s="25">
        <v>0</v>
      </c>
      <c r="W137" s="24">
        <f>SUM(W135:W136)</f>
        <v>0</v>
      </c>
      <c r="X137" s="23">
        <v>0</v>
      </c>
      <c r="Y137" s="22" t="str">
        <f t="shared" si="77"/>
        <v>-</v>
      </c>
      <c r="Z137" s="27">
        <f>SUM(Z135:Z136)</f>
        <v>-3656.5199999809265</v>
      </c>
      <c r="AA137" s="26">
        <f>SUM(AA135:AA136)</f>
        <v>-4286.4477207902819</v>
      </c>
      <c r="AB137" s="23">
        <v>0</v>
      </c>
      <c r="AC137" s="25">
        <v>0</v>
      </c>
      <c r="AD137" s="24">
        <f>SUM(AD135:AD136)</f>
        <v>-2578369.6499999166</v>
      </c>
      <c r="AE137" s="24">
        <f>SUM(AE135:AE136)</f>
        <v>0</v>
      </c>
      <c r="AF137" s="23">
        <v>0</v>
      </c>
      <c r="AG137" s="25">
        <v>0</v>
      </c>
      <c r="AH137" s="24">
        <f>SUM(AH135:AH136)</f>
        <v>0</v>
      </c>
      <c r="AI137" s="23">
        <v>0</v>
      </c>
      <c r="AJ137" s="22" t="str">
        <f t="shared" si="78"/>
        <v>-</v>
      </c>
    </row>
    <row r="138" spans="1:36" hidden="1" outlineLevel="3" x14ac:dyDescent="0.2">
      <c r="A138" s="54"/>
      <c r="B138" s="38" t="str">
        <f t="shared" si="75"/>
        <v>Оплата больничных листов</v>
      </c>
      <c r="C138" s="49" t="str">
        <f t="shared" si="75"/>
        <v>Sick leave compensation</v>
      </c>
      <c r="D138" s="41">
        <f>D18-D81</f>
        <v>0</v>
      </c>
      <c r="E138" s="40">
        <f>E18-E81</f>
        <v>0</v>
      </c>
      <c r="F138" s="32">
        <v>0</v>
      </c>
      <c r="G138" s="34">
        <v>0</v>
      </c>
      <c r="H138" s="39">
        <f>H18-H81</f>
        <v>0</v>
      </c>
      <c r="I138" s="39">
        <f>I18-I81</f>
        <v>-1108089.5900000001</v>
      </c>
      <c r="J138" s="32">
        <v>0</v>
      </c>
      <c r="K138" s="34">
        <v>0</v>
      </c>
      <c r="L138" s="39">
        <f>L18-L81</f>
        <v>-1108089.5900000001</v>
      </c>
      <c r="M138" s="32">
        <v>0</v>
      </c>
      <c r="N138" s="53">
        <f t="shared" si="76"/>
        <v>0</v>
      </c>
      <c r="O138" s="41">
        <f>O18-O81</f>
        <v>0</v>
      </c>
      <c r="P138" s="40">
        <f>P18-P81</f>
        <v>0</v>
      </c>
      <c r="Q138" s="32">
        <v>0</v>
      </c>
      <c r="R138" s="34">
        <v>0</v>
      </c>
      <c r="S138" s="39">
        <f>S18-S81</f>
        <v>0</v>
      </c>
      <c r="T138" s="39">
        <f>T18-T81</f>
        <v>-1108089.5900000001</v>
      </c>
      <c r="U138" s="32">
        <v>0</v>
      </c>
      <c r="V138" s="34">
        <v>0</v>
      </c>
      <c r="W138" s="39">
        <f>W18-W81</f>
        <v>-1108089.5900000001</v>
      </c>
      <c r="X138" s="32">
        <v>0</v>
      </c>
      <c r="Y138" s="53">
        <f t="shared" si="77"/>
        <v>0</v>
      </c>
      <c r="Z138" s="41">
        <f>Z18-Z81</f>
        <v>0</v>
      </c>
      <c r="AA138" s="40">
        <f>AA18-AA81</f>
        <v>0</v>
      </c>
      <c r="AB138" s="32">
        <v>0</v>
      </c>
      <c r="AC138" s="34">
        <v>0</v>
      </c>
      <c r="AD138" s="39">
        <f>AD18-AD81</f>
        <v>0</v>
      </c>
      <c r="AE138" s="39">
        <f>AE18-AE81</f>
        <v>-1108089.5900000001</v>
      </c>
      <c r="AF138" s="32">
        <v>0</v>
      </c>
      <c r="AG138" s="34">
        <v>0</v>
      </c>
      <c r="AH138" s="39">
        <f>AH18-AH81</f>
        <v>-1108089.5900000001</v>
      </c>
      <c r="AI138" s="32">
        <v>0</v>
      </c>
      <c r="AJ138" s="53">
        <f t="shared" si="78"/>
        <v>0</v>
      </c>
    </row>
    <row r="139" spans="1:36" hidden="1" outlineLevel="3" x14ac:dyDescent="0.2">
      <c r="A139" s="54"/>
      <c r="B139" s="38" t="str">
        <f t="shared" si="75"/>
        <v>Страховые взносы оплата больничных листов</v>
      </c>
      <c r="C139" s="49" t="str">
        <f t="shared" si="75"/>
        <v>Social Security on Sick leave compensation</v>
      </c>
      <c r="D139" s="41">
        <f>D19-D82</f>
        <v>0</v>
      </c>
      <c r="E139" s="40">
        <f>E19-E82</f>
        <v>0</v>
      </c>
      <c r="F139" s="32">
        <v>0</v>
      </c>
      <c r="G139" s="34">
        <v>0</v>
      </c>
      <c r="H139" s="39">
        <f>H19-H82</f>
        <v>0</v>
      </c>
      <c r="I139" s="39">
        <f>I19-I82</f>
        <v>-244088.15</v>
      </c>
      <c r="J139" s="32">
        <v>0</v>
      </c>
      <c r="K139" s="34">
        <v>0</v>
      </c>
      <c r="L139" s="39">
        <f>L19-L82</f>
        <v>-244088.15</v>
      </c>
      <c r="M139" s="32">
        <v>0</v>
      </c>
      <c r="N139" s="53">
        <f t="shared" si="76"/>
        <v>0</v>
      </c>
      <c r="O139" s="41">
        <f>O19-O82</f>
        <v>0</v>
      </c>
      <c r="P139" s="40">
        <f>P19-P82</f>
        <v>0</v>
      </c>
      <c r="Q139" s="32">
        <v>0</v>
      </c>
      <c r="R139" s="34">
        <v>0</v>
      </c>
      <c r="S139" s="39">
        <f>S19-S82</f>
        <v>0</v>
      </c>
      <c r="T139" s="39">
        <f>T19-T82</f>
        <v>-244088.15</v>
      </c>
      <c r="U139" s="32">
        <v>0</v>
      </c>
      <c r="V139" s="34">
        <v>0</v>
      </c>
      <c r="W139" s="39">
        <f>W19-W82</f>
        <v>-244088.15</v>
      </c>
      <c r="X139" s="32">
        <v>0</v>
      </c>
      <c r="Y139" s="53">
        <f t="shared" si="77"/>
        <v>0</v>
      </c>
      <c r="Z139" s="41">
        <f>Z19-Z82</f>
        <v>0</v>
      </c>
      <c r="AA139" s="40">
        <f>AA19-AA82</f>
        <v>0</v>
      </c>
      <c r="AB139" s="32">
        <v>0</v>
      </c>
      <c r="AC139" s="34">
        <v>0</v>
      </c>
      <c r="AD139" s="39">
        <f>AD19-AD82</f>
        <v>0</v>
      </c>
      <c r="AE139" s="39">
        <f>AE19-AE82</f>
        <v>-244088.15</v>
      </c>
      <c r="AF139" s="32">
        <v>0</v>
      </c>
      <c r="AG139" s="34">
        <v>0</v>
      </c>
      <c r="AH139" s="39">
        <f>AH19-AH82</f>
        <v>-244088.15</v>
      </c>
      <c r="AI139" s="32">
        <v>0</v>
      </c>
      <c r="AJ139" s="53">
        <f t="shared" si="78"/>
        <v>0</v>
      </c>
    </row>
    <row r="140" spans="1:36" s="6" customFormat="1" hidden="1" outlineLevel="2" collapsed="1" x14ac:dyDescent="0.2">
      <c r="A140" s="30"/>
      <c r="B140" s="29" t="str">
        <f t="shared" si="75"/>
        <v>Итого оплата больничных листов</v>
      </c>
      <c r="C140" s="52" t="str">
        <f t="shared" si="75"/>
        <v>Total Sick leave compensation</v>
      </c>
      <c r="D140" s="27">
        <f>SUM(D138:D139)</f>
        <v>0</v>
      </c>
      <c r="E140" s="26">
        <f>SUM(E138:E139)</f>
        <v>0</v>
      </c>
      <c r="F140" s="23">
        <v>0</v>
      </c>
      <c r="G140" s="25">
        <v>0</v>
      </c>
      <c r="H140" s="24">
        <f>SUM(H138:H139)</f>
        <v>0</v>
      </c>
      <c r="I140" s="24">
        <f>SUM(I138:I139)</f>
        <v>-1352177.74</v>
      </c>
      <c r="J140" s="23">
        <v>0</v>
      </c>
      <c r="K140" s="25">
        <v>0</v>
      </c>
      <c r="L140" s="24">
        <f>SUM(L138:L139)</f>
        <v>-1352177.74</v>
      </c>
      <c r="M140" s="23">
        <v>0</v>
      </c>
      <c r="N140" s="22">
        <f t="shared" si="76"/>
        <v>0</v>
      </c>
      <c r="O140" s="27">
        <f>SUM(O138:O139)</f>
        <v>0</v>
      </c>
      <c r="P140" s="26">
        <f>SUM(P138:P139)</f>
        <v>0</v>
      </c>
      <c r="Q140" s="23">
        <v>0</v>
      </c>
      <c r="R140" s="25">
        <v>0</v>
      </c>
      <c r="S140" s="24">
        <f>SUM(S138:S139)</f>
        <v>0</v>
      </c>
      <c r="T140" s="24">
        <f>SUM(T138:T139)</f>
        <v>-1352177.74</v>
      </c>
      <c r="U140" s="23">
        <v>0</v>
      </c>
      <c r="V140" s="25">
        <v>0</v>
      </c>
      <c r="W140" s="24">
        <f>SUM(W138:W139)</f>
        <v>-1352177.74</v>
      </c>
      <c r="X140" s="23">
        <v>0</v>
      </c>
      <c r="Y140" s="22">
        <f t="shared" si="77"/>
        <v>0</v>
      </c>
      <c r="Z140" s="27">
        <f>SUM(Z138:Z139)</f>
        <v>0</v>
      </c>
      <c r="AA140" s="26">
        <f>SUM(AA138:AA139)</f>
        <v>0</v>
      </c>
      <c r="AB140" s="23">
        <v>0</v>
      </c>
      <c r="AC140" s="25">
        <v>0</v>
      </c>
      <c r="AD140" s="24">
        <f>SUM(AD138:AD139)</f>
        <v>0</v>
      </c>
      <c r="AE140" s="24">
        <f>SUM(AE138:AE139)</f>
        <v>-1352177.74</v>
      </c>
      <c r="AF140" s="23">
        <v>0</v>
      </c>
      <c r="AG140" s="25">
        <v>0</v>
      </c>
      <c r="AH140" s="24">
        <f>SUM(AH138:AH139)</f>
        <v>-1352177.74</v>
      </c>
      <c r="AI140" s="23">
        <v>0</v>
      </c>
      <c r="AJ140" s="22">
        <f t="shared" si="78"/>
        <v>0</v>
      </c>
    </row>
    <row r="141" spans="1:36" hidden="1" outlineLevel="3" x14ac:dyDescent="0.2">
      <c r="A141" s="54"/>
      <c r="B141" s="38" t="str">
        <f t="shared" si="75"/>
        <v>Декрет</v>
      </c>
      <c r="C141" s="49" t="str">
        <f t="shared" si="75"/>
        <v>Maternity leave</v>
      </c>
      <c r="D141" s="41">
        <f>D21-D84</f>
        <v>0</v>
      </c>
      <c r="E141" s="40">
        <f>E21-E84</f>
        <v>0</v>
      </c>
      <c r="F141" s="32">
        <v>0</v>
      </c>
      <c r="G141" s="34">
        <v>0</v>
      </c>
      <c r="H141" s="39">
        <f>H21-H84</f>
        <v>0</v>
      </c>
      <c r="I141" s="39">
        <f>I21-I84</f>
        <v>0</v>
      </c>
      <c r="J141" s="32">
        <v>0</v>
      </c>
      <c r="K141" s="34">
        <v>0</v>
      </c>
      <c r="L141" s="39">
        <f>L21-L84</f>
        <v>0</v>
      </c>
      <c r="M141" s="32">
        <v>0</v>
      </c>
      <c r="N141" s="53" t="str">
        <f t="shared" si="76"/>
        <v>-</v>
      </c>
      <c r="O141" s="41">
        <f>O21-O84</f>
        <v>0</v>
      </c>
      <c r="P141" s="40">
        <f>P21-P84</f>
        <v>0</v>
      </c>
      <c r="Q141" s="32">
        <v>0</v>
      </c>
      <c r="R141" s="34">
        <v>0</v>
      </c>
      <c r="S141" s="39">
        <f>S21-S84</f>
        <v>0</v>
      </c>
      <c r="T141" s="39">
        <f>T21-T84</f>
        <v>0</v>
      </c>
      <c r="U141" s="32">
        <v>0</v>
      </c>
      <c r="V141" s="34">
        <v>0</v>
      </c>
      <c r="W141" s="39">
        <f>W21-W84</f>
        <v>0</v>
      </c>
      <c r="X141" s="32">
        <v>0</v>
      </c>
      <c r="Y141" s="53" t="str">
        <f t="shared" si="77"/>
        <v>-</v>
      </c>
      <c r="Z141" s="41">
        <f>Z21-Z84</f>
        <v>0</v>
      </c>
      <c r="AA141" s="40">
        <f>AA21-AA84</f>
        <v>0</v>
      </c>
      <c r="AB141" s="32">
        <v>0</v>
      </c>
      <c r="AC141" s="34">
        <v>0</v>
      </c>
      <c r="AD141" s="39">
        <f>AD21-AD84</f>
        <v>0</v>
      </c>
      <c r="AE141" s="39">
        <f>AE21-AE84</f>
        <v>0</v>
      </c>
      <c r="AF141" s="32">
        <v>0</v>
      </c>
      <c r="AG141" s="34">
        <v>0</v>
      </c>
      <c r="AH141" s="39">
        <f>AH21-AH84</f>
        <v>0</v>
      </c>
      <c r="AI141" s="32">
        <v>0</v>
      </c>
      <c r="AJ141" s="53" t="str">
        <f t="shared" si="78"/>
        <v>-</v>
      </c>
    </row>
    <row r="142" spans="1:36" hidden="1" outlineLevel="3" x14ac:dyDescent="0.2">
      <c r="A142" s="54"/>
      <c r="B142" s="38" t="str">
        <f t="shared" si="75"/>
        <v>Страховые взносы декрет</v>
      </c>
      <c r="C142" s="49" t="str">
        <f t="shared" si="75"/>
        <v>Social Security on Maternity leave</v>
      </c>
      <c r="D142" s="41">
        <f>D22-D85</f>
        <v>0</v>
      </c>
      <c r="E142" s="40">
        <f>E22-E85</f>
        <v>0</v>
      </c>
      <c r="F142" s="32">
        <v>0</v>
      </c>
      <c r="G142" s="34">
        <v>0</v>
      </c>
      <c r="H142" s="39">
        <f>H22-H85</f>
        <v>0</v>
      </c>
      <c r="I142" s="39">
        <f>I22-I85</f>
        <v>0</v>
      </c>
      <c r="J142" s="32">
        <v>0</v>
      </c>
      <c r="K142" s="34">
        <v>0</v>
      </c>
      <c r="L142" s="39">
        <f>L22-L85</f>
        <v>0</v>
      </c>
      <c r="M142" s="32">
        <v>0</v>
      </c>
      <c r="N142" s="53" t="str">
        <f t="shared" si="76"/>
        <v>-</v>
      </c>
      <c r="O142" s="41">
        <f>O22-O85</f>
        <v>0</v>
      </c>
      <c r="P142" s="40">
        <f>P22-P85</f>
        <v>0</v>
      </c>
      <c r="Q142" s="32">
        <v>0</v>
      </c>
      <c r="R142" s="34">
        <v>0</v>
      </c>
      <c r="S142" s="39">
        <f>S22-S85</f>
        <v>0</v>
      </c>
      <c r="T142" s="39">
        <f>T22-T85</f>
        <v>0</v>
      </c>
      <c r="U142" s="32">
        <v>0</v>
      </c>
      <c r="V142" s="34">
        <v>0</v>
      </c>
      <c r="W142" s="39">
        <f>W22-W85</f>
        <v>0</v>
      </c>
      <c r="X142" s="32">
        <v>0</v>
      </c>
      <c r="Y142" s="53" t="str">
        <f t="shared" si="77"/>
        <v>-</v>
      </c>
      <c r="Z142" s="41">
        <f>Z22-Z85</f>
        <v>0</v>
      </c>
      <c r="AA142" s="40">
        <f>AA22-AA85</f>
        <v>0</v>
      </c>
      <c r="AB142" s="32">
        <v>0</v>
      </c>
      <c r="AC142" s="34">
        <v>0</v>
      </c>
      <c r="AD142" s="39">
        <f>AD22-AD85</f>
        <v>0</v>
      </c>
      <c r="AE142" s="39">
        <f>AE22-AE85</f>
        <v>0</v>
      </c>
      <c r="AF142" s="32">
        <v>0</v>
      </c>
      <c r="AG142" s="34">
        <v>0</v>
      </c>
      <c r="AH142" s="39">
        <f>AH22-AH85</f>
        <v>0</v>
      </c>
      <c r="AI142" s="32">
        <v>0</v>
      </c>
      <c r="AJ142" s="53" t="str">
        <f t="shared" si="78"/>
        <v>-</v>
      </c>
    </row>
    <row r="143" spans="1:36" s="6" customFormat="1" hidden="1" outlineLevel="2" collapsed="1" x14ac:dyDescent="0.2">
      <c r="A143" s="30"/>
      <c r="B143" s="29" t="str">
        <f t="shared" si="75"/>
        <v>Итого декрет</v>
      </c>
      <c r="C143" s="52" t="str">
        <f t="shared" si="75"/>
        <v>Total Maternity leave</v>
      </c>
      <c r="D143" s="27">
        <f>SUM(D141:D142)</f>
        <v>0</v>
      </c>
      <c r="E143" s="26">
        <f>SUM(E141:E142)</f>
        <v>0</v>
      </c>
      <c r="F143" s="23">
        <v>0</v>
      </c>
      <c r="G143" s="25">
        <v>0</v>
      </c>
      <c r="H143" s="24">
        <f>SUM(H141:H142)</f>
        <v>0</v>
      </c>
      <c r="I143" s="24">
        <f>SUM(I141:I142)</f>
        <v>0</v>
      </c>
      <c r="J143" s="23">
        <v>0</v>
      </c>
      <c r="K143" s="25">
        <v>0</v>
      </c>
      <c r="L143" s="24">
        <f>SUM(L141:L142)</f>
        <v>0</v>
      </c>
      <c r="M143" s="23">
        <v>0</v>
      </c>
      <c r="N143" s="22" t="str">
        <f t="shared" si="76"/>
        <v>-</v>
      </c>
      <c r="O143" s="27">
        <f>SUM(O141:O142)</f>
        <v>0</v>
      </c>
      <c r="P143" s="26">
        <f>SUM(P141:P142)</f>
        <v>0</v>
      </c>
      <c r="Q143" s="23">
        <v>0</v>
      </c>
      <c r="R143" s="25">
        <v>0</v>
      </c>
      <c r="S143" s="24">
        <f>SUM(S141:S142)</f>
        <v>0</v>
      </c>
      <c r="T143" s="24">
        <f>SUM(T141:T142)</f>
        <v>0</v>
      </c>
      <c r="U143" s="23">
        <v>0</v>
      </c>
      <c r="V143" s="25">
        <v>0</v>
      </c>
      <c r="W143" s="24">
        <f>SUM(W141:W142)</f>
        <v>0</v>
      </c>
      <c r="X143" s="23">
        <v>0</v>
      </c>
      <c r="Y143" s="22" t="str">
        <f t="shared" si="77"/>
        <v>-</v>
      </c>
      <c r="Z143" s="27">
        <f>SUM(Z141:Z142)</f>
        <v>0</v>
      </c>
      <c r="AA143" s="26">
        <f>SUM(AA141:AA142)</f>
        <v>0</v>
      </c>
      <c r="AB143" s="23">
        <v>0</v>
      </c>
      <c r="AC143" s="25">
        <v>0</v>
      </c>
      <c r="AD143" s="24">
        <f>SUM(AD141:AD142)</f>
        <v>0</v>
      </c>
      <c r="AE143" s="24">
        <f>SUM(AE141:AE142)</f>
        <v>0</v>
      </c>
      <c r="AF143" s="23">
        <v>0</v>
      </c>
      <c r="AG143" s="25">
        <v>0</v>
      </c>
      <c r="AH143" s="24">
        <f>SUM(AH141:AH142)</f>
        <v>0</v>
      </c>
      <c r="AI143" s="23">
        <v>0</v>
      </c>
      <c r="AJ143" s="22" t="str">
        <f t="shared" si="78"/>
        <v>-</v>
      </c>
    </row>
    <row r="144" spans="1:36" s="6" customFormat="1" ht="13.5" outlineLevel="1" collapsed="1" thickTop="1" x14ac:dyDescent="0.2">
      <c r="A144" s="30"/>
      <c r="B144" s="48" t="str">
        <f t="shared" si="75"/>
        <v>Фиксированное вознаграждение</v>
      </c>
      <c r="C144" s="55" t="str">
        <f t="shared" si="75"/>
        <v>FIX compensation</v>
      </c>
      <c r="D144" s="46">
        <f>D134+D137+D140+D143</f>
        <v>0</v>
      </c>
      <c r="E144" s="45">
        <f>E134+E137+E140+E143</f>
        <v>1509867.2497792188</v>
      </c>
      <c r="F144" s="23">
        <v>0</v>
      </c>
      <c r="G144" s="25">
        <v>0</v>
      </c>
      <c r="H144" s="44">
        <f>H134+H137+H140+H143</f>
        <v>-1103600.0499997139</v>
      </c>
      <c r="I144" s="44">
        <f>I134+I137+I140+I143</f>
        <v>-1352177.74</v>
      </c>
      <c r="J144" s="23">
        <v>0</v>
      </c>
      <c r="K144" s="25">
        <v>0</v>
      </c>
      <c r="L144" s="44">
        <f>L134+L137+L140+L143</f>
        <v>-1352177.74</v>
      </c>
      <c r="M144" s="23">
        <v>0</v>
      </c>
      <c r="N144" s="22"/>
      <c r="O144" s="46">
        <f>O134+O137+O140+O143</f>
        <v>0</v>
      </c>
      <c r="P144" s="45">
        <f>P134+P137+P140+P143</f>
        <v>1509867.2497792188</v>
      </c>
      <c r="Q144" s="23">
        <v>0</v>
      </c>
      <c r="R144" s="25">
        <v>0</v>
      </c>
      <c r="S144" s="44">
        <f>S134+S137+S140+S143</f>
        <v>-1103600.0499997139</v>
      </c>
      <c r="T144" s="44">
        <f>T134+T137+T140+T143</f>
        <v>-1352177.74</v>
      </c>
      <c r="U144" s="23">
        <v>0</v>
      </c>
      <c r="V144" s="25">
        <v>0</v>
      </c>
      <c r="W144" s="44">
        <f>W134+W137+W140+W143</f>
        <v>-1352177.74</v>
      </c>
      <c r="X144" s="23">
        <v>0</v>
      </c>
      <c r="Y144" s="22"/>
      <c r="Z144" s="46">
        <f>Z134+Z137+Z140+Z143</f>
        <v>0</v>
      </c>
      <c r="AA144" s="45">
        <f>AA134+AA137+AA140+AA143</f>
        <v>1509867.2497792188</v>
      </c>
      <c r="AB144" s="23">
        <v>0</v>
      </c>
      <c r="AC144" s="25">
        <v>0</v>
      </c>
      <c r="AD144" s="44">
        <f>AD134+AD137+AD140+AD143</f>
        <v>-1103600.0499997139</v>
      </c>
      <c r="AE144" s="44">
        <f>AE134+AE137+AE140+AE143</f>
        <v>-1352177.74</v>
      </c>
      <c r="AF144" s="23">
        <v>0</v>
      </c>
      <c r="AG144" s="25">
        <v>0</v>
      </c>
      <c r="AH144" s="44">
        <f>AH134+AH137+AH140+AH143</f>
        <v>-1352177.74</v>
      </c>
      <c r="AI144" s="23">
        <v>0</v>
      </c>
      <c r="AJ144" s="22"/>
    </row>
    <row r="145" spans="1:36" s="6" customFormat="1" hidden="1" outlineLevel="2" x14ac:dyDescent="0.2">
      <c r="B145" s="29" t="str">
        <f t="shared" si="75"/>
        <v>Расходы на страхование (ДМС, НС)</v>
      </c>
      <c r="C145" s="52" t="str">
        <f t="shared" si="75"/>
        <v>Health &amp; welfare</v>
      </c>
      <c r="D145" s="27">
        <f>D25-D88</f>
        <v>11658.330000001937</v>
      </c>
      <c r="E145" s="26">
        <f>E25-E88</f>
        <v>122555.39177178033</v>
      </c>
      <c r="F145" s="23">
        <v>0</v>
      </c>
      <c r="G145" s="25">
        <v>0</v>
      </c>
      <c r="H145" s="24">
        <f>H25-H88</f>
        <v>653791.37000000849</v>
      </c>
      <c r="I145" s="24">
        <f>I25-I88</f>
        <v>0</v>
      </c>
      <c r="J145" s="23">
        <v>0</v>
      </c>
      <c r="K145" s="25">
        <v>0</v>
      </c>
      <c r="L145" s="24">
        <f>L25-L88</f>
        <v>0</v>
      </c>
      <c r="M145" s="23">
        <v>0</v>
      </c>
      <c r="N145" s="43" t="str">
        <f t="shared" ref="N145:N186" si="79">IFERROR(M145/L145,"-")</f>
        <v>-</v>
      </c>
      <c r="O145" s="27">
        <f>O25-O88</f>
        <v>11658.330000001937</v>
      </c>
      <c r="P145" s="26">
        <f>P25-P88</f>
        <v>122555.39177178033</v>
      </c>
      <c r="Q145" s="23">
        <v>0</v>
      </c>
      <c r="R145" s="25">
        <v>0</v>
      </c>
      <c r="S145" s="24">
        <f>S25-S88</f>
        <v>653791.37000000849</v>
      </c>
      <c r="T145" s="24">
        <f>T25-T88</f>
        <v>0</v>
      </c>
      <c r="U145" s="23">
        <v>0</v>
      </c>
      <c r="V145" s="25">
        <v>0</v>
      </c>
      <c r="W145" s="24">
        <f>W25-W88</f>
        <v>0</v>
      </c>
      <c r="X145" s="23">
        <v>0</v>
      </c>
      <c r="Y145" s="43" t="str">
        <f t="shared" ref="Y145:Y186" si="80">IFERROR(X145/W145,"-")</f>
        <v>-</v>
      </c>
      <c r="Z145" s="27">
        <f>Z25-Z88</f>
        <v>11658.330000001937</v>
      </c>
      <c r="AA145" s="26">
        <f>AA25-AA88</f>
        <v>122555.39177178033</v>
      </c>
      <c r="AB145" s="23">
        <v>0</v>
      </c>
      <c r="AC145" s="25">
        <v>0</v>
      </c>
      <c r="AD145" s="24">
        <f>AD25-AD88</f>
        <v>653791.37000000849</v>
      </c>
      <c r="AE145" s="24">
        <f>AE25-AE88</f>
        <v>0</v>
      </c>
      <c r="AF145" s="23">
        <v>0</v>
      </c>
      <c r="AG145" s="25">
        <v>0</v>
      </c>
      <c r="AH145" s="24">
        <f>AH25-AH88</f>
        <v>0</v>
      </c>
      <c r="AI145" s="23">
        <v>0</v>
      </c>
      <c r="AJ145" s="43" t="str">
        <f t="shared" ref="AJ145:AJ186" si="81">IFERROR(AI145/AH145,"-")</f>
        <v>-</v>
      </c>
    </row>
    <row r="146" spans="1:36" s="6" customFormat="1" hidden="1" outlineLevel="2" x14ac:dyDescent="0.2">
      <c r="B146" s="29" t="str">
        <f t="shared" si="75"/>
        <v>Прочие бенефиты</v>
      </c>
      <c r="C146" s="52" t="str">
        <f t="shared" si="75"/>
        <v>Other benefits - Non-state mandated</v>
      </c>
      <c r="D146" s="27">
        <f>D26-D89</f>
        <v>-614311.89000000013</v>
      </c>
      <c r="E146" s="26">
        <f>E26-E89</f>
        <v>0</v>
      </c>
      <c r="F146" s="23">
        <v>0</v>
      </c>
      <c r="G146" s="25">
        <v>0</v>
      </c>
      <c r="H146" s="24">
        <f>H26-H89</f>
        <v>-1914075.8800000001</v>
      </c>
      <c r="I146" s="24">
        <f>I26-I89</f>
        <v>-996972.98</v>
      </c>
      <c r="J146" s="23">
        <v>0</v>
      </c>
      <c r="K146" s="25">
        <v>0</v>
      </c>
      <c r="L146" s="24">
        <f>L26-L89</f>
        <v>-996972.98</v>
      </c>
      <c r="M146" s="23">
        <v>0</v>
      </c>
      <c r="N146" s="43">
        <f t="shared" si="79"/>
        <v>0</v>
      </c>
      <c r="O146" s="27">
        <f>O26-O89</f>
        <v>-614311.89000000013</v>
      </c>
      <c r="P146" s="26">
        <f>P26-P89</f>
        <v>0</v>
      </c>
      <c r="Q146" s="23">
        <v>0</v>
      </c>
      <c r="R146" s="25">
        <v>0</v>
      </c>
      <c r="S146" s="24">
        <f>S26-S89</f>
        <v>-1914075.8800000001</v>
      </c>
      <c r="T146" s="24">
        <f>T26-T89</f>
        <v>-996972.98</v>
      </c>
      <c r="U146" s="23">
        <v>0</v>
      </c>
      <c r="V146" s="25">
        <v>0</v>
      </c>
      <c r="W146" s="24">
        <f>W26-W89</f>
        <v>-996972.98</v>
      </c>
      <c r="X146" s="23">
        <v>0</v>
      </c>
      <c r="Y146" s="43">
        <f t="shared" si="80"/>
        <v>0</v>
      </c>
      <c r="Z146" s="27">
        <f>Z26-Z89</f>
        <v>-614311.89000000013</v>
      </c>
      <c r="AA146" s="26">
        <f>AA26-AA89</f>
        <v>0</v>
      </c>
      <c r="AB146" s="23">
        <v>0</v>
      </c>
      <c r="AC146" s="25">
        <v>0</v>
      </c>
      <c r="AD146" s="24">
        <f>AD26-AD89</f>
        <v>-1914075.8800000001</v>
      </c>
      <c r="AE146" s="24">
        <f>AE26-AE89</f>
        <v>-996972.98</v>
      </c>
      <c r="AF146" s="23">
        <v>0</v>
      </c>
      <c r="AG146" s="25">
        <v>0</v>
      </c>
      <c r="AH146" s="24">
        <f>AH26-AH89</f>
        <v>-996972.98</v>
      </c>
      <c r="AI146" s="23">
        <v>0</v>
      </c>
      <c r="AJ146" s="43">
        <f t="shared" si="81"/>
        <v>0</v>
      </c>
    </row>
    <row r="147" spans="1:36" s="6" customFormat="1" outlineLevel="1" collapsed="1" x14ac:dyDescent="0.2">
      <c r="A147" s="30"/>
      <c r="B147" s="48" t="str">
        <f t="shared" si="75"/>
        <v>Бенефиты</v>
      </c>
      <c r="C147" s="55" t="str">
        <f t="shared" si="75"/>
        <v>Benefits</v>
      </c>
      <c r="D147" s="46">
        <f>SUM(D145:D146)</f>
        <v>-602653.55999999819</v>
      </c>
      <c r="E147" s="45">
        <f>SUM(E145:E146)</f>
        <v>122555.39177178033</v>
      </c>
      <c r="F147" s="23">
        <v>0</v>
      </c>
      <c r="G147" s="25">
        <v>0</v>
      </c>
      <c r="H147" s="44">
        <f>SUM(H145:H146)</f>
        <v>-1260284.5099999916</v>
      </c>
      <c r="I147" s="44">
        <f>SUM(I145:I146)</f>
        <v>-996972.98</v>
      </c>
      <c r="J147" s="23">
        <v>0</v>
      </c>
      <c r="K147" s="25">
        <v>0</v>
      </c>
      <c r="L147" s="44">
        <f>SUM(L145:L146)</f>
        <v>-996972.98</v>
      </c>
      <c r="M147" s="23">
        <v>0</v>
      </c>
      <c r="N147" s="43">
        <f t="shared" si="79"/>
        <v>0</v>
      </c>
      <c r="O147" s="46">
        <f>SUM(O145:O146)</f>
        <v>-602653.55999999819</v>
      </c>
      <c r="P147" s="45">
        <f>SUM(P145:P146)</f>
        <v>122555.39177178033</v>
      </c>
      <c r="Q147" s="23">
        <v>0</v>
      </c>
      <c r="R147" s="25">
        <v>0</v>
      </c>
      <c r="S147" s="44">
        <f>SUM(S145:S146)</f>
        <v>-1260284.5099999916</v>
      </c>
      <c r="T147" s="44">
        <f>SUM(T145:T146)</f>
        <v>-996972.98</v>
      </c>
      <c r="U147" s="23">
        <v>0</v>
      </c>
      <c r="V147" s="25">
        <v>0</v>
      </c>
      <c r="W147" s="44">
        <f>SUM(W145:W146)</f>
        <v>-996972.98</v>
      </c>
      <c r="X147" s="23">
        <v>0</v>
      </c>
      <c r="Y147" s="43">
        <f t="shared" si="80"/>
        <v>0</v>
      </c>
      <c r="Z147" s="46">
        <f>SUM(Z145:Z146)</f>
        <v>-602653.55999999819</v>
      </c>
      <c r="AA147" s="45">
        <f>SUM(AA145:AA146)</f>
        <v>122555.39177178033</v>
      </c>
      <c r="AB147" s="23">
        <v>0</v>
      </c>
      <c r="AC147" s="25">
        <v>0</v>
      </c>
      <c r="AD147" s="44">
        <f>SUM(AD145:AD146)</f>
        <v>-1260284.5099999916</v>
      </c>
      <c r="AE147" s="44">
        <f>SUM(AE145:AE146)</f>
        <v>-996972.98</v>
      </c>
      <c r="AF147" s="23">
        <v>0</v>
      </c>
      <c r="AG147" s="25">
        <v>0</v>
      </c>
      <c r="AH147" s="44">
        <f>SUM(AH145:AH146)</f>
        <v>-996972.98</v>
      </c>
      <c r="AI147" s="23">
        <v>0</v>
      </c>
      <c r="AJ147" s="43">
        <f t="shared" si="81"/>
        <v>0</v>
      </c>
    </row>
    <row r="148" spans="1:36" hidden="1" outlineLevel="3" x14ac:dyDescent="0.2">
      <c r="A148" s="54"/>
      <c r="B148" s="38" t="str">
        <f t="shared" si="75"/>
        <v>Прочие выплаты</v>
      </c>
      <c r="C148" s="49" t="str">
        <f t="shared" si="75"/>
        <v>Remaining Other Compensation</v>
      </c>
      <c r="D148" s="41">
        <f>D28-D91</f>
        <v>240000</v>
      </c>
      <c r="E148" s="40">
        <f>E28-E91</f>
        <v>0</v>
      </c>
      <c r="F148" s="32">
        <v>0</v>
      </c>
      <c r="G148" s="34">
        <v>0</v>
      </c>
      <c r="H148" s="39">
        <f>H28-H91</f>
        <v>258360</v>
      </c>
      <c r="I148" s="39">
        <f>I28-I91</f>
        <v>-240000</v>
      </c>
      <c r="J148" s="32">
        <v>0</v>
      </c>
      <c r="K148" s="34">
        <v>0</v>
      </c>
      <c r="L148" s="39">
        <f>L28-L91</f>
        <v>-240000</v>
      </c>
      <c r="M148" s="32">
        <v>0</v>
      </c>
      <c r="N148" s="53">
        <f t="shared" si="79"/>
        <v>0</v>
      </c>
      <c r="O148" s="41">
        <f>O28-O91</f>
        <v>240000</v>
      </c>
      <c r="P148" s="40">
        <f>P28-P91</f>
        <v>0</v>
      </c>
      <c r="Q148" s="32">
        <v>0</v>
      </c>
      <c r="R148" s="34">
        <v>0</v>
      </c>
      <c r="S148" s="39">
        <f>S28-S91</f>
        <v>258360</v>
      </c>
      <c r="T148" s="39">
        <f>T28-T91</f>
        <v>-240000</v>
      </c>
      <c r="U148" s="32">
        <v>0</v>
      </c>
      <c r="V148" s="34">
        <v>0</v>
      </c>
      <c r="W148" s="39">
        <f>W28-W91</f>
        <v>-240000</v>
      </c>
      <c r="X148" s="32">
        <v>0</v>
      </c>
      <c r="Y148" s="53">
        <f t="shared" si="80"/>
        <v>0</v>
      </c>
      <c r="Z148" s="41">
        <f>Z28-Z91</f>
        <v>240000</v>
      </c>
      <c r="AA148" s="40">
        <f>AA28-AA91</f>
        <v>0</v>
      </c>
      <c r="AB148" s="32">
        <v>0</v>
      </c>
      <c r="AC148" s="34">
        <v>0</v>
      </c>
      <c r="AD148" s="39">
        <f>AD28-AD91</f>
        <v>258360</v>
      </c>
      <c r="AE148" s="39">
        <f>AE28-AE91</f>
        <v>-240000</v>
      </c>
      <c r="AF148" s="32">
        <v>0</v>
      </c>
      <c r="AG148" s="34">
        <v>0</v>
      </c>
      <c r="AH148" s="39">
        <f>AH28-AH91</f>
        <v>-240000</v>
      </c>
      <c r="AI148" s="32">
        <v>0</v>
      </c>
      <c r="AJ148" s="53">
        <f t="shared" si="81"/>
        <v>0</v>
      </c>
    </row>
    <row r="149" spans="1:36" hidden="1" outlineLevel="3" x14ac:dyDescent="0.2">
      <c r="A149" s="54"/>
      <c r="B149" s="38" t="str">
        <f t="shared" si="75"/>
        <v>Страховые взносы прочие выплаты</v>
      </c>
      <c r="C149" s="49" t="str">
        <f t="shared" si="75"/>
        <v>Social Security on Remaining Other Compensation</v>
      </c>
      <c r="D149" s="41">
        <f>D29-D92</f>
        <v>0</v>
      </c>
      <c r="E149" s="40">
        <f>E29-E92</f>
        <v>0</v>
      </c>
      <c r="F149" s="32">
        <v>0</v>
      </c>
      <c r="G149" s="34">
        <v>0</v>
      </c>
      <c r="H149" s="39">
        <f>H29-H92</f>
        <v>-54600</v>
      </c>
      <c r="I149" s="39">
        <f>I29-I92</f>
        <v>-36240</v>
      </c>
      <c r="J149" s="32">
        <v>0</v>
      </c>
      <c r="K149" s="34">
        <v>0</v>
      </c>
      <c r="L149" s="39">
        <f>L29-L92</f>
        <v>-36240</v>
      </c>
      <c r="M149" s="32">
        <v>0</v>
      </c>
      <c r="N149" s="53">
        <f t="shared" si="79"/>
        <v>0</v>
      </c>
      <c r="O149" s="41">
        <f>O29-O92</f>
        <v>0</v>
      </c>
      <c r="P149" s="40">
        <f>P29-P92</f>
        <v>0</v>
      </c>
      <c r="Q149" s="32">
        <v>0</v>
      </c>
      <c r="R149" s="34">
        <v>0</v>
      </c>
      <c r="S149" s="39">
        <f>S29-S92</f>
        <v>-54600</v>
      </c>
      <c r="T149" s="39">
        <f>T29-T92</f>
        <v>-36240</v>
      </c>
      <c r="U149" s="32">
        <v>0</v>
      </c>
      <c r="V149" s="34">
        <v>0</v>
      </c>
      <c r="W149" s="39">
        <f>W29-W92</f>
        <v>-36240</v>
      </c>
      <c r="X149" s="32">
        <v>0</v>
      </c>
      <c r="Y149" s="53">
        <f t="shared" si="80"/>
        <v>0</v>
      </c>
      <c r="Z149" s="41">
        <f>Z29-Z92</f>
        <v>0</v>
      </c>
      <c r="AA149" s="40">
        <f>AA29-AA92</f>
        <v>0</v>
      </c>
      <c r="AB149" s="32">
        <v>0</v>
      </c>
      <c r="AC149" s="34">
        <v>0</v>
      </c>
      <c r="AD149" s="39">
        <f>AD29-AD92</f>
        <v>-54600</v>
      </c>
      <c r="AE149" s="39">
        <f>AE29-AE92</f>
        <v>-36240</v>
      </c>
      <c r="AF149" s="32">
        <v>0</v>
      </c>
      <c r="AG149" s="34">
        <v>0</v>
      </c>
      <c r="AH149" s="39">
        <f>AH29-AH92</f>
        <v>-36240</v>
      </c>
      <c r="AI149" s="32">
        <v>0</v>
      </c>
      <c r="AJ149" s="53">
        <f t="shared" si="81"/>
        <v>0</v>
      </c>
    </row>
    <row r="150" spans="1:36" s="6" customFormat="1" hidden="1" outlineLevel="2" collapsed="1" x14ac:dyDescent="0.2">
      <c r="A150" s="30"/>
      <c r="B150" s="29" t="str">
        <f t="shared" si="75"/>
        <v>Итого прочие выплаты</v>
      </c>
      <c r="C150" s="52" t="str">
        <f t="shared" si="75"/>
        <v>Total Remaining Other Compensation</v>
      </c>
      <c r="D150" s="27">
        <f>SUM(D148:D149)</f>
        <v>240000</v>
      </c>
      <c r="E150" s="26">
        <f>SUM(E148:E149)</f>
        <v>0</v>
      </c>
      <c r="F150" s="23">
        <v>0</v>
      </c>
      <c r="G150" s="25">
        <v>0</v>
      </c>
      <c r="H150" s="24">
        <f>SUM(H148:H149)</f>
        <v>203760</v>
      </c>
      <c r="I150" s="24">
        <f>SUM(I148:I149)</f>
        <v>-276240</v>
      </c>
      <c r="J150" s="23">
        <v>0</v>
      </c>
      <c r="K150" s="25">
        <v>0</v>
      </c>
      <c r="L150" s="24">
        <f>SUM(L148:L149)</f>
        <v>-276240</v>
      </c>
      <c r="M150" s="23">
        <v>0</v>
      </c>
      <c r="N150" s="22">
        <f t="shared" si="79"/>
        <v>0</v>
      </c>
      <c r="O150" s="27">
        <f>SUM(O148:O149)</f>
        <v>240000</v>
      </c>
      <c r="P150" s="26">
        <f>SUM(P148:P149)</f>
        <v>0</v>
      </c>
      <c r="Q150" s="23">
        <v>0</v>
      </c>
      <c r="R150" s="25">
        <v>0</v>
      </c>
      <c r="S150" s="24">
        <f>SUM(S148:S149)</f>
        <v>203760</v>
      </c>
      <c r="T150" s="24">
        <f>SUM(T148:T149)</f>
        <v>-276240</v>
      </c>
      <c r="U150" s="23">
        <v>0</v>
      </c>
      <c r="V150" s="25">
        <v>0</v>
      </c>
      <c r="W150" s="24">
        <f>SUM(W148:W149)</f>
        <v>-276240</v>
      </c>
      <c r="X150" s="23">
        <v>0</v>
      </c>
      <c r="Y150" s="22">
        <f t="shared" si="80"/>
        <v>0</v>
      </c>
      <c r="Z150" s="27">
        <f>SUM(Z148:Z149)</f>
        <v>240000</v>
      </c>
      <c r="AA150" s="26">
        <f>SUM(AA148:AA149)</f>
        <v>0</v>
      </c>
      <c r="AB150" s="23">
        <v>0</v>
      </c>
      <c r="AC150" s="25">
        <v>0</v>
      </c>
      <c r="AD150" s="24">
        <f>SUM(AD148:AD149)</f>
        <v>203760</v>
      </c>
      <c r="AE150" s="24">
        <f>SUM(AE148:AE149)</f>
        <v>-276240</v>
      </c>
      <c r="AF150" s="23">
        <v>0</v>
      </c>
      <c r="AG150" s="25">
        <v>0</v>
      </c>
      <c r="AH150" s="24">
        <f>SUM(AH148:AH149)</f>
        <v>-276240</v>
      </c>
      <c r="AI150" s="23">
        <v>0</v>
      </c>
      <c r="AJ150" s="22">
        <f t="shared" si="81"/>
        <v>0</v>
      </c>
    </row>
    <row r="151" spans="1:36" ht="12.75" hidden="1" customHeight="1" outlineLevel="3" x14ac:dyDescent="0.2">
      <c r="A151" s="54"/>
      <c r="B151" s="38" t="str">
        <f t="shared" si="75"/>
        <v>Премия разовая</v>
      </c>
      <c r="C151" s="49" t="str">
        <f t="shared" si="75"/>
        <v>Sign-ons - cash</v>
      </c>
      <c r="D151" s="41">
        <f>D31-D94</f>
        <v>0</v>
      </c>
      <c r="E151" s="40">
        <f>E31-E94</f>
        <v>0</v>
      </c>
      <c r="F151" s="32">
        <v>0</v>
      </c>
      <c r="G151" s="34">
        <v>0</v>
      </c>
      <c r="H151" s="39">
        <f>H31-H94</f>
        <v>0</v>
      </c>
      <c r="I151" s="39">
        <f>I31-I94</f>
        <v>0</v>
      </c>
      <c r="J151" s="32">
        <v>0</v>
      </c>
      <c r="K151" s="34">
        <v>0</v>
      </c>
      <c r="L151" s="39">
        <f>L31-L94</f>
        <v>0</v>
      </c>
      <c r="M151" s="32">
        <v>0</v>
      </c>
      <c r="N151" s="53" t="str">
        <f t="shared" si="79"/>
        <v>-</v>
      </c>
      <c r="O151" s="41">
        <f>O31-O94</f>
        <v>0</v>
      </c>
      <c r="P151" s="40">
        <f>P31-P94</f>
        <v>0</v>
      </c>
      <c r="Q151" s="32">
        <v>0</v>
      </c>
      <c r="R151" s="34">
        <v>0</v>
      </c>
      <c r="S151" s="39">
        <f>S31-S94</f>
        <v>0</v>
      </c>
      <c r="T151" s="39">
        <f>T31-T94</f>
        <v>0</v>
      </c>
      <c r="U151" s="32">
        <v>0</v>
      </c>
      <c r="V151" s="34">
        <v>0</v>
      </c>
      <c r="W151" s="39">
        <f>W31-W94</f>
        <v>0</v>
      </c>
      <c r="X151" s="32">
        <v>0</v>
      </c>
      <c r="Y151" s="53" t="str">
        <f t="shared" si="80"/>
        <v>-</v>
      </c>
      <c r="Z151" s="41">
        <f>Z31-Z94</f>
        <v>0</v>
      </c>
      <c r="AA151" s="40">
        <f>AA31-AA94</f>
        <v>0</v>
      </c>
      <c r="AB151" s="32">
        <v>0</v>
      </c>
      <c r="AC151" s="34">
        <v>0</v>
      </c>
      <c r="AD151" s="39">
        <f>AD31-AD94</f>
        <v>0</v>
      </c>
      <c r="AE151" s="39">
        <f>AE31-AE94</f>
        <v>0</v>
      </c>
      <c r="AF151" s="32">
        <v>0</v>
      </c>
      <c r="AG151" s="34">
        <v>0</v>
      </c>
      <c r="AH151" s="39">
        <f>AH31-AH94</f>
        <v>0</v>
      </c>
      <c r="AI151" s="32">
        <v>0</v>
      </c>
      <c r="AJ151" s="53" t="str">
        <f t="shared" si="81"/>
        <v>-</v>
      </c>
    </row>
    <row r="152" spans="1:36" ht="12.75" hidden="1" customHeight="1" outlineLevel="3" x14ac:dyDescent="0.2">
      <c r="A152" s="54"/>
      <c r="B152" s="38" t="str">
        <f t="shared" ref="B152:C171" si="82">B32</f>
        <v>Страховые взносы премия разовая</v>
      </c>
      <c r="C152" s="49" t="str">
        <f t="shared" si="82"/>
        <v>Social Security on Sign-ons - cash</v>
      </c>
      <c r="D152" s="41">
        <f>D32-D95</f>
        <v>0</v>
      </c>
      <c r="E152" s="40">
        <f>E32-E95</f>
        <v>0</v>
      </c>
      <c r="F152" s="32">
        <v>0</v>
      </c>
      <c r="G152" s="34">
        <v>0</v>
      </c>
      <c r="H152" s="39">
        <f>H32-H95</f>
        <v>0</v>
      </c>
      <c r="I152" s="39">
        <f>I32-I95</f>
        <v>0</v>
      </c>
      <c r="J152" s="32">
        <v>0</v>
      </c>
      <c r="K152" s="34">
        <v>0</v>
      </c>
      <c r="L152" s="39">
        <f>L32-L95</f>
        <v>0</v>
      </c>
      <c r="M152" s="32">
        <v>0</v>
      </c>
      <c r="N152" s="53" t="str">
        <f t="shared" si="79"/>
        <v>-</v>
      </c>
      <c r="O152" s="41">
        <f>O32-O95</f>
        <v>0</v>
      </c>
      <c r="P152" s="40">
        <f>P32-P95</f>
        <v>0</v>
      </c>
      <c r="Q152" s="32">
        <v>0</v>
      </c>
      <c r="R152" s="34">
        <v>0</v>
      </c>
      <c r="S152" s="39">
        <f>S32-S95</f>
        <v>0</v>
      </c>
      <c r="T152" s="39">
        <f>T32-T95</f>
        <v>0</v>
      </c>
      <c r="U152" s="32">
        <v>0</v>
      </c>
      <c r="V152" s="34">
        <v>0</v>
      </c>
      <c r="W152" s="39">
        <f>W32-W95</f>
        <v>0</v>
      </c>
      <c r="X152" s="32">
        <v>0</v>
      </c>
      <c r="Y152" s="53" t="str">
        <f t="shared" si="80"/>
        <v>-</v>
      </c>
      <c r="Z152" s="41">
        <f>Z32-Z95</f>
        <v>0</v>
      </c>
      <c r="AA152" s="40">
        <f>AA32-AA95</f>
        <v>0</v>
      </c>
      <c r="AB152" s="32">
        <v>0</v>
      </c>
      <c r="AC152" s="34">
        <v>0</v>
      </c>
      <c r="AD152" s="39">
        <f>AD32-AD95</f>
        <v>0</v>
      </c>
      <c r="AE152" s="39">
        <f>AE32-AE95</f>
        <v>0</v>
      </c>
      <c r="AF152" s="32">
        <v>0</v>
      </c>
      <c r="AG152" s="34">
        <v>0</v>
      </c>
      <c r="AH152" s="39">
        <f>AH32-AH95</f>
        <v>0</v>
      </c>
      <c r="AI152" s="32">
        <v>0</v>
      </c>
      <c r="AJ152" s="53" t="str">
        <f t="shared" si="81"/>
        <v>-</v>
      </c>
    </row>
    <row r="153" spans="1:36" s="6" customFormat="1" hidden="1" outlineLevel="2" collapsed="1" x14ac:dyDescent="0.2">
      <c r="A153" s="30"/>
      <c r="B153" s="29" t="str">
        <f t="shared" si="82"/>
        <v>Итого премия разовая</v>
      </c>
      <c r="C153" s="52" t="str">
        <f t="shared" si="82"/>
        <v>Total Sign-ons - cash</v>
      </c>
      <c r="D153" s="27">
        <f>SUM(D151:D152)</f>
        <v>0</v>
      </c>
      <c r="E153" s="26">
        <f>SUM(E151:E152)</f>
        <v>0</v>
      </c>
      <c r="F153" s="23">
        <v>0</v>
      </c>
      <c r="G153" s="25">
        <v>0</v>
      </c>
      <c r="H153" s="24">
        <f>SUM(H151:H152)</f>
        <v>0</v>
      </c>
      <c r="I153" s="24">
        <f>SUM(I151:I152)</f>
        <v>0</v>
      </c>
      <c r="J153" s="23">
        <v>0</v>
      </c>
      <c r="K153" s="25">
        <v>0</v>
      </c>
      <c r="L153" s="24">
        <f>SUM(L151:L152)</f>
        <v>0</v>
      </c>
      <c r="M153" s="23">
        <v>0</v>
      </c>
      <c r="N153" s="22" t="str">
        <f t="shared" si="79"/>
        <v>-</v>
      </c>
      <c r="O153" s="27">
        <f>SUM(O151:O152)</f>
        <v>0</v>
      </c>
      <c r="P153" s="26">
        <f>SUM(P151:P152)</f>
        <v>0</v>
      </c>
      <c r="Q153" s="23">
        <v>0</v>
      </c>
      <c r="R153" s="25">
        <v>0</v>
      </c>
      <c r="S153" s="24">
        <f>SUM(S151:S152)</f>
        <v>0</v>
      </c>
      <c r="T153" s="24">
        <f>SUM(T151:T152)</f>
        <v>0</v>
      </c>
      <c r="U153" s="23">
        <v>0</v>
      </c>
      <c r="V153" s="25">
        <v>0</v>
      </c>
      <c r="W153" s="24">
        <f>SUM(W151:W152)</f>
        <v>0</v>
      </c>
      <c r="X153" s="23">
        <v>0</v>
      </c>
      <c r="Y153" s="22" t="str">
        <f t="shared" si="80"/>
        <v>-</v>
      </c>
      <c r="Z153" s="27">
        <f>SUM(Z151:Z152)</f>
        <v>0</v>
      </c>
      <c r="AA153" s="26">
        <f>SUM(AA151:AA152)</f>
        <v>0</v>
      </c>
      <c r="AB153" s="23">
        <v>0</v>
      </c>
      <c r="AC153" s="25">
        <v>0</v>
      </c>
      <c r="AD153" s="24">
        <f>SUM(AD151:AD152)</f>
        <v>0</v>
      </c>
      <c r="AE153" s="24">
        <f>SUM(AE151:AE152)</f>
        <v>0</v>
      </c>
      <c r="AF153" s="23">
        <v>0</v>
      </c>
      <c r="AG153" s="25">
        <v>0</v>
      </c>
      <c r="AH153" s="24">
        <f>SUM(AH151:AH152)</f>
        <v>0</v>
      </c>
      <c r="AI153" s="23">
        <v>0</v>
      </c>
      <c r="AJ153" s="22" t="str">
        <f t="shared" si="81"/>
        <v>-</v>
      </c>
    </row>
    <row r="154" spans="1:36" ht="12.75" hidden="1" customHeight="1" outlineLevel="3" x14ac:dyDescent="0.2">
      <c r="A154" s="54"/>
      <c r="B154" s="38" t="str">
        <f t="shared" si="82"/>
        <v>Выплаты при увольнении</v>
      </c>
      <c r="C154" s="49" t="str">
        <f t="shared" si="82"/>
        <v>Direct severance payments - cash</v>
      </c>
      <c r="D154" s="41">
        <f>D34-D97</f>
        <v>0</v>
      </c>
      <c r="E154" s="40">
        <f>E34-E97</f>
        <v>0</v>
      </c>
      <c r="F154" s="32">
        <v>0</v>
      </c>
      <c r="G154" s="34">
        <v>0</v>
      </c>
      <c r="H154" s="39">
        <f>H34-H97</f>
        <v>300000</v>
      </c>
      <c r="I154" s="39">
        <f>I34-I97</f>
        <v>0</v>
      </c>
      <c r="J154" s="32">
        <v>0</v>
      </c>
      <c r="K154" s="34">
        <v>0</v>
      </c>
      <c r="L154" s="39">
        <f>L34-L97</f>
        <v>-1320000</v>
      </c>
      <c r="M154" s="32">
        <v>0</v>
      </c>
      <c r="N154" s="53">
        <f t="shared" si="79"/>
        <v>0</v>
      </c>
      <c r="O154" s="41">
        <f>O34-O97</f>
        <v>0</v>
      </c>
      <c r="P154" s="40">
        <f>P34-P97</f>
        <v>0</v>
      </c>
      <c r="Q154" s="32">
        <v>0</v>
      </c>
      <c r="R154" s="34">
        <v>0</v>
      </c>
      <c r="S154" s="39">
        <f>S34-S97</f>
        <v>300000</v>
      </c>
      <c r="T154" s="39">
        <f>T34-T97</f>
        <v>0</v>
      </c>
      <c r="U154" s="32">
        <v>0</v>
      </c>
      <c r="V154" s="34">
        <v>0</v>
      </c>
      <c r="W154" s="39">
        <f>W34-W97</f>
        <v>-1320000</v>
      </c>
      <c r="X154" s="32">
        <v>0</v>
      </c>
      <c r="Y154" s="53">
        <f t="shared" si="80"/>
        <v>0</v>
      </c>
      <c r="Z154" s="41">
        <f>Z34-Z97</f>
        <v>0</v>
      </c>
      <c r="AA154" s="40">
        <f>AA34-AA97</f>
        <v>0</v>
      </c>
      <c r="AB154" s="32">
        <v>0</v>
      </c>
      <c r="AC154" s="34">
        <v>0</v>
      </c>
      <c r="AD154" s="39">
        <f>AD34-AD97</f>
        <v>300000</v>
      </c>
      <c r="AE154" s="39">
        <f>AE34-AE97</f>
        <v>0</v>
      </c>
      <c r="AF154" s="32">
        <v>0</v>
      </c>
      <c r="AG154" s="34">
        <v>0</v>
      </c>
      <c r="AH154" s="39">
        <f>AH34-AH97</f>
        <v>-1320000</v>
      </c>
      <c r="AI154" s="32">
        <v>0</v>
      </c>
      <c r="AJ154" s="53">
        <f t="shared" si="81"/>
        <v>0</v>
      </c>
    </row>
    <row r="155" spans="1:36" ht="12.75" hidden="1" customHeight="1" outlineLevel="3" x14ac:dyDescent="0.2">
      <c r="A155" s="54"/>
      <c r="B155" s="38" t="str">
        <f t="shared" si="82"/>
        <v>Страховые взносы выплаты при увольнении</v>
      </c>
      <c r="C155" s="49" t="str">
        <f t="shared" si="82"/>
        <v>Social Security on Severance</v>
      </c>
      <c r="D155" s="41">
        <f>D35-D98</f>
        <v>0</v>
      </c>
      <c r="E155" s="40">
        <f>E35-E98</f>
        <v>0</v>
      </c>
      <c r="F155" s="32">
        <v>0</v>
      </c>
      <c r="G155" s="34">
        <v>0</v>
      </c>
      <c r="H155" s="39">
        <f>H35-H98</f>
        <v>0</v>
      </c>
      <c r="I155" s="39">
        <f>I35-I98</f>
        <v>0</v>
      </c>
      <c r="J155" s="32">
        <v>0</v>
      </c>
      <c r="K155" s="34">
        <v>0</v>
      </c>
      <c r="L155" s="39">
        <f>L35-L98</f>
        <v>-32028.32</v>
      </c>
      <c r="M155" s="32">
        <v>0</v>
      </c>
      <c r="N155" s="53">
        <f t="shared" si="79"/>
        <v>0</v>
      </c>
      <c r="O155" s="41">
        <f>O35-O98</f>
        <v>0</v>
      </c>
      <c r="P155" s="40">
        <f>P35-P98</f>
        <v>0</v>
      </c>
      <c r="Q155" s="32">
        <v>0</v>
      </c>
      <c r="R155" s="34">
        <v>0</v>
      </c>
      <c r="S155" s="39">
        <f>S35-S98</f>
        <v>0</v>
      </c>
      <c r="T155" s="39">
        <f>T35-T98</f>
        <v>0</v>
      </c>
      <c r="U155" s="32">
        <v>0</v>
      </c>
      <c r="V155" s="34">
        <v>0</v>
      </c>
      <c r="W155" s="39">
        <f>W35-W98</f>
        <v>-32028.32</v>
      </c>
      <c r="X155" s="32">
        <v>0</v>
      </c>
      <c r="Y155" s="53">
        <f t="shared" si="80"/>
        <v>0</v>
      </c>
      <c r="Z155" s="41">
        <f>Z35-Z98</f>
        <v>0</v>
      </c>
      <c r="AA155" s="40">
        <f>AA35-AA98</f>
        <v>0</v>
      </c>
      <c r="AB155" s="32">
        <v>0</v>
      </c>
      <c r="AC155" s="34">
        <v>0</v>
      </c>
      <c r="AD155" s="39">
        <f>AD35-AD98</f>
        <v>0</v>
      </c>
      <c r="AE155" s="39">
        <f>AE35-AE98</f>
        <v>0</v>
      </c>
      <c r="AF155" s="32">
        <v>0</v>
      </c>
      <c r="AG155" s="34">
        <v>0</v>
      </c>
      <c r="AH155" s="39">
        <f>AH35-AH98</f>
        <v>-32028.32</v>
      </c>
      <c r="AI155" s="32">
        <v>0</v>
      </c>
      <c r="AJ155" s="53">
        <f t="shared" si="81"/>
        <v>0</v>
      </c>
    </row>
    <row r="156" spans="1:36" s="6" customFormat="1" hidden="1" outlineLevel="2" collapsed="1" x14ac:dyDescent="0.2">
      <c r="A156" s="30"/>
      <c r="B156" s="29" t="str">
        <f t="shared" si="82"/>
        <v>Итого выплаты при увольнении</v>
      </c>
      <c r="C156" s="52" t="str">
        <f t="shared" si="82"/>
        <v>Total Direct severance payments - cash</v>
      </c>
      <c r="D156" s="27">
        <f>SUM(D154:D155)</f>
        <v>0</v>
      </c>
      <c r="E156" s="26">
        <f>SUM(E154:E155)</f>
        <v>0</v>
      </c>
      <c r="F156" s="23">
        <v>0</v>
      </c>
      <c r="G156" s="25">
        <v>0</v>
      </c>
      <c r="H156" s="24">
        <f>SUM(H154:H155)</f>
        <v>300000</v>
      </c>
      <c r="I156" s="24">
        <f>SUM(I154:I155)</f>
        <v>0</v>
      </c>
      <c r="J156" s="23">
        <v>0</v>
      </c>
      <c r="K156" s="25">
        <v>0</v>
      </c>
      <c r="L156" s="24">
        <f>SUM(L154:L155)</f>
        <v>-1352028.32</v>
      </c>
      <c r="M156" s="23">
        <v>0</v>
      </c>
      <c r="N156" s="22">
        <f t="shared" si="79"/>
        <v>0</v>
      </c>
      <c r="O156" s="27">
        <f>SUM(O154:O155)</f>
        <v>0</v>
      </c>
      <c r="P156" s="26">
        <f>SUM(P154:P155)</f>
        <v>0</v>
      </c>
      <c r="Q156" s="23">
        <v>0</v>
      </c>
      <c r="R156" s="25">
        <v>0</v>
      </c>
      <c r="S156" s="24">
        <f>SUM(S154:S155)</f>
        <v>300000</v>
      </c>
      <c r="T156" s="24">
        <f>SUM(T154:T155)</f>
        <v>0</v>
      </c>
      <c r="U156" s="23">
        <v>0</v>
      </c>
      <c r="V156" s="25">
        <v>0</v>
      </c>
      <c r="W156" s="24">
        <f>SUM(W154:W155)</f>
        <v>-1352028.32</v>
      </c>
      <c r="X156" s="23">
        <v>0</v>
      </c>
      <c r="Y156" s="22">
        <f t="shared" si="80"/>
        <v>0</v>
      </c>
      <c r="Z156" s="27">
        <f>SUM(Z154:Z155)</f>
        <v>0</v>
      </c>
      <c r="AA156" s="26">
        <f>SUM(AA154:AA155)</f>
        <v>0</v>
      </c>
      <c r="AB156" s="23">
        <v>0</v>
      </c>
      <c r="AC156" s="25">
        <v>0</v>
      </c>
      <c r="AD156" s="24">
        <f>SUM(AD154:AD155)</f>
        <v>300000</v>
      </c>
      <c r="AE156" s="24">
        <f>SUM(AE154:AE155)</f>
        <v>0</v>
      </c>
      <c r="AF156" s="23">
        <v>0</v>
      </c>
      <c r="AG156" s="25">
        <v>0</v>
      </c>
      <c r="AH156" s="24">
        <f>SUM(AH154:AH155)</f>
        <v>-1352028.32</v>
      </c>
      <c r="AI156" s="23">
        <v>0</v>
      </c>
      <c r="AJ156" s="22">
        <f t="shared" si="81"/>
        <v>0</v>
      </c>
    </row>
    <row r="157" spans="1:36" ht="12.75" hidden="1" customHeight="1" outlineLevel="3" x14ac:dyDescent="0.2">
      <c r="B157" s="38" t="str">
        <f t="shared" si="82"/>
        <v>Отложенное вознаграждение</v>
      </c>
      <c r="C157" s="49" t="str">
        <f t="shared" si="82"/>
        <v>Deferred Compensation</v>
      </c>
      <c r="D157" s="41">
        <f>D37-D100</f>
        <v>0</v>
      </c>
      <c r="E157" s="40">
        <f>E37-E100</f>
        <v>0</v>
      </c>
      <c r="F157" s="32">
        <v>0</v>
      </c>
      <c r="G157" s="34">
        <v>0</v>
      </c>
      <c r="H157" s="39">
        <f>H37-H100</f>
        <v>0</v>
      </c>
      <c r="I157" s="39">
        <f>I37-I100</f>
        <v>-1320000</v>
      </c>
      <c r="J157" s="32">
        <v>0</v>
      </c>
      <c r="K157" s="34">
        <v>0</v>
      </c>
      <c r="L157" s="39">
        <f>L37-L100</f>
        <v>0</v>
      </c>
      <c r="M157" s="32">
        <v>0</v>
      </c>
      <c r="N157" s="53" t="str">
        <f t="shared" si="79"/>
        <v>-</v>
      </c>
      <c r="O157" s="41">
        <f>O37-O100</f>
        <v>0</v>
      </c>
      <c r="P157" s="40">
        <f>P37-P100</f>
        <v>0</v>
      </c>
      <c r="Q157" s="32">
        <v>0</v>
      </c>
      <c r="R157" s="34">
        <v>0</v>
      </c>
      <c r="S157" s="39">
        <f>S37-S100</f>
        <v>0</v>
      </c>
      <c r="T157" s="39">
        <f>T37-T100</f>
        <v>-1320000</v>
      </c>
      <c r="U157" s="32">
        <v>0</v>
      </c>
      <c r="V157" s="34">
        <v>0</v>
      </c>
      <c r="W157" s="39">
        <f>W37-W100</f>
        <v>0</v>
      </c>
      <c r="X157" s="32">
        <v>0</v>
      </c>
      <c r="Y157" s="53" t="str">
        <f t="shared" si="80"/>
        <v>-</v>
      </c>
      <c r="Z157" s="41">
        <f>Z37-Z100</f>
        <v>0</v>
      </c>
      <c r="AA157" s="40">
        <f>AA37-AA100</f>
        <v>0</v>
      </c>
      <c r="AB157" s="32">
        <v>0</v>
      </c>
      <c r="AC157" s="34">
        <v>0</v>
      </c>
      <c r="AD157" s="39">
        <f>AD37-AD100</f>
        <v>0</v>
      </c>
      <c r="AE157" s="39">
        <f>AE37-AE100</f>
        <v>-1320000</v>
      </c>
      <c r="AF157" s="32">
        <v>0</v>
      </c>
      <c r="AG157" s="34">
        <v>0</v>
      </c>
      <c r="AH157" s="39">
        <f>AH37-AH100</f>
        <v>0</v>
      </c>
      <c r="AI157" s="32">
        <v>0</v>
      </c>
      <c r="AJ157" s="53" t="str">
        <f t="shared" si="81"/>
        <v>-</v>
      </c>
    </row>
    <row r="158" spans="1:36" ht="12.75" hidden="1" customHeight="1" outlineLevel="3" x14ac:dyDescent="0.2">
      <c r="B158" s="38" t="str">
        <f t="shared" si="82"/>
        <v>Страховые взносы отложенное вознаграждение</v>
      </c>
      <c r="C158" s="49" t="str">
        <f t="shared" si="82"/>
        <v>Social Security on Deferrals</v>
      </c>
      <c r="D158" s="41">
        <f>D38-D101</f>
        <v>0</v>
      </c>
      <c r="E158" s="40">
        <f>E38-E101</f>
        <v>0</v>
      </c>
      <c r="F158" s="32">
        <v>0</v>
      </c>
      <c r="G158" s="34">
        <v>0</v>
      </c>
      <c r="H158" s="39">
        <f>H38-H101</f>
        <v>0</v>
      </c>
      <c r="I158" s="39">
        <f>I38-I101</f>
        <v>-32028.32</v>
      </c>
      <c r="J158" s="32">
        <v>0</v>
      </c>
      <c r="K158" s="34">
        <v>0</v>
      </c>
      <c r="L158" s="39">
        <f>L38-L101</f>
        <v>0</v>
      </c>
      <c r="M158" s="32">
        <v>0</v>
      </c>
      <c r="N158" s="53" t="str">
        <f t="shared" si="79"/>
        <v>-</v>
      </c>
      <c r="O158" s="41">
        <f>O38-O101</f>
        <v>0</v>
      </c>
      <c r="P158" s="40">
        <f>P38-P101</f>
        <v>0</v>
      </c>
      <c r="Q158" s="32">
        <v>0</v>
      </c>
      <c r="R158" s="34">
        <v>0</v>
      </c>
      <c r="S158" s="39">
        <f>S38-S101</f>
        <v>0</v>
      </c>
      <c r="T158" s="39">
        <f>T38-T101</f>
        <v>-32028.32</v>
      </c>
      <c r="U158" s="32">
        <v>0</v>
      </c>
      <c r="V158" s="34">
        <v>0</v>
      </c>
      <c r="W158" s="39">
        <f>W38-W101</f>
        <v>0</v>
      </c>
      <c r="X158" s="32">
        <v>0</v>
      </c>
      <c r="Y158" s="53" t="str">
        <f t="shared" si="80"/>
        <v>-</v>
      </c>
      <c r="Z158" s="41">
        <f>Z38-Z101</f>
        <v>0</v>
      </c>
      <c r="AA158" s="40">
        <f>AA38-AA101</f>
        <v>0</v>
      </c>
      <c r="AB158" s="32">
        <v>0</v>
      </c>
      <c r="AC158" s="34">
        <v>0</v>
      </c>
      <c r="AD158" s="39">
        <f>AD38-AD101</f>
        <v>0</v>
      </c>
      <c r="AE158" s="39">
        <f>AE38-AE101</f>
        <v>-32028.32</v>
      </c>
      <c r="AF158" s="32">
        <v>0</v>
      </c>
      <c r="AG158" s="34">
        <v>0</v>
      </c>
      <c r="AH158" s="39">
        <f>AH38-AH101</f>
        <v>0</v>
      </c>
      <c r="AI158" s="32">
        <v>0</v>
      </c>
      <c r="AJ158" s="53" t="str">
        <f t="shared" si="81"/>
        <v>-</v>
      </c>
    </row>
    <row r="159" spans="1:36" s="6" customFormat="1" hidden="1" outlineLevel="2" collapsed="1" x14ac:dyDescent="0.2">
      <c r="B159" s="29" t="str">
        <f t="shared" si="82"/>
        <v>Итого отложенное вознаграждение</v>
      </c>
      <c r="C159" s="52" t="str">
        <f t="shared" si="82"/>
        <v>Deferred Compensation</v>
      </c>
      <c r="D159" s="27">
        <f>SUM(D157:D158)</f>
        <v>0</v>
      </c>
      <c r="E159" s="26">
        <f>SUM(E157:E158)</f>
        <v>0</v>
      </c>
      <c r="F159" s="23">
        <v>0</v>
      </c>
      <c r="G159" s="25">
        <v>0</v>
      </c>
      <c r="H159" s="24">
        <f>SUM(H157:H158)</f>
        <v>0</v>
      </c>
      <c r="I159" s="24">
        <f>SUM(I157:I158)</f>
        <v>-1352028.32</v>
      </c>
      <c r="J159" s="23">
        <v>0</v>
      </c>
      <c r="K159" s="25">
        <v>0</v>
      </c>
      <c r="L159" s="24">
        <f>SUM(L157:L158)</f>
        <v>0</v>
      </c>
      <c r="M159" s="23">
        <v>0</v>
      </c>
      <c r="N159" s="22" t="str">
        <f t="shared" si="79"/>
        <v>-</v>
      </c>
      <c r="O159" s="27">
        <f>SUM(O157:O158)</f>
        <v>0</v>
      </c>
      <c r="P159" s="26">
        <f>SUM(P157:P158)</f>
        <v>0</v>
      </c>
      <c r="Q159" s="23">
        <v>0</v>
      </c>
      <c r="R159" s="25">
        <v>0</v>
      </c>
      <c r="S159" s="24">
        <f>SUM(S157:S158)</f>
        <v>0</v>
      </c>
      <c r="T159" s="24">
        <f>SUM(T157:T158)</f>
        <v>-1352028.32</v>
      </c>
      <c r="U159" s="23">
        <v>0</v>
      </c>
      <c r="V159" s="25">
        <v>0</v>
      </c>
      <c r="W159" s="24">
        <f>SUM(W157:W158)</f>
        <v>0</v>
      </c>
      <c r="X159" s="23">
        <v>0</v>
      </c>
      <c r="Y159" s="22" t="str">
        <f t="shared" si="80"/>
        <v>-</v>
      </c>
      <c r="Z159" s="27">
        <f>SUM(Z157:Z158)</f>
        <v>0</v>
      </c>
      <c r="AA159" s="26">
        <f>SUM(AA157:AA158)</f>
        <v>0</v>
      </c>
      <c r="AB159" s="23">
        <v>0</v>
      </c>
      <c r="AC159" s="25">
        <v>0</v>
      </c>
      <c r="AD159" s="24">
        <f>SUM(AD157:AD158)</f>
        <v>0</v>
      </c>
      <c r="AE159" s="24">
        <f>SUM(AE157:AE158)</f>
        <v>-1352028.32</v>
      </c>
      <c r="AF159" s="23">
        <v>0</v>
      </c>
      <c r="AG159" s="25">
        <v>0</v>
      </c>
      <c r="AH159" s="24">
        <f>SUM(AH157:AH158)</f>
        <v>0</v>
      </c>
      <c r="AI159" s="23">
        <v>0</v>
      </c>
      <c r="AJ159" s="22" t="str">
        <f t="shared" si="81"/>
        <v>-</v>
      </c>
    </row>
    <row r="160" spans="1:36" s="6" customFormat="1" outlineLevel="1" collapsed="1" x14ac:dyDescent="0.2">
      <c r="A160" s="30"/>
      <c r="B160" s="51" t="str">
        <f t="shared" si="82"/>
        <v>Прочие компенсационные выплаты</v>
      </c>
      <c r="C160" s="50" t="str">
        <f t="shared" si="82"/>
        <v>Other Compensations</v>
      </c>
      <c r="D160" s="46">
        <f>D150+D153+D156+D159</f>
        <v>240000</v>
      </c>
      <c r="E160" s="45">
        <f>E150+E153+E156+E159</f>
        <v>0</v>
      </c>
      <c r="F160" s="23">
        <v>0</v>
      </c>
      <c r="G160" s="25">
        <v>0</v>
      </c>
      <c r="H160" s="44">
        <f>H150+H153+H156+H159</f>
        <v>503760</v>
      </c>
      <c r="I160" s="44">
        <f>I150+I153+I156+I159</f>
        <v>-1628268.32</v>
      </c>
      <c r="J160" s="23">
        <v>0</v>
      </c>
      <c r="K160" s="25">
        <v>0</v>
      </c>
      <c r="L160" s="44">
        <f>L150+L153+L156+L159</f>
        <v>-1628268.32</v>
      </c>
      <c r="M160" s="23">
        <v>0</v>
      </c>
      <c r="N160" s="43">
        <f t="shared" si="79"/>
        <v>0</v>
      </c>
      <c r="O160" s="46">
        <f>O150+O153+O156+O159</f>
        <v>240000</v>
      </c>
      <c r="P160" s="45">
        <f>P150+P153+P156+P159</f>
        <v>0</v>
      </c>
      <c r="Q160" s="23">
        <v>0</v>
      </c>
      <c r="R160" s="25">
        <v>0</v>
      </c>
      <c r="S160" s="44">
        <f>S150+S153+S156+S159</f>
        <v>503760</v>
      </c>
      <c r="T160" s="44">
        <f>T150+T153+T156+T159</f>
        <v>-1628268.32</v>
      </c>
      <c r="U160" s="23">
        <v>0</v>
      </c>
      <c r="V160" s="25">
        <v>0</v>
      </c>
      <c r="W160" s="44">
        <f>W150+W153+W156+W159</f>
        <v>-1628268.32</v>
      </c>
      <c r="X160" s="23">
        <v>0</v>
      </c>
      <c r="Y160" s="43">
        <f t="shared" si="80"/>
        <v>0</v>
      </c>
      <c r="Z160" s="46">
        <f>Z150+Z153+Z156+Z159</f>
        <v>240000</v>
      </c>
      <c r="AA160" s="45">
        <f>AA150+AA153+AA156+AA159</f>
        <v>0</v>
      </c>
      <c r="AB160" s="23">
        <v>0</v>
      </c>
      <c r="AC160" s="25">
        <v>0</v>
      </c>
      <c r="AD160" s="44">
        <f>AD150+AD153+AD156+AD159</f>
        <v>503760</v>
      </c>
      <c r="AE160" s="44">
        <f>AE150+AE153+AE156+AE159</f>
        <v>-1628268.32</v>
      </c>
      <c r="AF160" s="23">
        <v>0</v>
      </c>
      <c r="AG160" s="25">
        <v>0</v>
      </c>
      <c r="AH160" s="44">
        <f>AH150+AH153+AH156+AH159</f>
        <v>-1628268.32</v>
      </c>
      <c r="AI160" s="23">
        <v>0</v>
      </c>
      <c r="AJ160" s="43">
        <f t="shared" si="81"/>
        <v>0</v>
      </c>
    </row>
    <row r="161" spans="1:36" ht="12.75" hidden="1" customHeight="1" outlineLevel="3" x14ac:dyDescent="0.2">
      <c r="B161" s="38" t="str">
        <f t="shared" si="82"/>
        <v>Резерв квартальной премии</v>
      </c>
      <c r="C161" s="49" t="str">
        <f t="shared" si="82"/>
        <v>Accruals for Quarterly bonus</v>
      </c>
      <c r="D161" s="41">
        <f>D41-D104</f>
        <v>11215250</v>
      </c>
      <c r="E161" s="40">
        <f>E41-E104</f>
        <v>0</v>
      </c>
      <c r="F161" s="32">
        <v>0</v>
      </c>
      <c r="G161" s="34">
        <v>0</v>
      </c>
      <c r="H161" s="39">
        <f>H41-H104</f>
        <v>67291500</v>
      </c>
      <c r="I161" s="39">
        <f>I41-I104</f>
        <v>0</v>
      </c>
      <c r="J161" s="32">
        <v>0</v>
      </c>
      <c r="K161" s="34">
        <v>0</v>
      </c>
      <c r="L161" s="39">
        <f>L41-L104</f>
        <v>0</v>
      </c>
      <c r="M161" s="32">
        <v>0</v>
      </c>
      <c r="N161" s="31" t="str">
        <f t="shared" si="79"/>
        <v>-</v>
      </c>
      <c r="O161" s="41">
        <f>O41-O104</f>
        <v>11215250</v>
      </c>
      <c r="P161" s="40">
        <f>P41-P104</f>
        <v>0</v>
      </c>
      <c r="Q161" s="32">
        <v>0</v>
      </c>
      <c r="R161" s="34">
        <v>0</v>
      </c>
      <c r="S161" s="39">
        <f>S41-S104</f>
        <v>67291500</v>
      </c>
      <c r="T161" s="39">
        <f>T41-T104</f>
        <v>0</v>
      </c>
      <c r="U161" s="32">
        <v>0</v>
      </c>
      <c r="V161" s="34">
        <v>0</v>
      </c>
      <c r="W161" s="39">
        <f>W41-W104</f>
        <v>0</v>
      </c>
      <c r="X161" s="32">
        <v>0</v>
      </c>
      <c r="Y161" s="31" t="str">
        <f t="shared" si="80"/>
        <v>-</v>
      </c>
      <c r="Z161" s="41">
        <f>Z41-Z104</f>
        <v>11215250</v>
      </c>
      <c r="AA161" s="40">
        <f>AA41-AA104</f>
        <v>0</v>
      </c>
      <c r="AB161" s="32">
        <v>0</v>
      </c>
      <c r="AC161" s="34">
        <v>0</v>
      </c>
      <c r="AD161" s="39">
        <f>AD41-AD104</f>
        <v>67291500</v>
      </c>
      <c r="AE161" s="39">
        <f>AE41-AE104</f>
        <v>0</v>
      </c>
      <c r="AF161" s="32">
        <v>0</v>
      </c>
      <c r="AG161" s="34">
        <v>0</v>
      </c>
      <c r="AH161" s="39">
        <f>AH41-AH104</f>
        <v>0</v>
      </c>
      <c r="AI161" s="32">
        <v>0</v>
      </c>
      <c r="AJ161" s="31" t="str">
        <f t="shared" si="81"/>
        <v>-</v>
      </c>
    </row>
    <row r="162" spans="1:36" ht="12.75" hidden="1" customHeight="1" outlineLevel="3" x14ac:dyDescent="0.2">
      <c r="B162" s="38" t="str">
        <f t="shared" si="82"/>
        <v>Страховые взносы резерв квартальной премии</v>
      </c>
      <c r="C162" s="49" t="str">
        <f t="shared" si="82"/>
        <v>Social Security on Accruals for Quarterly bonus</v>
      </c>
      <c r="D162" s="41">
        <f>D42-D105</f>
        <v>2074821.25</v>
      </c>
      <c r="E162" s="40">
        <f>E42-E105</f>
        <v>0</v>
      </c>
      <c r="F162" s="32">
        <v>0</v>
      </c>
      <c r="G162" s="34">
        <v>0</v>
      </c>
      <c r="H162" s="39">
        <f>H42-H105</f>
        <v>12448927.5</v>
      </c>
      <c r="I162" s="39">
        <f>I42-I105</f>
        <v>0</v>
      </c>
      <c r="J162" s="32">
        <v>0</v>
      </c>
      <c r="K162" s="34">
        <v>0</v>
      </c>
      <c r="L162" s="39">
        <f>L42-L105</f>
        <v>0</v>
      </c>
      <c r="M162" s="32">
        <v>0</v>
      </c>
      <c r="N162" s="31" t="str">
        <f t="shared" si="79"/>
        <v>-</v>
      </c>
      <c r="O162" s="41">
        <f>O42-O105</f>
        <v>2074821.25</v>
      </c>
      <c r="P162" s="40">
        <f>P42-P105</f>
        <v>0</v>
      </c>
      <c r="Q162" s="32">
        <v>0</v>
      </c>
      <c r="R162" s="34">
        <v>0</v>
      </c>
      <c r="S162" s="39">
        <f>S42-S105</f>
        <v>12448927.5</v>
      </c>
      <c r="T162" s="39">
        <f>T42-T105</f>
        <v>0</v>
      </c>
      <c r="U162" s="32">
        <v>0</v>
      </c>
      <c r="V162" s="34">
        <v>0</v>
      </c>
      <c r="W162" s="39">
        <f>W42-W105</f>
        <v>0</v>
      </c>
      <c r="X162" s="32">
        <v>0</v>
      </c>
      <c r="Y162" s="31" t="str">
        <f t="shared" si="80"/>
        <v>-</v>
      </c>
      <c r="Z162" s="41">
        <f>Z42-Z105</f>
        <v>2074821.25</v>
      </c>
      <c r="AA162" s="40">
        <f>AA42-AA105</f>
        <v>0</v>
      </c>
      <c r="AB162" s="32">
        <v>0</v>
      </c>
      <c r="AC162" s="34">
        <v>0</v>
      </c>
      <c r="AD162" s="39">
        <f>AD42-AD105</f>
        <v>12448927.5</v>
      </c>
      <c r="AE162" s="39">
        <f>AE42-AE105</f>
        <v>0</v>
      </c>
      <c r="AF162" s="32">
        <v>0</v>
      </c>
      <c r="AG162" s="34">
        <v>0</v>
      </c>
      <c r="AH162" s="39">
        <f>AH42-AH105</f>
        <v>0</v>
      </c>
      <c r="AI162" s="32">
        <v>0</v>
      </c>
      <c r="AJ162" s="31" t="str">
        <f t="shared" si="81"/>
        <v>-</v>
      </c>
    </row>
    <row r="163" spans="1:36" s="6" customFormat="1" hidden="1" outlineLevel="2" collapsed="1" x14ac:dyDescent="0.2">
      <c r="A163" s="30"/>
      <c r="B163" s="29" t="str">
        <f t="shared" si="82"/>
        <v>Итого резерв квартальной премии</v>
      </c>
      <c r="C163" s="42" t="str">
        <f t="shared" si="82"/>
        <v>Total Accruals for Quarterly bonus</v>
      </c>
      <c r="D163" s="27">
        <f>SUM(D161:D162)</f>
        <v>13290071.25</v>
      </c>
      <c r="E163" s="26">
        <f>SUM(E161:E162)</f>
        <v>0</v>
      </c>
      <c r="F163" s="23">
        <v>0</v>
      </c>
      <c r="G163" s="25">
        <v>0</v>
      </c>
      <c r="H163" s="24">
        <f>SUM(H161:H162)</f>
        <v>79740427.5</v>
      </c>
      <c r="I163" s="24">
        <f>SUM(I161:I162)</f>
        <v>0</v>
      </c>
      <c r="J163" s="23">
        <v>0</v>
      </c>
      <c r="K163" s="25">
        <v>0</v>
      </c>
      <c r="L163" s="24">
        <f>SUM(L161:L162)</f>
        <v>0</v>
      </c>
      <c r="M163" s="23">
        <v>0</v>
      </c>
      <c r="N163" s="22" t="str">
        <f t="shared" si="79"/>
        <v>-</v>
      </c>
      <c r="O163" s="27">
        <f>SUM(O161:O162)</f>
        <v>13290071.25</v>
      </c>
      <c r="P163" s="26">
        <f>SUM(P161:P162)</f>
        <v>0</v>
      </c>
      <c r="Q163" s="23">
        <v>0</v>
      </c>
      <c r="R163" s="25">
        <v>0</v>
      </c>
      <c r="S163" s="24">
        <f>SUM(S161:S162)</f>
        <v>79740427.5</v>
      </c>
      <c r="T163" s="24">
        <f>SUM(T161:T162)</f>
        <v>0</v>
      </c>
      <c r="U163" s="23">
        <v>0</v>
      </c>
      <c r="V163" s="25">
        <v>0</v>
      </c>
      <c r="W163" s="24">
        <f>SUM(W161:W162)</f>
        <v>0</v>
      </c>
      <c r="X163" s="23">
        <v>0</v>
      </c>
      <c r="Y163" s="22" t="str">
        <f t="shared" si="80"/>
        <v>-</v>
      </c>
      <c r="Z163" s="27">
        <f>SUM(Z161:Z162)</f>
        <v>13290071.25</v>
      </c>
      <c r="AA163" s="26">
        <f>SUM(AA161:AA162)</f>
        <v>0</v>
      </c>
      <c r="AB163" s="23">
        <v>0</v>
      </c>
      <c r="AC163" s="25">
        <v>0</v>
      </c>
      <c r="AD163" s="24">
        <f>SUM(AD161:AD162)</f>
        <v>79740427.5</v>
      </c>
      <c r="AE163" s="24">
        <f>SUM(AE161:AE162)</f>
        <v>0</v>
      </c>
      <c r="AF163" s="23">
        <v>0</v>
      </c>
      <c r="AG163" s="25">
        <v>0</v>
      </c>
      <c r="AH163" s="24">
        <f>SUM(AH161:AH162)</f>
        <v>0</v>
      </c>
      <c r="AI163" s="23">
        <v>0</v>
      </c>
      <c r="AJ163" s="22" t="str">
        <f t="shared" si="81"/>
        <v>-</v>
      </c>
    </row>
    <row r="164" spans="1:36" ht="12.75" hidden="1" customHeight="1" outlineLevel="3" x14ac:dyDescent="0.2">
      <c r="B164" s="38" t="str">
        <f t="shared" si="82"/>
        <v>Сторно резерва квартальной премии</v>
      </c>
      <c r="C164" s="37" t="str">
        <f t="shared" si="82"/>
        <v>Reverse Accruals for Quarterly bonus</v>
      </c>
      <c r="D164" s="41">
        <f>D44-D107</f>
        <v>0</v>
      </c>
      <c r="E164" s="40">
        <f>E44-E107</f>
        <v>0</v>
      </c>
      <c r="F164" s="32">
        <v>0</v>
      </c>
      <c r="G164" s="34">
        <v>0</v>
      </c>
      <c r="H164" s="39">
        <f>H44-H107</f>
        <v>-33645750</v>
      </c>
      <c r="I164" s="39">
        <f>I44-I107</f>
        <v>0</v>
      </c>
      <c r="J164" s="32">
        <v>0</v>
      </c>
      <c r="K164" s="34">
        <v>0</v>
      </c>
      <c r="L164" s="39">
        <f>L44-L107</f>
        <v>0</v>
      </c>
      <c r="M164" s="32">
        <v>0</v>
      </c>
      <c r="N164" s="31" t="str">
        <f t="shared" si="79"/>
        <v>-</v>
      </c>
      <c r="O164" s="41">
        <f>O44-O107</f>
        <v>0</v>
      </c>
      <c r="P164" s="40">
        <f>P44-P107</f>
        <v>0</v>
      </c>
      <c r="Q164" s="32">
        <v>0</v>
      </c>
      <c r="R164" s="34">
        <v>0</v>
      </c>
      <c r="S164" s="39">
        <f>S44-S107</f>
        <v>-33645750</v>
      </c>
      <c r="T164" s="39">
        <f>T44-T107</f>
        <v>0</v>
      </c>
      <c r="U164" s="32">
        <v>0</v>
      </c>
      <c r="V164" s="34">
        <v>0</v>
      </c>
      <c r="W164" s="39">
        <f>W44-W107</f>
        <v>0</v>
      </c>
      <c r="X164" s="32">
        <v>0</v>
      </c>
      <c r="Y164" s="31" t="str">
        <f t="shared" si="80"/>
        <v>-</v>
      </c>
      <c r="Z164" s="41">
        <f>Z44-Z107</f>
        <v>0</v>
      </c>
      <c r="AA164" s="40">
        <f>AA44-AA107</f>
        <v>0</v>
      </c>
      <c r="AB164" s="32">
        <v>0</v>
      </c>
      <c r="AC164" s="34">
        <v>0</v>
      </c>
      <c r="AD164" s="39">
        <f>AD44-AD107</f>
        <v>-33645750</v>
      </c>
      <c r="AE164" s="39">
        <f>AE44-AE107</f>
        <v>0</v>
      </c>
      <c r="AF164" s="32">
        <v>0</v>
      </c>
      <c r="AG164" s="34">
        <v>0</v>
      </c>
      <c r="AH164" s="39">
        <f>AH44-AH107</f>
        <v>0</v>
      </c>
      <c r="AI164" s="32">
        <v>0</v>
      </c>
      <c r="AJ164" s="31" t="str">
        <f t="shared" si="81"/>
        <v>-</v>
      </c>
    </row>
    <row r="165" spans="1:36" ht="12.75" hidden="1" customHeight="1" outlineLevel="3" x14ac:dyDescent="0.2">
      <c r="B165" s="38" t="str">
        <f t="shared" si="82"/>
        <v>Страховые взносы, сторно резерва квартальной премии</v>
      </c>
      <c r="C165" s="37" t="str">
        <f t="shared" si="82"/>
        <v>Social Security on Reverse Accruals for Quarterly bonus</v>
      </c>
      <c r="D165" s="41">
        <f>D45-D108</f>
        <v>0</v>
      </c>
      <c r="E165" s="40">
        <f>E45-E108</f>
        <v>0</v>
      </c>
      <c r="F165" s="32">
        <v>0</v>
      </c>
      <c r="G165" s="34">
        <v>0</v>
      </c>
      <c r="H165" s="39">
        <f>H45-H108</f>
        <v>-6224463.75</v>
      </c>
      <c r="I165" s="39">
        <f>I45-I108</f>
        <v>0</v>
      </c>
      <c r="J165" s="32">
        <v>0</v>
      </c>
      <c r="K165" s="34">
        <v>0</v>
      </c>
      <c r="L165" s="39">
        <f>L45-L108</f>
        <v>0</v>
      </c>
      <c r="M165" s="32">
        <v>0</v>
      </c>
      <c r="N165" s="31" t="str">
        <f t="shared" si="79"/>
        <v>-</v>
      </c>
      <c r="O165" s="41">
        <f>O45-O108</f>
        <v>0</v>
      </c>
      <c r="P165" s="40">
        <f>P45-P108</f>
        <v>0</v>
      </c>
      <c r="Q165" s="32">
        <v>0</v>
      </c>
      <c r="R165" s="34">
        <v>0</v>
      </c>
      <c r="S165" s="39">
        <f>S45-S108</f>
        <v>-6224463.75</v>
      </c>
      <c r="T165" s="39">
        <f>T45-T108</f>
        <v>0</v>
      </c>
      <c r="U165" s="32">
        <v>0</v>
      </c>
      <c r="V165" s="34">
        <v>0</v>
      </c>
      <c r="W165" s="39">
        <f>W45-W108</f>
        <v>0</v>
      </c>
      <c r="X165" s="32">
        <v>0</v>
      </c>
      <c r="Y165" s="31" t="str">
        <f t="shared" si="80"/>
        <v>-</v>
      </c>
      <c r="Z165" s="41">
        <f>Z45-Z108</f>
        <v>0</v>
      </c>
      <c r="AA165" s="40">
        <f>AA45-AA108</f>
        <v>0</v>
      </c>
      <c r="AB165" s="32">
        <v>0</v>
      </c>
      <c r="AC165" s="34">
        <v>0</v>
      </c>
      <c r="AD165" s="39">
        <f>AD45-AD108</f>
        <v>-6224463.75</v>
      </c>
      <c r="AE165" s="39">
        <f>AE45-AE108</f>
        <v>0</v>
      </c>
      <c r="AF165" s="32">
        <v>0</v>
      </c>
      <c r="AG165" s="34">
        <v>0</v>
      </c>
      <c r="AH165" s="39">
        <f>AH45-AH108</f>
        <v>0</v>
      </c>
      <c r="AI165" s="32">
        <v>0</v>
      </c>
      <c r="AJ165" s="31" t="str">
        <f t="shared" si="81"/>
        <v>-</v>
      </c>
    </row>
    <row r="166" spans="1:36" s="6" customFormat="1" hidden="1" outlineLevel="2" collapsed="1" x14ac:dyDescent="0.2">
      <c r="A166" s="30"/>
      <c r="B166" s="29" t="str">
        <f t="shared" si="82"/>
        <v>Итого сторно резерва квартальной премии</v>
      </c>
      <c r="C166" s="42" t="str">
        <f t="shared" si="82"/>
        <v>Total Reverse Accruals for Quarterly bonus</v>
      </c>
      <c r="D166" s="27">
        <f>SUM(D164:D165)</f>
        <v>0</v>
      </c>
      <c r="E166" s="26">
        <f>SUM(E164:E165)</f>
        <v>0</v>
      </c>
      <c r="F166" s="23">
        <v>0</v>
      </c>
      <c r="G166" s="25">
        <v>0</v>
      </c>
      <c r="H166" s="24">
        <f>SUM(H164:H165)</f>
        <v>-39870213.75</v>
      </c>
      <c r="I166" s="24">
        <f>SUM(I164:I165)</f>
        <v>0</v>
      </c>
      <c r="J166" s="23">
        <v>0</v>
      </c>
      <c r="K166" s="25">
        <v>0</v>
      </c>
      <c r="L166" s="24">
        <f>SUM(L164:L165)</f>
        <v>0</v>
      </c>
      <c r="M166" s="23">
        <v>0</v>
      </c>
      <c r="N166" s="22" t="str">
        <f t="shared" si="79"/>
        <v>-</v>
      </c>
      <c r="O166" s="27">
        <f>SUM(O164:O165)</f>
        <v>0</v>
      </c>
      <c r="P166" s="26">
        <f>SUM(P164:P165)</f>
        <v>0</v>
      </c>
      <c r="Q166" s="23">
        <v>0</v>
      </c>
      <c r="R166" s="25">
        <v>0</v>
      </c>
      <c r="S166" s="24">
        <f>SUM(S164:S165)</f>
        <v>-39870213.75</v>
      </c>
      <c r="T166" s="24">
        <f>SUM(T164:T165)</f>
        <v>0</v>
      </c>
      <c r="U166" s="23">
        <v>0</v>
      </c>
      <c r="V166" s="25">
        <v>0</v>
      </c>
      <c r="W166" s="24">
        <f>SUM(W164:W165)</f>
        <v>0</v>
      </c>
      <c r="X166" s="23">
        <v>0</v>
      </c>
      <c r="Y166" s="22" t="str">
        <f t="shared" si="80"/>
        <v>-</v>
      </c>
      <c r="Z166" s="27">
        <f>SUM(Z164:Z165)</f>
        <v>0</v>
      </c>
      <c r="AA166" s="26">
        <f>SUM(AA164:AA165)</f>
        <v>0</v>
      </c>
      <c r="AB166" s="23">
        <v>0</v>
      </c>
      <c r="AC166" s="25">
        <v>0</v>
      </c>
      <c r="AD166" s="24">
        <f>SUM(AD164:AD165)</f>
        <v>-39870213.75</v>
      </c>
      <c r="AE166" s="24">
        <f>SUM(AE164:AE165)</f>
        <v>0</v>
      </c>
      <c r="AF166" s="23">
        <v>0</v>
      </c>
      <c r="AG166" s="25">
        <v>0</v>
      </c>
      <c r="AH166" s="24">
        <f>SUM(AH164:AH165)</f>
        <v>0</v>
      </c>
      <c r="AI166" s="23">
        <v>0</v>
      </c>
      <c r="AJ166" s="22" t="str">
        <f t="shared" si="81"/>
        <v>-</v>
      </c>
    </row>
    <row r="167" spans="1:36" ht="12.75" hidden="1" customHeight="1" outlineLevel="3" x14ac:dyDescent="0.2">
      <c r="B167" s="38" t="str">
        <f t="shared" si="82"/>
        <v>Квартальная премия, выплата</v>
      </c>
      <c r="C167" s="37" t="str">
        <f t="shared" si="82"/>
        <v>Quarterly bonus cash</v>
      </c>
      <c r="D167" s="41">
        <f>D47-D110</f>
        <v>-10571699.000000002</v>
      </c>
      <c r="E167" s="40">
        <f>E47-E110</f>
        <v>9585.4511111006141</v>
      </c>
      <c r="F167" s="32">
        <v>0</v>
      </c>
      <c r="G167" s="34">
        <v>0</v>
      </c>
      <c r="H167" s="39">
        <f>H47-H110</f>
        <v>-34571183.940000072</v>
      </c>
      <c r="I167" s="39">
        <f>I47-I110</f>
        <v>-532987.29333339632</v>
      </c>
      <c r="J167" s="32">
        <v>0</v>
      </c>
      <c r="K167" s="34">
        <v>0</v>
      </c>
      <c r="L167" s="39">
        <f>L47-L110</f>
        <v>0</v>
      </c>
      <c r="M167" s="32">
        <v>0</v>
      </c>
      <c r="N167" s="31" t="str">
        <f t="shared" si="79"/>
        <v>-</v>
      </c>
      <c r="O167" s="41">
        <f>O47-O110</f>
        <v>-10571699.000000002</v>
      </c>
      <c r="P167" s="40">
        <f>P47-P110</f>
        <v>9585.4511111006141</v>
      </c>
      <c r="Q167" s="32">
        <v>0</v>
      </c>
      <c r="R167" s="34">
        <v>0</v>
      </c>
      <c r="S167" s="39">
        <f>S47-S110</f>
        <v>-34571183.940000072</v>
      </c>
      <c r="T167" s="39">
        <f>T47-T110</f>
        <v>-532987.29333339632</v>
      </c>
      <c r="U167" s="32">
        <v>0</v>
      </c>
      <c r="V167" s="34">
        <v>0</v>
      </c>
      <c r="W167" s="39">
        <f>W47-W110</f>
        <v>0</v>
      </c>
      <c r="X167" s="32">
        <v>0</v>
      </c>
      <c r="Y167" s="31" t="str">
        <f t="shared" si="80"/>
        <v>-</v>
      </c>
      <c r="Z167" s="41">
        <f>Z47-Z110</f>
        <v>-10571699.000000002</v>
      </c>
      <c r="AA167" s="40">
        <f>AA47-AA110</f>
        <v>9585.4511111006141</v>
      </c>
      <c r="AB167" s="32">
        <v>0</v>
      </c>
      <c r="AC167" s="34">
        <v>0</v>
      </c>
      <c r="AD167" s="39">
        <f>AD47-AD110</f>
        <v>-34571183.940000072</v>
      </c>
      <c r="AE167" s="39">
        <f>AE47-AE110</f>
        <v>-532987.29333339632</v>
      </c>
      <c r="AF167" s="32">
        <v>0</v>
      </c>
      <c r="AG167" s="34">
        <v>0</v>
      </c>
      <c r="AH167" s="39">
        <f>AH47-AH110</f>
        <v>0</v>
      </c>
      <c r="AI167" s="32">
        <v>0</v>
      </c>
      <c r="AJ167" s="31" t="str">
        <f t="shared" si="81"/>
        <v>-</v>
      </c>
    </row>
    <row r="168" spans="1:36" ht="12.75" hidden="1" customHeight="1" outlineLevel="3" x14ac:dyDescent="0.2">
      <c r="B168" s="38" t="str">
        <f t="shared" si="82"/>
        <v>Страховые взносы, квартальная премия выплата</v>
      </c>
      <c r="C168" s="37" t="str">
        <f t="shared" si="82"/>
        <v>Social Security on quarterly cash</v>
      </c>
      <c r="D168" s="36">
        <f>D48-D111</f>
        <v>-268624.99999999907</v>
      </c>
      <c r="E168" s="35">
        <f>E48-E111</f>
        <v>-110702.72222221689</v>
      </c>
      <c r="F168" s="32">
        <v>0</v>
      </c>
      <c r="G168" s="34">
        <v>0</v>
      </c>
      <c r="H168" s="33">
        <f>H48-H111</f>
        <v>-2901459.5000000037</v>
      </c>
      <c r="I168" s="33">
        <f>I48-I111</f>
        <v>-773458.83333330043</v>
      </c>
      <c r="J168" s="32">
        <v>0</v>
      </c>
      <c r="K168" s="34">
        <v>0</v>
      </c>
      <c r="L168" s="33">
        <f>L48-L111</f>
        <v>0</v>
      </c>
      <c r="M168" s="32">
        <v>0</v>
      </c>
      <c r="N168" s="31" t="str">
        <f t="shared" si="79"/>
        <v>-</v>
      </c>
      <c r="O168" s="36">
        <f>O48-O111</f>
        <v>-268624.99999999907</v>
      </c>
      <c r="P168" s="35">
        <f>P48-P111</f>
        <v>-110702.72222221689</v>
      </c>
      <c r="Q168" s="32">
        <v>0</v>
      </c>
      <c r="R168" s="34">
        <v>0</v>
      </c>
      <c r="S168" s="33">
        <f>S48-S111</f>
        <v>-2901459.5000000037</v>
      </c>
      <c r="T168" s="33">
        <f>T48-T111</f>
        <v>-773458.83333330043</v>
      </c>
      <c r="U168" s="32">
        <v>0</v>
      </c>
      <c r="V168" s="34">
        <v>0</v>
      </c>
      <c r="W168" s="33">
        <f>W48-W111</f>
        <v>0</v>
      </c>
      <c r="X168" s="32">
        <v>0</v>
      </c>
      <c r="Y168" s="31" t="str">
        <f t="shared" si="80"/>
        <v>-</v>
      </c>
      <c r="Z168" s="36">
        <f>Z48-Z111</f>
        <v>-268624.99999999907</v>
      </c>
      <c r="AA168" s="35">
        <f>AA48-AA111</f>
        <v>-110702.72222221689</v>
      </c>
      <c r="AB168" s="32">
        <v>0</v>
      </c>
      <c r="AC168" s="34">
        <v>0</v>
      </c>
      <c r="AD168" s="33">
        <f>AD48-AD111</f>
        <v>-2901459.5000000037</v>
      </c>
      <c r="AE168" s="33">
        <f>AE48-AE111</f>
        <v>-773458.83333330043</v>
      </c>
      <c r="AF168" s="32">
        <v>0</v>
      </c>
      <c r="AG168" s="34">
        <v>0</v>
      </c>
      <c r="AH168" s="33">
        <f>AH48-AH111</f>
        <v>0</v>
      </c>
      <c r="AI168" s="32">
        <v>0</v>
      </c>
      <c r="AJ168" s="31" t="str">
        <f t="shared" si="81"/>
        <v>-</v>
      </c>
    </row>
    <row r="169" spans="1:36" s="6" customFormat="1" hidden="1" outlineLevel="2" collapsed="1" x14ac:dyDescent="0.2">
      <c r="A169" s="30"/>
      <c r="B169" s="29" t="str">
        <f t="shared" si="82"/>
        <v>Итого квртальная премия, выплата</v>
      </c>
      <c r="C169" s="42" t="str">
        <f t="shared" si="82"/>
        <v>Total Quarterly bonus cash</v>
      </c>
      <c r="D169" s="27">
        <f>SUM(D167:D168)</f>
        <v>-10840324</v>
      </c>
      <c r="E169" s="26">
        <f>SUM(E167:E168)</f>
        <v>-101117.27111111628</v>
      </c>
      <c r="F169" s="23">
        <v>0</v>
      </c>
      <c r="G169" s="25">
        <v>0</v>
      </c>
      <c r="H169" s="24">
        <f>SUM(H167:H168)</f>
        <v>-37472643.440000072</v>
      </c>
      <c r="I169" s="24">
        <f>SUM(I167:I168)</f>
        <v>-1306446.1266666967</v>
      </c>
      <c r="J169" s="23">
        <v>0</v>
      </c>
      <c r="K169" s="25">
        <v>0</v>
      </c>
      <c r="L169" s="24">
        <f>SUM(L167:L168)</f>
        <v>0</v>
      </c>
      <c r="M169" s="23">
        <v>0</v>
      </c>
      <c r="N169" s="22" t="str">
        <f t="shared" si="79"/>
        <v>-</v>
      </c>
      <c r="O169" s="27">
        <f>SUM(O167:O168)</f>
        <v>-10840324</v>
      </c>
      <c r="P169" s="26">
        <f>SUM(P167:P168)</f>
        <v>-101117.27111111628</v>
      </c>
      <c r="Q169" s="23">
        <v>0</v>
      </c>
      <c r="R169" s="25">
        <v>0</v>
      </c>
      <c r="S169" s="24">
        <f>SUM(S167:S168)</f>
        <v>-37472643.440000072</v>
      </c>
      <c r="T169" s="24">
        <f>SUM(T167:T168)</f>
        <v>-1306446.1266666967</v>
      </c>
      <c r="U169" s="23">
        <v>0</v>
      </c>
      <c r="V169" s="25">
        <v>0</v>
      </c>
      <c r="W169" s="24">
        <f>SUM(W167:W168)</f>
        <v>0</v>
      </c>
      <c r="X169" s="23">
        <v>0</v>
      </c>
      <c r="Y169" s="22" t="str">
        <f t="shared" si="80"/>
        <v>-</v>
      </c>
      <c r="Z169" s="27">
        <f>SUM(Z167:Z168)</f>
        <v>-10840324</v>
      </c>
      <c r="AA169" s="26">
        <f>SUM(AA167:AA168)</f>
        <v>-101117.27111111628</v>
      </c>
      <c r="AB169" s="23">
        <v>0</v>
      </c>
      <c r="AC169" s="25">
        <v>0</v>
      </c>
      <c r="AD169" s="24">
        <f>SUM(AD167:AD168)</f>
        <v>-37472643.440000072</v>
      </c>
      <c r="AE169" s="24">
        <f>SUM(AE167:AE168)</f>
        <v>-1306446.1266666967</v>
      </c>
      <c r="AF169" s="23">
        <v>0</v>
      </c>
      <c r="AG169" s="25">
        <v>0</v>
      </c>
      <c r="AH169" s="24">
        <f>SUM(AH167:AH168)</f>
        <v>0</v>
      </c>
      <c r="AI169" s="23">
        <v>0</v>
      </c>
      <c r="AJ169" s="22" t="str">
        <f t="shared" si="81"/>
        <v>-</v>
      </c>
    </row>
    <row r="170" spans="1:36" s="6" customFormat="1" outlineLevel="1" collapsed="1" x14ac:dyDescent="0.2">
      <c r="A170" s="30"/>
      <c r="B170" s="48" t="str">
        <f t="shared" si="82"/>
        <v>Квартальная премия</v>
      </c>
      <c r="C170" s="47" t="str">
        <f t="shared" si="82"/>
        <v>Quarterly bonus</v>
      </c>
      <c r="D170" s="46">
        <f>D169+D166+D163</f>
        <v>2449747.25</v>
      </c>
      <c r="E170" s="45">
        <f>E169+E166+E163</f>
        <v>-101117.27111111628</v>
      </c>
      <c r="F170" s="23">
        <v>0</v>
      </c>
      <c r="G170" s="25">
        <v>0</v>
      </c>
      <c r="H170" s="44">
        <f>H169+H166+H163</f>
        <v>2397570.3099999279</v>
      </c>
      <c r="I170" s="44">
        <f>I169+I166+I163</f>
        <v>-1306446.1266666967</v>
      </c>
      <c r="J170" s="23">
        <v>0</v>
      </c>
      <c r="K170" s="25">
        <v>0</v>
      </c>
      <c r="L170" s="44">
        <f>L169+L166+L163</f>
        <v>0</v>
      </c>
      <c r="M170" s="23">
        <v>0</v>
      </c>
      <c r="N170" s="43" t="str">
        <f t="shared" si="79"/>
        <v>-</v>
      </c>
      <c r="O170" s="46">
        <f>O169+O166+O163</f>
        <v>2449747.25</v>
      </c>
      <c r="P170" s="45">
        <f>P169+P166+P163</f>
        <v>-101117.27111111628</v>
      </c>
      <c r="Q170" s="23">
        <v>0</v>
      </c>
      <c r="R170" s="25">
        <v>0</v>
      </c>
      <c r="S170" s="44">
        <f>S169+S166+S163</f>
        <v>2397570.3099999279</v>
      </c>
      <c r="T170" s="44">
        <f>T169+T166+T163</f>
        <v>-1306446.1266666967</v>
      </c>
      <c r="U170" s="23">
        <v>0</v>
      </c>
      <c r="V170" s="25">
        <v>0</v>
      </c>
      <c r="W170" s="44">
        <f>W169+W166+W163</f>
        <v>0</v>
      </c>
      <c r="X170" s="23">
        <v>0</v>
      </c>
      <c r="Y170" s="43" t="str">
        <f t="shared" si="80"/>
        <v>-</v>
      </c>
      <c r="Z170" s="46">
        <f>Z169+Z166+Z163</f>
        <v>2449747.25</v>
      </c>
      <c r="AA170" s="45">
        <f>AA169+AA166+AA163</f>
        <v>-101117.27111111628</v>
      </c>
      <c r="AB170" s="23">
        <v>0</v>
      </c>
      <c r="AC170" s="25">
        <v>0</v>
      </c>
      <c r="AD170" s="44">
        <f>AD169+AD166+AD163</f>
        <v>2397570.3099999279</v>
      </c>
      <c r="AE170" s="44">
        <f>AE169+AE166+AE163</f>
        <v>-1306446.1266666967</v>
      </c>
      <c r="AF170" s="23">
        <v>0</v>
      </c>
      <c r="AG170" s="25">
        <v>0</v>
      </c>
      <c r="AH170" s="44">
        <f>AH169+AH166+AH163</f>
        <v>0</v>
      </c>
      <c r="AI170" s="23">
        <v>0</v>
      </c>
      <c r="AJ170" s="43" t="str">
        <f t="shared" si="81"/>
        <v>-</v>
      </c>
    </row>
    <row r="171" spans="1:36" s="6" customFormat="1" x14ac:dyDescent="0.2">
      <c r="B171" s="21" t="str">
        <f t="shared" si="82"/>
        <v>ФОТ до бонуса</v>
      </c>
      <c r="C171" s="20" t="str">
        <f t="shared" si="82"/>
        <v>FIX compensation before Bonus</v>
      </c>
      <c r="D171" s="19">
        <f>D170+D160+D147+D144</f>
        <v>2087093.6900000018</v>
      </c>
      <c r="E171" s="18">
        <f>E170+E160+E147+E144</f>
        <v>1531305.3704398829</v>
      </c>
      <c r="F171" s="15">
        <v>0</v>
      </c>
      <c r="G171" s="17">
        <v>0</v>
      </c>
      <c r="H171" s="16">
        <f>H170+H160+H147+H144</f>
        <v>537445.75000022235</v>
      </c>
      <c r="I171" s="16">
        <f>I170+I160+I147+I144</f>
        <v>-5283865.1666666968</v>
      </c>
      <c r="J171" s="15">
        <v>0</v>
      </c>
      <c r="K171" s="17">
        <v>0</v>
      </c>
      <c r="L171" s="16">
        <f>L170+L160+L147+L144</f>
        <v>-3977419.04</v>
      </c>
      <c r="M171" s="15">
        <v>0</v>
      </c>
      <c r="N171" s="14">
        <f t="shared" si="79"/>
        <v>0</v>
      </c>
      <c r="O171" s="19">
        <f>O170+O160+O147+O144</f>
        <v>2087093.6900000018</v>
      </c>
      <c r="P171" s="18">
        <f>P170+P160+P147+P144</f>
        <v>1531305.3704398829</v>
      </c>
      <c r="Q171" s="15">
        <v>0</v>
      </c>
      <c r="R171" s="17">
        <v>0</v>
      </c>
      <c r="S171" s="16">
        <f>S170+S160+S147+S144</f>
        <v>537445.75000022235</v>
      </c>
      <c r="T171" s="16">
        <f>T170+T160+T147+T144</f>
        <v>-5283865.1666666968</v>
      </c>
      <c r="U171" s="15">
        <v>0</v>
      </c>
      <c r="V171" s="17">
        <v>0</v>
      </c>
      <c r="W171" s="16">
        <f>W170+W160+W147+W144</f>
        <v>-3977419.04</v>
      </c>
      <c r="X171" s="15">
        <v>0</v>
      </c>
      <c r="Y171" s="14">
        <f t="shared" si="80"/>
        <v>0</v>
      </c>
      <c r="Z171" s="19">
        <f>Z170+Z160+Z147+Z144</f>
        <v>2087093.6900000018</v>
      </c>
      <c r="AA171" s="18">
        <f>AA170+AA160+AA147+AA144</f>
        <v>1531305.3704398829</v>
      </c>
      <c r="AB171" s="15">
        <v>0</v>
      </c>
      <c r="AC171" s="17">
        <v>0</v>
      </c>
      <c r="AD171" s="16">
        <f>AD170+AD160+AD147+AD144</f>
        <v>537445.75000022235</v>
      </c>
      <c r="AE171" s="16">
        <f>AE170+AE160+AE147+AE144</f>
        <v>-5283865.1666666968</v>
      </c>
      <c r="AF171" s="15">
        <v>0</v>
      </c>
      <c r="AG171" s="17">
        <v>0</v>
      </c>
      <c r="AH171" s="16">
        <f>AH170+AH160+AH147+AH144</f>
        <v>-3977419.04</v>
      </c>
      <c r="AI171" s="15">
        <v>0</v>
      </c>
      <c r="AJ171" s="14">
        <f t="shared" si="81"/>
        <v>0</v>
      </c>
    </row>
    <row r="172" spans="1:36" ht="12.75" hidden="1" customHeight="1" outlineLevel="3" x14ac:dyDescent="0.2">
      <c r="B172" s="38" t="str">
        <f t="shared" ref="B172:C186" si="83">B52</f>
        <v>Резерв бонуса прошлых лет</v>
      </c>
      <c r="C172" s="37" t="str">
        <f t="shared" si="83"/>
        <v>Under-/overaccruals - cash</v>
      </c>
      <c r="D172" s="36">
        <f>D52-D115</f>
        <v>0</v>
      </c>
      <c r="E172" s="40">
        <f>E52-E115</f>
        <v>0</v>
      </c>
      <c r="F172" s="32">
        <v>0</v>
      </c>
      <c r="G172" s="34">
        <v>0</v>
      </c>
      <c r="H172" s="33">
        <f>H52-H115</f>
        <v>1030559766.46</v>
      </c>
      <c r="I172" s="33">
        <f>I52-I115</f>
        <v>1030559766.46</v>
      </c>
      <c r="J172" s="32">
        <v>0</v>
      </c>
      <c r="K172" s="34">
        <v>0</v>
      </c>
      <c r="L172" s="33">
        <f>L52-L115</f>
        <v>1030559766.46</v>
      </c>
      <c r="M172" s="32">
        <v>0</v>
      </c>
      <c r="N172" s="31">
        <f t="shared" si="79"/>
        <v>0</v>
      </c>
      <c r="O172" s="36">
        <f>O52-O115</f>
        <v>0</v>
      </c>
      <c r="P172" s="40">
        <f>P52-P115</f>
        <v>0</v>
      </c>
      <c r="Q172" s="32">
        <v>0</v>
      </c>
      <c r="R172" s="34">
        <v>0</v>
      </c>
      <c r="S172" s="33">
        <f>S52-S115</f>
        <v>1030559766.46</v>
      </c>
      <c r="T172" s="33">
        <f>T52-T115</f>
        <v>1030559766.46</v>
      </c>
      <c r="U172" s="32">
        <v>0</v>
      </c>
      <c r="V172" s="34">
        <v>0</v>
      </c>
      <c r="W172" s="33">
        <f>W52-W115</f>
        <v>1030559766.46</v>
      </c>
      <c r="X172" s="32">
        <v>0</v>
      </c>
      <c r="Y172" s="31">
        <f t="shared" si="80"/>
        <v>0</v>
      </c>
      <c r="Z172" s="36">
        <f>Z52-Z115</f>
        <v>0</v>
      </c>
      <c r="AA172" s="40">
        <f>AA52-AA115</f>
        <v>0</v>
      </c>
      <c r="AB172" s="32">
        <v>0</v>
      </c>
      <c r="AC172" s="34">
        <v>0</v>
      </c>
      <c r="AD172" s="33">
        <f>AD52-AD115</f>
        <v>1030559766.46</v>
      </c>
      <c r="AE172" s="33">
        <f>AE52-AE115</f>
        <v>1030559766.46</v>
      </c>
      <c r="AF172" s="32">
        <v>0</v>
      </c>
      <c r="AG172" s="34">
        <v>0</v>
      </c>
      <c r="AH172" s="33">
        <f>AH52-AH115</f>
        <v>1030559766.46</v>
      </c>
      <c r="AI172" s="32">
        <v>0</v>
      </c>
      <c r="AJ172" s="31">
        <f t="shared" si="81"/>
        <v>0</v>
      </c>
    </row>
    <row r="173" spans="1:36" ht="12.75" hidden="1" customHeight="1" outlineLevel="3" x14ac:dyDescent="0.2">
      <c r="B173" s="38" t="str">
        <f t="shared" si="83"/>
        <v>Страховые взносы, резерв бонуса прошлых лет</v>
      </c>
      <c r="C173" s="37" t="str">
        <f t="shared" si="83"/>
        <v>Under-/overaccruals - contribution to social secur</v>
      </c>
      <c r="D173" s="36">
        <f>D53-D116</f>
        <v>0</v>
      </c>
      <c r="E173" s="40">
        <f>E53-E116</f>
        <v>0</v>
      </c>
      <c r="F173" s="32">
        <v>0</v>
      </c>
      <c r="G173" s="34">
        <v>0</v>
      </c>
      <c r="H173" s="33">
        <f>H53-H116</f>
        <v>305311883.32000005</v>
      </c>
      <c r="I173" s="33">
        <f>I53-I116</f>
        <v>281392275.22000003</v>
      </c>
      <c r="J173" s="32">
        <v>0</v>
      </c>
      <c r="K173" s="34">
        <v>0</v>
      </c>
      <c r="L173" s="33">
        <f>L53-L116</f>
        <v>281392275.22000003</v>
      </c>
      <c r="M173" s="32">
        <v>0</v>
      </c>
      <c r="N173" s="31">
        <f t="shared" si="79"/>
        <v>0</v>
      </c>
      <c r="O173" s="36">
        <f>O53-O116</f>
        <v>0</v>
      </c>
      <c r="P173" s="40">
        <f>P53-P116</f>
        <v>0</v>
      </c>
      <c r="Q173" s="32">
        <v>0</v>
      </c>
      <c r="R173" s="34">
        <v>0</v>
      </c>
      <c r="S173" s="33">
        <f>S53-S116</f>
        <v>305311883.32000005</v>
      </c>
      <c r="T173" s="33">
        <f>T53-T116</f>
        <v>281392275.22000003</v>
      </c>
      <c r="U173" s="32">
        <v>0</v>
      </c>
      <c r="V173" s="34">
        <v>0</v>
      </c>
      <c r="W173" s="33">
        <f>W53-W116</f>
        <v>281392275.22000003</v>
      </c>
      <c r="X173" s="32">
        <v>0</v>
      </c>
      <c r="Y173" s="31">
        <f t="shared" si="80"/>
        <v>0</v>
      </c>
      <c r="Z173" s="36">
        <f>Z53-Z116</f>
        <v>0</v>
      </c>
      <c r="AA173" s="40">
        <f>AA53-AA116</f>
        <v>0</v>
      </c>
      <c r="AB173" s="32">
        <v>0</v>
      </c>
      <c r="AC173" s="34">
        <v>0</v>
      </c>
      <c r="AD173" s="33">
        <f>AD53-AD116</f>
        <v>305311883.32000005</v>
      </c>
      <c r="AE173" s="33">
        <f>AE53-AE116</f>
        <v>281392275.22000003</v>
      </c>
      <c r="AF173" s="32">
        <v>0</v>
      </c>
      <c r="AG173" s="34">
        <v>0</v>
      </c>
      <c r="AH173" s="33">
        <f>AH53-AH116</f>
        <v>281392275.22000003</v>
      </c>
      <c r="AI173" s="32">
        <v>0</v>
      </c>
      <c r="AJ173" s="31">
        <f t="shared" si="81"/>
        <v>0</v>
      </c>
    </row>
    <row r="174" spans="1:36" s="6" customFormat="1" hidden="1" outlineLevel="1" collapsed="1" x14ac:dyDescent="0.2">
      <c r="A174" s="30"/>
      <c r="B174" s="48" t="str">
        <f t="shared" si="83"/>
        <v>Итого Резерв бонуса прошлых лет</v>
      </c>
      <c r="C174" s="47" t="str">
        <f t="shared" si="83"/>
        <v>Total Under-/overaccruals - cash</v>
      </c>
      <c r="D174" s="46">
        <f>SUM(D172:D173)</f>
        <v>0</v>
      </c>
      <c r="E174" s="45">
        <f>SUM(E172:E173)</f>
        <v>0</v>
      </c>
      <c r="F174" s="23">
        <v>0</v>
      </c>
      <c r="G174" s="25">
        <v>0</v>
      </c>
      <c r="H174" s="44">
        <f>SUM(H172:H173)</f>
        <v>1335871649.7800002</v>
      </c>
      <c r="I174" s="44">
        <f>SUM(I172:I173)</f>
        <v>1311952041.6800001</v>
      </c>
      <c r="J174" s="23">
        <v>0</v>
      </c>
      <c r="K174" s="25">
        <v>0</v>
      </c>
      <c r="L174" s="44">
        <f>SUM(L172:L173)</f>
        <v>1311952041.6800001</v>
      </c>
      <c r="M174" s="23">
        <v>0</v>
      </c>
      <c r="N174" s="43">
        <f t="shared" si="79"/>
        <v>0</v>
      </c>
      <c r="O174" s="46">
        <f>SUM(O172:O173)</f>
        <v>0</v>
      </c>
      <c r="P174" s="45">
        <f>SUM(P172:P173)</f>
        <v>0</v>
      </c>
      <c r="Q174" s="23">
        <v>0</v>
      </c>
      <c r="R174" s="25">
        <v>0</v>
      </c>
      <c r="S174" s="44">
        <f>SUM(S172:S173)</f>
        <v>1335871649.7800002</v>
      </c>
      <c r="T174" s="44">
        <f>SUM(T172:T173)</f>
        <v>1311952041.6800001</v>
      </c>
      <c r="U174" s="23">
        <v>0</v>
      </c>
      <c r="V174" s="25">
        <v>0</v>
      </c>
      <c r="W174" s="44">
        <f>SUM(W172:W173)</f>
        <v>1311952041.6800001</v>
      </c>
      <c r="X174" s="23">
        <v>0</v>
      </c>
      <c r="Y174" s="43">
        <f t="shared" si="80"/>
        <v>0</v>
      </c>
      <c r="Z174" s="46">
        <f>SUM(Z172:Z173)</f>
        <v>0</v>
      </c>
      <c r="AA174" s="45">
        <f>SUM(AA172:AA173)</f>
        <v>0</v>
      </c>
      <c r="AB174" s="23">
        <v>0</v>
      </c>
      <c r="AC174" s="25">
        <v>0</v>
      </c>
      <c r="AD174" s="44">
        <f>SUM(AD172:AD173)</f>
        <v>1335871649.7800002</v>
      </c>
      <c r="AE174" s="44">
        <f>SUM(AE172:AE173)</f>
        <v>1311952041.6800001</v>
      </c>
      <c r="AF174" s="23">
        <v>0</v>
      </c>
      <c r="AG174" s="25">
        <v>0</v>
      </c>
      <c r="AH174" s="44">
        <f>SUM(AH172:AH173)</f>
        <v>1311952041.6800001</v>
      </c>
      <c r="AI174" s="23">
        <v>0</v>
      </c>
      <c r="AJ174" s="43">
        <f t="shared" si="81"/>
        <v>0</v>
      </c>
    </row>
    <row r="175" spans="1:36" s="6" customFormat="1" collapsed="1" x14ac:dyDescent="0.2">
      <c r="B175" s="21" t="str">
        <f t="shared" si="83"/>
        <v>Резерв бонуса прошлых лет</v>
      </c>
      <c r="C175" s="20" t="str">
        <f t="shared" si="83"/>
        <v>Under-/overaccruals - cash</v>
      </c>
      <c r="D175" s="19">
        <f>D174</f>
        <v>0</v>
      </c>
      <c r="E175" s="18">
        <f>E174</f>
        <v>0</v>
      </c>
      <c r="F175" s="15">
        <v>0</v>
      </c>
      <c r="G175" s="17">
        <v>0</v>
      </c>
      <c r="H175" s="16">
        <f>H174</f>
        <v>1335871649.7800002</v>
      </c>
      <c r="I175" s="16">
        <f>I174</f>
        <v>1311952041.6800001</v>
      </c>
      <c r="J175" s="15">
        <v>0</v>
      </c>
      <c r="K175" s="17">
        <v>0</v>
      </c>
      <c r="L175" s="16">
        <f>L174</f>
        <v>1311952041.6800001</v>
      </c>
      <c r="M175" s="15">
        <v>0</v>
      </c>
      <c r="N175" s="14">
        <f t="shared" si="79"/>
        <v>0</v>
      </c>
      <c r="O175" s="19">
        <f>O174</f>
        <v>0</v>
      </c>
      <c r="P175" s="18">
        <f>P174</f>
        <v>0</v>
      </c>
      <c r="Q175" s="15">
        <v>0</v>
      </c>
      <c r="R175" s="17">
        <v>0</v>
      </c>
      <c r="S175" s="16">
        <f>S174</f>
        <v>1335871649.7800002</v>
      </c>
      <c r="T175" s="16">
        <f>T174</f>
        <v>1311952041.6800001</v>
      </c>
      <c r="U175" s="15">
        <v>0</v>
      </c>
      <c r="V175" s="17">
        <v>0</v>
      </c>
      <c r="W175" s="16">
        <f>W174</f>
        <v>1311952041.6800001</v>
      </c>
      <c r="X175" s="15">
        <v>0</v>
      </c>
      <c r="Y175" s="14">
        <f t="shared" si="80"/>
        <v>0</v>
      </c>
      <c r="Z175" s="19">
        <f>Z174</f>
        <v>0</v>
      </c>
      <c r="AA175" s="18">
        <f>AA174</f>
        <v>0</v>
      </c>
      <c r="AB175" s="15">
        <v>0</v>
      </c>
      <c r="AC175" s="17">
        <v>0</v>
      </c>
      <c r="AD175" s="16">
        <f>AD174</f>
        <v>1335871649.7800002</v>
      </c>
      <c r="AE175" s="16">
        <f>AE174</f>
        <v>1311952041.6800001</v>
      </c>
      <c r="AF175" s="15">
        <v>0</v>
      </c>
      <c r="AG175" s="17">
        <v>0</v>
      </c>
      <c r="AH175" s="16">
        <f>AH174</f>
        <v>1311952041.6800001</v>
      </c>
      <c r="AI175" s="15">
        <v>0</v>
      </c>
      <c r="AJ175" s="14">
        <f t="shared" si="81"/>
        <v>0</v>
      </c>
    </row>
    <row r="176" spans="1:36" ht="12.75" hidden="1" customHeight="1" outlineLevel="3" x14ac:dyDescent="0.2">
      <c r="B176" s="38" t="str">
        <f t="shared" si="83"/>
        <v>Резерв годового бонуса</v>
      </c>
      <c r="C176" s="37" t="str">
        <f t="shared" si="83"/>
        <v>Bonus discretionary Accrual</v>
      </c>
      <c r="D176" s="41">
        <f>D56-D119</f>
        <v>294014180.62210083</v>
      </c>
      <c r="E176" s="40">
        <f>E56-E119</f>
        <v>0</v>
      </c>
      <c r="F176" s="32">
        <v>0</v>
      </c>
      <c r="G176" s="34">
        <v>0</v>
      </c>
      <c r="H176" s="39">
        <f>H56-H119</f>
        <v>1764085083.732605</v>
      </c>
      <c r="I176" s="39">
        <f>I56-I119</f>
        <v>0</v>
      </c>
      <c r="J176" s="32">
        <v>0</v>
      </c>
      <c r="K176" s="34">
        <v>0</v>
      </c>
      <c r="L176" s="39">
        <f>L56-L119</f>
        <v>0</v>
      </c>
      <c r="M176" s="32">
        <v>0</v>
      </c>
      <c r="N176" s="31" t="str">
        <f t="shared" si="79"/>
        <v>-</v>
      </c>
      <c r="O176" s="41">
        <f>O56-O119</f>
        <v>294014180.62210083</v>
      </c>
      <c r="P176" s="40">
        <f>P56-P119</f>
        <v>0</v>
      </c>
      <c r="Q176" s="32">
        <v>0</v>
      </c>
      <c r="R176" s="34">
        <v>0</v>
      </c>
      <c r="S176" s="39">
        <f>S56-S119</f>
        <v>1764085083.732605</v>
      </c>
      <c r="T176" s="39">
        <f>T56-T119</f>
        <v>0</v>
      </c>
      <c r="U176" s="32">
        <v>0</v>
      </c>
      <c r="V176" s="34">
        <v>0</v>
      </c>
      <c r="W176" s="39">
        <f>W56-W119</f>
        <v>0</v>
      </c>
      <c r="X176" s="32">
        <v>0</v>
      </c>
      <c r="Y176" s="31" t="str">
        <f t="shared" si="80"/>
        <v>-</v>
      </c>
      <c r="Z176" s="41">
        <f>Z56-Z119</f>
        <v>294014180.62210083</v>
      </c>
      <c r="AA176" s="40">
        <f>AA56-AA119</f>
        <v>0</v>
      </c>
      <c r="AB176" s="32">
        <v>0</v>
      </c>
      <c r="AC176" s="34">
        <v>0</v>
      </c>
      <c r="AD176" s="39">
        <f>AD56-AD119</f>
        <v>1764085083.732605</v>
      </c>
      <c r="AE176" s="39">
        <f>AE56-AE119</f>
        <v>0</v>
      </c>
      <c r="AF176" s="32">
        <v>0</v>
      </c>
      <c r="AG176" s="34">
        <v>0</v>
      </c>
      <c r="AH176" s="39">
        <f>AH56-AH119</f>
        <v>0</v>
      </c>
      <c r="AI176" s="32">
        <v>0</v>
      </c>
      <c r="AJ176" s="31" t="str">
        <f t="shared" si="81"/>
        <v>-</v>
      </c>
    </row>
    <row r="177" spans="1:36" ht="12.75" hidden="1" customHeight="1" outlineLevel="3" x14ac:dyDescent="0.2">
      <c r="B177" s="38" t="str">
        <f t="shared" si="83"/>
        <v>Страховые взносы, резерв годового бонуса</v>
      </c>
      <c r="C177" s="37" t="str">
        <f t="shared" si="83"/>
        <v>Social Security on discretionary Bonus Accrual</v>
      </c>
      <c r="D177" s="41">
        <f>D57-D120</f>
        <v>54392623.41508875</v>
      </c>
      <c r="E177" s="40">
        <f>E57-E120</f>
        <v>0</v>
      </c>
      <c r="F177" s="32">
        <v>0</v>
      </c>
      <c r="G177" s="34">
        <v>0</v>
      </c>
      <c r="H177" s="39">
        <f>H57-H120</f>
        <v>326355740.4905315</v>
      </c>
      <c r="I177" s="39">
        <f>I57-I120</f>
        <v>0</v>
      </c>
      <c r="J177" s="32">
        <v>0</v>
      </c>
      <c r="K177" s="34">
        <v>0</v>
      </c>
      <c r="L177" s="39">
        <f>L57-L120</f>
        <v>0</v>
      </c>
      <c r="M177" s="32">
        <v>0</v>
      </c>
      <c r="N177" s="31" t="str">
        <f t="shared" si="79"/>
        <v>-</v>
      </c>
      <c r="O177" s="41">
        <f>O57-O120</f>
        <v>54392623.41508875</v>
      </c>
      <c r="P177" s="40">
        <f>P57-P120</f>
        <v>0</v>
      </c>
      <c r="Q177" s="32">
        <v>0</v>
      </c>
      <c r="R177" s="34">
        <v>0</v>
      </c>
      <c r="S177" s="39">
        <f>S57-S120</f>
        <v>326355740.4905315</v>
      </c>
      <c r="T177" s="39">
        <f>T57-T120</f>
        <v>0</v>
      </c>
      <c r="U177" s="32">
        <v>0</v>
      </c>
      <c r="V177" s="34">
        <v>0</v>
      </c>
      <c r="W177" s="39">
        <f>W57-W120</f>
        <v>0</v>
      </c>
      <c r="X177" s="32">
        <v>0</v>
      </c>
      <c r="Y177" s="31" t="str">
        <f t="shared" si="80"/>
        <v>-</v>
      </c>
      <c r="Z177" s="41">
        <f>Z57-Z120</f>
        <v>54392623.41508875</v>
      </c>
      <c r="AA177" s="40">
        <f>AA57-AA120</f>
        <v>0</v>
      </c>
      <c r="AB177" s="32">
        <v>0</v>
      </c>
      <c r="AC177" s="34">
        <v>0</v>
      </c>
      <c r="AD177" s="39">
        <f>AD57-AD120</f>
        <v>326355740.4905315</v>
      </c>
      <c r="AE177" s="39">
        <f>AE57-AE120</f>
        <v>0</v>
      </c>
      <c r="AF177" s="32">
        <v>0</v>
      </c>
      <c r="AG177" s="34">
        <v>0</v>
      </c>
      <c r="AH177" s="39">
        <f>AH57-AH120</f>
        <v>0</v>
      </c>
      <c r="AI177" s="32">
        <v>0</v>
      </c>
      <c r="AJ177" s="31" t="str">
        <f t="shared" si="81"/>
        <v>-</v>
      </c>
    </row>
    <row r="178" spans="1:36" s="6" customFormat="1" hidden="1" outlineLevel="2" collapsed="1" x14ac:dyDescent="0.2">
      <c r="A178" s="30"/>
      <c r="B178" s="29" t="str">
        <f t="shared" si="83"/>
        <v>Итого резерв годового бонуса</v>
      </c>
      <c r="C178" s="42" t="str">
        <f t="shared" si="83"/>
        <v>Total Bonus discretionary Accrual</v>
      </c>
      <c r="D178" s="27">
        <f>SUM(D176:D177)</f>
        <v>348406804.0371896</v>
      </c>
      <c r="E178" s="26">
        <f>SUM(E176:E177)</f>
        <v>0</v>
      </c>
      <c r="F178" s="23">
        <v>0</v>
      </c>
      <c r="G178" s="25">
        <v>0</v>
      </c>
      <c r="H178" s="24">
        <f>SUM(H176:H177)</f>
        <v>2090440824.2231364</v>
      </c>
      <c r="I178" s="24">
        <f>SUM(I176:I177)</f>
        <v>0</v>
      </c>
      <c r="J178" s="23">
        <v>0</v>
      </c>
      <c r="K178" s="25">
        <v>0</v>
      </c>
      <c r="L178" s="24">
        <f>SUM(L176:L177)</f>
        <v>0</v>
      </c>
      <c r="M178" s="23">
        <v>0</v>
      </c>
      <c r="N178" s="22" t="str">
        <f t="shared" si="79"/>
        <v>-</v>
      </c>
      <c r="O178" s="27">
        <f>SUM(O176:O177)</f>
        <v>348406804.0371896</v>
      </c>
      <c r="P178" s="26">
        <f>SUM(P176:P177)</f>
        <v>0</v>
      </c>
      <c r="Q178" s="23">
        <v>0</v>
      </c>
      <c r="R178" s="25">
        <v>0</v>
      </c>
      <c r="S178" s="24">
        <f>SUM(S176:S177)</f>
        <v>2090440824.2231364</v>
      </c>
      <c r="T178" s="24">
        <f>SUM(T176:T177)</f>
        <v>0</v>
      </c>
      <c r="U178" s="23">
        <v>0</v>
      </c>
      <c r="V178" s="25">
        <v>0</v>
      </c>
      <c r="W178" s="24">
        <f>SUM(W176:W177)</f>
        <v>0</v>
      </c>
      <c r="X178" s="23">
        <v>0</v>
      </c>
      <c r="Y178" s="22" t="str">
        <f t="shared" si="80"/>
        <v>-</v>
      </c>
      <c r="Z178" s="27">
        <f>SUM(Z176:Z177)</f>
        <v>348406804.0371896</v>
      </c>
      <c r="AA178" s="26">
        <f>SUM(AA176:AA177)</f>
        <v>0</v>
      </c>
      <c r="AB178" s="23">
        <v>0</v>
      </c>
      <c r="AC178" s="25">
        <v>0</v>
      </c>
      <c r="AD178" s="24">
        <f>SUM(AD176:AD177)</f>
        <v>2090440824.2231364</v>
      </c>
      <c r="AE178" s="24">
        <f>SUM(AE176:AE177)</f>
        <v>0</v>
      </c>
      <c r="AF178" s="23">
        <v>0</v>
      </c>
      <c r="AG178" s="25">
        <v>0</v>
      </c>
      <c r="AH178" s="24">
        <f>SUM(AH176:AH177)</f>
        <v>0</v>
      </c>
      <c r="AI178" s="23">
        <v>0</v>
      </c>
      <c r="AJ178" s="22" t="str">
        <f t="shared" si="81"/>
        <v>-</v>
      </c>
    </row>
    <row r="179" spans="1:36" ht="12.75" hidden="1" customHeight="1" outlineLevel="3" x14ac:dyDescent="0.2">
      <c r="B179" s="38" t="str">
        <f t="shared" si="83"/>
        <v>Сторно резерва годового бонуса бонуса</v>
      </c>
      <c r="C179" s="37" t="str">
        <f t="shared" si="83"/>
        <v>Reverse Bonus discretionary Accrual</v>
      </c>
      <c r="D179" s="41">
        <f>D59-D122</f>
        <v>0</v>
      </c>
      <c r="E179" s="40">
        <f>E59-E122</f>
        <v>0</v>
      </c>
      <c r="F179" s="32">
        <v>0</v>
      </c>
      <c r="G179" s="34">
        <v>0</v>
      </c>
      <c r="H179" s="39">
        <f>H59-H122</f>
        <v>0</v>
      </c>
      <c r="I179" s="39">
        <f>I59-I122</f>
        <v>0</v>
      </c>
      <c r="J179" s="32">
        <v>0</v>
      </c>
      <c r="K179" s="34">
        <v>0</v>
      </c>
      <c r="L179" s="39">
        <f>L59-L122</f>
        <v>0</v>
      </c>
      <c r="M179" s="32">
        <v>0</v>
      </c>
      <c r="N179" s="31" t="str">
        <f t="shared" si="79"/>
        <v>-</v>
      </c>
      <c r="O179" s="41">
        <f>O59-O122</f>
        <v>0</v>
      </c>
      <c r="P179" s="40">
        <f>P59-P122</f>
        <v>0</v>
      </c>
      <c r="Q179" s="32">
        <v>0</v>
      </c>
      <c r="R179" s="34">
        <v>0</v>
      </c>
      <c r="S179" s="39">
        <f>S59-S122</f>
        <v>0</v>
      </c>
      <c r="T179" s="39">
        <f>T59-T122</f>
        <v>0</v>
      </c>
      <c r="U179" s="32">
        <v>0</v>
      </c>
      <c r="V179" s="34">
        <v>0</v>
      </c>
      <c r="W179" s="39">
        <f>W59-W122</f>
        <v>0</v>
      </c>
      <c r="X179" s="32">
        <v>0</v>
      </c>
      <c r="Y179" s="31" t="str">
        <f t="shared" si="80"/>
        <v>-</v>
      </c>
      <c r="Z179" s="41">
        <f>Z59-Z122</f>
        <v>0</v>
      </c>
      <c r="AA179" s="40">
        <f>AA59-AA122</f>
        <v>0</v>
      </c>
      <c r="AB179" s="32">
        <v>0</v>
      </c>
      <c r="AC179" s="34">
        <v>0</v>
      </c>
      <c r="AD179" s="39">
        <f>AD59-AD122</f>
        <v>0</v>
      </c>
      <c r="AE179" s="39">
        <f>AE59-AE122</f>
        <v>0</v>
      </c>
      <c r="AF179" s="32">
        <v>0</v>
      </c>
      <c r="AG179" s="34">
        <v>0</v>
      </c>
      <c r="AH179" s="39">
        <f>AH59-AH122</f>
        <v>0</v>
      </c>
      <c r="AI179" s="32">
        <v>0</v>
      </c>
      <c r="AJ179" s="31" t="str">
        <f t="shared" si="81"/>
        <v>-</v>
      </c>
    </row>
    <row r="180" spans="1:36" ht="12.75" hidden="1" customHeight="1" outlineLevel="3" x14ac:dyDescent="0.2">
      <c r="B180" s="38" t="str">
        <f t="shared" si="83"/>
        <v>Страховые взносы, сторно резерва годового бонуса</v>
      </c>
      <c r="C180" s="37" t="str">
        <f t="shared" si="83"/>
        <v>Social Security on Bonus discretionary Accrual</v>
      </c>
      <c r="D180" s="41">
        <f>D60-D123</f>
        <v>0</v>
      </c>
      <c r="E180" s="40">
        <f>E60-E123</f>
        <v>0</v>
      </c>
      <c r="F180" s="32">
        <v>0</v>
      </c>
      <c r="G180" s="34">
        <v>0</v>
      </c>
      <c r="H180" s="39">
        <f>H60-H123</f>
        <v>0</v>
      </c>
      <c r="I180" s="39">
        <f>I60-I123</f>
        <v>0</v>
      </c>
      <c r="J180" s="32">
        <v>0</v>
      </c>
      <c r="K180" s="34">
        <v>0</v>
      </c>
      <c r="L180" s="39">
        <f>L60-L123</f>
        <v>0</v>
      </c>
      <c r="M180" s="32">
        <v>0</v>
      </c>
      <c r="N180" s="31" t="str">
        <f t="shared" si="79"/>
        <v>-</v>
      </c>
      <c r="O180" s="41">
        <f>O60-O123</f>
        <v>0</v>
      </c>
      <c r="P180" s="40">
        <f>P60-P123</f>
        <v>0</v>
      </c>
      <c r="Q180" s="32">
        <v>0</v>
      </c>
      <c r="R180" s="34">
        <v>0</v>
      </c>
      <c r="S180" s="39">
        <f>S60-S123</f>
        <v>0</v>
      </c>
      <c r="T180" s="39">
        <f>T60-T123</f>
        <v>0</v>
      </c>
      <c r="U180" s="32">
        <v>0</v>
      </c>
      <c r="V180" s="34">
        <v>0</v>
      </c>
      <c r="W180" s="39">
        <f>W60-W123</f>
        <v>0</v>
      </c>
      <c r="X180" s="32">
        <v>0</v>
      </c>
      <c r="Y180" s="31" t="str">
        <f t="shared" si="80"/>
        <v>-</v>
      </c>
      <c r="Z180" s="41">
        <f>Z60-Z123</f>
        <v>0</v>
      </c>
      <c r="AA180" s="40">
        <f>AA60-AA123</f>
        <v>0</v>
      </c>
      <c r="AB180" s="32">
        <v>0</v>
      </c>
      <c r="AC180" s="34">
        <v>0</v>
      </c>
      <c r="AD180" s="39">
        <f>AD60-AD123</f>
        <v>0</v>
      </c>
      <c r="AE180" s="39">
        <f>AE60-AE123</f>
        <v>0</v>
      </c>
      <c r="AF180" s="32">
        <v>0</v>
      </c>
      <c r="AG180" s="34">
        <v>0</v>
      </c>
      <c r="AH180" s="39">
        <f>AH60-AH123</f>
        <v>0</v>
      </c>
      <c r="AI180" s="32">
        <v>0</v>
      </c>
      <c r="AJ180" s="31" t="str">
        <f t="shared" si="81"/>
        <v>-</v>
      </c>
    </row>
    <row r="181" spans="1:36" s="6" customFormat="1" hidden="1" outlineLevel="2" collapsed="1" x14ac:dyDescent="0.2">
      <c r="A181" s="30"/>
      <c r="B181" s="29" t="str">
        <f t="shared" si="83"/>
        <v>Итого сторно резерва годового бонуса</v>
      </c>
      <c r="C181" s="42" t="str">
        <f t="shared" si="83"/>
        <v>Total  Reverse Bonus discretionary Accrual</v>
      </c>
      <c r="D181" s="27">
        <f>SUM(D179:D180)</f>
        <v>0</v>
      </c>
      <c r="E181" s="26">
        <f>SUM(E179:E180)</f>
        <v>0</v>
      </c>
      <c r="F181" s="23">
        <v>0</v>
      </c>
      <c r="G181" s="25">
        <v>0</v>
      </c>
      <c r="H181" s="24">
        <f>SUM(H179:H180)</f>
        <v>0</v>
      </c>
      <c r="I181" s="24">
        <f>SUM(I179:I180)</f>
        <v>0</v>
      </c>
      <c r="J181" s="23">
        <v>0</v>
      </c>
      <c r="K181" s="25">
        <v>0</v>
      </c>
      <c r="L181" s="24">
        <f>SUM(L179:L180)</f>
        <v>0</v>
      </c>
      <c r="M181" s="23">
        <v>0</v>
      </c>
      <c r="N181" s="22" t="str">
        <f t="shared" si="79"/>
        <v>-</v>
      </c>
      <c r="O181" s="27">
        <f>SUM(O179:O180)</f>
        <v>0</v>
      </c>
      <c r="P181" s="26">
        <f>SUM(P179:P180)</f>
        <v>0</v>
      </c>
      <c r="Q181" s="23">
        <v>0</v>
      </c>
      <c r="R181" s="25">
        <v>0</v>
      </c>
      <c r="S181" s="24">
        <f>SUM(S179:S180)</f>
        <v>0</v>
      </c>
      <c r="T181" s="24">
        <f>SUM(T179:T180)</f>
        <v>0</v>
      </c>
      <c r="U181" s="23">
        <v>0</v>
      </c>
      <c r="V181" s="25">
        <v>0</v>
      </c>
      <c r="W181" s="24">
        <f>SUM(W179:W180)</f>
        <v>0</v>
      </c>
      <c r="X181" s="23">
        <v>0</v>
      </c>
      <c r="Y181" s="22" t="str">
        <f t="shared" si="80"/>
        <v>-</v>
      </c>
      <c r="Z181" s="27">
        <f>SUM(Z179:Z180)</f>
        <v>0</v>
      </c>
      <c r="AA181" s="26">
        <f>SUM(AA179:AA180)</f>
        <v>0</v>
      </c>
      <c r="AB181" s="23">
        <v>0</v>
      </c>
      <c r="AC181" s="25">
        <v>0</v>
      </c>
      <c r="AD181" s="24">
        <f>SUM(AD179:AD180)</f>
        <v>0</v>
      </c>
      <c r="AE181" s="24">
        <f>SUM(AE179:AE180)</f>
        <v>0</v>
      </c>
      <c r="AF181" s="23">
        <v>0</v>
      </c>
      <c r="AG181" s="25">
        <v>0</v>
      </c>
      <c r="AH181" s="24">
        <f>SUM(AH179:AH180)</f>
        <v>0</v>
      </c>
      <c r="AI181" s="23">
        <v>0</v>
      </c>
      <c r="AJ181" s="22" t="str">
        <f t="shared" si="81"/>
        <v>-</v>
      </c>
    </row>
    <row r="182" spans="1:36" ht="12.75" hidden="1" customHeight="1" outlineLevel="3" x14ac:dyDescent="0.2">
      <c r="B182" s="38" t="str">
        <f t="shared" si="83"/>
        <v>Годовой бонус</v>
      </c>
      <c r="C182" s="37" t="str">
        <f t="shared" si="83"/>
        <v>Bonus discretionary cash</v>
      </c>
      <c r="D182" s="41">
        <f>D62-D125</f>
        <v>603093921</v>
      </c>
      <c r="E182" s="40">
        <f>E62-E125</f>
        <v>0</v>
      </c>
      <c r="F182" s="32">
        <v>0</v>
      </c>
      <c r="G182" s="34">
        <v>0</v>
      </c>
      <c r="H182" s="39">
        <f>H62-H125</f>
        <v>-1866384464.9200001</v>
      </c>
      <c r="I182" s="39">
        <f>I62-I125</f>
        <v>5.0067901611328125E-6</v>
      </c>
      <c r="J182" s="32">
        <v>0</v>
      </c>
      <c r="K182" s="34">
        <v>0</v>
      </c>
      <c r="L182" s="39">
        <f>L62-L125</f>
        <v>0</v>
      </c>
      <c r="M182" s="32">
        <v>0</v>
      </c>
      <c r="N182" s="31" t="str">
        <f t="shared" si="79"/>
        <v>-</v>
      </c>
      <c r="O182" s="41">
        <f>O62-O125</f>
        <v>603093921</v>
      </c>
      <c r="P182" s="40">
        <f>P62-P125</f>
        <v>0</v>
      </c>
      <c r="Q182" s="32">
        <v>0</v>
      </c>
      <c r="R182" s="34">
        <v>0</v>
      </c>
      <c r="S182" s="39">
        <f>S62-S125</f>
        <v>-1866384464.9200001</v>
      </c>
      <c r="T182" s="39">
        <f>T62-T125</f>
        <v>5.0067901611328125E-6</v>
      </c>
      <c r="U182" s="32">
        <v>0</v>
      </c>
      <c r="V182" s="34">
        <v>0</v>
      </c>
      <c r="W182" s="39">
        <f>W62-W125</f>
        <v>0</v>
      </c>
      <c r="X182" s="32">
        <v>0</v>
      </c>
      <c r="Y182" s="31" t="str">
        <f t="shared" si="80"/>
        <v>-</v>
      </c>
      <c r="Z182" s="41">
        <f>Z62-Z125</f>
        <v>603093921</v>
      </c>
      <c r="AA182" s="40">
        <f>AA62-AA125</f>
        <v>0</v>
      </c>
      <c r="AB182" s="32">
        <v>0</v>
      </c>
      <c r="AC182" s="34">
        <v>0</v>
      </c>
      <c r="AD182" s="39">
        <f>AD62-AD125</f>
        <v>-1866384464.9200001</v>
      </c>
      <c r="AE182" s="39">
        <f>AE62-AE125</f>
        <v>5.0067901611328125E-6</v>
      </c>
      <c r="AF182" s="32">
        <v>0</v>
      </c>
      <c r="AG182" s="34">
        <v>0</v>
      </c>
      <c r="AH182" s="39">
        <f>AH62-AH125</f>
        <v>0</v>
      </c>
      <c r="AI182" s="32">
        <v>0</v>
      </c>
      <c r="AJ182" s="31" t="str">
        <f t="shared" si="81"/>
        <v>-</v>
      </c>
    </row>
    <row r="183" spans="1:36" ht="12.75" hidden="1" customHeight="1" outlineLevel="3" x14ac:dyDescent="0.2">
      <c r="B183" s="38" t="str">
        <f t="shared" si="83"/>
        <v>Страховые взносы, годовой бонус</v>
      </c>
      <c r="C183" s="37" t="str">
        <f t="shared" si="83"/>
        <v>Social Security on discretionary Bonus cash</v>
      </c>
      <c r="D183" s="36">
        <f>D63-D126</f>
        <v>39499641</v>
      </c>
      <c r="E183" s="35">
        <f>E63-E126</f>
        <v>-1.6391277313232422E-7</v>
      </c>
      <c r="F183" s="32">
        <v>0</v>
      </c>
      <c r="G183" s="34">
        <v>0</v>
      </c>
      <c r="H183" s="33">
        <f>H63-H126</f>
        <v>-352450585.80000001</v>
      </c>
      <c r="I183" s="33">
        <f>I63-I126</f>
        <v>-1.4901161193847656E-6</v>
      </c>
      <c r="J183" s="32">
        <v>0</v>
      </c>
      <c r="K183" s="34">
        <v>0</v>
      </c>
      <c r="L183" s="33">
        <f>L63-L126</f>
        <v>-1.6689300537109375E-6</v>
      </c>
      <c r="M183" s="32">
        <v>0</v>
      </c>
      <c r="N183" s="31">
        <f t="shared" si="79"/>
        <v>0</v>
      </c>
      <c r="O183" s="36">
        <f>O63-O126</f>
        <v>39499641</v>
      </c>
      <c r="P183" s="35">
        <f>P63-P126</f>
        <v>-1.6391277313232422E-7</v>
      </c>
      <c r="Q183" s="32">
        <v>0</v>
      </c>
      <c r="R183" s="34">
        <v>0</v>
      </c>
      <c r="S183" s="33">
        <f>S63-S126</f>
        <v>-352450585.80000001</v>
      </c>
      <c r="T183" s="33">
        <f>T63-T126</f>
        <v>-1.4901161193847656E-6</v>
      </c>
      <c r="U183" s="32">
        <v>0</v>
      </c>
      <c r="V183" s="34">
        <v>0</v>
      </c>
      <c r="W183" s="33">
        <f>W63-W126</f>
        <v>-1.6689300537109375E-6</v>
      </c>
      <c r="X183" s="32">
        <v>0</v>
      </c>
      <c r="Y183" s="31">
        <f t="shared" si="80"/>
        <v>0</v>
      </c>
      <c r="Z183" s="36">
        <f>Z63-Z126</f>
        <v>39499641</v>
      </c>
      <c r="AA183" s="35">
        <f>AA63-AA126</f>
        <v>-1.6391277313232422E-7</v>
      </c>
      <c r="AB183" s="32">
        <v>0</v>
      </c>
      <c r="AC183" s="34">
        <v>0</v>
      </c>
      <c r="AD183" s="33">
        <f>AD63-AD126</f>
        <v>-352450585.80000001</v>
      </c>
      <c r="AE183" s="33">
        <f>AE63-AE126</f>
        <v>-1.4901161193847656E-6</v>
      </c>
      <c r="AF183" s="32">
        <v>0</v>
      </c>
      <c r="AG183" s="34">
        <v>0</v>
      </c>
      <c r="AH183" s="33">
        <f>AH63-AH126</f>
        <v>-1.6689300537109375E-6</v>
      </c>
      <c r="AI183" s="32">
        <v>0</v>
      </c>
      <c r="AJ183" s="31">
        <f t="shared" si="81"/>
        <v>0</v>
      </c>
    </row>
    <row r="184" spans="1:36" s="6" customFormat="1" hidden="1" outlineLevel="2" collapsed="1" x14ac:dyDescent="0.2">
      <c r="A184" s="30"/>
      <c r="B184" s="29" t="str">
        <f t="shared" si="83"/>
        <v>Итого годовой бонус</v>
      </c>
      <c r="C184" s="28" t="str">
        <f t="shared" si="83"/>
        <v>Total Bonus discretionary cash</v>
      </c>
      <c r="D184" s="27">
        <f>SUM(D182:D183)</f>
        <v>642593562</v>
      </c>
      <c r="E184" s="26">
        <f>SUM(E182:E183)</f>
        <v>-1.6391277313232422E-7</v>
      </c>
      <c r="F184" s="23">
        <v>0</v>
      </c>
      <c r="G184" s="25">
        <v>0</v>
      </c>
      <c r="H184" s="24">
        <f>SUM(H182:H183)</f>
        <v>-2218835050.7200003</v>
      </c>
      <c r="I184" s="24">
        <f>SUM(I182:I183)</f>
        <v>3.5166740417480469E-6</v>
      </c>
      <c r="J184" s="23">
        <v>0</v>
      </c>
      <c r="K184" s="25">
        <v>0</v>
      </c>
      <c r="L184" s="24">
        <f>SUM(L182:L183)</f>
        <v>-1.6689300537109375E-6</v>
      </c>
      <c r="M184" s="23">
        <v>0</v>
      </c>
      <c r="N184" s="22">
        <f t="shared" si="79"/>
        <v>0</v>
      </c>
      <c r="O184" s="27">
        <f>SUM(O182:O183)</f>
        <v>642593562</v>
      </c>
      <c r="P184" s="26">
        <f>SUM(P182:P183)</f>
        <v>-1.6391277313232422E-7</v>
      </c>
      <c r="Q184" s="23">
        <v>0</v>
      </c>
      <c r="R184" s="25">
        <v>0</v>
      </c>
      <c r="S184" s="24">
        <f>SUM(S182:S183)</f>
        <v>-2218835050.7200003</v>
      </c>
      <c r="T184" s="24">
        <f>SUM(T182:T183)</f>
        <v>3.5166740417480469E-6</v>
      </c>
      <c r="U184" s="23">
        <v>0</v>
      </c>
      <c r="V184" s="25">
        <v>0</v>
      </c>
      <c r="W184" s="24">
        <f>SUM(W182:W183)</f>
        <v>-1.6689300537109375E-6</v>
      </c>
      <c r="X184" s="23">
        <v>0</v>
      </c>
      <c r="Y184" s="22">
        <f t="shared" si="80"/>
        <v>0</v>
      </c>
      <c r="Z184" s="27">
        <f>SUM(Z182:Z183)</f>
        <v>642593562</v>
      </c>
      <c r="AA184" s="26">
        <f>SUM(AA182:AA183)</f>
        <v>-1.6391277313232422E-7</v>
      </c>
      <c r="AB184" s="23">
        <v>0</v>
      </c>
      <c r="AC184" s="25">
        <v>0</v>
      </c>
      <c r="AD184" s="24">
        <f>SUM(AD182:AD183)</f>
        <v>-2218835050.7200003</v>
      </c>
      <c r="AE184" s="24">
        <f>SUM(AE182:AE183)</f>
        <v>3.5166740417480469E-6</v>
      </c>
      <c r="AF184" s="23">
        <v>0</v>
      </c>
      <c r="AG184" s="25">
        <v>0</v>
      </c>
      <c r="AH184" s="24">
        <f>SUM(AH182:AH183)</f>
        <v>-1.6689300537109375E-6</v>
      </c>
      <c r="AI184" s="23">
        <v>0</v>
      </c>
      <c r="AJ184" s="22">
        <f t="shared" si="81"/>
        <v>0</v>
      </c>
    </row>
    <row r="185" spans="1:36" ht="15.75" customHeight="1" collapsed="1" x14ac:dyDescent="0.2">
      <c r="B185" s="21" t="str">
        <f t="shared" si="83"/>
        <v>Годовой бонус</v>
      </c>
      <c r="C185" s="20" t="str">
        <f t="shared" si="83"/>
        <v>Bonus discretionary</v>
      </c>
      <c r="D185" s="19">
        <f>D184+D181+D178</f>
        <v>991000366.0371896</v>
      </c>
      <c r="E185" s="18">
        <f>E184+E181+E178</f>
        <v>-1.6391277313232422E-7</v>
      </c>
      <c r="F185" s="15">
        <v>0</v>
      </c>
      <c r="G185" s="17">
        <v>0</v>
      </c>
      <c r="H185" s="16">
        <f>H184+H181+H178</f>
        <v>-128394226.49686384</v>
      </c>
      <c r="I185" s="16">
        <f>I184+I181+I178</f>
        <v>3.5166740417480469E-6</v>
      </c>
      <c r="J185" s="15">
        <v>0</v>
      </c>
      <c r="K185" s="17">
        <v>0</v>
      </c>
      <c r="L185" s="16">
        <f>L184+L181+L178</f>
        <v>-1.6689300537109375E-6</v>
      </c>
      <c r="M185" s="15">
        <v>0</v>
      </c>
      <c r="N185" s="14">
        <f t="shared" si="79"/>
        <v>0</v>
      </c>
      <c r="O185" s="19">
        <f>O184+O181+O178</f>
        <v>991000366.0371896</v>
      </c>
      <c r="P185" s="18">
        <f>P184+P181+P178</f>
        <v>-1.6391277313232422E-7</v>
      </c>
      <c r="Q185" s="15">
        <v>0</v>
      </c>
      <c r="R185" s="17">
        <v>0</v>
      </c>
      <c r="S185" s="16">
        <f>S184+S181+S178</f>
        <v>-128394226.49686384</v>
      </c>
      <c r="T185" s="16">
        <f>T184+T181+T178</f>
        <v>3.5166740417480469E-6</v>
      </c>
      <c r="U185" s="15">
        <v>0</v>
      </c>
      <c r="V185" s="17">
        <v>0</v>
      </c>
      <c r="W185" s="16">
        <f>W184+W181+W178</f>
        <v>-1.6689300537109375E-6</v>
      </c>
      <c r="X185" s="15">
        <v>0</v>
      </c>
      <c r="Y185" s="14">
        <f t="shared" si="80"/>
        <v>0</v>
      </c>
      <c r="Z185" s="19">
        <f>Z184+Z181+Z178</f>
        <v>991000366.0371896</v>
      </c>
      <c r="AA185" s="18">
        <f>AA184+AA181+AA178</f>
        <v>-1.6391277313232422E-7</v>
      </c>
      <c r="AB185" s="15">
        <v>0</v>
      </c>
      <c r="AC185" s="17">
        <v>0</v>
      </c>
      <c r="AD185" s="16">
        <f>AD184+AD181+AD178</f>
        <v>-128394226.49686384</v>
      </c>
      <c r="AE185" s="16">
        <f>AE184+AE181+AE178</f>
        <v>3.5166740417480469E-6</v>
      </c>
      <c r="AF185" s="15">
        <v>0</v>
      </c>
      <c r="AG185" s="17">
        <v>0</v>
      </c>
      <c r="AH185" s="16">
        <f>AH184+AH181+AH178</f>
        <v>-1.6689300537109375E-6</v>
      </c>
      <c r="AI185" s="15">
        <v>0</v>
      </c>
      <c r="AJ185" s="14">
        <f t="shared" si="81"/>
        <v>0</v>
      </c>
    </row>
    <row r="186" spans="1:36" s="6" customFormat="1" ht="18.75" customHeight="1" x14ac:dyDescent="0.2">
      <c r="B186" s="13" t="str">
        <f t="shared" si="83"/>
        <v>Итого компенсации и льготы</v>
      </c>
      <c r="C186" s="12" t="str">
        <f t="shared" si="83"/>
        <v>Total Compencation &amp; Benefits</v>
      </c>
      <c r="D186" s="9">
        <f>D171+D185+D175</f>
        <v>993087459.72718966</v>
      </c>
      <c r="E186" s="11">
        <f>E171+E185+E175</f>
        <v>1531305.3704397189</v>
      </c>
      <c r="F186" s="8">
        <v>0</v>
      </c>
      <c r="G186" s="10">
        <v>0</v>
      </c>
      <c r="H186" s="9">
        <f>H171+H185+H175</f>
        <v>1208014869.0331366</v>
      </c>
      <c r="I186" s="9">
        <f>I171+I185+I175</f>
        <v>1306668176.5133369</v>
      </c>
      <c r="J186" s="8">
        <v>0</v>
      </c>
      <c r="K186" s="10">
        <v>0</v>
      </c>
      <c r="L186" s="9">
        <f>L171+L185+L175</f>
        <v>1307974622.6399984</v>
      </c>
      <c r="M186" s="8">
        <v>0</v>
      </c>
      <c r="N186" s="7">
        <f t="shared" si="79"/>
        <v>0</v>
      </c>
      <c r="O186" s="9">
        <f>O171+O185+O175</f>
        <v>993087459.72718966</v>
      </c>
      <c r="P186" s="11">
        <f>P171+P185+P175</f>
        <v>1531305.3704397189</v>
      </c>
      <c r="Q186" s="8">
        <v>0</v>
      </c>
      <c r="R186" s="10">
        <v>0</v>
      </c>
      <c r="S186" s="9">
        <f>S171+S185+S175</f>
        <v>1208014869.0331366</v>
      </c>
      <c r="T186" s="9">
        <f>T171+T185+T175</f>
        <v>1306668176.5133369</v>
      </c>
      <c r="U186" s="8">
        <v>0</v>
      </c>
      <c r="V186" s="10">
        <v>0</v>
      </c>
      <c r="W186" s="9">
        <f>W171+W185+W175</f>
        <v>1307974622.6399984</v>
      </c>
      <c r="X186" s="8">
        <v>0</v>
      </c>
      <c r="Y186" s="7">
        <f t="shared" si="80"/>
        <v>0</v>
      </c>
      <c r="Z186" s="9">
        <f>Z171+Z185+Z175</f>
        <v>993087459.72718966</v>
      </c>
      <c r="AA186" s="11">
        <f>AA171+AA185+AA175</f>
        <v>1531305.3704397189</v>
      </c>
      <c r="AB186" s="8">
        <v>0</v>
      </c>
      <c r="AC186" s="10">
        <v>0</v>
      </c>
      <c r="AD186" s="9">
        <f>AD171+AD185+AD175</f>
        <v>1208014869.0331366</v>
      </c>
      <c r="AE186" s="9">
        <f>AE171+AE185+AE175</f>
        <v>1306668176.5133369</v>
      </c>
      <c r="AF186" s="8">
        <v>0</v>
      </c>
      <c r="AG186" s="10">
        <v>0</v>
      </c>
      <c r="AH186" s="9">
        <f>AH171+AH185+AH175</f>
        <v>1307974622.6399984</v>
      </c>
      <c r="AI186" s="8">
        <v>0</v>
      </c>
      <c r="AJ186" s="7">
        <f t="shared" si="81"/>
        <v>0</v>
      </c>
    </row>
    <row r="187" spans="1:36" x14ac:dyDescent="0.2">
      <c r="N187" s="3"/>
      <c r="Y187" s="3"/>
      <c r="AJ187" s="3"/>
    </row>
    <row r="188" spans="1:36" x14ac:dyDescent="0.2">
      <c r="N188" s="3"/>
      <c r="Y188" s="3"/>
      <c r="AJ188" s="3"/>
    </row>
    <row r="189" spans="1:36" x14ac:dyDescent="0.2">
      <c r="A189" s="5">
        <v>1</v>
      </c>
      <c r="B189" s="5" t="s">
        <v>6</v>
      </c>
      <c r="N189" s="3"/>
      <c r="Y189" s="3"/>
      <c r="AJ189" s="3"/>
    </row>
    <row r="190" spans="1:36" x14ac:dyDescent="0.2">
      <c r="A190" s="5">
        <v>2</v>
      </c>
      <c r="B190" s="5" t="s">
        <v>5</v>
      </c>
      <c r="N190" s="3"/>
      <c r="Y190" s="3"/>
      <c r="AJ190" s="3"/>
    </row>
    <row r="191" spans="1:36" x14ac:dyDescent="0.2">
      <c r="A191" s="5">
        <v>3</v>
      </c>
      <c r="B191" s="5" t="s">
        <v>4</v>
      </c>
      <c r="N191" s="3"/>
      <c r="Y191" s="3"/>
      <c r="AJ191" s="3"/>
    </row>
    <row r="192" spans="1:36" x14ac:dyDescent="0.2">
      <c r="A192" s="5">
        <v>4</v>
      </c>
      <c r="B192" s="5" t="s">
        <v>3</v>
      </c>
      <c r="N192" s="3"/>
      <c r="Y192" s="3"/>
      <c r="AJ192" s="3"/>
    </row>
    <row r="193" spans="1:36" x14ac:dyDescent="0.2">
      <c r="A193" s="5">
        <v>5</v>
      </c>
      <c r="B193" s="5" t="s">
        <v>2</v>
      </c>
      <c r="N193" s="3"/>
      <c r="Y193" s="3"/>
      <c r="AJ193" s="3"/>
    </row>
    <row r="194" spans="1:36" x14ac:dyDescent="0.2">
      <c r="A194" s="5">
        <v>6</v>
      </c>
      <c r="B194" s="5" t="s">
        <v>1</v>
      </c>
      <c r="N194" s="3"/>
      <c r="Y194" s="3"/>
      <c r="AJ194" s="3"/>
    </row>
    <row r="195" spans="1:36" x14ac:dyDescent="0.2">
      <c r="A195" s="5">
        <v>7</v>
      </c>
      <c r="B195" s="5" t="s">
        <v>0</v>
      </c>
      <c r="N195" s="3"/>
      <c r="Y195" s="3"/>
      <c r="AJ195" s="3"/>
    </row>
    <row r="196" spans="1:36" x14ac:dyDescent="0.2">
      <c r="A196" s="4"/>
      <c r="B196" s="4"/>
      <c r="N196" s="3"/>
      <c r="Y196" s="3"/>
      <c r="AJ196" s="3"/>
    </row>
    <row r="197" spans="1:36" x14ac:dyDescent="0.2">
      <c r="N197" s="3"/>
      <c r="Y197" s="3"/>
      <c r="AJ197" s="3"/>
    </row>
    <row r="198" spans="1:36" x14ac:dyDescent="0.2">
      <c r="N198" s="3"/>
      <c r="Y198" s="3"/>
      <c r="AJ198" s="3"/>
    </row>
    <row r="199" spans="1:36" x14ac:dyDescent="0.2">
      <c r="N199" s="3"/>
      <c r="Y199" s="3"/>
      <c r="AJ199" s="3"/>
    </row>
    <row r="200" spans="1:36" x14ac:dyDescent="0.2">
      <c r="N200" s="3"/>
      <c r="Y200" s="3"/>
      <c r="AJ200" s="3"/>
    </row>
    <row r="201" spans="1:36" x14ac:dyDescent="0.2">
      <c r="N201" s="3"/>
      <c r="Y201" s="3"/>
      <c r="AJ201" s="3"/>
    </row>
    <row r="202" spans="1:36" x14ac:dyDescent="0.2">
      <c r="N202" s="3"/>
      <c r="Y202" s="3"/>
      <c r="AJ202" s="3"/>
    </row>
    <row r="203" spans="1:36" x14ac:dyDescent="0.2">
      <c r="N203" s="3"/>
      <c r="Y203" s="3"/>
      <c r="AJ203" s="3"/>
    </row>
    <row r="204" spans="1:36" x14ac:dyDescent="0.2">
      <c r="N204" s="3"/>
      <c r="Y204" s="3"/>
      <c r="AJ204" s="3"/>
    </row>
    <row r="205" spans="1:36" x14ac:dyDescent="0.2">
      <c r="N205" s="3"/>
      <c r="Y205" s="3"/>
      <c r="AJ205" s="3"/>
    </row>
    <row r="206" spans="1:36" x14ac:dyDescent="0.2">
      <c r="N206" s="3"/>
      <c r="Y206" s="3"/>
      <c r="AJ206" s="3"/>
    </row>
    <row r="207" spans="1:36" x14ac:dyDescent="0.2">
      <c r="N207" s="3"/>
      <c r="Y207" s="3"/>
      <c r="AJ207" s="3"/>
    </row>
    <row r="208" spans="1:36" x14ac:dyDescent="0.2">
      <c r="N208" s="3"/>
      <c r="Y208" s="3"/>
      <c r="AJ208" s="3"/>
    </row>
    <row r="209" spans="14:36" x14ac:dyDescent="0.2">
      <c r="N209" s="3"/>
      <c r="Y209" s="3"/>
      <c r="AJ209" s="3"/>
    </row>
    <row r="210" spans="14:36" x14ac:dyDescent="0.2">
      <c r="N210" s="3"/>
      <c r="Y210" s="3"/>
      <c r="AJ210" s="3"/>
    </row>
    <row r="211" spans="14:36" x14ac:dyDescent="0.2">
      <c r="N211" s="3"/>
      <c r="Y211" s="3"/>
      <c r="AJ211" s="3"/>
    </row>
    <row r="212" spans="14:36" x14ac:dyDescent="0.2">
      <c r="N212" s="3"/>
      <c r="Y212" s="3"/>
      <c r="AJ212" s="3"/>
    </row>
    <row r="213" spans="14:36" x14ac:dyDescent="0.2">
      <c r="N213" s="3"/>
      <c r="Y213" s="3"/>
      <c r="AJ213" s="3"/>
    </row>
    <row r="214" spans="14:36" x14ac:dyDescent="0.2">
      <c r="N214" s="3"/>
      <c r="Y214" s="3"/>
      <c r="AJ214" s="3"/>
    </row>
    <row r="215" spans="14:36" x14ac:dyDescent="0.2">
      <c r="N215" s="3"/>
      <c r="Y215" s="3"/>
      <c r="AJ215" s="3"/>
    </row>
    <row r="216" spans="14:36" x14ac:dyDescent="0.2">
      <c r="N216" s="3"/>
      <c r="Y216" s="3"/>
      <c r="AJ216" s="3"/>
    </row>
    <row r="217" spans="14:36" x14ac:dyDescent="0.2">
      <c r="N217" s="3"/>
      <c r="Y217" s="3"/>
      <c r="AJ217" s="3"/>
    </row>
    <row r="218" spans="14:36" x14ac:dyDescent="0.2">
      <c r="N218" s="3"/>
      <c r="Y218" s="3"/>
      <c r="AJ218" s="3"/>
    </row>
    <row r="219" spans="14:36" x14ac:dyDescent="0.2">
      <c r="N219" s="3"/>
      <c r="Y219" s="3"/>
      <c r="AJ219" s="3"/>
    </row>
    <row r="220" spans="14:36" x14ac:dyDescent="0.2">
      <c r="N220" s="3"/>
      <c r="Y220" s="3"/>
      <c r="AJ220" s="3"/>
    </row>
    <row r="221" spans="14:36" x14ac:dyDescent="0.2">
      <c r="N221" s="3"/>
      <c r="Y221" s="3"/>
      <c r="AJ221" s="3"/>
    </row>
    <row r="222" spans="14:36" x14ac:dyDescent="0.2">
      <c r="N222" s="3"/>
      <c r="Y222" s="3"/>
      <c r="AJ222" s="3"/>
    </row>
    <row r="223" spans="14:36" x14ac:dyDescent="0.2">
      <c r="N223" s="3"/>
      <c r="Y223" s="3"/>
      <c r="AJ223" s="3"/>
    </row>
    <row r="224" spans="14:36" x14ac:dyDescent="0.2">
      <c r="N224" s="3"/>
      <c r="Y224" s="3"/>
      <c r="AJ224" s="3"/>
    </row>
    <row r="225" spans="14:36" x14ac:dyDescent="0.2">
      <c r="N225" s="3"/>
      <c r="Y225" s="3"/>
      <c r="AJ225" s="3"/>
    </row>
    <row r="226" spans="14:36" x14ac:dyDescent="0.2">
      <c r="N226" s="3"/>
      <c r="Y226" s="3"/>
      <c r="AJ226" s="3"/>
    </row>
    <row r="227" spans="14:36" x14ac:dyDescent="0.2">
      <c r="N227" s="3"/>
      <c r="Y227" s="3"/>
      <c r="AJ227" s="3"/>
    </row>
    <row r="228" spans="14:36" x14ac:dyDescent="0.2">
      <c r="N228" s="3"/>
      <c r="Y228" s="3"/>
      <c r="AJ228" s="3"/>
    </row>
    <row r="229" spans="14:36" x14ac:dyDescent="0.2">
      <c r="N229" s="3"/>
      <c r="Y229" s="3"/>
      <c r="AJ229" s="3"/>
    </row>
    <row r="230" spans="14:36" x14ac:dyDescent="0.2">
      <c r="N230" s="3"/>
      <c r="Y230" s="3"/>
      <c r="AJ230" s="3"/>
    </row>
    <row r="231" spans="14:36" x14ac:dyDescent="0.2">
      <c r="N231" s="3"/>
      <c r="Y231" s="3"/>
      <c r="AJ231" s="3"/>
    </row>
    <row r="232" spans="14:36" x14ac:dyDescent="0.2">
      <c r="N232" s="3"/>
      <c r="Y232" s="3"/>
      <c r="AJ232" s="3"/>
    </row>
    <row r="233" spans="14:36" x14ac:dyDescent="0.2">
      <c r="N233" s="3"/>
      <c r="Y233" s="3"/>
      <c r="AJ233" s="3"/>
    </row>
    <row r="234" spans="14:36" x14ac:dyDescent="0.2">
      <c r="N234" s="3"/>
      <c r="Y234" s="3"/>
      <c r="AJ234" s="3"/>
    </row>
    <row r="235" spans="14:36" x14ac:dyDescent="0.2">
      <c r="N235" s="3"/>
      <c r="Y235" s="3"/>
      <c r="AJ235" s="3"/>
    </row>
    <row r="236" spans="14:36" x14ac:dyDescent="0.2">
      <c r="N236" s="3"/>
      <c r="Y236" s="3"/>
      <c r="AJ236" s="3"/>
    </row>
    <row r="237" spans="14:36" x14ac:dyDescent="0.2">
      <c r="N237" s="3"/>
      <c r="Y237" s="3"/>
      <c r="AJ237" s="3"/>
    </row>
    <row r="238" spans="14:36" x14ac:dyDescent="0.2">
      <c r="N238" s="3"/>
      <c r="Y238" s="3"/>
      <c r="AJ238" s="3"/>
    </row>
    <row r="239" spans="14:36" x14ac:dyDescent="0.2">
      <c r="N239" s="3"/>
      <c r="Y239" s="3"/>
      <c r="AJ239" s="3"/>
    </row>
    <row r="240" spans="14:36" x14ac:dyDescent="0.2">
      <c r="N240" s="3"/>
      <c r="Y240" s="3"/>
      <c r="AJ240" s="3"/>
    </row>
    <row r="241" spans="14:36" x14ac:dyDescent="0.2">
      <c r="N241" s="3"/>
      <c r="Y241" s="3"/>
      <c r="AJ241" s="3"/>
    </row>
    <row r="242" spans="14:36" x14ac:dyDescent="0.2">
      <c r="N242" s="3"/>
      <c r="Y242" s="3"/>
      <c r="AJ242" s="3"/>
    </row>
    <row r="243" spans="14:36" x14ac:dyDescent="0.2">
      <c r="N243" s="3"/>
      <c r="Y243" s="3"/>
      <c r="AJ243" s="3"/>
    </row>
    <row r="244" spans="14:36" x14ac:dyDescent="0.2">
      <c r="N244" s="3"/>
      <c r="Y244" s="3"/>
      <c r="AJ244" s="3"/>
    </row>
    <row r="245" spans="14:36" x14ac:dyDescent="0.2">
      <c r="N245" s="3"/>
      <c r="Y245" s="3"/>
      <c r="AJ245" s="3"/>
    </row>
    <row r="246" spans="14:36" x14ac:dyDescent="0.2">
      <c r="N246" s="3"/>
      <c r="Y246" s="3"/>
      <c r="AJ246" s="3"/>
    </row>
    <row r="247" spans="14:36" x14ac:dyDescent="0.2">
      <c r="N247" s="3"/>
      <c r="Y247" s="3"/>
      <c r="AJ247" s="3"/>
    </row>
    <row r="248" spans="14:36" x14ac:dyDescent="0.2">
      <c r="N248" s="3"/>
      <c r="Y248" s="3"/>
      <c r="AJ248" s="3"/>
    </row>
    <row r="249" spans="14:36" x14ac:dyDescent="0.2">
      <c r="N249" s="3"/>
      <c r="Y249" s="3"/>
      <c r="AJ249" s="3"/>
    </row>
    <row r="250" spans="14:36" x14ac:dyDescent="0.2">
      <c r="N250" s="3"/>
      <c r="Y250" s="3"/>
      <c r="AJ250" s="3"/>
    </row>
    <row r="251" spans="14:36" x14ac:dyDescent="0.2">
      <c r="N251" s="3"/>
      <c r="Y251" s="3"/>
      <c r="AJ251" s="3"/>
    </row>
    <row r="252" spans="14:36" x14ac:dyDescent="0.2">
      <c r="N252" s="3"/>
      <c r="Y252" s="3"/>
      <c r="AJ252" s="3"/>
    </row>
    <row r="253" spans="14:36" x14ac:dyDescent="0.2">
      <c r="N253" s="3"/>
      <c r="Y253" s="3"/>
      <c r="AJ253" s="3"/>
    </row>
    <row r="254" spans="14:36" x14ac:dyDescent="0.2">
      <c r="N254" s="3"/>
      <c r="Y254" s="3"/>
      <c r="AJ254" s="3"/>
    </row>
    <row r="255" spans="14:36" x14ac:dyDescent="0.2">
      <c r="N255" s="3"/>
      <c r="Y255" s="3"/>
      <c r="AJ255" s="3"/>
    </row>
    <row r="256" spans="14:36" x14ac:dyDescent="0.2">
      <c r="N256" s="3"/>
      <c r="Y256" s="3"/>
      <c r="AJ256" s="3"/>
    </row>
    <row r="257" spans="14:36" x14ac:dyDescent="0.2">
      <c r="N257" s="3"/>
      <c r="Y257" s="3"/>
      <c r="AJ257" s="3"/>
    </row>
    <row r="258" spans="14:36" x14ac:dyDescent="0.2">
      <c r="N258" s="3"/>
      <c r="Y258" s="3"/>
      <c r="AJ258" s="3"/>
    </row>
    <row r="259" spans="14:36" x14ac:dyDescent="0.2">
      <c r="N259" s="3"/>
      <c r="Y259" s="3"/>
      <c r="AJ259" s="3"/>
    </row>
    <row r="260" spans="14:36" x14ac:dyDescent="0.2">
      <c r="N260" s="3"/>
      <c r="Y260" s="3"/>
      <c r="AJ260" s="3"/>
    </row>
    <row r="261" spans="14:36" x14ac:dyDescent="0.2">
      <c r="N261" s="3"/>
      <c r="Y261" s="3"/>
      <c r="AJ261" s="3"/>
    </row>
    <row r="262" spans="14:36" x14ac:dyDescent="0.2">
      <c r="N262" s="3"/>
      <c r="Y262" s="3"/>
      <c r="AJ262" s="3"/>
    </row>
    <row r="263" spans="14:36" x14ac:dyDescent="0.2">
      <c r="N263" s="3"/>
      <c r="Y263" s="3"/>
      <c r="AJ263" s="3"/>
    </row>
    <row r="264" spans="14:36" x14ac:dyDescent="0.2">
      <c r="N264" s="3"/>
      <c r="Y264" s="3"/>
      <c r="AJ264" s="3"/>
    </row>
    <row r="265" spans="14:36" x14ac:dyDescent="0.2">
      <c r="N265" s="3"/>
      <c r="Y265" s="3"/>
      <c r="AJ265" s="3"/>
    </row>
    <row r="266" spans="14:36" x14ac:dyDescent="0.2">
      <c r="N266" s="3"/>
      <c r="Y266" s="3"/>
      <c r="AJ266" s="3"/>
    </row>
    <row r="267" spans="14:36" x14ac:dyDescent="0.2">
      <c r="N267" s="3"/>
      <c r="Y267" s="3"/>
      <c r="AJ267" s="3"/>
    </row>
    <row r="268" spans="14:36" x14ac:dyDescent="0.2">
      <c r="N268" s="3"/>
      <c r="Y268" s="3"/>
      <c r="AJ268" s="3"/>
    </row>
    <row r="269" spans="14:36" x14ac:dyDescent="0.2">
      <c r="N269" s="3"/>
      <c r="Y269" s="3"/>
      <c r="AJ269" s="3"/>
    </row>
    <row r="270" spans="14:36" x14ac:dyDescent="0.2">
      <c r="N270" s="3"/>
      <c r="Y270" s="3"/>
      <c r="AJ270" s="3"/>
    </row>
    <row r="271" spans="14:36" x14ac:dyDescent="0.2">
      <c r="N271" s="3"/>
      <c r="Y271" s="3"/>
      <c r="AJ271" s="3"/>
    </row>
    <row r="272" spans="14:36" x14ac:dyDescent="0.2">
      <c r="N272" s="3"/>
      <c r="Y272" s="3"/>
      <c r="AJ272" s="3"/>
    </row>
    <row r="273" spans="14:36" x14ac:dyDescent="0.2">
      <c r="N273" s="3"/>
      <c r="Y273" s="3"/>
      <c r="AJ273" s="3"/>
    </row>
    <row r="274" spans="14:36" x14ac:dyDescent="0.2">
      <c r="N274" s="3"/>
      <c r="Y274" s="3"/>
      <c r="AJ274" s="3"/>
    </row>
    <row r="275" spans="14:36" x14ac:dyDescent="0.2">
      <c r="N275" s="3"/>
      <c r="Y275" s="3"/>
      <c r="AJ275" s="3"/>
    </row>
    <row r="276" spans="14:36" x14ac:dyDescent="0.2">
      <c r="N276" s="3"/>
      <c r="Y276" s="3"/>
      <c r="AJ276" s="3"/>
    </row>
    <row r="277" spans="14:36" x14ac:dyDescent="0.2">
      <c r="N277" s="3"/>
      <c r="Y277" s="3"/>
      <c r="AJ277" s="3"/>
    </row>
    <row r="278" spans="14:36" x14ac:dyDescent="0.2">
      <c r="N278" s="3"/>
      <c r="Y278" s="3"/>
      <c r="AJ278" s="3"/>
    </row>
    <row r="279" spans="14:36" x14ac:dyDescent="0.2">
      <c r="N279" s="3"/>
      <c r="Y279" s="3"/>
      <c r="AJ279" s="3"/>
    </row>
    <row r="280" spans="14:36" x14ac:dyDescent="0.2">
      <c r="N280" s="3"/>
      <c r="Y280" s="3"/>
      <c r="AJ280" s="3"/>
    </row>
    <row r="281" spans="14:36" x14ac:dyDescent="0.2">
      <c r="N281" s="3"/>
      <c r="Y281" s="3"/>
      <c r="AJ281" s="3"/>
    </row>
    <row r="282" spans="14:36" x14ac:dyDescent="0.2">
      <c r="N282" s="3"/>
      <c r="Y282" s="3"/>
      <c r="AJ282" s="3"/>
    </row>
    <row r="283" spans="14:36" x14ac:dyDescent="0.2">
      <c r="N283" s="3"/>
      <c r="Y283" s="3"/>
      <c r="AJ283" s="3"/>
    </row>
    <row r="284" spans="14:36" x14ac:dyDescent="0.2">
      <c r="N284" s="3"/>
      <c r="Y284" s="3"/>
      <c r="AJ284" s="3"/>
    </row>
    <row r="285" spans="14:36" x14ac:dyDescent="0.2">
      <c r="N285" s="3"/>
      <c r="Y285" s="3"/>
      <c r="AJ285" s="3"/>
    </row>
    <row r="286" spans="14:36" x14ac:dyDescent="0.2">
      <c r="N286" s="3"/>
      <c r="Y286" s="3"/>
      <c r="AJ286" s="3"/>
    </row>
    <row r="287" spans="14:36" x14ac:dyDescent="0.2">
      <c r="N287" s="3"/>
      <c r="Y287" s="3"/>
      <c r="AJ287" s="3"/>
    </row>
    <row r="288" spans="14:36" x14ac:dyDescent="0.2">
      <c r="N288" s="3"/>
      <c r="Y288" s="3"/>
      <c r="AJ288" s="3"/>
    </row>
    <row r="289" spans="14:36" x14ac:dyDescent="0.2">
      <c r="N289" s="3"/>
      <c r="Y289" s="3"/>
      <c r="AJ289" s="3"/>
    </row>
    <row r="290" spans="14:36" x14ac:dyDescent="0.2">
      <c r="N290" s="3"/>
      <c r="Y290" s="3"/>
      <c r="AJ290" s="3"/>
    </row>
    <row r="291" spans="14:36" x14ac:dyDescent="0.2">
      <c r="N291" s="3"/>
      <c r="Y291" s="3"/>
      <c r="AJ291" s="3"/>
    </row>
    <row r="292" spans="14:36" x14ac:dyDescent="0.2">
      <c r="N292" s="3"/>
      <c r="Y292" s="3"/>
      <c r="AJ292" s="3"/>
    </row>
    <row r="293" spans="14:36" x14ac:dyDescent="0.2">
      <c r="N293" s="3"/>
      <c r="Y293" s="3"/>
      <c r="AJ293" s="3"/>
    </row>
    <row r="294" spans="14:36" x14ac:dyDescent="0.2">
      <c r="N294" s="3"/>
      <c r="Y294" s="3"/>
      <c r="AJ294" s="3"/>
    </row>
    <row r="295" spans="14:36" x14ac:dyDescent="0.2">
      <c r="N295" s="3"/>
      <c r="Y295" s="3"/>
      <c r="AJ295" s="3"/>
    </row>
    <row r="296" spans="14:36" x14ac:dyDescent="0.2">
      <c r="N296" s="3"/>
      <c r="Y296" s="3"/>
      <c r="AJ296" s="3"/>
    </row>
    <row r="297" spans="14:36" x14ac:dyDescent="0.2">
      <c r="N297" s="3"/>
      <c r="Y297" s="3"/>
      <c r="AJ297" s="3"/>
    </row>
    <row r="298" spans="14:36" x14ac:dyDescent="0.2">
      <c r="N298" s="3"/>
      <c r="Y298" s="3"/>
      <c r="AJ298" s="3"/>
    </row>
    <row r="299" spans="14:36" x14ac:dyDescent="0.2">
      <c r="N299" s="3"/>
      <c r="Y299" s="3"/>
      <c r="AJ299" s="3"/>
    </row>
    <row r="300" spans="14:36" x14ac:dyDescent="0.2">
      <c r="N300" s="3"/>
      <c r="Y300" s="3"/>
      <c r="AJ300" s="3"/>
    </row>
    <row r="301" spans="14:36" x14ac:dyDescent="0.2">
      <c r="N301" s="3"/>
      <c r="Y301" s="3"/>
      <c r="AJ301" s="3"/>
    </row>
    <row r="302" spans="14:36" x14ac:dyDescent="0.2">
      <c r="N302" s="3"/>
      <c r="Y302" s="3"/>
      <c r="AJ302" s="3"/>
    </row>
    <row r="303" spans="14:36" x14ac:dyDescent="0.2">
      <c r="N303" s="3"/>
      <c r="Y303" s="3"/>
      <c r="AJ303" s="3"/>
    </row>
    <row r="304" spans="14:36" x14ac:dyDescent="0.2">
      <c r="N304" s="3"/>
      <c r="Y304" s="3"/>
      <c r="AJ304" s="3"/>
    </row>
    <row r="305" spans="14:36" x14ac:dyDescent="0.2">
      <c r="N305" s="3"/>
      <c r="Y305" s="3"/>
      <c r="AJ305" s="3"/>
    </row>
    <row r="306" spans="14:36" x14ac:dyDescent="0.2">
      <c r="N306" s="3"/>
      <c r="Y306" s="3"/>
      <c r="AJ306" s="3"/>
    </row>
    <row r="307" spans="14:36" x14ac:dyDescent="0.2">
      <c r="N307" s="3"/>
      <c r="Y307" s="3"/>
      <c r="AJ307" s="3"/>
    </row>
    <row r="308" spans="14:36" x14ac:dyDescent="0.2">
      <c r="N308" s="3"/>
      <c r="Y308" s="3"/>
      <c r="AJ308" s="3"/>
    </row>
    <row r="309" spans="14:36" x14ac:dyDescent="0.2">
      <c r="N309" s="3"/>
      <c r="Y309" s="3"/>
      <c r="AJ309" s="3"/>
    </row>
    <row r="310" spans="14:36" x14ac:dyDescent="0.2">
      <c r="N310" s="3"/>
      <c r="Y310" s="3"/>
      <c r="AJ310" s="3"/>
    </row>
    <row r="311" spans="14:36" x14ac:dyDescent="0.2">
      <c r="N311" s="3"/>
      <c r="Y311" s="3"/>
      <c r="AJ311" s="3"/>
    </row>
    <row r="312" spans="14:36" x14ac:dyDescent="0.2">
      <c r="N312" s="3"/>
      <c r="Y312" s="3"/>
      <c r="AJ312" s="3"/>
    </row>
    <row r="313" spans="14:36" x14ac:dyDescent="0.2">
      <c r="N313" s="3"/>
      <c r="Y313" s="3"/>
      <c r="AJ313" s="3"/>
    </row>
    <row r="314" spans="14:36" x14ac:dyDescent="0.2">
      <c r="N314" s="3"/>
      <c r="Y314" s="3"/>
      <c r="AJ314" s="3"/>
    </row>
    <row r="315" spans="14:36" x14ac:dyDescent="0.2">
      <c r="N315" s="3"/>
      <c r="Y315" s="3"/>
      <c r="AJ315" s="3"/>
    </row>
    <row r="316" spans="14:36" x14ac:dyDescent="0.2">
      <c r="N316" s="3"/>
      <c r="Y316" s="3"/>
      <c r="AJ316" s="3"/>
    </row>
    <row r="317" spans="14:36" x14ac:dyDescent="0.2">
      <c r="N317" s="3"/>
      <c r="Y317" s="3"/>
      <c r="AJ317" s="3"/>
    </row>
    <row r="318" spans="14:36" x14ac:dyDescent="0.2">
      <c r="N318" s="3"/>
      <c r="Y318" s="3"/>
      <c r="AJ318" s="3"/>
    </row>
    <row r="319" spans="14:36" x14ac:dyDescent="0.2">
      <c r="N319" s="3"/>
      <c r="Y319" s="3"/>
      <c r="AJ319" s="3"/>
    </row>
    <row r="320" spans="14:36" x14ac:dyDescent="0.2">
      <c r="N320" s="3"/>
      <c r="Y320" s="3"/>
      <c r="AJ320" s="3"/>
    </row>
    <row r="321" spans="14:36" x14ac:dyDescent="0.2">
      <c r="N321" s="3"/>
      <c r="Y321" s="3"/>
      <c r="AJ321" s="3"/>
    </row>
    <row r="322" spans="14:36" x14ac:dyDescent="0.2">
      <c r="N322" s="3"/>
      <c r="Y322" s="3"/>
      <c r="AJ322" s="3"/>
    </row>
    <row r="323" spans="14:36" x14ac:dyDescent="0.2">
      <c r="N323" s="3"/>
      <c r="Y323" s="3"/>
      <c r="AJ323" s="3"/>
    </row>
    <row r="324" spans="14:36" x14ac:dyDescent="0.2">
      <c r="N324" s="3"/>
      <c r="Y324" s="3"/>
      <c r="AJ324" s="3"/>
    </row>
    <row r="325" spans="14:36" x14ac:dyDescent="0.2">
      <c r="N325" s="3"/>
      <c r="Y325" s="3"/>
      <c r="AJ325" s="3"/>
    </row>
    <row r="326" spans="14:36" x14ac:dyDescent="0.2">
      <c r="N326" s="3"/>
      <c r="Y326" s="3"/>
      <c r="AJ326" s="3"/>
    </row>
    <row r="327" spans="14:36" x14ac:dyDescent="0.2">
      <c r="N327" s="3"/>
      <c r="Y327" s="3"/>
      <c r="AJ327" s="3"/>
    </row>
    <row r="328" spans="14:36" x14ac:dyDescent="0.2">
      <c r="N328" s="3"/>
      <c r="Y328" s="3"/>
      <c r="AJ328" s="3"/>
    </row>
    <row r="329" spans="14:36" x14ac:dyDescent="0.2">
      <c r="N329" s="3"/>
      <c r="Y329" s="3"/>
      <c r="AJ329" s="3"/>
    </row>
    <row r="330" spans="14:36" x14ac:dyDescent="0.2">
      <c r="N330" s="3"/>
      <c r="Y330" s="3"/>
      <c r="AJ330" s="3"/>
    </row>
    <row r="331" spans="14:36" x14ac:dyDescent="0.2">
      <c r="N331" s="3"/>
      <c r="Y331" s="3"/>
      <c r="AJ331" s="3"/>
    </row>
    <row r="332" spans="14:36" x14ac:dyDescent="0.2">
      <c r="N332" s="3"/>
      <c r="Y332" s="3"/>
      <c r="AJ332" s="3"/>
    </row>
    <row r="333" spans="14:36" x14ac:dyDescent="0.2">
      <c r="N333" s="3"/>
      <c r="Y333" s="3"/>
      <c r="AJ333" s="3"/>
    </row>
    <row r="334" spans="14:36" x14ac:dyDescent="0.2">
      <c r="N334" s="3"/>
      <c r="Y334" s="3"/>
      <c r="AJ334" s="3"/>
    </row>
    <row r="335" spans="14:36" x14ac:dyDescent="0.2">
      <c r="N335" s="3"/>
      <c r="Y335" s="3"/>
      <c r="AJ335" s="3"/>
    </row>
    <row r="336" spans="14:36" x14ac:dyDescent="0.2">
      <c r="N336" s="3"/>
      <c r="Y336" s="3"/>
      <c r="AJ336" s="3"/>
    </row>
    <row r="337" spans="14:36" x14ac:dyDescent="0.2">
      <c r="N337" s="3"/>
      <c r="Y337" s="3"/>
      <c r="AJ337" s="3"/>
    </row>
    <row r="338" spans="14:36" x14ac:dyDescent="0.2">
      <c r="N338" s="3"/>
      <c r="Y338" s="3"/>
      <c r="AJ338" s="3"/>
    </row>
    <row r="339" spans="14:36" x14ac:dyDescent="0.2">
      <c r="N339" s="3"/>
      <c r="Y339" s="3"/>
      <c r="AJ339" s="3"/>
    </row>
    <row r="340" spans="14:36" x14ac:dyDescent="0.2">
      <c r="N340" s="3"/>
      <c r="Y340" s="3"/>
      <c r="AJ340" s="3"/>
    </row>
    <row r="341" spans="14:36" x14ac:dyDescent="0.2">
      <c r="N341" s="3"/>
      <c r="Y341" s="3"/>
      <c r="AJ341" s="3"/>
    </row>
    <row r="342" spans="14:36" x14ac:dyDescent="0.2">
      <c r="N342" s="3"/>
      <c r="Y342" s="3"/>
      <c r="AJ342" s="3"/>
    </row>
    <row r="343" spans="14:36" x14ac:dyDescent="0.2">
      <c r="N343" s="3"/>
      <c r="Y343" s="3"/>
      <c r="AJ343" s="3"/>
    </row>
    <row r="344" spans="14:36" x14ac:dyDescent="0.2">
      <c r="N344" s="3"/>
      <c r="Y344" s="3"/>
      <c r="AJ344" s="3"/>
    </row>
    <row r="345" spans="14:36" x14ac:dyDescent="0.2">
      <c r="N345" s="3"/>
      <c r="Y345" s="3"/>
      <c r="AJ345" s="3"/>
    </row>
    <row r="346" spans="14:36" x14ac:dyDescent="0.2">
      <c r="N346" s="3"/>
      <c r="Y346" s="3"/>
      <c r="AJ346" s="3"/>
    </row>
    <row r="347" spans="14:36" x14ac:dyDescent="0.2">
      <c r="N347" s="3"/>
      <c r="Y347" s="3"/>
      <c r="AJ347" s="3"/>
    </row>
    <row r="348" spans="14:36" x14ac:dyDescent="0.2">
      <c r="N348" s="3"/>
      <c r="Y348" s="3"/>
      <c r="AJ348" s="3"/>
    </row>
    <row r="349" spans="14:36" x14ac:dyDescent="0.2">
      <c r="N349" s="3"/>
      <c r="Y349" s="3"/>
      <c r="AJ349" s="3"/>
    </row>
    <row r="350" spans="14:36" x14ac:dyDescent="0.2">
      <c r="N350" s="3"/>
      <c r="Y350" s="3"/>
      <c r="AJ350" s="3"/>
    </row>
    <row r="351" spans="14:36" x14ac:dyDescent="0.2">
      <c r="N351" s="3"/>
      <c r="Y351" s="3"/>
      <c r="AJ351" s="3"/>
    </row>
    <row r="352" spans="14:36" x14ac:dyDescent="0.2">
      <c r="N352" s="3"/>
      <c r="Y352" s="3"/>
      <c r="AJ352" s="3"/>
    </row>
    <row r="353" spans="14:36" x14ac:dyDescent="0.2">
      <c r="N353" s="3"/>
      <c r="Y353" s="3"/>
      <c r="AJ353" s="3"/>
    </row>
    <row r="354" spans="14:36" x14ac:dyDescent="0.2">
      <c r="N354" s="3"/>
      <c r="Y354" s="3"/>
      <c r="AJ354" s="3"/>
    </row>
    <row r="355" spans="14:36" x14ac:dyDescent="0.2">
      <c r="N355" s="3"/>
      <c r="Y355" s="3"/>
      <c r="AJ355" s="3"/>
    </row>
    <row r="356" spans="14:36" x14ac:dyDescent="0.2">
      <c r="N356" s="3"/>
      <c r="Y356" s="3"/>
      <c r="AJ356" s="3"/>
    </row>
    <row r="357" spans="14:36" x14ac:dyDescent="0.2">
      <c r="N357" s="3"/>
      <c r="Y357" s="3"/>
      <c r="AJ357" s="3"/>
    </row>
    <row r="358" spans="14:36" x14ac:dyDescent="0.2">
      <c r="N358" s="3"/>
      <c r="Y358" s="3"/>
      <c r="AJ358" s="3"/>
    </row>
    <row r="359" spans="14:36" x14ac:dyDescent="0.2">
      <c r="N359" s="3"/>
      <c r="Y359" s="3"/>
      <c r="AJ359" s="3"/>
    </row>
    <row r="360" spans="14:36" x14ac:dyDescent="0.2">
      <c r="N360" s="3"/>
      <c r="Y360" s="3"/>
      <c r="AJ360" s="3"/>
    </row>
    <row r="361" spans="14:36" x14ac:dyDescent="0.2">
      <c r="N361" s="3"/>
      <c r="Y361" s="3"/>
      <c r="AJ361" s="3"/>
    </row>
    <row r="362" spans="14:36" x14ac:dyDescent="0.2">
      <c r="N362" s="3"/>
      <c r="Y362" s="3"/>
      <c r="AJ362" s="3"/>
    </row>
    <row r="363" spans="14:36" x14ac:dyDescent="0.2">
      <c r="N363" s="3"/>
      <c r="Y363" s="3"/>
      <c r="AJ363" s="3"/>
    </row>
    <row r="364" spans="14:36" x14ac:dyDescent="0.2">
      <c r="N364" s="3"/>
      <c r="Y364" s="3"/>
      <c r="AJ364" s="3"/>
    </row>
    <row r="365" spans="14:36" x14ac:dyDescent="0.2">
      <c r="N365" s="3"/>
      <c r="Y365" s="3"/>
      <c r="AJ365" s="3"/>
    </row>
    <row r="366" spans="14:36" x14ac:dyDescent="0.2">
      <c r="N366" s="3"/>
      <c r="Y366" s="3"/>
      <c r="AJ366" s="3"/>
    </row>
  </sheetData>
  <mergeCells count="21">
    <mergeCell ref="D8:N8"/>
    <mergeCell ref="D9:G9"/>
    <mergeCell ref="H9:K9"/>
    <mergeCell ref="L9:N9"/>
    <mergeCell ref="F10:G10"/>
    <mergeCell ref="J10:K10"/>
    <mergeCell ref="M10:N10"/>
    <mergeCell ref="O8:Y8"/>
    <mergeCell ref="O9:R9"/>
    <mergeCell ref="S9:V9"/>
    <mergeCell ref="W9:Y9"/>
    <mergeCell ref="Q10:R10"/>
    <mergeCell ref="U10:V10"/>
    <mergeCell ref="X10:Y10"/>
    <mergeCell ref="Z8:AJ8"/>
    <mergeCell ref="Z9:AC9"/>
    <mergeCell ref="AD9:AG9"/>
    <mergeCell ref="AH9:AJ9"/>
    <mergeCell ref="AB10:AC10"/>
    <mergeCell ref="AF10:AG10"/>
    <mergeCell ref="AI10:AJ10"/>
  </mergeCells>
  <conditionalFormatting sqref="G12:G13">
    <cfRule type="cellIs" dxfId="18139" priority="3239" operator="greaterThan">
      <formula>0</formula>
    </cfRule>
    <cfRule type="cellIs" dxfId="18138" priority="3240" operator="lessThanOrEqual">
      <formula>0</formula>
    </cfRule>
  </conditionalFormatting>
  <conditionalFormatting sqref="G15:G16">
    <cfRule type="cellIs" dxfId="18137" priority="3237" operator="greaterThan">
      <formula>0</formula>
    </cfRule>
    <cfRule type="cellIs" dxfId="18136" priority="3238" operator="lessThanOrEqual">
      <formula>0</formula>
    </cfRule>
  </conditionalFormatting>
  <conditionalFormatting sqref="G18:G19">
    <cfRule type="cellIs" dxfId="18135" priority="3235" operator="greaterThan">
      <formula>0</formula>
    </cfRule>
    <cfRule type="cellIs" dxfId="18134" priority="3236" operator="lessThanOrEqual">
      <formula>0</formula>
    </cfRule>
  </conditionalFormatting>
  <conditionalFormatting sqref="G28:G29">
    <cfRule type="cellIs" dxfId="18133" priority="3233" operator="greaterThan">
      <formula>0</formula>
    </cfRule>
    <cfRule type="cellIs" dxfId="18132" priority="3234" operator="lessThanOrEqual">
      <formula>0</formula>
    </cfRule>
  </conditionalFormatting>
  <conditionalFormatting sqref="G21:G22">
    <cfRule type="cellIs" dxfId="18131" priority="3231" operator="greaterThan">
      <formula>0</formula>
    </cfRule>
    <cfRule type="cellIs" dxfId="18130" priority="3232" operator="lessThanOrEqual">
      <formula>0</formula>
    </cfRule>
  </conditionalFormatting>
  <conditionalFormatting sqref="G31:G32">
    <cfRule type="cellIs" dxfId="18129" priority="3229" operator="greaterThan">
      <formula>0</formula>
    </cfRule>
    <cfRule type="cellIs" dxfId="18128" priority="3230" operator="lessThanOrEqual">
      <formula>0</formula>
    </cfRule>
  </conditionalFormatting>
  <conditionalFormatting sqref="G34:G35">
    <cfRule type="cellIs" dxfId="18127" priority="3227" operator="greaterThan">
      <formula>0</formula>
    </cfRule>
    <cfRule type="cellIs" dxfId="18126" priority="3228" operator="lessThanOrEqual">
      <formula>0</formula>
    </cfRule>
  </conditionalFormatting>
  <conditionalFormatting sqref="G37:G38">
    <cfRule type="cellIs" dxfId="18125" priority="3225" operator="greaterThan">
      <formula>0</formula>
    </cfRule>
    <cfRule type="cellIs" dxfId="18124" priority="3226" operator="lessThanOrEqual">
      <formula>0</formula>
    </cfRule>
  </conditionalFormatting>
  <conditionalFormatting sqref="G47:G48">
    <cfRule type="cellIs" dxfId="18123" priority="3223" operator="greaterThan">
      <formula>0</formula>
    </cfRule>
    <cfRule type="cellIs" dxfId="18122" priority="3224" operator="lessThanOrEqual">
      <formula>0</formula>
    </cfRule>
  </conditionalFormatting>
  <conditionalFormatting sqref="G62:G63">
    <cfRule type="cellIs" dxfId="18121" priority="3221" operator="greaterThan">
      <formula>0</formula>
    </cfRule>
    <cfRule type="cellIs" dxfId="18120" priority="3222" operator="lessThanOrEqual">
      <formula>0</formula>
    </cfRule>
  </conditionalFormatting>
  <conditionalFormatting sqref="G52:G53">
    <cfRule type="cellIs" dxfId="18119" priority="3219" operator="greaterThan">
      <formula>0</formula>
    </cfRule>
    <cfRule type="cellIs" dxfId="18118" priority="3220" operator="lessThanOrEqual">
      <formula>0</formula>
    </cfRule>
  </conditionalFormatting>
  <conditionalFormatting sqref="G14">
    <cfRule type="cellIs" dxfId="18117" priority="3217" operator="greaterThan">
      <formula>0</formula>
    </cfRule>
    <cfRule type="cellIs" dxfId="18116" priority="3218" operator="lessThanOrEqual">
      <formula>0</formula>
    </cfRule>
  </conditionalFormatting>
  <conditionalFormatting sqref="G17">
    <cfRule type="cellIs" dxfId="18115" priority="3215" operator="greaterThan">
      <formula>0</formula>
    </cfRule>
    <cfRule type="cellIs" dxfId="18114" priority="3216" operator="lessThanOrEqual">
      <formula>0</formula>
    </cfRule>
  </conditionalFormatting>
  <conditionalFormatting sqref="G20">
    <cfRule type="cellIs" dxfId="18113" priority="3213" operator="greaterThan">
      <formula>0</formula>
    </cfRule>
    <cfRule type="cellIs" dxfId="18112" priority="3214" operator="lessThanOrEqual">
      <formula>0</formula>
    </cfRule>
  </conditionalFormatting>
  <conditionalFormatting sqref="G30">
    <cfRule type="cellIs" dxfId="18111" priority="3211" operator="greaterThan">
      <formula>0</formula>
    </cfRule>
    <cfRule type="cellIs" dxfId="18110" priority="3212" operator="lessThanOrEqual">
      <formula>0</formula>
    </cfRule>
  </conditionalFormatting>
  <conditionalFormatting sqref="G23">
    <cfRule type="cellIs" dxfId="18109" priority="3209" operator="greaterThan">
      <formula>0</formula>
    </cfRule>
    <cfRule type="cellIs" dxfId="18108" priority="3210" operator="lessThanOrEqual">
      <formula>0</formula>
    </cfRule>
  </conditionalFormatting>
  <conditionalFormatting sqref="G33">
    <cfRule type="cellIs" dxfId="18107" priority="3207" operator="greaterThan">
      <formula>0</formula>
    </cfRule>
    <cfRule type="cellIs" dxfId="18106" priority="3208" operator="lessThanOrEqual">
      <formula>0</formula>
    </cfRule>
  </conditionalFormatting>
  <conditionalFormatting sqref="G36">
    <cfRule type="cellIs" dxfId="18105" priority="3205" operator="greaterThan">
      <formula>0</formula>
    </cfRule>
    <cfRule type="cellIs" dxfId="18104" priority="3206" operator="lessThanOrEqual">
      <formula>0</formula>
    </cfRule>
  </conditionalFormatting>
  <conditionalFormatting sqref="G39">
    <cfRule type="cellIs" dxfId="18103" priority="3203" operator="greaterThan">
      <formula>0</formula>
    </cfRule>
    <cfRule type="cellIs" dxfId="18102" priority="3204" operator="lessThanOrEqual">
      <formula>0</formula>
    </cfRule>
  </conditionalFormatting>
  <conditionalFormatting sqref="G25">
    <cfRule type="cellIs" dxfId="18101" priority="3201" operator="greaterThan">
      <formula>0</formula>
    </cfRule>
    <cfRule type="cellIs" dxfId="18100" priority="3202" operator="lessThanOrEqual">
      <formula>0</formula>
    </cfRule>
  </conditionalFormatting>
  <conditionalFormatting sqref="G65 G67 G70">
    <cfRule type="cellIs" dxfId="18099" priority="3199" operator="greaterThan">
      <formula>0</formula>
    </cfRule>
    <cfRule type="cellIs" dxfId="18098" priority="3200" operator="lessThanOrEqual">
      <formula>0</formula>
    </cfRule>
  </conditionalFormatting>
  <conditionalFormatting sqref="F12:F13 F15:F16 F18:F19 F21:F22 F28:F29 F31:F32 F34:F35 F37:F38 F47:F48 F52:F53">
    <cfRule type="cellIs" dxfId="18097" priority="3197" operator="lessThan">
      <formula>0</formula>
    </cfRule>
    <cfRule type="cellIs" dxfId="18096" priority="3198" operator="greaterThanOrEqual">
      <formula>0</formula>
    </cfRule>
  </conditionalFormatting>
  <conditionalFormatting sqref="F14 F17 F20 F23 F25 F30 F33 F36 F39">
    <cfRule type="cellIs" dxfId="18095" priority="3196" operator="greaterThanOrEqual">
      <formula>0</formula>
    </cfRule>
  </conditionalFormatting>
  <conditionalFormatting sqref="F14 F17 F20 F23 F25 F30 F33 F36 F39">
    <cfRule type="cellIs" dxfId="18094" priority="3195" operator="lessThan">
      <formula>0</formula>
    </cfRule>
  </conditionalFormatting>
  <conditionalFormatting sqref="G72">
    <cfRule type="cellIs" dxfId="18093" priority="3193" operator="greaterThan">
      <formula>0</formula>
    </cfRule>
    <cfRule type="cellIs" dxfId="18092" priority="3194" operator="lessThanOrEqual">
      <formula>0</formula>
    </cfRule>
  </conditionalFormatting>
  <conditionalFormatting sqref="G66">
    <cfRule type="cellIs" dxfId="18091" priority="3191" operator="greaterThan">
      <formula>0</formula>
    </cfRule>
    <cfRule type="cellIs" dxfId="18090" priority="3192" operator="lessThanOrEqual">
      <formula>0</formula>
    </cfRule>
  </conditionalFormatting>
  <conditionalFormatting sqref="F66">
    <cfRule type="cellIs" dxfId="18089" priority="3189" operator="greaterThanOrEqual">
      <formula>0</formula>
    </cfRule>
    <cfRule type="cellIs" dxfId="18088" priority="3190" operator="lessThan">
      <formula>0</formula>
    </cfRule>
  </conditionalFormatting>
  <conditionalFormatting sqref="M12:M13 M15:M16 M18:M19 M21:M22 M28:M29 M31:M32 M34:M35 M37:M38 M47:M48">
    <cfRule type="cellIs" dxfId="18087" priority="3187" operator="lessThan">
      <formula>0</formula>
    </cfRule>
    <cfRule type="cellIs" dxfId="18086" priority="3188" operator="greaterThanOrEqual">
      <formula>0</formula>
    </cfRule>
  </conditionalFormatting>
  <conditionalFormatting sqref="M14 M23 M17 M20 M30 M33 M36 M39">
    <cfRule type="cellIs" dxfId="18085" priority="3186" operator="greaterThanOrEqual">
      <formula>0</formula>
    </cfRule>
  </conditionalFormatting>
  <conditionalFormatting sqref="M14 M23 M17 M20 M30 M33 M36 M39">
    <cfRule type="cellIs" dxfId="18084" priority="3185" operator="lessThan">
      <formula>0</formula>
    </cfRule>
  </conditionalFormatting>
  <conditionalFormatting sqref="M70 M72">
    <cfRule type="cellIs" dxfId="18083" priority="3183" operator="lessThan">
      <formula>0</formula>
    </cfRule>
    <cfRule type="cellIs" dxfId="18082" priority="3184" operator="greaterThanOrEqual">
      <formula>0</formula>
    </cfRule>
  </conditionalFormatting>
  <conditionalFormatting sqref="M66">
    <cfRule type="cellIs" dxfId="18081" priority="3181" operator="greaterThanOrEqual">
      <formula>0</formula>
    </cfRule>
    <cfRule type="cellIs" dxfId="18080" priority="3182" operator="lessThan">
      <formula>0</formula>
    </cfRule>
  </conditionalFormatting>
  <conditionalFormatting sqref="N12:N13">
    <cfRule type="cellIs" dxfId="18079" priority="3179" operator="greaterThan">
      <formula>0</formula>
    </cfRule>
    <cfRule type="cellIs" dxfId="18078" priority="3180" operator="lessThanOrEqual">
      <formula>0</formula>
    </cfRule>
  </conditionalFormatting>
  <conditionalFormatting sqref="N67">
    <cfRule type="cellIs" dxfId="18077" priority="3177" operator="lessThan">
      <formula>0</formula>
    </cfRule>
    <cfRule type="cellIs" dxfId="18076" priority="3178" operator="greaterThanOrEqual">
      <formula>0</formula>
    </cfRule>
  </conditionalFormatting>
  <conditionalFormatting sqref="N14 N23 N17 N20 N30 N33 N36 N39">
    <cfRule type="cellIs" dxfId="18075" priority="3176" operator="greaterThanOrEqual">
      <formula>0</formula>
    </cfRule>
  </conditionalFormatting>
  <conditionalFormatting sqref="N14 N23 N17 N20 N30 N33 N36 N39">
    <cfRule type="cellIs" dxfId="18074" priority="3175" operator="lessThan">
      <formula>0</formula>
    </cfRule>
  </conditionalFormatting>
  <conditionalFormatting sqref="M67">
    <cfRule type="cellIs" dxfId="18073" priority="3173" operator="lessThan">
      <formula>0</formula>
    </cfRule>
    <cfRule type="cellIs" dxfId="18072" priority="3174" operator="greaterThanOrEqual">
      <formula>0</formula>
    </cfRule>
  </conditionalFormatting>
  <conditionalFormatting sqref="N70 N72">
    <cfRule type="cellIs" dxfId="18071" priority="3171" operator="lessThan">
      <formula>0</formula>
    </cfRule>
    <cfRule type="cellIs" dxfId="18070" priority="3172" operator="greaterThanOrEqual">
      <formula>0</formula>
    </cfRule>
  </conditionalFormatting>
  <conditionalFormatting sqref="N66">
    <cfRule type="cellIs" dxfId="18069" priority="3169" operator="lessThan">
      <formula>0</formula>
    </cfRule>
    <cfRule type="cellIs" dxfId="18068" priority="3170" operator="greaterThanOrEqual">
      <formula>0</formula>
    </cfRule>
  </conditionalFormatting>
  <conditionalFormatting sqref="F61">
    <cfRule type="cellIs" dxfId="18067" priority="3150" operator="greaterThanOrEqual">
      <formula>0</formula>
    </cfRule>
  </conditionalFormatting>
  <conditionalFormatting sqref="F61">
    <cfRule type="cellIs" dxfId="18066" priority="3149" operator="lessThan">
      <formula>0</formula>
    </cfRule>
  </conditionalFormatting>
  <conditionalFormatting sqref="G43">
    <cfRule type="cellIs" dxfId="18065" priority="3159" operator="greaterThan">
      <formula>0</formula>
    </cfRule>
    <cfRule type="cellIs" dxfId="18064" priority="3160" operator="lessThanOrEqual">
      <formula>0</formula>
    </cfRule>
  </conditionalFormatting>
  <conditionalFormatting sqref="G46">
    <cfRule type="cellIs" dxfId="18063" priority="3157" operator="greaterThan">
      <formula>0</formula>
    </cfRule>
    <cfRule type="cellIs" dxfId="18062" priority="3158" operator="lessThanOrEqual">
      <formula>0</formula>
    </cfRule>
  </conditionalFormatting>
  <conditionalFormatting sqref="G49">
    <cfRule type="cellIs" dxfId="18061" priority="3155" operator="greaterThan">
      <formula>0</formula>
    </cfRule>
    <cfRule type="cellIs" dxfId="18060" priority="3156" operator="lessThanOrEqual">
      <formula>0</formula>
    </cfRule>
  </conditionalFormatting>
  <conditionalFormatting sqref="G27">
    <cfRule type="cellIs" dxfId="18059" priority="3167" operator="greaterThan">
      <formula>0</formula>
    </cfRule>
    <cfRule type="cellIs" dxfId="18058" priority="3168" operator="lessThanOrEqual">
      <formula>0</formula>
    </cfRule>
  </conditionalFormatting>
  <conditionalFormatting sqref="G40">
    <cfRule type="cellIs" dxfId="18057" priority="3165" operator="greaterThan">
      <formula>0</formula>
    </cfRule>
    <cfRule type="cellIs" dxfId="18056" priority="3166" operator="lessThanOrEqual">
      <formula>0</formula>
    </cfRule>
  </conditionalFormatting>
  <conditionalFormatting sqref="J181">
    <cfRule type="cellIs" dxfId="18055" priority="2954" operator="greaterThanOrEqual">
      <formula>0</formula>
    </cfRule>
  </conditionalFormatting>
  <conditionalFormatting sqref="J181">
    <cfRule type="cellIs" dxfId="18054" priority="2953" operator="lessThan">
      <formula>0</formula>
    </cfRule>
  </conditionalFormatting>
  <conditionalFormatting sqref="G41:G42 G44:G45">
    <cfRule type="cellIs" dxfId="18053" priority="3163" operator="greaterThan">
      <formula>0</formula>
    </cfRule>
    <cfRule type="cellIs" dxfId="18052" priority="3164" operator="lessThanOrEqual">
      <formula>0</formula>
    </cfRule>
  </conditionalFormatting>
  <conditionalFormatting sqref="G56:G57 G59:G60">
    <cfRule type="cellIs" dxfId="18051" priority="3161" operator="greaterThan">
      <formula>0</formula>
    </cfRule>
    <cfRule type="cellIs" dxfId="18050" priority="3162" operator="lessThanOrEqual">
      <formula>0</formula>
    </cfRule>
  </conditionalFormatting>
  <conditionalFormatting sqref="G58">
    <cfRule type="cellIs" dxfId="18049" priority="3153" operator="greaterThan">
      <formula>0</formula>
    </cfRule>
    <cfRule type="cellIs" dxfId="18048" priority="3154" operator="lessThanOrEqual">
      <formula>0</formula>
    </cfRule>
  </conditionalFormatting>
  <conditionalFormatting sqref="G61">
    <cfRule type="cellIs" dxfId="18047" priority="3151" operator="greaterThan">
      <formula>0</formula>
    </cfRule>
    <cfRule type="cellIs" dxfId="18046" priority="3152" operator="lessThanOrEqual">
      <formula>0</formula>
    </cfRule>
  </conditionalFormatting>
  <conditionalFormatting sqref="G64">
    <cfRule type="cellIs" dxfId="18045" priority="3147" operator="greaterThan">
      <formula>0</formula>
    </cfRule>
    <cfRule type="cellIs" dxfId="18044" priority="3148" operator="lessThanOrEqual">
      <formula>0</formula>
    </cfRule>
  </conditionalFormatting>
  <conditionalFormatting sqref="K46">
    <cfRule type="cellIs" dxfId="18043" priority="2817" operator="greaterThan">
      <formula>0</formula>
    </cfRule>
    <cfRule type="cellIs" dxfId="18042" priority="2818" operator="lessThanOrEqual">
      <formula>0</formula>
    </cfRule>
  </conditionalFormatting>
  <conditionalFormatting sqref="K58">
    <cfRule type="cellIs" dxfId="18041" priority="2813" operator="greaterThan">
      <formula>0</formula>
    </cfRule>
    <cfRule type="cellIs" dxfId="18040" priority="2814" operator="lessThanOrEqual">
      <formula>0</formula>
    </cfRule>
  </conditionalFormatting>
  <conditionalFormatting sqref="J61">
    <cfRule type="cellIs" dxfId="18039" priority="2810" operator="greaterThanOrEqual">
      <formula>0</formula>
    </cfRule>
  </conditionalFormatting>
  <conditionalFormatting sqref="J61">
    <cfRule type="cellIs" dxfId="18038" priority="2809" operator="lessThan">
      <formula>0</formula>
    </cfRule>
  </conditionalFormatting>
  <conditionalFormatting sqref="G133">
    <cfRule type="cellIs" dxfId="18037" priority="3145" operator="greaterThan">
      <formula>0</formula>
    </cfRule>
    <cfRule type="cellIs" dxfId="18036" priority="3146" operator="lessThanOrEqual">
      <formula>0</formula>
    </cfRule>
  </conditionalFormatting>
  <conditionalFormatting sqref="G135:G136">
    <cfRule type="cellIs" dxfId="18035" priority="3143" operator="greaterThan">
      <formula>0</formula>
    </cfRule>
    <cfRule type="cellIs" dxfId="18034" priority="3144" operator="lessThanOrEqual">
      <formula>0</formula>
    </cfRule>
  </conditionalFormatting>
  <conditionalFormatting sqref="G172:G173">
    <cfRule type="cellIs" dxfId="18033" priority="3125" operator="greaterThan">
      <formula>0</formula>
    </cfRule>
    <cfRule type="cellIs" dxfId="18032" priority="3126" operator="lessThanOrEqual">
      <formula>0</formula>
    </cfRule>
  </conditionalFormatting>
  <conditionalFormatting sqref="G143">
    <cfRule type="cellIs" dxfId="18031" priority="3115" operator="greaterThan">
      <formula>0</formula>
    </cfRule>
    <cfRule type="cellIs" dxfId="18030" priority="3116" operator="lessThanOrEqual">
      <formula>0</formula>
    </cfRule>
  </conditionalFormatting>
  <conditionalFormatting sqref="G153">
    <cfRule type="cellIs" dxfId="18029" priority="3113" operator="greaterThan">
      <formula>0</formula>
    </cfRule>
    <cfRule type="cellIs" dxfId="18028" priority="3114" operator="lessThanOrEqual">
      <formula>0</formula>
    </cfRule>
  </conditionalFormatting>
  <conditionalFormatting sqref="G156">
    <cfRule type="cellIs" dxfId="18027" priority="3111" operator="greaterThan">
      <formula>0</formula>
    </cfRule>
    <cfRule type="cellIs" dxfId="18026" priority="3112" operator="lessThanOrEqual">
      <formula>0</formula>
    </cfRule>
  </conditionalFormatting>
  <conditionalFormatting sqref="F163">
    <cfRule type="cellIs" dxfId="18025" priority="2996" operator="greaterThanOrEqual">
      <formula>0</formula>
    </cfRule>
  </conditionalFormatting>
  <conditionalFormatting sqref="F163">
    <cfRule type="cellIs" dxfId="18024" priority="2995" operator="lessThan">
      <formula>0</formula>
    </cfRule>
  </conditionalFormatting>
  <conditionalFormatting sqref="G163">
    <cfRule type="cellIs" dxfId="18023" priority="2997" operator="greaterThan">
      <formula>0</formula>
    </cfRule>
    <cfRule type="cellIs" dxfId="18022" priority="2998" operator="lessThanOrEqual">
      <formula>0</formula>
    </cfRule>
  </conditionalFormatting>
  <conditionalFormatting sqref="J184">
    <cfRule type="cellIs" dxfId="18021" priority="2944" operator="greaterThanOrEqual">
      <formula>0</formula>
    </cfRule>
  </conditionalFormatting>
  <conditionalFormatting sqref="J184">
    <cfRule type="cellIs" dxfId="18020" priority="2943" operator="lessThan">
      <formula>0</formula>
    </cfRule>
  </conditionalFormatting>
  <conditionalFormatting sqref="N144">
    <cfRule type="cellIs" dxfId="18019" priority="3042" operator="greaterThanOrEqual">
      <formula>0</formula>
    </cfRule>
  </conditionalFormatting>
  <conditionalFormatting sqref="N144">
    <cfRule type="cellIs" dxfId="18018" priority="3041" operator="lessThan">
      <formula>0</formula>
    </cfRule>
  </conditionalFormatting>
  <conditionalFormatting sqref="J159 J185">
    <cfRule type="cellIs" dxfId="18017" priority="3094" operator="greaterThanOrEqual">
      <formula>0</formula>
    </cfRule>
  </conditionalFormatting>
  <conditionalFormatting sqref="J159 J185">
    <cfRule type="cellIs" dxfId="18016" priority="3093" operator="lessThan">
      <formula>0</formula>
    </cfRule>
  </conditionalFormatting>
  <conditionalFormatting sqref="G170">
    <cfRule type="cellIs" dxfId="18015" priority="3023" operator="greaterThan">
      <formula>0</formula>
    </cfRule>
    <cfRule type="cellIs" dxfId="18014" priority="3024" operator="lessThanOrEqual">
      <formula>0</formula>
    </cfRule>
  </conditionalFormatting>
  <conditionalFormatting sqref="F170">
    <cfRule type="cellIs" dxfId="18013" priority="3022" operator="greaterThanOrEqual">
      <formula>0</formula>
    </cfRule>
  </conditionalFormatting>
  <conditionalFormatting sqref="F170">
    <cfRule type="cellIs" dxfId="18012" priority="3021" operator="lessThan">
      <formula>0</formula>
    </cfRule>
  </conditionalFormatting>
  <conditionalFormatting sqref="N166">
    <cfRule type="cellIs" dxfId="18011" priority="2980" operator="greaterThanOrEqual">
      <formula>0</formula>
    </cfRule>
  </conditionalFormatting>
  <conditionalFormatting sqref="N166">
    <cfRule type="cellIs" dxfId="18010" priority="2979" operator="lessThan">
      <formula>0</formula>
    </cfRule>
  </conditionalFormatting>
  <conditionalFormatting sqref="G138:G139">
    <cfRule type="cellIs" dxfId="18009" priority="3141" operator="greaterThan">
      <formula>0</formula>
    </cfRule>
    <cfRule type="cellIs" dxfId="18008" priority="3142" operator="lessThanOrEqual">
      <formula>0</formula>
    </cfRule>
  </conditionalFormatting>
  <conditionalFormatting sqref="G148:G149">
    <cfRule type="cellIs" dxfId="18007" priority="3139" operator="greaterThan">
      <formula>0</formula>
    </cfRule>
    <cfRule type="cellIs" dxfId="18006" priority="3140" operator="lessThanOrEqual">
      <formula>0</formula>
    </cfRule>
  </conditionalFormatting>
  <conditionalFormatting sqref="G141:G142">
    <cfRule type="cellIs" dxfId="18005" priority="3137" operator="greaterThan">
      <formula>0</formula>
    </cfRule>
    <cfRule type="cellIs" dxfId="18004" priority="3138" operator="lessThanOrEqual">
      <formula>0</formula>
    </cfRule>
  </conditionalFormatting>
  <conditionalFormatting sqref="G151:G152">
    <cfRule type="cellIs" dxfId="18003" priority="3135" operator="greaterThan">
      <formula>0</formula>
    </cfRule>
    <cfRule type="cellIs" dxfId="18002" priority="3136" operator="lessThanOrEqual">
      <formula>0</formula>
    </cfRule>
  </conditionalFormatting>
  <conditionalFormatting sqref="G154:G155">
    <cfRule type="cellIs" dxfId="18001" priority="3133" operator="greaterThan">
      <formula>0</formula>
    </cfRule>
    <cfRule type="cellIs" dxfId="18000" priority="3134" operator="lessThanOrEqual">
      <formula>0</formula>
    </cfRule>
  </conditionalFormatting>
  <conditionalFormatting sqref="G157:G158">
    <cfRule type="cellIs" dxfId="17999" priority="3131" operator="greaterThan">
      <formula>0</formula>
    </cfRule>
    <cfRule type="cellIs" dxfId="17998" priority="3132" operator="lessThanOrEqual">
      <formula>0</formula>
    </cfRule>
  </conditionalFormatting>
  <conditionalFormatting sqref="G167:G168">
    <cfRule type="cellIs" dxfId="17997" priority="3129" operator="greaterThan">
      <formula>0</formula>
    </cfRule>
    <cfRule type="cellIs" dxfId="17996" priority="3130" operator="lessThanOrEqual">
      <formula>0</formula>
    </cfRule>
  </conditionalFormatting>
  <conditionalFormatting sqref="G182:G183">
    <cfRule type="cellIs" dxfId="17995" priority="3127" operator="greaterThan">
      <formula>0</formula>
    </cfRule>
    <cfRule type="cellIs" dxfId="17994" priority="3128" operator="lessThanOrEqual">
      <formula>0</formula>
    </cfRule>
  </conditionalFormatting>
  <conditionalFormatting sqref="G134">
    <cfRule type="cellIs" dxfId="17993" priority="3123" operator="greaterThan">
      <formula>0</formula>
    </cfRule>
    <cfRule type="cellIs" dxfId="17992" priority="3124" operator="lessThanOrEqual">
      <formula>0</formula>
    </cfRule>
  </conditionalFormatting>
  <conditionalFormatting sqref="G137">
    <cfRule type="cellIs" dxfId="17991" priority="3121" operator="greaterThan">
      <formula>0</formula>
    </cfRule>
    <cfRule type="cellIs" dxfId="17990" priority="3122" operator="lessThanOrEqual">
      <formula>0</formula>
    </cfRule>
  </conditionalFormatting>
  <conditionalFormatting sqref="G140">
    <cfRule type="cellIs" dxfId="17989" priority="3119" operator="greaterThan">
      <formula>0</formula>
    </cfRule>
    <cfRule type="cellIs" dxfId="17988" priority="3120" operator="lessThanOrEqual">
      <formula>0</formula>
    </cfRule>
  </conditionalFormatting>
  <conditionalFormatting sqref="G150">
    <cfRule type="cellIs" dxfId="17987" priority="3117" operator="greaterThan">
      <formula>0</formula>
    </cfRule>
    <cfRule type="cellIs" dxfId="17986" priority="3118" operator="lessThanOrEqual">
      <formula>0</formula>
    </cfRule>
  </conditionalFormatting>
  <conditionalFormatting sqref="G159">
    <cfRule type="cellIs" dxfId="17985" priority="3109" operator="greaterThan">
      <formula>0</formula>
    </cfRule>
    <cfRule type="cellIs" dxfId="17984" priority="3110" operator="lessThanOrEqual">
      <formula>0</formula>
    </cfRule>
  </conditionalFormatting>
  <conditionalFormatting sqref="G145">
    <cfRule type="cellIs" dxfId="17983" priority="3107" operator="greaterThan">
      <formula>0</formula>
    </cfRule>
    <cfRule type="cellIs" dxfId="17982" priority="3108" operator="lessThanOrEqual">
      <formula>0</formula>
    </cfRule>
  </conditionalFormatting>
  <conditionalFormatting sqref="G185">
    <cfRule type="cellIs" dxfId="17981" priority="3105" operator="greaterThan">
      <formula>0</formula>
    </cfRule>
    <cfRule type="cellIs" dxfId="17980" priority="3106" operator="lessThanOrEqual">
      <formula>0</formula>
    </cfRule>
  </conditionalFormatting>
  <conditionalFormatting sqref="F132:F133 F135:F136 F138:F139 F148:F149 F141:F142 F151:F152 F154:F155 F157:F158 F167:F168 F182:F183 F172:F173 J182:J183 J172:J173 M182:N183 M172:N173">
    <cfRule type="cellIs" dxfId="17979" priority="3103" operator="lessThan">
      <formula>0</formula>
    </cfRule>
    <cfRule type="cellIs" dxfId="17978" priority="3104" operator="greaterThanOrEqual">
      <formula>0</formula>
    </cfRule>
  </conditionalFormatting>
  <conditionalFormatting sqref="F134 F137 F140 F153 F156 F159 F185 J145 M145:N145 F150 F143 F145">
    <cfRule type="cellIs" dxfId="17977" priority="3102" operator="greaterThanOrEqual">
      <formula>0</formula>
    </cfRule>
  </conditionalFormatting>
  <conditionalFormatting sqref="F134 F137 F140 F153 F156 F159 F185 J145 M145:N145 F150 F143 F145">
    <cfRule type="cellIs" dxfId="17976" priority="3101" operator="lessThan">
      <formula>0</formula>
    </cfRule>
  </conditionalFormatting>
  <conditionalFormatting sqref="J132:J133 J135:J136 J138:J139 J148:J149 J141:J142 J151:J152 J154:J155">
    <cfRule type="cellIs" dxfId="17975" priority="3099" operator="lessThan">
      <formula>0</formula>
    </cfRule>
    <cfRule type="cellIs" dxfId="17974" priority="3100" operator="greaterThanOrEqual">
      <formula>0</formula>
    </cfRule>
  </conditionalFormatting>
  <conditionalFormatting sqref="J134 J137 J140 J150 J143 J153 J156">
    <cfRule type="cellIs" dxfId="17973" priority="3098" operator="greaterThanOrEqual">
      <formula>0</formula>
    </cfRule>
  </conditionalFormatting>
  <conditionalFormatting sqref="J134 J137 J140 J150 J143 J153 J156">
    <cfRule type="cellIs" dxfId="17972" priority="3097" operator="lessThan">
      <formula>0</formula>
    </cfRule>
  </conditionalFormatting>
  <conditionalFormatting sqref="J157:J158 J167:J168">
    <cfRule type="cellIs" dxfId="17971" priority="3095" operator="lessThan">
      <formula>0</formula>
    </cfRule>
    <cfRule type="cellIs" dxfId="17970" priority="3096" operator="greaterThanOrEqual">
      <formula>0</formula>
    </cfRule>
  </conditionalFormatting>
  <conditionalFormatting sqref="G186">
    <cfRule type="cellIs" dxfId="17969" priority="3091" operator="greaterThan">
      <formula>0</formula>
    </cfRule>
    <cfRule type="cellIs" dxfId="17968" priority="3092" operator="lessThanOrEqual">
      <formula>0</formula>
    </cfRule>
  </conditionalFormatting>
  <conditionalFormatting sqref="J186">
    <cfRule type="cellIs" dxfId="17967" priority="3089" operator="greaterThanOrEqual">
      <formula>0</formula>
    </cfRule>
    <cfRule type="cellIs" dxfId="17966" priority="3090" operator="lessThan">
      <formula>0</formula>
    </cfRule>
  </conditionalFormatting>
  <conditionalFormatting sqref="F186">
    <cfRule type="cellIs" dxfId="17965" priority="3087" operator="greaterThanOrEqual">
      <formula>0</formula>
    </cfRule>
    <cfRule type="cellIs" dxfId="17964" priority="3088" operator="lessThan">
      <formula>0</formula>
    </cfRule>
  </conditionalFormatting>
  <conditionalFormatting sqref="M132:M133 M135:M136 M138:M139 M148:M149 M141:M142 M151:M152 M154:M155 M157:M158 M167:M168">
    <cfRule type="cellIs" dxfId="17963" priority="3085" operator="lessThan">
      <formula>0</formula>
    </cfRule>
    <cfRule type="cellIs" dxfId="17962" priority="3086" operator="greaterThanOrEqual">
      <formula>0</formula>
    </cfRule>
  </conditionalFormatting>
  <conditionalFormatting sqref="M134 M137 M140 M150 M143 M153 M156 M159 M185">
    <cfRule type="cellIs" dxfId="17961" priority="3084" operator="greaterThanOrEqual">
      <formula>0</formula>
    </cfRule>
  </conditionalFormatting>
  <conditionalFormatting sqref="M134 M137 M140 M150 M143 M153 M156 M159 M185">
    <cfRule type="cellIs" dxfId="17960" priority="3083" operator="lessThan">
      <formula>0</formula>
    </cfRule>
  </conditionalFormatting>
  <conditionalFormatting sqref="M186">
    <cfRule type="cellIs" dxfId="17959" priority="3081" operator="greaterThanOrEqual">
      <formula>0</formula>
    </cfRule>
    <cfRule type="cellIs" dxfId="17958" priority="3082" operator="lessThan">
      <formula>0</formula>
    </cfRule>
  </conditionalFormatting>
  <conditionalFormatting sqref="N132:N133">
    <cfRule type="cellIs" dxfId="17957" priority="3079" operator="greaterThan">
      <formula>0</formula>
    </cfRule>
    <cfRule type="cellIs" dxfId="17956" priority="3080" operator="lessThanOrEqual">
      <formula>0</formula>
    </cfRule>
  </conditionalFormatting>
  <conditionalFormatting sqref="N135:N136">
    <cfRule type="cellIs" dxfId="17955" priority="3077" operator="greaterThan">
      <formula>0</formula>
    </cfRule>
    <cfRule type="cellIs" dxfId="17954" priority="3078" operator="lessThanOrEqual">
      <formula>0</formula>
    </cfRule>
  </conditionalFormatting>
  <conditionalFormatting sqref="N138:N139">
    <cfRule type="cellIs" dxfId="17953" priority="3075" operator="greaterThan">
      <formula>0</formula>
    </cfRule>
    <cfRule type="cellIs" dxfId="17952" priority="3076" operator="lessThanOrEqual">
      <formula>0</formula>
    </cfRule>
  </conditionalFormatting>
  <conditionalFormatting sqref="N148:N149">
    <cfRule type="cellIs" dxfId="17951" priority="3073" operator="greaterThan">
      <formula>0</formula>
    </cfRule>
    <cfRule type="cellIs" dxfId="17950" priority="3074" operator="lessThanOrEqual">
      <formula>0</formula>
    </cfRule>
  </conditionalFormatting>
  <conditionalFormatting sqref="N141:N142">
    <cfRule type="cellIs" dxfId="17949" priority="3071" operator="greaterThan">
      <formula>0</formula>
    </cfRule>
    <cfRule type="cellIs" dxfId="17948" priority="3072" operator="lessThanOrEqual">
      <formula>0</formula>
    </cfRule>
  </conditionalFormatting>
  <conditionalFormatting sqref="N151:N152">
    <cfRule type="cellIs" dxfId="17947" priority="3069" operator="greaterThan">
      <formula>0</formula>
    </cfRule>
    <cfRule type="cellIs" dxfId="17946" priority="3070" operator="lessThanOrEqual">
      <formula>0</formula>
    </cfRule>
  </conditionalFormatting>
  <conditionalFormatting sqref="N154:N155">
    <cfRule type="cellIs" dxfId="17945" priority="3067" operator="greaterThan">
      <formula>0</formula>
    </cfRule>
    <cfRule type="cellIs" dxfId="17944" priority="3068" operator="lessThanOrEqual">
      <formula>0</formula>
    </cfRule>
  </conditionalFormatting>
  <conditionalFormatting sqref="N157:N158 N167:N168">
    <cfRule type="cellIs" dxfId="17943" priority="3065" operator="lessThan">
      <formula>0</formula>
    </cfRule>
    <cfRule type="cellIs" dxfId="17942" priority="3066" operator="greaterThanOrEqual">
      <formula>0</formula>
    </cfRule>
  </conditionalFormatting>
  <conditionalFormatting sqref="N134 N137 N140 N150 N143 N153 N156 N159 N185">
    <cfRule type="cellIs" dxfId="17941" priority="3064" operator="greaterThanOrEqual">
      <formula>0</formula>
    </cfRule>
  </conditionalFormatting>
  <conditionalFormatting sqref="N134 N137 N140 N150 N143 N153 N156 N159 N185">
    <cfRule type="cellIs" dxfId="17940" priority="3063" operator="lessThan">
      <formula>0</formula>
    </cfRule>
  </conditionalFormatting>
  <conditionalFormatting sqref="N186">
    <cfRule type="cellIs" dxfId="17939" priority="3061" operator="lessThan">
      <formula>0</formula>
    </cfRule>
    <cfRule type="cellIs" dxfId="17938" priority="3062" operator="greaterThanOrEqual">
      <formula>0</formula>
    </cfRule>
  </conditionalFormatting>
  <conditionalFormatting sqref="G171">
    <cfRule type="cellIs" dxfId="17937" priority="3059" operator="greaterThan">
      <formula>0</formula>
    </cfRule>
    <cfRule type="cellIs" dxfId="17936" priority="3060" operator="lessThanOrEqual">
      <formula>0</formula>
    </cfRule>
  </conditionalFormatting>
  <conditionalFormatting sqref="F171">
    <cfRule type="cellIs" dxfId="17935" priority="3058" operator="greaterThanOrEqual">
      <formula>0</formula>
    </cfRule>
  </conditionalFormatting>
  <conditionalFormatting sqref="F171">
    <cfRule type="cellIs" dxfId="17934" priority="3057" operator="lessThan">
      <formula>0</formula>
    </cfRule>
  </conditionalFormatting>
  <conditionalFormatting sqref="J171">
    <cfRule type="cellIs" dxfId="17933" priority="3056" operator="greaterThanOrEqual">
      <formula>0</formula>
    </cfRule>
  </conditionalFormatting>
  <conditionalFormatting sqref="J171">
    <cfRule type="cellIs" dxfId="17932" priority="3055" operator="lessThan">
      <formula>0</formula>
    </cfRule>
  </conditionalFormatting>
  <conditionalFormatting sqref="M171">
    <cfRule type="cellIs" dxfId="17931" priority="3054" operator="greaterThanOrEqual">
      <formula>0</formula>
    </cfRule>
  </conditionalFormatting>
  <conditionalFormatting sqref="M171">
    <cfRule type="cellIs" dxfId="17930" priority="3053" operator="lessThan">
      <formula>0</formula>
    </cfRule>
  </conditionalFormatting>
  <conditionalFormatting sqref="N171">
    <cfRule type="cellIs" dxfId="17929" priority="3052" operator="greaterThanOrEqual">
      <formula>0</formula>
    </cfRule>
  </conditionalFormatting>
  <conditionalFormatting sqref="N171">
    <cfRule type="cellIs" dxfId="17928" priority="3051" operator="lessThan">
      <formula>0</formula>
    </cfRule>
  </conditionalFormatting>
  <conditionalFormatting sqref="F160">
    <cfRule type="cellIs" dxfId="17927" priority="3030" operator="greaterThanOrEqual">
      <formula>0</formula>
    </cfRule>
  </conditionalFormatting>
  <conditionalFormatting sqref="F160">
    <cfRule type="cellIs" dxfId="17926" priority="3029" operator="lessThan">
      <formula>0</formula>
    </cfRule>
  </conditionalFormatting>
  <conditionalFormatting sqref="G144">
    <cfRule type="cellIs" dxfId="17925" priority="3049" operator="greaterThan">
      <formula>0</formula>
    </cfRule>
    <cfRule type="cellIs" dxfId="17924" priority="3050" operator="lessThanOrEqual">
      <formula>0</formula>
    </cfRule>
  </conditionalFormatting>
  <conditionalFormatting sqref="F144">
    <cfRule type="cellIs" dxfId="17923" priority="3048" operator="greaterThanOrEqual">
      <formula>0</formula>
    </cfRule>
  </conditionalFormatting>
  <conditionalFormatting sqref="F144">
    <cfRule type="cellIs" dxfId="17922" priority="3047" operator="lessThan">
      <formula>0</formula>
    </cfRule>
  </conditionalFormatting>
  <conditionalFormatting sqref="J144">
    <cfRule type="cellIs" dxfId="17921" priority="3046" operator="greaterThanOrEqual">
      <formula>0</formula>
    </cfRule>
  </conditionalFormatting>
  <conditionalFormatting sqref="J144">
    <cfRule type="cellIs" dxfId="17920" priority="3045" operator="lessThan">
      <formula>0</formula>
    </cfRule>
  </conditionalFormatting>
  <conditionalFormatting sqref="M144">
    <cfRule type="cellIs" dxfId="17919" priority="3044" operator="greaterThanOrEqual">
      <formula>0</formula>
    </cfRule>
  </conditionalFormatting>
  <conditionalFormatting sqref="M144">
    <cfRule type="cellIs" dxfId="17918" priority="3043" operator="lessThan">
      <formula>0</formula>
    </cfRule>
  </conditionalFormatting>
  <conditionalFormatting sqref="J147">
    <cfRule type="cellIs" dxfId="17917" priority="3036" operator="greaterThanOrEqual">
      <formula>0</formula>
    </cfRule>
  </conditionalFormatting>
  <conditionalFormatting sqref="J147">
    <cfRule type="cellIs" dxfId="17916" priority="3035" operator="lessThan">
      <formula>0</formula>
    </cfRule>
  </conditionalFormatting>
  <conditionalFormatting sqref="M163">
    <cfRule type="cellIs" dxfId="17915" priority="2992" operator="greaterThanOrEqual">
      <formula>0</formula>
    </cfRule>
  </conditionalFormatting>
  <conditionalFormatting sqref="M163">
    <cfRule type="cellIs" dxfId="17914" priority="2991" operator="lessThan">
      <formula>0</formula>
    </cfRule>
  </conditionalFormatting>
  <conditionalFormatting sqref="M147:N147">
    <cfRule type="cellIs" dxfId="17913" priority="3034" operator="greaterThanOrEqual">
      <formula>0</formula>
    </cfRule>
  </conditionalFormatting>
  <conditionalFormatting sqref="M147:N147">
    <cfRule type="cellIs" dxfId="17912" priority="3033" operator="lessThan">
      <formula>0</formula>
    </cfRule>
  </conditionalFormatting>
  <conditionalFormatting sqref="G166">
    <cfRule type="cellIs" dxfId="17911" priority="2987" operator="greaterThan">
      <formula>0</formula>
    </cfRule>
    <cfRule type="cellIs" dxfId="17910" priority="2988" operator="lessThanOrEqual">
      <formula>0</formula>
    </cfRule>
  </conditionalFormatting>
  <conditionalFormatting sqref="F166">
    <cfRule type="cellIs" dxfId="17909" priority="2986" operator="greaterThanOrEqual">
      <formula>0</formula>
    </cfRule>
  </conditionalFormatting>
  <conditionalFormatting sqref="F166">
    <cfRule type="cellIs" dxfId="17908" priority="2985" operator="lessThan">
      <formula>0</formula>
    </cfRule>
  </conditionalFormatting>
  <conditionalFormatting sqref="G169">
    <cfRule type="cellIs" dxfId="17907" priority="2977" operator="greaterThan">
      <formula>0</formula>
    </cfRule>
    <cfRule type="cellIs" dxfId="17906" priority="2978" operator="lessThanOrEqual">
      <formula>0</formula>
    </cfRule>
  </conditionalFormatting>
  <conditionalFormatting sqref="F169">
    <cfRule type="cellIs" dxfId="17905" priority="2976" operator="greaterThanOrEqual">
      <formula>0</formula>
    </cfRule>
  </conditionalFormatting>
  <conditionalFormatting sqref="F169">
    <cfRule type="cellIs" dxfId="17904" priority="2975" operator="lessThan">
      <formula>0</formula>
    </cfRule>
  </conditionalFormatting>
  <conditionalFormatting sqref="M170:N170">
    <cfRule type="cellIs" dxfId="17903" priority="3018" operator="greaterThanOrEqual">
      <formula>0</formula>
    </cfRule>
  </conditionalFormatting>
  <conditionalFormatting sqref="M170:N170">
    <cfRule type="cellIs" dxfId="17902" priority="3017" operator="lessThan">
      <formula>0</formula>
    </cfRule>
  </conditionalFormatting>
  <conditionalFormatting sqref="F178">
    <cfRule type="cellIs" dxfId="17901" priority="2966" operator="greaterThanOrEqual">
      <formula>0</formula>
    </cfRule>
  </conditionalFormatting>
  <conditionalFormatting sqref="F178">
    <cfRule type="cellIs" dxfId="17900" priority="2965" operator="lessThan">
      <formula>0</formula>
    </cfRule>
  </conditionalFormatting>
  <conditionalFormatting sqref="G147">
    <cfRule type="cellIs" dxfId="17899" priority="3039" operator="greaterThan">
      <formula>0</formula>
    </cfRule>
    <cfRule type="cellIs" dxfId="17898" priority="3040" operator="lessThanOrEqual">
      <formula>0</formula>
    </cfRule>
  </conditionalFormatting>
  <conditionalFormatting sqref="F147">
    <cfRule type="cellIs" dxfId="17897" priority="3038" operator="greaterThanOrEqual">
      <formula>0</formula>
    </cfRule>
  </conditionalFormatting>
  <conditionalFormatting sqref="F147">
    <cfRule type="cellIs" dxfId="17896" priority="3037" operator="lessThan">
      <formula>0</formula>
    </cfRule>
  </conditionalFormatting>
  <conditionalFormatting sqref="J160">
    <cfRule type="cellIs" dxfId="17895" priority="3028" operator="greaterThanOrEqual">
      <formula>0</formula>
    </cfRule>
  </conditionalFormatting>
  <conditionalFormatting sqref="J160">
    <cfRule type="cellIs" dxfId="17894" priority="3027" operator="lessThan">
      <formula>0</formula>
    </cfRule>
  </conditionalFormatting>
  <conditionalFormatting sqref="M160:N160">
    <cfRule type="cellIs" dxfId="17893" priority="3026" operator="greaterThanOrEqual">
      <formula>0</formula>
    </cfRule>
  </conditionalFormatting>
  <conditionalFormatting sqref="M160:N160">
    <cfRule type="cellIs" dxfId="17892" priority="3025" operator="lessThan">
      <formula>0</formula>
    </cfRule>
  </conditionalFormatting>
  <conditionalFormatting sqref="G160">
    <cfRule type="cellIs" dxfId="17891" priority="3031" operator="greaterThan">
      <formula>0</formula>
    </cfRule>
    <cfRule type="cellIs" dxfId="17890" priority="3032" operator="lessThanOrEqual">
      <formula>0</formula>
    </cfRule>
  </conditionalFormatting>
  <conditionalFormatting sqref="J170">
    <cfRule type="cellIs" dxfId="17889" priority="3020" operator="greaterThanOrEqual">
      <formula>0</formula>
    </cfRule>
  </conditionalFormatting>
  <conditionalFormatting sqref="J170">
    <cfRule type="cellIs" dxfId="17888" priority="3019" operator="lessThan">
      <formula>0</formula>
    </cfRule>
  </conditionalFormatting>
  <conditionalFormatting sqref="N163">
    <cfRule type="cellIs" dxfId="17887" priority="2989" operator="lessThan">
      <formula>0</formula>
    </cfRule>
  </conditionalFormatting>
  <conditionalFormatting sqref="N169">
    <cfRule type="cellIs" dxfId="17886" priority="2969" operator="lessThan">
      <formula>0</formula>
    </cfRule>
  </conditionalFormatting>
  <conditionalFormatting sqref="J163">
    <cfRule type="cellIs" dxfId="17885" priority="2994" operator="greaterThanOrEqual">
      <formula>0</formula>
    </cfRule>
  </conditionalFormatting>
  <conditionalFormatting sqref="J163">
    <cfRule type="cellIs" dxfId="17884" priority="2993" operator="lessThan">
      <formula>0</formula>
    </cfRule>
  </conditionalFormatting>
  <conditionalFormatting sqref="N163">
    <cfRule type="cellIs" dxfId="17883" priority="2990" operator="greaterThanOrEqual">
      <formula>0</formula>
    </cfRule>
  </conditionalFormatting>
  <conditionalFormatting sqref="N178">
    <cfRule type="cellIs" dxfId="17882" priority="2959" operator="lessThan">
      <formula>0</formula>
    </cfRule>
  </conditionalFormatting>
  <conditionalFormatting sqref="G161:G162 G164:G165">
    <cfRule type="cellIs" dxfId="17881" priority="3015" operator="greaterThan">
      <formula>0</formula>
    </cfRule>
    <cfRule type="cellIs" dxfId="17880" priority="3016" operator="lessThanOrEqual">
      <formula>0</formula>
    </cfRule>
  </conditionalFormatting>
  <conditionalFormatting sqref="F161:F162 F164:F165">
    <cfRule type="cellIs" dxfId="17879" priority="3013" operator="lessThan">
      <formula>0</formula>
    </cfRule>
    <cfRule type="cellIs" dxfId="17878" priority="3014" operator="greaterThanOrEqual">
      <formula>0</formula>
    </cfRule>
  </conditionalFormatting>
  <conditionalFormatting sqref="J161:J162 J164:J165">
    <cfRule type="cellIs" dxfId="17877" priority="3011" operator="lessThan">
      <formula>0</formula>
    </cfRule>
    <cfRule type="cellIs" dxfId="17876" priority="3012" operator="greaterThanOrEqual">
      <formula>0</formula>
    </cfRule>
  </conditionalFormatting>
  <conditionalFormatting sqref="M161:M162 M164:M165">
    <cfRule type="cellIs" dxfId="17875" priority="3009" operator="lessThan">
      <formula>0</formula>
    </cfRule>
    <cfRule type="cellIs" dxfId="17874" priority="3010" operator="greaterThanOrEqual">
      <formula>0</formula>
    </cfRule>
  </conditionalFormatting>
  <conditionalFormatting sqref="N161:N162 N164:N165">
    <cfRule type="cellIs" dxfId="17873" priority="3007" operator="lessThan">
      <formula>0</formula>
    </cfRule>
    <cfRule type="cellIs" dxfId="17872" priority="3008" operator="greaterThanOrEqual">
      <formula>0</formula>
    </cfRule>
  </conditionalFormatting>
  <conditionalFormatting sqref="J176:J177 J179:J180">
    <cfRule type="cellIs" dxfId="17871" priority="3001" operator="lessThan">
      <formula>0</formula>
    </cfRule>
    <cfRule type="cellIs" dxfId="17870" priority="3002" operator="greaterThanOrEqual">
      <formula>0</formula>
    </cfRule>
  </conditionalFormatting>
  <conditionalFormatting sqref="M176:N177 M179:N180">
    <cfRule type="cellIs" dxfId="17869" priority="2999" operator="lessThan">
      <formula>0</formula>
    </cfRule>
    <cfRule type="cellIs" dxfId="17868" priority="3000" operator="greaterThanOrEqual">
      <formula>0</formula>
    </cfRule>
  </conditionalFormatting>
  <conditionalFormatting sqref="G176:G177 G179:G180">
    <cfRule type="cellIs" dxfId="17867" priority="3005" operator="greaterThan">
      <formula>0</formula>
    </cfRule>
    <cfRule type="cellIs" dxfId="17866" priority="3006" operator="lessThanOrEqual">
      <formula>0</formula>
    </cfRule>
  </conditionalFormatting>
  <conditionalFormatting sqref="F176:F177 F179:F180">
    <cfRule type="cellIs" dxfId="17865" priority="3003" operator="lessThan">
      <formula>0</formula>
    </cfRule>
    <cfRule type="cellIs" dxfId="17864" priority="3004" operator="greaterThanOrEqual">
      <formula>0</formula>
    </cfRule>
  </conditionalFormatting>
  <conditionalFormatting sqref="G178">
    <cfRule type="cellIs" dxfId="17863" priority="2967" operator="greaterThan">
      <formula>0</formula>
    </cfRule>
    <cfRule type="cellIs" dxfId="17862" priority="2968" operator="lessThanOrEqual">
      <formula>0</formula>
    </cfRule>
  </conditionalFormatting>
  <conditionalFormatting sqref="F181">
    <cfRule type="cellIs" dxfId="17861" priority="2956" operator="greaterThanOrEqual">
      <formula>0</formula>
    </cfRule>
  </conditionalFormatting>
  <conditionalFormatting sqref="F181">
    <cfRule type="cellIs" dxfId="17860" priority="2955" operator="lessThan">
      <formula>0</formula>
    </cfRule>
  </conditionalFormatting>
  <conditionalFormatting sqref="J166">
    <cfRule type="cellIs" dxfId="17859" priority="2984" operator="greaterThanOrEqual">
      <formula>0</formula>
    </cfRule>
  </conditionalFormatting>
  <conditionalFormatting sqref="J166">
    <cfRule type="cellIs" dxfId="17858" priority="2983" operator="lessThan">
      <formula>0</formula>
    </cfRule>
  </conditionalFormatting>
  <conditionalFormatting sqref="M166">
    <cfRule type="cellIs" dxfId="17857" priority="2982" operator="greaterThanOrEqual">
      <formula>0</formula>
    </cfRule>
  </conditionalFormatting>
  <conditionalFormatting sqref="M166">
    <cfRule type="cellIs" dxfId="17856" priority="2981" operator="lessThan">
      <formula>0</formula>
    </cfRule>
  </conditionalFormatting>
  <conditionalFormatting sqref="N181">
    <cfRule type="cellIs" dxfId="17855" priority="2949" operator="lessThan">
      <formula>0</formula>
    </cfRule>
  </conditionalFormatting>
  <conditionalFormatting sqref="G181">
    <cfRule type="cellIs" dxfId="17854" priority="2957" operator="greaterThan">
      <formula>0</formula>
    </cfRule>
    <cfRule type="cellIs" dxfId="17853" priority="2958" operator="lessThanOrEqual">
      <formula>0</formula>
    </cfRule>
  </conditionalFormatting>
  <conditionalFormatting sqref="F184">
    <cfRule type="cellIs" dxfId="17852" priority="2946" operator="greaterThanOrEqual">
      <formula>0</formula>
    </cfRule>
  </conditionalFormatting>
  <conditionalFormatting sqref="F184">
    <cfRule type="cellIs" dxfId="17851" priority="2945" operator="lessThan">
      <formula>0</formula>
    </cfRule>
  </conditionalFormatting>
  <conditionalFormatting sqref="M169">
    <cfRule type="cellIs" dxfId="17850" priority="2972" operator="greaterThanOrEqual">
      <formula>0</formula>
    </cfRule>
  </conditionalFormatting>
  <conditionalFormatting sqref="M169">
    <cfRule type="cellIs" dxfId="17849" priority="2971" operator="lessThan">
      <formula>0</formula>
    </cfRule>
  </conditionalFormatting>
  <conditionalFormatting sqref="N184">
    <cfRule type="cellIs" dxfId="17848" priority="2939" operator="lessThan">
      <formula>0</formula>
    </cfRule>
  </conditionalFormatting>
  <conditionalFormatting sqref="J169">
    <cfRule type="cellIs" dxfId="17847" priority="2974" operator="greaterThanOrEqual">
      <formula>0</formula>
    </cfRule>
  </conditionalFormatting>
  <conditionalFormatting sqref="J169">
    <cfRule type="cellIs" dxfId="17846" priority="2973" operator="lessThan">
      <formula>0</formula>
    </cfRule>
  </conditionalFormatting>
  <conditionalFormatting sqref="N169">
    <cfRule type="cellIs" dxfId="17845" priority="2970" operator="greaterThanOrEqual">
      <formula>0</formula>
    </cfRule>
  </conditionalFormatting>
  <conditionalFormatting sqref="G184">
    <cfRule type="cellIs" dxfId="17844" priority="2947" operator="greaterThan">
      <formula>0</formula>
    </cfRule>
    <cfRule type="cellIs" dxfId="17843" priority="2948" operator="lessThanOrEqual">
      <formula>0</formula>
    </cfRule>
  </conditionalFormatting>
  <conditionalFormatting sqref="J178">
    <cfRule type="cellIs" dxfId="17842" priority="2964" operator="greaterThanOrEqual">
      <formula>0</formula>
    </cfRule>
  </conditionalFormatting>
  <conditionalFormatting sqref="J178">
    <cfRule type="cellIs" dxfId="17841" priority="2963" operator="lessThan">
      <formula>0</formula>
    </cfRule>
  </conditionalFormatting>
  <conditionalFormatting sqref="M178">
    <cfRule type="cellIs" dxfId="17840" priority="2962" operator="greaterThanOrEqual">
      <formula>0</formula>
    </cfRule>
  </conditionalFormatting>
  <conditionalFormatting sqref="M178">
    <cfRule type="cellIs" dxfId="17839" priority="2961" operator="lessThan">
      <formula>0</formula>
    </cfRule>
  </conditionalFormatting>
  <conditionalFormatting sqref="N178">
    <cfRule type="cellIs" dxfId="17838" priority="2960" operator="greaterThanOrEqual">
      <formula>0</formula>
    </cfRule>
  </conditionalFormatting>
  <conditionalFormatting sqref="M181">
    <cfRule type="cellIs" dxfId="17837" priority="2952" operator="greaterThanOrEqual">
      <formula>0</formula>
    </cfRule>
  </conditionalFormatting>
  <conditionalFormatting sqref="M181">
    <cfRule type="cellIs" dxfId="17836" priority="2951" operator="lessThan">
      <formula>0</formula>
    </cfRule>
  </conditionalFormatting>
  <conditionalFormatting sqref="N181">
    <cfRule type="cellIs" dxfId="17835" priority="2950" operator="greaterThanOrEqual">
      <formula>0</formula>
    </cfRule>
  </conditionalFormatting>
  <conditionalFormatting sqref="M184">
    <cfRule type="cellIs" dxfId="17834" priority="2942" operator="greaterThanOrEqual">
      <formula>0</formula>
    </cfRule>
  </conditionalFormatting>
  <conditionalFormatting sqref="M184">
    <cfRule type="cellIs" dxfId="17833" priority="2941" operator="lessThan">
      <formula>0</formula>
    </cfRule>
  </conditionalFormatting>
  <conditionalFormatting sqref="N184">
    <cfRule type="cellIs" dxfId="17832" priority="2940" operator="greaterThanOrEqual">
      <formula>0</formula>
    </cfRule>
  </conditionalFormatting>
  <conditionalFormatting sqref="G24">
    <cfRule type="cellIs" dxfId="17831" priority="2937" operator="greaterThan">
      <formula>0</formula>
    </cfRule>
    <cfRule type="cellIs" dxfId="17830" priority="2938" operator="lessThanOrEqual">
      <formula>0</formula>
    </cfRule>
  </conditionalFormatting>
  <conditionalFormatting sqref="N51">
    <cfRule type="cellIs" dxfId="17829" priority="2925" operator="lessThan">
      <formula>0</formula>
    </cfRule>
  </conditionalFormatting>
  <conditionalFormatting sqref="G55">
    <cfRule type="cellIs" dxfId="17828" priority="2935" operator="greaterThan">
      <formula>0</formula>
    </cfRule>
    <cfRule type="cellIs" dxfId="17827" priority="2936" operator="lessThanOrEqual">
      <formula>0</formula>
    </cfRule>
  </conditionalFormatting>
  <conditionalFormatting sqref="F55">
    <cfRule type="cellIs" dxfId="17826" priority="2934" operator="greaterThanOrEqual">
      <formula>0</formula>
    </cfRule>
  </conditionalFormatting>
  <conditionalFormatting sqref="F55">
    <cfRule type="cellIs" dxfId="17825" priority="2933" operator="lessThan">
      <formula>0</formula>
    </cfRule>
  </conditionalFormatting>
  <conditionalFormatting sqref="G51">
    <cfRule type="cellIs" dxfId="17824" priority="2931" operator="greaterThan">
      <formula>0</formula>
    </cfRule>
    <cfRule type="cellIs" dxfId="17823" priority="2932" operator="lessThanOrEqual">
      <formula>0</formula>
    </cfRule>
  </conditionalFormatting>
  <conditionalFormatting sqref="F51">
    <cfRule type="cellIs" dxfId="17822" priority="2930" operator="greaterThanOrEqual">
      <formula>0</formula>
    </cfRule>
  </conditionalFormatting>
  <conditionalFormatting sqref="F51">
    <cfRule type="cellIs" dxfId="17821" priority="2929" operator="lessThan">
      <formula>0</formula>
    </cfRule>
  </conditionalFormatting>
  <conditionalFormatting sqref="M51">
    <cfRule type="cellIs" dxfId="17820" priority="2928" operator="greaterThanOrEqual">
      <formula>0</formula>
    </cfRule>
  </conditionalFormatting>
  <conditionalFormatting sqref="M51">
    <cfRule type="cellIs" dxfId="17819" priority="2927" operator="lessThan">
      <formula>0</formula>
    </cfRule>
  </conditionalFormatting>
  <conditionalFormatting sqref="N51">
    <cfRule type="cellIs" dxfId="17818" priority="2926" operator="greaterThanOrEqual">
      <formula>0</formula>
    </cfRule>
  </conditionalFormatting>
  <conditionalFormatting sqref="G68">
    <cfRule type="cellIs" dxfId="17817" priority="2923" operator="greaterThan">
      <formula>0</formula>
    </cfRule>
    <cfRule type="cellIs" dxfId="17816" priority="2924" operator="lessThanOrEqual">
      <formula>0</formula>
    </cfRule>
  </conditionalFormatting>
  <conditionalFormatting sqref="M68">
    <cfRule type="cellIs" dxfId="17815" priority="2921" operator="lessThan">
      <formula>0</formula>
    </cfRule>
    <cfRule type="cellIs" dxfId="17814" priority="2922" operator="greaterThanOrEqual">
      <formula>0</formula>
    </cfRule>
  </conditionalFormatting>
  <conditionalFormatting sqref="N68">
    <cfRule type="cellIs" dxfId="17813" priority="2919" operator="lessThan">
      <formula>0</formula>
    </cfRule>
    <cfRule type="cellIs" dxfId="17812" priority="2920" operator="greaterThanOrEqual">
      <formula>0</formula>
    </cfRule>
  </conditionalFormatting>
  <conditionalFormatting sqref="G69">
    <cfRule type="cellIs" dxfId="17811" priority="2917" operator="greaterThan">
      <formula>0</formula>
    </cfRule>
    <cfRule type="cellIs" dxfId="17810" priority="2918" operator="lessThanOrEqual">
      <formula>0</formula>
    </cfRule>
  </conditionalFormatting>
  <conditionalFormatting sqref="M71">
    <cfRule type="cellIs" dxfId="17809" priority="2915" operator="lessThan">
      <formula>0</formula>
    </cfRule>
    <cfRule type="cellIs" dxfId="17808" priority="2916" operator="greaterThanOrEqual">
      <formula>0</formula>
    </cfRule>
  </conditionalFormatting>
  <conditionalFormatting sqref="G71">
    <cfRule type="cellIs" dxfId="17807" priority="2913" operator="greaterThan">
      <formula>0</formula>
    </cfRule>
    <cfRule type="cellIs" dxfId="17806" priority="2914" operator="lessThanOrEqual">
      <formula>0</formula>
    </cfRule>
  </conditionalFormatting>
  <conditionalFormatting sqref="F24">
    <cfRule type="cellIs" dxfId="17805" priority="2912" operator="greaterThanOrEqual">
      <formula>0</formula>
    </cfRule>
  </conditionalFormatting>
  <conditionalFormatting sqref="F24">
    <cfRule type="cellIs" dxfId="17804" priority="2911" operator="lessThan">
      <formula>0</formula>
    </cfRule>
  </conditionalFormatting>
  <conditionalFormatting sqref="F27">
    <cfRule type="cellIs" dxfId="17803" priority="2910" operator="greaterThanOrEqual">
      <formula>0</formula>
    </cfRule>
  </conditionalFormatting>
  <conditionalFormatting sqref="F27">
    <cfRule type="cellIs" dxfId="17802" priority="2909" operator="lessThan">
      <formula>0</formula>
    </cfRule>
  </conditionalFormatting>
  <conditionalFormatting sqref="F40">
    <cfRule type="cellIs" dxfId="17801" priority="2908" operator="greaterThanOrEqual">
      <formula>0</formula>
    </cfRule>
  </conditionalFormatting>
  <conditionalFormatting sqref="F40">
    <cfRule type="cellIs" dxfId="17800" priority="2907" operator="lessThan">
      <formula>0</formula>
    </cfRule>
  </conditionalFormatting>
  <conditionalFormatting sqref="F43">
    <cfRule type="cellIs" dxfId="17799" priority="2906" operator="greaterThanOrEqual">
      <formula>0</formula>
    </cfRule>
  </conditionalFormatting>
  <conditionalFormatting sqref="F43">
    <cfRule type="cellIs" dxfId="17798" priority="2905" operator="lessThan">
      <formula>0</formula>
    </cfRule>
  </conditionalFormatting>
  <conditionalFormatting sqref="F46">
    <cfRule type="cellIs" dxfId="17797" priority="2904" operator="greaterThanOrEqual">
      <formula>0</formula>
    </cfRule>
  </conditionalFormatting>
  <conditionalFormatting sqref="F46">
    <cfRule type="cellIs" dxfId="17796" priority="2903" operator="lessThan">
      <formula>0</formula>
    </cfRule>
  </conditionalFormatting>
  <conditionalFormatting sqref="F49">
    <cfRule type="cellIs" dxfId="17795" priority="2902" operator="greaterThanOrEqual">
      <formula>0</formula>
    </cfRule>
  </conditionalFormatting>
  <conditionalFormatting sqref="F49">
    <cfRule type="cellIs" dxfId="17794" priority="2901" operator="lessThan">
      <formula>0</formula>
    </cfRule>
  </conditionalFormatting>
  <conditionalFormatting sqref="F50">
    <cfRule type="cellIs" dxfId="17793" priority="2900" operator="greaterThanOrEqual">
      <formula>0</formula>
    </cfRule>
  </conditionalFormatting>
  <conditionalFormatting sqref="F50">
    <cfRule type="cellIs" dxfId="17792" priority="2899" operator="lessThan">
      <formula>0</formula>
    </cfRule>
  </conditionalFormatting>
  <conditionalFormatting sqref="F58">
    <cfRule type="cellIs" dxfId="17791" priority="2898" operator="greaterThanOrEqual">
      <formula>0</formula>
    </cfRule>
  </conditionalFormatting>
  <conditionalFormatting sqref="F58">
    <cfRule type="cellIs" dxfId="17790" priority="2897" operator="lessThan">
      <formula>0</formula>
    </cfRule>
  </conditionalFormatting>
  <conditionalFormatting sqref="F64">
    <cfRule type="cellIs" dxfId="17789" priority="2896" operator="greaterThanOrEqual">
      <formula>0</formula>
    </cfRule>
  </conditionalFormatting>
  <conditionalFormatting sqref="F64">
    <cfRule type="cellIs" dxfId="17788" priority="2895" operator="lessThan">
      <formula>0</formula>
    </cfRule>
  </conditionalFormatting>
  <conditionalFormatting sqref="F65">
    <cfRule type="cellIs" dxfId="17787" priority="2894" operator="greaterThanOrEqual">
      <formula>0</formula>
    </cfRule>
  </conditionalFormatting>
  <conditionalFormatting sqref="F65">
    <cfRule type="cellIs" dxfId="17786" priority="2893" operator="lessThan">
      <formula>0</formula>
    </cfRule>
  </conditionalFormatting>
  <conditionalFormatting sqref="F67:F69">
    <cfRule type="cellIs" dxfId="17785" priority="2891" operator="lessThan">
      <formula>0</formula>
    </cfRule>
    <cfRule type="cellIs" dxfId="17784" priority="2892" operator="greaterThanOrEqual">
      <formula>0</formula>
    </cfRule>
  </conditionalFormatting>
  <conditionalFormatting sqref="F70:F71">
    <cfRule type="cellIs" dxfId="17783" priority="2890" operator="greaterThanOrEqual">
      <formula>0</formula>
    </cfRule>
  </conditionalFormatting>
  <conditionalFormatting sqref="F70:F71">
    <cfRule type="cellIs" dxfId="17782" priority="2889" operator="lessThan">
      <formula>0</formula>
    </cfRule>
  </conditionalFormatting>
  <conditionalFormatting sqref="F72">
    <cfRule type="cellIs" dxfId="17781" priority="2888" operator="greaterThanOrEqual">
      <formula>0</formula>
    </cfRule>
  </conditionalFormatting>
  <conditionalFormatting sqref="F72">
    <cfRule type="cellIs" dxfId="17780" priority="2887" operator="lessThan">
      <formula>0</formula>
    </cfRule>
  </conditionalFormatting>
  <conditionalFormatting sqref="F41:F42">
    <cfRule type="cellIs" dxfId="17779" priority="2885" operator="lessThan">
      <formula>0</formula>
    </cfRule>
    <cfRule type="cellIs" dxfId="17778" priority="2886" operator="greaterThanOrEqual">
      <formula>0</formula>
    </cfRule>
  </conditionalFormatting>
  <conditionalFormatting sqref="F44:F45">
    <cfRule type="cellIs" dxfId="17777" priority="2883" operator="lessThan">
      <formula>0</formula>
    </cfRule>
    <cfRule type="cellIs" dxfId="17776" priority="2884" operator="greaterThanOrEqual">
      <formula>0</formula>
    </cfRule>
  </conditionalFormatting>
  <conditionalFormatting sqref="F56:F57">
    <cfRule type="cellIs" dxfId="17775" priority="2881" operator="lessThan">
      <formula>0</formula>
    </cfRule>
    <cfRule type="cellIs" dxfId="17774" priority="2882" operator="greaterThanOrEqual">
      <formula>0</formula>
    </cfRule>
  </conditionalFormatting>
  <conditionalFormatting sqref="F59:F60">
    <cfRule type="cellIs" dxfId="17773" priority="2879" operator="lessThan">
      <formula>0</formula>
    </cfRule>
    <cfRule type="cellIs" dxfId="17772" priority="2880" operator="greaterThanOrEqual">
      <formula>0</formula>
    </cfRule>
  </conditionalFormatting>
  <conditionalFormatting sqref="F62:F63">
    <cfRule type="cellIs" dxfId="17771" priority="2877" operator="lessThan">
      <formula>0</formula>
    </cfRule>
    <cfRule type="cellIs" dxfId="17770" priority="2878" operator="greaterThanOrEqual">
      <formula>0</formula>
    </cfRule>
  </conditionalFormatting>
  <conditionalFormatting sqref="K12:K13">
    <cfRule type="cellIs" dxfId="17769" priority="2875" operator="greaterThan">
      <formula>0</formula>
    </cfRule>
    <cfRule type="cellIs" dxfId="17768" priority="2876" operator="lessThanOrEqual">
      <formula>0</formula>
    </cfRule>
  </conditionalFormatting>
  <conditionalFormatting sqref="K15:K16">
    <cfRule type="cellIs" dxfId="17767" priority="2873" operator="greaterThan">
      <formula>0</formula>
    </cfRule>
    <cfRule type="cellIs" dxfId="17766" priority="2874" operator="lessThanOrEqual">
      <formula>0</formula>
    </cfRule>
  </conditionalFormatting>
  <conditionalFormatting sqref="K18:K19">
    <cfRule type="cellIs" dxfId="17765" priority="2871" operator="greaterThan">
      <formula>0</formula>
    </cfRule>
    <cfRule type="cellIs" dxfId="17764" priority="2872" operator="lessThanOrEqual">
      <formula>0</formula>
    </cfRule>
  </conditionalFormatting>
  <conditionalFormatting sqref="K28:K29">
    <cfRule type="cellIs" dxfId="17763" priority="2869" operator="greaterThan">
      <formula>0</formula>
    </cfRule>
    <cfRule type="cellIs" dxfId="17762" priority="2870" operator="lessThanOrEqual">
      <formula>0</formula>
    </cfRule>
  </conditionalFormatting>
  <conditionalFormatting sqref="K21:K22">
    <cfRule type="cellIs" dxfId="17761" priority="2867" operator="greaterThan">
      <formula>0</formula>
    </cfRule>
    <cfRule type="cellIs" dxfId="17760" priority="2868" operator="lessThanOrEqual">
      <formula>0</formula>
    </cfRule>
  </conditionalFormatting>
  <conditionalFormatting sqref="K31:K32">
    <cfRule type="cellIs" dxfId="17759" priority="2865" operator="greaterThan">
      <formula>0</formula>
    </cfRule>
    <cfRule type="cellIs" dxfId="17758" priority="2866" operator="lessThanOrEqual">
      <formula>0</formula>
    </cfRule>
  </conditionalFormatting>
  <conditionalFormatting sqref="K34:K35">
    <cfRule type="cellIs" dxfId="17757" priority="2863" operator="greaterThan">
      <formula>0</formula>
    </cfRule>
    <cfRule type="cellIs" dxfId="17756" priority="2864" operator="lessThanOrEqual">
      <formula>0</formula>
    </cfRule>
  </conditionalFormatting>
  <conditionalFormatting sqref="K37:K38">
    <cfRule type="cellIs" dxfId="17755" priority="2861" operator="greaterThan">
      <formula>0</formula>
    </cfRule>
    <cfRule type="cellIs" dxfId="17754" priority="2862" operator="lessThanOrEqual">
      <formula>0</formula>
    </cfRule>
  </conditionalFormatting>
  <conditionalFormatting sqref="K47:K48">
    <cfRule type="cellIs" dxfId="17753" priority="2859" operator="greaterThan">
      <formula>0</formula>
    </cfRule>
    <cfRule type="cellIs" dxfId="17752" priority="2860" operator="lessThanOrEqual">
      <formula>0</formula>
    </cfRule>
  </conditionalFormatting>
  <conditionalFormatting sqref="K62:K63">
    <cfRule type="cellIs" dxfId="17751" priority="2857" operator="greaterThan">
      <formula>0</formula>
    </cfRule>
    <cfRule type="cellIs" dxfId="17750" priority="2858" operator="lessThanOrEqual">
      <formula>0</formula>
    </cfRule>
  </conditionalFormatting>
  <conditionalFormatting sqref="K52:K53">
    <cfRule type="cellIs" dxfId="17749" priority="2855" operator="greaterThan">
      <formula>0</formula>
    </cfRule>
    <cfRule type="cellIs" dxfId="17748" priority="2856" operator="lessThanOrEqual">
      <formula>0</formula>
    </cfRule>
  </conditionalFormatting>
  <conditionalFormatting sqref="K14">
    <cfRule type="cellIs" dxfId="17747" priority="2853" operator="greaterThan">
      <formula>0</formula>
    </cfRule>
    <cfRule type="cellIs" dxfId="17746" priority="2854" operator="lessThanOrEqual">
      <formula>0</formula>
    </cfRule>
  </conditionalFormatting>
  <conditionalFormatting sqref="K17">
    <cfRule type="cellIs" dxfId="17745" priority="2851" operator="greaterThan">
      <formula>0</formula>
    </cfRule>
    <cfRule type="cellIs" dxfId="17744" priority="2852" operator="lessThanOrEqual">
      <formula>0</formula>
    </cfRule>
  </conditionalFormatting>
  <conditionalFormatting sqref="K20">
    <cfRule type="cellIs" dxfId="17743" priority="2849" operator="greaterThan">
      <formula>0</formula>
    </cfRule>
    <cfRule type="cellIs" dxfId="17742" priority="2850" operator="lessThanOrEqual">
      <formula>0</formula>
    </cfRule>
  </conditionalFormatting>
  <conditionalFormatting sqref="K30">
    <cfRule type="cellIs" dxfId="17741" priority="2847" operator="greaterThan">
      <formula>0</formula>
    </cfRule>
    <cfRule type="cellIs" dxfId="17740" priority="2848" operator="lessThanOrEqual">
      <formula>0</formula>
    </cfRule>
  </conditionalFormatting>
  <conditionalFormatting sqref="K23">
    <cfRule type="cellIs" dxfId="17739" priority="2845" operator="greaterThan">
      <formula>0</formula>
    </cfRule>
    <cfRule type="cellIs" dxfId="17738" priority="2846" operator="lessThanOrEqual">
      <formula>0</formula>
    </cfRule>
  </conditionalFormatting>
  <conditionalFormatting sqref="K33">
    <cfRule type="cellIs" dxfId="17737" priority="2843" operator="greaterThan">
      <formula>0</formula>
    </cfRule>
    <cfRule type="cellIs" dxfId="17736" priority="2844" operator="lessThanOrEqual">
      <formula>0</formula>
    </cfRule>
  </conditionalFormatting>
  <conditionalFormatting sqref="K36">
    <cfRule type="cellIs" dxfId="17735" priority="2841" operator="greaterThan">
      <formula>0</formula>
    </cfRule>
    <cfRule type="cellIs" dxfId="17734" priority="2842" operator="lessThanOrEqual">
      <formula>0</formula>
    </cfRule>
  </conditionalFormatting>
  <conditionalFormatting sqref="K39">
    <cfRule type="cellIs" dxfId="17733" priority="2839" operator="greaterThan">
      <formula>0</formula>
    </cfRule>
    <cfRule type="cellIs" dxfId="17732" priority="2840" operator="lessThanOrEqual">
      <formula>0</formula>
    </cfRule>
  </conditionalFormatting>
  <conditionalFormatting sqref="K25">
    <cfRule type="cellIs" dxfId="17731" priority="2837" operator="greaterThan">
      <formula>0</formula>
    </cfRule>
    <cfRule type="cellIs" dxfId="17730" priority="2838" operator="lessThanOrEqual">
      <formula>0</formula>
    </cfRule>
  </conditionalFormatting>
  <conditionalFormatting sqref="K65">
    <cfRule type="cellIs" dxfId="17729" priority="2835" operator="greaterThan">
      <formula>0</formula>
    </cfRule>
    <cfRule type="cellIs" dxfId="17728" priority="2836" operator="lessThanOrEqual">
      <formula>0</formula>
    </cfRule>
  </conditionalFormatting>
  <conditionalFormatting sqref="J12:J13 J15:J16 J18:J19 J21:J22 J28:J29 J31:J32 J34:J35 J37:J38 J47:J48 J52:J53">
    <cfRule type="cellIs" dxfId="17727" priority="2833" operator="lessThan">
      <formula>0</formula>
    </cfRule>
    <cfRule type="cellIs" dxfId="17726" priority="2834" operator="greaterThanOrEqual">
      <formula>0</formula>
    </cfRule>
  </conditionalFormatting>
  <conditionalFormatting sqref="J14 J17 J20 J23 J25 J30 J33 J36 J39">
    <cfRule type="cellIs" dxfId="17725" priority="2832" operator="greaterThanOrEqual">
      <formula>0</formula>
    </cfRule>
  </conditionalFormatting>
  <conditionalFormatting sqref="J14 J17 J20 J23 J25 J30 J33 J36 J39">
    <cfRule type="cellIs" dxfId="17724" priority="2831" operator="lessThan">
      <formula>0</formula>
    </cfRule>
  </conditionalFormatting>
  <conditionalFormatting sqref="K50">
    <cfRule type="cellIs" dxfId="17723" priority="2825" operator="greaterThan">
      <formula>0</formula>
    </cfRule>
    <cfRule type="cellIs" dxfId="17722" priority="2826" operator="lessThanOrEqual">
      <formula>0</formula>
    </cfRule>
  </conditionalFormatting>
  <conditionalFormatting sqref="K43">
    <cfRule type="cellIs" dxfId="17721" priority="2819" operator="greaterThan">
      <formula>0</formula>
    </cfRule>
    <cfRule type="cellIs" dxfId="17720" priority="2820" operator="lessThanOrEqual">
      <formula>0</formula>
    </cfRule>
  </conditionalFormatting>
  <conditionalFormatting sqref="K49">
    <cfRule type="cellIs" dxfId="17719" priority="2815" operator="greaterThan">
      <formula>0</formula>
    </cfRule>
    <cfRule type="cellIs" dxfId="17718" priority="2816" operator="lessThanOrEqual">
      <formula>0</formula>
    </cfRule>
  </conditionalFormatting>
  <conditionalFormatting sqref="K27">
    <cfRule type="cellIs" dxfId="17717" priority="2829" operator="greaterThan">
      <formula>0</formula>
    </cfRule>
    <cfRule type="cellIs" dxfId="17716" priority="2830" operator="lessThanOrEqual">
      <formula>0</formula>
    </cfRule>
  </conditionalFormatting>
  <conditionalFormatting sqref="K40">
    <cfRule type="cellIs" dxfId="17715" priority="2827" operator="greaterThan">
      <formula>0</formula>
    </cfRule>
    <cfRule type="cellIs" dxfId="17714" priority="2828" operator="lessThanOrEqual">
      <formula>0</formula>
    </cfRule>
  </conditionalFormatting>
  <conditionalFormatting sqref="K41:K42 K44:K45">
    <cfRule type="cellIs" dxfId="17713" priority="2823" operator="greaterThan">
      <formula>0</formula>
    </cfRule>
    <cfRule type="cellIs" dxfId="17712" priority="2824" operator="lessThanOrEqual">
      <formula>0</formula>
    </cfRule>
  </conditionalFormatting>
  <conditionalFormatting sqref="K56:K57 K59:K60">
    <cfRule type="cellIs" dxfId="17711" priority="2821" operator="greaterThan">
      <formula>0</formula>
    </cfRule>
    <cfRule type="cellIs" dxfId="17710" priority="2822" operator="lessThanOrEqual">
      <formula>0</formula>
    </cfRule>
  </conditionalFormatting>
  <conditionalFormatting sqref="K61">
    <cfRule type="cellIs" dxfId="17709" priority="2811" operator="greaterThan">
      <formula>0</formula>
    </cfRule>
    <cfRule type="cellIs" dxfId="17708" priority="2812" operator="lessThanOrEqual">
      <formula>0</formula>
    </cfRule>
  </conditionalFormatting>
  <conditionalFormatting sqref="K64">
    <cfRule type="cellIs" dxfId="17707" priority="2807" operator="greaterThan">
      <formula>0</formula>
    </cfRule>
    <cfRule type="cellIs" dxfId="17706" priority="2808" operator="lessThanOrEqual">
      <formula>0</formula>
    </cfRule>
  </conditionalFormatting>
  <conditionalFormatting sqref="K24">
    <cfRule type="cellIs" dxfId="17705" priority="2805" operator="greaterThan">
      <formula>0</formula>
    </cfRule>
    <cfRule type="cellIs" dxfId="17704" priority="2806" operator="lessThanOrEqual">
      <formula>0</formula>
    </cfRule>
  </conditionalFormatting>
  <conditionalFormatting sqref="K55">
    <cfRule type="cellIs" dxfId="17703" priority="2803" operator="greaterThan">
      <formula>0</formula>
    </cfRule>
    <cfRule type="cellIs" dxfId="17702" priority="2804" operator="lessThanOrEqual">
      <formula>0</formula>
    </cfRule>
  </conditionalFormatting>
  <conditionalFormatting sqref="J55">
    <cfRule type="cellIs" dxfId="17701" priority="2802" operator="greaterThanOrEqual">
      <formula>0</formula>
    </cfRule>
  </conditionalFormatting>
  <conditionalFormatting sqref="J55">
    <cfRule type="cellIs" dxfId="17700" priority="2801" operator="lessThan">
      <formula>0</formula>
    </cfRule>
  </conditionalFormatting>
  <conditionalFormatting sqref="K51">
    <cfRule type="cellIs" dxfId="17699" priority="2799" operator="greaterThan">
      <formula>0</formula>
    </cfRule>
    <cfRule type="cellIs" dxfId="17698" priority="2800" operator="lessThanOrEqual">
      <formula>0</formula>
    </cfRule>
  </conditionalFormatting>
  <conditionalFormatting sqref="J51">
    <cfRule type="cellIs" dxfId="17697" priority="2798" operator="greaterThanOrEqual">
      <formula>0</formula>
    </cfRule>
  </conditionalFormatting>
  <conditionalFormatting sqref="J51">
    <cfRule type="cellIs" dxfId="17696" priority="2797" operator="lessThan">
      <formula>0</formula>
    </cfRule>
  </conditionalFormatting>
  <conditionalFormatting sqref="J24">
    <cfRule type="cellIs" dxfId="17695" priority="2796" operator="greaterThanOrEqual">
      <formula>0</formula>
    </cfRule>
  </conditionalFormatting>
  <conditionalFormatting sqref="J24">
    <cfRule type="cellIs" dxfId="17694" priority="2795" operator="lessThan">
      <formula>0</formula>
    </cfRule>
  </conditionalFormatting>
  <conditionalFormatting sqref="J27">
    <cfRule type="cellIs" dxfId="17693" priority="2794" operator="greaterThanOrEqual">
      <formula>0</formula>
    </cfRule>
  </conditionalFormatting>
  <conditionalFormatting sqref="J27">
    <cfRule type="cellIs" dxfId="17692" priority="2793" operator="lessThan">
      <formula>0</formula>
    </cfRule>
  </conditionalFormatting>
  <conditionalFormatting sqref="J40">
    <cfRule type="cellIs" dxfId="17691" priority="2792" operator="greaterThanOrEqual">
      <formula>0</formula>
    </cfRule>
  </conditionalFormatting>
  <conditionalFormatting sqref="J40">
    <cfRule type="cellIs" dxfId="17690" priority="2791" operator="lessThan">
      <formula>0</formula>
    </cfRule>
  </conditionalFormatting>
  <conditionalFormatting sqref="J43">
    <cfRule type="cellIs" dxfId="17689" priority="2790" operator="greaterThanOrEqual">
      <formula>0</formula>
    </cfRule>
  </conditionalFormatting>
  <conditionalFormatting sqref="J43">
    <cfRule type="cellIs" dxfId="17688" priority="2789" operator="lessThan">
      <formula>0</formula>
    </cfRule>
  </conditionalFormatting>
  <conditionalFormatting sqref="J46">
    <cfRule type="cellIs" dxfId="17687" priority="2788" operator="greaterThanOrEqual">
      <formula>0</formula>
    </cfRule>
  </conditionalFormatting>
  <conditionalFormatting sqref="J46">
    <cfRule type="cellIs" dxfId="17686" priority="2787" operator="lessThan">
      <formula>0</formula>
    </cfRule>
  </conditionalFormatting>
  <conditionalFormatting sqref="J49">
    <cfRule type="cellIs" dxfId="17685" priority="2786" operator="greaterThanOrEqual">
      <formula>0</formula>
    </cfRule>
  </conditionalFormatting>
  <conditionalFormatting sqref="J49">
    <cfRule type="cellIs" dxfId="17684" priority="2785" operator="lessThan">
      <formula>0</formula>
    </cfRule>
  </conditionalFormatting>
  <conditionalFormatting sqref="J50">
    <cfRule type="cellIs" dxfId="17683" priority="2784" operator="greaterThanOrEqual">
      <formula>0</formula>
    </cfRule>
  </conditionalFormatting>
  <conditionalFormatting sqref="J50">
    <cfRule type="cellIs" dxfId="17682" priority="2783" operator="lessThan">
      <formula>0</formula>
    </cfRule>
  </conditionalFormatting>
  <conditionalFormatting sqref="J58">
    <cfRule type="cellIs" dxfId="17681" priority="2782" operator="greaterThanOrEqual">
      <formula>0</formula>
    </cfRule>
  </conditionalFormatting>
  <conditionalFormatting sqref="J58">
    <cfRule type="cellIs" dxfId="17680" priority="2781" operator="lessThan">
      <formula>0</formula>
    </cfRule>
  </conditionalFormatting>
  <conditionalFormatting sqref="J64">
    <cfRule type="cellIs" dxfId="17679" priority="2780" operator="greaterThanOrEqual">
      <formula>0</formula>
    </cfRule>
  </conditionalFormatting>
  <conditionalFormatting sqref="J64">
    <cfRule type="cellIs" dxfId="17678" priority="2779" operator="lessThan">
      <formula>0</formula>
    </cfRule>
  </conditionalFormatting>
  <conditionalFormatting sqref="J65">
    <cfRule type="cellIs" dxfId="17677" priority="2778" operator="greaterThanOrEqual">
      <formula>0</formula>
    </cfRule>
  </conditionalFormatting>
  <conditionalFormatting sqref="J65">
    <cfRule type="cellIs" dxfId="17676" priority="2777" operator="lessThan">
      <formula>0</formula>
    </cfRule>
  </conditionalFormatting>
  <conditionalFormatting sqref="J41:J42">
    <cfRule type="cellIs" dxfId="17675" priority="2775" operator="lessThan">
      <formula>0</formula>
    </cfRule>
    <cfRule type="cellIs" dxfId="17674" priority="2776" operator="greaterThanOrEqual">
      <formula>0</formula>
    </cfRule>
  </conditionalFormatting>
  <conditionalFormatting sqref="J44:J45">
    <cfRule type="cellIs" dxfId="17673" priority="2773" operator="lessThan">
      <formula>0</formula>
    </cfRule>
    <cfRule type="cellIs" dxfId="17672" priority="2774" operator="greaterThanOrEqual">
      <formula>0</formula>
    </cfRule>
  </conditionalFormatting>
  <conditionalFormatting sqref="J56:J57">
    <cfRule type="cellIs" dxfId="17671" priority="2771" operator="lessThan">
      <formula>0</formula>
    </cfRule>
    <cfRule type="cellIs" dxfId="17670" priority="2772" operator="greaterThanOrEqual">
      <formula>0</formula>
    </cfRule>
  </conditionalFormatting>
  <conditionalFormatting sqref="J59:J60">
    <cfRule type="cellIs" dxfId="17669" priority="2769" operator="lessThan">
      <formula>0</formula>
    </cfRule>
    <cfRule type="cellIs" dxfId="17668" priority="2770" operator="greaterThanOrEqual">
      <formula>0</formula>
    </cfRule>
  </conditionalFormatting>
  <conditionalFormatting sqref="J62:J63">
    <cfRule type="cellIs" dxfId="17667" priority="2767" operator="lessThan">
      <formula>0</formula>
    </cfRule>
    <cfRule type="cellIs" dxfId="17666" priority="2768" operator="greaterThanOrEqual">
      <formula>0</formula>
    </cfRule>
  </conditionalFormatting>
  <conditionalFormatting sqref="K67 K70">
    <cfRule type="cellIs" dxfId="17665" priority="2765" operator="greaterThan">
      <formula>0</formula>
    </cfRule>
    <cfRule type="cellIs" dxfId="17664" priority="2766" operator="lessThanOrEqual">
      <formula>0</formula>
    </cfRule>
  </conditionalFormatting>
  <conditionalFormatting sqref="K72">
    <cfRule type="cellIs" dxfId="17663" priority="2763" operator="greaterThan">
      <formula>0</formula>
    </cfRule>
    <cfRule type="cellIs" dxfId="17662" priority="2764" operator="lessThanOrEqual">
      <formula>0</formula>
    </cfRule>
  </conditionalFormatting>
  <conditionalFormatting sqref="K68">
    <cfRule type="cellIs" dxfId="17661" priority="2761" operator="greaterThan">
      <formula>0</formula>
    </cfRule>
    <cfRule type="cellIs" dxfId="17660" priority="2762" operator="lessThanOrEqual">
      <formula>0</formula>
    </cfRule>
  </conditionalFormatting>
  <conditionalFormatting sqref="K69">
    <cfRule type="cellIs" dxfId="17659" priority="2759" operator="greaterThan">
      <formula>0</formula>
    </cfRule>
    <cfRule type="cellIs" dxfId="17658" priority="2760" operator="lessThanOrEqual">
      <formula>0</formula>
    </cfRule>
  </conditionalFormatting>
  <conditionalFormatting sqref="K71">
    <cfRule type="cellIs" dxfId="17657" priority="2757" operator="greaterThan">
      <formula>0</formula>
    </cfRule>
    <cfRule type="cellIs" dxfId="17656" priority="2758" operator="lessThanOrEqual">
      <formula>0</formula>
    </cfRule>
  </conditionalFormatting>
  <conditionalFormatting sqref="J67:J69">
    <cfRule type="cellIs" dxfId="17655" priority="2755" operator="lessThan">
      <formula>0</formula>
    </cfRule>
    <cfRule type="cellIs" dxfId="17654" priority="2756" operator="greaterThanOrEqual">
      <formula>0</formula>
    </cfRule>
  </conditionalFormatting>
  <conditionalFormatting sqref="J70:J71">
    <cfRule type="cellIs" dxfId="17653" priority="2754" operator="greaterThanOrEqual">
      <formula>0</formula>
    </cfRule>
  </conditionalFormatting>
  <conditionalFormatting sqref="J70:J71">
    <cfRule type="cellIs" dxfId="17652" priority="2753" operator="lessThan">
      <formula>0</formula>
    </cfRule>
  </conditionalFormatting>
  <conditionalFormatting sqref="J72">
    <cfRule type="cellIs" dxfId="17651" priority="2752" operator="greaterThanOrEqual">
      <formula>0</formula>
    </cfRule>
  </conditionalFormatting>
  <conditionalFormatting sqref="J72">
    <cfRule type="cellIs" dxfId="17650" priority="2751" operator="lessThan">
      <formula>0</formula>
    </cfRule>
  </conditionalFormatting>
  <conditionalFormatting sqref="K66">
    <cfRule type="cellIs" dxfId="17649" priority="2749" operator="greaterThan">
      <formula>0</formula>
    </cfRule>
    <cfRule type="cellIs" dxfId="17648" priority="2750" operator="lessThanOrEqual">
      <formula>0</formula>
    </cfRule>
  </conditionalFormatting>
  <conditionalFormatting sqref="J66">
    <cfRule type="cellIs" dxfId="17647" priority="2747" operator="greaterThanOrEqual">
      <formula>0</formula>
    </cfRule>
    <cfRule type="cellIs" dxfId="17646" priority="2748" operator="lessThan">
      <formula>0</formula>
    </cfRule>
  </conditionalFormatting>
  <conditionalFormatting sqref="G50">
    <cfRule type="cellIs" dxfId="17645" priority="2745" operator="greaterThan">
      <formula>0</formula>
    </cfRule>
    <cfRule type="cellIs" dxfId="17644" priority="2746" operator="lessThanOrEqual">
      <formula>0</formula>
    </cfRule>
  </conditionalFormatting>
  <conditionalFormatting sqref="M41:M42">
    <cfRule type="cellIs" dxfId="17643" priority="2743" operator="lessThan">
      <formula>0</formula>
    </cfRule>
    <cfRule type="cellIs" dxfId="17642" priority="2744" operator="greaterThanOrEqual">
      <formula>0</formula>
    </cfRule>
  </conditionalFormatting>
  <conditionalFormatting sqref="M44:M45">
    <cfRule type="cellIs" dxfId="17641" priority="2741" operator="lessThan">
      <formula>0</formula>
    </cfRule>
    <cfRule type="cellIs" dxfId="17640" priority="2742" operator="greaterThanOrEqual">
      <formula>0</formula>
    </cfRule>
  </conditionalFormatting>
  <conditionalFormatting sqref="M52:M53">
    <cfRule type="cellIs" dxfId="17639" priority="2739" operator="lessThan">
      <formula>0</formula>
    </cfRule>
    <cfRule type="cellIs" dxfId="17638" priority="2740" operator="greaterThanOrEqual">
      <formula>0</formula>
    </cfRule>
  </conditionalFormatting>
  <conditionalFormatting sqref="M56:M57">
    <cfRule type="cellIs" dxfId="17637" priority="2737" operator="lessThan">
      <formula>0</formula>
    </cfRule>
    <cfRule type="cellIs" dxfId="17636" priority="2738" operator="greaterThanOrEqual">
      <formula>0</formula>
    </cfRule>
  </conditionalFormatting>
  <conditionalFormatting sqref="M59:M60">
    <cfRule type="cellIs" dxfId="17635" priority="2735" operator="lessThan">
      <formula>0</formula>
    </cfRule>
    <cfRule type="cellIs" dxfId="17634" priority="2736" operator="greaterThanOrEqual">
      <formula>0</formula>
    </cfRule>
  </conditionalFormatting>
  <conditionalFormatting sqref="M62:M63">
    <cfRule type="cellIs" dxfId="17633" priority="2733" operator="lessThan">
      <formula>0</formula>
    </cfRule>
    <cfRule type="cellIs" dxfId="17632" priority="2734" operator="greaterThanOrEqual">
      <formula>0</formula>
    </cfRule>
  </conditionalFormatting>
  <conditionalFormatting sqref="M24">
    <cfRule type="cellIs" dxfId="17631" priority="2732" operator="greaterThanOrEqual">
      <formula>0</formula>
    </cfRule>
  </conditionalFormatting>
  <conditionalFormatting sqref="M24">
    <cfRule type="cellIs" dxfId="17630" priority="2731" operator="lessThan">
      <formula>0</formula>
    </cfRule>
  </conditionalFormatting>
  <conditionalFormatting sqref="M25">
    <cfRule type="cellIs" dxfId="17629" priority="2730" operator="greaterThanOrEqual">
      <formula>0</formula>
    </cfRule>
  </conditionalFormatting>
  <conditionalFormatting sqref="M25">
    <cfRule type="cellIs" dxfId="17628" priority="2729" operator="lessThan">
      <formula>0</formula>
    </cfRule>
  </conditionalFormatting>
  <conditionalFormatting sqref="M27">
    <cfRule type="cellIs" dxfId="17627" priority="2728" operator="greaterThanOrEqual">
      <formula>0</formula>
    </cfRule>
  </conditionalFormatting>
  <conditionalFormatting sqref="M27">
    <cfRule type="cellIs" dxfId="17626" priority="2727" operator="lessThan">
      <formula>0</formula>
    </cfRule>
  </conditionalFormatting>
  <conditionalFormatting sqref="M40">
    <cfRule type="cellIs" dxfId="17625" priority="2726" operator="greaterThanOrEqual">
      <formula>0</formula>
    </cfRule>
  </conditionalFormatting>
  <conditionalFormatting sqref="M40">
    <cfRule type="cellIs" dxfId="17624" priority="2725" operator="lessThan">
      <formula>0</formula>
    </cfRule>
  </conditionalFormatting>
  <conditionalFormatting sqref="M43">
    <cfRule type="cellIs" dxfId="17623" priority="2724" operator="greaterThanOrEqual">
      <formula>0</formula>
    </cfRule>
  </conditionalFormatting>
  <conditionalFormatting sqref="M43">
    <cfRule type="cellIs" dxfId="17622" priority="2723" operator="lessThan">
      <formula>0</formula>
    </cfRule>
  </conditionalFormatting>
  <conditionalFormatting sqref="M46">
    <cfRule type="cellIs" dxfId="17621" priority="2722" operator="greaterThanOrEqual">
      <formula>0</formula>
    </cfRule>
  </conditionalFormatting>
  <conditionalFormatting sqref="M46">
    <cfRule type="cellIs" dxfId="17620" priority="2721" operator="lessThan">
      <formula>0</formula>
    </cfRule>
  </conditionalFormatting>
  <conditionalFormatting sqref="M49">
    <cfRule type="cellIs" dxfId="17619" priority="2720" operator="greaterThanOrEqual">
      <formula>0</formula>
    </cfRule>
  </conditionalFormatting>
  <conditionalFormatting sqref="M49">
    <cfRule type="cellIs" dxfId="17618" priority="2719" operator="lessThan">
      <formula>0</formula>
    </cfRule>
  </conditionalFormatting>
  <conditionalFormatting sqref="M50">
    <cfRule type="cellIs" dxfId="17617" priority="2718" operator="greaterThanOrEqual">
      <formula>0</formula>
    </cfRule>
  </conditionalFormatting>
  <conditionalFormatting sqref="M50">
    <cfRule type="cellIs" dxfId="17616" priority="2717" operator="lessThan">
      <formula>0</formula>
    </cfRule>
  </conditionalFormatting>
  <conditionalFormatting sqref="M58">
    <cfRule type="cellIs" dxfId="17615" priority="2716" operator="greaterThanOrEqual">
      <formula>0</formula>
    </cfRule>
  </conditionalFormatting>
  <conditionalFormatting sqref="M58">
    <cfRule type="cellIs" dxfId="17614" priority="2715" operator="lessThan">
      <formula>0</formula>
    </cfRule>
  </conditionalFormatting>
  <conditionalFormatting sqref="M61">
    <cfRule type="cellIs" dxfId="17613" priority="2714" operator="greaterThanOrEqual">
      <formula>0</formula>
    </cfRule>
  </conditionalFormatting>
  <conditionalFormatting sqref="M61">
    <cfRule type="cellIs" dxfId="17612" priority="2713" operator="lessThan">
      <formula>0</formula>
    </cfRule>
  </conditionalFormatting>
  <conditionalFormatting sqref="M64">
    <cfRule type="cellIs" dxfId="17611" priority="2712" operator="greaterThanOrEqual">
      <formula>0</formula>
    </cfRule>
  </conditionalFormatting>
  <conditionalFormatting sqref="M64">
    <cfRule type="cellIs" dxfId="17610" priority="2711" operator="lessThan">
      <formula>0</formula>
    </cfRule>
  </conditionalFormatting>
  <conditionalFormatting sqref="M55">
    <cfRule type="cellIs" dxfId="17609" priority="2710" operator="greaterThanOrEqual">
      <formula>0</formula>
    </cfRule>
  </conditionalFormatting>
  <conditionalFormatting sqref="M55">
    <cfRule type="cellIs" dxfId="17608" priority="2709" operator="lessThan">
      <formula>0</formula>
    </cfRule>
  </conditionalFormatting>
  <conditionalFormatting sqref="M65">
    <cfRule type="cellIs" dxfId="17607" priority="2708" operator="greaterThanOrEqual">
      <formula>0</formula>
    </cfRule>
  </conditionalFormatting>
  <conditionalFormatting sqref="M65">
    <cfRule type="cellIs" dxfId="17606" priority="2707" operator="lessThan">
      <formula>0</formula>
    </cfRule>
  </conditionalFormatting>
  <conditionalFormatting sqref="N15:N16">
    <cfRule type="cellIs" dxfId="17605" priority="2705" operator="greaterThan">
      <formula>0</formula>
    </cfRule>
    <cfRule type="cellIs" dxfId="17604" priority="2706" operator="lessThanOrEqual">
      <formula>0</formula>
    </cfRule>
  </conditionalFormatting>
  <conditionalFormatting sqref="N18:N19">
    <cfRule type="cellIs" dxfId="17603" priority="2703" operator="greaterThan">
      <formula>0</formula>
    </cfRule>
    <cfRule type="cellIs" dxfId="17602" priority="2704" operator="lessThanOrEqual">
      <formula>0</formula>
    </cfRule>
  </conditionalFormatting>
  <conditionalFormatting sqref="N21:N22">
    <cfRule type="cellIs" dxfId="17601" priority="2701" operator="greaterThan">
      <formula>0</formula>
    </cfRule>
    <cfRule type="cellIs" dxfId="17600" priority="2702" operator="lessThanOrEqual">
      <formula>0</formula>
    </cfRule>
  </conditionalFormatting>
  <conditionalFormatting sqref="N28:N29">
    <cfRule type="cellIs" dxfId="17599" priority="2699" operator="greaterThan">
      <formula>0</formula>
    </cfRule>
    <cfRule type="cellIs" dxfId="17598" priority="2700" operator="lessThanOrEqual">
      <formula>0</formula>
    </cfRule>
  </conditionalFormatting>
  <conditionalFormatting sqref="N31:N32">
    <cfRule type="cellIs" dxfId="17597" priority="2697" operator="greaterThan">
      <formula>0</formula>
    </cfRule>
    <cfRule type="cellIs" dxfId="17596" priority="2698" operator="lessThanOrEqual">
      <formula>0</formula>
    </cfRule>
  </conditionalFormatting>
  <conditionalFormatting sqref="N34:N35">
    <cfRule type="cellIs" dxfId="17595" priority="2695" operator="greaterThan">
      <formula>0</formula>
    </cfRule>
    <cfRule type="cellIs" dxfId="17594" priority="2696" operator="lessThanOrEqual">
      <formula>0</formula>
    </cfRule>
  </conditionalFormatting>
  <conditionalFormatting sqref="N37:N38">
    <cfRule type="cellIs" dxfId="17593" priority="2693" operator="greaterThan">
      <formula>0</formula>
    </cfRule>
    <cfRule type="cellIs" dxfId="17592" priority="2694" operator="lessThanOrEqual">
      <formula>0</formula>
    </cfRule>
  </conditionalFormatting>
  <conditionalFormatting sqref="N41:N42">
    <cfRule type="cellIs" dxfId="17591" priority="2691" operator="greaterThan">
      <formula>0</formula>
    </cfRule>
    <cfRule type="cellIs" dxfId="17590" priority="2692" operator="lessThanOrEqual">
      <formula>0</formula>
    </cfRule>
  </conditionalFormatting>
  <conditionalFormatting sqref="N44:N45">
    <cfRule type="cellIs" dxfId="17589" priority="2689" operator="greaterThan">
      <formula>0</formula>
    </cfRule>
    <cfRule type="cellIs" dxfId="17588" priority="2690" operator="lessThanOrEqual">
      <formula>0</formula>
    </cfRule>
  </conditionalFormatting>
  <conditionalFormatting sqref="N47:N48">
    <cfRule type="cellIs" dxfId="17587" priority="2687" operator="greaterThan">
      <formula>0</formula>
    </cfRule>
    <cfRule type="cellIs" dxfId="17586" priority="2688" operator="lessThanOrEqual">
      <formula>0</formula>
    </cfRule>
  </conditionalFormatting>
  <conditionalFormatting sqref="N52:N53">
    <cfRule type="cellIs" dxfId="17585" priority="2685" operator="greaterThan">
      <formula>0</formula>
    </cfRule>
    <cfRule type="cellIs" dxfId="17584" priority="2686" operator="lessThanOrEqual">
      <formula>0</formula>
    </cfRule>
  </conditionalFormatting>
  <conditionalFormatting sqref="N56:N57">
    <cfRule type="cellIs" dxfId="17583" priority="2683" operator="greaterThan">
      <formula>0</formula>
    </cfRule>
    <cfRule type="cellIs" dxfId="17582" priority="2684" operator="lessThanOrEqual">
      <formula>0</formula>
    </cfRule>
  </conditionalFormatting>
  <conditionalFormatting sqref="N59:N60">
    <cfRule type="cellIs" dxfId="17581" priority="2681" operator="greaterThan">
      <formula>0</formula>
    </cfRule>
    <cfRule type="cellIs" dxfId="17580" priority="2682" operator="lessThanOrEqual">
      <formula>0</formula>
    </cfRule>
  </conditionalFormatting>
  <conditionalFormatting sqref="N62:N63">
    <cfRule type="cellIs" dxfId="17579" priority="2679" operator="greaterThan">
      <formula>0</formula>
    </cfRule>
    <cfRule type="cellIs" dxfId="17578" priority="2680" operator="lessThanOrEqual">
      <formula>0</formula>
    </cfRule>
  </conditionalFormatting>
  <conditionalFormatting sqref="N24">
    <cfRule type="cellIs" dxfId="17577" priority="2678" operator="greaterThanOrEqual">
      <formula>0</formula>
    </cfRule>
  </conditionalFormatting>
  <conditionalFormatting sqref="N24">
    <cfRule type="cellIs" dxfId="17576" priority="2677" operator="lessThan">
      <formula>0</formula>
    </cfRule>
  </conditionalFormatting>
  <conditionalFormatting sqref="N25">
    <cfRule type="cellIs" dxfId="17575" priority="2676" operator="greaterThanOrEqual">
      <formula>0</formula>
    </cfRule>
  </conditionalFormatting>
  <conditionalFormatting sqref="N25">
    <cfRule type="cellIs" dxfId="17574" priority="2675" operator="lessThan">
      <formula>0</formula>
    </cfRule>
  </conditionalFormatting>
  <conditionalFormatting sqref="N27">
    <cfRule type="cellIs" dxfId="17573" priority="2674" operator="greaterThanOrEqual">
      <formula>0</formula>
    </cfRule>
  </conditionalFormatting>
  <conditionalFormatting sqref="N27">
    <cfRule type="cellIs" dxfId="17572" priority="2673" operator="lessThan">
      <formula>0</formula>
    </cfRule>
  </conditionalFormatting>
  <conditionalFormatting sqref="N40">
    <cfRule type="cellIs" dxfId="17571" priority="2672" operator="greaterThanOrEqual">
      <formula>0</formula>
    </cfRule>
  </conditionalFormatting>
  <conditionalFormatting sqref="N40">
    <cfRule type="cellIs" dxfId="17570" priority="2671" operator="lessThan">
      <formula>0</formula>
    </cfRule>
  </conditionalFormatting>
  <conditionalFormatting sqref="N43">
    <cfRule type="cellIs" dxfId="17569" priority="2670" operator="greaterThanOrEqual">
      <formula>0</formula>
    </cfRule>
  </conditionalFormatting>
  <conditionalFormatting sqref="N43">
    <cfRule type="cellIs" dxfId="17568" priority="2669" operator="lessThan">
      <formula>0</formula>
    </cfRule>
  </conditionalFormatting>
  <conditionalFormatting sqref="N46">
    <cfRule type="cellIs" dxfId="17567" priority="2668" operator="greaterThanOrEqual">
      <formula>0</formula>
    </cfRule>
  </conditionalFormatting>
  <conditionalFormatting sqref="N46">
    <cfRule type="cellIs" dxfId="17566" priority="2667" operator="lessThan">
      <formula>0</formula>
    </cfRule>
  </conditionalFormatting>
  <conditionalFormatting sqref="N49">
    <cfRule type="cellIs" dxfId="17565" priority="2666" operator="greaterThanOrEqual">
      <formula>0</formula>
    </cfRule>
  </conditionalFormatting>
  <conditionalFormatting sqref="N49">
    <cfRule type="cellIs" dxfId="17564" priority="2665" operator="lessThan">
      <formula>0</formula>
    </cfRule>
  </conditionalFormatting>
  <conditionalFormatting sqref="N50">
    <cfRule type="cellIs" dxfId="17563" priority="2664" operator="greaterThanOrEqual">
      <formula>0</formula>
    </cfRule>
  </conditionalFormatting>
  <conditionalFormatting sqref="N50">
    <cfRule type="cellIs" dxfId="17562" priority="2663" operator="lessThan">
      <formula>0</formula>
    </cfRule>
  </conditionalFormatting>
  <conditionalFormatting sqref="J106">
    <cfRule type="cellIs" dxfId="17561" priority="2430" operator="greaterThanOrEqual">
      <formula>0</formula>
    </cfRule>
  </conditionalFormatting>
  <conditionalFormatting sqref="J106">
    <cfRule type="cellIs" dxfId="17560" priority="2429" operator="lessThan">
      <formula>0</formula>
    </cfRule>
  </conditionalFormatting>
  <conditionalFormatting sqref="N58">
    <cfRule type="cellIs" dxfId="17559" priority="2662" operator="greaterThanOrEqual">
      <formula>0</formula>
    </cfRule>
  </conditionalFormatting>
  <conditionalFormatting sqref="N58">
    <cfRule type="cellIs" dxfId="17558" priority="2661" operator="lessThan">
      <formula>0</formula>
    </cfRule>
  </conditionalFormatting>
  <conditionalFormatting sqref="N61">
    <cfRule type="cellIs" dxfId="17557" priority="2660" operator="greaterThanOrEqual">
      <formula>0</formula>
    </cfRule>
  </conditionalFormatting>
  <conditionalFormatting sqref="N61">
    <cfRule type="cellIs" dxfId="17556" priority="2659" operator="lessThan">
      <formula>0</formula>
    </cfRule>
  </conditionalFormatting>
  <conditionalFormatting sqref="N64">
    <cfRule type="cellIs" dxfId="17555" priority="2658" operator="greaterThanOrEqual">
      <formula>0</formula>
    </cfRule>
  </conditionalFormatting>
  <conditionalFormatting sqref="N64">
    <cfRule type="cellIs" dxfId="17554" priority="2657" operator="lessThan">
      <formula>0</formula>
    </cfRule>
  </conditionalFormatting>
  <conditionalFormatting sqref="N55">
    <cfRule type="cellIs" dxfId="17553" priority="2655" operator="lessThan">
      <formula>0</formula>
    </cfRule>
  </conditionalFormatting>
  <conditionalFormatting sqref="N55">
    <cfRule type="cellIs" dxfId="17552" priority="2656" operator="greaterThanOrEqual">
      <formula>0</formula>
    </cfRule>
  </conditionalFormatting>
  <conditionalFormatting sqref="N65">
    <cfRule type="cellIs" dxfId="17551" priority="2653" operator="lessThan">
      <formula>0</formula>
    </cfRule>
  </conditionalFormatting>
  <conditionalFormatting sqref="N65">
    <cfRule type="cellIs" dxfId="17550" priority="2654" operator="greaterThanOrEqual">
      <formula>0</formula>
    </cfRule>
  </conditionalFormatting>
  <conditionalFormatting sqref="M69">
    <cfRule type="cellIs" dxfId="17549" priority="2651" operator="lessThan">
      <formula>0</formula>
    </cfRule>
    <cfRule type="cellIs" dxfId="17548" priority="2652" operator="greaterThanOrEqual">
      <formula>0</formula>
    </cfRule>
  </conditionalFormatting>
  <conditionalFormatting sqref="N69">
    <cfRule type="cellIs" dxfId="17547" priority="2649" operator="lessThan">
      <formula>0</formula>
    </cfRule>
    <cfRule type="cellIs" dxfId="17546" priority="2650" operator="greaterThanOrEqual">
      <formula>0</formula>
    </cfRule>
  </conditionalFormatting>
  <conditionalFormatting sqref="N71">
    <cfRule type="cellIs" dxfId="17545" priority="2647" operator="lessThan">
      <formula>0</formula>
    </cfRule>
    <cfRule type="cellIs" dxfId="17544" priority="2648" operator="greaterThanOrEqual">
      <formula>0</formula>
    </cfRule>
  </conditionalFormatting>
  <conditionalFormatting sqref="N122:N123">
    <cfRule type="cellIs" dxfId="17543" priority="2319" operator="greaterThan">
      <formula>0</formula>
    </cfRule>
    <cfRule type="cellIs" dxfId="17542" priority="2320" operator="lessThanOrEqual">
      <formula>0</formula>
    </cfRule>
  </conditionalFormatting>
  <conditionalFormatting sqref="N118">
    <cfRule type="cellIs" dxfId="17541" priority="2294" operator="greaterThanOrEqual">
      <formula>0</formula>
    </cfRule>
  </conditionalFormatting>
  <conditionalFormatting sqref="N118">
    <cfRule type="cellIs" dxfId="17540" priority="2293" operator="lessThan">
      <formula>0</formula>
    </cfRule>
  </conditionalFormatting>
  <conditionalFormatting sqref="N128">
    <cfRule type="cellIs" dxfId="17539" priority="2292" operator="greaterThanOrEqual">
      <formula>0</formula>
    </cfRule>
  </conditionalFormatting>
  <conditionalFormatting sqref="N128">
    <cfRule type="cellIs" dxfId="17538" priority="2291" operator="lessThan">
      <formula>0</formula>
    </cfRule>
  </conditionalFormatting>
  <conditionalFormatting sqref="N117">
    <cfRule type="cellIs" dxfId="17537" priority="2288" operator="greaterThanOrEqual">
      <formula>0</formula>
    </cfRule>
  </conditionalFormatting>
  <conditionalFormatting sqref="N117">
    <cfRule type="cellIs" dxfId="17536" priority="2287" operator="lessThan">
      <formula>0</formula>
    </cfRule>
  </conditionalFormatting>
  <conditionalFormatting sqref="M75:M76 M78:M79 M81:M82 M84:M85 M91:M92 M94:M95 M97:M98 M100:M101 M110:M111">
    <cfRule type="cellIs" dxfId="17535" priority="2397" operator="lessThan">
      <formula>0</formula>
    </cfRule>
    <cfRule type="cellIs" dxfId="17534" priority="2398" operator="greaterThanOrEqual">
      <formula>0</formula>
    </cfRule>
  </conditionalFormatting>
  <conditionalFormatting sqref="K94:K95">
    <cfRule type="cellIs" dxfId="17533" priority="2505" operator="greaterThan">
      <formula>0</formula>
    </cfRule>
    <cfRule type="cellIs" dxfId="17532" priority="2506" operator="lessThanOrEqual">
      <formula>0</formula>
    </cfRule>
  </conditionalFormatting>
  <conditionalFormatting sqref="M106">
    <cfRule type="cellIs" dxfId="17531" priority="2362" operator="greaterThanOrEqual">
      <formula>0</formula>
    </cfRule>
  </conditionalFormatting>
  <conditionalFormatting sqref="M106">
    <cfRule type="cellIs" dxfId="17530" priority="2361" operator="lessThan">
      <formula>0</formula>
    </cfRule>
  </conditionalFormatting>
  <conditionalFormatting sqref="N112">
    <cfRule type="cellIs" dxfId="17529" priority="2304" operator="greaterThanOrEqual">
      <formula>0</formula>
    </cfRule>
  </conditionalFormatting>
  <conditionalFormatting sqref="N112">
    <cfRule type="cellIs" dxfId="17528" priority="2303" operator="lessThan">
      <formula>0</formula>
    </cfRule>
  </conditionalFormatting>
  <conditionalFormatting sqref="M113">
    <cfRule type="cellIs" dxfId="17527" priority="2356" operator="greaterThanOrEqual">
      <formula>0</formula>
    </cfRule>
  </conditionalFormatting>
  <conditionalFormatting sqref="M113">
    <cfRule type="cellIs" dxfId="17526" priority="2355" operator="lessThan">
      <formula>0</formula>
    </cfRule>
  </conditionalFormatting>
  <conditionalFormatting sqref="N124">
    <cfRule type="cellIs" dxfId="17525" priority="2297" operator="lessThan">
      <formula>0</formula>
    </cfRule>
  </conditionalFormatting>
  <conditionalFormatting sqref="N124">
    <cfRule type="cellIs" dxfId="17524" priority="2298" operator="greaterThanOrEqual">
      <formula>0</formula>
    </cfRule>
  </conditionalFormatting>
  <conditionalFormatting sqref="F54">
    <cfRule type="cellIs" dxfId="17523" priority="2646" operator="greaterThanOrEqual">
      <formula>0</formula>
    </cfRule>
  </conditionalFormatting>
  <conditionalFormatting sqref="F54">
    <cfRule type="cellIs" dxfId="17522" priority="2645" operator="lessThan">
      <formula>0</formula>
    </cfRule>
  </conditionalFormatting>
  <conditionalFormatting sqref="K54">
    <cfRule type="cellIs" dxfId="17521" priority="2643" operator="greaterThan">
      <formula>0</formula>
    </cfRule>
    <cfRule type="cellIs" dxfId="17520" priority="2644" operator="lessThanOrEqual">
      <formula>0</formula>
    </cfRule>
  </conditionalFormatting>
  <conditionalFormatting sqref="J54">
    <cfRule type="cellIs" dxfId="17519" priority="2642" operator="greaterThanOrEqual">
      <formula>0</formula>
    </cfRule>
  </conditionalFormatting>
  <conditionalFormatting sqref="J54">
    <cfRule type="cellIs" dxfId="17518" priority="2641" operator="lessThan">
      <formula>0</formula>
    </cfRule>
  </conditionalFormatting>
  <conditionalFormatting sqref="G54">
    <cfRule type="cellIs" dxfId="17517" priority="2639" operator="greaterThan">
      <formula>0</formula>
    </cfRule>
    <cfRule type="cellIs" dxfId="17516" priority="2640" operator="lessThanOrEqual">
      <formula>0</formula>
    </cfRule>
  </conditionalFormatting>
  <conditionalFormatting sqref="M54">
    <cfRule type="cellIs" dxfId="17515" priority="2638" operator="greaterThanOrEqual">
      <formula>0</formula>
    </cfRule>
  </conditionalFormatting>
  <conditionalFormatting sqref="M54">
    <cfRule type="cellIs" dxfId="17514" priority="2637" operator="lessThan">
      <formula>0</formula>
    </cfRule>
  </conditionalFormatting>
  <conditionalFormatting sqref="N54">
    <cfRule type="cellIs" dxfId="17513" priority="2636" operator="greaterThanOrEqual">
      <formula>0</formula>
    </cfRule>
  </conditionalFormatting>
  <conditionalFormatting sqref="N54">
    <cfRule type="cellIs" dxfId="17512" priority="2635" operator="lessThan">
      <formula>0</formula>
    </cfRule>
  </conditionalFormatting>
  <conditionalFormatting sqref="N127">
    <cfRule type="cellIs" dxfId="17511" priority="2296" operator="greaterThanOrEqual">
      <formula>0</formula>
    </cfRule>
  </conditionalFormatting>
  <conditionalFormatting sqref="N127">
    <cfRule type="cellIs" dxfId="17510" priority="2295" operator="lessThan">
      <formula>0</formula>
    </cfRule>
  </conditionalFormatting>
  <conditionalFormatting sqref="G75:G76">
    <cfRule type="cellIs" dxfId="17509" priority="2633" operator="greaterThan">
      <formula>0</formula>
    </cfRule>
    <cfRule type="cellIs" dxfId="17508" priority="2634" operator="lessThanOrEqual">
      <formula>0</formula>
    </cfRule>
  </conditionalFormatting>
  <conditionalFormatting sqref="G78:G79">
    <cfRule type="cellIs" dxfId="17507" priority="2631" operator="greaterThan">
      <formula>0</formula>
    </cfRule>
    <cfRule type="cellIs" dxfId="17506" priority="2632" operator="lessThanOrEqual">
      <formula>0</formula>
    </cfRule>
  </conditionalFormatting>
  <conditionalFormatting sqref="G81:G82">
    <cfRule type="cellIs" dxfId="17505" priority="2629" operator="greaterThan">
      <formula>0</formula>
    </cfRule>
    <cfRule type="cellIs" dxfId="17504" priority="2630" operator="lessThanOrEqual">
      <formula>0</formula>
    </cfRule>
  </conditionalFormatting>
  <conditionalFormatting sqref="G91:G92">
    <cfRule type="cellIs" dxfId="17503" priority="2627" operator="greaterThan">
      <formula>0</formula>
    </cfRule>
    <cfRule type="cellIs" dxfId="17502" priority="2628" operator="lessThanOrEqual">
      <formula>0</formula>
    </cfRule>
  </conditionalFormatting>
  <conditionalFormatting sqref="G84:G85">
    <cfRule type="cellIs" dxfId="17501" priority="2625" operator="greaterThan">
      <formula>0</formula>
    </cfRule>
    <cfRule type="cellIs" dxfId="17500" priority="2626" operator="lessThanOrEqual">
      <formula>0</formula>
    </cfRule>
  </conditionalFormatting>
  <conditionalFormatting sqref="G94:G95">
    <cfRule type="cellIs" dxfId="17499" priority="2623" operator="greaterThan">
      <formula>0</formula>
    </cfRule>
    <cfRule type="cellIs" dxfId="17498" priority="2624" operator="lessThanOrEqual">
      <formula>0</formula>
    </cfRule>
  </conditionalFormatting>
  <conditionalFormatting sqref="G97:G98">
    <cfRule type="cellIs" dxfId="17497" priority="2621" operator="greaterThan">
      <formula>0</formula>
    </cfRule>
    <cfRule type="cellIs" dxfId="17496" priority="2622" operator="lessThanOrEqual">
      <formula>0</formula>
    </cfRule>
  </conditionalFormatting>
  <conditionalFormatting sqref="G100:G101">
    <cfRule type="cellIs" dxfId="17495" priority="2619" operator="greaterThan">
      <formula>0</formula>
    </cfRule>
    <cfRule type="cellIs" dxfId="17494" priority="2620" operator="lessThanOrEqual">
      <formula>0</formula>
    </cfRule>
  </conditionalFormatting>
  <conditionalFormatting sqref="G110:G111">
    <cfRule type="cellIs" dxfId="17493" priority="2617" operator="greaterThan">
      <formula>0</formula>
    </cfRule>
    <cfRule type="cellIs" dxfId="17492" priority="2618" operator="lessThanOrEqual">
      <formula>0</formula>
    </cfRule>
  </conditionalFormatting>
  <conditionalFormatting sqref="G125:G126">
    <cfRule type="cellIs" dxfId="17491" priority="2615" operator="greaterThan">
      <formula>0</formula>
    </cfRule>
    <cfRule type="cellIs" dxfId="17490" priority="2616" operator="lessThanOrEqual">
      <formula>0</formula>
    </cfRule>
  </conditionalFormatting>
  <conditionalFormatting sqref="G115:G116">
    <cfRule type="cellIs" dxfId="17489" priority="2613" operator="greaterThan">
      <formula>0</formula>
    </cfRule>
    <cfRule type="cellIs" dxfId="17488" priority="2614" operator="lessThanOrEqual">
      <formula>0</formula>
    </cfRule>
  </conditionalFormatting>
  <conditionalFormatting sqref="G77">
    <cfRule type="cellIs" dxfId="17487" priority="2611" operator="greaterThan">
      <formula>0</formula>
    </cfRule>
    <cfRule type="cellIs" dxfId="17486" priority="2612" operator="lessThanOrEqual">
      <formula>0</formula>
    </cfRule>
  </conditionalFormatting>
  <conditionalFormatting sqref="G80">
    <cfRule type="cellIs" dxfId="17485" priority="2609" operator="greaterThan">
      <formula>0</formula>
    </cfRule>
    <cfRule type="cellIs" dxfId="17484" priority="2610" operator="lessThanOrEqual">
      <formula>0</formula>
    </cfRule>
  </conditionalFormatting>
  <conditionalFormatting sqref="G83">
    <cfRule type="cellIs" dxfId="17483" priority="2607" operator="greaterThan">
      <formula>0</formula>
    </cfRule>
    <cfRule type="cellIs" dxfId="17482" priority="2608" operator="lessThanOrEqual">
      <formula>0</formula>
    </cfRule>
  </conditionalFormatting>
  <conditionalFormatting sqref="G93">
    <cfRule type="cellIs" dxfId="17481" priority="2605" operator="greaterThan">
      <formula>0</formula>
    </cfRule>
    <cfRule type="cellIs" dxfId="17480" priority="2606" operator="lessThanOrEqual">
      <formula>0</formula>
    </cfRule>
  </conditionalFormatting>
  <conditionalFormatting sqref="G86">
    <cfRule type="cellIs" dxfId="17479" priority="2603" operator="greaterThan">
      <formula>0</formula>
    </cfRule>
    <cfRule type="cellIs" dxfId="17478" priority="2604" operator="lessThanOrEqual">
      <formula>0</formula>
    </cfRule>
  </conditionalFormatting>
  <conditionalFormatting sqref="G96">
    <cfRule type="cellIs" dxfId="17477" priority="2601" operator="greaterThan">
      <formula>0</formula>
    </cfRule>
    <cfRule type="cellIs" dxfId="17476" priority="2602" operator="lessThanOrEqual">
      <formula>0</formula>
    </cfRule>
  </conditionalFormatting>
  <conditionalFormatting sqref="G99">
    <cfRule type="cellIs" dxfId="17475" priority="2599" operator="greaterThan">
      <formula>0</formula>
    </cfRule>
    <cfRule type="cellIs" dxfId="17474" priority="2600" operator="lessThanOrEqual">
      <formula>0</formula>
    </cfRule>
  </conditionalFormatting>
  <conditionalFormatting sqref="G102">
    <cfRule type="cellIs" dxfId="17473" priority="2597" operator="greaterThan">
      <formula>0</formula>
    </cfRule>
    <cfRule type="cellIs" dxfId="17472" priority="2598" operator="lessThanOrEqual">
      <formula>0</formula>
    </cfRule>
  </conditionalFormatting>
  <conditionalFormatting sqref="G88">
    <cfRule type="cellIs" dxfId="17471" priority="2595" operator="greaterThan">
      <formula>0</formula>
    </cfRule>
    <cfRule type="cellIs" dxfId="17470" priority="2596" operator="lessThanOrEqual">
      <formula>0</formula>
    </cfRule>
  </conditionalFormatting>
  <conditionalFormatting sqref="G128">
    <cfRule type="cellIs" dxfId="17469" priority="2593" operator="greaterThan">
      <formula>0</formula>
    </cfRule>
    <cfRule type="cellIs" dxfId="17468" priority="2594" operator="lessThanOrEqual">
      <formula>0</formula>
    </cfRule>
  </conditionalFormatting>
  <conditionalFormatting sqref="F75:F76 F78:F79 F81:F82 F84:F85 F91:F92 F94:F95 F97:F98 F100:F101 F110:F111 F115:F116">
    <cfRule type="cellIs" dxfId="17467" priority="2591" operator="lessThan">
      <formula>0</formula>
    </cfRule>
    <cfRule type="cellIs" dxfId="17466" priority="2592" operator="greaterThanOrEqual">
      <formula>0</formula>
    </cfRule>
  </conditionalFormatting>
  <conditionalFormatting sqref="F77 F80 F83 F86 F88 F93 F96 F99 F102">
    <cfRule type="cellIs" dxfId="17465" priority="2590" operator="greaterThanOrEqual">
      <formula>0</formula>
    </cfRule>
  </conditionalFormatting>
  <conditionalFormatting sqref="F77 F80 F83 F86 F88 F93 F96 F99 F102">
    <cfRule type="cellIs" dxfId="17464" priority="2589" operator="lessThan">
      <formula>0</formula>
    </cfRule>
  </conditionalFormatting>
  <conditionalFormatting sqref="G129">
    <cfRule type="cellIs" dxfId="17463" priority="2587" operator="greaterThan">
      <formula>0</formula>
    </cfRule>
    <cfRule type="cellIs" dxfId="17462" priority="2588" operator="lessThanOrEqual">
      <formula>0</formula>
    </cfRule>
  </conditionalFormatting>
  <conditionalFormatting sqref="F129">
    <cfRule type="cellIs" dxfId="17461" priority="2585" operator="greaterThanOrEqual">
      <formula>0</formula>
    </cfRule>
    <cfRule type="cellIs" dxfId="17460" priority="2586" operator="lessThan">
      <formula>0</formula>
    </cfRule>
  </conditionalFormatting>
  <conditionalFormatting sqref="F124">
    <cfRule type="cellIs" dxfId="17459" priority="2566" operator="greaterThanOrEqual">
      <formula>0</formula>
    </cfRule>
  </conditionalFormatting>
  <conditionalFormatting sqref="F124">
    <cfRule type="cellIs" dxfId="17458" priority="2565" operator="lessThan">
      <formula>0</formula>
    </cfRule>
  </conditionalFormatting>
  <conditionalFormatting sqref="G106">
    <cfRule type="cellIs" dxfId="17457" priority="2575" operator="greaterThan">
      <formula>0</formula>
    </cfRule>
    <cfRule type="cellIs" dxfId="17456" priority="2576" operator="lessThanOrEqual">
      <formula>0</formula>
    </cfRule>
  </conditionalFormatting>
  <conditionalFormatting sqref="G109">
    <cfRule type="cellIs" dxfId="17455" priority="2573" operator="greaterThan">
      <formula>0</formula>
    </cfRule>
    <cfRule type="cellIs" dxfId="17454" priority="2574" operator="lessThanOrEqual">
      <formula>0</formula>
    </cfRule>
  </conditionalFormatting>
  <conditionalFormatting sqref="G112">
    <cfRule type="cellIs" dxfId="17453" priority="2571" operator="greaterThan">
      <formula>0</formula>
    </cfRule>
    <cfRule type="cellIs" dxfId="17452" priority="2572" operator="lessThanOrEqual">
      <formula>0</formula>
    </cfRule>
  </conditionalFormatting>
  <conditionalFormatting sqref="G90">
    <cfRule type="cellIs" dxfId="17451" priority="2583" operator="greaterThan">
      <formula>0</formula>
    </cfRule>
    <cfRule type="cellIs" dxfId="17450" priority="2584" operator="lessThanOrEqual">
      <formula>0</formula>
    </cfRule>
  </conditionalFormatting>
  <conditionalFormatting sqref="G103">
    <cfRule type="cellIs" dxfId="17449" priority="2581" operator="greaterThan">
      <formula>0</formula>
    </cfRule>
    <cfRule type="cellIs" dxfId="17448" priority="2582" operator="lessThanOrEqual">
      <formula>0</formula>
    </cfRule>
  </conditionalFormatting>
  <conditionalFormatting sqref="G104:G105 G107:G108">
    <cfRule type="cellIs" dxfId="17447" priority="2579" operator="greaterThan">
      <formula>0</formula>
    </cfRule>
    <cfRule type="cellIs" dxfId="17446" priority="2580" operator="lessThanOrEqual">
      <formula>0</formula>
    </cfRule>
  </conditionalFormatting>
  <conditionalFormatting sqref="G119:G120 G122:G123">
    <cfRule type="cellIs" dxfId="17445" priority="2577" operator="greaterThan">
      <formula>0</formula>
    </cfRule>
    <cfRule type="cellIs" dxfId="17444" priority="2578" operator="lessThanOrEqual">
      <formula>0</formula>
    </cfRule>
  </conditionalFormatting>
  <conditionalFormatting sqref="G121">
    <cfRule type="cellIs" dxfId="17443" priority="2569" operator="greaterThan">
      <formula>0</formula>
    </cfRule>
    <cfRule type="cellIs" dxfId="17442" priority="2570" operator="lessThanOrEqual">
      <formula>0</formula>
    </cfRule>
  </conditionalFormatting>
  <conditionalFormatting sqref="G124">
    <cfRule type="cellIs" dxfId="17441" priority="2567" operator="greaterThan">
      <formula>0</formula>
    </cfRule>
    <cfRule type="cellIs" dxfId="17440" priority="2568" operator="lessThanOrEqual">
      <formula>0</formula>
    </cfRule>
  </conditionalFormatting>
  <conditionalFormatting sqref="G127">
    <cfRule type="cellIs" dxfId="17439" priority="2563" operator="greaterThan">
      <formula>0</formula>
    </cfRule>
    <cfRule type="cellIs" dxfId="17438" priority="2564" operator="lessThanOrEqual">
      <formula>0</formula>
    </cfRule>
  </conditionalFormatting>
  <conditionalFormatting sqref="G87">
    <cfRule type="cellIs" dxfId="17437" priority="2561" operator="greaterThan">
      <formula>0</formula>
    </cfRule>
    <cfRule type="cellIs" dxfId="17436" priority="2562" operator="lessThanOrEqual">
      <formula>0</formula>
    </cfRule>
  </conditionalFormatting>
  <conditionalFormatting sqref="G118">
    <cfRule type="cellIs" dxfId="17435" priority="2559" operator="greaterThan">
      <formula>0</formula>
    </cfRule>
    <cfRule type="cellIs" dxfId="17434" priority="2560" operator="lessThanOrEqual">
      <formula>0</formula>
    </cfRule>
  </conditionalFormatting>
  <conditionalFormatting sqref="F118">
    <cfRule type="cellIs" dxfId="17433" priority="2558" operator="greaterThanOrEqual">
      <formula>0</formula>
    </cfRule>
  </conditionalFormatting>
  <conditionalFormatting sqref="F118">
    <cfRule type="cellIs" dxfId="17432" priority="2557" operator="lessThan">
      <formula>0</formula>
    </cfRule>
  </conditionalFormatting>
  <conditionalFormatting sqref="G114">
    <cfRule type="cellIs" dxfId="17431" priority="2555" operator="greaterThan">
      <formula>0</formula>
    </cfRule>
    <cfRule type="cellIs" dxfId="17430" priority="2556" operator="lessThanOrEqual">
      <formula>0</formula>
    </cfRule>
  </conditionalFormatting>
  <conditionalFormatting sqref="F114">
    <cfRule type="cellIs" dxfId="17429" priority="2554" operator="greaterThanOrEqual">
      <formula>0</formula>
    </cfRule>
  </conditionalFormatting>
  <conditionalFormatting sqref="F114">
    <cfRule type="cellIs" dxfId="17428" priority="2553" operator="lessThan">
      <formula>0</formula>
    </cfRule>
  </conditionalFormatting>
  <conditionalFormatting sqref="F87">
    <cfRule type="cellIs" dxfId="17427" priority="2552" operator="greaterThanOrEqual">
      <formula>0</formula>
    </cfRule>
  </conditionalFormatting>
  <conditionalFormatting sqref="F87">
    <cfRule type="cellIs" dxfId="17426" priority="2551" operator="lessThan">
      <formula>0</formula>
    </cfRule>
  </conditionalFormatting>
  <conditionalFormatting sqref="F90">
    <cfRule type="cellIs" dxfId="17425" priority="2550" operator="greaterThanOrEqual">
      <formula>0</formula>
    </cfRule>
  </conditionalFormatting>
  <conditionalFormatting sqref="F90">
    <cfRule type="cellIs" dxfId="17424" priority="2549" operator="lessThan">
      <formula>0</formula>
    </cfRule>
  </conditionalFormatting>
  <conditionalFormatting sqref="F103">
    <cfRule type="cellIs" dxfId="17423" priority="2548" operator="greaterThanOrEqual">
      <formula>0</formula>
    </cfRule>
  </conditionalFormatting>
  <conditionalFormatting sqref="F103">
    <cfRule type="cellIs" dxfId="17422" priority="2547" operator="lessThan">
      <formula>0</formula>
    </cfRule>
  </conditionalFormatting>
  <conditionalFormatting sqref="F106">
    <cfRule type="cellIs" dxfId="17421" priority="2546" operator="greaterThanOrEqual">
      <formula>0</formula>
    </cfRule>
  </conditionalFormatting>
  <conditionalFormatting sqref="F106">
    <cfRule type="cellIs" dxfId="17420" priority="2545" operator="lessThan">
      <formula>0</formula>
    </cfRule>
  </conditionalFormatting>
  <conditionalFormatting sqref="F109">
    <cfRule type="cellIs" dxfId="17419" priority="2544" operator="greaterThanOrEqual">
      <formula>0</formula>
    </cfRule>
  </conditionalFormatting>
  <conditionalFormatting sqref="F109">
    <cfRule type="cellIs" dxfId="17418" priority="2543" operator="lessThan">
      <formula>0</formula>
    </cfRule>
  </conditionalFormatting>
  <conditionalFormatting sqref="F112">
    <cfRule type="cellIs" dxfId="17417" priority="2542" operator="greaterThanOrEqual">
      <formula>0</formula>
    </cfRule>
  </conditionalFormatting>
  <conditionalFormatting sqref="F112">
    <cfRule type="cellIs" dxfId="17416" priority="2541" operator="lessThan">
      <formula>0</formula>
    </cfRule>
  </conditionalFormatting>
  <conditionalFormatting sqref="F113">
    <cfRule type="cellIs" dxfId="17415" priority="2540" operator="greaterThanOrEqual">
      <formula>0</formula>
    </cfRule>
  </conditionalFormatting>
  <conditionalFormatting sqref="F113">
    <cfRule type="cellIs" dxfId="17414" priority="2539" operator="lessThan">
      <formula>0</formula>
    </cfRule>
  </conditionalFormatting>
  <conditionalFormatting sqref="F121">
    <cfRule type="cellIs" dxfId="17413" priority="2538" operator="greaterThanOrEqual">
      <formula>0</formula>
    </cfRule>
  </conditionalFormatting>
  <conditionalFormatting sqref="F121">
    <cfRule type="cellIs" dxfId="17412" priority="2537" operator="lessThan">
      <formula>0</formula>
    </cfRule>
  </conditionalFormatting>
  <conditionalFormatting sqref="F127">
    <cfRule type="cellIs" dxfId="17411" priority="2536" operator="greaterThanOrEqual">
      <formula>0</formula>
    </cfRule>
  </conditionalFormatting>
  <conditionalFormatting sqref="F127">
    <cfRule type="cellIs" dxfId="17410" priority="2535" operator="lessThan">
      <formula>0</formula>
    </cfRule>
  </conditionalFormatting>
  <conditionalFormatting sqref="F128">
    <cfRule type="cellIs" dxfId="17409" priority="2534" operator="greaterThanOrEqual">
      <formula>0</formula>
    </cfRule>
  </conditionalFormatting>
  <conditionalFormatting sqref="F128">
    <cfRule type="cellIs" dxfId="17408" priority="2533" operator="lessThan">
      <formula>0</formula>
    </cfRule>
  </conditionalFormatting>
  <conditionalFormatting sqref="F104:F105">
    <cfRule type="cellIs" dxfId="17407" priority="2531" operator="lessThan">
      <formula>0</formula>
    </cfRule>
    <cfRule type="cellIs" dxfId="17406" priority="2532" operator="greaterThanOrEqual">
      <formula>0</formula>
    </cfRule>
  </conditionalFormatting>
  <conditionalFormatting sqref="F107:F108">
    <cfRule type="cellIs" dxfId="17405" priority="2529" operator="lessThan">
      <formula>0</formula>
    </cfRule>
    <cfRule type="cellIs" dxfId="17404" priority="2530" operator="greaterThanOrEqual">
      <formula>0</formula>
    </cfRule>
  </conditionalFormatting>
  <conditionalFormatting sqref="F119:F120">
    <cfRule type="cellIs" dxfId="17403" priority="2527" operator="lessThan">
      <formula>0</formula>
    </cfRule>
    <cfRule type="cellIs" dxfId="17402" priority="2528" operator="greaterThanOrEqual">
      <formula>0</formula>
    </cfRule>
  </conditionalFormatting>
  <conditionalFormatting sqref="F122:F123">
    <cfRule type="cellIs" dxfId="17401" priority="2525" operator="lessThan">
      <formula>0</formula>
    </cfRule>
    <cfRule type="cellIs" dxfId="17400" priority="2526" operator="greaterThanOrEqual">
      <formula>0</formula>
    </cfRule>
  </conditionalFormatting>
  <conditionalFormatting sqref="F125:F126">
    <cfRule type="cellIs" dxfId="17399" priority="2523" operator="lessThan">
      <formula>0</formula>
    </cfRule>
    <cfRule type="cellIs" dxfId="17398" priority="2524" operator="greaterThanOrEqual">
      <formula>0</formula>
    </cfRule>
  </conditionalFormatting>
  <conditionalFormatting sqref="G113">
    <cfRule type="cellIs" dxfId="17397" priority="2521" operator="greaterThan">
      <formula>0</formula>
    </cfRule>
    <cfRule type="cellIs" dxfId="17396" priority="2522" operator="lessThanOrEqual">
      <formula>0</formula>
    </cfRule>
  </conditionalFormatting>
  <conditionalFormatting sqref="F117">
    <cfRule type="cellIs" dxfId="17395" priority="2520" operator="greaterThanOrEqual">
      <formula>0</formula>
    </cfRule>
  </conditionalFormatting>
  <conditionalFormatting sqref="F117">
    <cfRule type="cellIs" dxfId="17394" priority="2519" operator="lessThan">
      <formula>0</formula>
    </cfRule>
  </conditionalFormatting>
  <conditionalFormatting sqref="G117">
    <cfRule type="cellIs" dxfId="17393" priority="2517" operator="greaterThan">
      <formula>0</formula>
    </cfRule>
    <cfRule type="cellIs" dxfId="17392" priority="2518" operator="lessThanOrEqual">
      <formula>0</formula>
    </cfRule>
  </conditionalFormatting>
  <conditionalFormatting sqref="K75:K76">
    <cfRule type="cellIs" dxfId="17391" priority="2515" operator="greaterThan">
      <formula>0</formula>
    </cfRule>
    <cfRule type="cellIs" dxfId="17390" priority="2516" operator="lessThanOrEqual">
      <formula>0</formula>
    </cfRule>
  </conditionalFormatting>
  <conditionalFormatting sqref="K78:K79">
    <cfRule type="cellIs" dxfId="17389" priority="2513" operator="greaterThan">
      <formula>0</formula>
    </cfRule>
    <cfRule type="cellIs" dxfId="17388" priority="2514" operator="lessThanOrEqual">
      <formula>0</formula>
    </cfRule>
  </conditionalFormatting>
  <conditionalFormatting sqref="K81:K82">
    <cfRule type="cellIs" dxfId="17387" priority="2511" operator="greaterThan">
      <formula>0</formula>
    </cfRule>
    <cfRule type="cellIs" dxfId="17386" priority="2512" operator="lessThanOrEqual">
      <formula>0</formula>
    </cfRule>
  </conditionalFormatting>
  <conditionalFormatting sqref="K91:K92">
    <cfRule type="cellIs" dxfId="17385" priority="2509" operator="greaterThan">
      <formula>0</formula>
    </cfRule>
    <cfRule type="cellIs" dxfId="17384" priority="2510" operator="lessThanOrEqual">
      <formula>0</formula>
    </cfRule>
  </conditionalFormatting>
  <conditionalFormatting sqref="K84:K85">
    <cfRule type="cellIs" dxfId="17383" priority="2507" operator="greaterThan">
      <formula>0</formula>
    </cfRule>
    <cfRule type="cellIs" dxfId="17382" priority="2508" operator="lessThanOrEqual">
      <formula>0</formula>
    </cfRule>
  </conditionalFormatting>
  <conditionalFormatting sqref="K97:K98">
    <cfRule type="cellIs" dxfId="17381" priority="2503" operator="greaterThan">
      <formula>0</formula>
    </cfRule>
    <cfRule type="cellIs" dxfId="17380" priority="2504" operator="lessThanOrEqual">
      <formula>0</formula>
    </cfRule>
  </conditionalFormatting>
  <conditionalFormatting sqref="K100:K101">
    <cfRule type="cellIs" dxfId="17379" priority="2501" operator="greaterThan">
      <formula>0</formula>
    </cfRule>
    <cfRule type="cellIs" dxfId="17378" priority="2502" operator="lessThanOrEqual">
      <formula>0</formula>
    </cfRule>
  </conditionalFormatting>
  <conditionalFormatting sqref="K110:K111">
    <cfRule type="cellIs" dxfId="17377" priority="2499" operator="greaterThan">
      <formula>0</formula>
    </cfRule>
    <cfRule type="cellIs" dxfId="17376" priority="2500" operator="lessThanOrEqual">
      <formula>0</formula>
    </cfRule>
  </conditionalFormatting>
  <conditionalFormatting sqref="K125:K126">
    <cfRule type="cellIs" dxfId="17375" priority="2497" operator="greaterThan">
      <formula>0</formula>
    </cfRule>
    <cfRule type="cellIs" dxfId="17374" priority="2498" operator="lessThanOrEqual">
      <formula>0</formula>
    </cfRule>
  </conditionalFormatting>
  <conditionalFormatting sqref="K115:K116">
    <cfRule type="cellIs" dxfId="17373" priority="2495" operator="greaterThan">
      <formula>0</formula>
    </cfRule>
    <cfRule type="cellIs" dxfId="17372" priority="2496" operator="lessThanOrEqual">
      <formula>0</formula>
    </cfRule>
  </conditionalFormatting>
  <conditionalFormatting sqref="K77">
    <cfRule type="cellIs" dxfId="17371" priority="2493" operator="greaterThan">
      <formula>0</formula>
    </cfRule>
    <cfRule type="cellIs" dxfId="17370" priority="2494" operator="lessThanOrEqual">
      <formula>0</formula>
    </cfRule>
  </conditionalFormatting>
  <conditionalFormatting sqref="K80">
    <cfRule type="cellIs" dxfId="17369" priority="2491" operator="greaterThan">
      <formula>0</formula>
    </cfRule>
    <cfRule type="cellIs" dxfId="17368" priority="2492" operator="lessThanOrEqual">
      <formula>0</formula>
    </cfRule>
  </conditionalFormatting>
  <conditionalFormatting sqref="K83">
    <cfRule type="cellIs" dxfId="17367" priority="2489" operator="greaterThan">
      <formula>0</formula>
    </cfRule>
    <cfRule type="cellIs" dxfId="17366" priority="2490" operator="lessThanOrEqual">
      <formula>0</formula>
    </cfRule>
  </conditionalFormatting>
  <conditionalFormatting sqref="K93">
    <cfRule type="cellIs" dxfId="17365" priority="2487" operator="greaterThan">
      <formula>0</formula>
    </cfRule>
    <cfRule type="cellIs" dxfId="17364" priority="2488" operator="lessThanOrEqual">
      <formula>0</formula>
    </cfRule>
  </conditionalFormatting>
  <conditionalFormatting sqref="K86">
    <cfRule type="cellIs" dxfId="17363" priority="2485" operator="greaterThan">
      <formula>0</formula>
    </cfRule>
    <cfRule type="cellIs" dxfId="17362" priority="2486" operator="lessThanOrEqual">
      <formula>0</formula>
    </cfRule>
  </conditionalFormatting>
  <conditionalFormatting sqref="K96">
    <cfRule type="cellIs" dxfId="17361" priority="2483" operator="greaterThan">
      <formula>0</formula>
    </cfRule>
    <cfRule type="cellIs" dxfId="17360" priority="2484" operator="lessThanOrEqual">
      <formula>0</formula>
    </cfRule>
  </conditionalFormatting>
  <conditionalFormatting sqref="K99">
    <cfRule type="cellIs" dxfId="17359" priority="2481" operator="greaterThan">
      <formula>0</formula>
    </cfRule>
    <cfRule type="cellIs" dxfId="17358" priority="2482" operator="lessThanOrEqual">
      <formula>0</formula>
    </cfRule>
  </conditionalFormatting>
  <conditionalFormatting sqref="K102">
    <cfRule type="cellIs" dxfId="17357" priority="2479" operator="greaterThan">
      <formula>0</formula>
    </cfRule>
    <cfRule type="cellIs" dxfId="17356" priority="2480" operator="lessThanOrEqual">
      <formula>0</formula>
    </cfRule>
  </conditionalFormatting>
  <conditionalFormatting sqref="K88">
    <cfRule type="cellIs" dxfId="17355" priority="2477" operator="greaterThan">
      <formula>0</formula>
    </cfRule>
    <cfRule type="cellIs" dxfId="17354" priority="2478" operator="lessThanOrEqual">
      <formula>0</formula>
    </cfRule>
  </conditionalFormatting>
  <conditionalFormatting sqref="K128">
    <cfRule type="cellIs" dxfId="17353" priority="2475" operator="greaterThan">
      <formula>0</formula>
    </cfRule>
    <cfRule type="cellIs" dxfId="17352" priority="2476" operator="lessThanOrEqual">
      <formula>0</formula>
    </cfRule>
  </conditionalFormatting>
  <conditionalFormatting sqref="J75:J76 J78:J79 J81:J82 J84:J85 J91:J92 J94:J95 J97:J98 J100:J101 J110:J111 J115:J116">
    <cfRule type="cellIs" dxfId="17351" priority="2473" operator="lessThan">
      <formula>0</formula>
    </cfRule>
    <cfRule type="cellIs" dxfId="17350" priority="2474" operator="greaterThanOrEqual">
      <formula>0</formula>
    </cfRule>
  </conditionalFormatting>
  <conditionalFormatting sqref="J77 J80 J83 J86 J88 J93 J96 J99 J102">
    <cfRule type="cellIs" dxfId="17349" priority="2472" operator="greaterThanOrEqual">
      <formula>0</formula>
    </cfRule>
  </conditionalFormatting>
  <conditionalFormatting sqref="J77 J80 J83 J86 J88 J93 J96 J99 J102">
    <cfRule type="cellIs" dxfId="17348" priority="2471" operator="lessThan">
      <formula>0</formula>
    </cfRule>
  </conditionalFormatting>
  <conditionalFormatting sqref="J124">
    <cfRule type="cellIs" dxfId="17347" priority="2450" operator="greaterThanOrEqual">
      <formula>0</formula>
    </cfRule>
  </conditionalFormatting>
  <conditionalFormatting sqref="J124">
    <cfRule type="cellIs" dxfId="17346" priority="2449" operator="lessThan">
      <formula>0</formula>
    </cfRule>
  </conditionalFormatting>
  <conditionalFormatting sqref="K113">
    <cfRule type="cellIs" dxfId="17345" priority="2465" operator="greaterThan">
      <formula>0</formula>
    </cfRule>
    <cfRule type="cellIs" dxfId="17344" priority="2466" operator="lessThanOrEqual">
      <formula>0</formula>
    </cfRule>
  </conditionalFormatting>
  <conditionalFormatting sqref="K106">
    <cfRule type="cellIs" dxfId="17343" priority="2459" operator="greaterThan">
      <formula>0</formula>
    </cfRule>
    <cfRule type="cellIs" dxfId="17342" priority="2460" operator="lessThanOrEqual">
      <formula>0</formula>
    </cfRule>
  </conditionalFormatting>
  <conditionalFormatting sqref="K109">
    <cfRule type="cellIs" dxfId="17341" priority="2457" operator="greaterThan">
      <formula>0</formula>
    </cfRule>
    <cfRule type="cellIs" dxfId="17340" priority="2458" operator="lessThanOrEqual">
      <formula>0</formula>
    </cfRule>
  </conditionalFormatting>
  <conditionalFormatting sqref="K112">
    <cfRule type="cellIs" dxfId="17339" priority="2455" operator="greaterThan">
      <formula>0</formula>
    </cfRule>
    <cfRule type="cellIs" dxfId="17338" priority="2456" operator="lessThanOrEqual">
      <formula>0</formula>
    </cfRule>
  </conditionalFormatting>
  <conditionalFormatting sqref="K90">
    <cfRule type="cellIs" dxfId="17337" priority="2469" operator="greaterThan">
      <formula>0</formula>
    </cfRule>
    <cfRule type="cellIs" dxfId="17336" priority="2470" operator="lessThanOrEqual">
      <formula>0</formula>
    </cfRule>
  </conditionalFormatting>
  <conditionalFormatting sqref="K103">
    <cfRule type="cellIs" dxfId="17335" priority="2467" operator="greaterThan">
      <formula>0</formula>
    </cfRule>
    <cfRule type="cellIs" dxfId="17334" priority="2468" operator="lessThanOrEqual">
      <formula>0</formula>
    </cfRule>
  </conditionalFormatting>
  <conditionalFormatting sqref="K104:K105 K107:K108">
    <cfRule type="cellIs" dxfId="17333" priority="2463" operator="greaterThan">
      <formula>0</formula>
    </cfRule>
    <cfRule type="cellIs" dxfId="17332" priority="2464" operator="lessThanOrEqual">
      <formula>0</formula>
    </cfRule>
  </conditionalFormatting>
  <conditionalFormatting sqref="K119:K120 K122:K123">
    <cfRule type="cellIs" dxfId="17331" priority="2461" operator="greaterThan">
      <formula>0</formula>
    </cfRule>
    <cfRule type="cellIs" dxfId="17330" priority="2462" operator="lessThanOrEqual">
      <formula>0</formula>
    </cfRule>
  </conditionalFormatting>
  <conditionalFormatting sqref="K121">
    <cfRule type="cellIs" dxfId="17329" priority="2453" operator="greaterThan">
      <formula>0</formula>
    </cfRule>
    <cfRule type="cellIs" dxfId="17328" priority="2454" operator="lessThanOrEqual">
      <formula>0</formula>
    </cfRule>
  </conditionalFormatting>
  <conditionalFormatting sqref="K124">
    <cfRule type="cellIs" dxfId="17327" priority="2451" operator="greaterThan">
      <formula>0</formula>
    </cfRule>
    <cfRule type="cellIs" dxfId="17326" priority="2452" operator="lessThanOrEqual">
      <formula>0</formula>
    </cfRule>
  </conditionalFormatting>
  <conditionalFormatting sqref="K127">
    <cfRule type="cellIs" dxfId="17325" priority="2447" operator="greaterThan">
      <formula>0</formula>
    </cfRule>
    <cfRule type="cellIs" dxfId="17324" priority="2448" operator="lessThanOrEqual">
      <formula>0</formula>
    </cfRule>
  </conditionalFormatting>
  <conditionalFormatting sqref="K87">
    <cfRule type="cellIs" dxfId="17323" priority="2445" operator="greaterThan">
      <formula>0</formula>
    </cfRule>
    <cfRule type="cellIs" dxfId="17322" priority="2446" operator="lessThanOrEqual">
      <formula>0</formula>
    </cfRule>
  </conditionalFormatting>
  <conditionalFormatting sqref="K118">
    <cfRule type="cellIs" dxfId="17321" priority="2443" operator="greaterThan">
      <formula>0</formula>
    </cfRule>
    <cfRule type="cellIs" dxfId="17320" priority="2444" operator="lessThanOrEqual">
      <formula>0</formula>
    </cfRule>
  </conditionalFormatting>
  <conditionalFormatting sqref="J118">
    <cfRule type="cellIs" dxfId="17319" priority="2442" operator="greaterThanOrEqual">
      <formula>0</formula>
    </cfRule>
  </conditionalFormatting>
  <conditionalFormatting sqref="J118">
    <cfRule type="cellIs" dxfId="17318" priority="2441" operator="lessThan">
      <formula>0</formula>
    </cfRule>
  </conditionalFormatting>
  <conditionalFormatting sqref="K114">
    <cfRule type="cellIs" dxfId="17317" priority="2439" operator="greaterThan">
      <formula>0</formula>
    </cfRule>
    <cfRule type="cellIs" dxfId="17316" priority="2440" operator="lessThanOrEqual">
      <formula>0</formula>
    </cfRule>
  </conditionalFormatting>
  <conditionalFormatting sqref="J114">
    <cfRule type="cellIs" dxfId="17315" priority="2438" operator="greaterThanOrEqual">
      <formula>0</formula>
    </cfRule>
  </conditionalFormatting>
  <conditionalFormatting sqref="J114">
    <cfRule type="cellIs" dxfId="17314" priority="2437" operator="lessThan">
      <formula>0</formula>
    </cfRule>
  </conditionalFormatting>
  <conditionalFormatting sqref="J87">
    <cfRule type="cellIs" dxfId="17313" priority="2436" operator="greaterThanOrEqual">
      <formula>0</formula>
    </cfRule>
  </conditionalFormatting>
  <conditionalFormatting sqref="J87">
    <cfRule type="cellIs" dxfId="17312" priority="2435" operator="lessThan">
      <formula>0</formula>
    </cfRule>
  </conditionalFormatting>
  <conditionalFormatting sqref="J90">
    <cfRule type="cellIs" dxfId="17311" priority="2434" operator="greaterThanOrEqual">
      <formula>0</formula>
    </cfRule>
  </conditionalFormatting>
  <conditionalFormatting sqref="J90">
    <cfRule type="cellIs" dxfId="17310" priority="2433" operator="lessThan">
      <formula>0</formula>
    </cfRule>
  </conditionalFormatting>
  <conditionalFormatting sqref="J103">
    <cfRule type="cellIs" dxfId="17309" priority="2432" operator="greaterThanOrEqual">
      <formula>0</formula>
    </cfRule>
  </conditionalFormatting>
  <conditionalFormatting sqref="J103">
    <cfRule type="cellIs" dxfId="17308" priority="2431" operator="lessThan">
      <formula>0</formula>
    </cfRule>
  </conditionalFormatting>
  <conditionalFormatting sqref="J109">
    <cfRule type="cellIs" dxfId="17307" priority="2428" operator="greaterThanOrEqual">
      <formula>0</formula>
    </cfRule>
  </conditionalFormatting>
  <conditionalFormatting sqref="J109">
    <cfRule type="cellIs" dxfId="17306" priority="2427" operator="lessThan">
      <formula>0</formula>
    </cfRule>
  </conditionalFormatting>
  <conditionalFormatting sqref="J112">
    <cfRule type="cellIs" dxfId="17305" priority="2426" operator="greaterThanOrEqual">
      <formula>0</formula>
    </cfRule>
  </conditionalFormatting>
  <conditionalFormatting sqref="J112">
    <cfRule type="cellIs" dxfId="17304" priority="2425" operator="lessThan">
      <formula>0</formula>
    </cfRule>
  </conditionalFormatting>
  <conditionalFormatting sqref="J113">
    <cfRule type="cellIs" dxfId="17303" priority="2424" operator="greaterThanOrEqual">
      <formula>0</formula>
    </cfRule>
  </conditionalFormatting>
  <conditionalFormatting sqref="J113">
    <cfRule type="cellIs" dxfId="17302" priority="2423" operator="lessThan">
      <formula>0</formula>
    </cfRule>
  </conditionalFormatting>
  <conditionalFormatting sqref="J121">
    <cfRule type="cellIs" dxfId="17301" priority="2422" operator="greaterThanOrEqual">
      <formula>0</formula>
    </cfRule>
  </conditionalFormatting>
  <conditionalFormatting sqref="J121">
    <cfRule type="cellIs" dxfId="17300" priority="2421" operator="lessThan">
      <formula>0</formula>
    </cfRule>
  </conditionalFormatting>
  <conditionalFormatting sqref="J127">
    <cfRule type="cellIs" dxfId="17299" priority="2420" operator="greaterThanOrEqual">
      <formula>0</formula>
    </cfRule>
  </conditionalFormatting>
  <conditionalFormatting sqref="J127">
    <cfRule type="cellIs" dxfId="17298" priority="2419" operator="lessThan">
      <formula>0</formula>
    </cfRule>
  </conditionalFormatting>
  <conditionalFormatting sqref="J128">
    <cfRule type="cellIs" dxfId="17297" priority="2418" operator="greaterThanOrEqual">
      <formula>0</formula>
    </cfRule>
  </conditionalFormatting>
  <conditionalFormatting sqref="J128">
    <cfRule type="cellIs" dxfId="17296" priority="2417" operator="lessThan">
      <formula>0</formula>
    </cfRule>
  </conditionalFormatting>
  <conditionalFormatting sqref="J104:J105">
    <cfRule type="cellIs" dxfId="17295" priority="2415" operator="lessThan">
      <formula>0</formula>
    </cfRule>
    <cfRule type="cellIs" dxfId="17294" priority="2416" operator="greaterThanOrEqual">
      <formula>0</formula>
    </cfRule>
  </conditionalFormatting>
  <conditionalFormatting sqref="J107:J108">
    <cfRule type="cellIs" dxfId="17293" priority="2413" operator="lessThan">
      <formula>0</formula>
    </cfRule>
    <cfRule type="cellIs" dxfId="17292" priority="2414" operator="greaterThanOrEqual">
      <formula>0</formula>
    </cfRule>
  </conditionalFormatting>
  <conditionalFormatting sqref="J119:J120">
    <cfRule type="cellIs" dxfId="17291" priority="2411" operator="lessThan">
      <formula>0</formula>
    </cfRule>
    <cfRule type="cellIs" dxfId="17290" priority="2412" operator="greaterThanOrEqual">
      <formula>0</formula>
    </cfRule>
  </conditionalFormatting>
  <conditionalFormatting sqref="J122:J123">
    <cfRule type="cellIs" dxfId="17289" priority="2409" operator="lessThan">
      <formula>0</formula>
    </cfRule>
    <cfRule type="cellIs" dxfId="17288" priority="2410" operator="greaterThanOrEqual">
      <formula>0</formula>
    </cfRule>
  </conditionalFormatting>
  <conditionalFormatting sqref="J125:J126">
    <cfRule type="cellIs" dxfId="17287" priority="2407" operator="lessThan">
      <formula>0</formula>
    </cfRule>
    <cfRule type="cellIs" dxfId="17286" priority="2408" operator="greaterThanOrEqual">
      <formula>0</formula>
    </cfRule>
  </conditionalFormatting>
  <conditionalFormatting sqref="K129">
    <cfRule type="cellIs" dxfId="17285" priority="2405" operator="greaterThan">
      <formula>0</formula>
    </cfRule>
    <cfRule type="cellIs" dxfId="17284" priority="2406" operator="lessThanOrEqual">
      <formula>0</formula>
    </cfRule>
  </conditionalFormatting>
  <conditionalFormatting sqref="J129">
    <cfRule type="cellIs" dxfId="17283" priority="2403" operator="greaterThanOrEqual">
      <formula>0</formula>
    </cfRule>
    <cfRule type="cellIs" dxfId="17282" priority="2404" operator="lessThan">
      <formula>0</formula>
    </cfRule>
  </conditionalFormatting>
  <conditionalFormatting sqref="K117">
    <cfRule type="cellIs" dxfId="17281" priority="2401" operator="greaterThan">
      <formula>0</formula>
    </cfRule>
    <cfRule type="cellIs" dxfId="17280" priority="2402" operator="lessThanOrEqual">
      <formula>0</formula>
    </cfRule>
  </conditionalFormatting>
  <conditionalFormatting sqref="J117">
    <cfRule type="cellIs" dxfId="17279" priority="2400" operator="greaterThanOrEqual">
      <formula>0</formula>
    </cfRule>
  </conditionalFormatting>
  <conditionalFormatting sqref="J117">
    <cfRule type="cellIs" dxfId="17278" priority="2399" operator="lessThan">
      <formula>0</formula>
    </cfRule>
  </conditionalFormatting>
  <conditionalFormatting sqref="M77 M86 M80 M83 M93 M96 M99 M102">
    <cfRule type="cellIs" dxfId="17277" priority="2396" operator="greaterThanOrEqual">
      <formula>0</formula>
    </cfRule>
  </conditionalFormatting>
  <conditionalFormatting sqref="M77 M86 M80 M83 M93 M96 M99 M102">
    <cfRule type="cellIs" dxfId="17276" priority="2395" operator="lessThan">
      <formula>0</formula>
    </cfRule>
  </conditionalFormatting>
  <conditionalFormatting sqref="M129">
    <cfRule type="cellIs" dxfId="17275" priority="2393" operator="greaterThanOrEqual">
      <formula>0</formula>
    </cfRule>
    <cfRule type="cellIs" dxfId="17274" priority="2394" operator="lessThan">
      <formula>0</formula>
    </cfRule>
  </conditionalFormatting>
  <conditionalFormatting sqref="N75:N76">
    <cfRule type="cellIs" dxfId="17273" priority="2391" operator="greaterThan">
      <formula>0</formula>
    </cfRule>
    <cfRule type="cellIs" dxfId="17272" priority="2392" operator="lessThanOrEqual">
      <formula>0</formula>
    </cfRule>
  </conditionalFormatting>
  <conditionalFormatting sqref="N77 N86 N80 N83 N93 N96 N99 N102">
    <cfRule type="cellIs" dxfId="17271" priority="2390" operator="greaterThanOrEqual">
      <formula>0</formula>
    </cfRule>
  </conditionalFormatting>
  <conditionalFormatting sqref="N77 N86 N80 N83 N93 N96 N99 N102">
    <cfRule type="cellIs" dxfId="17270" priority="2389" operator="lessThan">
      <formula>0</formula>
    </cfRule>
  </conditionalFormatting>
  <conditionalFormatting sqref="N129">
    <cfRule type="cellIs" dxfId="17269" priority="2387" operator="lessThan">
      <formula>0</formula>
    </cfRule>
    <cfRule type="cellIs" dxfId="17268" priority="2388" operator="greaterThanOrEqual">
      <formula>0</formula>
    </cfRule>
  </conditionalFormatting>
  <conditionalFormatting sqref="N114">
    <cfRule type="cellIs" dxfId="17267" priority="2383" operator="lessThan">
      <formula>0</formula>
    </cfRule>
  </conditionalFormatting>
  <conditionalFormatting sqref="M114">
    <cfRule type="cellIs" dxfId="17266" priority="2386" operator="greaterThanOrEqual">
      <formula>0</formula>
    </cfRule>
  </conditionalFormatting>
  <conditionalFormatting sqref="M114">
    <cfRule type="cellIs" dxfId="17265" priority="2385" operator="lessThan">
      <formula>0</formula>
    </cfRule>
  </conditionalFormatting>
  <conditionalFormatting sqref="N114">
    <cfRule type="cellIs" dxfId="17264" priority="2384" operator="greaterThanOrEqual">
      <formula>0</formula>
    </cfRule>
  </conditionalFormatting>
  <conditionalFormatting sqref="M104:M105">
    <cfRule type="cellIs" dxfId="17263" priority="2381" operator="lessThan">
      <formula>0</formula>
    </cfRule>
    <cfRule type="cellIs" dxfId="17262" priority="2382" operator="greaterThanOrEqual">
      <formula>0</formula>
    </cfRule>
  </conditionalFormatting>
  <conditionalFormatting sqref="M107:M108">
    <cfRule type="cellIs" dxfId="17261" priority="2379" operator="lessThan">
      <formula>0</formula>
    </cfRule>
    <cfRule type="cellIs" dxfId="17260" priority="2380" operator="greaterThanOrEqual">
      <formula>0</formula>
    </cfRule>
  </conditionalFormatting>
  <conditionalFormatting sqref="M115:M116">
    <cfRule type="cellIs" dxfId="17259" priority="2377" operator="lessThan">
      <formula>0</formula>
    </cfRule>
    <cfRule type="cellIs" dxfId="17258" priority="2378" operator="greaterThanOrEqual">
      <formula>0</formula>
    </cfRule>
  </conditionalFormatting>
  <conditionalFormatting sqref="M119:M120">
    <cfRule type="cellIs" dxfId="17257" priority="2375" operator="lessThan">
      <formula>0</formula>
    </cfRule>
    <cfRule type="cellIs" dxfId="17256" priority="2376" operator="greaterThanOrEqual">
      <formula>0</formula>
    </cfRule>
  </conditionalFormatting>
  <conditionalFormatting sqref="M122:M123">
    <cfRule type="cellIs" dxfId="17255" priority="2373" operator="lessThan">
      <formula>0</formula>
    </cfRule>
    <cfRule type="cellIs" dxfId="17254" priority="2374" operator="greaterThanOrEqual">
      <formula>0</formula>
    </cfRule>
  </conditionalFormatting>
  <conditionalFormatting sqref="M125:M126">
    <cfRule type="cellIs" dxfId="17253" priority="2371" operator="lessThan">
      <formula>0</formula>
    </cfRule>
    <cfRule type="cellIs" dxfId="17252" priority="2372" operator="greaterThanOrEqual">
      <formula>0</formula>
    </cfRule>
  </conditionalFormatting>
  <conditionalFormatting sqref="M87">
    <cfRule type="cellIs" dxfId="17251" priority="2370" operator="greaterThanOrEqual">
      <formula>0</formula>
    </cfRule>
  </conditionalFormatting>
  <conditionalFormatting sqref="M87">
    <cfRule type="cellIs" dxfId="17250" priority="2369" operator="lessThan">
      <formula>0</formula>
    </cfRule>
  </conditionalFormatting>
  <conditionalFormatting sqref="M88">
    <cfRule type="cellIs" dxfId="17249" priority="2368" operator="greaterThanOrEqual">
      <formula>0</formula>
    </cfRule>
  </conditionalFormatting>
  <conditionalFormatting sqref="M88">
    <cfRule type="cellIs" dxfId="17248" priority="2367" operator="lessThan">
      <formula>0</formula>
    </cfRule>
  </conditionalFormatting>
  <conditionalFormatting sqref="M90">
    <cfRule type="cellIs" dxfId="17247" priority="2366" operator="greaterThanOrEqual">
      <formula>0</formula>
    </cfRule>
  </conditionalFormatting>
  <conditionalFormatting sqref="M90">
    <cfRule type="cellIs" dxfId="17246" priority="2365" operator="lessThan">
      <formula>0</formula>
    </cfRule>
  </conditionalFormatting>
  <conditionalFormatting sqref="M103">
    <cfRule type="cellIs" dxfId="17245" priority="2364" operator="greaterThanOrEqual">
      <formula>0</formula>
    </cfRule>
  </conditionalFormatting>
  <conditionalFormatting sqref="M103">
    <cfRule type="cellIs" dxfId="17244" priority="2363" operator="lessThan">
      <formula>0</formula>
    </cfRule>
  </conditionalFormatting>
  <conditionalFormatting sqref="M109">
    <cfRule type="cellIs" dxfId="17243" priority="2360" operator="greaterThanOrEqual">
      <formula>0</formula>
    </cfRule>
  </conditionalFormatting>
  <conditionalFormatting sqref="M109">
    <cfRule type="cellIs" dxfId="17242" priority="2359" operator="lessThan">
      <formula>0</formula>
    </cfRule>
  </conditionalFormatting>
  <conditionalFormatting sqref="M112">
    <cfRule type="cellIs" dxfId="17241" priority="2358" operator="greaterThanOrEqual">
      <formula>0</formula>
    </cfRule>
  </conditionalFormatting>
  <conditionalFormatting sqref="M112">
    <cfRule type="cellIs" dxfId="17240" priority="2357" operator="lessThan">
      <formula>0</formula>
    </cfRule>
  </conditionalFormatting>
  <conditionalFormatting sqref="M121">
    <cfRule type="cellIs" dxfId="17239" priority="2354" operator="greaterThanOrEqual">
      <formula>0</formula>
    </cfRule>
  </conditionalFormatting>
  <conditionalFormatting sqref="M121">
    <cfRule type="cellIs" dxfId="17238" priority="2353" operator="lessThan">
      <formula>0</formula>
    </cfRule>
  </conditionalFormatting>
  <conditionalFormatting sqref="M124">
    <cfRule type="cellIs" dxfId="17237" priority="2352" operator="greaterThanOrEqual">
      <formula>0</formula>
    </cfRule>
  </conditionalFormatting>
  <conditionalFormatting sqref="M124">
    <cfRule type="cellIs" dxfId="17236" priority="2351" operator="lessThan">
      <formula>0</formula>
    </cfRule>
  </conditionalFormatting>
  <conditionalFormatting sqref="M127">
    <cfRule type="cellIs" dxfId="17235" priority="2350" operator="greaterThanOrEqual">
      <formula>0</formula>
    </cfRule>
  </conditionalFormatting>
  <conditionalFormatting sqref="M127">
    <cfRule type="cellIs" dxfId="17234" priority="2349" operator="lessThan">
      <formula>0</formula>
    </cfRule>
  </conditionalFormatting>
  <conditionalFormatting sqref="M118">
    <cfRule type="cellIs" dxfId="17233" priority="2348" operator="greaterThanOrEqual">
      <formula>0</formula>
    </cfRule>
  </conditionalFormatting>
  <conditionalFormatting sqref="M118">
    <cfRule type="cellIs" dxfId="17232" priority="2347" operator="lessThan">
      <formula>0</formula>
    </cfRule>
  </conditionalFormatting>
  <conditionalFormatting sqref="M128">
    <cfRule type="cellIs" dxfId="17231" priority="2346" operator="greaterThanOrEqual">
      <formula>0</formula>
    </cfRule>
  </conditionalFormatting>
  <conditionalFormatting sqref="M128">
    <cfRule type="cellIs" dxfId="17230" priority="2345" operator="lessThan">
      <formula>0</formula>
    </cfRule>
  </conditionalFormatting>
  <conditionalFormatting sqref="N78:N79">
    <cfRule type="cellIs" dxfId="17229" priority="2343" operator="greaterThan">
      <formula>0</formula>
    </cfRule>
    <cfRule type="cellIs" dxfId="17228" priority="2344" operator="lessThanOrEqual">
      <formula>0</formula>
    </cfRule>
  </conditionalFormatting>
  <conditionalFormatting sqref="N81:N82">
    <cfRule type="cellIs" dxfId="17227" priority="2341" operator="greaterThan">
      <formula>0</formula>
    </cfRule>
    <cfRule type="cellIs" dxfId="17226" priority="2342" operator="lessThanOrEqual">
      <formula>0</formula>
    </cfRule>
  </conditionalFormatting>
  <conditionalFormatting sqref="N84:N85">
    <cfRule type="cellIs" dxfId="17225" priority="2339" operator="greaterThan">
      <formula>0</formula>
    </cfRule>
    <cfRule type="cellIs" dxfId="17224" priority="2340" operator="lessThanOrEqual">
      <formula>0</formula>
    </cfRule>
  </conditionalFormatting>
  <conditionalFormatting sqref="N91:N92">
    <cfRule type="cellIs" dxfId="17223" priority="2337" operator="greaterThan">
      <formula>0</formula>
    </cfRule>
    <cfRule type="cellIs" dxfId="17222" priority="2338" operator="lessThanOrEqual">
      <formula>0</formula>
    </cfRule>
  </conditionalFormatting>
  <conditionalFormatting sqref="N94:N95">
    <cfRule type="cellIs" dxfId="17221" priority="2335" operator="greaterThan">
      <formula>0</formula>
    </cfRule>
    <cfRule type="cellIs" dxfId="17220" priority="2336" operator="lessThanOrEqual">
      <formula>0</formula>
    </cfRule>
  </conditionalFormatting>
  <conditionalFormatting sqref="N97:N98">
    <cfRule type="cellIs" dxfId="17219" priority="2333" operator="greaterThan">
      <formula>0</formula>
    </cfRule>
    <cfRule type="cellIs" dxfId="17218" priority="2334" operator="lessThanOrEqual">
      <formula>0</formula>
    </cfRule>
  </conditionalFormatting>
  <conditionalFormatting sqref="N100:N101">
    <cfRule type="cellIs" dxfId="17217" priority="2331" operator="greaterThan">
      <formula>0</formula>
    </cfRule>
    <cfRule type="cellIs" dxfId="17216" priority="2332" operator="lessThanOrEqual">
      <formula>0</formula>
    </cfRule>
  </conditionalFormatting>
  <conditionalFormatting sqref="N104:N105">
    <cfRule type="cellIs" dxfId="17215" priority="2329" operator="greaterThan">
      <formula>0</formula>
    </cfRule>
    <cfRule type="cellIs" dxfId="17214" priority="2330" operator="lessThanOrEqual">
      <formula>0</formula>
    </cfRule>
  </conditionalFormatting>
  <conditionalFormatting sqref="N107:N108">
    <cfRule type="cellIs" dxfId="17213" priority="2327" operator="greaterThan">
      <formula>0</formula>
    </cfRule>
    <cfRule type="cellIs" dxfId="17212" priority="2328" operator="lessThanOrEqual">
      <formula>0</formula>
    </cfRule>
  </conditionalFormatting>
  <conditionalFormatting sqref="N110:N111">
    <cfRule type="cellIs" dxfId="17211" priority="2325" operator="greaterThan">
      <formula>0</formula>
    </cfRule>
    <cfRule type="cellIs" dxfId="17210" priority="2326" operator="lessThanOrEqual">
      <formula>0</formula>
    </cfRule>
  </conditionalFormatting>
  <conditionalFormatting sqref="N115:N116">
    <cfRule type="cellIs" dxfId="17209" priority="2323" operator="greaterThan">
      <formula>0</formula>
    </cfRule>
    <cfRule type="cellIs" dxfId="17208" priority="2324" operator="lessThanOrEqual">
      <formula>0</formula>
    </cfRule>
  </conditionalFormatting>
  <conditionalFormatting sqref="N119:N120">
    <cfRule type="cellIs" dxfId="17207" priority="2321" operator="greaterThan">
      <formula>0</formula>
    </cfRule>
    <cfRule type="cellIs" dxfId="17206" priority="2322" operator="lessThanOrEqual">
      <formula>0</formula>
    </cfRule>
  </conditionalFormatting>
  <conditionalFormatting sqref="N125:N126">
    <cfRule type="cellIs" dxfId="17205" priority="2317" operator="greaterThan">
      <formula>0</formula>
    </cfRule>
    <cfRule type="cellIs" dxfId="17204" priority="2318" operator="lessThanOrEqual">
      <formula>0</formula>
    </cfRule>
  </conditionalFormatting>
  <conditionalFormatting sqref="N87">
    <cfRule type="cellIs" dxfId="17203" priority="2316" operator="greaterThanOrEqual">
      <formula>0</formula>
    </cfRule>
  </conditionalFormatting>
  <conditionalFormatting sqref="N87">
    <cfRule type="cellIs" dxfId="17202" priority="2315" operator="lessThan">
      <formula>0</formula>
    </cfRule>
  </conditionalFormatting>
  <conditionalFormatting sqref="N88">
    <cfRule type="cellIs" dxfId="17201" priority="2314" operator="greaterThanOrEqual">
      <formula>0</formula>
    </cfRule>
  </conditionalFormatting>
  <conditionalFormatting sqref="N88">
    <cfRule type="cellIs" dxfId="17200" priority="2313" operator="lessThan">
      <formula>0</formula>
    </cfRule>
  </conditionalFormatting>
  <conditionalFormatting sqref="N90">
    <cfRule type="cellIs" dxfId="17199" priority="2312" operator="greaterThanOrEqual">
      <formula>0</formula>
    </cfRule>
  </conditionalFormatting>
  <conditionalFormatting sqref="N90">
    <cfRule type="cellIs" dxfId="17198" priority="2311" operator="lessThan">
      <formula>0</formula>
    </cfRule>
  </conditionalFormatting>
  <conditionalFormatting sqref="N103">
    <cfRule type="cellIs" dxfId="17197" priority="2310" operator="greaterThanOrEqual">
      <formula>0</formula>
    </cfRule>
  </conditionalFormatting>
  <conditionalFormatting sqref="N103">
    <cfRule type="cellIs" dxfId="17196" priority="2309" operator="lessThan">
      <formula>0</formula>
    </cfRule>
  </conditionalFormatting>
  <conditionalFormatting sqref="N106">
    <cfRule type="cellIs" dxfId="17195" priority="2308" operator="greaterThanOrEqual">
      <formula>0</formula>
    </cfRule>
  </conditionalFormatting>
  <conditionalFormatting sqref="N106">
    <cfRule type="cellIs" dxfId="17194" priority="2307" operator="lessThan">
      <formula>0</formula>
    </cfRule>
  </conditionalFormatting>
  <conditionalFormatting sqref="N109">
    <cfRule type="cellIs" dxfId="17193" priority="2306" operator="greaterThanOrEqual">
      <formula>0</formula>
    </cfRule>
  </conditionalFormatting>
  <conditionalFormatting sqref="N109">
    <cfRule type="cellIs" dxfId="17192" priority="2305" operator="lessThan">
      <formula>0</formula>
    </cfRule>
  </conditionalFormatting>
  <conditionalFormatting sqref="N113">
    <cfRule type="cellIs" dxfId="17191" priority="2302" operator="greaterThanOrEqual">
      <formula>0</formula>
    </cfRule>
  </conditionalFormatting>
  <conditionalFormatting sqref="N113">
    <cfRule type="cellIs" dxfId="17190" priority="2301" operator="lessThan">
      <formula>0</formula>
    </cfRule>
  </conditionalFormatting>
  <conditionalFormatting sqref="N121">
    <cfRule type="cellIs" dxfId="17189" priority="2300" operator="greaterThanOrEqual">
      <formula>0</formula>
    </cfRule>
  </conditionalFormatting>
  <conditionalFormatting sqref="N121">
    <cfRule type="cellIs" dxfId="17188" priority="2299" operator="lessThan">
      <formula>0</formula>
    </cfRule>
  </conditionalFormatting>
  <conditionalFormatting sqref="M117">
    <cfRule type="cellIs" dxfId="17187" priority="2290" operator="greaterThanOrEqual">
      <formula>0</formula>
    </cfRule>
  </conditionalFormatting>
  <conditionalFormatting sqref="M117">
    <cfRule type="cellIs" dxfId="17186" priority="2289" operator="lessThan">
      <formula>0</formula>
    </cfRule>
  </conditionalFormatting>
  <conditionalFormatting sqref="G132">
    <cfRule type="cellIs" dxfId="17185" priority="2285" operator="lessThan">
      <formula>0</formula>
    </cfRule>
    <cfRule type="cellIs" dxfId="17184" priority="2286" operator="greaterThanOrEqual">
      <formula>0</formula>
    </cfRule>
  </conditionalFormatting>
  <conditionalFormatting sqref="G175">
    <cfRule type="cellIs" dxfId="17183" priority="2283" operator="greaterThan">
      <formula>0</formula>
    </cfRule>
    <cfRule type="cellIs" dxfId="17182" priority="2284" operator="lessThanOrEqual">
      <formula>0</formula>
    </cfRule>
  </conditionalFormatting>
  <conditionalFormatting sqref="F175">
    <cfRule type="cellIs" dxfId="17181" priority="2282" operator="greaterThanOrEqual">
      <formula>0</formula>
    </cfRule>
  </conditionalFormatting>
  <conditionalFormatting sqref="F175">
    <cfRule type="cellIs" dxfId="17180" priority="2281" operator="lessThan">
      <formula>0</formula>
    </cfRule>
  </conditionalFormatting>
  <conditionalFormatting sqref="J175">
    <cfRule type="cellIs" dxfId="17179" priority="2280" operator="greaterThanOrEqual">
      <formula>0</formula>
    </cfRule>
  </conditionalFormatting>
  <conditionalFormatting sqref="J175">
    <cfRule type="cellIs" dxfId="17178" priority="2279" operator="lessThan">
      <formula>0</formula>
    </cfRule>
  </conditionalFormatting>
  <conditionalFormatting sqref="M175">
    <cfRule type="cellIs" dxfId="17177" priority="2278" operator="greaterThanOrEqual">
      <formula>0</formula>
    </cfRule>
  </conditionalFormatting>
  <conditionalFormatting sqref="M175">
    <cfRule type="cellIs" dxfId="17176" priority="2277" operator="lessThan">
      <formula>0</formula>
    </cfRule>
  </conditionalFormatting>
  <conditionalFormatting sqref="N175">
    <cfRule type="cellIs" dxfId="17175" priority="2276" operator="greaterThanOrEqual">
      <formula>0</formula>
    </cfRule>
  </conditionalFormatting>
  <conditionalFormatting sqref="N175">
    <cfRule type="cellIs" dxfId="17174" priority="2275" operator="lessThan">
      <formula>0</formula>
    </cfRule>
  </conditionalFormatting>
  <conditionalFormatting sqref="G174">
    <cfRule type="cellIs" dxfId="17173" priority="2273" operator="greaterThan">
      <formula>0</formula>
    </cfRule>
    <cfRule type="cellIs" dxfId="17172" priority="2274" operator="lessThanOrEqual">
      <formula>0</formula>
    </cfRule>
  </conditionalFormatting>
  <conditionalFormatting sqref="F174">
    <cfRule type="cellIs" dxfId="17171" priority="2272" operator="greaterThanOrEqual">
      <formula>0</formula>
    </cfRule>
  </conditionalFormatting>
  <conditionalFormatting sqref="F174">
    <cfRule type="cellIs" dxfId="17170" priority="2271" operator="lessThan">
      <formula>0</formula>
    </cfRule>
  </conditionalFormatting>
  <conditionalFormatting sqref="M174:N174">
    <cfRule type="cellIs" dxfId="17169" priority="2268" operator="greaterThanOrEqual">
      <formula>0</formula>
    </cfRule>
  </conditionalFormatting>
  <conditionalFormatting sqref="M174:N174">
    <cfRule type="cellIs" dxfId="17168" priority="2267" operator="lessThan">
      <formula>0</formula>
    </cfRule>
  </conditionalFormatting>
  <conditionalFormatting sqref="J174">
    <cfRule type="cellIs" dxfId="17167" priority="2270" operator="greaterThanOrEqual">
      <formula>0</formula>
    </cfRule>
  </conditionalFormatting>
  <conditionalFormatting sqref="J174">
    <cfRule type="cellIs" dxfId="17166" priority="2269" operator="lessThan">
      <formula>0</formula>
    </cfRule>
  </conditionalFormatting>
  <conditionalFormatting sqref="K133">
    <cfRule type="cellIs" dxfId="17165" priority="2265" operator="greaterThan">
      <formula>0</formula>
    </cfRule>
    <cfRule type="cellIs" dxfId="17164" priority="2266" operator="lessThanOrEqual">
      <formula>0</formula>
    </cfRule>
  </conditionalFormatting>
  <conditionalFormatting sqref="K135:K136">
    <cfRule type="cellIs" dxfId="17163" priority="2263" operator="greaterThan">
      <formula>0</formula>
    </cfRule>
    <cfRule type="cellIs" dxfId="17162" priority="2264" operator="lessThanOrEqual">
      <formula>0</formula>
    </cfRule>
  </conditionalFormatting>
  <conditionalFormatting sqref="K172:K173">
    <cfRule type="cellIs" dxfId="17161" priority="2245" operator="greaterThan">
      <formula>0</formula>
    </cfRule>
    <cfRule type="cellIs" dxfId="17160" priority="2246" operator="lessThanOrEqual">
      <formula>0</formula>
    </cfRule>
  </conditionalFormatting>
  <conditionalFormatting sqref="K143">
    <cfRule type="cellIs" dxfId="17159" priority="2235" operator="greaterThan">
      <formula>0</formula>
    </cfRule>
    <cfRule type="cellIs" dxfId="17158" priority="2236" operator="lessThanOrEqual">
      <formula>0</formula>
    </cfRule>
  </conditionalFormatting>
  <conditionalFormatting sqref="K153">
    <cfRule type="cellIs" dxfId="17157" priority="2233" operator="greaterThan">
      <formula>0</formula>
    </cfRule>
    <cfRule type="cellIs" dxfId="17156" priority="2234" operator="lessThanOrEqual">
      <formula>0</formula>
    </cfRule>
  </conditionalFormatting>
  <conditionalFormatting sqref="K156">
    <cfRule type="cellIs" dxfId="17155" priority="2231" operator="greaterThan">
      <formula>0</formula>
    </cfRule>
    <cfRule type="cellIs" dxfId="17154" priority="2232" operator="lessThanOrEqual">
      <formula>0</formula>
    </cfRule>
  </conditionalFormatting>
  <conditionalFormatting sqref="K163">
    <cfRule type="cellIs" dxfId="17153" priority="2207" operator="greaterThan">
      <formula>0</formula>
    </cfRule>
    <cfRule type="cellIs" dxfId="17152" priority="2208" operator="lessThanOrEqual">
      <formula>0</formula>
    </cfRule>
  </conditionalFormatting>
  <conditionalFormatting sqref="K170">
    <cfRule type="cellIs" dxfId="17151" priority="2213" operator="greaterThan">
      <formula>0</formula>
    </cfRule>
    <cfRule type="cellIs" dxfId="17150" priority="2214" operator="lessThanOrEqual">
      <formula>0</formula>
    </cfRule>
  </conditionalFormatting>
  <conditionalFormatting sqref="K138:K139">
    <cfRule type="cellIs" dxfId="17149" priority="2261" operator="greaterThan">
      <formula>0</formula>
    </cfRule>
    <cfRule type="cellIs" dxfId="17148" priority="2262" operator="lessThanOrEqual">
      <formula>0</formula>
    </cfRule>
  </conditionalFormatting>
  <conditionalFormatting sqref="K148:K149">
    <cfRule type="cellIs" dxfId="17147" priority="2259" operator="greaterThan">
      <formula>0</formula>
    </cfRule>
    <cfRule type="cellIs" dxfId="17146" priority="2260" operator="lessThanOrEqual">
      <formula>0</formula>
    </cfRule>
  </conditionalFormatting>
  <conditionalFormatting sqref="K141:K142">
    <cfRule type="cellIs" dxfId="17145" priority="2257" operator="greaterThan">
      <formula>0</formula>
    </cfRule>
    <cfRule type="cellIs" dxfId="17144" priority="2258" operator="lessThanOrEqual">
      <formula>0</formula>
    </cfRule>
  </conditionalFormatting>
  <conditionalFormatting sqref="K151:K152">
    <cfRule type="cellIs" dxfId="17143" priority="2255" operator="greaterThan">
      <formula>0</formula>
    </cfRule>
    <cfRule type="cellIs" dxfId="17142" priority="2256" operator="lessThanOrEqual">
      <formula>0</formula>
    </cfRule>
  </conditionalFormatting>
  <conditionalFormatting sqref="K154:K155">
    <cfRule type="cellIs" dxfId="17141" priority="2253" operator="greaterThan">
      <formula>0</formula>
    </cfRule>
    <cfRule type="cellIs" dxfId="17140" priority="2254" operator="lessThanOrEqual">
      <formula>0</formula>
    </cfRule>
  </conditionalFormatting>
  <conditionalFormatting sqref="K157:K158">
    <cfRule type="cellIs" dxfId="17139" priority="2251" operator="greaterThan">
      <formula>0</formula>
    </cfRule>
    <cfRule type="cellIs" dxfId="17138" priority="2252" operator="lessThanOrEqual">
      <formula>0</formula>
    </cfRule>
  </conditionalFormatting>
  <conditionalFormatting sqref="K167:K168">
    <cfRule type="cellIs" dxfId="17137" priority="2249" operator="greaterThan">
      <formula>0</formula>
    </cfRule>
    <cfRule type="cellIs" dxfId="17136" priority="2250" operator="lessThanOrEqual">
      <formula>0</formula>
    </cfRule>
  </conditionalFormatting>
  <conditionalFormatting sqref="K182:K183">
    <cfRule type="cellIs" dxfId="17135" priority="2247" operator="greaterThan">
      <formula>0</formula>
    </cfRule>
    <cfRule type="cellIs" dxfId="17134" priority="2248" operator="lessThanOrEqual">
      <formula>0</formula>
    </cfRule>
  </conditionalFormatting>
  <conditionalFormatting sqref="K134">
    <cfRule type="cellIs" dxfId="17133" priority="2243" operator="greaterThan">
      <formula>0</formula>
    </cfRule>
    <cfRule type="cellIs" dxfId="17132" priority="2244" operator="lessThanOrEqual">
      <formula>0</formula>
    </cfRule>
  </conditionalFormatting>
  <conditionalFormatting sqref="K137">
    <cfRule type="cellIs" dxfId="17131" priority="2241" operator="greaterThan">
      <formula>0</formula>
    </cfRule>
    <cfRule type="cellIs" dxfId="17130" priority="2242" operator="lessThanOrEqual">
      <formula>0</formula>
    </cfRule>
  </conditionalFormatting>
  <conditionalFormatting sqref="K140">
    <cfRule type="cellIs" dxfId="17129" priority="2239" operator="greaterThan">
      <formula>0</formula>
    </cfRule>
    <cfRule type="cellIs" dxfId="17128" priority="2240" operator="lessThanOrEqual">
      <formula>0</formula>
    </cfRule>
  </conditionalFormatting>
  <conditionalFormatting sqref="K150">
    <cfRule type="cellIs" dxfId="17127" priority="2237" operator="greaterThan">
      <formula>0</formula>
    </cfRule>
    <cfRule type="cellIs" dxfId="17126" priority="2238" operator="lessThanOrEqual">
      <formula>0</formula>
    </cfRule>
  </conditionalFormatting>
  <conditionalFormatting sqref="K159">
    <cfRule type="cellIs" dxfId="17125" priority="2229" operator="greaterThan">
      <formula>0</formula>
    </cfRule>
    <cfRule type="cellIs" dxfId="17124" priority="2230" operator="lessThanOrEqual">
      <formula>0</formula>
    </cfRule>
  </conditionalFormatting>
  <conditionalFormatting sqref="K145">
    <cfRule type="cellIs" dxfId="17123" priority="2227" operator="greaterThan">
      <formula>0</formula>
    </cfRule>
    <cfRule type="cellIs" dxfId="17122" priority="2228" operator="lessThanOrEqual">
      <formula>0</formula>
    </cfRule>
  </conditionalFormatting>
  <conditionalFormatting sqref="K185">
    <cfRule type="cellIs" dxfId="17121" priority="2225" operator="greaterThan">
      <formula>0</formula>
    </cfRule>
    <cfRule type="cellIs" dxfId="17120" priority="2226" operator="lessThanOrEqual">
      <formula>0</formula>
    </cfRule>
  </conditionalFormatting>
  <conditionalFormatting sqref="K186">
    <cfRule type="cellIs" dxfId="17119" priority="2223" operator="greaterThan">
      <formula>0</formula>
    </cfRule>
    <cfRule type="cellIs" dxfId="17118" priority="2224" operator="lessThanOrEqual">
      <formula>0</formula>
    </cfRule>
  </conditionalFormatting>
  <conditionalFormatting sqref="K171">
    <cfRule type="cellIs" dxfId="17117" priority="2221" operator="greaterThan">
      <formula>0</formula>
    </cfRule>
    <cfRule type="cellIs" dxfId="17116" priority="2222" operator="lessThanOrEqual">
      <formula>0</formula>
    </cfRule>
  </conditionalFormatting>
  <conditionalFormatting sqref="K144">
    <cfRule type="cellIs" dxfId="17115" priority="2219" operator="greaterThan">
      <formula>0</formula>
    </cfRule>
    <cfRule type="cellIs" dxfId="17114" priority="2220" operator="lessThanOrEqual">
      <formula>0</formula>
    </cfRule>
  </conditionalFormatting>
  <conditionalFormatting sqref="K166">
    <cfRule type="cellIs" dxfId="17113" priority="2205" operator="greaterThan">
      <formula>0</formula>
    </cfRule>
    <cfRule type="cellIs" dxfId="17112" priority="2206" operator="lessThanOrEqual">
      <formula>0</formula>
    </cfRule>
  </conditionalFormatting>
  <conditionalFormatting sqref="K169">
    <cfRule type="cellIs" dxfId="17111" priority="2203" operator="greaterThan">
      <formula>0</formula>
    </cfRule>
    <cfRule type="cellIs" dxfId="17110" priority="2204" operator="lessThanOrEqual">
      <formula>0</formula>
    </cfRule>
  </conditionalFormatting>
  <conditionalFormatting sqref="K147">
    <cfRule type="cellIs" dxfId="17109" priority="2217" operator="greaterThan">
      <formula>0</formula>
    </cfRule>
    <cfRule type="cellIs" dxfId="17108" priority="2218" operator="lessThanOrEqual">
      <formula>0</formula>
    </cfRule>
  </conditionalFormatting>
  <conditionalFormatting sqref="K160">
    <cfRule type="cellIs" dxfId="17107" priority="2215" operator="greaterThan">
      <formula>0</formula>
    </cfRule>
    <cfRule type="cellIs" dxfId="17106" priority="2216" operator="lessThanOrEqual">
      <formula>0</formula>
    </cfRule>
  </conditionalFormatting>
  <conditionalFormatting sqref="K161:K162 K164:K165">
    <cfRule type="cellIs" dxfId="17105" priority="2211" operator="greaterThan">
      <formula>0</formula>
    </cfRule>
    <cfRule type="cellIs" dxfId="17104" priority="2212" operator="lessThanOrEqual">
      <formula>0</formula>
    </cfRule>
  </conditionalFormatting>
  <conditionalFormatting sqref="K176:K177 K179:K180">
    <cfRule type="cellIs" dxfId="17103" priority="2209" operator="greaterThan">
      <formula>0</formula>
    </cfRule>
    <cfRule type="cellIs" dxfId="17102" priority="2210" operator="lessThanOrEqual">
      <formula>0</formula>
    </cfRule>
  </conditionalFormatting>
  <conditionalFormatting sqref="K178">
    <cfRule type="cellIs" dxfId="17101" priority="2201" operator="greaterThan">
      <formula>0</formula>
    </cfRule>
    <cfRule type="cellIs" dxfId="17100" priority="2202" operator="lessThanOrEqual">
      <formula>0</formula>
    </cfRule>
  </conditionalFormatting>
  <conditionalFormatting sqref="K181">
    <cfRule type="cellIs" dxfId="17099" priority="2199" operator="greaterThan">
      <formula>0</formula>
    </cfRule>
    <cfRule type="cellIs" dxfId="17098" priority="2200" operator="lessThanOrEqual">
      <formula>0</formula>
    </cfRule>
  </conditionalFormatting>
  <conditionalFormatting sqref="K184">
    <cfRule type="cellIs" dxfId="17097" priority="2197" operator="greaterThan">
      <formula>0</formula>
    </cfRule>
    <cfRule type="cellIs" dxfId="17096" priority="2198" operator="lessThanOrEqual">
      <formula>0</formula>
    </cfRule>
  </conditionalFormatting>
  <conditionalFormatting sqref="K132">
    <cfRule type="cellIs" dxfId="17095" priority="2195" operator="lessThan">
      <formula>0</formula>
    </cfRule>
    <cfRule type="cellIs" dxfId="17094" priority="2196" operator="greaterThanOrEqual">
      <formula>0</formula>
    </cfRule>
  </conditionalFormatting>
  <conditionalFormatting sqref="K175">
    <cfRule type="cellIs" dxfId="17093" priority="2193" operator="greaterThan">
      <formula>0</formula>
    </cfRule>
    <cfRule type="cellIs" dxfId="17092" priority="2194" operator="lessThanOrEqual">
      <formula>0</formula>
    </cfRule>
  </conditionalFormatting>
  <conditionalFormatting sqref="K174">
    <cfRule type="cellIs" dxfId="17091" priority="2191" operator="greaterThan">
      <formula>0</formula>
    </cfRule>
    <cfRule type="cellIs" dxfId="17090" priority="2192" operator="lessThanOrEqual">
      <formula>0</formula>
    </cfRule>
  </conditionalFormatting>
  <conditionalFormatting sqref="G26">
    <cfRule type="cellIs" dxfId="17089" priority="2189" operator="greaterThan">
      <formula>0</formula>
    </cfRule>
    <cfRule type="cellIs" dxfId="17088" priority="2190" operator="lessThanOrEqual">
      <formula>0</formula>
    </cfRule>
  </conditionalFormatting>
  <conditionalFormatting sqref="F26">
    <cfRule type="cellIs" dxfId="17087" priority="2188" operator="greaterThanOrEqual">
      <formula>0</formula>
    </cfRule>
  </conditionalFormatting>
  <conditionalFormatting sqref="F26">
    <cfRule type="cellIs" dxfId="17086" priority="2187" operator="lessThan">
      <formula>0</formula>
    </cfRule>
  </conditionalFormatting>
  <conditionalFormatting sqref="K26">
    <cfRule type="cellIs" dxfId="17085" priority="2185" operator="greaterThan">
      <formula>0</formula>
    </cfRule>
    <cfRule type="cellIs" dxfId="17084" priority="2186" operator="lessThanOrEqual">
      <formula>0</formula>
    </cfRule>
  </conditionalFormatting>
  <conditionalFormatting sqref="J26">
    <cfRule type="cellIs" dxfId="17083" priority="2184" operator="greaterThanOrEqual">
      <formula>0</formula>
    </cfRule>
  </conditionalFormatting>
  <conditionalFormatting sqref="J26">
    <cfRule type="cellIs" dxfId="17082" priority="2183" operator="lessThan">
      <formula>0</formula>
    </cfRule>
  </conditionalFormatting>
  <conditionalFormatting sqref="M26">
    <cfRule type="cellIs" dxfId="17081" priority="2182" operator="greaterThanOrEqual">
      <formula>0</formula>
    </cfRule>
  </conditionalFormatting>
  <conditionalFormatting sqref="M26">
    <cfRule type="cellIs" dxfId="17080" priority="2181" operator="lessThan">
      <formula>0</formula>
    </cfRule>
  </conditionalFormatting>
  <conditionalFormatting sqref="N26">
    <cfRule type="cellIs" dxfId="17079" priority="2180" operator="greaterThanOrEqual">
      <formula>0</formula>
    </cfRule>
  </conditionalFormatting>
  <conditionalFormatting sqref="N26">
    <cfRule type="cellIs" dxfId="17078" priority="2179" operator="lessThan">
      <formula>0</formula>
    </cfRule>
  </conditionalFormatting>
  <conditionalFormatting sqref="G89">
    <cfRule type="cellIs" dxfId="17077" priority="2177" operator="greaterThan">
      <formula>0</formula>
    </cfRule>
    <cfRule type="cellIs" dxfId="17076" priority="2178" operator="lessThanOrEqual">
      <formula>0</formula>
    </cfRule>
  </conditionalFormatting>
  <conditionalFormatting sqref="F89">
    <cfRule type="cellIs" dxfId="17075" priority="2176" operator="greaterThanOrEqual">
      <formula>0</formula>
    </cfRule>
  </conditionalFormatting>
  <conditionalFormatting sqref="F89">
    <cfRule type="cellIs" dxfId="17074" priority="2175" operator="lessThan">
      <formula>0</formula>
    </cfRule>
  </conditionalFormatting>
  <conditionalFormatting sqref="K89">
    <cfRule type="cellIs" dxfId="17073" priority="2173" operator="greaterThan">
      <formula>0</formula>
    </cfRule>
    <cfRule type="cellIs" dxfId="17072" priority="2174" operator="lessThanOrEqual">
      <formula>0</formula>
    </cfRule>
  </conditionalFormatting>
  <conditionalFormatting sqref="J89">
    <cfRule type="cellIs" dxfId="17071" priority="2172" operator="greaterThanOrEqual">
      <formula>0</formula>
    </cfRule>
  </conditionalFormatting>
  <conditionalFormatting sqref="J89">
    <cfRule type="cellIs" dxfId="17070" priority="2171" operator="lessThan">
      <formula>0</formula>
    </cfRule>
  </conditionalFormatting>
  <conditionalFormatting sqref="M89">
    <cfRule type="cellIs" dxfId="17069" priority="2170" operator="greaterThanOrEqual">
      <formula>0</formula>
    </cfRule>
  </conditionalFormatting>
  <conditionalFormatting sqref="M89">
    <cfRule type="cellIs" dxfId="17068" priority="2169" operator="lessThan">
      <formula>0</formula>
    </cfRule>
  </conditionalFormatting>
  <conditionalFormatting sqref="N89">
    <cfRule type="cellIs" dxfId="17067" priority="2168" operator="greaterThanOrEqual">
      <formula>0</formula>
    </cfRule>
  </conditionalFormatting>
  <conditionalFormatting sqref="N89">
    <cfRule type="cellIs" dxfId="17066" priority="2167" operator="lessThan">
      <formula>0</formula>
    </cfRule>
  </conditionalFormatting>
  <conditionalFormatting sqref="G146">
    <cfRule type="cellIs" dxfId="17065" priority="2165" operator="greaterThan">
      <formula>0</formula>
    </cfRule>
    <cfRule type="cellIs" dxfId="17064" priority="2166" operator="lessThanOrEqual">
      <formula>0</formula>
    </cfRule>
  </conditionalFormatting>
  <conditionalFormatting sqref="J146 M146:N146 F146">
    <cfRule type="cellIs" dxfId="17063" priority="2164" operator="greaterThanOrEqual">
      <formula>0</formula>
    </cfRule>
  </conditionalFormatting>
  <conditionalFormatting sqref="J146 M146:N146 F146">
    <cfRule type="cellIs" dxfId="17062" priority="2163" operator="lessThan">
      <formula>0</formula>
    </cfRule>
  </conditionalFormatting>
  <conditionalFormatting sqref="K146">
    <cfRule type="cellIs" dxfId="17061" priority="2161" operator="greaterThan">
      <formula>0</formula>
    </cfRule>
    <cfRule type="cellIs" dxfId="17060" priority="2162" operator="lessThanOrEqual">
      <formula>0</formula>
    </cfRule>
  </conditionalFormatting>
  <conditionalFormatting sqref="R12:R13">
    <cfRule type="cellIs" dxfId="17059" priority="2159" operator="greaterThan">
      <formula>0</formula>
    </cfRule>
    <cfRule type="cellIs" dxfId="17058" priority="2160" operator="lessThanOrEqual">
      <formula>0</formula>
    </cfRule>
  </conditionalFormatting>
  <conditionalFormatting sqref="R15:R16">
    <cfRule type="cellIs" dxfId="17057" priority="2157" operator="greaterThan">
      <formula>0</formula>
    </cfRule>
    <cfRule type="cellIs" dxfId="17056" priority="2158" operator="lessThanOrEqual">
      <formula>0</formula>
    </cfRule>
  </conditionalFormatting>
  <conditionalFormatting sqref="R18:R19">
    <cfRule type="cellIs" dxfId="17055" priority="2155" operator="greaterThan">
      <formula>0</formula>
    </cfRule>
    <cfRule type="cellIs" dxfId="17054" priority="2156" operator="lessThanOrEqual">
      <formula>0</formula>
    </cfRule>
  </conditionalFormatting>
  <conditionalFormatting sqref="R28:R29">
    <cfRule type="cellIs" dxfId="17053" priority="2153" operator="greaterThan">
      <formula>0</formula>
    </cfRule>
    <cfRule type="cellIs" dxfId="17052" priority="2154" operator="lessThanOrEqual">
      <formula>0</formula>
    </cfRule>
  </conditionalFormatting>
  <conditionalFormatting sqref="R21:R22">
    <cfRule type="cellIs" dxfId="17051" priority="2151" operator="greaterThan">
      <formula>0</formula>
    </cfRule>
    <cfRule type="cellIs" dxfId="17050" priority="2152" operator="lessThanOrEqual">
      <formula>0</formula>
    </cfRule>
  </conditionalFormatting>
  <conditionalFormatting sqref="R31:R32">
    <cfRule type="cellIs" dxfId="17049" priority="2149" operator="greaterThan">
      <formula>0</formula>
    </cfRule>
    <cfRule type="cellIs" dxfId="17048" priority="2150" operator="lessThanOrEqual">
      <formula>0</formula>
    </cfRule>
  </conditionalFormatting>
  <conditionalFormatting sqref="R34:R35">
    <cfRule type="cellIs" dxfId="17047" priority="2147" operator="greaterThan">
      <formula>0</formula>
    </cfRule>
    <cfRule type="cellIs" dxfId="17046" priority="2148" operator="lessThanOrEqual">
      <formula>0</formula>
    </cfRule>
  </conditionalFormatting>
  <conditionalFormatting sqref="R37:R38">
    <cfRule type="cellIs" dxfId="17045" priority="2145" operator="greaterThan">
      <formula>0</formula>
    </cfRule>
    <cfRule type="cellIs" dxfId="17044" priority="2146" operator="lessThanOrEqual">
      <formula>0</formula>
    </cfRule>
  </conditionalFormatting>
  <conditionalFormatting sqref="R47:R48">
    <cfRule type="cellIs" dxfId="17043" priority="2143" operator="greaterThan">
      <formula>0</formula>
    </cfRule>
    <cfRule type="cellIs" dxfId="17042" priority="2144" operator="lessThanOrEqual">
      <formula>0</formula>
    </cfRule>
  </conditionalFormatting>
  <conditionalFormatting sqref="R62:R63">
    <cfRule type="cellIs" dxfId="17041" priority="2141" operator="greaterThan">
      <formula>0</formula>
    </cfRule>
    <cfRule type="cellIs" dxfId="17040" priority="2142" operator="lessThanOrEqual">
      <formula>0</formula>
    </cfRule>
  </conditionalFormatting>
  <conditionalFormatting sqref="R52:R53">
    <cfRule type="cellIs" dxfId="17039" priority="2139" operator="greaterThan">
      <formula>0</formula>
    </cfRule>
    <cfRule type="cellIs" dxfId="17038" priority="2140" operator="lessThanOrEqual">
      <formula>0</formula>
    </cfRule>
  </conditionalFormatting>
  <conditionalFormatting sqref="R14">
    <cfRule type="cellIs" dxfId="17037" priority="2137" operator="greaterThan">
      <formula>0</formula>
    </cfRule>
    <cfRule type="cellIs" dxfId="17036" priority="2138" operator="lessThanOrEqual">
      <formula>0</formula>
    </cfRule>
  </conditionalFormatting>
  <conditionalFormatting sqref="R17">
    <cfRule type="cellIs" dxfId="17035" priority="2135" operator="greaterThan">
      <formula>0</formula>
    </cfRule>
    <cfRule type="cellIs" dxfId="17034" priority="2136" operator="lessThanOrEqual">
      <formula>0</formula>
    </cfRule>
  </conditionalFormatting>
  <conditionalFormatting sqref="R20">
    <cfRule type="cellIs" dxfId="17033" priority="2133" operator="greaterThan">
      <formula>0</formula>
    </cfRule>
    <cfRule type="cellIs" dxfId="17032" priority="2134" operator="lessThanOrEqual">
      <formula>0</formula>
    </cfRule>
  </conditionalFormatting>
  <conditionalFormatting sqref="R30">
    <cfRule type="cellIs" dxfId="17031" priority="2131" operator="greaterThan">
      <formula>0</formula>
    </cfRule>
    <cfRule type="cellIs" dxfId="17030" priority="2132" operator="lessThanOrEqual">
      <formula>0</formula>
    </cfRule>
  </conditionalFormatting>
  <conditionalFormatting sqref="R23">
    <cfRule type="cellIs" dxfId="17029" priority="2129" operator="greaterThan">
      <formula>0</formula>
    </cfRule>
    <cfRule type="cellIs" dxfId="17028" priority="2130" operator="lessThanOrEqual">
      <formula>0</formula>
    </cfRule>
  </conditionalFormatting>
  <conditionalFormatting sqref="R33">
    <cfRule type="cellIs" dxfId="17027" priority="2127" operator="greaterThan">
      <formula>0</formula>
    </cfRule>
    <cfRule type="cellIs" dxfId="17026" priority="2128" operator="lessThanOrEqual">
      <formula>0</formula>
    </cfRule>
  </conditionalFormatting>
  <conditionalFormatting sqref="R36">
    <cfRule type="cellIs" dxfId="17025" priority="2125" operator="greaterThan">
      <formula>0</formula>
    </cfRule>
    <cfRule type="cellIs" dxfId="17024" priority="2126" operator="lessThanOrEqual">
      <formula>0</formula>
    </cfRule>
  </conditionalFormatting>
  <conditionalFormatting sqref="R39">
    <cfRule type="cellIs" dxfId="17023" priority="2123" operator="greaterThan">
      <formula>0</formula>
    </cfRule>
    <cfRule type="cellIs" dxfId="17022" priority="2124" operator="lessThanOrEqual">
      <formula>0</formula>
    </cfRule>
  </conditionalFormatting>
  <conditionalFormatting sqref="R25">
    <cfRule type="cellIs" dxfId="17021" priority="2121" operator="greaterThan">
      <formula>0</formula>
    </cfRule>
    <cfRule type="cellIs" dxfId="17020" priority="2122" operator="lessThanOrEqual">
      <formula>0</formula>
    </cfRule>
  </conditionalFormatting>
  <conditionalFormatting sqref="R65 R67 R70">
    <cfRule type="cellIs" dxfId="17019" priority="2119" operator="greaterThan">
      <formula>0</formula>
    </cfRule>
    <cfRule type="cellIs" dxfId="17018" priority="2120" operator="lessThanOrEqual">
      <formula>0</formula>
    </cfRule>
  </conditionalFormatting>
  <conditionalFormatting sqref="Q12:Q13 Q15:Q16 Q18:Q19 Q21:Q22 Q28:Q29 Q31:Q32 Q34:Q35 Q37:Q38 Q47:Q48 Q52:Q53">
    <cfRule type="cellIs" dxfId="17017" priority="2117" operator="lessThan">
      <formula>0</formula>
    </cfRule>
    <cfRule type="cellIs" dxfId="17016" priority="2118" operator="greaterThanOrEqual">
      <formula>0</formula>
    </cfRule>
  </conditionalFormatting>
  <conditionalFormatting sqref="Q14 Q17 Q20 Q23 Q25 Q30 Q33 Q36 Q39">
    <cfRule type="cellIs" dxfId="17015" priority="2116" operator="greaterThanOrEqual">
      <formula>0</formula>
    </cfRule>
  </conditionalFormatting>
  <conditionalFormatting sqref="Q14 Q17 Q20 Q23 Q25 Q30 Q33 Q36 Q39">
    <cfRule type="cellIs" dxfId="17014" priority="2115" operator="lessThan">
      <formula>0</formula>
    </cfRule>
  </conditionalFormatting>
  <conditionalFormatting sqref="R72">
    <cfRule type="cellIs" dxfId="17013" priority="2113" operator="greaterThan">
      <formula>0</formula>
    </cfRule>
    <cfRule type="cellIs" dxfId="17012" priority="2114" operator="lessThanOrEqual">
      <formula>0</formula>
    </cfRule>
  </conditionalFormatting>
  <conditionalFormatting sqref="R66">
    <cfRule type="cellIs" dxfId="17011" priority="2111" operator="greaterThan">
      <formula>0</formula>
    </cfRule>
    <cfRule type="cellIs" dxfId="17010" priority="2112" operator="lessThanOrEqual">
      <formula>0</formula>
    </cfRule>
  </conditionalFormatting>
  <conditionalFormatting sqref="Q66">
    <cfRule type="cellIs" dxfId="17009" priority="2109" operator="greaterThanOrEqual">
      <formula>0</formula>
    </cfRule>
    <cfRule type="cellIs" dxfId="17008" priority="2110" operator="lessThan">
      <formula>0</formula>
    </cfRule>
  </conditionalFormatting>
  <conditionalFormatting sqref="X12:X13 X15:X16 X18:X19 X21:X22 X28:X29 X31:X32 X34:X35 X37:X38 X47:X48">
    <cfRule type="cellIs" dxfId="17007" priority="2107" operator="lessThan">
      <formula>0</formula>
    </cfRule>
    <cfRule type="cellIs" dxfId="17006" priority="2108" operator="greaterThanOrEqual">
      <formula>0</formula>
    </cfRule>
  </conditionalFormatting>
  <conditionalFormatting sqref="X14 X23 X17 X20 X30 X33 X36 X39">
    <cfRule type="cellIs" dxfId="17005" priority="2106" operator="greaterThanOrEqual">
      <formula>0</formula>
    </cfRule>
  </conditionalFormatting>
  <conditionalFormatting sqref="X14 X23 X17 X20 X30 X33 X36 X39">
    <cfRule type="cellIs" dxfId="17004" priority="2105" operator="lessThan">
      <formula>0</formula>
    </cfRule>
  </conditionalFormatting>
  <conditionalFormatting sqref="X70 X72">
    <cfRule type="cellIs" dxfId="17003" priority="2103" operator="lessThan">
      <formula>0</formula>
    </cfRule>
    <cfRule type="cellIs" dxfId="17002" priority="2104" operator="greaterThanOrEqual">
      <formula>0</formula>
    </cfRule>
  </conditionalFormatting>
  <conditionalFormatting sqref="X66">
    <cfRule type="cellIs" dxfId="17001" priority="2101" operator="greaterThanOrEqual">
      <formula>0</formula>
    </cfRule>
    <cfRule type="cellIs" dxfId="17000" priority="2102" operator="lessThan">
      <formula>0</formula>
    </cfRule>
  </conditionalFormatting>
  <conditionalFormatting sqref="Y12:Y13">
    <cfRule type="cellIs" dxfId="16999" priority="2099" operator="greaterThan">
      <formula>0</formula>
    </cfRule>
    <cfRule type="cellIs" dxfId="16998" priority="2100" operator="lessThanOrEqual">
      <formula>0</formula>
    </cfRule>
  </conditionalFormatting>
  <conditionalFormatting sqref="Y67">
    <cfRule type="cellIs" dxfId="16997" priority="2097" operator="lessThan">
      <formula>0</formula>
    </cfRule>
    <cfRule type="cellIs" dxfId="16996" priority="2098" operator="greaterThanOrEqual">
      <formula>0</formula>
    </cfRule>
  </conditionalFormatting>
  <conditionalFormatting sqref="Y14 Y23 Y17 Y20 Y30 Y33 Y36 Y39">
    <cfRule type="cellIs" dxfId="16995" priority="2096" operator="greaterThanOrEqual">
      <formula>0</formula>
    </cfRule>
  </conditionalFormatting>
  <conditionalFormatting sqref="Y14 Y23 Y17 Y20 Y30 Y33 Y36 Y39">
    <cfRule type="cellIs" dxfId="16994" priority="2095" operator="lessThan">
      <formula>0</formula>
    </cfRule>
  </conditionalFormatting>
  <conditionalFormatting sqref="X67">
    <cfRule type="cellIs" dxfId="16993" priority="2093" operator="lessThan">
      <formula>0</formula>
    </cfRule>
    <cfRule type="cellIs" dxfId="16992" priority="2094" operator="greaterThanOrEqual">
      <formula>0</formula>
    </cfRule>
  </conditionalFormatting>
  <conditionalFormatting sqref="Y70 Y72">
    <cfRule type="cellIs" dxfId="16991" priority="2091" operator="lessThan">
      <formula>0</formula>
    </cfRule>
    <cfRule type="cellIs" dxfId="16990" priority="2092" operator="greaterThanOrEqual">
      <formula>0</formula>
    </cfRule>
  </conditionalFormatting>
  <conditionalFormatting sqref="Y66">
    <cfRule type="cellIs" dxfId="16989" priority="2089" operator="lessThan">
      <formula>0</formula>
    </cfRule>
    <cfRule type="cellIs" dxfId="16988" priority="2090" operator="greaterThanOrEqual">
      <formula>0</formula>
    </cfRule>
  </conditionalFormatting>
  <conditionalFormatting sqref="Q61">
    <cfRule type="cellIs" dxfId="16987" priority="2070" operator="greaterThanOrEqual">
      <formula>0</formula>
    </cfRule>
  </conditionalFormatting>
  <conditionalFormatting sqref="Q61">
    <cfRule type="cellIs" dxfId="16986" priority="2069" operator="lessThan">
      <formula>0</formula>
    </cfRule>
  </conditionalFormatting>
  <conditionalFormatting sqref="R43">
    <cfRule type="cellIs" dxfId="16985" priority="2079" operator="greaterThan">
      <formula>0</formula>
    </cfRule>
    <cfRule type="cellIs" dxfId="16984" priority="2080" operator="lessThanOrEqual">
      <formula>0</formula>
    </cfRule>
  </conditionalFormatting>
  <conditionalFormatting sqref="R46">
    <cfRule type="cellIs" dxfId="16983" priority="2077" operator="greaterThan">
      <formula>0</formula>
    </cfRule>
    <cfRule type="cellIs" dxfId="16982" priority="2078" operator="lessThanOrEqual">
      <formula>0</formula>
    </cfRule>
  </conditionalFormatting>
  <conditionalFormatting sqref="R49">
    <cfRule type="cellIs" dxfId="16981" priority="2075" operator="greaterThan">
      <formula>0</formula>
    </cfRule>
    <cfRule type="cellIs" dxfId="16980" priority="2076" operator="lessThanOrEqual">
      <formula>0</formula>
    </cfRule>
  </conditionalFormatting>
  <conditionalFormatting sqref="R27">
    <cfRule type="cellIs" dxfId="16979" priority="2087" operator="greaterThan">
      <formula>0</formula>
    </cfRule>
    <cfRule type="cellIs" dxfId="16978" priority="2088" operator="lessThanOrEqual">
      <formula>0</formula>
    </cfRule>
  </conditionalFormatting>
  <conditionalFormatting sqref="R40">
    <cfRule type="cellIs" dxfId="16977" priority="2085" operator="greaterThan">
      <formula>0</formula>
    </cfRule>
    <cfRule type="cellIs" dxfId="16976" priority="2086" operator="lessThanOrEqual">
      <formula>0</formula>
    </cfRule>
  </conditionalFormatting>
  <conditionalFormatting sqref="U181">
    <cfRule type="cellIs" dxfId="16975" priority="1874" operator="greaterThanOrEqual">
      <formula>0</formula>
    </cfRule>
  </conditionalFormatting>
  <conditionalFormatting sqref="U181">
    <cfRule type="cellIs" dxfId="16974" priority="1873" operator="lessThan">
      <formula>0</formula>
    </cfRule>
  </conditionalFormatting>
  <conditionalFormatting sqref="R41:R42 R44:R45">
    <cfRule type="cellIs" dxfId="16973" priority="2083" operator="greaterThan">
      <formula>0</formula>
    </cfRule>
    <cfRule type="cellIs" dxfId="16972" priority="2084" operator="lessThanOrEqual">
      <formula>0</formula>
    </cfRule>
  </conditionalFormatting>
  <conditionalFormatting sqref="R56:R57 R59:R60">
    <cfRule type="cellIs" dxfId="16971" priority="2081" operator="greaterThan">
      <formula>0</formula>
    </cfRule>
    <cfRule type="cellIs" dxfId="16970" priority="2082" operator="lessThanOrEqual">
      <formula>0</formula>
    </cfRule>
  </conditionalFormatting>
  <conditionalFormatting sqref="R58">
    <cfRule type="cellIs" dxfId="16969" priority="2073" operator="greaterThan">
      <formula>0</formula>
    </cfRule>
    <cfRule type="cellIs" dxfId="16968" priority="2074" operator="lessThanOrEqual">
      <formula>0</formula>
    </cfRule>
  </conditionalFormatting>
  <conditionalFormatting sqref="R61">
    <cfRule type="cellIs" dxfId="16967" priority="2071" operator="greaterThan">
      <formula>0</formula>
    </cfRule>
    <cfRule type="cellIs" dxfId="16966" priority="2072" operator="lessThanOrEqual">
      <formula>0</formula>
    </cfRule>
  </conditionalFormatting>
  <conditionalFormatting sqref="R64">
    <cfRule type="cellIs" dxfId="16965" priority="2067" operator="greaterThan">
      <formula>0</formula>
    </cfRule>
    <cfRule type="cellIs" dxfId="16964" priority="2068" operator="lessThanOrEqual">
      <formula>0</formula>
    </cfRule>
  </conditionalFormatting>
  <conditionalFormatting sqref="V46">
    <cfRule type="cellIs" dxfId="16963" priority="1737" operator="greaterThan">
      <formula>0</formula>
    </cfRule>
    <cfRule type="cellIs" dxfId="16962" priority="1738" operator="lessThanOrEqual">
      <formula>0</formula>
    </cfRule>
  </conditionalFormatting>
  <conditionalFormatting sqref="V58">
    <cfRule type="cellIs" dxfId="16961" priority="1733" operator="greaterThan">
      <formula>0</formula>
    </cfRule>
    <cfRule type="cellIs" dxfId="16960" priority="1734" operator="lessThanOrEqual">
      <formula>0</formula>
    </cfRule>
  </conditionalFormatting>
  <conditionalFormatting sqref="U61">
    <cfRule type="cellIs" dxfId="16959" priority="1730" operator="greaterThanOrEqual">
      <formula>0</formula>
    </cfRule>
  </conditionalFormatting>
  <conditionalFormatting sqref="U61">
    <cfRule type="cellIs" dxfId="16958" priority="1729" operator="lessThan">
      <formula>0</formula>
    </cfRule>
  </conditionalFormatting>
  <conditionalFormatting sqref="R133">
    <cfRule type="cellIs" dxfId="16957" priority="2065" operator="greaterThan">
      <formula>0</formula>
    </cfRule>
    <cfRule type="cellIs" dxfId="16956" priority="2066" operator="lessThanOrEqual">
      <formula>0</formula>
    </cfRule>
  </conditionalFormatting>
  <conditionalFormatting sqref="R135:R136">
    <cfRule type="cellIs" dxfId="16955" priority="2063" operator="greaterThan">
      <formula>0</formula>
    </cfRule>
    <cfRule type="cellIs" dxfId="16954" priority="2064" operator="lessThanOrEqual">
      <formula>0</formula>
    </cfRule>
  </conditionalFormatting>
  <conditionalFormatting sqref="R172:R173">
    <cfRule type="cellIs" dxfId="16953" priority="2045" operator="greaterThan">
      <formula>0</formula>
    </cfRule>
    <cfRule type="cellIs" dxfId="16952" priority="2046" operator="lessThanOrEqual">
      <formula>0</formula>
    </cfRule>
  </conditionalFormatting>
  <conditionalFormatting sqref="R143">
    <cfRule type="cellIs" dxfId="16951" priority="2035" operator="greaterThan">
      <formula>0</formula>
    </cfRule>
    <cfRule type="cellIs" dxfId="16950" priority="2036" operator="lessThanOrEqual">
      <formula>0</formula>
    </cfRule>
  </conditionalFormatting>
  <conditionalFormatting sqref="R153">
    <cfRule type="cellIs" dxfId="16949" priority="2033" operator="greaterThan">
      <formula>0</formula>
    </cfRule>
    <cfRule type="cellIs" dxfId="16948" priority="2034" operator="lessThanOrEqual">
      <formula>0</formula>
    </cfRule>
  </conditionalFormatting>
  <conditionalFormatting sqref="R156">
    <cfRule type="cellIs" dxfId="16947" priority="2031" operator="greaterThan">
      <formula>0</formula>
    </cfRule>
    <cfRule type="cellIs" dxfId="16946" priority="2032" operator="lessThanOrEqual">
      <formula>0</formula>
    </cfRule>
  </conditionalFormatting>
  <conditionalFormatting sqref="Q163">
    <cfRule type="cellIs" dxfId="16945" priority="1916" operator="greaterThanOrEqual">
      <formula>0</formula>
    </cfRule>
  </conditionalFormatting>
  <conditionalFormatting sqref="Q163">
    <cfRule type="cellIs" dxfId="16944" priority="1915" operator="lessThan">
      <formula>0</formula>
    </cfRule>
  </conditionalFormatting>
  <conditionalFormatting sqref="R163">
    <cfRule type="cellIs" dxfId="16943" priority="1917" operator="greaterThan">
      <formula>0</formula>
    </cfRule>
    <cfRule type="cellIs" dxfId="16942" priority="1918" operator="lessThanOrEqual">
      <formula>0</formula>
    </cfRule>
  </conditionalFormatting>
  <conditionalFormatting sqref="U184">
    <cfRule type="cellIs" dxfId="16941" priority="1864" operator="greaterThanOrEqual">
      <formula>0</formula>
    </cfRule>
  </conditionalFormatting>
  <conditionalFormatting sqref="U184">
    <cfRule type="cellIs" dxfId="16940" priority="1863" operator="lessThan">
      <formula>0</formula>
    </cfRule>
  </conditionalFormatting>
  <conditionalFormatting sqref="Y144">
    <cfRule type="cellIs" dxfId="16939" priority="1962" operator="greaterThanOrEqual">
      <formula>0</formula>
    </cfRule>
  </conditionalFormatting>
  <conditionalFormatting sqref="Y144">
    <cfRule type="cellIs" dxfId="16938" priority="1961" operator="lessThan">
      <formula>0</formula>
    </cfRule>
  </conditionalFormatting>
  <conditionalFormatting sqref="U159 U185">
    <cfRule type="cellIs" dxfId="16937" priority="2014" operator="greaterThanOrEqual">
      <formula>0</formula>
    </cfRule>
  </conditionalFormatting>
  <conditionalFormatting sqref="U159 U185">
    <cfRule type="cellIs" dxfId="16936" priority="2013" operator="lessThan">
      <formula>0</formula>
    </cfRule>
  </conditionalFormatting>
  <conditionalFormatting sqref="R170">
    <cfRule type="cellIs" dxfId="16935" priority="1943" operator="greaterThan">
      <formula>0</formula>
    </cfRule>
    <cfRule type="cellIs" dxfId="16934" priority="1944" operator="lessThanOrEqual">
      <formula>0</formula>
    </cfRule>
  </conditionalFormatting>
  <conditionalFormatting sqref="Q170">
    <cfRule type="cellIs" dxfId="16933" priority="1942" operator="greaterThanOrEqual">
      <formula>0</formula>
    </cfRule>
  </conditionalFormatting>
  <conditionalFormatting sqref="Q170">
    <cfRule type="cellIs" dxfId="16932" priority="1941" operator="lessThan">
      <formula>0</formula>
    </cfRule>
  </conditionalFormatting>
  <conditionalFormatting sqref="Y166">
    <cfRule type="cellIs" dxfId="16931" priority="1900" operator="greaterThanOrEqual">
      <formula>0</formula>
    </cfRule>
  </conditionalFormatting>
  <conditionalFormatting sqref="Y166">
    <cfRule type="cellIs" dxfId="16930" priority="1899" operator="lessThan">
      <formula>0</formula>
    </cfRule>
  </conditionalFormatting>
  <conditionalFormatting sqref="R138:R139">
    <cfRule type="cellIs" dxfId="16929" priority="2061" operator="greaterThan">
      <formula>0</formula>
    </cfRule>
    <cfRule type="cellIs" dxfId="16928" priority="2062" operator="lessThanOrEqual">
      <formula>0</formula>
    </cfRule>
  </conditionalFormatting>
  <conditionalFormatting sqref="R148:R149">
    <cfRule type="cellIs" dxfId="16927" priority="2059" operator="greaterThan">
      <formula>0</formula>
    </cfRule>
    <cfRule type="cellIs" dxfId="16926" priority="2060" operator="lessThanOrEqual">
      <formula>0</formula>
    </cfRule>
  </conditionalFormatting>
  <conditionalFormatting sqref="R141:R142">
    <cfRule type="cellIs" dxfId="16925" priority="2057" operator="greaterThan">
      <formula>0</formula>
    </cfRule>
    <cfRule type="cellIs" dxfId="16924" priority="2058" operator="lessThanOrEqual">
      <formula>0</formula>
    </cfRule>
  </conditionalFormatting>
  <conditionalFormatting sqref="R151:R152">
    <cfRule type="cellIs" dxfId="16923" priority="2055" operator="greaterThan">
      <formula>0</formula>
    </cfRule>
    <cfRule type="cellIs" dxfId="16922" priority="2056" operator="lessThanOrEqual">
      <formula>0</formula>
    </cfRule>
  </conditionalFormatting>
  <conditionalFormatting sqref="R154:R155">
    <cfRule type="cellIs" dxfId="16921" priority="2053" operator="greaterThan">
      <formula>0</formula>
    </cfRule>
    <cfRule type="cellIs" dxfId="16920" priority="2054" operator="lessThanOrEqual">
      <formula>0</formula>
    </cfRule>
  </conditionalFormatting>
  <conditionalFormatting sqref="R157:R158">
    <cfRule type="cellIs" dxfId="16919" priority="2051" operator="greaterThan">
      <formula>0</formula>
    </cfRule>
    <cfRule type="cellIs" dxfId="16918" priority="2052" operator="lessThanOrEqual">
      <formula>0</formula>
    </cfRule>
  </conditionalFormatting>
  <conditionalFormatting sqref="R167:R168">
    <cfRule type="cellIs" dxfId="16917" priority="2049" operator="greaterThan">
      <formula>0</formula>
    </cfRule>
    <cfRule type="cellIs" dxfId="16916" priority="2050" operator="lessThanOrEqual">
      <formula>0</formula>
    </cfRule>
  </conditionalFormatting>
  <conditionalFormatting sqref="R182:R183">
    <cfRule type="cellIs" dxfId="16915" priority="2047" operator="greaterThan">
      <formula>0</formula>
    </cfRule>
    <cfRule type="cellIs" dxfId="16914" priority="2048" operator="lessThanOrEqual">
      <formula>0</formula>
    </cfRule>
  </conditionalFormatting>
  <conditionalFormatting sqref="R134">
    <cfRule type="cellIs" dxfId="16913" priority="2043" operator="greaterThan">
      <formula>0</formula>
    </cfRule>
    <cfRule type="cellIs" dxfId="16912" priority="2044" operator="lessThanOrEqual">
      <formula>0</formula>
    </cfRule>
  </conditionalFormatting>
  <conditionalFormatting sqref="R137">
    <cfRule type="cellIs" dxfId="16911" priority="2041" operator="greaterThan">
      <formula>0</formula>
    </cfRule>
    <cfRule type="cellIs" dxfId="16910" priority="2042" operator="lessThanOrEqual">
      <formula>0</formula>
    </cfRule>
  </conditionalFormatting>
  <conditionalFormatting sqref="R140">
    <cfRule type="cellIs" dxfId="16909" priority="2039" operator="greaterThan">
      <formula>0</formula>
    </cfRule>
    <cfRule type="cellIs" dxfId="16908" priority="2040" operator="lessThanOrEqual">
      <formula>0</formula>
    </cfRule>
  </conditionalFormatting>
  <conditionalFormatting sqref="R150">
    <cfRule type="cellIs" dxfId="16907" priority="2037" operator="greaterThan">
      <formula>0</formula>
    </cfRule>
    <cfRule type="cellIs" dxfId="16906" priority="2038" operator="lessThanOrEqual">
      <formula>0</formula>
    </cfRule>
  </conditionalFormatting>
  <conditionalFormatting sqref="R159">
    <cfRule type="cellIs" dxfId="16905" priority="2029" operator="greaterThan">
      <formula>0</formula>
    </cfRule>
    <cfRule type="cellIs" dxfId="16904" priority="2030" operator="lessThanOrEqual">
      <formula>0</formula>
    </cfRule>
  </conditionalFormatting>
  <conditionalFormatting sqref="R145">
    <cfRule type="cellIs" dxfId="16903" priority="2027" operator="greaterThan">
      <formula>0</formula>
    </cfRule>
    <cfRule type="cellIs" dxfId="16902" priority="2028" operator="lessThanOrEqual">
      <formula>0</formula>
    </cfRule>
  </conditionalFormatting>
  <conditionalFormatting sqref="R185">
    <cfRule type="cellIs" dxfId="16901" priority="2025" operator="greaterThan">
      <formula>0</formula>
    </cfRule>
    <cfRule type="cellIs" dxfId="16900" priority="2026" operator="lessThanOrEqual">
      <formula>0</formula>
    </cfRule>
  </conditionalFormatting>
  <conditionalFormatting sqref="Q132:Q133 Q135:Q136 Q138:Q139 Q148:Q149 Q141:Q142 Q151:Q152 Q154:Q155 Q157:Q158 Q167:Q168 Q182:Q183 Q172:Q173 U182:U183 U172:U173 X182:Y183 X172:Y173">
    <cfRule type="cellIs" dxfId="16899" priority="2023" operator="lessThan">
      <formula>0</formula>
    </cfRule>
    <cfRule type="cellIs" dxfId="16898" priority="2024" operator="greaterThanOrEqual">
      <formula>0</formula>
    </cfRule>
  </conditionalFormatting>
  <conditionalFormatting sqref="Q134 Q137 Q140 Q153 Q156 Q159 Q185 U145 X145:Y145 Q150 Q143 Q145">
    <cfRule type="cellIs" dxfId="16897" priority="2022" operator="greaterThanOrEqual">
      <formula>0</formula>
    </cfRule>
  </conditionalFormatting>
  <conditionalFormatting sqref="Q134 Q137 Q140 Q153 Q156 Q159 Q185 U145 X145:Y145 Q150 Q143 Q145">
    <cfRule type="cellIs" dxfId="16896" priority="2021" operator="lessThan">
      <formula>0</formula>
    </cfRule>
  </conditionalFormatting>
  <conditionalFormatting sqref="U132:U133 U135:U136 U138:U139 U148:U149 U141:U142 U151:U152 U154:U155">
    <cfRule type="cellIs" dxfId="16895" priority="2019" operator="lessThan">
      <formula>0</formula>
    </cfRule>
    <cfRule type="cellIs" dxfId="16894" priority="2020" operator="greaterThanOrEqual">
      <formula>0</formula>
    </cfRule>
  </conditionalFormatting>
  <conditionalFormatting sqref="U134 U137 U140 U150 U143 U153 U156">
    <cfRule type="cellIs" dxfId="16893" priority="2018" operator="greaterThanOrEqual">
      <formula>0</formula>
    </cfRule>
  </conditionalFormatting>
  <conditionalFormatting sqref="U134 U137 U140 U150 U143 U153 U156">
    <cfRule type="cellIs" dxfId="16892" priority="2017" operator="lessThan">
      <formula>0</formula>
    </cfRule>
  </conditionalFormatting>
  <conditionalFormatting sqref="U157:U158 U167:U168">
    <cfRule type="cellIs" dxfId="16891" priority="2015" operator="lessThan">
      <formula>0</formula>
    </cfRule>
    <cfRule type="cellIs" dxfId="16890" priority="2016" operator="greaterThanOrEqual">
      <formula>0</formula>
    </cfRule>
  </conditionalFormatting>
  <conditionalFormatting sqref="R186">
    <cfRule type="cellIs" dxfId="16889" priority="2011" operator="greaterThan">
      <formula>0</formula>
    </cfRule>
    <cfRule type="cellIs" dxfId="16888" priority="2012" operator="lessThanOrEqual">
      <formula>0</formula>
    </cfRule>
  </conditionalFormatting>
  <conditionalFormatting sqref="U186">
    <cfRule type="cellIs" dxfId="16887" priority="2009" operator="greaterThanOrEqual">
      <formula>0</formula>
    </cfRule>
    <cfRule type="cellIs" dxfId="16886" priority="2010" operator="lessThan">
      <formula>0</formula>
    </cfRule>
  </conditionalFormatting>
  <conditionalFormatting sqref="Q186">
    <cfRule type="cellIs" dxfId="16885" priority="2007" operator="greaterThanOrEqual">
      <formula>0</formula>
    </cfRule>
    <cfRule type="cellIs" dxfId="16884" priority="2008" operator="lessThan">
      <formula>0</formula>
    </cfRule>
  </conditionalFormatting>
  <conditionalFormatting sqref="X132:X133 X135:X136 X138:X139 X148:X149 X141:X142 X151:X152 X154:X155 X157:X158 X167:X168">
    <cfRule type="cellIs" dxfId="16883" priority="2005" operator="lessThan">
      <formula>0</formula>
    </cfRule>
    <cfRule type="cellIs" dxfId="16882" priority="2006" operator="greaterThanOrEqual">
      <formula>0</formula>
    </cfRule>
  </conditionalFormatting>
  <conditionalFormatting sqref="X134 X137 X140 X150 X143 X153 X156 X159 X185">
    <cfRule type="cellIs" dxfId="16881" priority="2004" operator="greaterThanOrEqual">
      <formula>0</formula>
    </cfRule>
  </conditionalFormatting>
  <conditionalFormatting sqref="X134 X137 X140 X150 X143 X153 X156 X159 X185">
    <cfRule type="cellIs" dxfId="16880" priority="2003" operator="lessThan">
      <formula>0</formula>
    </cfRule>
  </conditionalFormatting>
  <conditionalFormatting sqref="X186">
    <cfRule type="cellIs" dxfId="16879" priority="2001" operator="greaterThanOrEqual">
      <formula>0</formula>
    </cfRule>
    <cfRule type="cellIs" dxfId="16878" priority="2002" operator="lessThan">
      <formula>0</formula>
    </cfRule>
  </conditionalFormatting>
  <conditionalFormatting sqref="Y132:Y133">
    <cfRule type="cellIs" dxfId="16877" priority="1999" operator="greaterThan">
      <formula>0</formula>
    </cfRule>
    <cfRule type="cellIs" dxfId="16876" priority="2000" operator="lessThanOrEqual">
      <formula>0</formula>
    </cfRule>
  </conditionalFormatting>
  <conditionalFormatting sqref="Y135:Y136">
    <cfRule type="cellIs" dxfId="16875" priority="1997" operator="greaterThan">
      <formula>0</formula>
    </cfRule>
    <cfRule type="cellIs" dxfId="16874" priority="1998" operator="lessThanOrEqual">
      <formula>0</formula>
    </cfRule>
  </conditionalFormatting>
  <conditionalFormatting sqref="Y138:Y139">
    <cfRule type="cellIs" dxfId="16873" priority="1995" operator="greaterThan">
      <formula>0</formula>
    </cfRule>
    <cfRule type="cellIs" dxfId="16872" priority="1996" operator="lessThanOrEqual">
      <formula>0</formula>
    </cfRule>
  </conditionalFormatting>
  <conditionalFormatting sqref="Y148:Y149">
    <cfRule type="cellIs" dxfId="16871" priority="1993" operator="greaterThan">
      <formula>0</formula>
    </cfRule>
    <cfRule type="cellIs" dxfId="16870" priority="1994" operator="lessThanOrEqual">
      <formula>0</formula>
    </cfRule>
  </conditionalFormatting>
  <conditionalFormatting sqref="Y141:Y142">
    <cfRule type="cellIs" dxfId="16869" priority="1991" operator="greaterThan">
      <formula>0</formula>
    </cfRule>
    <cfRule type="cellIs" dxfId="16868" priority="1992" operator="lessThanOrEqual">
      <formula>0</formula>
    </cfRule>
  </conditionalFormatting>
  <conditionalFormatting sqref="Y151:Y152">
    <cfRule type="cellIs" dxfId="16867" priority="1989" operator="greaterThan">
      <formula>0</formula>
    </cfRule>
    <cfRule type="cellIs" dxfId="16866" priority="1990" operator="lessThanOrEqual">
      <formula>0</formula>
    </cfRule>
  </conditionalFormatting>
  <conditionalFormatting sqref="Y154:Y155">
    <cfRule type="cellIs" dxfId="16865" priority="1987" operator="greaterThan">
      <formula>0</formula>
    </cfRule>
    <cfRule type="cellIs" dxfId="16864" priority="1988" operator="lessThanOrEqual">
      <formula>0</formula>
    </cfRule>
  </conditionalFormatting>
  <conditionalFormatting sqref="Y157:Y158 Y167:Y168">
    <cfRule type="cellIs" dxfId="16863" priority="1985" operator="lessThan">
      <formula>0</formula>
    </cfRule>
    <cfRule type="cellIs" dxfId="16862" priority="1986" operator="greaterThanOrEqual">
      <formula>0</formula>
    </cfRule>
  </conditionalFormatting>
  <conditionalFormatting sqref="Y134 Y137 Y140 Y150 Y143 Y153 Y156 Y159 Y185">
    <cfRule type="cellIs" dxfId="16861" priority="1984" operator="greaterThanOrEqual">
      <formula>0</formula>
    </cfRule>
  </conditionalFormatting>
  <conditionalFormatting sqref="Y134 Y137 Y140 Y150 Y143 Y153 Y156 Y159 Y185">
    <cfRule type="cellIs" dxfId="16860" priority="1983" operator="lessThan">
      <formula>0</formula>
    </cfRule>
  </conditionalFormatting>
  <conditionalFormatting sqref="Y186">
    <cfRule type="cellIs" dxfId="16859" priority="1981" operator="lessThan">
      <formula>0</formula>
    </cfRule>
    <cfRule type="cellIs" dxfId="16858" priority="1982" operator="greaterThanOrEqual">
      <formula>0</formula>
    </cfRule>
  </conditionalFormatting>
  <conditionalFormatting sqref="R171">
    <cfRule type="cellIs" dxfId="16857" priority="1979" operator="greaterThan">
      <formula>0</formula>
    </cfRule>
    <cfRule type="cellIs" dxfId="16856" priority="1980" operator="lessThanOrEqual">
      <formula>0</formula>
    </cfRule>
  </conditionalFormatting>
  <conditionalFormatting sqref="Q171">
    <cfRule type="cellIs" dxfId="16855" priority="1978" operator="greaterThanOrEqual">
      <formula>0</formula>
    </cfRule>
  </conditionalFormatting>
  <conditionalFormatting sqref="Q171">
    <cfRule type="cellIs" dxfId="16854" priority="1977" operator="lessThan">
      <formula>0</formula>
    </cfRule>
  </conditionalFormatting>
  <conditionalFormatting sqref="U171">
    <cfRule type="cellIs" dxfId="16853" priority="1976" operator="greaterThanOrEqual">
      <formula>0</formula>
    </cfRule>
  </conditionalFormatting>
  <conditionalFormatting sqref="U171">
    <cfRule type="cellIs" dxfId="16852" priority="1975" operator="lessThan">
      <formula>0</formula>
    </cfRule>
  </conditionalFormatting>
  <conditionalFormatting sqref="X171">
    <cfRule type="cellIs" dxfId="16851" priority="1974" operator="greaterThanOrEqual">
      <formula>0</formula>
    </cfRule>
  </conditionalFormatting>
  <conditionalFormatting sqref="X171">
    <cfRule type="cellIs" dxfId="16850" priority="1973" operator="lessThan">
      <formula>0</formula>
    </cfRule>
  </conditionalFormatting>
  <conditionalFormatting sqref="Y171">
    <cfRule type="cellIs" dxfId="16849" priority="1972" operator="greaterThanOrEqual">
      <formula>0</formula>
    </cfRule>
  </conditionalFormatting>
  <conditionalFormatting sqref="Y171">
    <cfRule type="cellIs" dxfId="16848" priority="1971" operator="lessThan">
      <formula>0</formula>
    </cfRule>
  </conditionalFormatting>
  <conditionalFormatting sqref="Q160">
    <cfRule type="cellIs" dxfId="16847" priority="1950" operator="greaterThanOrEqual">
      <formula>0</formula>
    </cfRule>
  </conditionalFormatting>
  <conditionalFormatting sqref="Q160">
    <cfRule type="cellIs" dxfId="16846" priority="1949" operator="lessThan">
      <formula>0</formula>
    </cfRule>
  </conditionalFormatting>
  <conditionalFormatting sqref="R144">
    <cfRule type="cellIs" dxfId="16845" priority="1969" operator="greaterThan">
      <formula>0</formula>
    </cfRule>
    <cfRule type="cellIs" dxfId="16844" priority="1970" operator="lessThanOrEqual">
      <formula>0</formula>
    </cfRule>
  </conditionalFormatting>
  <conditionalFormatting sqref="Q144">
    <cfRule type="cellIs" dxfId="16843" priority="1968" operator="greaterThanOrEqual">
      <formula>0</formula>
    </cfRule>
  </conditionalFormatting>
  <conditionalFormatting sqref="Q144">
    <cfRule type="cellIs" dxfId="16842" priority="1967" operator="lessThan">
      <formula>0</formula>
    </cfRule>
  </conditionalFormatting>
  <conditionalFormatting sqref="U144">
    <cfRule type="cellIs" dxfId="16841" priority="1966" operator="greaterThanOrEqual">
      <formula>0</formula>
    </cfRule>
  </conditionalFormatting>
  <conditionalFormatting sqref="U144">
    <cfRule type="cellIs" dxfId="16840" priority="1965" operator="lessThan">
      <formula>0</formula>
    </cfRule>
  </conditionalFormatting>
  <conditionalFormatting sqref="X144">
    <cfRule type="cellIs" dxfId="16839" priority="1964" operator="greaterThanOrEqual">
      <formula>0</formula>
    </cfRule>
  </conditionalFormatting>
  <conditionalFormatting sqref="X144">
    <cfRule type="cellIs" dxfId="16838" priority="1963" operator="lessThan">
      <formula>0</formula>
    </cfRule>
  </conditionalFormatting>
  <conditionalFormatting sqref="U147">
    <cfRule type="cellIs" dxfId="16837" priority="1956" operator="greaterThanOrEqual">
      <formula>0</formula>
    </cfRule>
  </conditionalFormatting>
  <conditionalFormatting sqref="U147">
    <cfRule type="cellIs" dxfId="16836" priority="1955" operator="lessThan">
      <formula>0</formula>
    </cfRule>
  </conditionalFormatting>
  <conditionalFormatting sqref="X163">
    <cfRule type="cellIs" dxfId="16835" priority="1912" operator="greaterThanOrEqual">
      <formula>0</formula>
    </cfRule>
  </conditionalFormatting>
  <conditionalFormatting sqref="X163">
    <cfRule type="cellIs" dxfId="16834" priority="1911" operator="lessThan">
      <formula>0</formula>
    </cfRule>
  </conditionalFormatting>
  <conditionalFormatting sqref="X147:Y147">
    <cfRule type="cellIs" dxfId="16833" priority="1954" operator="greaterThanOrEqual">
      <formula>0</formula>
    </cfRule>
  </conditionalFormatting>
  <conditionalFormatting sqref="X147:Y147">
    <cfRule type="cellIs" dxfId="16832" priority="1953" operator="lessThan">
      <formula>0</formula>
    </cfRule>
  </conditionalFormatting>
  <conditionalFormatting sqref="R166">
    <cfRule type="cellIs" dxfId="16831" priority="1907" operator="greaterThan">
      <formula>0</formula>
    </cfRule>
    <cfRule type="cellIs" dxfId="16830" priority="1908" operator="lessThanOrEqual">
      <formula>0</formula>
    </cfRule>
  </conditionalFormatting>
  <conditionalFormatting sqref="Q166">
    <cfRule type="cellIs" dxfId="16829" priority="1906" operator="greaterThanOrEqual">
      <formula>0</formula>
    </cfRule>
  </conditionalFormatting>
  <conditionalFormatting sqref="Q166">
    <cfRule type="cellIs" dxfId="16828" priority="1905" operator="lessThan">
      <formula>0</formula>
    </cfRule>
  </conditionalFormatting>
  <conditionalFormatting sqref="R169">
    <cfRule type="cellIs" dxfId="16827" priority="1897" operator="greaterThan">
      <formula>0</formula>
    </cfRule>
    <cfRule type="cellIs" dxfId="16826" priority="1898" operator="lessThanOrEqual">
      <formula>0</formula>
    </cfRule>
  </conditionalFormatting>
  <conditionalFormatting sqref="Q169">
    <cfRule type="cellIs" dxfId="16825" priority="1896" operator="greaterThanOrEqual">
      <formula>0</formula>
    </cfRule>
  </conditionalFormatting>
  <conditionalFormatting sqref="Q169">
    <cfRule type="cellIs" dxfId="16824" priority="1895" operator="lessThan">
      <formula>0</formula>
    </cfRule>
  </conditionalFormatting>
  <conditionalFormatting sqref="X170:Y170">
    <cfRule type="cellIs" dxfId="16823" priority="1938" operator="greaterThanOrEqual">
      <formula>0</formula>
    </cfRule>
  </conditionalFormatting>
  <conditionalFormatting sqref="X170:Y170">
    <cfRule type="cellIs" dxfId="16822" priority="1937" operator="lessThan">
      <formula>0</formula>
    </cfRule>
  </conditionalFormatting>
  <conditionalFormatting sqref="Q178">
    <cfRule type="cellIs" dxfId="16821" priority="1886" operator="greaterThanOrEqual">
      <formula>0</formula>
    </cfRule>
  </conditionalFormatting>
  <conditionalFormatting sqref="Q178">
    <cfRule type="cellIs" dxfId="16820" priority="1885" operator="lessThan">
      <formula>0</formula>
    </cfRule>
  </conditionalFormatting>
  <conditionalFormatting sqref="R147">
    <cfRule type="cellIs" dxfId="16819" priority="1959" operator="greaterThan">
      <formula>0</formula>
    </cfRule>
    <cfRule type="cellIs" dxfId="16818" priority="1960" operator="lessThanOrEqual">
      <formula>0</formula>
    </cfRule>
  </conditionalFormatting>
  <conditionalFormatting sqref="Q147">
    <cfRule type="cellIs" dxfId="16817" priority="1958" operator="greaterThanOrEqual">
      <formula>0</formula>
    </cfRule>
  </conditionalFormatting>
  <conditionalFormatting sqref="Q147">
    <cfRule type="cellIs" dxfId="16816" priority="1957" operator="lessThan">
      <formula>0</formula>
    </cfRule>
  </conditionalFormatting>
  <conditionalFormatting sqref="U160">
    <cfRule type="cellIs" dxfId="16815" priority="1948" operator="greaterThanOrEqual">
      <formula>0</formula>
    </cfRule>
  </conditionalFormatting>
  <conditionalFormatting sqref="U160">
    <cfRule type="cellIs" dxfId="16814" priority="1947" operator="lessThan">
      <formula>0</formula>
    </cfRule>
  </conditionalFormatting>
  <conditionalFormatting sqref="X160:Y160">
    <cfRule type="cellIs" dxfId="16813" priority="1946" operator="greaterThanOrEqual">
      <formula>0</formula>
    </cfRule>
  </conditionalFormatting>
  <conditionalFormatting sqref="X160:Y160">
    <cfRule type="cellIs" dxfId="16812" priority="1945" operator="lessThan">
      <formula>0</formula>
    </cfRule>
  </conditionalFormatting>
  <conditionalFormatting sqref="R160">
    <cfRule type="cellIs" dxfId="16811" priority="1951" operator="greaterThan">
      <formula>0</formula>
    </cfRule>
    <cfRule type="cellIs" dxfId="16810" priority="1952" operator="lessThanOrEqual">
      <formula>0</formula>
    </cfRule>
  </conditionalFormatting>
  <conditionalFormatting sqref="U170">
    <cfRule type="cellIs" dxfId="16809" priority="1940" operator="greaterThanOrEqual">
      <formula>0</formula>
    </cfRule>
  </conditionalFormatting>
  <conditionalFormatting sqref="U170">
    <cfRule type="cellIs" dxfId="16808" priority="1939" operator="lessThan">
      <formula>0</formula>
    </cfRule>
  </conditionalFormatting>
  <conditionalFormatting sqref="Y163">
    <cfRule type="cellIs" dxfId="16807" priority="1909" operator="lessThan">
      <formula>0</formula>
    </cfRule>
  </conditionalFormatting>
  <conditionalFormatting sqref="Y169">
    <cfRule type="cellIs" dxfId="16806" priority="1889" operator="lessThan">
      <formula>0</formula>
    </cfRule>
  </conditionalFormatting>
  <conditionalFormatting sqref="U163">
    <cfRule type="cellIs" dxfId="16805" priority="1914" operator="greaterThanOrEqual">
      <formula>0</formula>
    </cfRule>
  </conditionalFormatting>
  <conditionalFormatting sqref="U163">
    <cfRule type="cellIs" dxfId="16804" priority="1913" operator="lessThan">
      <formula>0</formula>
    </cfRule>
  </conditionalFormatting>
  <conditionalFormatting sqref="Y163">
    <cfRule type="cellIs" dxfId="16803" priority="1910" operator="greaterThanOrEqual">
      <formula>0</formula>
    </cfRule>
  </conditionalFormatting>
  <conditionalFormatting sqref="Y178">
    <cfRule type="cellIs" dxfId="16802" priority="1879" operator="lessThan">
      <formula>0</formula>
    </cfRule>
  </conditionalFormatting>
  <conditionalFormatting sqref="R161:R162 R164:R165">
    <cfRule type="cellIs" dxfId="16801" priority="1935" operator="greaterThan">
      <formula>0</formula>
    </cfRule>
    <cfRule type="cellIs" dxfId="16800" priority="1936" operator="lessThanOrEqual">
      <formula>0</formula>
    </cfRule>
  </conditionalFormatting>
  <conditionalFormatting sqref="Q161:Q162 Q164:Q165">
    <cfRule type="cellIs" dxfId="16799" priority="1933" operator="lessThan">
      <formula>0</formula>
    </cfRule>
    <cfRule type="cellIs" dxfId="16798" priority="1934" operator="greaterThanOrEqual">
      <formula>0</formula>
    </cfRule>
  </conditionalFormatting>
  <conditionalFormatting sqref="U161:U162 U164:U165">
    <cfRule type="cellIs" dxfId="16797" priority="1931" operator="lessThan">
      <formula>0</formula>
    </cfRule>
    <cfRule type="cellIs" dxfId="16796" priority="1932" operator="greaterThanOrEqual">
      <formula>0</formula>
    </cfRule>
  </conditionalFormatting>
  <conditionalFormatting sqref="X161:X162 X164:X165">
    <cfRule type="cellIs" dxfId="16795" priority="1929" operator="lessThan">
      <formula>0</formula>
    </cfRule>
    <cfRule type="cellIs" dxfId="16794" priority="1930" operator="greaterThanOrEqual">
      <formula>0</formula>
    </cfRule>
  </conditionalFormatting>
  <conditionalFormatting sqref="Y161:Y162 Y164:Y165">
    <cfRule type="cellIs" dxfId="16793" priority="1927" operator="lessThan">
      <formula>0</formula>
    </cfRule>
    <cfRule type="cellIs" dxfId="16792" priority="1928" operator="greaterThanOrEqual">
      <formula>0</formula>
    </cfRule>
  </conditionalFormatting>
  <conditionalFormatting sqref="U176:U177 U179:U180">
    <cfRule type="cellIs" dxfId="16791" priority="1921" operator="lessThan">
      <formula>0</formula>
    </cfRule>
    <cfRule type="cellIs" dxfId="16790" priority="1922" operator="greaterThanOrEqual">
      <formula>0</formula>
    </cfRule>
  </conditionalFormatting>
  <conditionalFormatting sqref="X176:Y177 X179:Y180">
    <cfRule type="cellIs" dxfId="16789" priority="1919" operator="lessThan">
      <formula>0</formula>
    </cfRule>
    <cfRule type="cellIs" dxfId="16788" priority="1920" operator="greaterThanOrEqual">
      <formula>0</formula>
    </cfRule>
  </conditionalFormatting>
  <conditionalFormatting sqref="R176:R177 R179:R180">
    <cfRule type="cellIs" dxfId="16787" priority="1925" operator="greaterThan">
      <formula>0</formula>
    </cfRule>
    <cfRule type="cellIs" dxfId="16786" priority="1926" operator="lessThanOrEqual">
      <formula>0</formula>
    </cfRule>
  </conditionalFormatting>
  <conditionalFormatting sqref="Q176:Q177 Q179:Q180">
    <cfRule type="cellIs" dxfId="16785" priority="1923" operator="lessThan">
      <formula>0</formula>
    </cfRule>
    <cfRule type="cellIs" dxfId="16784" priority="1924" operator="greaterThanOrEqual">
      <formula>0</formula>
    </cfRule>
  </conditionalFormatting>
  <conditionalFormatting sqref="R178">
    <cfRule type="cellIs" dxfId="16783" priority="1887" operator="greaterThan">
      <formula>0</formula>
    </cfRule>
    <cfRule type="cellIs" dxfId="16782" priority="1888" operator="lessThanOrEqual">
      <formula>0</formula>
    </cfRule>
  </conditionalFormatting>
  <conditionalFormatting sqref="Q181">
    <cfRule type="cellIs" dxfId="16781" priority="1876" operator="greaterThanOrEqual">
      <formula>0</formula>
    </cfRule>
  </conditionalFormatting>
  <conditionalFormatting sqref="Q181">
    <cfRule type="cellIs" dxfId="16780" priority="1875" operator="lessThan">
      <formula>0</formula>
    </cfRule>
  </conditionalFormatting>
  <conditionalFormatting sqref="U166">
    <cfRule type="cellIs" dxfId="16779" priority="1904" operator="greaterThanOrEqual">
      <formula>0</formula>
    </cfRule>
  </conditionalFormatting>
  <conditionalFormatting sqref="U166">
    <cfRule type="cellIs" dxfId="16778" priority="1903" operator="lessThan">
      <formula>0</formula>
    </cfRule>
  </conditionalFormatting>
  <conditionalFormatting sqref="X166">
    <cfRule type="cellIs" dxfId="16777" priority="1902" operator="greaterThanOrEqual">
      <formula>0</formula>
    </cfRule>
  </conditionalFormatting>
  <conditionalFormatting sqref="X166">
    <cfRule type="cellIs" dxfId="16776" priority="1901" operator="lessThan">
      <formula>0</formula>
    </cfRule>
  </conditionalFormatting>
  <conditionalFormatting sqref="Y181">
    <cfRule type="cellIs" dxfId="16775" priority="1869" operator="lessThan">
      <formula>0</formula>
    </cfRule>
  </conditionalFormatting>
  <conditionalFormatting sqref="R181">
    <cfRule type="cellIs" dxfId="16774" priority="1877" operator="greaterThan">
      <formula>0</formula>
    </cfRule>
    <cfRule type="cellIs" dxfId="16773" priority="1878" operator="lessThanOrEqual">
      <formula>0</formula>
    </cfRule>
  </conditionalFormatting>
  <conditionalFormatting sqref="Q184">
    <cfRule type="cellIs" dxfId="16772" priority="1866" operator="greaterThanOrEqual">
      <formula>0</formula>
    </cfRule>
  </conditionalFormatting>
  <conditionalFormatting sqref="Q184">
    <cfRule type="cellIs" dxfId="16771" priority="1865" operator="lessThan">
      <formula>0</formula>
    </cfRule>
  </conditionalFormatting>
  <conditionalFormatting sqref="X169">
    <cfRule type="cellIs" dxfId="16770" priority="1892" operator="greaterThanOrEqual">
      <formula>0</formula>
    </cfRule>
  </conditionalFormatting>
  <conditionalFormatting sqref="X169">
    <cfRule type="cellIs" dxfId="16769" priority="1891" operator="lessThan">
      <formula>0</formula>
    </cfRule>
  </conditionalFormatting>
  <conditionalFormatting sqref="Y184">
    <cfRule type="cellIs" dxfId="16768" priority="1859" operator="lessThan">
      <formula>0</formula>
    </cfRule>
  </conditionalFormatting>
  <conditionalFormatting sqref="U169">
    <cfRule type="cellIs" dxfId="16767" priority="1894" operator="greaterThanOrEqual">
      <formula>0</formula>
    </cfRule>
  </conditionalFormatting>
  <conditionalFormatting sqref="U169">
    <cfRule type="cellIs" dxfId="16766" priority="1893" operator="lessThan">
      <formula>0</formula>
    </cfRule>
  </conditionalFormatting>
  <conditionalFormatting sqref="Y169">
    <cfRule type="cellIs" dxfId="16765" priority="1890" operator="greaterThanOrEqual">
      <formula>0</formula>
    </cfRule>
  </conditionalFormatting>
  <conditionalFormatting sqref="R184">
    <cfRule type="cellIs" dxfId="16764" priority="1867" operator="greaterThan">
      <formula>0</formula>
    </cfRule>
    <cfRule type="cellIs" dxfId="16763" priority="1868" operator="lessThanOrEqual">
      <formula>0</formula>
    </cfRule>
  </conditionalFormatting>
  <conditionalFormatting sqref="U178">
    <cfRule type="cellIs" dxfId="16762" priority="1884" operator="greaterThanOrEqual">
      <formula>0</formula>
    </cfRule>
  </conditionalFormatting>
  <conditionalFormatting sqref="U178">
    <cfRule type="cellIs" dxfId="16761" priority="1883" operator="lessThan">
      <formula>0</formula>
    </cfRule>
  </conditionalFormatting>
  <conditionalFormatting sqref="X178">
    <cfRule type="cellIs" dxfId="16760" priority="1882" operator="greaterThanOrEqual">
      <formula>0</formula>
    </cfRule>
  </conditionalFormatting>
  <conditionalFormatting sqref="X178">
    <cfRule type="cellIs" dxfId="16759" priority="1881" operator="lessThan">
      <formula>0</formula>
    </cfRule>
  </conditionalFormatting>
  <conditionalFormatting sqref="Y178">
    <cfRule type="cellIs" dxfId="16758" priority="1880" operator="greaterThanOrEqual">
      <formula>0</formula>
    </cfRule>
  </conditionalFormatting>
  <conditionalFormatting sqref="X181">
    <cfRule type="cellIs" dxfId="16757" priority="1872" operator="greaterThanOrEqual">
      <formula>0</formula>
    </cfRule>
  </conditionalFormatting>
  <conditionalFormatting sqref="X181">
    <cfRule type="cellIs" dxfId="16756" priority="1871" operator="lessThan">
      <formula>0</formula>
    </cfRule>
  </conditionalFormatting>
  <conditionalFormatting sqref="Y181">
    <cfRule type="cellIs" dxfId="16755" priority="1870" operator="greaterThanOrEqual">
      <formula>0</formula>
    </cfRule>
  </conditionalFormatting>
  <conditionalFormatting sqref="X184">
    <cfRule type="cellIs" dxfId="16754" priority="1862" operator="greaterThanOrEqual">
      <formula>0</formula>
    </cfRule>
  </conditionalFormatting>
  <conditionalFormatting sqref="X184">
    <cfRule type="cellIs" dxfId="16753" priority="1861" operator="lessThan">
      <formula>0</formula>
    </cfRule>
  </conditionalFormatting>
  <conditionalFormatting sqref="Y184">
    <cfRule type="cellIs" dxfId="16752" priority="1860" operator="greaterThanOrEqual">
      <formula>0</formula>
    </cfRule>
  </conditionalFormatting>
  <conditionalFormatting sqref="R24">
    <cfRule type="cellIs" dxfId="16751" priority="1857" operator="greaterThan">
      <formula>0</formula>
    </cfRule>
    <cfRule type="cellIs" dxfId="16750" priority="1858" operator="lessThanOrEqual">
      <formula>0</formula>
    </cfRule>
  </conditionalFormatting>
  <conditionalFormatting sqref="Y51">
    <cfRule type="cellIs" dxfId="16749" priority="1845" operator="lessThan">
      <formula>0</formula>
    </cfRule>
  </conditionalFormatting>
  <conditionalFormatting sqref="R55">
    <cfRule type="cellIs" dxfId="16748" priority="1855" operator="greaterThan">
      <formula>0</formula>
    </cfRule>
    <cfRule type="cellIs" dxfId="16747" priority="1856" operator="lessThanOrEqual">
      <formula>0</formula>
    </cfRule>
  </conditionalFormatting>
  <conditionalFormatting sqref="Q55">
    <cfRule type="cellIs" dxfId="16746" priority="1854" operator="greaterThanOrEqual">
      <formula>0</formula>
    </cfRule>
  </conditionalFormatting>
  <conditionalFormatting sqref="Q55">
    <cfRule type="cellIs" dxfId="16745" priority="1853" operator="lessThan">
      <formula>0</formula>
    </cfRule>
  </conditionalFormatting>
  <conditionalFormatting sqref="R51">
    <cfRule type="cellIs" dxfId="16744" priority="1851" operator="greaterThan">
      <formula>0</formula>
    </cfRule>
    <cfRule type="cellIs" dxfId="16743" priority="1852" operator="lessThanOrEqual">
      <formula>0</formula>
    </cfRule>
  </conditionalFormatting>
  <conditionalFormatting sqref="Q51">
    <cfRule type="cellIs" dxfId="16742" priority="1850" operator="greaterThanOrEqual">
      <formula>0</formula>
    </cfRule>
  </conditionalFormatting>
  <conditionalFormatting sqref="Q51">
    <cfRule type="cellIs" dxfId="16741" priority="1849" operator="lessThan">
      <formula>0</formula>
    </cfRule>
  </conditionalFormatting>
  <conditionalFormatting sqref="X51">
    <cfRule type="cellIs" dxfId="16740" priority="1848" operator="greaterThanOrEqual">
      <formula>0</formula>
    </cfRule>
  </conditionalFormatting>
  <conditionalFormatting sqref="X51">
    <cfRule type="cellIs" dxfId="16739" priority="1847" operator="lessThan">
      <formula>0</formula>
    </cfRule>
  </conditionalFormatting>
  <conditionalFormatting sqref="Y51">
    <cfRule type="cellIs" dxfId="16738" priority="1846" operator="greaterThanOrEqual">
      <formula>0</formula>
    </cfRule>
  </conditionalFormatting>
  <conditionalFormatting sqref="R68">
    <cfRule type="cellIs" dxfId="16737" priority="1843" operator="greaterThan">
      <formula>0</formula>
    </cfRule>
    <cfRule type="cellIs" dxfId="16736" priority="1844" operator="lessThanOrEqual">
      <formula>0</formula>
    </cfRule>
  </conditionalFormatting>
  <conditionalFormatting sqref="X68">
    <cfRule type="cellIs" dxfId="16735" priority="1841" operator="lessThan">
      <formula>0</formula>
    </cfRule>
    <cfRule type="cellIs" dxfId="16734" priority="1842" operator="greaterThanOrEqual">
      <formula>0</formula>
    </cfRule>
  </conditionalFormatting>
  <conditionalFormatting sqref="Y68">
    <cfRule type="cellIs" dxfId="16733" priority="1839" operator="lessThan">
      <formula>0</formula>
    </cfRule>
    <cfRule type="cellIs" dxfId="16732" priority="1840" operator="greaterThanOrEqual">
      <formula>0</formula>
    </cfRule>
  </conditionalFormatting>
  <conditionalFormatting sqref="R69">
    <cfRule type="cellIs" dxfId="16731" priority="1837" operator="greaterThan">
      <formula>0</formula>
    </cfRule>
    <cfRule type="cellIs" dxfId="16730" priority="1838" operator="lessThanOrEqual">
      <formula>0</formula>
    </cfRule>
  </conditionalFormatting>
  <conditionalFormatting sqref="X71">
    <cfRule type="cellIs" dxfId="16729" priority="1835" operator="lessThan">
      <formula>0</formula>
    </cfRule>
    <cfRule type="cellIs" dxfId="16728" priority="1836" operator="greaterThanOrEqual">
      <formula>0</formula>
    </cfRule>
  </conditionalFormatting>
  <conditionalFormatting sqref="R71">
    <cfRule type="cellIs" dxfId="16727" priority="1833" operator="greaterThan">
      <formula>0</formula>
    </cfRule>
    <cfRule type="cellIs" dxfId="16726" priority="1834" operator="lessThanOrEqual">
      <formula>0</formula>
    </cfRule>
  </conditionalFormatting>
  <conditionalFormatting sqref="Q24">
    <cfRule type="cellIs" dxfId="16725" priority="1832" operator="greaterThanOrEqual">
      <formula>0</formula>
    </cfRule>
  </conditionalFormatting>
  <conditionalFormatting sqref="Q24">
    <cfRule type="cellIs" dxfId="16724" priority="1831" operator="lessThan">
      <formula>0</formula>
    </cfRule>
  </conditionalFormatting>
  <conditionalFormatting sqref="Q27">
    <cfRule type="cellIs" dxfId="16723" priority="1830" operator="greaterThanOrEqual">
      <formula>0</formula>
    </cfRule>
  </conditionalFormatting>
  <conditionalFormatting sqref="Q27">
    <cfRule type="cellIs" dxfId="16722" priority="1829" operator="lessThan">
      <formula>0</formula>
    </cfRule>
  </conditionalFormatting>
  <conditionalFormatting sqref="Q40">
    <cfRule type="cellIs" dxfId="16721" priority="1828" operator="greaterThanOrEqual">
      <formula>0</formula>
    </cfRule>
  </conditionalFormatting>
  <conditionalFormatting sqref="Q40">
    <cfRule type="cellIs" dxfId="16720" priority="1827" operator="lessThan">
      <formula>0</formula>
    </cfRule>
  </conditionalFormatting>
  <conditionalFormatting sqref="Q43">
    <cfRule type="cellIs" dxfId="16719" priority="1826" operator="greaterThanOrEqual">
      <formula>0</formula>
    </cfRule>
  </conditionalFormatting>
  <conditionalFormatting sqref="Q43">
    <cfRule type="cellIs" dxfId="16718" priority="1825" operator="lessThan">
      <formula>0</formula>
    </cfRule>
  </conditionalFormatting>
  <conditionalFormatting sqref="Q46">
    <cfRule type="cellIs" dxfId="16717" priority="1824" operator="greaterThanOrEqual">
      <formula>0</formula>
    </cfRule>
  </conditionalFormatting>
  <conditionalFormatting sqref="Q46">
    <cfRule type="cellIs" dxfId="16716" priority="1823" operator="lessThan">
      <formula>0</formula>
    </cfRule>
  </conditionalFormatting>
  <conditionalFormatting sqref="Q49">
    <cfRule type="cellIs" dxfId="16715" priority="1822" operator="greaterThanOrEqual">
      <formula>0</formula>
    </cfRule>
  </conditionalFormatting>
  <conditionalFormatting sqref="Q49">
    <cfRule type="cellIs" dxfId="16714" priority="1821" operator="lessThan">
      <formula>0</formula>
    </cfRule>
  </conditionalFormatting>
  <conditionalFormatting sqref="Q50">
    <cfRule type="cellIs" dxfId="16713" priority="1820" operator="greaterThanOrEqual">
      <formula>0</formula>
    </cfRule>
  </conditionalFormatting>
  <conditionalFormatting sqref="Q50">
    <cfRule type="cellIs" dxfId="16712" priority="1819" operator="lessThan">
      <formula>0</formula>
    </cfRule>
  </conditionalFormatting>
  <conditionalFormatting sqref="Q58">
    <cfRule type="cellIs" dxfId="16711" priority="1818" operator="greaterThanOrEqual">
      <formula>0</formula>
    </cfRule>
  </conditionalFormatting>
  <conditionalFormatting sqref="Q58">
    <cfRule type="cellIs" dxfId="16710" priority="1817" operator="lessThan">
      <formula>0</formula>
    </cfRule>
  </conditionalFormatting>
  <conditionalFormatting sqref="Q64">
    <cfRule type="cellIs" dxfId="16709" priority="1816" operator="greaterThanOrEqual">
      <formula>0</formula>
    </cfRule>
  </conditionalFormatting>
  <conditionalFormatting sqref="Q64">
    <cfRule type="cellIs" dxfId="16708" priority="1815" operator="lessThan">
      <formula>0</formula>
    </cfRule>
  </conditionalFormatting>
  <conditionalFormatting sqref="Q65">
    <cfRule type="cellIs" dxfId="16707" priority="1814" operator="greaterThanOrEqual">
      <formula>0</formula>
    </cfRule>
  </conditionalFormatting>
  <conditionalFormatting sqref="Q65">
    <cfRule type="cellIs" dxfId="16706" priority="1813" operator="lessThan">
      <formula>0</formula>
    </cfRule>
  </conditionalFormatting>
  <conditionalFormatting sqref="Q67:Q69">
    <cfRule type="cellIs" dxfId="16705" priority="1811" operator="lessThan">
      <formula>0</formula>
    </cfRule>
    <cfRule type="cellIs" dxfId="16704" priority="1812" operator="greaterThanOrEqual">
      <formula>0</formula>
    </cfRule>
  </conditionalFormatting>
  <conditionalFormatting sqref="Q70:Q71">
    <cfRule type="cellIs" dxfId="16703" priority="1810" operator="greaterThanOrEqual">
      <formula>0</formula>
    </cfRule>
  </conditionalFormatting>
  <conditionalFormatting sqref="Q70:Q71">
    <cfRule type="cellIs" dxfId="16702" priority="1809" operator="lessThan">
      <formula>0</formula>
    </cfRule>
  </conditionalFormatting>
  <conditionalFormatting sqref="Q72">
    <cfRule type="cellIs" dxfId="16701" priority="1808" operator="greaterThanOrEqual">
      <formula>0</formula>
    </cfRule>
  </conditionalFormatting>
  <conditionalFormatting sqref="Q72">
    <cfRule type="cellIs" dxfId="16700" priority="1807" operator="lessThan">
      <formula>0</formula>
    </cfRule>
  </conditionalFormatting>
  <conditionalFormatting sqref="Q41:Q42">
    <cfRule type="cellIs" dxfId="16699" priority="1805" operator="lessThan">
      <formula>0</formula>
    </cfRule>
    <cfRule type="cellIs" dxfId="16698" priority="1806" operator="greaterThanOrEqual">
      <formula>0</formula>
    </cfRule>
  </conditionalFormatting>
  <conditionalFormatting sqref="Q44:Q45">
    <cfRule type="cellIs" dxfId="16697" priority="1803" operator="lessThan">
      <formula>0</formula>
    </cfRule>
    <cfRule type="cellIs" dxfId="16696" priority="1804" operator="greaterThanOrEqual">
      <formula>0</formula>
    </cfRule>
  </conditionalFormatting>
  <conditionalFormatting sqref="Q56:Q57">
    <cfRule type="cellIs" dxfId="16695" priority="1801" operator="lessThan">
      <formula>0</formula>
    </cfRule>
    <cfRule type="cellIs" dxfId="16694" priority="1802" operator="greaterThanOrEqual">
      <formula>0</formula>
    </cfRule>
  </conditionalFormatting>
  <conditionalFormatting sqref="Q59:Q60">
    <cfRule type="cellIs" dxfId="16693" priority="1799" operator="lessThan">
      <formula>0</formula>
    </cfRule>
    <cfRule type="cellIs" dxfId="16692" priority="1800" operator="greaterThanOrEqual">
      <formula>0</formula>
    </cfRule>
  </conditionalFormatting>
  <conditionalFormatting sqref="Q62:Q63">
    <cfRule type="cellIs" dxfId="16691" priority="1797" operator="lessThan">
      <formula>0</formula>
    </cfRule>
    <cfRule type="cellIs" dxfId="16690" priority="1798" operator="greaterThanOrEqual">
      <formula>0</formula>
    </cfRule>
  </conditionalFormatting>
  <conditionalFormatting sqref="V12:V13">
    <cfRule type="cellIs" dxfId="16689" priority="1795" operator="greaterThan">
      <formula>0</formula>
    </cfRule>
    <cfRule type="cellIs" dxfId="16688" priority="1796" operator="lessThanOrEqual">
      <formula>0</formula>
    </cfRule>
  </conditionalFormatting>
  <conditionalFormatting sqref="V15:V16">
    <cfRule type="cellIs" dxfId="16687" priority="1793" operator="greaterThan">
      <formula>0</formula>
    </cfRule>
    <cfRule type="cellIs" dxfId="16686" priority="1794" operator="lessThanOrEqual">
      <formula>0</formula>
    </cfRule>
  </conditionalFormatting>
  <conditionalFormatting sqref="V18:V19">
    <cfRule type="cellIs" dxfId="16685" priority="1791" operator="greaterThan">
      <formula>0</formula>
    </cfRule>
    <cfRule type="cellIs" dxfId="16684" priority="1792" operator="lessThanOrEqual">
      <formula>0</formula>
    </cfRule>
  </conditionalFormatting>
  <conditionalFormatting sqref="V28:V29">
    <cfRule type="cellIs" dxfId="16683" priority="1789" operator="greaterThan">
      <formula>0</formula>
    </cfRule>
    <cfRule type="cellIs" dxfId="16682" priority="1790" operator="lessThanOrEqual">
      <formula>0</formula>
    </cfRule>
  </conditionalFormatting>
  <conditionalFormatting sqref="V21:V22">
    <cfRule type="cellIs" dxfId="16681" priority="1787" operator="greaterThan">
      <formula>0</formula>
    </cfRule>
    <cfRule type="cellIs" dxfId="16680" priority="1788" operator="lessThanOrEqual">
      <formula>0</formula>
    </cfRule>
  </conditionalFormatting>
  <conditionalFormatting sqref="V31:V32">
    <cfRule type="cellIs" dxfId="16679" priority="1785" operator="greaterThan">
      <formula>0</formula>
    </cfRule>
    <cfRule type="cellIs" dxfId="16678" priority="1786" operator="lessThanOrEqual">
      <formula>0</formula>
    </cfRule>
  </conditionalFormatting>
  <conditionalFormatting sqref="V34:V35">
    <cfRule type="cellIs" dxfId="16677" priority="1783" operator="greaterThan">
      <formula>0</formula>
    </cfRule>
    <cfRule type="cellIs" dxfId="16676" priority="1784" operator="lessThanOrEqual">
      <formula>0</formula>
    </cfRule>
  </conditionalFormatting>
  <conditionalFormatting sqref="V37:V38">
    <cfRule type="cellIs" dxfId="16675" priority="1781" operator="greaterThan">
      <formula>0</formula>
    </cfRule>
    <cfRule type="cellIs" dxfId="16674" priority="1782" operator="lessThanOrEqual">
      <formula>0</formula>
    </cfRule>
  </conditionalFormatting>
  <conditionalFormatting sqref="V47:V48">
    <cfRule type="cellIs" dxfId="16673" priority="1779" operator="greaterThan">
      <formula>0</formula>
    </cfRule>
    <cfRule type="cellIs" dxfId="16672" priority="1780" operator="lessThanOrEqual">
      <formula>0</formula>
    </cfRule>
  </conditionalFormatting>
  <conditionalFormatting sqref="V62:V63">
    <cfRule type="cellIs" dxfId="16671" priority="1777" operator="greaterThan">
      <formula>0</formula>
    </cfRule>
    <cfRule type="cellIs" dxfId="16670" priority="1778" operator="lessThanOrEqual">
      <formula>0</formula>
    </cfRule>
  </conditionalFormatting>
  <conditionalFormatting sqref="V52:V53">
    <cfRule type="cellIs" dxfId="16669" priority="1775" operator="greaterThan">
      <formula>0</formula>
    </cfRule>
    <cfRule type="cellIs" dxfId="16668" priority="1776" operator="lessThanOrEqual">
      <formula>0</formula>
    </cfRule>
  </conditionalFormatting>
  <conditionalFormatting sqref="V14">
    <cfRule type="cellIs" dxfId="16667" priority="1773" operator="greaterThan">
      <formula>0</formula>
    </cfRule>
    <cfRule type="cellIs" dxfId="16666" priority="1774" operator="lessThanOrEqual">
      <formula>0</formula>
    </cfRule>
  </conditionalFormatting>
  <conditionalFormatting sqref="V17">
    <cfRule type="cellIs" dxfId="16665" priority="1771" operator="greaterThan">
      <formula>0</formula>
    </cfRule>
    <cfRule type="cellIs" dxfId="16664" priority="1772" operator="lessThanOrEqual">
      <formula>0</formula>
    </cfRule>
  </conditionalFormatting>
  <conditionalFormatting sqref="V20">
    <cfRule type="cellIs" dxfId="16663" priority="1769" operator="greaterThan">
      <formula>0</formula>
    </cfRule>
    <cfRule type="cellIs" dxfId="16662" priority="1770" operator="lessThanOrEqual">
      <formula>0</formula>
    </cfRule>
  </conditionalFormatting>
  <conditionalFormatting sqref="V30">
    <cfRule type="cellIs" dxfId="16661" priority="1767" operator="greaterThan">
      <formula>0</formula>
    </cfRule>
    <cfRule type="cellIs" dxfId="16660" priority="1768" operator="lessThanOrEqual">
      <formula>0</formula>
    </cfRule>
  </conditionalFormatting>
  <conditionalFormatting sqref="V23">
    <cfRule type="cellIs" dxfId="16659" priority="1765" operator="greaterThan">
      <formula>0</formula>
    </cfRule>
    <cfRule type="cellIs" dxfId="16658" priority="1766" operator="lessThanOrEqual">
      <formula>0</formula>
    </cfRule>
  </conditionalFormatting>
  <conditionalFormatting sqref="V33">
    <cfRule type="cellIs" dxfId="16657" priority="1763" operator="greaterThan">
      <formula>0</formula>
    </cfRule>
    <cfRule type="cellIs" dxfId="16656" priority="1764" operator="lessThanOrEqual">
      <formula>0</formula>
    </cfRule>
  </conditionalFormatting>
  <conditionalFormatting sqref="V36">
    <cfRule type="cellIs" dxfId="16655" priority="1761" operator="greaterThan">
      <formula>0</formula>
    </cfRule>
    <cfRule type="cellIs" dxfId="16654" priority="1762" operator="lessThanOrEqual">
      <formula>0</formula>
    </cfRule>
  </conditionalFormatting>
  <conditionalFormatting sqref="V39">
    <cfRule type="cellIs" dxfId="16653" priority="1759" operator="greaterThan">
      <formula>0</formula>
    </cfRule>
    <cfRule type="cellIs" dxfId="16652" priority="1760" operator="lessThanOrEqual">
      <formula>0</formula>
    </cfRule>
  </conditionalFormatting>
  <conditionalFormatting sqref="V25">
    <cfRule type="cellIs" dxfId="16651" priority="1757" operator="greaterThan">
      <formula>0</formula>
    </cfRule>
    <cfRule type="cellIs" dxfId="16650" priority="1758" operator="lessThanOrEqual">
      <formula>0</formula>
    </cfRule>
  </conditionalFormatting>
  <conditionalFormatting sqref="V65">
    <cfRule type="cellIs" dxfId="16649" priority="1755" operator="greaterThan">
      <formula>0</formula>
    </cfRule>
    <cfRule type="cellIs" dxfId="16648" priority="1756" operator="lessThanOrEqual">
      <formula>0</formula>
    </cfRule>
  </conditionalFormatting>
  <conditionalFormatting sqref="U12:U13 U15:U16 U18:U19 U21:U22 U28:U29 U31:U32 U34:U35 U37:U38 U47:U48 U52:U53">
    <cfRule type="cellIs" dxfId="16647" priority="1753" operator="lessThan">
      <formula>0</formula>
    </cfRule>
    <cfRule type="cellIs" dxfId="16646" priority="1754" operator="greaterThanOrEqual">
      <formula>0</formula>
    </cfRule>
  </conditionalFormatting>
  <conditionalFormatting sqref="U14 U17 U20 U23 U25 U30 U33 U36 U39">
    <cfRule type="cellIs" dxfId="16645" priority="1752" operator="greaterThanOrEqual">
      <formula>0</formula>
    </cfRule>
  </conditionalFormatting>
  <conditionalFormatting sqref="U14 U17 U20 U23 U25 U30 U33 U36 U39">
    <cfRule type="cellIs" dxfId="16644" priority="1751" operator="lessThan">
      <formula>0</formula>
    </cfRule>
  </conditionalFormatting>
  <conditionalFormatting sqref="V50">
    <cfRule type="cellIs" dxfId="16643" priority="1745" operator="greaterThan">
      <formula>0</formula>
    </cfRule>
    <cfRule type="cellIs" dxfId="16642" priority="1746" operator="lessThanOrEqual">
      <formula>0</formula>
    </cfRule>
  </conditionalFormatting>
  <conditionalFormatting sqref="V43">
    <cfRule type="cellIs" dxfId="16641" priority="1739" operator="greaterThan">
      <formula>0</formula>
    </cfRule>
    <cfRule type="cellIs" dxfId="16640" priority="1740" operator="lessThanOrEqual">
      <formula>0</formula>
    </cfRule>
  </conditionalFormatting>
  <conditionalFormatting sqref="V49">
    <cfRule type="cellIs" dxfId="16639" priority="1735" operator="greaterThan">
      <formula>0</formula>
    </cfRule>
    <cfRule type="cellIs" dxfId="16638" priority="1736" operator="lessThanOrEqual">
      <formula>0</formula>
    </cfRule>
  </conditionalFormatting>
  <conditionalFormatting sqref="V27">
    <cfRule type="cellIs" dxfId="16637" priority="1749" operator="greaterThan">
      <formula>0</formula>
    </cfRule>
    <cfRule type="cellIs" dxfId="16636" priority="1750" operator="lessThanOrEqual">
      <formula>0</formula>
    </cfRule>
  </conditionalFormatting>
  <conditionalFormatting sqref="V40">
    <cfRule type="cellIs" dxfId="16635" priority="1747" operator="greaterThan">
      <formula>0</formula>
    </cfRule>
    <cfRule type="cellIs" dxfId="16634" priority="1748" operator="lessThanOrEqual">
      <formula>0</formula>
    </cfRule>
  </conditionalFormatting>
  <conditionalFormatting sqref="V41:V42 V44:V45">
    <cfRule type="cellIs" dxfId="16633" priority="1743" operator="greaterThan">
      <formula>0</formula>
    </cfRule>
    <cfRule type="cellIs" dxfId="16632" priority="1744" operator="lessThanOrEqual">
      <formula>0</formula>
    </cfRule>
  </conditionalFormatting>
  <conditionalFormatting sqref="V56:V57 V59:V60">
    <cfRule type="cellIs" dxfId="16631" priority="1741" operator="greaterThan">
      <formula>0</formula>
    </cfRule>
    <cfRule type="cellIs" dxfId="16630" priority="1742" operator="lessThanOrEqual">
      <formula>0</formula>
    </cfRule>
  </conditionalFormatting>
  <conditionalFormatting sqref="V61">
    <cfRule type="cellIs" dxfId="16629" priority="1731" operator="greaterThan">
      <formula>0</formula>
    </cfRule>
    <cfRule type="cellIs" dxfId="16628" priority="1732" operator="lessThanOrEqual">
      <formula>0</formula>
    </cfRule>
  </conditionalFormatting>
  <conditionalFormatting sqref="V64">
    <cfRule type="cellIs" dxfId="16627" priority="1727" operator="greaterThan">
      <formula>0</formula>
    </cfRule>
    <cfRule type="cellIs" dxfId="16626" priority="1728" operator="lessThanOrEqual">
      <formula>0</formula>
    </cfRule>
  </conditionalFormatting>
  <conditionalFormatting sqref="V24">
    <cfRule type="cellIs" dxfId="16625" priority="1725" operator="greaterThan">
      <formula>0</formula>
    </cfRule>
    <cfRule type="cellIs" dxfId="16624" priority="1726" operator="lessThanOrEqual">
      <formula>0</formula>
    </cfRule>
  </conditionalFormatting>
  <conditionalFormatting sqref="V55">
    <cfRule type="cellIs" dxfId="16623" priority="1723" operator="greaterThan">
      <formula>0</formula>
    </cfRule>
    <cfRule type="cellIs" dxfId="16622" priority="1724" operator="lessThanOrEqual">
      <formula>0</formula>
    </cfRule>
  </conditionalFormatting>
  <conditionalFormatting sqref="U55">
    <cfRule type="cellIs" dxfId="16621" priority="1722" operator="greaterThanOrEqual">
      <formula>0</formula>
    </cfRule>
  </conditionalFormatting>
  <conditionalFormatting sqref="U55">
    <cfRule type="cellIs" dxfId="16620" priority="1721" operator="lessThan">
      <formula>0</formula>
    </cfRule>
  </conditionalFormatting>
  <conditionalFormatting sqref="V51">
    <cfRule type="cellIs" dxfId="16619" priority="1719" operator="greaterThan">
      <formula>0</formula>
    </cfRule>
    <cfRule type="cellIs" dxfId="16618" priority="1720" operator="lessThanOrEqual">
      <formula>0</formula>
    </cfRule>
  </conditionalFormatting>
  <conditionalFormatting sqref="U51">
    <cfRule type="cellIs" dxfId="16617" priority="1718" operator="greaterThanOrEqual">
      <formula>0</formula>
    </cfRule>
  </conditionalFormatting>
  <conditionalFormatting sqref="U51">
    <cfRule type="cellIs" dxfId="16616" priority="1717" operator="lessThan">
      <formula>0</formula>
    </cfRule>
  </conditionalFormatting>
  <conditionalFormatting sqref="U24">
    <cfRule type="cellIs" dxfId="16615" priority="1716" operator="greaterThanOrEqual">
      <formula>0</formula>
    </cfRule>
  </conditionalFormatting>
  <conditionalFormatting sqref="U24">
    <cfRule type="cellIs" dxfId="16614" priority="1715" operator="lessThan">
      <formula>0</formula>
    </cfRule>
  </conditionalFormatting>
  <conditionalFormatting sqref="U27">
    <cfRule type="cellIs" dxfId="16613" priority="1714" operator="greaterThanOrEqual">
      <formula>0</formula>
    </cfRule>
  </conditionalFormatting>
  <conditionalFormatting sqref="U27">
    <cfRule type="cellIs" dxfId="16612" priority="1713" operator="lessThan">
      <formula>0</formula>
    </cfRule>
  </conditionalFormatting>
  <conditionalFormatting sqref="U40">
    <cfRule type="cellIs" dxfId="16611" priority="1712" operator="greaterThanOrEqual">
      <formula>0</formula>
    </cfRule>
  </conditionalFormatting>
  <conditionalFormatting sqref="U40">
    <cfRule type="cellIs" dxfId="16610" priority="1711" operator="lessThan">
      <formula>0</formula>
    </cfRule>
  </conditionalFormatting>
  <conditionalFormatting sqref="U43">
    <cfRule type="cellIs" dxfId="16609" priority="1710" operator="greaterThanOrEqual">
      <formula>0</formula>
    </cfRule>
  </conditionalFormatting>
  <conditionalFormatting sqref="U43">
    <cfRule type="cellIs" dxfId="16608" priority="1709" operator="lessThan">
      <formula>0</formula>
    </cfRule>
  </conditionalFormatting>
  <conditionalFormatting sqref="U46">
    <cfRule type="cellIs" dxfId="16607" priority="1708" operator="greaterThanOrEqual">
      <formula>0</formula>
    </cfRule>
  </conditionalFormatting>
  <conditionalFormatting sqref="U46">
    <cfRule type="cellIs" dxfId="16606" priority="1707" operator="lessThan">
      <formula>0</formula>
    </cfRule>
  </conditionalFormatting>
  <conditionalFormatting sqref="U49">
    <cfRule type="cellIs" dxfId="16605" priority="1706" operator="greaterThanOrEqual">
      <formula>0</formula>
    </cfRule>
  </conditionalFormatting>
  <conditionalFormatting sqref="U49">
    <cfRule type="cellIs" dxfId="16604" priority="1705" operator="lessThan">
      <formula>0</formula>
    </cfRule>
  </conditionalFormatting>
  <conditionalFormatting sqref="U50">
    <cfRule type="cellIs" dxfId="16603" priority="1704" operator="greaterThanOrEqual">
      <formula>0</formula>
    </cfRule>
  </conditionalFormatting>
  <conditionalFormatting sqref="U50">
    <cfRule type="cellIs" dxfId="16602" priority="1703" operator="lessThan">
      <formula>0</formula>
    </cfRule>
  </conditionalFormatting>
  <conditionalFormatting sqref="U58">
    <cfRule type="cellIs" dxfId="16601" priority="1702" operator="greaterThanOrEqual">
      <formula>0</formula>
    </cfRule>
  </conditionalFormatting>
  <conditionalFormatting sqref="U58">
    <cfRule type="cellIs" dxfId="16600" priority="1701" operator="lessThan">
      <formula>0</formula>
    </cfRule>
  </conditionalFormatting>
  <conditionalFormatting sqref="U64">
    <cfRule type="cellIs" dxfId="16599" priority="1700" operator="greaterThanOrEqual">
      <formula>0</formula>
    </cfRule>
  </conditionalFormatting>
  <conditionalFormatting sqref="U64">
    <cfRule type="cellIs" dxfId="16598" priority="1699" operator="lessThan">
      <formula>0</formula>
    </cfRule>
  </conditionalFormatting>
  <conditionalFormatting sqref="U65">
    <cfRule type="cellIs" dxfId="16597" priority="1698" operator="greaterThanOrEqual">
      <formula>0</formula>
    </cfRule>
  </conditionalFormatting>
  <conditionalFormatting sqref="U65">
    <cfRule type="cellIs" dxfId="16596" priority="1697" operator="lessThan">
      <formula>0</formula>
    </cfRule>
  </conditionalFormatting>
  <conditionalFormatting sqref="U41:U42">
    <cfRule type="cellIs" dxfId="16595" priority="1695" operator="lessThan">
      <formula>0</formula>
    </cfRule>
    <cfRule type="cellIs" dxfId="16594" priority="1696" operator="greaterThanOrEqual">
      <formula>0</formula>
    </cfRule>
  </conditionalFormatting>
  <conditionalFormatting sqref="U44:U45">
    <cfRule type="cellIs" dxfId="16593" priority="1693" operator="lessThan">
      <formula>0</formula>
    </cfRule>
    <cfRule type="cellIs" dxfId="16592" priority="1694" operator="greaterThanOrEqual">
      <formula>0</formula>
    </cfRule>
  </conditionalFormatting>
  <conditionalFormatting sqref="U56:U57">
    <cfRule type="cellIs" dxfId="16591" priority="1691" operator="lessThan">
      <formula>0</formula>
    </cfRule>
    <cfRule type="cellIs" dxfId="16590" priority="1692" operator="greaterThanOrEqual">
      <formula>0</formula>
    </cfRule>
  </conditionalFormatting>
  <conditionalFormatting sqref="U59:U60">
    <cfRule type="cellIs" dxfId="16589" priority="1689" operator="lessThan">
      <formula>0</formula>
    </cfRule>
    <cfRule type="cellIs" dxfId="16588" priority="1690" operator="greaterThanOrEqual">
      <formula>0</formula>
    </cfRule>
  </conditionalFormatting>
  <conditionalFormatting sqref="U62:U63">
    <cfRule type="cellIs" dxfId="16587" priority="1687" operator="lessThan">
      <formula>0</formula>
    </cfRule>
    <cfRule type="cellIs" dxfId="16586" priority="1688" operator="greaterThanOrEqual">
      <formula>0</formula>
    </cfRule>
  </conditionalFormatting>
  <conditionalFormatting sqref="V67 V70">
    <cfRule type="cellIs" dxfId="16585" priority="1685" operator="greaterThan">
      <formula>0</formula>
    </cfRule>
    <cfRule type="cellIs" dxfId="16584" priority="1686" operator="lessThanOrEqual">
      <formula>0</formula>
    </cfRule>
  </conditionalFormatting>
  <conditionalFormatting sqref="V72">
    <cfRule type="cellIs" dxfId="16583" priority="1683" operator="greaterThan">
      <formula>0</formula>
    </cfRule>
    <cfRule type="cellIs" dxfId="16582" priority="1684" operator="lessThanOrEqual">
      <formula>0</formula>
    </cfRule>
  </conditionalFormatting>
  <conditionalFormatting sqref="V68">
    <cfRule type="cellIs" dxfId="16581" priority="1681" operator="greaterThan">
      <formula>0</formula>
    </cfRule>
    <cfRule type="cellIs" dxfId="16580" priority="1682" operator="lessThanOrEqual">
      <formula>0</formula>
    </cfRule>
  </conditionalFormatting>
  <conditionalFormatting sqref="V69">
    <cfRule type="cellIs" dxfId="16579" priority="1679" operator="greaterThan">
      <formula>0</formula>
    </cfRule>
    <cfRule type="cellIs" dxfId="16578" priority="1680" operator="lessThanOrEqual">
      <formula>0</formula>
    </cfRule>
  </conditionalFormatting>
  <conditionalFormatting sqref="V71">
    <cfRule type="cellIs" dxfId="16577" priority="1677" operator="greaterThan">
      <formula>0</formula>
    </cfRule>
    <cfRule type="cellIs" dxfId="16576" priority="1678" operator="lessThanOrEqual">
      <formula>0</formula>
    </cfRule>
  </conditionalFormatting>
  <conditionalFormatting sqref="U67:U69">
    <cfRule type="cellIs" dxfId="16575" priority="1675" operator="lessThan">
      <formula>0</formula>
    </cfRule>
    <cfRule type="cellIs" dxfId="16574" priority="1676" operator="greaterThanOrEqual">
      <formula>0</formula>
    </cfRule>
  </conditionalFormatting>
  <conditionalFormatting sqref="U70:U71">
    <cfRule type="cellIs" dxfId="16573" priority="1674" operator="greaterThanOrEqual">
      <formula>0</formula>
    </cfRule>
  </conditionalFormatting>
  <conditionalFormatting sqref="U70:U71">
    <cfRule type="cellIs" dxfId="16572" priority="1673" operator="lessThan">
      <formula>0</formula>
    </cfRule>
  </conditionalFormatting>
  <conditionalFormatting sqref="U72">
    <cfRule type="cellIs" dxfId="16571" priority="1672" operator="greaterThanOrEqual">
      <formula>0</formula>
    </cfRule>
  </conditionalFormatting>
  <conditionalFormatting sqref="U72">
    <cfRule type="cellIs" dxfId="16570" priority="1671" operator="lessThan">
      <formula>0</formula>
    </cfRule>
  </conditionalFormatting>
  <conditionalFormatting sqref="V66">
    <cfRule type="cellIs" dxfId="16569" priority="1669" operator="greaterThan">
      <formula>0</formula>
    </cfRule>
    <cfRule type="cellIs" dxfId="16568" priority="1670" operator="lessThanOrEqual">
      <formula>0</formula>
    </cfRule>
  </conditionalFormatting>
  <conditionalFormatting sqref="U66">
    <cfRule type="cellIs" dxfId="16567" priority="1667" operator="greaterThanOrEqual">
      <formula>0</formula>
    </cfRule>
    <cfRule type="cellIs" dxfId="16566" priority="1668" operator="lessThan">
      <formula>0</formula>
    </cfRule>
  </conditionalFormatting>
  <conditionalFormatting sqref="R50">
    <cfRule type="cellIs" dxfId="16565" priority="1665" operator="greaterThan">
      <formula>0</formula>
    </cfRule>
    <cfRule type="cellIs" dxfId="16564" priority="1666" operator="lessThanOrEqual">
      <formula>0</formula>
    </cfRule>
  </conditionalFormatting>
  <conditionalFormatting sqref="X41:X42">
    <cfRule type="cellIs" dxfId="16563" priority="1663" operator="lessThan">
      <formula>0</formula>
    </cfRule>
    <cfRule type="cellIs" dxfId="16562" priority="1664" operator="greaterThanOrEqual">
      <formula>0</formula>
    </cfRule>
  </conditionalFormatting>
  <conditionalFormatting sqref="X44:X45">
    <cfRule type="cellIs" dxfId="16561" priority="1661" operator="lessThan">
      <formula>0</formula>
    </cfRule>
    <cfRule type="cellIs" dxfId="16560" priority="1662" operator="greaterThanOrEqual">
      <formula>0</formula>
    </cfRule>
  </conditionalFormatting>
  <conditionalFormatting sqref="X52:X53">
    <cfRule type="cellIs" dxfId="16559" priority="1659" operator="lessThan">
      <formula>0</formula>
    </cfRule>
    <cfRule type="cellIs" dxfId="16558" priority="1660" operator="greaterThanOrEqual">
      <formula>0</formula>
    </cfRule>
  </conditionalFormatting>
  <conditionalFormatting sqref="X56:X57">
    <cfRule type="cellIs" dxfId="16557" priority="1657" operator="lessThan">
      <formula>0</formula>
    </cfRule>
    <cfRule type="cellIs" dxfId="16556" priority="1658" operator="greaterThanOrEqual">
      <formula>0</formula>
    </cfRule>
  </conditionalFormatting>
  <conditionalFormatting sqref="X59:X60">
    <cfRule type="cellIs" dxfId="16555" priority="1655" operator="lessThan">
      <formula>0</formula>
    </cfRule>
    <cfRule type="cellIs" dxfId="16554" priority="1656" operator="greaterThanOrEqual">
      <formula>0</formula>
    </cfRule>
  </conditionalFormatting>
  <conditionalFormatting sqref="X62:X63">
    <cfRule type="cellIs" dxfId="16553" priority="1653" operator="lessThan">
      <formula>0</formula>
    </cfRule>
    <cfRule type="cellIs" dxfId="16552" priority="1654" operator="greaterThanOrEqual">
      <formula>0</formula>
    </cfRule>
  </conditionalFormatting>
  <conditionalFormatting sqref="X24">
    <cfRule type="cellIs" dxfId="16551" priority="1652" operator="greaterThanOrEqual">
      <formula>0</formula>
    </cfRule>
  </conditionalFormatting>
  <conditionalFormatting sqref="X24">
    <cfRule type="cellIs" dxfId="16550" priority="1651" operator="lessThan">
      <formula>0</formula>
    </cfRule>
  </conditionalFormatting>
  <conditionalFormatting sqref="X25">
    <cfRule type="cellIs" dxfId="16549" priority="1650" operator="greaterThanOrEqual">
      <formula>0</formula>
    </cfRule>
  </conditionalFormatting>
  <conditionalFormatting sqref="X25">
    <cfRule type="cellIs" dxfId="16548" priority="1649" operator="lessThan">
      <formula>0</formula>
    </cfRule>
  </conditionalFormatting>
  <conditionalFormatting sqref="X27">
    <cfRule type="cellIs" dxfId="16547" priority="1648" operator="greaterThanOrEqual">
      <formula>0</formula>
    </cfRule>
  </conditionalFormatting>
  <conditionalFormatting sqref="X27">
    <cfRule type="cellIs" dxfId="16546" priority="1647" operator="lessThan">
      <formula>0</formula>
    </cfRule>
  </conditionalFormatting>
  <conditionalFormatting sqref="X40">
    <cfRule type="cellIs" dxfId="16545" priority="1646" operator="greaterThanOrEqual">
      <formula>0</formula>
    </cfRule>
  </conditionalFormatting>
  <conditionalFormatting sqref="X40">
    <cfRule type="cellIs" dxfId="16544" priority="1645" operator="lessThan">
      <formula>0</formula>
    </cfRule>
  </conditionalFormatting>
  <conditionalFormatting sqref="X43">
    <cfRule type="cellIs" dxfId="16543" priority="1644" operator="greaterThanOrEqual">
      <formula>0</formula>
    </cfRule>
  </conditionalFormatting>
  <conditionalFormatting sqref="X43">
    <cfRule type="cellIs" dxfId="16542" priority="1643" operator="lessThan">
      <formula>0</formula>
    </cfRule>
  </conditionalFormatting>
  <conditionalFormatting sqref="X46">
    <cfRule type="cellIs" dxfId="16541" priority="1642" operator="greaterThanOrEqual">
      <formula>0</formula>
    </cfRule>
  </conditionalFormatting>
  <conditionalFormatting sqref="X46">
    <cfRule type="cellIs" dxfId="16540" priority="1641" operator="lessThan">
      <formula>0</formula>
    </cfRule>
  </conditionalFormatting>
  <conditionalFormatting sqref="X49">
    <cfRule type="cellIs" dxfId="16539" priority="1640" operator="greaterThanOrEqual">
      <formula>0</formula>
    </cfRule>
  </conditionalFormatting>
  <conditionalFormatting sqref="X49">
    <cfRule type="cellIs" dxfId="16538" priority="1639" operator="lessThan">
      <formula>0</formula>
    </cfRule>
  </conditionalFormatting>
  <conditionalFormatting sqref="X50">
    <cfRule type="cellIs" dxfId="16537" priority="1638" operator="greaterThanOrEqual">
      <formula>0</formula>
    </cfRule>
  </conditionalFormatting>
  <conditionalFormatting sqref="X50">
    <cfRule type="cellIs" dxfId="16536" priority="1637" operator="lessThan">
      <formula>0</formula>
    </cfRule>
  </conditionalFormatting>
  <conditionalFormatting sqref="X58">
    <cfRule type="cellIs" dxfId="16535" priority="1636" operator="greaterThanOrEqual">
      <formula>0</formula>
    </cfRule>
  </conditionalFormatting>
  <conditionalFormatting sqref="X58">
    <cfRule type="cellIs" dxfId="16534" priority="1635" operator="lessThan">
      <formula>0</formula>
    </cfRule>
  </conditionalFormatting>
  <conditionalFormatting sqref="X61">
    <cfRule type="cellIs" dxfId="16533" priority="1634" operator="greaterThanOrEqual">
      <formula>0</formula>
    </cfRule>
  </conditionalFormatting>
  <conditionalFormatting sqref="X61">
    <cfRule type="cellIs" dxfId="16532" priority="1633" operator="lessThan">
      <formula>0</formula>
    </cfRule>
  </conditionalFormatting>
  <conditionalFormatting sqref="X64">
    <cfRule type="cellIs" dxfId="16531" priority="1632" operator="greaterThanOrEqual">
      <formula>0</formula>
    </cfRule>
  </conditionalFormatting>
  <conditionalFormatting sqref="X64">
    <cfRule type="cellIs" dxfId="16530" priority="1631" operator="lessThan">
      <formula>0</formula>
    </cfRule>
  </conditionalFormatting>
  <conditionalFormatting sqref="X55">
    <cfRule type="cellIs" dxfId="16529" priority="1630" operator="greaterThanOrEqual">
      <formula>0</formula>
    </cfRule>
  </conditionalFormatting>
  <conditionalFormatting sqref="X55">
    <cfRule type="cellIs" dxfId="16528" priority="1629" operator="lessThan">
      <formula>0</formula>
    </cfRule>
  </conditionalFormatting>
  <conditionalFormatting sqref="X65">
    <cfRule type="cellIs" dxfId="16527" priority="1628" operator="greaterThanOrEqual">
      <formula>0</formula>
    </cfRule>
  </conditionalFormatting>
  <conditionalFormatting sqref="X65">
    <cfRule type="cellIs" dxfId="16526" priority="1627" operator="lessThan">
      <formula>0</formula>
    </cfRule>
  </conditionalFormatting>
  <conditionalFormatting sqref="Y15:Y16">
    <cfRule type="cellIs" dxfId="16525" priority="1625" operator="greaterThan">
      <formula>0</formula>
    </cfRule>
    <cfRule type="cellIs" dxfId="16524" priority="1626" operator="lessThanOrEqual">
      <formula>0</formula>
    </cfRule>
  </conditionalFormatting>
  <conditionalFormatting sqref="Y18:Y19">
    <cfRule type="cellIs" dxfId="16523" priority="1623" operator="greaterThan">
      <formula>0</formula>
    </cfRule>
    <cfRule type="cellIs" dxfId="16522" priority="1624" operator="lessThanOrEqual">
      <formula>0</formula>
    </cfRule>
  </conditionalFormatting>
  <conditionalFormatting sqref="Y21:Y22">
    <cfRule type="cellIs" dxfId="16521" priority="1621" operator="greaterThan">
      <formula>0</formula>
    </cfRule>
    <cfRule type="cellIs" dxfId="16520" priority="1622" operator="lessThanOrEqual">
      <formula>0</formula>
    </cfRule>
  </conditionalFormatting>
  <conditionalFormatting sqref="Y28:Y29">
    <cfRule type="cellIs" dxfId="16519" priority="1619" operator="greaterThan">
      <formula>0</formula>
    </cfRule>
    <cfRule type="cellIs" dxfId="16518" priority="1620" operator="lessThanOrEqual">
      <formula>0</formula>
    </cfRule>
  </conditionalFormatting>
  <conditionalFormatting sqref="Y31:Y32">
    <cfRule type="cellIs" dxfId="16517" priority="1617" operator="greaterThan">
      <formula>0</formula>
    </cfRule>
    <cfRule type="cellIs" dxfId="16516" priority="1618" operator="lessThanOrEqual">
      <formula>0</formula>
    </cfRule>
  </conditionalFormatting>
  <conditionalFormatting sqref="Y34:Y35">
    <cfRule type="cellIs" dxfId="16515" priority="1615" operator="greaterThan">
      <formula>0</formula>
    </cfRule>
    <cfRule type="cellIs" dxfId="16514" priority="1616" operator="lessThanOrEqual">
      <formula>0</formula>
    </cfRule>
  </conditionalFormatting>
  <conditionalFormatting sqref="Y37:Y38">
    <cfRule type="cellIs" dxfId="16513" priority="1613" operator="greaterThan">
      <formula>0</formula>
    </cfRule>
    <cfRule type="cellIs" dxfId="16512" priority="1614" operator="lessThanOrEqual">
      <formula>0</formula>
    </cfRule>
  </conditionalFormatting>
  <conditionalFormatting sqref="Y41:Y42">
    <cfRule type="cellIs" dxfId="16511" priority="1611" operator="greaterThan">
      <formula>0</formula>
    </cfRule>
    <cfRule type="cellIs" dxfId="16510" priority="1612" operator="lessThanOrEqual">
      <formula>0</formula>
    </cfRule>
  </conditionalFormatting>
  <conditionalFormatting sqref="Y44:Y45">
    <cfRule type="cellIs" dxfId="16509" priority="1609" operator="greaterThan">
      <formula>0</formula>
    </cfRule>
    <cfRule type="cellIs" dxfId="16508" priority="1610" operator="lessThanOrEqual">
      <formula>0</formula>
    </cfRule>
  </conditionalFormatting>
  <conditionalFormatting sqref="Y47:Y48">
    <cfRule type="cellIs" dxfId="16507" priority="1607" operator="greaterThan">
      <formula>0</formula>
    </cfRule>
    <cfRule type="cellIs" dxfId="16506" priority="1608" operator="lessThanOrEqual">
      <formula>0</formula>
    </cfRule>
  </conditionalFormatting>
  <conditionalFormatting sqref="Y52:Y53">
    <cfRule type="cellIs" dxfId="16505" priority="1605" operator="greaterThan">
      <formula>0</formula>
    </cfRule>
    <cfRule type="cellIs" dxfId="16504" priority="1606" operator="lessThanOrEqual">
      <formula>0</formula>
    </cfRule>
  </conditionalFormatting>
  <conditionalFormatting sqref="Y56:Y57">
    <cfRule type="cellIs" dxfId="16503" priority="1603" operator="greaterThan">
      <formula>0</formula>
    </cfRule>
    <cfRule type="cellIs" dxfId="16502" priority="1604" operator="lessThanOrEqual">
      <formula>0</formula>
    </cfRule>
  </conditionalFormatting>
  <conditionalFormatting sqref="Y59:Y60">
    <cfRule type="cellIs" dxfId="16501" priority="1601" operator="greaterThan">
      <formula>0</formula>
    </cfRule>
    <cfRule type="cellIs" dxfId="16500" priority="1602" operator="lessThanOrEqual">
      <formula>0</formula>
    </cfRule>
  </conditionalFormatting>
  <conditionalFormatting sqref="Y62:Y63">
    <cfRule type="cellIs" dxfId="16499" priority="1599" operator="greaterThan">
      <formula>0</formula>
    </cfRule>
    <cfRule type="cellIs" dxfId="16498" priority="1600" operator="lessThanOrEqual">
      <formula>0</formula>
    </cfRule>
  </conditionalFormatting>
  <conditionalFormatting sqref="Y24">
    <cfRule type="cellIs" dxfId="16497" priority="1598" operator="greaterThanOrEqual">
      <formula>0</formula>
    </cfRule>
  </conditionalFormatting>
  <conditionalFormatting sqref="Y24">
    <cfRule type="cellIs" dxfId="16496" priority="1597" operator="lessThan">
      <formula>0</formula>
    </cfRule>
  </conditionalFormatting>
  <conditionalFormatting sqref="Y25">
    <cfRule type="cellIs" dxfId="16495" priority="1596" operator="greaterThanOrEqual">
      <formula>0</formula>
    </cfRule>
  </conditionalFormatting>
  <conditionalFormatting sqref="Y25">
    <cfRule type="cellIs" dxfId="16494" priority="1595" operator="lessThan">
      <formula>0</formula>
    </cfRule>
  </conditionalFormatting>
  <conditionalFormatting sqref="Y27">
    <cfRule type="cellIs" dxfId="16493" priority="1594" operator="greaterThanOrEqual">
      <formula>0</formula>
    </cfRule>
  </conditionalFormatting>
  <conditionalFormatting sqref="Y27">
    <cfRule type="cellIs" dxfId="16492" priority="1593" operator="lessThan">
      <formula>0</formula>
    </cfRule>
  </conditionalFormatting>
  <conditionalFormatting sqref="Y40">
    <cfRule type="cellIs" dxfId="16491" priority="1592" operator="greaterThanOrEqual">
      <formula>0</formula>
    </cfRule>
  </conditionalFormatting>
  <conditionalFormatting sqref="Y40">
    <cfRule type="cellIs" dxfId="16490" priority="1591" operator="lessThan">
      <formula>0</formula>
    </cfRule>
  </conditionalFormatting>
  <conditionalFormatting sqref="Y43">
    <cfRule type="cellIs" dxfId="16489" priority="1590" operator="greaterThanOrEqual">
      <formula>0</formula>
    </cfRule>
  </conditionalFormatting>
  <conditionalFormatting sqref="Y43">
    <cfRule type="cellIs" dxfId="16488" priority="1589" operator="lessThan">
      <formula>0</formula>
    </cfRule>
  </conditionalFormatting>
  <conditionalFormatting sqref="Y46">
    <cfRule type="cellIs" dxfId="16487" priority="1588" operator="greaterThanOrEqual">
      <formula>0</formula>
    </cfRule>
  </conditionalFormatting>
  <conditionalFormatting sqref="Y46">
    <cfRule type="cellIs" dxfId="16486" priority="1587" operator="lessThan">
      <formula>0</formula>
    </cfRule>
  </conditionalFormatting>
  <conditionalFormatting sqref="Y49">
    <cfRule type="cellIs" dxfId="16485" priority="1586" operator="greaterThanOrEqual">
      <formula>0</formula>
    </cfRule>
  </conditionalFormatting>
  <conditionalFormatting sqref="Y49">
    <cfRule type="cellIs" dxfId="16484" priority="1585" operator="lessThan">
      <formula>0</formula>
    </cfRule>
  </conditionalFormatting>
  <conditionalFormatting sqref="Y50">
    <cfRule type="cellIs" dxfId="16483" priority="1584" operator="greaterThanOrEqual">
      <formula>0</formula>
    </cfRule>
  </conditionalFormatting>
  <conditionalFormatting sqref="Y50">
    <cfRule type="cellIs" dxfId="16482" priority="1583" operator="lessThan">
      <formula>0</formula>
    </cfRule>
  </conditionalFormatting>
  <conditionalFormatting sqref="U106">
    <cfRule type="cellIs" dxfId="16481" priority="1350" operator="greaterThanOrEqual">
      <formula>0</formula>
    </cfRule>
  </conditionalFormatting>
  <conditionalFormatting sqref="U106">
    <cfRule type="cellIs" dxfId="16480" priority="1349" operator="lessThan">
      <formula>0</formula>
    </cfRule>
  </conditionalFormatting>
  <conditionalFormatting sqref="Y58">
    <cfRule type="cellIs" dxfId="16479" priority="1582" operator="greaterThanOrEqual">
      <formula>0</formula>
    </cfRule>
  </conditionalFormatting>
  <conditionalFormatting sqref="Y58">
    <cfRule type="cellIs" dxfId="16478" priority="1581" operator="lessThan">
      <formula>0</formula>
    </cfRule>
  </conditionalFormatting>
  <conditionalFormatting sqref="Y61">
    <cfRule type="cellIs" dxfId="16477" priority="1580" operator="greaterThanOrEqual">
      <formula>0</formula>
    </cfRule>
  </conditionalFormatting>
  <conditionalFormatting sqref="Y61">
    <cfRule type="cellIs" dxfId="16476" priority="1579" operator="lessThan">
      <formula>0</formula>
    </cfRule>
  </conditionalFormatting>
  <conditionalFormatting sqref="Y64">
    <cfRule type="cellIs" dxfId="16475" priority="1578" operator="greaterThanOrEqual">
      <formula>0</formula>
    </cfRule>
  </conditionalFormatting>
  <conditionalFormatting sqref="Y64">
    <cfRule type="cellIs" dxfId="16474" priority="1577" operator="lessThan">
      <formula>0</formula>
    </cfRule>
  </conditionalFormatting>
  <conditionalFormatting sqref="Y55">
    <cfRule type="cellIs" dxfId="16473" priority="1575" operator="lessThan">
      <formula>0</formula>
    </cfRule>
  </conditionalFormatting>
  <conditionalFormatting sqref="Y55">
    <cfRule type="cellIs" dxfId="16472" priority="1576" operator="greaterThanOrEqual">
      <formula>0</formula>
    </cfRule>
  </conditionalFormatting>
  <conditionalFormatting sqref="Y65">
    <cfRule type="cellIs" dxfId="16471" priority="1573" operator="lessThan">
      <formula>0</formula>
    </cfRule>
  </conditionalFormatting>
  <conditionalFormatting sqref="Y65">
    <cfRule type="cellIs" dxfId="16470" priority="1574" operator="greaterThanOrEqual">
      <formula>0</formula>
    </cfRule>
  </conditionalFormatting>
  <conditionalFormatting sqref="X69">
    <cfRule type="cellIs" dxfId="16469" priority="1571" operator="lessThan">
      <formula>0</formula>
    </cfRule>
    <cfRule type="cellIs" dxfId="16468" priority="1572" operator="greaterThanOrEqual">
      <formula>0</formula>
    </cfRule>
  </conditionalFormatting>
  <conditionalFormatting sqref="Y69">
    <cfRule type="cellIs" dxfId="16467" priority="1569" operator="lessThan">
      <formula>0</formula>
    </cfRule>
    <cfRule type="cellIs" dxfId="16466" priority="1570" operator="greaterThanOrEqual">
      <formula>0</formula>
    </cfRule>
  </conditionalFormatting>
  <conditionalFormatting sqref="Y71">
    <cfRule type="cellIs" dxfId="16465" priority="1567" operator="lessThan">
      <formula>0</formula>
    </cfRule>
    <cfRule type="cellIs" dxfId="16464" priority="1568" operator="greaterThanOrEqual">
      <formula>0</formula>
    </cfRule>
  </conditionalFormatting>
  <conditionalFormatting sqref="Y122:Y123">
    <cfRule type="cellIs" dxfId="16463" priority="1239" operator="greaterThan">
      <formula>0</formula>
    </cfRule>
    <cfRule type="cellIs" dxfId="16462" priority="1240" operator="lessThanOrEqual">
      <formula>0</formula>
    </cfRule>
  </conditionalFormatting>
  <conditionalFormatting sqref="Y118">
    <cfRule type="cellIs" dxfId="16461" priority="1214" operator="greaterThanOrEqual">
      <formula>0</formula>
    </cfRule>
  </conditionalFormatting>
  <conditionalFormatting sqref="Y118">
    <cfRule type="cellIs" dxfId="16460" priority="1213" operator="lessThan">
      <formula>0</formula>
    </cfRule>
  </conditionalFormatting>
  <conditionalFormatting sqref="Y128">
    <cfRule type="cellIs" dxfId="16459" priority="1212" operator="greaterThanOrEqual">
      <formula>0</formula>
    </cfRule>
  </conditionalFormatting>
  <conditionalFormatting sqref="Y128">
    <cfRule type="cellIs" dxfId="16458" priority="1211" operator="lessThan">
      <formula>0</formula>
    </cfRule>
  </conditionalFormatting>
  <conditionalFormatting sqref="Y117">
    <cfRule type="cellIs" dxfId="16457" priority="1208" operator="greaterThanOrEqual">
      <formula>0</formula>
    </cfRule>
  </conditionalFormatting>
  <conditionalFormatting sqref="Y117">
    <cfRule type="cellIs" dxfId="16456" priority="1207" operator="lessThan">
      <formula>0</formula>
    </cfRule>
  </conditionalFormatting>
  <conditionalFormatting sqref="X75:X76 X78:X79 X81:X82 X84:X85 X91:X92 X94:X95 X97:X98 X100:X101 X110:X111">
    <cfRule type="cellIs" dxfId="16455" priority="1317" operator="lessThan">
      <formula>0</formula>
    </cfRule>
    <cfRule type="cellIs" dxfId="16454" priority="1318" operator="greaterThanOrEqual">
      <formula>0</formula>
    </cfRule>
  </conditionalFormatting>
  <conditionalFormatting sqref="V94:V95">
    <cfRule type="cellIs" dxfId="16453" priority="1425" operator="greaterThan">
      <formula>0</formula>
    </cfRule>
    <cfRule type="cellIs" dxfId="16452" priority="1426" operator="lessThanOrEqual">
      <formula>0</formula>
    </cfRule>
  </conditionalFormatting>
  <conditionalFormatting sqref="X106">
    <cfRule type="cellIs" dxfId="16451" priority="1282" operator="greaterThanOrEqual">
      <formula>0</formula>
    </cfRule>
  </conditionalFormatting>
  <conditionalFormatting sqref="X106">
    <cfRule type="cellIs" dxfId="16450" priority="1281" operator="lessThan">
      <formula>0</formula>
    </cfRule>
  </conditionalFormatting>
  <conditionalFormatting sqref="Y112">
    <cfRule type="cellIs" dxfId="16449" priority="1224" operator="greaterThanOrEqual">
      <formula>0</formula>
    </cfRule>
  </conditionalFormatting>
  <conditionalFormatting sqref="Y112">
    <cfRule type="cellIs" dxfId="16448" priority="1223" operator="lessThan">
      <formula>0</formula>
    </cfRule>
  </conditionalFormatting>
  <conditionalFormatting sqref="X113">
    <cfRule type="cellIs" dxfId="16447" priority="1276" operator="greaterThanOrEqual">
      <formula>0</formula>
    </cfRule>
  </conditionalFormatting>
  <conditionalFormatting sqref="X113">
    <cfRule type="cellIs" dxfId="16446" priority="1275" operator="lessThan">
      <formula>0</formula>
    </cfRule>
  </conditionalFormatting>
  <conditionalFormatting sqref="Y124">
    <cfRule type="cellIs" dxfId="16445" priority="1217" operator="lessThan">
      <formula>0</formula>
    </cfRule>
  </conditionalFormatting>
  <conditionalFormatting sqref="Y124">
    <cfRule type="cellIs" dxfId="16444" priority="1218" operator="greaterThanOrEqual">
      <formula>0</formula>
    </cfRule>
  </conditionalFormatting>
  <conditionalFormatting sqref="Q54">
    <cfRule type="cellIs" dxfId="16443" priority="1566" operator="greaterThanOrEqual">
      <formula>0</formula>
    </cfRule>
  </conditionalFormatting>
  <conditionalFormatting sqref="Q54">
    <cfRule type="cellIs" dxfId="16442" priority="1565" operator="lessThan">
      <formula>0</formula>
    </cfRule>
  </conditionalFormatting>
  <conditionalFormatting sqref="V54">
    <cfRule type="cellIs" dxfId="16441" priority="1563" operator="greaterThan">
      <formula>0</formula>
    </cfRule>
    <cfRule type="cellIs" dxfId="16440" priority="1564" operator="lessThanOrEqual">
      <formula>0</formula>
    </cfRule>
  </conditionalFormatting>
  <conditionalFormatting sqref="U54">
    <cfRule type="cellIs" dxfId="16439" priority="1562" operator="greaterThanOrEqual">
      <formula>0</formula>
    </cfRule>
  </conditionalFormatting>
  <conditionalFormatting sqref="U54">
    <cfRule type="cellIs" dxfId="16438" priority="1561" operator="lessThan">
      <formula>0</formula>
    </cfRule>
  </conditionalFormatting>
  <conditionalFormatting sqref="R54">
    <cfRule type="cellIs" dxfId="16437" priority="1559" operator="greaterThan">
      <formula>0</formula>
    </cfRule>
    <cfRule type="cellIs" dxfId="16436" priority="1560" operator="lessThanOrEqual">
      <formula>0</formula>
    </cfRule>
  </conditionalFormatting>
  <conditionalFormatting sqref="X54">
    <cfRule type="cellIs" dxfId="16435" priority="1558" operator="greaterThanOrEqual">
      <formula>0</formula>
    </cfRule>
  </conditionalFormatting>
  <conditionalFormatting sqref="X54">
    <cfRule type="cellIs" dxfId="16434" priority="1557" operator="lessThan">
      <formula>0</formula>
    </cfRule>
  </conditionalFormatting>
  <conditionalFormatting sqref="Y54">
    <cfRule type="cellIs" dxfId="16433" priority="1556" operator="greaterThanOrEqual">
      <formula>0</formula>
    </cfRule>
  </conditionalFormatting>
  <conditionalFormatting sqref="Y54">
    <cfRule type="cellIs" dxfId="16432" priority="1555" operator="lessThan">
      <formula>0</formula>
    </cfRule>
  </conditionalFormatting>
  <conditionalFormatting sqref="Y127">
    <cfRule type="cellIs" dxfId="16431" priority="1216" operator="greaterThanOrEqual">
      <formula>0</formula>
    </cfRule>
  </conditionalFormatting>
  <conditionalFormatting sqref="Y127">
    <cfRule type="cellIs" dxfId="16430" priority="1215" operator="lessThan">
      <formula>0</formula>
    </cfRule>
  </conditionalFormatting>
  <conditionalFormatting sqref="R75:R76">
    <cfRule type="cellIs" dxfId="16429" priority="1553" operator="greaterThan">
      <formula>0</formula>
    </cfRule>
    <cfRule type="cellIs" dxfId="16428" priority="1554" operator="lessThanOrEqual">
      <formula>0</formula>
    </cfRule>
  </conditionalFormatting>
  <conditionalFormatting sqref="R78:R79">
    <cfRule type="cellIs" dxfId="16427" priority="1551" operator="greaterThan">
      <formula>0</formula>
    </cfRule>
    <cfRule type="cellIs" dxfId="16426" priority="1552" operator="lessThanOrEqual">
      <formula>0</formula>
    </cfRule>
  </conditionalFormatting>
  <conditionalFormatting sqref="R81:R82">
    <cfRule type="cellIs" dxfId="16425" priority="1549" operator="greaterThan">
      <formula>0</formula>
    </cfRule>
    <cfRule type="cellIs" dxfId="16424" priority="1550" operator="lessThanOrEqual">
      <formula>0</formula>
    </cfRule>
  </conditionalFormatting>
  <conditionalFormatting sqref="R91:R92">
    <cfRule type="cellIs" dxfId="16423" priority="1547" operator="greaterThan">
      <formula>0</formula>
    </cfRule>
    <cfRule type="cellIs" dxfId="16422" priority="1548" operator="lessThanOrEqual">
      <formula>0</formula>
    </cfRule>
  </conditionalFormatting>
  <conditionalFormatting sqref="R84:R85">
    <cfRule type="cellIs" dxfId="16421" priority="1545" operator="greaterThan">
      <formula>0</formula>
    </cfRule>
    <cfRule type="cellIs" dxfId="16420" priority="1546" operator="lessThanOrEqual">
      <formula>0</formula>
    </cfRule>
  </conditionalFormatting>
  <conditionalFormatting sqref="R94:R95">
    <cfRule type="cellIs" dxfId="16419" priority="1543" operator="greaterThan">
      <formula>0</formula>
    </cfRule>
    <cfRule type="cellIs" dxfId="16418" priority="1544" operator="lessThanOrEqual">
      <formula>0</formula>
    </cfRule>
  </conditionalFormatting>
  <conditionalFormatting sqref="R97:R98">
    <cfRule type="cellIs" dxfId="16417" priority="1541" operator="greaterThan">
      <formula>0</formula>
    </cfRule>
    <cfRule type="cellIs" dxfId="16416" priority="1542" operator="lessThanOrEqual">
      <formula>0</formula>
    </cfRule>
  </conditionalFormatting>
  <conditionalFormatting sqref="R100:R101">
    <cfRule type="cellIs" dxfId="16415" priority="1539" operator="greaterThan">
      <formula>0</formula>
    </cfRule>
    <cfRule type="cellIs" dxfId="16414" priority="1540" operator="lessThanOrEqual">
      <formula>0</formula>
    </cfRule>
  </conditionalFormatting>
  <conditionalFormatting sqref="R110:R111">
    <cfRule type="cellIs" dxfId="16413" priority="1537" operator="greaterThan">
      <formula>0</formula>
    </cfRule>
    <cfRule type="cellIs" dxfId="16412" priority="1538" operator="lessThanOrEqual">
      <formula>0</formula>
    </cfRule>
  </conditionalFormatting>
  <conditionalFormatting sqref="R125:R126">
    <cfRule type="cellIs" dxfId="16411" priority="1535" operator="greaterThan">
      <formula>0</formula>
    </cfRule>
    <cfRule type="cellIs" dxfId="16410" priority="1536" operator="lessThanOrEqual">
      <formula>0</formula>
    </cfRule>
  </conditionalFormatting>
  <conditionalFormatting sqref="R115:R116">
    <cfRule type="cellIs" dxfId="16409" priority="1533" operator="greaterThan">
      <formula>0</formula>
    </cfRule>
    <cfRule type="cellIs" dxfId="16408" priority="1534" operator="lessThanOrEqual">
      <formula>0</formula>
    </cfRule>
  </conditionalFormatting>
  <conditionalFormatting sqref="R77">
    <cfRule type="cellIs" dxfId="16407" priority="1531" operator="greaterThan">
      <formula>0</formula>
    </cfRule>
    <cfRule type="cellIs" dxfId="16406" priority="1532" operator="lessThanOrEqual">
      <formula>0</formula>
    </cfRule>
  </conditionalFormatting>
  <conditionalFormatting sqref="R80">
    <cfRule type="cellIs" dxfId="16405" priority="1529" operator="greaterThan">
      <formula>0</formula>
    </cfRule>
    <cfRule type="cellIs" dxfId="16404" priority="1530" operator="lessThanOrEqual">
      <formula>0</formula>
    </cfRule>
  </conditionalFormatting>
  <conditionalFormatting sqref="R83">
    <cfRule type="cellIs" dxfId="16403" priority="1527" operator="greaterThan">
      <formula>0</formula>
    </cfRule>
    <cfRule type="cellIs" dxfId="16402" priority="1528" operator="lessThanOrEqual">
      <formula>0</formula>
    </cfRule>
  </conditionalFormatting>
  <conditionalFormatting sqref="R93">
    <cfRule type="cellIs" dxfId="16401" priority="1525" operator="greaterThan">
      <formula>0</formula>
    </cfRule>
    <cfRule type="cellIs" dxfId="16400" priority="1526" operator="lessThanOrEqual">
      <formula>0</formula>
    </cfRule>
  </conditionalFormatting>
  <conditionalFormatting sqref="R86">
    <cfRule type="cellIs" dxfId="16399" priority="1523" operator="greaterThan">
      <formula>0</formula>
    </cfRule>
    <cfRule type="cellIs" dxfId="16398" priority="1524" operator="lessThanOrEqual">
      <formula>0</formula>
    </cfRule>
  </conditionalFormatting>
  <conditionalFormatting sqref="R96">
    <cfRule type="cellIs" dxfId="16397" priority="1521" operator="greaterThan">
      <formula>0</formula>
    </cfRule>
    <cfRule type="cellIs" dxfId="16396" priority="1522" operator="lessThanOrEqual">
      <formula>0</formula>
    </cfRule>
  </conditionalFormatting>
  <conditionalFormatting sqref="R99">
    <cfRule type="cellIs" dxfId="16395" priority="1519" operator="greaterThan">
      <formula>0</formula>
    </cfRule>
    <cfRule type="cellIs" dxfId="16394" priority="1520" operator="lessThanOrEqual">
      <formula>0</formula>
    </cfRule>
  </conditionalFormatting>
  <conditionalFormatting sqref="R102">
    <cfRule type="cellIs" dxfId="16393" priority="1517" operator="greaterThan">
      <formula>0</formula>
    </cfRule>
    <cfRule type="cellIs" dxfId="16392" priority="1518" operator="lessThanOrEqual">
      <formula>0</formula>
    </cfRule>
  </conditionalFormatting>
  <conditionalFormatting sqref="R88">
    <cfRule type="cellIs" dxfId="16391" priority="1515" operator="greaterThan">
      <formula>0</formula>
    </cfRule>
    <cfRule type="cellIs" dxfId="16390" priority="1516" operator="lessThanOrEqual">
      <formula>0</formula>
    </cfRule>
  </conditionalFormatting>
  <conditionalFormatting sqref="R128">
    <cfRule type="cellIs" dxfId="16389" priority="1513" operator="greaterThan">
      <formula>0</formula>
    </cfRule>
    <cfRule type="cellIs" dxfId="16388" priority="1514" operator="lessThanOrEqual">
      <formula>0</formula>
    </cfRule>
  </conditionalFormatting>
  <conditionalFormatting sqref="Q75:Q76 Q78:Q79 Q81:Q82 Q84:Q85 Q91:Q92 Q94:Q95 Q97:Q98 Q100:Q101 Q110:Q111 Q115:Q116">
    <cfRule type="cellIs" dxfId="16387" priority="1511" operator="lessThan">
      <formula>0</formula>
    </cfRule>
    <cfRule type="cellIs" dxfId="16386" priority="1512" operator="greaterThanOrEqual">
      <formula>0</formula>
    </cfRule>
  </conditionalFormatting>
  <conditionalFormatting sqref="Q77 Q80 Q83 Q86 Q88 Q93 Q96 Q99 Q102">
    <cfRule type="cellIs" dxfId="16385" priority="1510" operator="greaterThanOrEqual">
      <formula>0</formula>
    </cfRule>
  </conditionalFormatting>
  <conditionalFormatting sqref="Q77 Q80 Q83 Q86 Q88 Q93 Q96 Q99 Q102">
    <cfRule type="cellIs" dxfId="16384" priority="1509" operator="lessThan">
      <formula>0</formula>
    </cfRule>
  </conditionalFormatting>
  <conditionalFormatting sqref="R129">
    <cfRule type="cellIs" dxfId="16383" priority="1507" operator="greaterThan">
      <formula>0</formula>
    </cfRule>
    <cfRule type="cellIs" dxfId="16382" priority="1508" operator="lessThanOrEqual">
      <formula>0</formula>
    </cfRule>
  </conditionalFormatting>
  <conditionalFormatting sqref="Q129">
    <cfRule type="cellIs" dxfId="16381" priority="1505" operator="greaterThanOrEqual">
      <formula>0</formula>
    </cfRule>
    <cfRule type="cellIs" dxfId="16380" priority="1506" operator="lessThan">
      <formula>0</formula>
    </cfRule>
  </conditionalFormatting>
  <conditionalFormatting sqref="Q124">
    <cfRule type="cellIs" dxfId="16379" priority="1486" operator="greaterThanOrEqual">
      <formula>0</formula>
    </cfRule>
  </conditionalFormatting>
  <conditionalFormatting sqref="Q124">
    <cfRule type="cellIs" dxfId="16378" priority="1485" operator="lessThan">
      <formula>0</formula>
    </cfRule>
  </conditionalFormatting>
  <conditionalFormatting sqref="R106">
    <cfRule type="cellIs" dxfId="16377" priority="1495" operator="greaterThan">
      <formula>0</formula>
    </cfRule>
    <cfRule type="cellIs" dxfId="16376" priority="1496" operator="lessThanOrEqual">
      <formula>0</formula>
    </cfRule>
  </conditionalFormatting>
  <conditionalFormatting sqref="R109">
    <cfRule type="cellIs" dxfId="16375" priority="1493" operator="greaterThan">
      <formula>0</formula>
    </cfRule>
    <cfRule type="cellIs" dxfId="16374" priority="1494" operator="lessThanOrEqual">
      <formula>0</formula>
    </cfRule>
  </conditionalFormatting>
  <conditionalFormatting sqref="R112">
    <cfRule type="cellIs" dxfId="16373" priority="1491" operator="greaterThan">
      <formula>0</formula>
    </cfRule>
    <cfRule type="cellIs" dxfId="16372" priority="1492" operator="lessThanOrEqual">
      <formula>0</formula>
    </cfRule>
  </conditionalFormatting>
  <conditionalFormatting sqref="R90">
    <cfRule type="cellIs" dxfId="16371" priority="1503" operator="greaterThan">
      <formula>0</formula>
    </cfRule>
    <cfRule type="cellIs" dxfId="16370" priority="1504" operator="lessThanOrEqual">
      <formula>0</formula>
    </cfRule>
  </conditionalFormatting>
  <conditionalFormatting sqref="R103">
    <cfRule type="cellIs" dxfId="16369" priority="1501" operator="greaterThan">
      <formula>0</formula>
    </cfRule>
    <cfRule type="cellIs" dxfId="16368" priority="1502" operator="lessThanOrEqual">
      <formula>0</formula>
    </cfRule>
  </conditionalFormatting>
  <conditionalFormatting sqref="R104:R105 R107:R108">
    <cfRule type="cellIs" dxfId="16367" priority="1499" operator="greaterThan">
      <formula>0</formula>
    </cfRule>
    <cfRule type="cellIs" dxfId="16366" priority="1500" operator="lessThanOrEqual">
      <formula>0</formula>
    </cfRule>
  </conditionalFormatting>
  <conditionalFormatting sqref="R119:R120 R122:R123">
    <cfRule type="cellIs" dxfId="16365" priority="1497" operator="greaterThan">
      <formula>0</formula>
    </cfRule>
    <cfRule type="cellIs" dxfId="16364" priority="1498" operator="lessThanOrEqual">
      <formula>0</formula>
    </cfRule>
  </conditionalFormatting>
  <conditionalFormatting sqref="R121">
    <cfRule type="cellIs" dxfId="16363" priority="1489" operator="greaterThan">
      <formula>0</formula>
    </cfRule>
    <cfRule type="cellIs" dxfId="16362" priority="1490" operator="lessThanOrEqual">
      <formula>0</formula>
    </cfRule>
  </conditionalFormatting>
  <conditionalFormatting sqref="R124">
    <cfRule type="cellIs" dxfId="16361" priority="1487" operator="greaterThan">
      <formula>0</formula>
    </cfRule>
    <cfRule type="cellIs" dxfId="16360" priority="1488" operator="lessThanOrEqual">
      <formula>0</formula>
    </cfRule>
  </conditionalFormatting>
  <conditionalFormatting sqref="R127">
    <cfRule type="cellIs" dxfId="16359" priority="1483" operator="greaterThan">
      <formula>0</formula>
    </cfRule>
    <cfRule type="cellIs" dxfId="16358" priority="1484" operator="lessThanOrEqual">
      <formula>0</formula>
    </cfRule>
  </conditionalFormatting>
  <conditionalFormatting sqref="R87">
    <cfRule type="cellIs" dxfId="16357" priority="1481" operator="greaterThan">
      <formula>0</formula>
    </cfRule>
    <cfRule type="cellIs" dxfId="16356" priority="1482" operator="lessThanOrEqual">
      <formula>0</formula>
    </cfRule>
  </conditionalFormatting>
  <conditionalFormatting sqref="R118">
    <cfRule type="cellIs" dxfId="16355" priority="1479" operator="greaterThan">
      <formula>0</formula>
    </cfRule>
    <cfRule type="cellIs" dxfId="16354" priority="1480" operator="lessThanOrEqual">
      <formula>0</formula>
    </cfRule>
  </conditionalFormatting>
  <conditionalFormatting sqref="Q118">
    <cfRule type="cellIs" dxfId="16353" priority="1478" operator="greaterThanOrEqual">
      <formula>0</formula>
    </cfRule>
  </conditionalFormatting>
  <conditionalFormatting sqref="Q118">
    <cfRule type="cellIs" dxfId="16352" priority="1477" operator="lessThan">
      <formula>0</formula>
    </cfRule>
  </conditionalFormatting>
  <conditionalFormatting sqref="R114">
    <cfRule type="cellIs" dxfId="16351" priority="1475" operator="greaterThan">
      <formula>0</formula>
    </cfRule>
    <cfRule type="cellIs" dxfId="16350" priority="1476" operator="lessThanOrEqual">
      <formula>0</formula>
    </cfRule>
  </conditionalFormatting>
  <conditionalFormatting sqref="Q114">
    <cfRule type="cellIs" dxfId="16349" priority="1474" operator="greaterThanOrEqual">
      <formula>0</formula>
    </cfRule>
  </conditionalFormatting>
  <conditionalFormatting sqref="Q114">
    <cfRule type="cellIs" dxfId="16348" priority="1473" operator="lessThan">
      <formula>0</formula>
    </cfRule>
  </conditionalFormatting>
  <conditionalFormatting sqref="Q87">
    <cfRule type="cellIs" dxfId="16347" priority="1472" operator="greaterThanOrEqual">
      <formula>0</formula>
    </cfRule>
  </conditionalFormatting>
  <conditionalFormatting sqref="Q87">
    <cfRule type="cellIs" dxfId="16346" priority="1471" operator="lessThan">
      <formula>0</formula>
    </cfRule>
  </conditionalFormatting>
  <conditionalFormatting sqref="Q90">
    <cfRule type="cellIs" dxfId="16345" priority="1470" operator="greaterThanOrEqual">
      <formula>0</formula>
    </cfRule>
  </conditionalFormatting>
  <conditionalFormatting sqref="Q90">
    <cfRule type="cellIs" dxfId="16344" priority="1469" operator="lessThan">
      <formula>0</formula>
    </cfRule>
  </conditionalFormatting>
  <conditionalFormatting sqref="Q103">
    <cfRule type="cellIs" dxfId="16343" priority="1468" operator="greaterThanOrEqual">
      <formula>0</formula>
    </cfRule>
  </conditionalFormatting>
  <conditionalFormatting sqref="Q103">
    <cfRule type="cellIs" dxfId="16342" priority="1467" operator="lessThan">
      <formula>0</formula>
    </cfRule>
  </conditionalFormatting>
  <conditionalFormatting sqref="Q106">
    <cfRule type="cellIs" dxfId="16341" priority="1466" operator="greaterThanOrEqual">
      <formula>0</formula>
    </cfRule>
  </conditionalFormatting>
  <conditionalFormatting sqref="Q106">
    <cfRule type="cellIs" dxfId="16340" priority="1465" operator="lessThan">
      <formula>0</formula>
    </cfRule>
  </conditionalFormatting>
  <conditionalFormatting sqref="Q109">
    <cfRule type="cellIs" dxfId="16339" priority="1464" operator="greaterThanOrEqual">
      <formula>0</formula>
    </cfRule>
  </conditionalFormatting>
  <conditionalFormatting sqref="Q109">
    <cfRule type="cellIs" dxfId="16338" priority="1463" operator="lessThan">
      <formula>0</formula>
    </cfRule>
  </conditionalFormatting>
  <conditionalFormatting sqref="Q112">
    <cfRule type="cellIs" dxfId="16337" priority="1462" operator="greaterThanOrEqual">
      <formula>0</formula>
    </cfRule>
  </conditionalFormatting>
  <conditionalFormatting sqref="Q112">
    <cfRule type="cellIs" dxfId="16336" priority="1461" operator="lessThan">
      <formula>0</formula>
    </cfRule>
  </conditionalFormatting>
  <conditionalFormatting sqref="Q113">
    <cfRule type="cellIs" dxfId="16335" priority="1460" operator="greaterThanOrEqual">
      <formula>0</formula>
    </cfRule>
  </conditionalFormatting>
  <conditionalFormatting sqref="Q113">
    <cfRule type="cellIs" dxfId="16334" priority="1459" operator="lessThan">
      <formula>0</formula>
    </cfRule>
  </conditionalFormatting>
  <conditionalFormatting sqref="Q121">
    <cfRule type="cellIs" dxfId="16333" priority="1458" operator="greaterThanOrEqual">
      <formula>0</formula>
    </cfRule>
  </conditionalFormatting>
  <conditionalFormatting sqref="Q121">
    <cfRule type="cellIs" dxfId="16332" priority="1457" operator="lessThan">
      <formula>0</formula>
    </cfRule>
  </conditionalFormatting>
  <conditionalFormatting sqref="Q127">
    <cfRule type="cellIs" dxfId="16331" priority="1456" operator="greaterThanOrEqual">
      <formula>0</formula>
    </cfRule>
  </conditionalFormatting>
  <conditionalFormatting sqref="Q127">
    <cfRule type="cellIs" dxfId="16330" priority="1455" operator="lessThan">
      <formula>0</formula>
    </cfRule>
  </conditionalFormatting>
  <conditionalFormatting sqref="Q128">
    <cfRule type="cellIs" dxfId="16329" priority="1454" operator="greaterThanOrEqual">
      <formula>0</formula>
    </cfRule>
  </conditionalFormatting>
  <conditionalFormatting sqref="Q128">
    <cfRule type="cellIs" dxfId="16328" priority="1453" operator="lessThan">
      <formula>0</formula>
    </cfRule>
  </conditionalFormatting>
  <conditionalFormatting sqref="Q104:Q105">
    <cfRule type="cellIs" dxfId="16327" priority="1451" operator="lessThan">
      <formula>0</formula>
    </cfRule>
    <cfRule type="cellIs" dxfId="16326" priority="1452" operator="greaterThanOrEqual">
      <formula>0</formula>
    </cfRule>
  </conditionalFormatting>
  <conditionalFormatting sqref="Q107:Q108">
    <cfRule type="cellIs" dxfId="16325" priority="1449" operator="lessThan">
      <formula>0</formula>
    </cfRule>
    <cfRule type="cellIs" dxfId="16324" priority="1450" operator="greaterThanOrEqual">
      <formula>0</formula>
    </cfRule>
  </conditionalFormatting>
  <conditionalFormatting sqref="Q119:Q120">
    <cfRule type="cellIs" dxfId="16323" priority="1447" operator="lessThan">
      <formula>0</formula>
    </cfRule>
    <cfRule type="cellIs" dxfId="16322" priority="1448" operator="greaterThanOrEqual">
      <formula>0</formula>
    </cfRule>
  </conditionalFormatting>
  <conditionalFormatting sqref="Q122:Q123">
    <cfRule type="cellIs" dxfId="16321" priority="1445" operator="lessThan">
      <formula>0</formula>
    </cfRule>
    <cfRule type="cellIs" dxfId="16320" priority="1446" operator="greaterThanOrEqual">
      <formula>0</formula>
    </cfRule>
  </conditionalFormatting>
  <conditionalFormatting sqref="Q125:Q126">
    <cfRule type="cellIs" dxfId="16319" priority="1443" operator="lessThan">
      <formula>0</formula>
    </cfRule>
    <cfRule type="cellIs" dxfId="16318" priority="1444" operator="greaterThanOrEqual">
      <formula>0</formula>
    </cfRule>
  </conditionalFormatting>
  <conditionalFormatting sqref="R113">
    <cfRule type="cellIs" dxfId="16317" priority="1441" operator="greaterThan">
      <formula>0</formula>
    </cfRule>
    <cfRule type="cellIs" dxfId="16316" priority="1442" operator="lessThanOrEqual">
      <formula>0</formula>
    </cfRule>
  </conditionalFormatting>
  <conditionalFormatting sqref="Q117">
    <cfRule type="cellIs" dxfId="16315" priority="1440" operator="greaterThanOrEqual">
      <formula>0</formula>
    </cfRule>
  </conditionalFormatting>
  <conditionalFormatting sqref="Q117">
    <cfRule type="cellIs" dxfId="16314" priority="1439" operator="lessThan">
      <formula>0</formula>
    </cfRule>
  </conditionalFormatting>
  <conditionalFormatting sqref="R117">
    <cfRule type="cellIs" dxfId="16313" priority="1437" operator="greaterThan">
      <formula>0</formula>
    </cfRule>
    <cfRule type="cellIs" dxfId="16312" priority="1438" operator="lessThanOrEqual">
      <formula>0</formula>
    </cfRule>
  </conditionalFormatting>
  <conditionalFormatting sqref="V75:V76">
    <cfRule type="cellIs" dxfId="16311" priority="1435" operator="greaterThan">
      <formula>0</formula>
    </cfRule>
    <cfRule type="cellIs" dxfId="16310" priority="1436" operator="lessThanOrEqual">
      <formula>0</formula>
    </cfRule>
  </conditionalFormatting>
  <conditionalFormatting sqref="V78:V79">
    <cfRule type="cellIs" dxfId="16309" priority="1433" operator="greaterThan">
      <formula>0</formula>
    </cfRule>
    <cfRule type="cellIs" dxfId="16308" priority="1434" operator="lessThanOrEqual">
      <formula>0</formula>
    </cfRule>
  </conditionalFormatting>
  <conditionalFormatting sqref="V81:V82">
    <cfRule type="cellIs" dxfId="16307" priority="1431" operator="greaterThan">
      <formula>0</formula>
    </cfRule>
    <cfRule type="cellIs" dxfId="16306" priority="1432" operator="lessThanOrEqual">
      <formula>0</formula>
    </cfRule>
  </conditionalFormatting>
  <conditionalFormatting sqref="V91:V92">
    <cfRule type="cellIs" dxfId="16305" priority="1429" operator="greaterThan">
      <formula>0</formula>
    </cfRule>
    <cfRule type="cellIs" dxfId="16304" priority="1430" operator="lessThanOrEqual">
      <formula>0</formula>
    </cfRule>
  </conditionalFormatting>
  <conditionalFormatting sqref="V84:V85">
    <cfRule type="cellIs" dxfId="16303" priority="1427" operator="greaterThan">
      <formula>0</formula>
    </cfRule>
    <cfRule type="cellIs" dxfId="16302" priority="1428" operator="lessThanOrEqual">
      <formula>0</formula>
    </cfRule>
  </conditionalFormatting>
  <conditionalFormatting sqref="V97:V98">
    <cfRule type="cellIs" dxfId="16301" priority="1423" operator="greaterThan">
      <formula>0</formula>
    </cfRule>
    <cfRule type="cellIs" dxfId="16300" priority="1424" operator="lessThanOrEqual">
      <formula>0</formula>
    </cfRule>
  </conditionalFormatting>
  <conditionalFormatting sqref="V100:V101">
    <cfRule type="cellIs" dxfId="16299" priority="1421" operator="greaterThan">
      <formula>0</formula>
    </cfRule>
    <cfRule type="cellIs" dxfId="16298" priority="1422" operator="lessThanOrEqual">
      <formula>0</formula>
    </cfRule>
  </conditionalFormatting>
  <conditionalFormatting sqref="V110:V111">
    <cfRule type="cellIs" dxfId="16297" priority="1419" operator="greaterThan">
      <formula>0</formula>
    </cfRule>
    <cfRule type="cellIs" dxfId="16296" priority="1420" operator="lessThanOrEqual">
      <formula>0</formula>
    </cfRule>
  </conditionalFormatting>
  <conditionalFormatting sqref="V125:V126">
    <cfRule type="cellIs" dxfId="16295" priority="1417" operator="greaterThan">
      <formula>0</formula>
    </cfRule>
    <cfRule type="cellIs" dxfId="16294" priority="1418" operator="lessThanOrEqual">
      <formula>0</formula>
    </cfRule>
  </conditionalFormatting>
  <conditionalFormatting sqref="V115:V116">
    <cfRule type="cellIs" dxfId="16293" priority="1415" operator="greaterThan">
      <formula>0</formula>
    </cfRule>
    <cfRule type="cellIs" dxfId="16292" priority="1416" operator="lessThanOrEqual">
      <formula>0</formula>
    </cfRule>
  </conditionalFormatting>
  <conditionalFormatting sqref="V77">
    <cfRule type="cellIs" dxfId="16291" priority="1413" operator="greaterThan">
      <formula>0</formula>
    </cfRule>
    <cfRule type="cellIs" dxfId="16290" priority="1414" operator="lessThanOrEqual">
      <formula>0</formula>
    </cfRule>
  </conditionalFormatting>
  <conditionalFormatting sqref="V80">
    <cfRule type="cellIs" dxfId="16289" priority="1411" operator="greaterThan">
      <formula>0</formula>
    </cfRule>
    <cfRule type="cellIs" dxfId="16288" priority="1412" operator="lessThanOrEqual">
      <formula>0</formula>
    </cfRule>
  </conditionalFormatting>
  <conditionalFormatting sqref="V83">
    <cfRule type="cellIs" dxfId="16287" priority="1409" operator="greaterThan">
      <formula>0</formula>
    </cfRule>
    <cfRule type="cellIs" dxfId="16286" priority="1410" operator="lessThanOrEqual">
      <formula>0</formula>
    </cfRule>
  </conditionalFormatting>
  <conditionalFormatting sqref="V93">
    <cfRule type="cellIs" dxfId="16285" priority="1407" operator="greaterThan">
      <formula>0</formula>
    </cfRule>
    <cfRule type="cellIs" dxfId="16284" priority="1408" operator="lessThanOrEqual">
      <formula>0</formula>
    </cfRule>
  </conditionalFormatting>
  <conditionalFormatting sqref="V86">
    <cfRule type="cellIs" dxfId="16283" priority="1405" operator="greaterThan">
      <formula>0</formula>
    </cfRule>
    <cfRule type="cellIs" dxfId="16282" priority="1406" operator="lessThanOrEqual">
      <formula>0</formula>
    </cfRule>
  </conditionalFormatting>
  <conditionalFormatting sqref="V96">
    <cfRule type="cellIs" dxfId="16281" priority="1403" operator="greaterThan">
      <formula>0</formula>
    </cfRule>
    <cfRule type="cellIs" dxfId="16280" priority="1404" operator="lessThanOrEqual">
      <formula>0</formula>
    </cfRule>
  </conditionalFormatting>
  <conditionalFormatting sqref="V99">
    <cfRule type="cellIs" dxfId="16279" priority="1401" operator="greaterThan">
      <formula>0</formula>
    </cfRule>
    <cfRule type="cellIs" dxfId="16278" priority="1402" operator="lessThanOrEqual">
      <formula>0</formula>
    </cfRule>
  </conditionalFormatting>
  <conditionalFormatting sqref="V102">
    <cfRule type="cellIs" dxfId="16277" priority="1399" operator="greaterThan">
      <formula>0</formula>
    </cfRule>
    <cfRule type="cellIs" dxfId="16276" priority="1400" operator="lessThanOrEqual">
      <formula>0</formula>
    </cfRule>
  </conditionalFormatting>
  <conditionalFormatting sqref="V88">
    <cfRule type="cellIs" dxfId="16275" priority="1397" operator="greaterThan">
      <formula>0</formula>
    </cfRule>
    <cfRule type="cellIs" dxfId="16274" priority="1398" operator="lessThanOrEqual">
      <formula>0</formula>
    </cfRule>
  </conditionalFormatting>
  <conditionalFormatting sqref="V128">
    <cfRule type="cellIs" dxfId="16273" priority="1395" operator="greaterThan">
      <formula>0</formula>
    </cfRule>
    <cfRule type="cellIs" dxfId="16272" priority="1396" operator="lessThanOrEqual">
      <formula>0</formula>
    </cfRule>
  </conditionalFormatting>
  <conditionalFormatting sqref="U75:U76 U78:U79 U81:U82 U84:U85 U91:U92 U94:U95 U97:U98 U100:U101 U110:U111 U115:U116">
    <cfRule type="cellIs" dxfId="16271" priority="1393" operator="lessThan">
      <formula>0</formula>
    </cfRule>
    <cfRule type="cellIs" dxfId="16270" priority="1394" operator="greaterThanOrEqual">
      <formula>0</formula>
    </cfRule>
  </conditionalFormatting>
  <conditionalFormatting sqref="U77 U80 U83 U86 U88 U93 U96 U99 U102">
    <cfRule type="cellIs" dxfId="16269" priority="1392" operator="greaterThanOrEqual">
      <formula>0</formula>
    </cfRule>
  </conditionalFormatting>
  <conditionalFormatting sqref="U77 U80 U83 U86 U88 U93 U96 U99 U102">
    <cfRule type="cellIs" dxfId="16268" priority="1391" operator="lessThan">
      <formula>0</formula>
    </cfRule>
  </conditionalFormatting>
  <conditionalFormatting sqref="U124">
    <cfRule type="cellIs" dxfId="16267" priority="1370" operator="greaterThanOrEqual">
      <formula>0</formula>
    </cfRule>
  </conditionalFormatting>
  <conditionalFormatting sqref="U124">
    <cfRule type="cellIs" dxfId="16266" priority="1369" operator="lessThan">
      <formula>0</formula>
    </cfRule>
  </conditionalFormatting>
  <conditionalFormatting sqref="V113">
    <cfRule type="cellIs" dxfId="16265" priority="1385" operator="greaterThan">
      <formula>0</formula>
    </cfRule>
    <cfRule type="cellIs" dxfId="16264" priority="1386" operator="lessThanOrEqual">
      <formula>0</formula>
    </cfRule>
  </conditionalFormatting>
  <conditionalFormatting sqref="V106">
    <cfRule type="cellIs" dxfId="16263" priority="1379" operator="greaterThan">
      <formula>0</formula>
    </cfRule>
    <cfRule type="cellIs" dxfId="16262" priority="1380" operator="lessThanOrEqual">
      <formula>0</formula>
    </cfRule>
  </conditionalFormatting>
  <conditionalFormatting sqref="V109">
    <cfRule type="cellIs" dxfId="16261" priority="1377" operator="greaterThan">
      <formula>0</formula>
    </cfRule>
    <cfRule type="cellIs" dxfId="16260" priority="1378" operator="lessThanOrEqual">
      <formula>0</formula>
    </cfRule>
  </conditionalFormatting>
  <conditionalFormatting sqref="V112">
    <cfRule type="cellIs" dxfId="16259" priority="1375" operator="greaterThan">
      <formula>0</formula>
    </cfRule>
    <cfRule type="cellIs" dxfId="16258" priority="1376" operator="lessThanOrEqual">
      <formula>0</formula>
    </cfRule>
  </conditionalFormatting>
  <conditionalFormatting sqref="V90">
    <cfRule type="cellIs" dxfId="16257" priority="1389" operator="greaterThan">
      <formula>0</formula>
    </cfRule>
    <cfRule type="cellIs" dxfId="16256" priority="1390" operator="lessThanOrEqual">
      <formula>0</formula>
    </cfRule>
  </conditionalFormatting>
  <conditionalFormatting sqref="V103">
    <cfRule type="cellIs" dxfId="16255" priority="1387" operator="greaterThan">
      <formula>0</formula>
    </cfRule>
    <cfRule type="cellIs" dxfId="16254" priority="1388" operator="lessThanOrEqual">
      <formula>0</formula>
    </cfRule>
  </conditionalFormatting>
  <conditionalFormatting sqref="V104:V105 V107:V108">
    <cfRule type="cellIs" dxfId="16253" priority="1383" operator="greaterThan">
      <formula>0</formula>
    </cfRule>
    <cfRule type="cellIs" dxfId="16252" priority="1384" operator="lessThanOrEqual">
      <formula>0</formula>
    </cfRule>
  </conditionalFormatting>
  <conditionalFormatting sqref="V119:V120 V122:V123">
    <cfRule type="cellIs" dxfId="16251" priority="1381" operator="greaterThan">
      <formula>0</formula>
    </cfRule>
    <cfRule type="cellIs" dxfId="16250" priority="1382" operator="lessThanOrEqual">
      <formula>0</formula>
    </cfRule>
  </conditionalFormatting>
  <conditionalFormatting sqref="V121">
    <cfRule type="cellIs" dxfId="16249" priority="1373" operator="greaterThan">
      <formula>0</formula>
    </cfRule>
    <cfRule type="cellIs" dxfId="16248" priority="1374" operator="lessThanOrEqual">
      <formula>0</formula>
    </cfRule>
  </conditionalFormatting>
  <conditionalFormatting sqref="V124">
    <cfRule type="cellIs" dxfId="16247" priority="1371" operator="greaterThan">
      <formula>0</formula>
    </cfRule>
    <cfRule type="cellIs" dxfId="16246" priority="1372" operator="lessThanOrEqual">
      <formula>0</formula>
    </cfRule>
  </conditionalFormatting>
  <conditionalFormatting sqref="V127">
    <cfRule type="cellIs" dxfId="16245" priority="1367" operator="greaterThan">
      <formula>0</formula>
    </cfRule>
    <cfRule type="cellIs" dxfId="16244" priority="1368" operator="lessThanOrEqual">
      <formula>0</formula>
    </cfRule>
  </conditionalFormatting>
  <conditionalFormatting sqref="V87">
    <cfRule type="cellIs" dxfId="16243" priority="1365" operator="greaterThan">
      <formula>0</formula>
    </cfRule>
    <cfRule type="cellIs" dxfId="16242" priority="1366" operator="lessThanOrEqual">
      <formula>0</formula>
    </cfRule>
  </conditionalFormatting>
  <conditionalFormatting sqref="V118">
    <cfRule type="cellIs" dxfId="16241" priority="1363" operator="greaterThan">
      <formula>0</formula>
    </cfRule>
    <cfRule type="cellIs" dxfId="16240" priority="1364" operator="lessThanOrEqual">
      <formula>0</formula>
    </cfRule>
  </conditionalFormatting>
  <conditionalFormatting sqref="U118">
    <cfRule type="cellIs" dxfId="16239" priority="1362" operator="greaterThanOrEqual">
      <formula>0</formula>
    </cfRule>
  </conditionalFormatting>
  <conditionalFormatting sqref="U118">
    <cfRule type="cellIs" dxfId="16238" priority="1361" operator="lessThan">
      <formula>0</formula>
    </cfRule>
  </conditionalFormatting>
  <conditionalFormatting sqref="V114">
    <cfRule type="cellIs" dxfId="16237" priority="1359" operator="greaterThan">
      <formula>0</formula>
    </cfRule>
    <cfRule type="cellIs" dxfId="16236" priority="1360" operator="lessThanOrEqual">
      <formula>0</formula>
    </cfRule>
  </conditionalFormatting>
  <conditionalFormatting sqref="U114">
    <cfRule type="cellIs" dxfId="16235" priority="1358" operator="greaterThanOrEqual">
      <formula>0</formula>
    </cfRule>
  </conditionalFormatting>
  <conditionalFormatting sqref="U114">
    <cfRule type="cellIs" dxfId="16234" priority="1357" operator="lessThan">
      <formula>0</formula>
    </cfRule>
  </conditionalFormatting>
  <conditionalFormatting sqref="U87">
    <cfRule type="cellIs" dxfId="16233" priority="1356" operator="greaterThanOrEqual">
      <formula>0</formula>
    </cfRule>
  </conditionalFormatting>
  <conditionalFormatting sqref="U87">
    <cfRule type="cellIs" dxfId="16232" priority="1355" operator="lessThan">
      <formula>0</formula>
    </cfRule>
  </conditionalFormatting>
  <conditionalFormatting sqref="U90">
    <cfRule type="cellIs" dxfId="16231" priority="1354" operator="greaterThanOrEqual">
      <formula>0</formula>
    </cfRule>
  </conditionalFormatting>
  <conditionalFormatting sqref="U90">
    <cfRule type="cellIs" dxfId="16230" priority="1353" operator="lessThan">
      <formula>0</formula>
    </cfRule>
  </conditionalFormatting>
  <conditionalFormatting sqref="U103">
    <cfRule type="cellIs" dxfId="16229" priority="1352" operator="greaterThanOrEqual">
      <formula>0</formula>
    </cfRule>
  </conditionalFormatting>
  <conditionalFormatting sqref="U103">
    <cfRule type="cellIs" dxfId="16228" priority="1351" operator="lessThan">
      <formula>0</formula>
    </cfRule>
  </conditionalFormatting>
  <conditionalFormatting sqref="U109">
    <cfRule type="cellIs" dxfId="16227" priority="1348" operator="greaterThanOrEqual">
      <formula>0</formula>
    </cfRule>
  </conditionalFormatting>
  <conditionalFormatting sqref="U109">
    <cfRule type="cellIs" dxfId="16226" priority="1347" operator="lessThan">
      <formula>0</formula>
    </cfRule>
  </conditionalFormatting>
  <conditionalFormatting sqref="U112">
    <cfRule type="cellIs" dxfId="16225" priority="1346" operator="greaterThanOrEqual">
      <formula>0</formula>
    </cfRule>
  </conditionalFormatting>
  <conditionalFormatting sqref="U112">
    <cfRule type="cellIs" dxfId="16224" priority="1345" operator="lessThan">
      <formula>0</formula>
    </cfRule>
  </conditionalFormatting>
  <conditionalFormatting sqref="U113">
    <cfRule type="cellIs" dxfId="16223" priority="1344" operator="greaterThanOrEqual">
      <formula>0</formula>
    </cfRule>
  </conditionalFormatting>
  <conditionalFormatting sqref="U113">
    <cfRule type="cellIs" dxfId="16222" priority="1343" operator="lessThan">
      <formula>0</formula>
    </cfRule>
  </conditionalFormatting>
  <conditionalFormatting sqref="U121">
    <cfRule type="cellIs" dxfId="16221" priority="1342" operator="greaterThanOrEqual">
      <formula>0</formula>
    </cfRule>
  </conditionalFormatting>
  <conditionalFormatting sqref="U121">
    <cfRule type="cellIs" dxfId="16220" priority="1341" operator="lessThan">
      <formula>0</formula>
    </cfRule>
  </conditionalFormatting>
  <conditionalFormatting sqref="U127">
    <cfRule type="cellIs" dxfId="16219" priority="1340" operator="greaterThanOrEqual">
      <formula>0</formula>
    </cfRule>
  </conditionalFormatting>
  <conditionalFormatting sqref="U127">
    <cfRule type="cellIs" dxfId="16218" priority="1339" operator="lessThan">
      <formula>0</formula>
    </cfRule>
  </conditionalFormatting>
  <conditionalFormatting sqref="U128">
    <cfRule type="cellIs" dxfId="16217" priority="1338" operator="greaterThanOrEqual">
      <formula>0</formula>
    </cfRule>
  </conditionalFormatting>
  <conditionalFormatting sqref="U128">
    <cfRule type="cellIs" dxfId="16216" priority="1337" operator="lessThan">
      <formula>0</formula>
    </cfRule>
  </conditionalFormatting>
  <conditionalFormatting sqref="U104:U105">
    <cfRule type="cellIs" dxfId="16215" priority="1335" operator="lessThan">
      <formula>0</formula>
    </cfRule>
    <cfRule type="cellIs" dxfId="16214" priority="1336" operator="greaterThanOrEqual">
      <formula>0</formula>
    </cfRule>
  </conditionalFormatting>
  <conditionalFormatting sqref="U107:U108">
    <cfRule type="cellIs" dxfId="16213" priority="1333" operator="lessThan">
      <formula>0</formula>
    </cfRule>
    <cfRule type="cellIs" dxfId="16212" priority="1334" operator="greaterThanOrEqual">
      <formula>0</formula>
    </cfRule>
  </conditionalFormatting>
  <conditionalFormatting sqref="U119:U120">
    <cfRule type="cellIs" dxfId="16211" priority="1331" operator="lessThan">
      <formula>0</formula>
    </cfRule>
    <cfRule type="cellIs" dxfId="16210" priority="1332" operator="greaterThanOrEqual">
      <formula>0</formula>
    </cfRule>
  </conditionalFormatting>
  <conditionalFormatting sqref="U122:U123">
    <cfRule type="cellIs" dxfId="16209" priority="1329" operator="lessThan">
      <formula>0</formula>
    </cfRule>
    <cfRule type="cellIs" dxfId="16208" priority="1330" operator="greaterThanOrEqual">
      <formula>0</formula>
    </cfRule>
  </conditionalFormatting>
  <conditionalFormatting sqref="U125:U126">
    <cfRule type="cellIs" dxfId="16207" priority="1327" operator="lessThan">
      <formula>0</formula>
    </cfRule>
    <cfRule type="cellIs" dxfId="16206" priority="1328" operator="greaterThanOrEqual">
      <formula>0</formula>
    </cfRule>
  </conditionalFormatting>
  <conditionalFormatting sqref="V129">
    <cfRule type="cellIs" dxfId="16205" priority="1325" operator="greaterThan">
      <formula>0</formula>
    </cfRule>
    <cfRule type="cellIs" dxfId="16204" priority="1326" operator="lessThanOrEqual">
      <formula>0</formula>
    </cfRule>
  </conditionalFormatting>
  <conditionalFormatting sqref="U129">
    <cfRule type="cellIs" dxfId="16203" priority="1323" operator="greaterThanOrEqual">
      <formula>0</formula>
    </cfRule>
    <cfRule type="cellIs" dxfId="16202" priority="1324" operator="lessThan">
      <formula>0</formula>
    </cfRule>
  </conditionalFormatting>
  <conditionalFormatting sqref="V117">
    <cfRule type="cellIs" dxfId="16201" priority="1321" operator="greaterThan">
      <formula>0</formula>
    </cfRule>
    <cfRule type="cellIs" dxfId="16200" priority="1322" operator="lessThanOrEqual">
      <formula>0</formula>
    </cfRule>
  </conditionalFormatting>
  <conditionalFormatting sqref="U117">
    <cfRule type="cellIs" dxfId="16199" priority="1320" operator="greaterThanOrEqual">
      <formula>0</formula>
    </cfRule>
  </conditionalFormatting>
  <conditionalFormatting sqref="U117">
    <cfRule type="cellIs" dxfId="16198" priority="1319" operator="lessThan">
      <formula>0</formula>
    </cfRule>
  </conditionalFormatting>
  <conditionalFormatting sqref="X77 X86 X80 X83 X93 X96 X99 X102">
    <cfRule type="cellIs" dxfId="16197" priority="1316" operator="greaterThanOrEqual">
      <formula>0</formula>
    </cfRule>
  </conditionalFormatting>
  <conditionalFormatting sqref="X77 X86 X80 X83 X93 X96 X99 X102">
    <cfRule type="cellIs" dxfId="16196" priority="1315" operator="lessThan">
      <formula>0</formula>
    </cfRule>
  </conditionalFormatting>
  <conditionalFormatting sqref="X129">
    <cfRule type="cellIs" dxfId="16195" priority="1313" operator="greaterThanOrEqual">
      <formula>0</formula>
    </cfRule>
    <cfRule type="cellIs" dxfId="16194" priority="1314" operator="lessThan">
      <formula>0</formula>
    </cfRule>
  </conditionalFormatting>
  <conditionalFormatting sqref="Y75:Y76">
    <cfRule type="cellIs" dxfId="16193" priority="1311" operator="greaterThan">
      <formula>0</formula>
    </cfRule>
    <cfRule type="cellIs" dxfId="16192" priority="1312" operator="lessThanOrEqual">
      <formula>0</formula>
    </cfRule>
  </conditionalFormatting>
  <conditionalFormatting sqref="Y77 Y86 Y80 Y83 Y93 Y96 Y99 Y102">
    <cfRule type="cellIs" dxfId="16191" priority="1310" operator="greaterThanOrEqual">
      <formula>0</formula>
    </cfRule>
  </conditionalFormatting>
  <conditionalFormatting sqref="Y77 Y86 Y80 Y83 Y93 Y96 Y99 Y102">
    <cfRule type="cellIs" dxfId="16190" priority="1309" operator="lessThan">
      <formula>0</formula>
    </cfRule>
  </conditionalFormatting>
  <conditionalFormatting sqref="Y129">
    <cfRule type="cellIs" dxfId="16189" priority="1307" operator="lessThan">
      <formula>0</formula>
    </cfRule>
    <cfRule type="cellIs" dxfId="16188" priority="1308" operator="greaterThanOrEqual">
      <formula>0</formula>
    </cfRule>
  </conditionalFormatting>
  <conditionalFormatting sqref="Y114">
    <cfRule type="cellIs" dxfId="16187" priority="1303" operator="lessThan">
      <formula>0</formula>
    </cfRule>
  </conditionalFormatting>
  <conditionalFormatting sqref="X114">
    <cfRule type="cellIs" dxfId="16186" priority="1306" operator="greaterThanOrEqual">
      <formula>0</formula>
    </cfRule>
  </conditionalFormatting>
  <conditionalFormatting sqref="X114">
    <cfRule type="cellIs" dxfId="16185" priority="1305" operator="lessThan">
      <formula>0</formula>
    </cfRule>
  </conditionalFormatting>
  <conditionalFormatting sqref="Y114">
    <cfRule type="cellIs" dxfId="16184" priority="1304" operator="greaterThanOrEqual">
      <formula>0</formula>
    </cfRule>
  </conditionalFormatting>
  <conditionalFormatting sqref="X104:X105">
    <cfRule type="cellIs" dxfId="16183" priority="1301" operator="lessThan">
      <formula>0</formula>
    </cfRule>
    <cfRule type="cellIs" dxfId="16182" priority="1302" operator="greaterThanOrEqual">
      <formula>0</formula>
    </cfRule>
  </conditionalFormatting>
  <conditionalFormatting sqref="X107:X108">
    <cfRule type="cellIs" dxfId="16181" priority="1299" operator="lessThan">
      <formula>0</formula>
    </cfRule>
    <cfRule type="cellIs" dxfId="16180" priority="1300" operator="greaterThanOrEqual">
      <formula>0</formula>
    </cfRule>
  </conditionalFormatting>
  <conditionalFormatting sqref="X115:X116">
    <cfRule type="cellIs" dxfId="16179" priority="1297" operator="lessThan">
      <formula>0</formula>
    </cfRule>
    <cfRule type="cellIs" dxfId="16178" priority="1298" operator="greaterThanOrEqual">
      <formula>0</formula>
    </cfRule>
  </conditionalFormatting>
  <conditionalFormatting sqref="X119:X120">
    <cfRule type="cellIs" dxfId="16177" priority="1295" operator="lessThan">
      <formula>0</formula>
    </cfRule>
    <cfRule type="cellIs" dxfId="16176" priority="1296" operator="greaterThanOrEqual">
      <formula>0</formula>
    </cfRule>
  </conditionalFormatting>
  <conditionalFormatting sqref="X122:X123">
    <cfRule type="cellIs" dxfId="16175" priority="1293" operator="lessThan">
      <formula>0</formula>
    </cfRule>
    <cfRule type="cellIs" dxfId="16174" priority="1294" operator="greaterThanOrEqual">
      <formula>0</formula>
    </cfRule>
  </conditionalFormatting>
  <conditionalFormatting sqref="X125:X126">
    <cfRule type="cellIs" dxfId="16173" priority="1291" operator="lessThan">
      <formula>0</formula>
    </cfRule>
    <cfRule type="cellIs" dxfId="16172" priority="1292" operator="greaterThanOrEqual">
      <formula>0</formula>
    </cfRule>
  </conditionalFormatting>
  <conditionalFormatting sqref="X87">
    <cfRule type="cellIs" dxfId="16171" priority="1290" operator="greaterThanOrEqual">
      <formula>0</formula>
    </cfRule>
  </conditionalFormatting>
  <conditionalFormatting sqref="X87">
    <cfRule type="cellIs" dxfId="16170" priority="1289" operator="lessThan">
      <formula>0</formula>
    </cfRule>
  </conditionalFormatting>
  <conditionalFormatting sqref="X88">
    <cfRule type="cellIs" dxfId="16169" priority="1288" operator="greaterThanOrEqual">
      <formula>0</formula>
    </cfRule>
  </conditionalFormatting>
  <conditionalFormatting sqref="X88">
    <cfRule type="cellIs" dxfId="16168" priority="1287" operator="lessThan">
      <formula>0</formula>
    </cfRule>
  </conditionalFormatting>
  <conditionalFormatting sqref="X90">
    <cfRule type="cellIs" dxfId="16167" priority="1286" operator="greaterThanOrEqual">
      <formula>0</formula>
    </cfRule>
  </conditionalFormatting>
  <conditionalFormatting sqref="X90">
    <cfRule type="cellIs" dxfId="16166" priority="1285" operator="lessThan">
      <formula>0</formula>
    </cfRule>
  </conditionalFormatting>
  <conditionalFormatting sqref="X103">
    <cfRule type="cellIs" dxfId="16165" priority="1284" operator="greaterThanOrEqual">
      <formula>0</formula>
    </cfRule>
  </conditionalFormatting>
  <conditionalFormatting sqref="X103">
    <cfRule type="cellIs" dxfId="16164" priority="1283" operator="lessThan">
      <formula>0</formula>
    </cfRule>
  </conditionalFormatting>
  <conditionalFormatting sqref="X109">
    <cfRule type="cellIs" dxfId="16163" priority="1280" operator="greaterThanOrEqual">
      <formula>0</formula>
    </cfRule>
  </conditionalFormatting>
  <conditionalFormatting sqref="X109">
    <cfRule type="cellIs" dxfId="16162" priority="1279" operator="lessThan">
      <formula>0</formula>
    </cfRule>
  </conditionalFormatting>
  <conditionalFormatting sqref="X112">
    <cfRule type="cellIs" dxfId="16161" priority="1278" operator="greaterThanOrEqual">
      <formula>0</formula>
    </cfRule>
  </conditionalFormatting>
  <conditionalFormatting sqref="X112">
    <cfRule type="cellIs" dxfId="16160" priority="1277" operator="lessThan">
      <formula>0</formula>
    </cfRule>
  </conditionalFormatting>
  <conditionalFormatting sqref="X121">
    <cfRule type="cellIs" dxfId="16159" priority="1274" operator="greaterThanOrEqual">
      <formula>0</formula>
    </cfRule>
  </conditionalFormatting>
  <conditionalFormatting sqref="X121">
    <cfRule type="cellIs" dxfId="16158" priority="1273" operator="lessThan">
      <formula>0</formula>
    </cfRule>
  </conditionalFormatting>
  <conditionalFormatting sqref="X124">
    <cfRule type="cellIs" dxfId="16157" priority="1272" operator="greaterThanOrEqual">
      <formula>0</formula>
    </cfRule>
  </conditionalFormatting>
  <conditionalFormatting sqref="X124">
    <cfRule type="cellIs" dxfId="16156" priority="1271" operator="lessThan">
      <formula>0</formula>
    </cfRule>
  </conditionalFormatting>
  <conditionalFormatting sqref="X127">
    <cfRule type="cellIs" dxfId="16155" priority="1270" operator="greaterThanOrEqual">
      <formula>0</formula>
    </cfRule>
  </conditionalFormatting>
  <conditionalFormatting sqref="X127">
    <cfRule type="cellIs" dxfId="16154" priority="1269" operator="lessThan">
      <formula>0</formula>
    </cfRule>
  </conditionalFormatting>
  <conditionalFormatting sqref="X118">
    <cfRule type="cellIs" dxfId="16153" priority="1268" operator="greaterThanOrEqual">
      <formula>0</formula>
    </cfRule>
  </conditionalFormatting>
  <conditionalFormatting sqref="X118">
    <cfRule type="cellIs" dxfId="16152" priority="1267" operator="lessThan">
      <formula>0</formula>
    </cfRule>
  </conditionalFormatting>
  <conditionalFormatting sqref="X128">
    <cfRule type="cellIs" dxfId="16151" priority="1266" operator="greaterThanOrEqual">
      <formula>0</formula>
    </cfRule>
  </conditionalFormatting>
  <conditionalFormatting sqref="X128">
    <cfRule type="cellIs" dxfId="16150" priority="1265" operator="lessThan">
      <formula>0</formula>
    </cfRule>
  </conditionalFormatting>
  <conditionalFormatting sqref="Y78:Y79">
    <cfRule type="cellIs" dxfId="16149" priority="1263" operator="greaterThan">
      <formula>0</formula>
    </cfRule>
    <cfRule type="cellIs" dxfId="16148" priority="1264" operator="lessThanOrEqual">
      <formula>0</formula>
    </cfRule>
  </conditionalFormatting>
  <conditionalFormatting sqref="Y81:Y82">
    <cfRule type="cellIs" dxfId="16147" priority="1261" operator="greaterThan">
      <formula>0</formula>
    </cfRule>
    <cfRule type="cellIs" dxfId="16146" priority="1262" operator="lessThanOrEqual">
      <formula>0</formula>
    </cfRule>
  </conditionalFormatting>
  <conditionalFormatting sqref="Y84:Y85">
    <cfRule type="cellIs" dxfId="16145" priority="1259" operator="greaterThan">
      <formula>0</formula>
    </cfRule>
    <cfRule type="cellIs" dxfId="16144" priority="1260" operator="lessThanOrEqual">
      <formula>0</formula>
    </cfRule>
  </conditionalFormatting>
  <conditionalFormatting sqref="Y91:Y92">
    <cfRule type="cellIs" dxfId="16143" priority="1257" operator="greaterThan">
      <formula>0</formula>
    </cfRule>
    <cfRule type="cellIs" dxfId="16142" priority="1258" operator="lessThanOrEqual">
      <formula>0</formula>
    </cfRule>
  </conditionalFormatting>
  <conditionalFormatting sqref="Y94:Y95">
    <cfRule type="cellIs" dxfId="16141" priority="1255" operator="greaterThan">
      <formula>0</formula>
    </cfRule>
    <cfRule type="cellIs" dxfId="16140" priority="1256" operator="lessThanOrEqual">
      <formula>0</formula>
    </cfRule>
  </conditionalFormatting>
  <conditionalFormatting sqref="Y97:Y98">
    <cfRule type="cellIs" dxfId="16139" priority="1253" operator="greaterThan">
      <formula>0</formula>
    </cfRule>
    <cfRule type="cellIs" dxfId="16138" priority="1254" operator="lessThanOrEqual">
      <formula>0</formula>
    </cfRule>
  </conditionalFormatting>
  <conditionalFormatting sqref="Y100:Y101">
    <cfRule type="cellIs" dxfId="16137" priority="1251" operator="greaterThan">
      <formula>0</formula>
    </cfRule>
    <cfRule type="cellIs" dxfId="16136" priority="1252" operator="lessThanOrEqual">
      <formula>0</formula>
    </cfRule>
  </conditionalFormatting>
  <conditionalFormatting sqref="Y104:Y105">
    <cfRule type="cellIs" dxfId="16135" priority="1249" operator="greaterThan">
      <formula>0</formula>
    </cfRule>
    <cfRule type="cellIs" dxfId="16134" priority="1250" operator="lessThanOrEqual">
      <formula>0</formula>
    </cfRule>
  </conditionalFormatting>
  <conditionalFormatting sqref="Y107:Y108">
    <cfRule type="cellIs" dxfId="16133" priority="1247" operator="greaterThan">
      <formula>0</formula>
    </cfRule>
    <cfRule type="cellIs" dxfId="16132" priority="1248" operator="lessThanOrEqual">
      <formula>0</formula>
    </cfRule>
  </conditionalFormatting>
  <conditionalFormatting sqref="Y110:Y111">
    <cfRule type="cellIs" dxfId="16131" priority="1245" operator="greaterThan">
      <formula>0</formula>
    </cfRule>
    <cfRule type="cellIs" dxfId="16130" priority="1246" operator="lessThanOrEqual">
      <formula>0</formula>
    </cfRule>
  </conditionalFormatting>
  <conditionalFormatting sqref="Y115:Y116">
    <cfRule type="cellIs" dxfId="16129" priority="1243" operator="greaterThan">
      <formula>0</formula>
    </cfRule>
    <cfRule type="cellIs" dxfId="16128" priority="1244" operator="lessThanOrEqual">
      <formula>0</formula>
    </cfRule>
  </conditionalFormatting>
  <conditionalFormatting sqref="Y119:Y120">
    <cfRule type="cellIs" dxfId="16127" priority="1241" operator="greaterThan">
      <formula>0</formula>
    </cfRule>
    <cfRule type="cellIs" dxfId="16126" priority="1242" operator="lessThanOrEqual">
      <formula>0</formula>
    </cfRule>
  </conditionalFormatting>
  <conditionalFormatting sqref="Y125:Y126">
    <cfRule type="cellIs" dxfId="16125" priority="1237" operator="greaterThan">
      <formula>0</formula>
    </cfRule>
    <cfRule type="cellIs" dxfId="16124" priority="1238" operator="lessThanOrEqual">
      <formula>0</formula>
    </cfRule>
  </conditionalFormatting>
  <conditionalFormatting sqref="Y87">
    <cfRule type="cellIs" dxfId="16123" priority="1236" operator="greaterThanOrEqual">
      <formula>0</formula>
    </cfRule>
  </conditionalFormatting>
  <conditionalFormatting sqref="Y87">
    <cfRule type="cellIs" dxfId="16122" priority="1235" operator="lessThan">
      <formula>0</formula>
    </cfRule>
  </conditionalFormatting>
  <conditionalFormatting sqref="Y88">
    <cfRule type="cellIs" dxfId="16121" priority="1234" operator="greaterThanOrEqual">
      <formula>0</formula>
    </cfRule>
  </conditionalFormatting>
  <conditionalFormatting sqref="Y88">
    <cfRule type="cellIs" dxfId="16120" priority="1233" operator="lessThan">
      <formula>0</formula>
    </cfRule>
  </conditionalFormatting>
  <conditionalFormatting sqref="Y90">
    <cfRule type="cellIs" dxfId="16119" priority="1232" operator="greaterThanOrEqual">
      <formula>0</formula>
    </cfRule>
  </conditionalFormatting>
  <conditionalFormatting sqref="Y90">
    <cfRule type="cellIs" dxfId="16118" priority="1231" operator="lessThan">
      <formula>0</formula>
    </cfRule>
  </conditionalFormatting>
  <conditionalFormatting sqref="Y103">
    <cfRule type="cellIs" dxfId="16117" priority="1230" operator="greaterThanOrEqual">
      <formula>0</formula>
    </cfRule>
  </conditionalFormatting>
  <conditionalFormatting sqref="Y103">
    <cfRule type="cellIs" dxfId="16116" priority="1229" operator="lessThan">
      <formula>0</formula>
    </cfRule>
  </conditionalFormatting>
  <conditionalFormatting sqref="Y106">
    <cfRule type="cellIs" dxfId="16115" priority="1228" operator="greaterThanOrEqual">
      <formula>0</formula>
    </cfRule>
  </conditionalFormatting>
  <conditionalFormatting sqref="Y106">
    <cfRule type="cellIs" dxfId="16114" priority="1227" operator="lessThan">
      <formula>0</formula>
    </cfRule>
  </conditionalFormatting>
  <conditionalFormatting sqref="Y109">
    <cfRule type="cellIs" dxfId="16113" priority="1226" operator="greaterThanOrEqual">
      <formula>0</formula>
    </cfRule>
  </conditionalFormatting>
  <conditionalFormatting sqref="Y109">
    <cfRule type="cellIs" dxfId="16112" priority="1225" operator="lessThan">
      <formula>0</formula>
    </cfRule>
  </conditionalFormatting>
  <conditionalFormatting sqref="Y113">
    <cfRule type="cellIs" dxfId="16111" priority="1222" operator="greaterThanOrEqual">
      <formula>0</formula>
    </cfRule>
  </conditionalFormatting>
  <conditionalFormatting sqref="Y113">
    <cfRule type="cellIs" dxfId="16110" priority="1221" operator="lessThan">
      <formula>0</formula>
    </cfRule>
  </conditionalFormatting>
  <conditionalFormatting sqref="Y121">
    <cfRule type="cellIs" dxfId="16109" priority="1220" operator="greaterThanOrEqual">
      <formula>0</formula>
    </cfRule>
  </conditionalFormatting>
  <conditionalFormatting sqref="Y121">
    <cfRule type="cellIs" dxfId="16108" priority="1219" operator="lessThan">
      <formula>0</formula>
    </cfRule>
  </conditionalFormatting>
  <conditionalFormatting sqref="X117">
    <cfRule type="cellIs" dxfId="16107" priority="1210" operator="greaterThanOrEqual">
      <formula>0</formula>
    </cfRule>
  </conditionalFormatting>
  <conditionalFormatting sqref="X117">
    <cfRule type="cellIs" dxfId="16106" priority="1209" operator="lessThan">
      <formula>0</formula>
    </cfRule>
  </conditionalFormatting>
  <conditionalFormatting sqref="R132">
    <cfRule type="cellIs" dxfId="16105" priority="1205" operator="lessThan">
      <formula>0</formula>
    </cfRule>
    <cfRule type="cellIs" dxfId="16104" priority="1206" operator="greaterThanOrEqual">
      <formula>0</formula>
    </cfRule>
  </conditionalFormatting>
  <conditionalFormatting sqref="R175">
    <cfRule type="cellIs" dxfId="16103" priority="1203" operator="greaterThan">
      <formula>0</formula>
    </cfRule>
    <cfRule type="cellIs" dxfId="16102" priority="1204" operator="lessThanOrEqual">
      <formula>0</formula>
    </cfRule>
  </conditionalFormatting>
  <conditionalFormatting sqref="Q175">
    <cfRule type="cellIs" dxfId="16101" priority="1202" operator="greaterThanOrEqual">
      <formula>0</formula>
    </cfRule>
  </conditionalFormatting>
  <conditionalFormatting sqref="Q175">
    <cfRule type="cellIs" dxfId="16100" priority="1201" operator="lessThan">
      <formula>0</formula>
    </cfRule>
  </conditionalFormatting>
  <conditionalFormatting sqref="U175">
    <cfRule type="cellIs" dxfId="16099" priority="1200" operator="greaterThanOrEqual">
      <formula>0</formula>
    </cfRule>
  </conditionalFormatting>
  <conditionalFormatting sqref="U175">
    <cfRule type="cellIs" dxfId="16098" priority="1199" operator="lessThan">
      <formula>0</formula>
    </cfRule>
  </conditionalFormatting>
  <conditionalFormatting sqref="X175">
    <cfRule type="cellIs" dxfId="16097" priority="1198" operator="greaterThanOrEqual">
      <formula>0</formula>
    </cfRule>
  </conditionalFormatting>
  <conditionalFormatting sqref="X175">
    <cfRule type="cellIs" dxfId="16096" priority="1197" operator="lessThan">
      <formula>0</formula>
    </cfRule>
  </conditionalFormatting>
  <conditionalFormatting sqref="Y175">
    <cfRule type="cellIs" dxfId="16095" priority="1196" operator="greaterThanOrEqual">
      <formula>0</formula>
    </cfRule>
  </conditionalFormatting>
  <conditionalFormatting sqref="Y175">
    <cfRule type="cellIs" dxfId="16094" priority="1195" operator="lessThan">
      <formula>0</formula>
    </cfRule>
  </conditionalFormatting>
  <conditionalFormatting sqref="R174">
    <cfRule type="cellIs" dxfId="16093" priority="1193" operator="greaterThan">
      <formula>0</formula>
    </cfRule>
    <cfRule type="cellIs" dxfId="16092" priority="1194" operator="lessThanOrEqual">
      <formula>0</formula>
    </cfRule>
  </conditionalFormatting>
  <conditionalFormatting sqref="Q174">
    <cfRule type="cellIs" dxfId="16091" priority="1192" operator="greaterThanOrEqual">
      <formula>0</formula>
    </cfRule>
  </conditionalFormatting>
  <conditionalFormatting sqref="Q174">
    <cfRule type="cellIs" dxfId="16090" priority="1191" operator="lessThan">
      <formula>0</formula>
    </cfRule>
  </conditionalFormatting>
  <conditionalFormatting sqref="X174:Y174">
    <cfRule type="cellIs" dxfId="16089" priority="1188" operator="greaterThanOrEqual">
      <formula>0</formula>
    </cfRule>
  </conditionalFormatting>
  <conditionalFormatting sqref="X174:Y174">
    <cfRule type="cellIs" dxfId="16088" priority="1187" operator="lessThan">
      <formula>0</formula>
    </cfRule>
  </conditionalFormatting>
  <conditionalFormatting sqref="U174">
    <cfRule type="cellIs" dxfId="16087" priority="1190" operator="greaterThanOrEqual">
      <formula>0</formula>
    </cfRule>
  </conditionalFormatting>
  <conditionalFormatting sqref="U174">
    <cfRule type="cellIs" dxfId="16086" priority="1189" operator="lessThan">
      <formula>0</formula>
    </cfRule>
  </conditionalFormatting>
  <conditionalFormatting sqref="V133">
    <cfRule type="cellIs" dxfId="16085" priority="1185" operator="greaterThan">
      <formula>0</formula>
    </cfRule>
    <cfRule type="cellIs" dxfId="16084" priority="1186" operator="lessThanOrEqual">
      <formula>0</formula>
    </cfRule>
  </conditionalFormatting>
  <conditionalFormatting sqref="V135:V136">
    <cfRule type="cellIs" dxfId="16083" priority="1183" operator="greaterThan">
      <formula>0</formula>
    </cfRule>
    <cfRule type="cellIs" dxfId="16082" priority="1184" operator="lessThanOrEqual">
      <formula>0</formula>
    </cfRule>
  </conditionalFormatting>
  <conditionalFormatting sqref="V172:V173">
    <cfRule type="cellIs" dxfId="16081" priority="1165" operator="greaterThan">
      <formula>0</formula>
    </cfRule>
    <cfRule type="cellIs" dxfId="16080" priority="1166" operator="lessThanOrEqual">
      <formula>0</formula>
    </cfRule>
  </conditionalFormatting>
  <conditionalFormatting sqref="V143">
    <cfRule type="cellIs" dxfId="16079" priority="1155" operator="greaterThan">
      <formula>0</formula>
    </cfRule>
    <cfRule type="cellIs" dxfId="16078" priority="1156" operator="lessThanOrEqual">
      <formula>0</formula>
    </cfRule>
  </conditionalFormatting>
  <conditionalFormatting sqref="V153">
    <cfRule type="cellIs" dxfId="16077" priority="1153" operator="greaterThan">
      <formula>0</formula>
    </cfRule>
    <cfRule type="cellIs" dxfId="16076" priority="1154" operator="lessThanOrEqual">
      <formula>0</formula>
    </cfRule>
  </conditionalFormatting>
  <conditionalFormatting sqref="V156">
    <cfRule type="cellIs" dxfId="16075" priority="1151" operator="greaterThan">
      <formula>0</formula>
    </cfRule>
    <cfRule type="cellIs" dxfId="16074" priority="1152" operator="lessThanOrEqual">
      <formula>0</formula>
    </cfRule>
  </conditionalFormatting>
  <conditionalFormatting sqref="V163">
    <cfRule type="cellIs" dxfId="16073" priority="1127" operator="greaterThan">
      <formula>0</formula>
    </cfRule>
    <cfRule type="cellIs" dxfId="16072" priority="1128" operator="lessThanOrEqual">
      <formula>0</formula>
    </cfRule>
  </conditionalFormatting>
  <conditionalFormatting sqref="V170">
    <cfRule type="cellIs" dxfId="16071" priority="1133" operator="greaterThan">
      <formula>0</formula>
    </cfRule>
    <cfRule type="cellIs" dxfId="16070" priority="1134" operator="lessThanOrEqual">
      <formula>0</formula>
    </cfRule>
  </conditionalFormatting>
  <conditionalFormatting sqref="V138:V139">
    <cfRule type="cellIs" dxfId="16069" priority="1181" operator="greaterThan">
      <formula>0</formula>
    </cfRule>
    <cfRule type="cellIs" dxfId="16068" priority="1182" operator="lessThanOrEqual">
      <formula>0</formula>
    </cfRule>
  </conditionalFormatting>
  <conditionalFormatting sqref="V148:V149">
    <cfRule type="cellIs" dxfId="16067" priority="1179" operator="greaterThan">
      <formula>0</formula>
    </cfRule>
    <cfRule type="cellIs" dxfId="16066" priority="1180" operator="lessThanOrEqual">
      <formula>0</formula>
    </cfRule>
  </conditionalFormatting>
  <conditionalFormatting sqref="V141:V142">
    <cfRule type="cellIs" dxfId="16065" priority="1177" operator="greaterThan">
      <formula>0</formula>
    </cfRule>
    <cfRule type="cellIs" dxfId="16064" priority="1178" operator="lessThanOrEqual">
      <formula>0</formula>
    </cfRule>
  </conditionalFormatting>
  <conditionalFormatting sqref="V151:V152">
    <cfRule type="cellIs" dxfId="16063" priority="1175" operator="greaterThan">
      <formula>0</formula>
    </cfRule>
    <cfRule type="cellIs" dxfId="16062" priority="1176" operator="lessThanOrEqual">
      <formula>0</formula>
    </cfRule>
  </conditionalFormatting>
  <conditionalFormatting sqref="V154:V155">
    <cfRule type="cellIs" dxfId="16061" priority="1173" operator="greaterThan">
      <formula>0</formula>
    </cfRule>
    <cfRule type="cellIs" dxfId="16060" priority="1174" operator="lessThanOrEqual">
      <formula>0</formula>
    </cfRule>
  </conditionalFormatting>
  <conditionalFormatting sqref="V157:V158">
    <cfRule type="cellIs" dxfId="16059" priority="1171" operator="greaterThan">
      <formula>0</formula>
    </cfRule>
    <cfRule type="cellIs" dxfId="16058" priority="1172" operator="lessThanOrEqual">
      <formula>0</formula>
    </cfRule>
  </conditionalFormatting>
  <conditionalFormatting sqref="V167:V168">
    <cfRule type="cellIs" dxfId="16057" priority="1169" operator="greaterThan">
      <formula>0</formula>
    </cfRule>
    <cfRule type="cellIs" dxfId="16056" priority="1170" operator="lessThanOrEqual">
      <formula>0</formula>
    </cfRule>
  </conditionalFormatting>
  <conditionalFormatting sqref="V182:V183">
    <cfRule type="cellIs" dxfId="16055" priority="1167" operator="greaterThan">
      <formula>0</formula>
    </cfRule>
    <cfRule type="cellIs" dxfId="16054" priority="1168" operator="lessThanOrEqual">
      <formula>0</formula>
    </cfRule>
  </conditionalFormatting>
  <conditionalFormatting sqref="V134">
    <cfRule type="cellIs" dxfId="16053" priority="1163" operator="greaterThan">
      <formula>0</formula>
    </cfRule>
    <cfRule type="cellIs" dxfId="16052" priority="1164" operator="lessThanOrEqual">
      <formula>0</formula>
    </cfRule>
  </conditionalFormatting>
  <conditionalFormatting sqref="V137">
    <cfRule type="cellIs" dxfId="16051" priority="1161" operator="greaterThan">
      <formula>0</formula>
    </cfRule>
    <cfRule type="cellIs" dxfId="16050" priority="1162" operator="lessThanOrEqual">
      <formula>0</formula>
    </cfRule>
  </conditionalFormatting>
  <conditionalFormatting sqref="V140">
    <cfRule type="cellIs" dxfId="16049" priority="1159" operator="greaterThan">
      <formula>0</formula>
    </cfRule>
    <cfRule type="cellIs" dxfId="16048" priority="1160" operator="lessThanOrEqual">
      <formula>0</formula>
    </cfRule>
  </conditionalFormatting>
  <conditionalFormatting sqref="V150">
    <cfRule type="cellIs" dxfId="16047" priority="1157" operator="greaterThan">
      <formula>0</formula>
    </cfRule>
    <cfRule type="cellIs" dxfId="16046" priority="1158" operator="lessThanOrEqual">
      <formula>0</formula>
    </cfRule>
  </conditionalFormatting>
  <conditionalFormatting sqref="V159">
    <cfRule type="cellIs" dxfId="16045" priority="1149" operator="greaterThan">
      <formula>0</formula>
    </cfRule>
    <cfRule type="cellIs" dxfId="16044" priority="1150" operator="lessThanOrEqual">
      <formula>0</formula>
    </cfRule>
  </conditionalFormatting>
  <conditionalFormatting sqref="V145">
    <cfRule type="cellIs" dxfId="16043" priority="1147" operator="greaterThan">
      <formula>0</formula>
    </cfRule>
    <cfRule type="cellIs" dxfId="16042" priority="1148" operator="lessThanOrEqual">
      <formula>0</formula>
    </cfRule>
  </conditionalFormatting>
  <conditionalFormatting sqref="V185">
    <cfRule type="cellIs" dxfId="16041" priority="1145" operator="greaterThan">
      <formula>0</formula>
    </cfRule>
    <cfRule type="cellIs" dxfId="16040" priority="1146" operator="lessThanOrEqual">
      <formula>0</formula>
    </cfRule>
  </conditionalFormatting>
  <conditionalFormatting sqref="V186">
    <cfRule type="cellIs" dxfId="16039" priority="1143" operator="greaterThan">
      <formula>0</formula>
    </cfRule>
    <cfRule type="cellIs" dxfId="16038" priority="1144" operator="lessThanOrEqual">
      <formula>0</formula>
    </cfRule>
  </conditionalFormatting>
  <conditionalFormatting sqref="V171">
    <cfRule type="cellIs" dxfId="16037" priority="1141" operator="greaterThan">
      <formula>0</formula>
    </cfRule>
    <cfRule type="cellIs" dxfId="16036" priority="1142" operator="lessThanOrEqual">
      <formula>0</formula>
    </cfRule>
  </conditionalFormatting>
  <conditionalFormatting sqref="V144">
    <cfRule type="cellIs" dxfId="16035" priority="1139" operator="greaterThan">
      <formula>0</formula>
    </cfRule>
    <cfRule type="cellIs" dxfId="16034" priority="1140" operator="lessThanOrEqual">
      <formula>0</formula>
    </cfRule>
  </conditionalFormatting>
  <conditionalFormatting sqref="V166">
    <cfRule type="cellIs" dxfId="16033" priority="1125" operator="greaterThan">
      <formula>0</formula>
    </cfRule>
    <cfRule type="cellIs" dxfId="16032" priority="1126" operator="lessThanOrEqual">
      <formula>0</formula>
    </cfRule>
  </conditionalFormatting>
  <conditionalFormatting sqref="V169">
    <cfRule type="cellIs" dxfId="16031" priority="1123" operator="greaterThan">
      <formula>0</formula>
    </cfRule>
    <cfRule type="cellIs" dxfId="16030" priority="1124" operator="lessThanOrEqual">
      <formula>0</formula>
    </cfRule>
  </conditionalFormatting>
  <conditionalFormatting sqref="V147">
    <cfRule type="cellIs" dxfId="16029" priority="1137" operator="greaterThan">
      <formula>0</formula>
    </cfRule>
    <cfRule type="cellIs" dxfId="16028" priority="1138" operator="lessThanOrEqual">
      <formula>0</formula>
    </cfRule>
  </conditionalFormatting>
  <conditionalFormatting sqref="V160">
    <cfRule type="cellIs" dxfId="16027" priority="1135" operator="greaterThan">
      <formula>0</formula>
    </cfRule>
    <cfRule type="cellIs" dxfId="16026" priority="1136" operator="lessThanOrEqual">
      <formula>0</formula>
    </cfRule>
  </conditionalFormatting>
  <conditionalFormatting sqref="V161:V162 V164:V165">
    <cfRule type="cellIs" dxfId="16025" priority="1131" operator="greaterThan">
      <formula>0</formula>
    </cfRule>
    <cfRule type="cellIs" dxfId="16024" priority="1132" operator="lessThanOrEqual">
      <formula>0</formula>
    </cfRule>
  </conditionalFormatting>
  <conditionalFormatting sqref="V176:V177 V179:V180">
    <cfRule type="cellIs" dxfId="16023" priority="1129" operator="greaterThan">
      <formula>0</formula>
    </cfRule>
    <cfRule type="cellIs" dxfId="16022" priority="1130" operator="lessThanOrEqual">
      <formula>0</formula>
    </cfRule>
  </conditionalFormatting>
  <conditionalFormatting sqref="V178">
    <cfRule type="cellIs" dxfId="16021" priority="1121" operator="greaterThan">
      <formula>0</formula>
    </cfRule>
    <cfRule type="cellIs" dxfId="16020" priority="1122" operator="lessThanOrEqual">
      <formula>0</formula>
    </cfRule>
  </conditionalFormatting>
  <conditionalFormatting sqref="V181">
    <cfRule type="cellIs" dxfId="16019" priority="1119" operator="greaterThan">
      <formula>0</formula>
    </cfRule>
    <cfRule type="cellIs" dxfId="16018" priority="1120" operator="lessThanOrEqual">
      <formula>0</formula>
    </cfRule>
  </conditionalFormatting>
  <conditionalFormatting sqref="V184">
    <cfRule type="cellIs" dxfId="16017" priority="1117" operator="greaterThan">
      <formula>0</formula>
    </cfRule>
    <cfRule type="cellIs" dxfId="16016" priority="1118" operator="lessThanOrEqual">
      <formula>0</formula>
    </cfRule>
  </conditionalFormatting>
  <conditionalFormatting sqref="V132">
    <cfRule type="cellIs" dxfId="16015" priority="1115" operator="lessThan">
      <formula>0</formula>
    </cfRule>
    <cfRule type="cellIs" dxfId="16014" priority="1116" operator="greaterThanOrEqual">
      <formula>0</formula>
    </cfRule>
  </conditionalFormatting>
  <conditionalFormatting sqref="V175">
    <cfRule type="cellIs" dxfId="16013" priority="1113" operator="greaterThan">
      <formula>0</formula>
    </cfRule>
    <cfRule type="cellIs" dxfId="16012" priority="1114" operator="lessThanOrEqual">
      <formula>0</formula>
    </cfRule>
  </conditionalFormatting>
  <conditionalFormatting sqref="V174">
    <cfRule type="cellIs" dxfId="16011" priority="1111" operator="greaterThan">
      <formula>0</formula>
    </cfRule>
    <cfRule type="cellIs" dxfId="16010" priority="1112" operator="lessThanOrEqual">
      <formula>0</formula>
    </cfRule>
  </conditionalFormatting>
  <conditionalFormatting sqref="R26">
    <cfRule type="cellIs" dxfId="16009" priority="1109" operator="greaterThan">
      <formula>0</formula>
    </cfRule>
    <cfRule type="cellIs" dxfId="16008" priority="1110" operator="lessThanOrEqual">
      <formula>0</formula>
    </cfRule>
  </conditionalFormatting>
  <conditionalFormatting sqref="Q26">
    <cfRule type="cellIs" dxfId="16007" priority="1108" operator="greaterThanOrEqual">
      <formula>0</formula>
    </cfRule>
  </conditionalFormatting>
  <conditionalFormatting sqref="Q26">
    <cfRule type="cellIs" dxfId="16006" priority="1107" operator="lessThan">
      <formula>0</formula>
    </cfRule>
  </conditionalFormatting>
  <conditionalFormatting sqref="V26">
    <cfRule type="cellIs" dxfId="16005" priority="1105" operator="greaterThan">
      <formula>0</formula>
    </cfRule>
    <cfRule type="cellIs" dxfId="16004" priority="1106" operator="lessThanOrEqual">
      <formula>0</formula>
    </cfRule>
  </conditionalFormatting>
  <conditionalFormatting sqref="U26">
    <cfRule type="cellIs" dxfId="16003" priority="1104" operator="greaterThanOrEqual">
      <formula>0</formula>
    </cfRule>
  </conditionalFormatting>
  <conditionalFormatting sqref="U26">
    <cfRule type="cellIs" dxfId="16002" priority="1103" operator="lessThan">
      <formula>0</formula>
    </cfRule>
  </conditionalFormatting>
  <conditionalFormatting sqref="X26">
    <cfRule type="cellIs" dxfId="16001" priority="1102" operator="greaterThanOrEqual">
      <formula>0</formula>
    </cfRule>
  </conditionalFormatting>
  <conditionalFormatting sqref="X26">
    <cfRule type="cellIs" dxfId="16000" priority="1101" operator="lessThan">
      <formula>0</formula>
    </cfRule>
  </conditionalFormatting>
  <conditionalFormatting sqref="Y26">
    <cfRule type="cellIs" dxfId="15999" priority="1100" operator="greaterThanOrEqual">
      <formula>0</formula>
    </cfRule>
  </conditionalFormatting>
  <conditionalFormatting sqref="Y26">
    <cfRule type="cellIs" dxfId="15998" priority="1099" operator="lessThan">
      <formula>0</formula>
    </cfRule>
  </conditionalFormatting>
  <conditionalFormatting sqref="R89">
    <cfRule type="cellIs" dxfId="15997" priority="1097" operator="greaterThan">
      <formula>0</formula>
    </cfRule>
    <cfRule type="cellIs" dxfId="15996" priority="1098" operator="lessThanOrEqual">
      <formula>0</formula>
    </cfRule>
  </conditionalFormatting>
  <conditionalFormatting sqref="Q89">
    <cfRule type="cellIs" dxfId="15995" priority="1096" operator="greaterThanOrEqual">
      <formula>0</formula>
    </cfRule>
  </conditionalFormatting>
  <conditionalFormatting sqref="Q89">
    <cfRule type="cellIs" dxfId="15994" priority="1095" operator="lessThan">
      <formula>0</formula>
    </cfRule>
  </conditionalFormatting>
  <conditionalFormatting sqref="V89">
    <cfRule type="cellIs" dxfId="15993" priority="1093" operator="greaterThan">
      <formula>0</formula>
    </cfRule>
    <cfRule type="cellIs" dxfId="15992" priority="1094" operator="lessThanOrEqual">
      <formula>0</formula>
    </cfRule>
  </conditionalFormatting>
  <conditionalFormatting sqref="U89">
    <cfRule type="cellIs" dxfId="15991" priority="1092" operator="greaterThanOrEqual">
      <formula>0</formula>
    </cfRule>
  </conditionalFormatting>
  <conditionalFormatting sqref="U89">
    <cfRule type="cellIs" dxfId="15990" priority="1091" operator="lessThan">
      <formula>0</formula>
    </cfRule>
  </conditionalFormatting>
  <conditionalFormatting sqref="X89">
    <cfRule type="cellIs" dxfId="15989" priority="1090" operator="greaterThanOrEqual">
      <formula>0</formula>
    </cfRule>
  </conditionalFormatting>
  <conditionalFormatting sqref="X89">
    <cfRule type="cellIs" dxfId="15988" priority="1089" operator="lessThan">
      <formula>0</formula>
    </cfRule>
  </conditionalFormatting>
  <conditionalFormatting sqref="Y89">
    <cfRule type="cellIs" dxfId="15987" priority="1088" operator="greaterThanOrEqual">
      <formula>0</formula>
    </cfRule>
  </conditionalFormatting>
  <conditionalFormatting sqref="Y89">
    <cfRule type="cellIs" dxfId="15986" priority="1087" operator="lessThan">
      <formula>0</formula>
    </cfRule>
  </conditionalFormatting>
  <conditionalFormatting sqref="R146">
    <cfRule type="cellIs" dxfId="15985" priority="1085" operator="greaterThan">
      <formula>0</formula>
    </cfRule>
    <cfRule type="cellIs" dxfId="15984" priority="1086" operator="lessThanOrEqual">
      <formula>0</formula>
    </cfRule>
  </conditionalFormatting>
  <conditionalFormatting sqref="U146 X146:Y146 Q146">
    <cfRule type="cellIs" dxfId="15983" priority="1084" operator="greaterThanOrEqual">
      <formula>0</formula>
    </cfRule>
  </conditionalFormatting>
  <conditionalFormatting sqref="U146 X146:Y146 Q146">
    <cfRule type="cellIs" dxfId="15982" priority="1083" operator="lessThan">
      <formula>0</formula>
    </cfRule>
  </conditionalFormatting>
  <conditionalFormatting sqref="V146">
    <cfRule type="cellIs" dxfId="15981" priority="1081" operator="greaterThan">
      <formula>0</formula>
    </cfRule>
    <cfRule type="cellIs" dxfId="15980" priority="1082" operator="lessThanOrEqual">
      <formula>0</formula>
    </cfRule>
  </conditionalFormatting>
  <conditionalFormatting sqref="AC12:AC13">
    <cfRule type="cellIs" dxfId="15979" priority="1079" operator="greaterThan">
      <formula>0</formula>
    </cfRule>
    <cfRule type="cellIs" dxfId="15978" priority="1080" operator="lessThanOrEqual">
      <formula>0</formula>
    </cfRule>
  </conditionalFormatting>
  <conditionalFormatting sqref="AC15:AC16">
    <cfRule type="cellIs" dxfId="15977" priority="1077" operator="greaterThan">
      <formula>0</formula>
    </cfRule>
    <cfRule type="cellIs" dxfId="15976" priority="1078" operator="lessThanOrEqual">
      <formula>0</formula>
    </cfRule>
  </conditionalFormatting>
  <conditionalFormatting sqref="AC18:AC19">
    <cfRule type="cellIs" dxfId="15975" priority="1075" operator="greaterThan">
      <formula>0</formula>
    </cfRule>
    <cfRule type="cellIs" dxfId="15974" priority="1076" operator="lessThanOrEqual">
      <formula>0</formula>
    </cfRule>
  </conditionalFormatting>
  <conditionalFormatting sqref="AC28:AC29">
    <cfRule type="cellIs" dxfId="15973" priority="1073" operator="greaterThan">
      <formula>0</formula>
    </cfRule>
    <cfRule type="cellIs" dxfId="15972" priority="1074" operator="lessThanOrEqual">
      <formula>0</formula>
    </cfRule>
  </conditionalFormatting>
  <conditionalFormatting sqref="AC21:AC22">
    <cfRule type="cellIs" dxfId="15971" priority="1071" operator="greaterThan">
      <formula>0</formula>
    </cfRule>
    <cfRule type="cellIs" dxfId="15970" priority="1072" operator="lessThanOrEqual">
      <formula>0</formula>
    </cfRule>
  </conditionalFormatting>
  <conditionalFormatting sqref="AC31:AC32">
    <cfRule type="cellIs" dxfId="15969" priority="1069" operator="greaterThan">
      <formula>0</formula>
    </cfRule>
    <cfRule type="cellIs" dxfId="15968" priority="1070" operator="lessThanOrEqual">
      <formula>0</formula>
    </cfRule>
  </conditionalFormatting>
  <conditionalFormatting sqref="AC34:AC35">
    <cfRule type="cellIs" dxfId="15967" priority="1067" operator="greaterThan">
      <formula>0</formula>
    </cfRule>
    <cfRule type="cellIs" dxfId="15966" priority="1068" operator="lessThanOrEqual">
      <formula>0</formula>
    </cfRule>
  </conditionalFormatting>
  <conditionalFormatting sqref="AC37:AC38">
    <cfRule type="cellIs" dxfId="15965" priority="1065" operator="greaterThan">
      <formula>0</formula>
    </cfRule>
    <cfRule type="cellIs" dxfId="15964" priority="1066" operator="lessThanOrEqual">
      <formula>0</formula>
    </cfRule>
  </conditionalFormatting>
  <conditionalFormatting sqref="AC47:AC48">
    <cfRule type="cellIs" dxfId="15963" priority="1063" operator="greaterThan">
      <formula>0</formula>
    </cfRule>
    <cfRule type="cellIs" dxfId="15962" priority="1064" operator="lessThanOrEqual">
      <formula>0</formula>
    </cfRule>
  </conditionalFormatting>
  <conditionalFormatting sqref="AC62:AC63">
    <cfRule type="cellIs" dxfId="15961" priority="1061" operator="greaterThan">
      <formula>0</formula>
    </cfRule>
    <cfRule type="cellIs" dxfId="15960" priority="1062" operator="lessThanOrEqual">
      <formula>0</formula>
    </cfRule>
  </conditionalFormatting>
  <conditionalFormatting sqref="AC52:AC53">
    <cfRule type="cellIs" dxfId="15959" priority="1059" operator="greaterThan">
      <formula>0</formula>
    </cfRule>
    <cfRule type="cellIs" dxfId="15958" priority="1060" operator="lessThanOrEqual">
      <formula>0</formula>
    </cfRule>
  </conditionalFormatting>
  <conditionalFormatting sqref="AC14">
    <cfRule type="cellIs" dxfId="15957" priority="1057" operator="greaterThan">
      <formula>0</formula>
    </cfRule>
    <cfRule type="cellIs" dxfId="15956" priority="1058" operator="lessThanOrEqual">
      <formula>0</formula>
    </cfRule>
  </conditionalFormatting>
  <conditionalFormatting sqref="AC17">
    <cfRule type="cellIs" dxfId="15955" priority="1055" operator="greaterThan">
      <formula>0</formula>
    </cfRule>
    <cfRule type="cellIs" dxfId="15954" priority="1056" operator="lessThanOrEqual">
      <formula>0</formula>
    </cfRule>
  </conditionalFormatting>
  <conditionalFormatting sqref="AC20">
    <cfRule type="cellIs" dxfId="15953" priority="1053" operator="greaterThan">
      <formula>0</formula>
    </cfRule>
    <cfRule type="cellIs" dxfId="15952" priority="1054" operator="lessThanOrEqual">
      <formula>0</formula>
    </cfRule>
  </conditionalFormatting>
  <conditionalFormatting sqref="AC30">
    <cfRule type="cellIs" dxfId="15951" priority="1051" operator="greaterThan">
      <formula>0</formula>
    </cfRule>
    <cfRule type="cellIs" dxfId="15950" priority="1052" operator="lessThanOrEqual">
      <formula>0</formula>
    </cfRule>
  </conditionalFormatting>
  <conditionalFormatting sqref="AC23">
    <cfRule type="cellIs" dxfId="15949" priority="1049" operator="greaterThan">
      <formula>0</formula>
    </cfRule>
    <cfRule type="cellIs" dxfId="15948" priority="1050" operator="lessThanOrEqual">
      <formula>0</formula>
    </cfRule>
  </conditionalFormatting>
  <conditionalFormatting sqref="AC33">
    <cfRule type="cellIs" dxfId="15947" priority="1047" operator="greaterThan">
      <formula>0</formula>
    </cfRule>
    <cfRule type="cellIs" dxfId="15946" priority="1048" operator="lessThanOrEqual">
      <formula>0</formula>
    </cfRule>
  </conditionalFormatting>
  <conditionalFormatting sqref="AC36">
    <cfRule type="cellIs" dxfId="15945" priority="1045" operator="greaterThan">
      <formula>0</formula>
    </cfRule>
    <cfRule type="cellIs" dxfId="15944" priority="1046" operator="lessThanOrEqual">
      <formula>0</formula>
    </cfRule>
  </conditionalFormatting>
  <conditionalFormatting sqref="AC39">
    <cfRule type="cellIs" dxfId="15943" priority="1043" operator="greaterThan">
      <formula>0</formula>
    </cfRule>
    <cfRule type="cellIs" dxfId="15942" priority="1044" operator="lessThanOrEqual">
      <formula>0</formula>
    </cfRule>
  </conditionalFormatting>
  <conditionalFormatting sqref="AC25">
    <cfRule type="cellIs" dxfId="15941" priority="1041" operator="greaterThan">
      <formula>0</formula>
    </cfRule>
    <cfRule type="cellIs" dxfId="15940" priority="1042" operator="lessThanOrEqual">
      <formula>0</formula>
    </cfRule>
  </conditionalFormatting>
  <conditionalFormatting sqref="AC65 AC67 AC70">
    <cfRule type="cellIs" dxfId="15939" priority="1039" operator="greaterThan">
      <formula>0</formula>
    </cfRule>
    <cfRule type="cellIs" dxfId="15938" priority="1040" operator="lessThanOrEqual">
      <formula>0</formula>
    </cfRule>
  </conditionalFormatting>
  <conditionalFormatting sqref="AB12:AB13 AB15:AB16 AB18:AB19 AB21:AB22 AB28:AB29 AB31:AB32 AB34:AB35 AB37:AB38 AB47:AB48 AB52:AB53">
    <cfRule type="cellIs" dxfId="15937" priority="1037" operator="lessThan">
      <formula>0</formula>
    </cfRule>
    <cfRule type="cellIs" dxfId="15936" priority="1038" operator="greaterThanOrEqual">
      <formula>0</formula>
    </cfRule>
  </conditionalFormatting>
  <conditionalFormatting sqref="AB14 AB17 AB20 AB23 AB25 AB30 AB33 AB36 AB39">
    <cfRule type="cellIs" dxfId="15935" priority="1036" operator="greaterThanOrEqual">
      <formula>0</formula>
    </cfRule>
  </conditionalFormatting>
  <conditionalFormatting sqref="AB14 AB17 AB20 AB23 AB25 AB30 AB33 AB36 AB39">
    <cfRule type="cellIs" dxfId="15934" priority="1035" operator="lessThan">
      <formula>0</formula>
    </cfRule>
  </conditionalFormatting>
  <conditionalFormatting sqref="AC72">
    <cfRule type="cellIs" dxfId="15933" priority="1033" operator="greaterThan">
      <formula>0</formula>
    </cfRule>
    <cfRule type="cellIs" dxfId="15932" priority="1034" operator="lessThanOrEqual">
      <formula>0</formula>
    </cfRule>
  </conditionalFormatting>
  <conditionalFormatting sqref="AC66">
    <cfRule type="cellIs" dxfId="15931" priority="1031" operator="greaterThan">
      <formula>0</formula>
    </cfRule>
    <cfRule type="cellIs" dxfId="15930" priority="1032" operator="lessThanOrEqual">
      <formula>0</formula>
    </cfRule>
  </conditionalFormatting>
  <conditionalFormatting sqref="AB66">
    <cfRule type="cellIs" dxfId="15929" priority="1029" operator="greaterThanOrEqual">
      <formula>0</formula>
    </cfRule>
    <cfRule type="cellIs" dxfId="15928" priority="1030" operator="lessThan">
      <formula>0</formula>
    </cfRule>
  </conditionalFormatting>
  <conditionalFormatting sqref="AI12:AI13 AI15:AI16 AI18:AI19 AI21:AI22 AI28:AI29 AI31:AI32 AI34:AI35 AI37:AI38 AI47:AI48">
    <cfRule type="cellIs" dxfId="15927" priority="1027" operator="lessThan">
      <formula>0</formula>
    </cfRule>
    <cfRule type="cellIs" dxfId="15926" priority="1028" operator="greaterThanOrEqual">
      <formula>0</formula>
    </cfRule>
  </conditionalFormatting>
  <conditionalFormatting sqref="AI14 AI23 AI17 AI20 AI30 AI33 AI36 AI39">
    <cfRule type="cellIs" dxfId="15925" priority="1026" operator="greaterThanOrEqual">
      <formula>0</formula>
    </cfRule>
  </conditionalFormatting>
  <conditionalFormatting sqref="AI14 AI23 AI17 AI20 AI30 AI33 AI36 AI39">
    <cfRule type="cellIs" dxfId="15924" priority="1025" operator="lessThan">
      <formula>0</formula>
    </cfRule>
  </conditionalFormatting>
  <conditionalFormatting sqref="AI70 AI72">
    <cfRule type="cellIs" dxfId="15923" priority="1023" operator="lessThan">
      <formula>0</formula>
    </cfRule>
    <cfRule type="cellIs" dxfId="15922" priority="1024" operator="greaterThanOrEqual">
      <formula>0</formula>
    </cfRule>
  </conditionalFormatting>
  <conditionalFormatting sqref="AI66">
    <cfRule type="cellIs" dxfId="15921" priority="1021" operator="greaterThanOrEqual">
      <formula>0</formula>
    </cfRule>
    <cfRule type="cellIs" dxfId="15920" priority="1022" operator="lessThan">
      <formula>0</formula>
    </cfRule>
  </conditionalFormatting>
  <conditionalFormatting sqref="AJ12:AJ13">
    <cfRule type="cellIs" dxfId="15919" priority="1019" operator="greaterThan">
      <formula>0</formula>
    </cfRule>
    <cfRule type="cellIs" dxfId="15918" priority="1020" operator="lessThanOrEqual">
      <formula>0</formula>
    </cfRule>
  </conditionalFormatting>
  <conditionalFormatting sqref="AJ67">
    <cfRule type="cellIs" dxfId="15917" priority="1017" operator="lessThan">
      <formula>0</formula>
    </cfRule>
    <cfRule type="cellIs" dxfId="15916" priority="1018" operator="greaterThanOrEqual">
      <formula>0</formula>
    </cfRule>
  </conditionalFormatting>
  <conditionalFormatting sqref="AJ14 AJ23 AJ17 AJ20 AJ30 AJ33 AJ36 AJ39">
    <cfRule type="cellIs" dxfId="15915" priority="1016" operator="greaterThanOrEqual">
      <formula>0</formula>
    </cfRule>
  </conditionalFormatting>
  <conditionalFormatting sqref="AJ14 AJ23 AJ17 AJ20 AJ30 AJ33 AJ36 AJ39">
    <cfRule type="cellIs" dxfId="15914" priority="1015" operator="lessThan">
      <formula>0</formula>
    </cfRule>
  </conditionalFormatting>
  <conditionalFormatting sqref="AI67">
    <cfRule type="cellIs" dxfId="15913" priority="1013" operator="lessThan">
      <formula>0</formula>
    </cfRule>
    <cfRule type="cellIs" dxfId="15912" priority="1014" operator="greaterThanOrEqual">
      <formula>0</formula>
    </cfRule>
  </conditionalFormatting>
  <conditionalFormatting sqref="AJ70 AJ72">
    <cfRule type="cellIs" dxfId="15911" priority="1011" operator="lessThan">
      <formula>0</formula>
    </cfRule>
    <cfRule type="cellIs" dxfId="15910" priority="1012" operator="greaterThanOrEqual">
      <formula>0</formula>
    </cfRule>
  </conditionalFormatting>
  <conditionalFormatting sqref="AJ66">
    <cfRule type="cellIs" dxfId="15909" priority="1009" operator="lessThan">
      <formula>0</formula>
    </cfRule>
    <cfRule type="cellIs" dxfId="15908" priority="1010" operator="greaterThanOrEqual">
      <formula>0</formula>
    </cfRule>
  </conditionalFormatting>
  <conditionalFormatting sqref="AB61">
    <cfRule type="cellIs" dxfId="15907" priority="990" operator="greaterThanOrEqual">
      <formula>0</formula>
    </cfRule>
  </conditionalFormatting>
  <conditionalFormatting sqref="AB61">
    <cfRule type="cellIs" dxfId="15906" priority="989" operator="lessThan">
      <formula>0</formula>
    </cfRule>
  </conditionalFormatting>
  <conditionalFormatting sqref="AC43">
    <cfRule type="cellIs" dxfId="15905" priority="999" operator="greaterThan">
      <formula>0</formula>
    </cfRule>
    <cfRule type="cellIs" dxfId="15904" priority="1000" operator="lessThanOrEqual">
      <formula>0</formula>
    </cfRule>
  </conditionalFormatting>
  <conditionalFormatting sqref="AC46">
    <cfRule type="cellIs" dxfId="15903" priority="997" operator="greaterThan">
      <formula>0</formula>
    </cfRule>
    <cfRule type="cellIs" dxfId="15902" priority="998" operator="lessThanOrEqual">
      <formula>0</formula>
    </cfRule>
  </conditionalFormatting>
  <conditionalFormatting sqref="AC49">
    <cfRule type="cellIs" dxfId="15901" priority="995" operator="greaterThan">
      <formula>0</formula>
    </cfRule>
    <cfRule type="cellIs" dxfId="15900" priority="996" operator="lessThanOrEqual">
      <formula>0</formula>
    </cfRule>
  </conditionalFormatting>
  <conditionalFormatting sqref="AC27">
    <cfRule type="cellIs" dxfId="15899" priority="1007" operator="greaterThan">
      <formula>0</formula>
    </cfRule>
    <cfRule type="cellIs" dxfId="15898" priority="1008" operator="lessThanOrEqual">
      <formula>0</formula>
    </cfRule>
  </conditionalFormatting>
  <conditionalFormatting sqref="AC40">
    <cfRule type="cellIs" dxfId="15897" priority="1005" operator="greaterThan">
      <formula>0</formula>
    </cfRule>
    <cfRule type="cellIs" dxfId="15896" priority="1006" operator="lessThanOrEqual">
      <formula>0</formula>
    </cfRule>
  </conditionalFormatting>
  <conditionalFormatting sqref="AF181">
    <cfRule type="cellIs" dxfId="15895" priority="794" operator="greaterThanOrEqual">
      <formula>0</formula>
    </cfRule>
  </conditionalFormatting>
  <conditionalFormatting sqref="AF181">
    <cfRule type="cellIs" dxfId="15894" priority="793" operator="lessThan">
      <formula>0</formula>
    </cfRule>
  </conditionalFormatting>
  <conditionalFormatting sqref="AC41:AC42 AC44:AC45">
    <cfRule type="cellIs" dxfId="15893" priority="1003" operator="greaterThan">
      <formula>0</formula>
    </cfRule>
    <cfRule type="cellIs" dxfId="15892" priority="1004" operator="lessThanOrEqual">
      <formula>0</formula>
    </cfRule>
  </conditionalFormatting>
  <conditionalFormatting sqref="AC56:AC57 AC59:AC60">
    <cfRule type="cellIs" dxfId="15891" priority="1001" operator="greaterThan">
      <formula>0</formula>
    </cfRule>
    <cfRule type="cellIs" dxfId="15890" priority="1002" operator="lessThanOrEqual">
      <formula>0</formula>
    </cfRule>
  </conditionalFormatting>
  <conditionalFormatting sqref="AC58">
    <cfRule type="cellIs" dxfId="15889" priority="993" operator="greaterThan">
      <formula>0</formula>
    </cfRule>
    <cfRule type="cellIs" dxfId="15888" priority="994" operator="lessThanOrEqual">
      <formula>0</formula>
    </cfRule>
  </conditionalFormatting>
  <conditionalFormatting sqref="AC61">
    <cfRule type="cellIs" dxfId="15887" priority="991" operator="greaterThan">
      <formula>0</formula>
    </cfRule>
    <cfRule type="cellIs" dxfId="15886" priority="992" operator="lessThanOrEqual">
      <formula>0</formula>
    </cfRule>
  </conditionalFormatting>
  <conditionalFormatting sqref="AC64">
    <cfRule type="cellIs" dxfId="15885" priority="987" operator="greaterThan">
      <formula>0</formula>
    </cfRule>
    <cfRule type="cellIs" dxfId="15884" priority="988" operator="lessThanOrEqual">
      <formula>0</formula>
    </cfRule>
  </conditionalFormatting>
  <conditionalFormatting sqref="AG46">
    <cfRule type="cellIs" dxfId="15883" priority="657" operator="greaterThan">
      <formula>0</formula>
    </cfRule>
    <cfRule type="cellIs" dxfId="15882" priority="658" operator="lessThanOrEqual">
      <formula>0</formula>
    </cfRule>
  </conditionalFormatting>
  <conditionalFormatting sqref="AG58">
    <cfRule type="cellIs" dxfId="15881" priority="653" operator="greaterThan">
      <formula>0</formula>
    </cfRule>
    <cfRule type="cellIs" dxfId="15880" priority="654" operator="lessThanOrEqual">
      <formula>0</formula>
    </cfRule>
  </conditionalFormatting>
  <conditionalFormatting sqref="AF61">
    <cfRule type="cellIs" dxfId="15879" priority="650" operator="greaterThanOrEqual">
      <formula>0</formula>
    </cfRule>
  </conditionalFormatting>
  <conditionalFormatting sqref="AF61">
    <cfRule type="cellIs" dxfId="15878" priority="649" operator="lessThan">
      <formula>0</formula>
    </cfRule>
  </conditionalFormatting>
  <conditionalFormatting sqref="AC133">
    <cfRule type="cellIs" dxfId="15877" priority="985" operator="greaterThan">
      <formula>0</formula>
    </cfRule>
    <cfRule type="cellIs" dxfId="15876" priority="986" operator="lessThanOrEqual">
      <formula>0</formula>
    </cfRule>
  </conditionalFormatting>
  <conditionalFormatting sqref="AC135:AC136">
    <cfRule type="cellIs" dxfId="15875" priority="983" operator="greaterThan">
      <formula>0</formula>
    </cfRule>
    <cfRule type="cellIs" dxfId="15874" priority="984" operator="lessThanOrEqual">
      <formula>0</formula>
    </cfRule>
  </conditionalFormatting>
  <conditionalFormatting sqref="AC172:AC173">
    <cfRule type="cellIs" dxfId="15873" priority="965" operator="greaterThan">
      <formula>0</formula>
    </cfRule>
    <cfRule type="cellIs" dxfId="15872" priority="966" operator="lessThanOrEqual">
      <formula>0</formula>
    </cfRule>
  </conditionalFormatting>
  <conditionalFormatting sqref="AC143">
    <cfRule type="cellIs" dxfId="15871" priority="955" operator="greaterThan">
      <formula>0</formula>
    </cfRule>
    <cfRule type="cellIs" dxfId="15870" priority="956" operator="lessThanOrEqual">
      <formula>0</formula>
    </cfRule>
  </conditionalFormatting>
  <conditionalFormatting sqref="AC153">
    <cfRule type="cellIs" dxfId="15869" priority="953" operator="greaterThan">
      <formula>0</formula>
    </cfRule>
    <cfRule type="cellIs" dxfId="15868" priority="954" operator="lessThanOrEqual">
      <formula>0</formula>
    </cfRule>
  </conditionalFormatting>
  <conditionalFormatting sqref="AC156">
    <cfRule type="cellIs" dxfId="15867" priority="951" operator="greaterThan">
      <formula>0</formula>
    </cfRule>
    <cfRule type="cellIs" dxfId="15866" priority="952" operator="lessThanOrEqual">
      <formula>0</formula>
    </cfRule>
  </conditionalFormatting>
  <conditionalFormatting sqref="AB163">
    <cfRule type="cellIs" dxfId="15865" priority="836" operator="greaterThanOrEqual">
      <formula>0</formula>
    </cfRule>
  </conditionalFormatting>
  <conditionalFormatting sqref="AB163">
    <cfRule type="cellIs" dxfId="15864" priority="835" operator="lessThan">
      <formula>0</formula>
    </cfRule>
  </conditionalFormatting>
  <conditionalFormatting sqref="AC163">
    <cfRule type="cellIs" dxfId="15863" priority="837" operator="greaterThan">
      <formula>0</formula>
    </cfRule>
    <cfRule type="cellIs" dxfId="15862" priority="838" operator="lessThanOrEqual">
      <formula>0</formula>
    </cfRule>
  </conditionalFormatting>
  <conditionalFormatting sqref="AF184">
    <cfRule type="cellIs" dxfId="15861" priority="784" operator="greaterThanOrEqual">
      <formula>0</formula>
    </cfRule>
  </conditionalFormatting>
  <conditionalFormatting sqref="AF184">
    <cfRule type="cellIs" dxfId="15860" priority="783" operator="lessThan">
      <formula>0</formula>
    </cfRule>
  </conditionalFormatting>
  <conditionalFormatting sqref="AJ144">
    <cfRule type="cellIs" dxfId="15859" priority="882" operator="greaterThanOrEqual">
      <formula>0</formula>
    </cfRule>
  </conditionalFormatting>
  <conditionalFormatting sqref="AJ144">
    <cfRule type="cellIs" dxfId="15858" priority="881" operator="lessThan">
      <formula>0</formula>
    </cfRule>
  </conditionalFormatting>
  <conditionalFormatting sqref="AF159 AF185">
    <cfRule type="cellIs" dxfId="15857" priority="934" operator="greaterThanOrEqual">
      <formula>0</formula>
    </cfRule>
  </conditionalFormatting>
  <conditionalFormatting sqref="AF159 AF185">
    <cfRule type="cellIs" dxfId="15856" priority="933" operator="lessThan">
      <formula>0</formula>
    </cfRule>
  </conditionalFormatting>
  <conditionalFormatting sqref="AC170">
    <cfRule type="cellIs" dxfId="15855" priority="863" operator="greaterThan">
      <formula>0</formula>
    </cfRule>
    <cfRule type="cellIs" dxfId="15854" priority="864" operator="lessThanOrEqual">
      <formula>0</formula>
    </cfRule>
  </conditionalFormatting>
  <conditionalFormatting sqref="AB170">
    <cfRule type="cellIs" dxfId="15853" priority="862" operator="greaterThanOrEqual">
      <formula>0</formula>
    </cfRule>
  </conditionalFormatting>
  <conditionalFormatting sqref="AB170">
    <cfRule type="cellIs" dxfId="15852" priority="861" operator="lessThan">
      <formula>0</formula>
    </cfRule>
  </conditionalFormatting>
  <conditionalFormatting sqref="AJ166">
    <cfRule type="cellIs" dxfId="15851" priority="820" operator="greaterThanOrEqual">
      <formula>0</formula>
    </cfRule>
  </conditionalFormatting>
  <conditionalFormatting sqref="AJ166">
    <cfRule type="cellIs" dxfId="15850" priority="819" operator="lessThan">
      <formula>0</formula>
    </cfRule>
  </conditionalFormatting>
  <conditionalFormatting sqref="AC138:AC139">
    <cfRule type="cellIs" dxfId="15849" priority="981" operator="greaterThan">
      <formula>0</formula>
    </cfRule>
    <cfRule type="cellIs" dxfId="15848" priority="982" operator="lessThanOrEqual">
      <formula>0</formula>
    </cfRule>
  </conditionalFormatting>
  <conditionalFormatting sqref="AC148:AC149">
    <cfRule type="cellIs" dxfId="15847" priority="979" operator="greaterThan">
      <formula>0</formula>
    </cfRule>
    <cfRule type="cellIs" dxfId="15846" priority="980" operator="lessThanOrEqual">
      <formula>0</formula>
    </cfRule>
  </conditionalFormatting>
  <conditionalFormatting sqref="AC141:AC142">
    <cfRule type="cellIs" dxfId="15845" priority="977" operator="greaterThan">
      <formula>0</formula>
    </cfRule>
    <cfRule type="cellIs" dxfId="15844" priority="978" operator="lessThanOrEqual">
      <formula>0</formula>
    </cfRule>
  </conditionalFormatting>
  <conditionalFormatting sqref="AC151:AC152">
    <cfRule type="cellIs" dxfId="15843" priority="975" operator="greaterThan">
      <formula>0</formula>
    </cfRule>
    <cfRule type="cellIs" dxfId="15842" priority="976" operator="lessThanOrEqual">
      <formula>0</formula>
    </cfRule>
  </conditionalFormatting>
  <conditionalFormatting sqref="AC154:AC155">
    <cfRule type="cellIs" dxfId="15841" priority="973" operator="greaterThan">
      <formula>0</formula>
    </cfRule>
    <cfRule type="cellIs" dxfId="15840" priority="974" operator="lessThanOrEqual">
      <formula>0</formula>
    </cfRule>
  </conditionalFormatting>
  <conditionalFormatting sqref="AC157:AC158">
    <cfRule type="cellIs" dxfId="15839" priority="971" operator="greaterThan">
      <formula>0</formula>
    </cfRule>
    <cfRule type="cellIs" dxfId="15838" priority="972" operator="lessThanOrEqual">
      <formula>0</formula>
    </cfRule>
  </conditionalFormatting>
  <conditionalFormatting sqref="AC167:AC168">
    <cfRule type="cellIs" dxfId="15837" priority="969" operator="greaterThan">
      <formula>0</formula>
    </cfRule>
    <cfRule type="cellIs" dxfId="15836" priority="970" operator="lessThanOrEqual">
      <formula>0</formula>
    </cfRule>
  </conditionalFormatting>
  <conditionalFormatting sqref="AC182:AC183">
    <cfRule type="cellIs" dxfId="15835" priority="967" operator="greaterThan">
      <formula>0</formula>
    </cfRule>
    <cfRule type="cellIs" dxfId="15834" priority="968" operator="lessThanOrEqual">
      <formula>0</formula>
    </cfRule>
  </conditionalFormatting>
  <conditionalFormatting sqref="AC134">
    <cfRule type="cellIs" dxfId="15833" priority="963" operator="greaterThan">
      <formula>0</formula>
    </cfRule>
    <cfRule type="cellIs" dxfId="15832" priority="964" operator="lessThanOrEqual">
      <formula>0</formula>
    </cfRule>
  </conditionalFormatting>
  <conditionalFormatting sqref="AC137">
    <cfRule type="cellIs" dxfId="15831" priority="961" operator="greaterThan">
      <formula>0</formula>
    </cfRule>
    <cfRule type="cellIs" dxfId="15830" priority="962" operator="lessThanOrEqual">
      <formula>0</formula>
    </cfRule>
  </conditionalFormatting>
  <conditionalFormatting sqref="AC140">
    <cfRule type="cellIs" dxfId="15829" priority="959" operator="greaterThan">
      <formula>0</formula>
    </cfRule>
    <cfRule type="cellIs" dxfId="15828" priority="960" operator="lessThanOrEqual">
      <formula>0</formula>
    </cfRule>
  </conditionalFormatting>
  <conditionalFormatting sqref="AC150">
    <cfRule type="cellIs" dxfId="15827" priority="957" operator="greaterThan">
      <formula>0</formula>
    </cfRule>
    <cfRule type="cellIs" dxfId="15826" priority="958" operator="lessThanOrEqual">
      <formula>0</formula>
    </cfRule>
  </conditionalFormatting>
  <conditionalFormatting sqref="AC159">
    <cfRule type="cellIs" dxfId="15825" priority="949" operator="greaterThan">
      <formula>0</formula>
    </cfRule>
    <cfRule type="cellIs" dxfId="15824" priority="950" operator="lessThanOrEqual">
      <formula>0</formula>
    </cfRule>
  </conditionalFormatting>
  <conditionalFormatting sqref="AC145">
    <cfRule type="cellIs" dxfId="15823" priority="947" operator="greaterThan">
      <formula>0</formula>
    </cfRule>
    <cfRule type="cellIs" dxfId="15822" priority="948" operator="lessThanOrEqual">
      <formula>0</formula>
    </cfRule>
  </conditionalFormatting>
  <conditionalFormatting sqref="AC185">
    <cfRule type="cellIs" dxfId="15821" priority="945" operator="greaterThan">
      <formula>0</formula>
    </cfRule>
    <cfRule type="cellIs" dxfId="15820" priority="946" operator="lessThanOrEqual">
      <formula>0</formula>
    </cfRule>
  </conditionalFormatting>
  <conditionalFormatting sqref="AB132:AB133 AB135:AB136 AB138:AB139 AB148:AB149 AB141:AB142 AB151:AB152 AB154:AB155 AB157:AB158 AB167:AB168 AB182:AB183 AB172:AB173 AF182:AF183 AF172:AF173 AI182:AJ183 AI172:AJ173">
    <cfRule type="cellIs" dxfId="15819" priority="943" operator="lessThan">
      <formula>0</formula>
    </cfRule>
    <cfRule type="cellIs" dxfId="15818" priority="944" operator="greaterThanOrEqual">
      <formula>0</formula>
    </cfRule>
  </conditionalFormatting>
  <conditionalFormatting sqref="AB134 AB137 AB140 AB153 AB156 AB159 AB185 AF145 AI145:AJ145 AB150 AB143 AB145">
    <cfRule type="cellIs" dxfId="15817" priority="942" operator="greaterThanOrEqual">
      <formula>0</formula>
    </cfRule>
  </conditionalFormatting>
  <conditionalFormatting sqref="AB134 AB137 AB140 AB153 AB156 AB159 AB185 AF145 AI145:AJ145 AB150 AB143 AB145">
    <cfRule type="cellIs" dxfId="15816" priority="941" operator="lessThan">
      <formula>0</formula>
    </cfRule>
  </conditionalFormatting>
  <conditionalFormatting sqref="AF132:AF133 AF135:AF136 AF138:AF139 AF148:AF149 AF141:AF142 AF151:AF152 AF154:AF155">
    <cfRule type="cellIs" dxfId="15815" priority="939" operator="lessThan">
      <formula>0</formula>
    </cfRule>
    <cfRule type="cellIs" dxfId="15814" priority="940" operator="greaterThanOrEqual">
      <formula>0</formula>
    </cfRule>
  </conditionalFormatting>
  <conditionalFormatting sqref="AF134 AF137 AF140 AF150 AF143 AF153 AF156">
    <cfRule type="cellIs" dxfId="15813" priority="938" operator="greaterThanOrEqual">
      <formula>0</formula>
    </cfRule>
  </conditionalFormatting>
  <conditionalFormatting sqref="AF134 AF137 AF140 AF150 AF143 AF153 AF156">
    <cfRule type="cellIs" dxfId="15812" priority="937" operator="lessThan">
      <formula>0</formula>
    </cfRule>
  </conditionalFormatting>
  <conditionalFormatting sqref="AF157:AF158 AF167:AF168">
    <cfRule type="cellIs" dxfId="15811" priority="935" operator="lessThan">
      <formula>0</formula>
    </cfRule>
    <cfRule type="cellIs" dxfId="15810" priority="936" operator="greaterThanOrEqual">
      <formula>0</formula>
    </cfRule>
  </conditionalFormatting>
  <conditionalFormatting sqref="AC186">
    <cfRule type="cellIs" dxfId="15809" priority="931" operator="greaterThan">
      <formula>0</formula>
    </cfRule>
    <cfRule type="cellIs" dxfId="15808" priority="932" operator="lessThanOrEqual">
      <formula>0</formula>
    </cfRule>
  </conditionalFormatting>
  <conditionalFormatting sqref="AF186">
    <cfRule type="cellIs" dxfId="15807" priority="929" operator="greaterThanOrEqual">
      <formula>0</formula>
    </cfRule>
    <cfRule type="cellIs" dxfId="15806" priority="930" operator="lessThan">
      <formula>0</formula>
    </cfRule>
  </conditionalFormatting>
  <conditionalFormatting sqref="AB186">
    <cfRule type="cellIs" dxfId="15805" priority="927" operator="greaterThanOrEqual">
      <formula>0</formula>
    </cfRule>
    <cfRule type="cellIs" dxfId="15804" priority="928" operator="lessThan">
      <formula>0</formula>
    </cfRule>
  </conditionalFormatting>
  <conditionalFormatting sqref="AI132:AI133 AI135:AI136 AI138:AI139 AI148:AI149 AI141:AI142 AI151:AI152 AI154:AI155 AI157:AI158 AI167:AI168">
    <cfRule type="cellIs" dxfId="15803" priority="925" operator="lessThan">
      <formula>0</formula>
    </cfRule>
    <cfRule type="cellIs" dxfId="15802" priority="926" operator="greaterThanOrEqual">
      <formula>0</formula>
    </cfRule>
  </conditionalFormatting>
  <conditionalFormatting sqref="AI134 AI137 AI140 AI150 AI143 AI153 AI156 AI159 AI185">
    <cfRule type="cellIs" dxfId="15801" priority="924" operator="greaterThanOrEqual">
      <formula>0</formula>
    </cfRule>
  </conditionalFormatting>
  <conditionalFormatting sqref="AI134 AI137 AI140 AI150 AI143 AI153 AI156 AI159 AI185">
    <cfRule type="cellIs" dxfId="15800" priority="923" operator="lessThan">
      <formula>0</formula>
    </cfRule>
  </conditionalFormatting>
  <conditionalFormatting sqref="AI186">
    <cfRule type="cellIs" dxfId="15799" priority="921" operator="greaterThanOrEqual">
      <formula>0</formula>
    </cfRule>
    <cfRule type="cellIs" dxfId="15798" priority="922" operator="lessThan">
      <formula>0</formula>
    </cfRule>
  </conditionalFormatting>
  <conditionalFormatting sqref="AJ132:AJ133">
    <cfRule type="cellIs" dxfId="15797" priority="919" operator="greaterThan">
      <formula>0</formula>
    </cfRule>
    <cfRule type="cellIs" dxfId="15796" priority="920" operator="lessThanOrEqual">
      <formula>0</formula>
    </cfRule>
  </conditionalFormatting>
  <conditionalFormatting sqref="AJ135:AJ136">
    <cfRule type="cellIs" dxfId="15795" priority="917" operator="greaterThan">
      <formula>0</formula>
    </cfRule>
    <cfRule type="cellIs" dxfId="15794" priority="918" operator="lessThanOrEqual">
      <formula>0</formula>
    </cfRule>
  </conditionalFormatting>
  <conditionalFormatting sqref="AJ138:AJ139">
    <cfRule type="cellIs" dxfId="15793" priority="915" operator="greaterThan">
      <formula>0</formula>
    </cfRule>
    <cfRule type="cellIs" dxfId="15792" priority="916" operator="lessThanOrEqual">
      <formula>0</formula>
    </cfRule>
  </conditionalFormatting>
  <conditionalFormatting sqref="AJ148:AJ149">
    <cfRule type="cellIs" dxfId="15791" priority="913" operator="greaterThan">
      <formula>0</formula>
    </cfRule>
    <cfRule type="cellIs" dxfId="15790" priority="914" operator="lessThanOrEqual">
      <formula>0</formula>
    </cfRule>
  </conditionalFormatting>
  <conditionalFormatting sqref="AJ141:AJ142">
    <cfRule type="cellIs" dxfId="15789" priority="911" operator="greaterThan">
      <formula>0</formula>
    </cfRule>
    <cfRule type="cellIs" dxfId="15788" priority="912" operator="lessThanOrEqual">
      <formula>0</formula>
    </cfRule>
  </conditionalFormatting>
  <conditionalFormatting sqref="AJ151:AJ152">
    <cfRule type="cellIs" dxfId="15787" priority="909" operator="greaterThan">
      <formula>0</formula>
    </cfRule>
    <cfRule type="cellIs" dxfId="15786" priority="910" operator="lessThanOrEqual">
      <formula>0</formula>
    </cfRule>
  </conditionalFormatting>
  <conditionalFormatting sqref="AJ154:AJ155">
    <cfRule type="cellIs" dxfId="15785" priority="907" operator="greaterThan">
      <formula>0</formula>
    </cfRule>
    <cfRule type="cellIs" dxfId="15784" priority="908" operator="lessThanOrEqual">
      <formula>0</formula>
    </cfRule>
  </conditionalFormatting>
  <conditionalFormatting sqref="AJ157:AJ158 AJ167:AJ168">
    <cfRule type="cellIs" dxfId="15783" priority="905" operator="lessThan">
      <formula>0</formula>
    </cfRule>
    <cfRule type="cellIs" dxfId="15782" priority="906" operator="greaterThanOrEqual">
      <formula>0</formula>
    </cfRule>
  </conditionalFormatting>
  <conditionalFormatting sqref="AJ134 AJ137 AJ140 AJ150 AJ143 AJ153 AJ156 AJ159 AJ185">
    <cfRule type="cellIs" dxfId="15781" priority="904" operator="greaterThanOrEqual">
      <formula>0</formula>
    </cfRule>
  </conditionalFormatting>
  <conditionalFormatting sqref="AJ134 AJ137 AJ140 AJ150 AJ143 AJ153 AJ156 AJ159 AJ185">
    <cfRule type="cellIs" dxfId="15780" priority="903" operator="lessThan">
      <formula>0</formula>
    </cfRule>
  </conditionalFormatting>
  <conditionalFormatting sqref="AJ186">
    <cfRule type="cellIs" dxfId="15779" priority="901" operator="lessThan">
      <formula>0</formula>
    </cfRule>
    <cfRule type="cellIs" dxfId="15778" priority="902" operator="greaterThanOrEqual">
      <formula>0</formula>
    </cfRule>
  </conditionalFormatting>
  <conditionalFormatting sqref="AC171">
    <cfRule type="cellIs" dxfId="15777" priority="899" operator="greaterThan">
      <formula>0</formula>
    </cfRule>
    <cfRule type="cellIs" dxfId="15776" priority="900" operator="lessThanOrEqual">
      <formula>0</formula>
    </cfRule>
  </conditionalFormatting>
  <conditionalFormatting sqref="AB171">
    <cfRule type="cellIs" dxfId="15775" priority="898" operator="greaterThanOrEqual">
      <formula>0</formula>
    </cfRule>
  </conditionalFormatting>
  <conditionalFormatting sqref="AB171">
    <cfRule type="cellIs" dxfId="15774" priority="897" operator="lessThan">
      <formula>0</formula>
    </cfRule>
  </conditionalFormatting>
  <conditionalFormatting sqref="AF171">
    <cfRule type="cellIs" dxfId="15773" priority="896" operator="greaterThanOrEqual">
      <formula>0</formula>
    </cfRule>
  </conditionalFormatting>
  <conditionalFormatting sqref="AF171">
    <cfRule type="cellIs" dxfId="15772" priority="895" operator="lessThan">
      <formula>0</formula>
    </cfRule>
  </conditionalFormatting>
  <conditionalFormatting sqref="AI171">
    <cfRule type="cellIs" dxfId="15771" priority="894" operator="greaterThanOrEqual">
      <formula>0</formula>
    </cfRule>
  </conditionalFormatting>
  <conditionalFormatting sqref="AI171">
    <cfRule type="cellIs" dxfId="15770" priority="893" operator="lessThan">
      <formula>0</formula>
    </cfRule>
  </conditionalFormatting>
  <conditionalFormatting sqref="AJ171">
    <cfRule type="cellIs" dxfId="15769" priority="892" operator="greaterThanOrEqual">
      <formula>0</formula>
    </cfRule>
  </conditionalFormatting>
  <conditionalFormatting sqref="AJ171">
    <cfRule type="cellIs" dxfId="15768" priority="891" operator="lessThan">
      <formula>0</formula>
    </cfRule>
  </conditionalFormatting>
  <conditionalFormatting sqref="AB160">
    <cfRule type="cellIs" dxfId="15767" priority="870" operator="greaterThanOrEqual">
      <formula>0</formula>
    </cfRule>
  </conditionalFormatting>
  <conditionalFormatting sqref="AB160">
    <cfRule type="cellIs" dxfId="15766" priority="869" operator="lessThan">
      <formula>0</formula>
    </cfRule>
  </conditionalFormatting>
  <conditionalFormatting sqref="AC144">
    <cfRule type="cellIs" dxfId="15765" priority="889" operator="greaterThan">
      <formula>0</formula>
    </cfRule>
    <cfRule type="cellIs" dxfId="15764" priority="890" operator="lessThanOrEqual">
      <formula>0</formula>
    </cfRule>
  </conditionalFormatting>
  <conditionalFormatting sqref="AB144">
    <cfRule type="cellIs" dxfId="15763" priority="888" operator="greaterThanOrEqual">
      <formula>0</formula>
    </cfRule>
  </conditionalFormatting>
  <conditionalFormatting sqref="AB144">
    <cfRule type="cellIs" dxfId="15762" priority="887" operator="lessThan">
      <formula>0</formula>
    </cfRule>
  </conditionalFormatting>
  <conditionalFormatting sqref="AF144">
    <cfRule type="cellIs" dxfId="15761" priority="886" operator="greaterThanOrEqual">
      <formula>0</formula>
    </cfRule>
  </conditionalFormatting>
  <conditionalFormatting sqref="AF144">
    <cfRule type="cellIs" dxfId="15760" priority="885" operator="lessThan">
      <formula>0</formula>
    </cfRule>
  </conditionalFormatting>
  <conditionalFormatting sqref="AI144">
    <cfRule type="cellIs" dxfId="15759" priority="884" operator="greaterThanOrEqual">
      <formula>0</formula>
    </cfRule>
  </conditionalFormatting>
  <conditionalFormatting sqref="AI144">
    <cfRule type="cellIs" dxfId="15758" priority="883" operator="lessThan">
      <formula>0</formula>
    </cfRule>
  </conditionalFormatting>
  <conditionalFormatting sqref="AF147">
    <cfRule type="cellIs" dxfId="15757" priority="876" operator="greaterThanOrEqual">
      <formula>0</formula>
    </cfRule>
  </conditionalFormatting>
  <conditionalFormatting sqref="AF147">
    <cfRule type="cellIs" dxfId="15756" priority="875" operator="lessThan">
      <formula>0</formula>
    </cfRule>
  </conditionalFormatting>
  <conditionalFormatting sqref="AI163">
    <cfRule type="cellIs" dxfId="15755" priority="832" operator="greaterThanOrEqual">
      <formula>0</formula>
    </cfRule>
  </conditionalFormatting>
  <conditionalFormatting sqref="AI163">
    <cfRule type="cellIs" dxfId="15754" priority="831" operator="lessThan">
      <formula>0</formula>
    </cfRule>
  </conditionalFormatting>
  <conditionalFormatting sqref="AI147:AJ147">
    <cfRule type="cellIs" dxfId="15753" priority="874" operator="greaterThanOrEqual">
      <formula>0</formula>
    </cfRule>
  </conditionalFormatting>
  <conditionalFormatting sqref="AI147:AJ147">
    <cfRule type="cellIs" dxfId="15752" priority="873" operator="lessThan">
      <formula>0</formula>
    </cfRule>
  </conditionalFormatting>
  <conditionalFormatting sqref="AC166">
    <cfRule type="cellIs" dxfId="15751" priority="827" operator="greaterThan">
      <formula>0</formula>
    </cfRule>
    <cfRule type="cellIs" dxfId="15750" priority="828" operator="lessThanOrEqual">
      <formula>0</formula>
    </cfRule>
  </conditionalFormatting>
  <conditionalFormatting sqref="AB166">
    <cfRule type="cellIs" dxfId="15749" priority="826" operator="greaterThanOrEqual">
      <formula>0</formula>
    </cfRule>
  </conditionalFormatting>
  <conditionalFormatting sqref="AB166">
    <cfRule type="cellIs" dxfId="15748" priority="825" operator="lessThan">
      <formula>0</formula>
    </cfRule>
  </conditionalFormatting>
  <conditionalFormatting sqref="AC169">
    <cfRule type="cellIs" dxfId="15747" priority="817" operator="greaterThan">
      <formula>0</formula>
    </cfRule>
    <cfRule type="cellIs" dxfId="15746" priority="818" operator="lessThanOrEqual">
      <formula>0</formula>
    </cfRule>
  </conditionalFormatting>
  <conditionalFormatting sqref="AB169">
    <cfRule type="cellIs" dxfId="15745" priority="816" operator="greaterThanOrEqual">
      <formula>0</formula>
    </cfRule>
  </conditionalFormatting>
  <conditionalFormatting sqref="AB169">
    <cfRule type="cellIs" dxfId="15744" priority="815" operator="lessThan">
      <formula>0</formula>
    </cfRule>
  </conditionalFormatting>
  <conditionalFormatting sqref="AI170:AJ170">
    <cfRule type="cellIs" dxfId="15743" priority="858" operator="greaterThanOrEqual">
      <formula>0</formula>
    </cfRule>
  </conditionalFormatting>
  <conditionalFormatting sqref="AI170:AJ170">
    <cfRule type="cellIs" dxfId="15742" priority="857" operator="lessThan">
      <formula>0</formula>
    </cfRule>
  </conditionalFormatting>
  <conditionalFormatting sqref="AB178">
    <cfRule type="cellIs" dxfId="15741" priority="806" operator="greaterThanOrEqual">
      <formula>0</formula>
    </cfRule>
  </conditionalFormatting>
  <conditionalFormatting sqref="AB178">
    <cfRule type="cellIs" dxfId="15740" priority="805" operator="lessThan">
      <formula>0</formula>
    </cfRule>
  </conditionalFormatting>
  <conditionalFormatting sqref="AC147">
    <cfRule type="cellIs" dxfId="15739" priority="879" operator="greaterThan">
      <formula>0</formula>
    </cfRule>
    <cfRule type="cellIs" dxfId="15738" priority="880" operator="lessThanOrEqual">
      <formula>0</formula>
    </cfRule>
  </conditionalFormatting>
  <conditionalFormatting sqref="AB147">
    <cfRule type="cellIs" dxfId="15737" priority="878" operator="greaterThanOrEqual">
      <formula>0</formula>
    </cfRule>
  </conditionalFormatting>
  <conditionalFormatting sqref="AB147">
    <cfRule type="cellIs" dxfId="15736" priority="877" operator="lessThan">
      <formula>0</formula>
    </cfRule>
  </conditionalFormatting>
  <conditionalFormatting sqref="AF160">
    <cfRule type="cellIs" dxfId="15735" priority="868" operator="greaterThanOrEqual">
      <formula>0</formula>
    </cfRule>
  </conditionalFormatting>
  <conditionalFormatting sqref="AF160">
    <cfRule type="cellIs" dxfId="15734" priority="867" operator="lessThan">
      <formula>0</formula>
    </cfRule>
  </conditionalFormatting>
  <conditionalFormatting sqref="AI160:AJ160">
    <cfRule type="cellIs" dxfId="15733" priority="866" operator="greaterThanOrEqual">
      <formula>0</formula>
    </cfRule>
  </conditionalFormatting>
  <conditionalFormatting sqref="AI160:AJ160">
    <cfRule type="cellIs" dxfId="15732" priority="865" operator="lessThan">
      <formula>0</formula>
    </cfRule>
  </conditionalFormatting>
  <conditionalFormatting sqref="AC160">
    <cfRule type="cellIs" dxfId="15731" priority="871" operator="greaterThan">
      <formula>0</formula>
    </cfRule>
    <cfRule type="cellIs" dxfId="15730" priority="872" operator="lessThanOrEqual">
      <formula>0</formula>
    </cfRule>
  </conditionalFormatting>
  <conditionalFormatting sqref="AF170">
    <cfRule type="cellIs" dxfId="15729" priority="860" operator="greaterThanOrEqual">
      <formula>0</formula>
    </cfRule>
  </conditionalFormatting>
  <conditionalFormatting sqref="AF170">
    <cfRule type="cellIs" dxfId="15728" priority="859" operator="lessThan">
      <formula>0</formula>
    </cfRule>
  </conditionalFormatting>
  <conditionalFormatting sqref="AJ163">
    <cfRule type="cellIs" dxfId="15727" priority="829" operator="lessThan">
      <formula>0</formula>
    </cfRule>
  </conditionalFormatting>
  <conditionalFormatting sqref="AJ169">
    <cfRule type="cellIs" dxfId="15726" priority="809" operator="lessThan">
      <formula>0</formula>
    </cfRule>
  </conditionalFormatting>
  <conditionalFormatting sqref="AF163">
    <cfRule type="cellIs" dxfId="15725" priority="834" operator="greaterThanOrEqual">
      <formula>0</formula>
    </cfRule>
  </conditionalFormatting>
  <conditionalFormatting sqref="AF163">
    <cfRule type="cellIs" dxfId="15724" priority="833" operator="lessThan">
      <formula>0</formula>
    </cfRule>
  </conditionalFormatting>
  <conditionalFormatting sqref="AJ163">
    <cfRule type="cellIs" dxfId="15723" priority="830" operator="greaterThanOrEqual">
      <formula>0</formula>
    </cfRule>
  </conditionalFormatting>
  <conditionalFormatting sqref="AJ178">
    <cfRule type="cellIs" dxfId="15722" priority="799" operator="lessThan">
      <formula>0</formula>
    </cfRule>
  </conditionalFormatting>
  <conditionalFormatting sqref="AC161:AC162 AC164:AC165">
    <cfRule type="cellIs" dxfId="15721" priority="855" operator="greaterThan">
      <formula>0</formula>
    </cfRule>
    <cfRule type="cellIs" dxfId="15720" priority="856" operator="lessThanOrEqual">
      <formula>0</formula>
    </cfRule>
  </conditionalFormatting>
  <conditionalFormatting sqref="AB161:AB162 AB164:AB165">
    <cfRule type="cellIs" dxfId="15719" priority="853" operator="lessThan">
      <formula>0</formula>
    </cfRule>
    <cfRule type="cellIs" dxfId="15718" priority="854" operator="greaterThanOrEqual">
      <formula>0</formula>
    </cfRule>
  </conditionalFormatting>
  <conditionalFormatting sqref="AF161:AF162 AF164:AF165">
    <cfRule type="cellIs" dxfId="15717" priority="851" operator="lessThan">
      <formula>0</formula>
    </cfRule>
    <cfRule type="cellIs" dxfId="15716" priority="852" operator="greaterThanOrEqual">
      <formula>0</formula>
    </cfRule>
  </conditionalFormatting>
  <conditionalFormatting sqref="AI161:AI162 AI164:AI165">
    <cfRule type="cellIs" dxfId="15715" priority="849" operator="lessThan">
      <formula>0</formula>
    </cfRule>
    <cfRule type="cellIs" dxfId="15714" priority="850" operator="greaterThanOrEqual">
      <formula>0</formula>
    </cfRule>
  </conditionalFormatting>
  <conditionalFormatting sqref="AJ161:AJ162 AJ164:AJ165">
    <cfRule type="cellIs" dxfId="15713" priority="847" operator="lessThan">
      <formula>0</formula>
    </cfRule>
    <cfRule type="cellIs" dxfId="15712" priority="848" operator="greaterThanOrEqual">
      <formula>0</formula>
    </cfRule>
  </conditionalFormatting>
  <conditionalFormatting sqref="AF176:AF177 AF179:AF180">
    <cfRule type="cellIs" dxfId="15711" priority="841" operator="lessThan">
      <formula>0</formula>
    </cfRule>
    <cfRule type="cellIs" dxfId="15710" priority="842" operator="greaterThanOrEqual">
      <formula>0</formula>
    </cfRule>
  </conditionalFormatting>
  <conditionalFormatting sqref="AI176:AJ177 AI179:AJ180">
    <cfRule type="cellIs" dxfId="15709" priority="839" operator="lessThan">
      <formula>0</formula>
    </cfRule>
    <cfRule type="cellIs" dxfId="15708" priority="840" operator="greaterThanOrEqual">
      <formula>0</formula>
    </cfRule>
  </conditionalFormatting>
  <conditionalFormatting sqref="AC176:AC177 AC179:AC180">
    <cfRule type="cellIs" dxfId="15707" priority="845" operator="greaterThan">
      <formula>0</formula>
    </cfRule>
    <cfRule type="cellIs" dxfId="15706" priority="846" operator="lessThanOrEqual">
      <formula>0</formula>
    </cfRule>
  </conditionalFormatting>
  <conditionalFormatting sqref="AB176:AB177 AB179:AB180">
    <cfRule type="cellIs" dxfId="15705" priority="843" operator="lessThan">
      <formula>0</formula>
    </cfRule>
    <cfRule type="cellIs" dxfId="15704" priority="844" operator="greaterThanOrEqual">
      <formula>0</formula>
    </cfRule>
  </conditionalFormatting>
  <conditionalFormatting sqref="AC178">
    <cfRule type="cellIs" dxfId="15703" priority="807" operator="greaterThan">
      <formula>0</formula>
    </cfRule>
    <cfRule type="cellIs" dxfId="15702" priority="808" operator="lessThanOrEqual">
      <formula>0</formula>
    </cfRule>
  </conditionalFormatting>
  <conditionalFormatting sqref="AB181">
    <cfRule type="cellIs" dxfId="15701" priority="796" operator="greaterThanOrEqual">
      <formula>0</formula>
    </cfRule>
  </conditionalFormatting>
  <conditionalFormatting sqref="AB181">
    <cfRule type="cellIs" dxfId="15700" priority="795" operator="lessThan">
      <formula>0</formula>
    </cfRule>
  </conditionalFormatting>
  <conditionalFormatting sqref="AF166">
    <cfRule type="cellIs" dxfId="15699" priority="824" operator="greaterThanOrEqual">
      <formula>0</formula>
    </cfRule>
  </conditionalFormatting>
  <conditionalFormatting sqref="AF166">
    <cfRule type="cellIs" dxfId="15698" priority="823" operator="lessThan">
      <formula>0</formula>
    </cfRule>
  </conditionalFormatting>
  <conditionalFormatting sqref="AI166">
    <cfRule type="cellIs" dxfId="15697" priority="822" operator="greaterThanOrEqual">
      <formula>0</formula>
    </cfRule>
  </conditionalFormatting>
  <conditionalFormatting sqref="AI166">
    <cfRule type="cellIs" dxfId="15696" priority="821" operator="lessThan">
      <formula>0</formula>
    </cfRule>
  </conditionalFormatting>
  <conditionalFormatting sqref="AJ181">
    <cfRule type="cellIs" dxfId="15695" priority="789" operator="lessThan">
      <formula>0</formula>
    </cfRule>
  </conditionalFormatting>
  <conditionalFormatting sqref="AC181">
    <cfRule type="cellIs" dxfId="15694" priority="797" operator="greaterThan">
      <formula>0</formula>
    </cfRule>
    <cfRule type="cellIs" dxfId="15693" priority="798" operator="lessThanOrEqual">
      <formula>0</formula>
    </cfRule>
  </conditionalFormatting>
  <conditionalFormatting sqref="AB184">
    <cfRule type="cellIs" dxfId="15692" priority="786" operator="greaterThanOrEqual">
      <formula>0</formula>
    </cfRule>
  </conditionalFormatting>
  <conditionalFormatting sqref="AB184">
    <cfRule type="cellIs" dxfId="15691" priority="785" operator="lessThan">
      <formula>0</formula>
    </cfRule>
  </conditionalFormatting>
  <conditionalFormatting sqref="AI169">
    <cfRule type="cellIs" dxfId="15690" priority="812" operator="greaterThanOrEqual">
      <formula>0</formula>
    </cfRule>
  </conditionalFormatting>
  <conditionalFormatting sqref="AI169">
    <cfRule type="cellIs" dxfId="15689" priority="811" operator="lessThan">
      <formula>0</formula>
    </cfRule>
  </conditionalFormatting>
  <conditionalFormatting sqref="AJ184">
    <cfRule type="cellIs" dxfId="15688" priority="779" operator="lessThan">
      <formula>0</formula>
    </cfRule>
  </conditionalFormatting>
  <conditionalFormatting sqref="AF169">
    <cfRule type="cellIs" dxfId="15687" priority="814" operator="greaterThanOrEqual">
      <formula>0</formula>
    </cfRule>
  </conditionalFormatting>
  <conditionalFormatting sqref="AF169">
    <cfRule type="cellIs" dxfId="15686" priority="813" operator="lessThan">
      <formula>0</formula>
    </cfRule>
  </conditionalFormatting>
  <conditionalFormatting sqref="AJ169">
    <cfRule type="cellIs" dxfId="15685" priority="810" operator="greaterThanOrEqual">
      <formula>0</formula>
    </cfRule>
  </conditionalFormatting>
  <conditionalFormatting sqref="AC184">
    <cfRule type="cellIs" dxfId="15684" priority="787" operator="greaterThan">
      <formula>0</formula>
    </cfRule>
    <cfRule type="cellIs" dxfId="15683" priority="788" operator="lessThanOrEqual">
      <formula>0</formula>
    </cfRule>
  </conditionalFormatting>
  <conditionalFormatting sqref="AF178">
    <cfRule type="cellIs" dxfId="15682" priority="804" operator="greaterThanOrEqual">
      <formula>0</formula>
    </cfRule>
  </conditionalFormatting>
  <conditionalFormatting sqref="AF178">
    <cfRule type="cellIs" dxfId="15681" priority="803" operator="lessThan">
      <formula>0</formula>
    </cfRule>
  </conditionalFormatting>
  <conditionalFormatting sqref="AI178">
    <cfRule type="cellIs" dxfId="15680" priority="802" operator="greaterThanOrEqual">
      <formula>0</formula>
    </cfRule>
  </conditionalFormatting>
  <conditionalFormatting sqref="AI178">
    <cfRule type="cellIs" dxfId="15679" priority="801" operator="lessThan">
      <formula>0</formula>
    </cfRule>
  </conditionalFormatting>
  <conditionalFormatting sqref="AJ178">
    <cfRule type="cellIs" dxfId="15678" priority="800" operator="greaterThanOrEqual">
      <formula>0</formula>
    </cfRule>
  </conditionalFormatting>
  <conditionalFormatting sqref="AI181">
    <cfRule type="cellIs" dxfId="15677" priority="792" operator="greaterThanOrEqual">
      <formula>0</formula>
    </cfRule>
  </conditionalFormatting>
  <conditionalFormatting sqref="AI181">
    <cfRule type="cellIs" dxfId="15676" priority="791" operator="lessThan">
      <formula>0</formula>
    </cfRule>
  </conditionalFormatting>
  <conditionalFormatting sqref="AJ181">
    <cfRule type="cellIs" dxfId="15675" priority="790" operator="greaterThanOrEqual">
      <formula>0</formula>
    </cfRule>
  </conditionalFormatting>
  <conditionalFormatting sqref="AI184">
    <cfRule type="cellIs" dxfId="15674" priority="782" operator="greaterThanOrEqual">
      <formula>0</formula>
    </cfRule>
  </conditionalFormatting>
  <conditionalFormatting sqref="AI184">
    <cfRule type="cellIs" dxfId="15673" priority="781" operator="lessThan">
      <formula>0</formula>
    </cfRule>
  </conditionalFormatting>
  <conditionalFormatting sqref="AJ184">
    <cfRule type="cellIs" dxfId="15672" priority="780" operator="greaterThanOrEqual">
      <formula>0</formula>
    </cfRule>
  </conditionalFormatting>
  <conditionalFormatting sqref="AC24">
    <cfRule type="cellIs" dxfId="15671" priority="777" operator="greaterThan">
      <formula>0</formula>
    </cfRule>
    <cfRule type="cellIs" dxfId="15670" priority="778" operator="lessThanOrEqual">
      <formula>0</formula>
    </cfRule>
  </conditionalFormatting>
  <conditionalFormatting sqref="AJ51">
    <cfRule type="cellIs" dxfId="15669" priority="765" operator="lessThan">
      <formula>0</formula>
    </cfRule>
  </conditionalFormatting>
  <conditionalFormatting sqref="AC55">
    <cfRule type="cellIs" dxfId="15668" priority="775" operator="greaterThan">
      <formula>0</formula>
    </cfRule>
    <cfRule type="cellIs" dxfId="15667" priority="776" operator="lessThanOrEqual">
      <formula>0</formula>
    </cfRule>
  </conditionalFormatting>
  <conditionalFormatting sqref="AB55">
    <cfRule type="cellIs" dxfId="15666" priority="774" operator="greaterThanOrEqual">
      <formula>0</formula>
    </cfRule>
  </conditionalFormatting>
  <conditionalFormatting sqref="AB55">
    <cfRule type="cellIs" dxfId="15665" priority="773" operator="lessThan">
      <formula>0</formula>
    </cfRule>
  </conditionalFormatting>
  <conditionalFormatting sqref="AC51">
    <cfRule type="cellIs" dxfId="15664" priority="771" operator="greaterThan">
      <formula>0</formula>
    </cfRule>
    <cfRule type="cellIs" dxfId="15663" priority="772" operator="lessThanOrEqual">
      <formula>0</formula>
    </cfRule>
  </conditionalFormatting>
  <conditionalFormatting sqref="AB51">
    <cfRule type="cellIs" dxfId="15662" priority="770" operator="greaterThanOrEqual">
      <formula>0</formula>
    </cfRule>
  </conditionalFormatting>
  <conditionalFormatting sqref="AB51">
    <cfRule type="cellIs" dxfId="15661" priority="769" operator="lessThan">
      <formula>0</formula>
    </cfRule>
  </conditionalFormatting>
  <conditionalFormatting sqref="AI51">
    <cfRule type="cellIs" dxfId="15660" priority="768" operator="greaterThanOrEqual">
      <formula>0</formula>
    </cfRule>
  </conditionalFormatting>
  <conditionalFormatting sqref="AI51">
    <cfRule type="cellIs" dxfId="15659" priority="767" operator="lessThan">
      <formula>0</formula>
    </cfRule>
  </conditionalFormatting>
  <conditionalFormatting sqref="AJ51">
    <cfRule type="cellIs" dxfId="15658" priority="766" operator="greaterThanOrEqual">
      <formula>0</formula>
    </cfRule>
  </conditionalFormatting>
  <conditionalFormatting sqref="AC68">
    <cfRule type="cellIs" dxfId="15657" priority="763" operator="greaterThan">
      <formula>0</formula>
    </cfRule>
    <cfRule type="cellIs" dxfId="15656" priority="764" operator="lessThanOrEqual">
      <formula>0</formula>
    </cfRule>
  </conditionalFormatting>
  <conditionalFormatting sqref="AI68">
    <cfRule type="cellIs" dxfId="15655" priority="761" operator="lessThan">
      <formula>0</formula>
    </cfRule>
    <cfRule type="cellIs" dxfId="15654" priority="762" operator="greaterThanOrEqual">
      <formula>0</formula>
    </cfRule>
  </conditionalFormatting>
  <conditionalFormatting sqref="AJ68">
    <cfRule type="cellIs" dxfId="15653" priority="759" operator="lessThan">
      <formula>0</formula>
    </cfRule>
    <cfRule type="cellIs" dxfId="15652" priority="760" operator="greaterThanOrEqual">
      <formula>0</formula>
    </cfRule>
  </conditionalFormatting>
  <conditionalFormatting sqref="AC69">
    <cfRule type="cellIs" dxfId="15651" priority="757" operator="greaterThan">
      <formula>0</formula>
    </cfRule>
    <cfRule type="cellIs" dxfId="15650" priority="758" operator="lessThanOrEqual">
      <formula>0</formula>
    </cfRule>
  </conditionalFormatting>
  <conditionalFormatting sqref="AI71">
    <cfRule type="cellIs" dxfId="15649" priority="755" operator="lessThan">
      <formula>0</formula>
    </cfRule>
    <cfRule type="cellIs" dxfId="15648" priority="756" operator="greaterThanOrEqual">
      <formula>0</formula>
    </cfRule>
  </conditionalFormatting>
  <conditionalFormatting sqref="AC71">
    <cfRule type="cellIs" dxfId="15647" priority="753" operator="greaterThan">
      <formula>0</formula>
    </cfRule>
    <cfRule type="cellIs" dxfId="15646" priority="754" operator="lessThanOrEqual">
      <formula>0</formula>
    </cfRule>
  </conditionalFormatting>
  <conditionalFormatting sqref="AB24">
    <cfRule type="cellIs" dxfId="15645" priority="752" operator="greaterThanOrEqual">
      <formula>0</formula>
    </cfRule>
  </conditionalFormatting>
  <conditionalFormatting sqref="AB24">
    <cfRule type="cellIs" dxfId="15644" priority="751" operator="lessThan">
      <formula>0</formula>
    </cfRule>
  </conditionalFormatting>
  <conditionalFormatting sqref="AB27">
    <cfRule type="cellIs" dxfId="15643" priority="750" operator="greaterThanOrEqual">
      <formula>0</formula>
    </cfRule>
  </conditionalFormatting>
  <conditionalFormatting sqref="AB27">
    <cfRule type="cellIs" dxfId="15642" priority="749" operator="lessThan">
      <formula>0</formula>
    </cfRule>
  </conditionalFormatting>
  <conditionalFormatting sqref="AB40">
    <cfRule type="cellIs" dxfId="15641" priority="748" operator="greaterThanOrEqual">
      <formula>0</formula>
    </cfRule>
  </conditionalFormatting>
  <conditionalFormatting sqref="AB40">
    <cfRule type="cellIs" dxfId="15640" priority="747" operator="lessThan">
      <formula>0</formula>
    </cfRule>
  </conditionalFormatting>
  <conditionalFormatting sqref="AB43">
    <cfRule type="cellIs" dxfId="15639" priority="746" operator="greaterThanOrEqual">
      <formula>0</formula>
    </cfRule>
  </conditionalFormatting>
  <conditionalFormatting sqref="AB43">
    <cfRule type="cellIs" dxfId="15638" priority="745" operator="lessThan">
      <formula>0</formula>
    </cfRule>
  </conditionalFormatting>
  <conditionalFormatting sqref="AB46">
    <cfRule type="cellIs" dxfId="15637" priority="744" operator="greaterThanOrEqual">
      <formula>0</formula>
    </cfRule>
  </conditionalFormatting>
  <conditionalFormatting sqref="AB46">
    <cfRule type="cellIs" dxfId="15636" priority="743" operator="lessThan">
      <formula>0</formula>
    </cfRule>
  </conditionalFormatting>
  <conditionalFormatting sqref="AB49">
    <cfRule type="cellIs" dxfId="15635" priority="742" operator="greaterThanOrEqual">
      <formula>0</formula>
    </cfRule>
  </conditionalFormatting>
  <conditionalFormatting sqref="AB49">
    <cfRule type="cellIs" dxfId="15634" priority="741" operator="lessThan">
      <formula>0</formula>
    </cfRule>
  </conditionalFormatting>
  <conditionalFormatting sqref="AB50">
    <cfRule type="cellIs" dxfId="15633" priority="740" operator="greaterThanOrEqual">
      <formula>0</formula>
    </cfRule>
  </conditionalFormatting>
  <conditionalFormatting sqref="AB50">
    <cfRule type="cellIs" dxfId="15632" priority="739" operator="lessThan">
      <formula>0</formula>
    </cfRule>
  </conditionalFormatting>
  <conditionalFormatting sqref="AB58">
    <cfRule type="cellIs" dxfId="15631" priority="738" operator="greaterThanOrEqual">
      <formula>0</formula>
    </cfRule>
  </conditionalFormatting>
  <conditionalFormatting sqref="AB58">
    <cfRule type="cellIs" dxfId="15630" priority="737" operator="lessThan">
      <formula>0</formula>
    </cfRule>
  </conditionalFormatting>
  <conditionalFormatting sqref="AB64">
    <cfRule type="cellIs" dxfId="15629" priority="736" operator="greaterThanOrEqual">
      <formula>0</formula>
    </cfRule>
  </conditionalFormatting>
  <conditionalFormatting sqref="AB64">
    <cfRule type="cellIs" dxfId="15628" priority="735" operator="lessThan">
      <formula>0</formula>
    </cfRule>
  </conditionalFormatting>
  <conditionalFormatting sqref="AB65">
    <cfRule type="cellIs" dxfId="15627" priority="734" operator="greaterThanOrEqual">
      <formula>0</formula>
    </cfRule>
  </conditionalFormatting>
  <conditionalFormatting sqref="AB65">
    <cfRule type="cellIs" dxfId="15626" priority="733" operator="lessThan">
      <formula>0</formula>
    </cfRule>
  </conditionalFormatting>
  <conditionalFormatting sqref="AB67:AB69">
    <cfRule type="cellIs" dxfId="15625" priority="731" operator="lessThan">
      <formula>0</formula>
    </cfRule>
    <cfRule type="cellIs" dxfId="15624" priority="732" operator="greaterThanOrEqual">
      <formula>0</formula>
    </cfRule>
  </conditionalFormatting>
  <conditionalFormatting sqref="AB70:AB71">
    <cfRule type="cellIs" dxfId="15623" priority="730" operator="greaterThanOrEqual">
      <formula>0</formula>
    </cfRule>
  </conditionalFormatting>
  <conditionalFormatting sqref="AB70:AB71">
    <cfRule type="cellIs" dxfId="15622" priority="729" operator="lessThan">
      <formula>0</formula>
    </cfRule>
  </conditionalFormatting>
  <conditionalFormatting sqref="AB72">
    <cfRule type="cellIs" dxfId="15621" priority="728" operator="greaterThanOrEqual">
      <formula>0</formula>
    </cfRule>
  </conditionalFormatting>
  <conditionalFormatting sqref="AB72">
    <cfRule type="cellIs" dxfId="15620" priority="727" operator="lessThan">
      <formula>0</formula>
    </cfRule>
  </conditionalFormatting>
  <conditionalFormatting sqref="AB41:AB42">
    <cfRule type="cellIs" dxfId="15619" priority="725" operator="lessThan">
      <formula>0</formula>
    </cfRule>
    <cfRule type="cellIs" dxfId="15618" priority="726" operator="greaterThanOrEqual">
      <formula>0</formula>
    </cfRule>
  </conditionalFormatting>
  <conditionalFormatting sqref="AB44:AB45">
    <cfRule type="cellIs" dxfId="15617" priority="723" operator="lessThan">
      <formula>0</formula>
    </cfRule>
    <cfRule type="cellIs" dxfId="15616" priority="724" operator="greaterThanOrEqual">
      <formula>0</formula>
    </cfRule>
  </conditionalFormatting>
  <conditionalFormatting sqref="AB56:AB57">
    <cfRule type="cellIs" dxfId="15615" priority="721" operator="lessThan">
      <formula>0</formula>
    </cfRule>
    <cfRule type="cellIs" dxfId="15614" priority="722" operator="greaterThanOrEqual">
      <formula>0</formula>
    </cfRule>
  </conditionalFormatting>
  <conditionalFormatting sqref="AB59:AB60">
    <cfRule type="cellIs" dxfId="15613" priority="719" operator="lessThan">
      <formula>0</formula>
    </cfRule>
    <cfRule type="cellIs" dxfId="15612" priority="720" operator="greaterThanOrEqual">
      <formula>0</formula>
    </cfRule>
  </conditionalFormatting>
  <conditionalFormatting sqref="AB62:AB63">
    <cfRule type="cellIs" dxfId="15611" priority="717" operator="lessThan">
      <formula>0</formula>
    </cfRule>
    <cfRule type="cellIs" dxfId="15610" priority="718" operator="greaterThanOrEqual">
      <formula>0</formula>
    </cfRule>
  </conditionalFormatting>
  <conditionalFormatting sqref="AG12:AG13">
    <cfRule type="cellIs" dxfId="15609" priority="715" operator="greaterThan">
      <formula>0</formula>
    </cfRule>
    <cfRule type="cellIs" dxfId="15608" priority="716" operator="lessThanOrEqual">
      <formula>0</formula>
    </cfRule>
  </conditionalFormatting>
  <conditionalFormatting sqref="AG15:AG16">
    <cfRule type="cellIs" dxfId="15607" priority="713" operator="greaterThan">
      <formula>0</formula>
    </cfRule>
    <cfRule type="cellIs" dxfId="15606" priority="714" operator="lessThanOrEqual">
      <formula>0</formula>
    </cfRule>
  </conditionalFormatting>
  <conditionalFormatting sqref="AG18:AG19">
    <cfRule type="cellIs" dxfId="15605" priority="711" operator="greaterThan">
      <formula>0</formula>
    </cfRule>
    <cfRule type="cellIs" dxfId="15604" priority="712" operator="lessThanOrEqual">
      <formula>0</formula>
    </cfRule>
  </conditionalFormatting>
  <conditionalFormatting sqref="AG28:AG29">
    <cfRule type="cellIs" dxfId="15603" priority="709" operator="greaterThan">
      <formula>0</formula>
    </cfRule>
    <cfRule type="cellIs" dxfId="15602" priority="710" operator="lessThanOrEqual">
      <formula>0</formula>
    </cfRule>
  </conditionalFormatting>
  <conditionalFormatting sqref="AG21:AG22">
    <cfRule type="cellIs" dxfId="15601" priority="707" operator="greaterThan">
      <formula>0</formula>
    </cfRule>
    <cfRule type="cellIs" dxfId="15600" priority="708" operator="lessThanOrEqual">
      <formula>0</formula>
    </cfRule>
  </conditionalFormatting>
  <conditionalFormatting sqref="AG31:AG32">
    <cfRule type="cellIs" dxfId="15599" priority="705" operator="greaterThan">
      <formula>0</formula>
    </cfRule>
    <cfRule type="cellIs" dxfId="15598" priority="706" operator="lessThanOrEqual">
      <formula>0</formula>
    </cfRule>
  </conditionalFormatting>
  <conditionalFormatting sqref="AG34:AG35">
    <cfRule type="cellIs" dxfId="15597" priority="703" operator="greaterThan">
      <formula>0</formula>
    </cfRule>
    <cfRule type="cellIs" dxfId="15596" priority="704" operator="lessThanOrEqual">
      <formula>0</formula>
    </cfRule>
  </conditionalFormatting>
  <conditionalFormatting sqref="AG37:AG38">
    <cfRule type="cellIs" dxfId="15595" priority="701" operator="greaterThan">
      <formula>0</formula>
    </cfRule>
    <cfRule type="cellIs" dxfId="15594" priority="702" operator="lessThanOrEqual">
      <formula>0</formula>
    </cfRule>
  </conditionalFormatting>
  <conditionalFormatting sqref="AG47:AG48">
    <cfRule type="cellIs" dxfId="15593" priority="699" operator="greaterThan">
      <formula>0</formula>
    </cfRule>
    <cfRule type="cellIs" dxfId="15592" priority="700" operator="lessThanOrEqual">
      <formula>0</formula>
    </cfRule>
  </conditionalFormatting>
  <conditionalFormatting sqref="AG62:AG63">
    <cfRule type="cellIs" dxfId="15591" priority="697" operator="greaterThan">
      <formula>0</formula>
    </cfRule>
    <cfRule type="cellIs" dxfId="15590" priority="698" operator="lessThanOrEqual">
      <formula>0</formula>
    </cfRule>
  </conditionalFormatting>
  <conditionalFormatting sqref="AG52:AG53">
    <cfRule type="cellIs" dxfId="15589" priority="695" operator="greaterThan">
      <formula>0</formula>
    </cfRule>
    <cfRule type="cellIs" dxfId="15588" priority="696" operator="lessThanOrEqual">
      <formula>0</formula>
    </cfRule>
  </conditionalFormatting>
  <conditionalFormatting sqref="AG14">
    <cfRule type="cellIs" dxfId="15587" priority="693" operator="greaterThan">
      <formula>0</formula>
    </cfRule>
    <cfRule type="cellIs" dxfId="15586" priority="694" operator="lessThanOrEqual">
      <formula>0</formula>
    </cfRule>
  </conditionalFormatting>
  <conditionalFormatting sqref="AG17">
    <cfRule type="cellIs" dxfId="15585" priority="691" operator="greaterThan">
      <formula>0</formula>
    </cfRule>
    <cfRule type="cellIs" dxfId="15584" priority="692" operator="lessThanOrEqual">
      <formula>0</formula>
    </cfRule>
  </conditionalFormatting>
  <conditionalFormatting sqref="AG20">
    <cfRule type="cellIs" dxfId="15583" priority="689" operator="greaterThan">
      <formula>0</formula>
    </cfRule>
    <cfRule type="cellIs" dxfId="15582" priority="690" operator="lessThanOrEqual">
      <formula>0</formula>
    </cfRule>
  </conditionalFormatting>
  <conditionalFormatting sqref="AG30">
    <cfRule type="cellIs" dxfId="15581" priority="687" operator="greaterThan">
      <formula>0</formula>
    </cfRule>
    <cfRule type="cellIs" dxfId="15580" priority="688" operator="lessThanOrEqual">
      <formula>0</formula>
    </cfRule>
  </conditionalFormatting>
  <conditionalFormatting sqref="AG23">
    <cfRule type="cellIs" dxfId="15579" priority="685" operator="greaterThan">
      <formula>0</formula>
    </cfRule>
    <cfRule type="cellIs" dxfId="15578" priority="686" operator="lessThanOrEqual">
      <formula>0</formula>
    </cfRule>
  </conditionalFormatting>
  <conditionalFormatting sqref="AG33">
    <cfRule type="cellIs" dxfId="15577" priority="683" operator="greaterThan">
      <formula>0</formula>
    </cfRule>
    <cfRule type="cellIs" dxfId="15576" priority="684" operator="lessThanOrEqual">
      <formula>0</formula>
    </cfRule>
  </conditionalFormatting>
  <conditionalFormatting sqref="AG36">
    <cfRule type="cellIs" dxfId="15575" priority="681" operator="greaterThan">
      <formula>0</formula>
    </cfRule>
    <cfRule type="cellIs" dxfId="15574" priority="682" operator="lessThanOrEqual">
      <formula>0</formula>
    </cfRule>
  </conditionalFormatting>
  <conditionalFormatting sqref="AG39">
    <cfRule type="cellIs" dxfId="15573" priority="679" operator="greaterThan">
      <formula>0</formula>
    </cfRule>
    <cfRule type="cellIs" dxfId="15572" priority="680" operator="lessThanOrEqual">
      <formula>0</formula>
    </cfRule>
  </conditionalFormatting>
  <conditionalFormatting sqref="AG25">
    <cfRule type="cellIs" dxfId="15571" priority="677" operator="greaterThan">
      <formula>0</formula>
    </cfRule>
    <cfRule type="cellIs" dxfId="15570" priority="678" operator="lessThanOrEqual">
      <formula>0</formula>
    </cfRule>
  </conditionalFormatting>
  <conditionalFormatting sqref="AG65">
    <cfRule type="cellIs" dxfId="15569" priority="675" operator="greaterThan">
      <formula>0</formula>
    </cfRule>
    <cfRule type="cellIs" dxfId="15568" priority="676" operator="lessThanOrEqual">
      <formula>0</formula>
    </cfRule>
  </conditionalFormatting>
  <conditionalFormatting sqref="AF12:AF13 AF15:AF16 AF18:AF19 AF21:AF22 AF28:AF29 AF31:AF32 AF34:AF35 AF37:AF38 AF47:AF48 AF52:AF53">
    <cfRule type="cellIs" dxfId="15567" priority="673" operator="lessThan">
      <formula>0</formula>
    </cfRule>
    <cfRule type="cellIs" dxfId="15566" priority="674" operator="greaterThanOrEqual">
      <formula>0</formula>
    </cfRule>
  </conditionalFormatting>
  <conditionalFormatting sqref="AF14 AF17 AF20 AF23 AF25 AF30 AF33 AF36 AF39">
    <cfRule type="cellIs" dxfId="15565" priority="672" operator="greaterThanOrEqual">
      <formula>0</formula>
    </cfRule>
  </conditionalFormatting>
  <conditionalFormatting sqref="AF14 AF17 AF20 AF23 AF25 AF30 AF33 AF36 AF39">
    <cfRule type="cellIs" dxfId="15564" priority="671" operator="lessThan">
      <formula>0</formula>
    </cfRule>
  </conditionalFormatting>
  <conditionalFormatting sqref="AG50">
    <cfRule type="cellIs" dxfId="15563" priority="665" operator="greaterThan">
      <formula>0</formula>
    </cfRule>
    <cfRule type="cellIs" dxfId="15562" priority="666" operator="lessThanOrEqual">
      <formula>0</formula>
    </cfRule>
  </conditionalFormatting>
  <conditionalFormatting sqref="AG43">
    <cfRule type="cellIs" dxfId="15561" priority="659" operator="greaterThan">
      <formula>0</formula>
    </cfRule>
    <cfRule type="cellIs" dxfId="15560" priority="660" operator="lessThanOrEqual">
      <formula>0</formula>
    </cfRule>
  </conditionalFormatting>
  <conditionalFormatting sqref="AG49">
    <cfRule type="cellIs" dxfId="15559" priority="655" operator="greaterThan">
      <formula>0</formula>
    </cfRule>
    <cfRule type="cellIs" dxfId="15558" priority="656" operator="lessThanOrEqual">
      <formula>0</formula>
    </cfRule>
  </conditionalFormatting>
  <conditionalFormatting sqref="AG27">
    <cfRule type="cellIs" dxfId="15557" priority="669" operator="greaterThan">
      <formula>0</formula>
    </cfRule>
    <cfRule type="cellIs" dxfId="15556" priority="670" operator="lessThanOrEqual">
      <formula>0</formula>
    </cfRule>
  </conditionalFormatting>
  <conditionalFormatting sqref="AG40">
    <cfRule type="cellIs" dxfId="15555" priority="667" operator="greaterThan">
      <formula>0</formula>
    </cfRule>
    <cfRule type="cellIs" dxfId="15554" priority="668" operator="lessThanOrEqual">
      <formula>0</formula>
    </cfRule>
  </conditionalFormatting>
  <conditionalFormatting sqref="AG41:AG42 AG44:AG45">
    <cfRule type="cellIs" dxfId="15553" priority="663" operator="greaterThan">
      <formula>0</formula>
    </cfRule>
    <cfRule type="cellIs" dxfId="15552" priority="664" operator="lessThanOrEqual">
      <formula>0</formula>
    </cfRule>
  </conditionalFormatting>
  <conditionalFormatting sqref="AG56:AG57 AG59:AG60">
    <cfRule type="cellIs" dxfId="15551" priority="661" operator="greaterThan">
      <formula>0</formula>
    </cfRule>
    <cfRule type="cellIs" dxfId="15550" priority="662" operator="lessThanOrEqual">
      <formula>0</formula>
    </cfRule>
  </conditionalFormatting>
  <conditionalFormatting sqref="AG61">
    <cfRule type="cellIs" dxfId="15549" priority="651" operator="greaterThan">
      <formula>0</formula>
    </cfRule>
    <cfRule type="cellIs" dxfId="15548" priority="652" operator="lessThanOrEqual">
      <formula>0</formula>
    </cfRule>
  </conditionalFormatting>
  <conditionalFormatting sqref="AG64">
    <cfRule type="cellIs" dxfId="15547" priority="647" operator="greaterThan">
      <formula>0</formula>
    </cfRule>
    <cfRule type="cellIs" dxfId="15546" priority="648" operator="lessThanOrEqual">
      <formula>0</formula>
    </cfRule>
  </conditionalFormatting>
  <conditionalFormatting sqref="AG24">
    <cfRule type="cellIs" dxfId="15545" priority="645" operator="greaterThan">
      <formula>0</formula>
    </cfRule>
    <cfRule type="cellIs" dxfId="15544" priority="646" operator="lessThanOrEqual">
      <formula>0</formula>
    </cfRule>
  </conditionalFormatting>
  <conditionalFormatting sqref="AG55">
    <cfRule type="cellIs" dxfId="15543" priority="643" operator="greaterThan">
      <formula>0</formula>
    </cfRule>
    <cfRule type="cellIs" dxfId="15542" priority="644" operator="lessThanOrEqual">
      <formula>0</formula>
    </cfRule>
  </conditionalFormatting>
  <conditionalFormatting sqref="AF55">
    <cfRule type="cellIs" dxfId="15541" priority="642" operator="greaterThanOrEqual">
      <formula>0</formula>
    </cfRule>
  </conditionalFormatting>
  <conditionalFormatting sqref="AF55">
    <cfRule type="cellIs" dxfId="15540" priority="641" operator="lessThan">
      <formula>0</formula>
    </cfRule>
  </conditionalFormatting>
  <conditionalFormatting sqref="AG51">
    <cfRule type="cellIs" dxfId="15539" priority="639" operator="greaterThan">
      <formula>0</formula>
    </cfRule>
    <cfRule type="cellIs" dxfId="15538" priority="640" operator="lessThanOrEqual">
      <formula>0</formula>
    </cfRule>
  </conditionalFormatting>
  <conditionalFormatting sqref="AF51">
    <cfRule type="cellIs" dxfId="15537" priority="638" operator="greaterThanOrEqual">
      <formula>0</formula>
    </cfRule>
  </conditionalFormatting>
  <conditionalFormatting sqref="AF51">
    <cfRule type="cellIs" dxfId="15536" priority="637" operator="lessThan">
      <formula>0</formula>
    </cfRule>
  </conditionalFormatting>
  <conditionalFormatting sqref="AF24">
    <cfRule type="cellIs" dxfId="15535" priority="636" operator="greaterThanOrEqual">
      <formula>0</formula>
    </cfRule>
  </conditionalFormatting>
  <conditionalFormatting sqref="AF24">
    <cfRule type="cellIs" dxfId="15534" priority="635" operator="lessThan">
      <formula>0</formula>
    </cfRule>
  </conditionalFormatting>
  <conditionalFormatting sqref="AF27">
    <cfRule type="cellIs" dxfId="15533" priority="634" operator="greaterThanOrEqual">
      <formula>0</formula>
    </cfRule>
  </conditionalFormatting>
  <conditionalFormatting sqref="AF27">
    <cfRule type="cellIs" dxfId="15532" priority="633" operator="lessThan">
      <formula>0</formula>
    </cfRule>
  </conditionalFormatting>
  <conditionalFormatting sqref="AF40">
    <cfRule type="cellIs" dxfId="15531" priority="632" operator="greaterThanOrEqual">
      <formula>0</formula>
    </cfRule>
  </conditionalFormatting>
  <conditionalFormatting sqref="AF40">
    <cfRule type="cellIs" dxfId="15530" priority="631" operator="lessThan">
      <formula>0</formula>
    </cfRule>
  </conditionalFormatting>
  <conditionalFormatting sqref="AF43">
    <cfRule type="cellIs" dxfId="15529" priority="630" operator="greaterThanOrEqual">
      <formula>0</formula>
    </cfRule>
  </conditionalFormatting>
  <conditionalFormatting sqref="AF43">
    <cfRule type="cellIs" dxfId="15528" priority="629" operator="lessThan">
      <formula>0</formula>
    </cfRule>
  </conditionalFormatting>
  <conditionalFormatting sqref="AF46">
    <cfRule type="cellIs" dxfId="15527" priority="628" operator="greaterThanOrEqual">
      <formula>0</formula>
    </cfRule>
  </conditionalFormatting>
  <conditionalFormatting sqref="AF46">
    <cfRule type="cellIs" dxfId="15526" priority="627" operator="lessThan">
      <formula>0</formula>
    </cfRule>
  </conditionalFormatting>
  <conditionalFormatting sqref="AF49">
    <cfRule type="cellIs" dxfId="15525" priority="626" operator="greaterThanOrEqual">
      <formula>0</formula>
    </cfRule>
  </conditionalFormatting>
  <conditionalFormatting sqref="AF49">
    <cfRule type="cellIs" dxfId="15524" priority="625" operator="lessThan">
      <formula>0</formula>
    </cfRule>
  </conditionalFormatting>
  <conditionalFormatting sqref="AF50">
    <cfRule type="cellIs" dxfId="15523" priority="624" operator="greaterThanOrEqual">
      <formula>0</formula>
    </cfRule>
  </conditionalFormatting>
  <conditionalFormatting sqref="AF50">
    <cfRule type="cellIs" dxfId="15522" priority="623" operator="lessThan">
      <formula>0</formula>
    </cfRule>
  </conditionalFormatting>
  <conditionalFormatting sqref="AF58">
    <cfRule type="cellIs" dxfId="15521" priority="622" operator="greaterThanOrEqual">
      <formula>0</formula>
    </cfRule>
  </conditionalFormatting>
  <conditionalFormatting sqref="AF58">
    <cfRule type="cellIs" dxfId="15520" priority="621" operator="lessThan">
      <formula>0</formula>
    </cfRule>
  </conditionalFormatting>
  <conditionalFormatting sqref="AF64">
    <cfRule type="cellIs" dxfId="15519" priority="620" operator="greaterThanOrEqual">
      <formula>0</formula>
    </cfRule>
  </conditionalFormatting>
  <conditionalFormatting sqref="AF64">
    <cfRule type="cellIs" dxfId="15518" priority="619" operator="lessThan">
      <formula>0</formula>
    </cfRule>
  </conditionalFormatting>
  <conditionalFormatting sqref="AF65">
    <cfRule type="cellIs" dxfId="15517" priority="618" operator="greaterThanOrEqual">
      <formula>0</formula>
    </cfRule>
  </conditionalFormatting>
  <conditionalFormatting sqref="AF65">
    <cfRule type="cellIs" dxfId="15516" priority="617" operator="lessThan">
      <formula>0</formula>
    </cfRule>
  </conditionalFormatting>
  <conditionalFormatting sqref="AF41:AF42">
    <cfRule type="cellIs" dxfId="15515" priority="615" operator="lessThan">
      <formula>0</formula>
    </cfRule>
    <cfRule type="cellIs" dxfId="15514" priority="616" operator="greaterThanOrEqual">
      <formula>0</formula>
    </cfRule>
  </conditionalFormatting>
  <conditionalFormatting sqref="AF44:AF45">
    <cfRule type="cellIs" dxfId="15513" priority="613" operator="lessThan">
      <formula>0</formula>
    </cfRule>
    <cfRule type="cellIs" dxfId="15512" priority="614" operator="greaterThanOrEqual">
      <formula>0</formula>
    </cfRule>
  </conditionalFormatting>
  <conditionalFormatting sqref="AF56:AF57">
    <cfRule type="cellIs" dxfId="15511" priority="611" operator="lessThan">
      <formula>0</formula>
    </cfRule>
    <cfRule type="cellIs" dxfId="15510" priority="612" operator="greaterThanOrEqual">
      <formula>0</formula>
    </cfRule>
  </conditionalFormatting>
  <conditionalFormatting sqref="AF59:AF60">
    <cfRule type="cellIs" dxfId="15509" priority="609" operator="lessThan">
      <formula>0</formula>
    </cfRule>
    <cfRule type="cellIs" dxfId="15508" priority="610" operator="greaterThanOrEqual">
      <formula>0</formula>
    </cfRule>
  </conditionalFormatting>
  <conditionalFormatting sqref="AF62:AF63">
    <cfRule type="cellIs" dxfId="15507" priority="607" operator="lessThan">
      <formula>0</formula>
    </cfRule>
    <cfRule type="cellIs" dxfId="15506" priority="608" operator="greaterThanOrEqual">
      <formula>0</formula>
    </cfRule>
  </conditionalFormatting>
  <conditionalFormatting sqref="AG67 AG70">
    <cfRule type="cellIs" dxfId="15505" priority="605" operator="greaterThan">
      <formula>0</formula>
    </cfRule>
    <cfRule type="cellIs" dxfId="15504" priority="606" operator="lessThanOrEqual">
      <formula>0</formula>
    </cfRule>
  </conditionalFormatting>
  <conditionalFormatting sqref="AG72">
    <cfRule type="cellIs" dxfId="15503" priority="603" operator="greaterThan">
      <formula>0</formula>
    </cfRule>
    <cfRule type="cellIs" dxfId="15502" priority="604" operator="lessThanOrEqual">
      <formula>0</formula>
    </cfRule>
  </conditionalFormatting>
  <conditionalFormatting sqref="AG68">
    <cfRule type="cellIs" dxfId="15501" priority="601" operator="greaterThan">
      <formula>0</formula>
    </cfRule>
    <cfRule type="cellIs" dxfId="15500" priority="602" operator="lessThanOrEqual">
      <formula>0</formula>
    </cfRule>
  </conditionalFormatting>
  <conditionalFormatting sqref="AG69">
    <cfRule type="cellIs" dxfId="15499" priority="599" operator="greaterThan">
      <formula>0</formula>
    </cfRule>
    <cfRule type="cellIs" dxfId="15498" priority="600" operator="lessThanOrEqual">
      <formula>0</formula>
    </cfRule>
  </conditionalFormatting>
  <conditionalFormatting sqref="AG71">
    <cfRule type="cellIs" dxfId="15497" priority="597" operator="greaterThan">
      <formula>0</formula>
    </cfRule>
    <cfRule type="cellIs" dxfId="15496" priority="598" operator="lessThanOrEqual">
      <formula>0</formula>
    </cfRule>
  </conditionalFormatting>
  <conditionalFormatting sqref="AF67:AF69">
    <cfRule type="cellIs" dxfId="15495" priority="595" operator="lessThan">
      <formula>0</formula>
    </cfRule>
    <cfRule type="cellIs" dxfId="15494" priority="596" operator="greaterThanOrEqual">
      <formula>0</formula>
    </cfRule>
  </conditionalFormatting>
  <conditionalFormatting sqref="AF70:AF71">
    <cfRule type="cellIs" dxfId="15493" priority="594" operator="greaterThanOrEqual">
      <formula>0</formula>
    </cfRule>
  </conditionalFormatting>
  <conditionalFormatting sqref="AF70:AF71">
    <cfRule type="cellIs" dxfId="15492" priority="593" operator="lessThan">
      <formula>0</formula>
    </cfRule>
  </conditionalFormatting>
  <conditionalFormatting sqref="AF72">
    <cfRule type="cellIs" dxfId="15491" priority="592" operator="greaterThanOrEqual">
      <formula>0</formula>
    </cfRule>
  </conditionalFormatting>
  <conditionalFormatting sqref="AF72">
    <cfRule type="cellIs" dxfId="15490" priority="591" operator="lessThan">
      <formula>0</formula>
    </cfRule>
  </conditionalFormatting>
  <conditionalFormatting sqref="AG66">
    <cfRule type="cellIs" dxfId="15489" priority="589" operator="greaterThan">
      <formula>0</formula>
    </cfRule>
    <cfRule type="cellIs" dxfId="15488" priority="590" operator="lessThanOrEqual">
      <formula>0</formula>
    </cfRule>
  </conditionalFormatting>
  <conditionalFormatting sqref="AF66">
    <cfRule type="cellIs" dxfId="15487" priority="587" operator="greaterThanOrEqual">
      <formula>0</formula>
    </cfRule>
    <cfRule type="cellIs" dxfId="15486" priority="588" operator="lessThan">
      <formula>0</formula>
    </cfRule>
  </conditionalFormatting>
  <conditionalFormatting sqref="AC50">
    <cfRule type="cellIs" dxfId="15485" priority="585" operator="greaterThan">
      <formula>0</formula>
    </cfRule>
    <cfRule type="cellIs" dxfId="15484" priority="586" operator="lessThanOrEqual">
      <formula>0</formula>
    </cfRule>
  </conditionalFormatting>
  <conditionalFormatting sqref="AI41:AI42">
    <cfRule type="cellIs" dxfId="15483" priority="583" operator="lessThan">
      <formula>0</formula>
    </cfRule>
    <cfRule type="cellIs" dxfId="15482" priority="584" operator="greaterThanOrEqual">
      <formula>0</formula>
    </cfRule>
  </conditionalFormatting>
  <conditionalFormatting sqref="AI44:AI45">
    <cfRule type="cellIs" dxfId="15481" priority="581" operator="lessThan">
      <formula>0</formula>
    </cfRule>
    <cfRule type="cellIs" dxfId="15480" priority="582" operator="greaterThanOrEqual">
      <formula>0</formula>
    </cfRule>
  </conditionalFormatting>
  <conditionalFormatting sqref="AI52:AI53">
    <cfRule type="cellIs" dxfId="15479" priority="579" operator="lessThan">
      <formula>0</formula>
    </cfRule>
    <cfRule type="cellIs" dxfId="15478" priority="580" operator="greaterThanOrEqual">
      <formula>0</formula>
    </cfRule>
  </conditionalFormatting>
  <conditionalFormatting sqref="AI56:AI57">
    <cfRule type="cellIs" dxfId="15477" priority="577" operator="lessThan">
      <formula>0</formula>
    </cfRule>
    <cfRule type="cellIs" dxfId="15476" priority="578" operator="greaterThanOrEqual">
      <formula>0</formula>
    </cfRule>
  </conditionalFormatting>
  <conditionalFormatting sqref="AI59:AI60">
    <cfRule type="cellIs" dxfId="15475" priority="575" operator="lessThan">
      <formula>0</formula>
    </cfRule>
    <cfRule type="cellIs" dxfId="15474" priority="576" operator="greaterThanOrEqual">
      <formula>0</formula>
    </cfRule>
  </conditionalFormatting>
  <conditionalFormatting sqref="AI62:AI63">
    <cfRule type="cellIs" dxfId="15473" priority="573" operator="lessThan">
      <formula>0</formula>
    </cfRule>
    <cfRule type="cellIs" dxfId="15472" priority="574" operator="greaterThanOrEqual">
      <formula>0</formula>
    </cfRule>
  </conditionalFormatting>
  <conditionalFormatting sqref="AI24">
    <cfRule type="cellIs" dxfId="15471" priority="572" operator="greaterThanOrEqual">
      <formula>0</formula>
    </cfRule>
  </conditionalFormatting>
  <conditionalFormatting sqref="AI24">
    <cfRule type="cellIs" dxfId="15470" priority="571" operator="lessThan">
      <formula>0</formula>
    </cfRule>
  </conditionalFormatting>
  <conditionalFormatting sqref="AI25">
    <cfRule type="cellIs" dxfId="15469" priority="570" operator="greaterThanOrEqual">
      <formula>0</formula>
    </cfRule>
  </conditionalFormatting>
  <conditionalFormatting sqref="AI25">
    <cfRule type="cellIs" dxfId="15468" priority="569" operator="lessThan">
      <formula>0</formula>
    </cfRule>
  </conditionalFormatting>
  <conditionalFormatting sqref="AI27">
    <cfRule type="cellIs" dxfId="15467" priority="568" operator="greaterThanOrEqual">
      <formula>0</formula>
    </cfRule>
  </conditionalFormatting>
  <conditionalFormatting sqref="AI27">
    <cfRule type="cellIs" dxfId="15466" priority="567" operator="lessThan">
      <formula>0</formula>
    </cfRule>
  </conditionalFormatting>
  <conditionalFormatting sqref="AI40">
    <cfRule type="cellIs" dxfId="15465" priority="566" operator="greaterThanOrEqual">
      <formula>0</formula>
    </cfRule>
  </conditionalFormatting>
  <conditionalFormatting sqref="AI40">
    <cfRule type="cellIs" dxfId="15464" priority="565" operator="lessThan">
      <formula>0</formula>
    </cfRule>
  </conditionalFormatting>
  <conditionalFormatting sqref="AI43">
    <cfRule type="cellIs" dxfId="15463" priority="564" operator="greaterThanOrEqual">
      <formula>0</formula>
    </cfRule>
  </conditionalFormatting>
  <conditionalFormatting sqref="AI43">
    <cfRule type="cellIs" dxfId="15462" priority="563" operator="lessThan">
      <formula>0</formula>
    </cfRule>
  </conditionalFormatting>
  <conditionalFormatting sqref="AI46">
    <cfRule type="cellIs" dxfId="15461" priority="562" operator="greaterThanOrEqual">
      <formula>0</formula>
    </cfRule>
  </conditionalFormatting>
  <conditionalFormatting sqref="AI46">
    <cfRule type="cellIs" dxfId="15460" priority="561" operator="lessThan">
      <formula>0</formula>
    </cfRule>
  </conditionalFormatting>
  <conditionalFormatting sqref="AI49">
    <cfRule type="cellIs" dxfId="15459" priority="560" operator="greaterThanOrEqual">
      <formula>0</formula>
    </cfRule>
  </conditionalFormatting>
  <conditionalFormatting sqref="AI49">
    <cfRule type="cellIs" dxfId="15458" priority="559" operator="lessThan">
      <formula>0</formula>
    </cfRule>
  </conditionalFormatting>
  <conditionalFormatting sqref="AI50">
    <cfRule type="cellIs" dxfId="15457" priority="558" operator="greaterThanOrEqual">
      <formula>0</formula>
    </cfRule>
  </conditionalFormatting>
  <conditionalFormatting sqref="AI50">
    <cfRule type="cellIs" dxfId="15456" priority="557" operator="lessThan">
      <formula>0</formula>
    </cfRule>
  </conditionalFormatting>
  <conditionalFormatting sqref="AI58">
    <cfRule type="cellIs" dxfId="15455" priority="556" operator="greaterThanOrEqual">
      <formula>0</formula>
    </cfRule>
  </conditionalFormatting>
  <conditionalFormatting sqref="AI58">
    <cfRule type="cellIs" dxfId="15454" priority="555" operator="lessThan">
      <formula>0</formula>
    </cfRule>
  </conditionalFormatting>
  <conditionalFormatting sqref="AI61">
    <cfRule type="cellIs" dxfId="15453" priority="554" operator="greaterThanOrEqual">
      <formula>0</formula>
    </cfRule>
  </conditionalFormatting>
  <conditionalFormatting sqref="AI61">
    <cfRule type="cellIs" dxfId="15452" priority="553" operator="lessThan">
      <formula>0</formula>
    </cfRule>
  </conditionalFormatting>
  <conditionalFormatting sqref="AI64">
    <cfRule type="cellIs" dxfId="15451" priority="552" operator="greaterThanOrEqual">
      <formula>0</formula>
    </cfRule>
  </conditionalFormatting>
  <conditionalFormatting sqref="AI64">
    <cfRule type="cellIs" dxfId="15450" priority="551" operator="lessThan">
      <formula>0</formula>
    </cfRule>
  </conditionalFormatting>
  <conditionalFormatting sqref="AI55">
    <cfRule type="cellIs" dxfId="15449" priority="550" operator="greaterThanOrEqual">
      <formula>0</formula>
    </cfRule>
  </conditionalFormatting>
  <conditionalFormatting sqref="AI55">
    <cfRule type="cellIs" dxfId="15448" priority="549" operator="lessThan">
      <formula>0</formula>
    </cfRule>
  </conditionalFormatting>
  <conditionalFormatting sqref="AI65">
    <cfRule type="cellIs" dxfId="15447" priority="548" operator="greaterThanOrEqual">
      <formula>0</formula>
    </cfRule>
  </conditionalFormatting>
  <conditionalFormatting sqref="AI65">
    <cfRule type="cellIs" dxfId="15446" priority="547" operator="lessThan">
      <formula>0</formula>
    </cfRule>
  </conditionalFormatting>
  <conditionalFormatting sqref="AJ15:AJ16">
    <cfRule type="cellIs" dxfId="15445" priority="545" operator="greaterThan">
      <formula>0</formula>
    </cfRule>
    <cfRule type="cellIs" dxfId="15444" priority="546" operator="lessThanOrEqual">
      <formula>0</formula>
    </cfRule>
  </conditionalFormatting>
  <conditionalFormatting sqref="AJ18:AJ19">
    <cfRule type="cellIs" dxfId="15443" priority="543" operator="greaterThan">
      <formula>0</formula>
    </cfRule>
    <cfRule type="cellIs" dxfId="15442" priority="544" operator="lessThanOrEqual">
      <formula>0</formula>
    </cfRule>
  </conditionalFormatting>
  <conditionalFormatting sqref="AJ21:AJ22">
    <cfRule type="cellIs" dxfId="15441" priority="541" operator="greaterThan">
      <formula>0</formula>
    </cfRule>
    <cfRule type="cellIs" dxfId="15440" priority="542" operator="lessThanOrEqual">
      <formula>0</formula>
    </cfRule>
  </conditionalFormatting>
  <conditionalFormatting sqref="AJ28:AJ29">
    <cfRule type="cellIs" dxfId="15439" priority="539" operator="greaterThan">
      <formula>0</formula>
    </cfRule>
    <cfRule type="cellIs" dxfId="15438" priority="540" operator="lessThanOrEqual">
      <formula>0</formula>
    </cfRule>
  </conditionalFormatting>
  <conditionalFormatting sqref="AJ31:AJ32">
    <cfRule type="cellIs" dxfId="15437" priority="537" operator="greaterThan">
      <formula>0</formula>
    </cfRule>
    <cfRule type="cellIs" dxfId="15436" priority="538" operator="lessThanOrEqual">
      <formula>0</formula>
    </cfRule>
  </conditionalFormatting>
  <conditionalFormatting sqref="AJ34:AJ35">
    <cfRule type="cellIs" dxfId="15435" priority="535" operator="greaterThan">
      <formula>0</formula>
    </cfRule>
    <cfRule type="cellIs" dxfId="15434" priority="536" operator="lessThanOrEqual">
      <formula>0</formula>
    </cfRule>
  </conditionalFormatting>
  <conditionalFormatting sqref="AJ37:AJ38">
    <cfRule type="cellIs" dxfId="15433" priority="533" operator="greaterThan">
      <formula>0</formula>
    </cfRule>
    <cfRule type="cellIs" dxfId="15432" priority="534" operator="lessThanOrEqual">
      <formula>0</formula>
    </cfRule>
  </conditionalFormatting>
  <conditionalFormatting sqref="AJ41:AJ42">
    <cfRule type="cellIs" dxfId="15431" priority="531" operator="greaterThan">
      <formula>0</formula>
    </cfRule>
    <cfRule type="cellIs" dxfId="15430" priority="532" operator="lessThanOrEqual">
      <formula>0</formula>
    </cfRule>
  </conditionalFormatting>
  <conditionalFormatting sqref="AJ44:AJ45">
    <cfRule type="cellIs" dxfId="15429" priority="529" operator="greaterThan">
      <formula>0</formula>
    </cfRule>
    <cfRule type="cellIs" dxfId="15428" priority="530" operator="lessThanOrEqual">
      <formula>0</formula>
    </cfRule>
  </conditionalFormatting>
  <conditionalFormatting sqref="AJ47:AJ48">
    <cfRule type="cellIs" dxfId="15427" priority="527" operator="greaterThan">
      <formula>0</formula>
    </cfRule>
    <cfRule type="cellIs" dxfId="15426" priority="528" operator="lessThanOrEqual">
      <formula>0</formula>
    </cfRule>
  </conditionalFormatting>
  <conditionalFormatting sqref="AJ52:AJ53">
    <cfRule type="cellIs" dxfId="15425" priority="525" operator="greaterThan">
      <formula>0</formula>
    </cfRule>
    <cfRule type="cellIs" dxfId="15424" priority="526" operator="lessThanOrEqual">
      <formula>0</formula>
    </cfRule>
  </conditionalFormatting>
  <conditionalFormatting sqref="AJ56:AJ57">
    <cfRule type="cellIs" dxfId="15423" priority="523" operator="greaterThan">
      <formula>0</formula>
    </cfRule>
    <cfRule type="cellIs" dxfId="15422" priority="524" operator="lessThanOrEqual">
      <formula>0</formula>
    </cfRule>
  </conditionalFormatting>
  <conditionalFormatting sqref="AJ59:AJ60">
    <cfRule type="cellIs" dxfId="15421" priority="521" operator="greaterThan">
      <formula>0</formula>
    </cfRule>
    <cfRule type="cellIs" dxfId="15420" priority="522" operator="lessThanOrEqual">
      <formula>0</formula>
    </cfRule>
  </conditionalFormatting>
  <conditionalFormatting sqref="AJ62:AJ63">
    <cfRule type="cellIs" dxfId="15419" priority="519" operator="greaterThan">
      <formula>0</formula>
    </cfRule>
    <cfRule type="cellIs" dxfId="15418" priority="520" operator="lessThanOrEqual">
      <formula>0</formula>
    </cfRule>
  </conditionalFormatting>
  <conditionalFormatting sqref="AJ24">
    <cfRule type="cellIs" dxfId="15417" priority="518" operator="greaterThanOrEqual">
      <formula>0</formula>
    </cfRule>
  </conditionalFormatting>
  <conditionalFormatting sqref="AJ24">
    <cfRule type="cellIs" dxfId="15416" priority="517" operator="lessThan">
      <formula>0</formula>
    </cfRule>
  </conditionalFormatting>
  <conditionalFormatting sqref="AJ25">
    <cfRule type="cellIs" dxfId="15415" priority="516" operator="greaterThanOrEqual">
      <formula>0</formula>
    </cfRule>
  </conditionalFormatting>
  <conditionalFormatting sqref="AJ25">
    <cfRule type="cellIs" dxfId="15414" priority="515" operator="lessThan">
      <formula>0</formula>
    </cfRule>
  </conditionalFormatting>
  <conditionalFormatting sqref="AJ27">
    <cfRule type="cellIs" dxfId="15413" priority="514" operator="greaterThanOrEqual">
      <formula>0</formula>
    </cfRule>
  </conditionalFormatting>
  <conditionalFormatting sqref="AJ27">
    <cfRule type="cellIs" dxfId="15412" priority="513" operator="lessThan">
      <formula>0</formula>
    </cfRule>
  </conditionalFormatting>
  <conditionalFormatting sqref="AJ40">
    <cfRule type="cellIs" dxfId="15411" priority="512" operator="greaterThanOrEqual">
      <formula>0</formula>
    </cfRule>
  </conditionalFormatting>
  <conditionalFormatting sqref="AJ40">
    <cfRule type="cellIs" dxfId="15410" priority="511" operator="lessThan">
      <formula>0</formula>
    </cfRule>
  </conditionalFormatting>
  <conditionalFormatting sqref="AJ43">
    <cfRule type="cellIs" dxfId="15409" priority="510" operator="greaterThanOrEqual">
      <formula>0</formula>
    </cfRule>
  </conditionalFormatting>
  <conditionalFormatting sqref="AJ43">
    <cfRule type="cellIs" dxfId="15408" priority="509" operator="lessThan">
      <formula>0</formula>
    </cfRule>
  </conditionalFormatting>
  <conditionalFormatting sqref="AJ46">
    <cfRule type="cellIs" dxfId="15407" priority="508" operator="greaterThanOrEqual">
      <formula>0</formula>
    </cfRule>
  </conditionalFormatting>
  <conditionalFormatting sqref="AJ46">
    <cfRule type="cellIs" dxfId="15406" priority="507" operator="lessThan">
      <formula>0</formula>
    </cfRule>
  </conditionalFormatting>
  <conditionalFormatting sqref="AJ49">
    <cfRule type="cellIs" dxfId="15405" priority="506" operator="greaterThanOrEqual">
      <formula>0</formula>
    </cfRule>
  </conditionalFormatting>
  <conditionalFormatting sqref="AJ49">
    <cfRule type="cellIs" dxfId="15404" priority="505" operator="lessThan">
      <formula>0</formula>
    </cfRule>
  </conditionalFormatting>
  <conditionalFormatting sqref="AJ50">
    <cfRule type="cellIs" dxfId="15403" priority="504" operator="greaterThanOrEqual">
      <formula>0</formula>
    </cfRule>
  </conditionalFormatting>
  <conditionalFormatting sqref="AJ50">
    <cfRule type="cellIs" dxfId="15402" priority="503" operator="lessThan">
      <formula>0</formula>
    </cfRule>
  </conditionalFormatting>
  <conditionalFormatting sqref="AF106">
    <cfRule type="cellIs" dxfId="15401" priority="270" operator="greaterThanOrEqual">
      <formula>0</formula>
    </cfRule>
  </conditionalFormatting>
  <conditionalFormatting sqref="AF106">
    <cfRule type="cellIs" dxfId="15400" priority="269" operator="lessThan">
      <formula>0</formula>
    </cfRule>
  </conditionalFormatting>
  <conditionalFormatting sqref="AJ58">
    <cfRule type="cellIs" dxfId="15399" priority="502" operator="greaterThanOrEqual">
      <formula>0</formula>
    </cfRule>
  </conditionalFormatting>
  <conditionalFormatting sqref="AJ58">
    <cfRule type="cellIs" dxfId="15398" priority="501" operator="lessThan">
      <formula>0</formula>
    </cfRule>
  </conditionalFormatting>
  <conditionalFormatting sqref="AJ61">
    <cfRule type="cellIs" dxfId="15397" priority="500" operator="greaterThanOrEqual">
      <formula>0</formula>
    </cfRule>
  </conditionalFormatting>
  <conditionalFormatting sqref="AJ61">
    <cfRule type="cellIs" dxfId="15396" priority="499" operator="lessThan">
      <formula>0</formula>
    </cfRule>
  </conditionalFormatting>
  <conditionalFormatting sqref="AJ64">
    <cfRule type="cellIs" dxfId="15395" priority="498" operator="greaterThanOrEqual">
      <formula>0</formula>
    </cfRule>
  </conditionalFormatting>
  <conditionalFormatting sqref="AJ64">
    <cfRule type="cellIs" dxfId="15394" priority="497" operator="lessThan">
      <formula>0</formula>
    </cfRule>
  </conditionalFormatting>
  <conditionalFormatting sqref="AJ55">
    <cfRule type="cellIs" dxfId="15393" priority="495" operator="lessThan">
      <formula>0</formula>
    </cfRule>
  </conditionalFormatting>
  <conditionalFormatting sqref="AJ55">
    <cfRule type="cellIs" dxfId="15392" priority="496" operator="greaterThanOrEqual">
      <formula>0</formula>
    </cfRule>
  </conditionalFormatting>
  <conditionalFormatting sqref="AJ65">
    <cfRule type="cellIs" dxfId="15391" priority="493" operator="lessThan">
      <formula>0</formula>
    </cfRule>
  </conditionalFormatting>
  <conditionalFormatting sqref="AJ65">
    <cfRule type="cellIs" dxfId="15390" priority="494" operator="greaterThanOrEqual">
      <formula>0</formula>
    </cfRule>
  </conditionalFormatting>
  <conditionalFormatting sqref="AI69">
    <cfRule type="cellIs" dxfId="15389" priority="491" operator="lessThan">
      <formula>0</formula>
    </cfRule>
    <cfRule type="cellIs" dxfId="15388" priority="492" operator="greaterThanOrEqual">
      <formula>0</formula>
    </cfRule>
  </conditionalFormatting>
  <conditionalFormatting sqref="AJ69">
    <cfRule type="cellIs" dxfId="15387" priority="489" operator="lessThan">
      <formula>0</formula>
    </cfRule>
    <cfRule type="cellIs" dxfId="15386" priority="490" operator="greaterThanOrEqual">
      <formula>0</formula>
    </cfRule>
  </conditionalFormatting>
  <conditionalFormatting sqref="AJ71">
    <cfRule type="cellIs" dxfId="15385" priority="487" operator="lessThan">
      <formula>0</formula>
    </cfRule>
    <cfRule type="cellIs" dxfId="15384" priority="488" operator="greaterThanOrEqual">
      <formula>0</formula>
    </cfRule>
  </conditionalFormatting>
  <conditionalFormatting sqref="AJ122:AJ123">
    <cfRule type="cellIs" dxfId="15383" priority="159" operator="greaterThan">
      <formula>0</formula>
    </cfRule>
    <cfRule type="cellIs" dxfId="15382" priority="160" operator="lessThanOrEqual">
      <formula>0</formula>
    </cfRule>
  </conditionalFormatting>
  <conditionalFormatting sqref="AJ118">
    <cfRule type="cellIs" dxfId="15381" priority="134" operator="greaterThanOrEqual">
      <formula>0</formula>
    </cfRule>
  </conditionalFormatting>
  <conditionalFormatting sqref="AJ118">
    <cfRule type="cellIs" dxfId="15380" priority="133" operator="lessThan">
      <formula>0</formula>
    </cfRule>
  </conditionalFormatting>
  <conditionalFormatting sqref="AJ128">
    <cfRule type="cellIs" dxfId="15379" priority="132" operator="greaterThanOrEqual">
      <formula>0</formula>
    </cfRule>
  </conditionalFormatting>
  <conditionalFormatting sqref="AJ128">
    <cfRule type="cellIs" dxfId="15378" priority="131" operator="lessThan">
      <formula>0</formula>
    </cfRule>
  </conditionalFormatting>
  <conditionalFormatting sqref="AJ117">
    <cfRule type="cellIs" dxfId="15377" priority="128" operator="greaterThanOrEqual">
      <formula>0</formula>
    </cfRule>
  </conditionalFormatting>
  <conditionalFormatting sqref="AJ117">
    <cfRule type="cellIs" dxfId="15376" priority="127" operator="lessThan">
      <formula>0</formula>
    </cfRule>
  </conditionalFormatting>
  <conditionalFormatting sqref="AI75:AI76 AI78:AI79 AI81:AI82 AI84:AI85 AI91:AI92 AI94:AI95 AI97:AI98 AI100:AI101 AI110:AI111">
    <cfRule type="cellIs" dxfId="15375" priority="237" operator="lessThan">
      <formula>0</formula>
    </cfRule>
    <cfRule type="cellIs" dxfId="15374" priority="238" operator="greaterThanOrEqual">
      <formula>0</formula>
    </cfRule>
  </conditionalFormatting>
  <conditionalFormatting sqref="AG94:AG95">
    <cfRule type="cellIs" dxfId="15373" priority="345" operator="greaterThan">
      <formula>0</formula>
    </cfRule>
    <cfRule type="cellIs" dxfId="15372" priority="346" operator="lessThanOrEqual">
      <formula>0</formula>
    </cfRule>
  </conditionalFormatting>
  <conditionalFormatting sqref="AI106">
    <cfRule type="cellIs" dxfId="15371" priority="202" operator="greaterThanOrEqual">
      <formula>0</formula>
    </cfRule>
  </conditionalFormatting>
  <conditionalFormatting sqref="AI106">
    <cfRule type="cellIs" dxfId="15370" priority="201" operator="lessThan">
      <formula>0</formula>
    </cfRule>
  </conditionalFormatting>
  <conditionalFormatting sqref="AJ112">
    <cfRule type="cellIs" dxfId="15369" priority="144" operator="greaterThanOrEqual">
      <formula>0</formula>
    </cfRule>
  </conditionalFormatting>
  <conditionalFormatting sqref="AJ112">
    <cfRule type="cellIs" dxfId="15368" priority="143" operator="lessThan">
      <formula>0</formula>
    </cfRule>
  </conditionalFormatting>
  <conditionalFormatting sqref="AI113">
    <cfRule type="cellIs" dxfId="15367" priority="196" operator="greaterThanOrEqual">
      <formula>0</formula>
    </cfRule>
  </conditionalFormatting>
  <conditionalFormatting sqref="AI113">
    <cfRule type="cellIs" dxfId="15366" priority="195" operator="lessThan">
      <formula>0</formula>
    </cfRule>
  </conditionalFormatting>
  <conditionalFormatting sqref="AJ124">
    <cfRule type="cellIs" dxfId="15365" priority="137" operator="lessThan">
      <formula>0</formula>
    </cfRule>
  </conditionalFormatting>
  <conditionalFormatting sqref="AJ124">
    <cfRule type="cellIs" dxfId="15364" priority="138" operator="greaterThanOrEqual">
      <formula>0</formula>
    </cfRule>
  </conditionalFormatting>
  <conditionalFormatting sqref="AB54">
    <cfRule type="cellIs" dxfId="15363" priority="486" operator="greaterThanOrEqual">
      <formula>0</formula>
    </cfRule>
  </conditionalFormatting>
  <conditionalFormatting sqref="AB54">
    <cfRule type="cellIs" dxfId="15362" priority="485" operator="lessThan">
      <formula>0</formula>
    </cfRule>
  </conditionalFormatting>
  <conditionalFormatting sqref="AG54">
    <cfRule type="cellIs" dxfId="15361" priority="483" operator="greaterThan">
      <formula>0</formula>
    </cfRule>
    <cfRule type="cellIs" dxfId="15360" priority="484" operator="lessThanOrEqual">
      <formula>0</formula>
    </cfRule>
  </conditionalFormatting>
  <conditionalFormatting sqref="AF54">
    <cfRule type="cellIs" dxfId="15359" priority="482" operator="greaterThanOrEqual">
      <formula>0</formula>
    </cfRule>
  </conditionalFormatting>
  <conditionalFormatting sqref="AF54">
    <cfRule type="cellIs" dxfId="15358" priority="481" operator="lessThan">
      <formula>0</formula>
    </cfRule>
  </conditionalFormatting>
  <conditionalFormatting sqref="AC54">
    <cfRule type="cellIs" dxfId="15357" priority="479" operator="greaterThan">
      <formula>0</formula>
    </cfRule>
    <cfRule type="cellIs" dxfId="15356" priority="480" operator="lessThanOrEqual">
      <formula>0</formula>
    </cfRule>
  </conditionalFormatting>
  <conditionalFormatting sqref="AI54">
    <cfRule type="cellIs" dxfId="15355" priority="478" operator="greaterThanOrEqual">
      <formula>0</formula>
    </cfRule>
  </conditionalFormatting>
  <conditionalFormatting sqref="AI54">
    <cfRule type="cellIs" dxfId="15354" priority="477" operator="lessThan">
      <formula>0</formula>
    </cfRule>
  </conditionalFormatting>
  <conditionalFormatting sqref="AJ54">
    <cfRule type="cellIs" dxfId="15353" priority="476" operator="greaterThanOrEqual">
      <formula>0</formula>
    </cfRule>
  </conditionalFormatting>
  <conditionalFormatting sqref="AJ54">
    <cfRule type="cellIs" dxfId="15352" priority="475" operator="lessThan">
      <formula>0</formula>
    </cfRule>
  </conditionalFormatting>
  <conditionalFormatting sqref="AJ127">
    <cfRule type="cellIs" dxfId="15351" priority="136" operator="greaterThanOrEqual">
      <formula>0</formula>
    </cfRule>
  </conditionalFormatting>
  <conditionalFormatting sqref="AJ127">
    <cfRule type="cellIs" dxfId="15350" priority="135" operator="lessThan">
      <formula>0</formula>
    </cfRule>
  </conditionalFormatting>
  <conditionalFormatting sqref="AC75:AC76">
    <cfRule type="cellIs" dxfId="15349" priority="473" operator="greaterThan">
      <formula>0</formula>
    </cfRule>
    <cfRule type="cellIs" dxfId="15348" priority="474" operator="lessThanOrEqual">
      <formula>0</formula>
    </cfRule>
  </conditionalFormatting>
  <conditionalFormatting sqref="AC78:AC79">
    <cfRule type="cellIs" dxfId="15347" priority="471" operator="greaterThan">
      <formula>0</formula>
    </cfRule>
    <cfRule type="cellIs" dxfId="15346" priority="472" operator="lessThanOrEqual">
      <formula>0</formula>
    </cfRule>
  </conditionalFormatting>
  <conditionalFormatting sqref="AC81:AC82">
    <cfRule type="cellIs" dxfId="15345" priority="469" operator="greaterThan">
      <formula>0</formula>
    </cfRule>
    <cfRule type="cellIs" dxfId="15344" priority="470" operator="lessThanOrEqual">
      <formula>0</formula>
    </cfRule>
  </conditionalFormatting>
  <conditionalFormatting sqref="AC91:AC92">
    <cfRule type="cellIs" dxfId="15343" priority="467" operator="greaterThan">
      <formula>0</formula>
    </cfRule>
    <cfRule type="cellIs" dxfId="15342" priority="468" operator="lessThanOrEqual">
      <formula>0</formula>
    </cfRule>
  </conditionalFormatting>
  <conditionalFormatting sqref="AC84:AC85">
    <cfRule type="cellIs" dxfId="15341" priority="465" operator="greaterThan">
      <formula>0</formula>
    </cfRule>
    <cfRule type="cellIs" dxfId="15340" priority="466" operator="lessThanOrEqual">
      <formula>0</formula>
    </cfRule>
  </conditionalFormatting>
  <conditionalFormatting sqref="AC94:AC95">
    <cfRule type="cellIs" dxfId="15339" priority="463" operator="greaterThan">
      <formula>0</formula>
    </cfRule>
    <cfRule type="cellIs" dxfId="15338" priority="464" operator="lessThanOrEqual">
      <formula>0</formula>
    </cfRule>
  </conditionalFormatting>
  <conditionalFormatting sqref="AC97:AC98">
    <cfRule type="cellIs" dxfId="15337" priority="461" operator="greaterThan">
      <formula>0</formula>
    </cfRule>
    <cfRule type="cellIs" dxfId="15336" priority="462" operator="lessThanOrEqual">
      <formula>0</formula>
    </cfRule>
  </conditionalFormatting>
  <conditionalFormatting sqref="AC100:AC101">
    <cfRule type="cellIs" dxfId="15335" priority="459" operator="greaterThan">
      <formula>0</formula>
    </cfRule>
    <cfRule type="cellIs" dxfId="15334" priority="460" operator="lessThanOrEqual">
      <formula>0</formula>
    </cfRule>
  </conditionalFormatting>
  <conditionalFormatting sqref="AC110:AC111">
    <cfRule type="cellIs" dxfId="15333" priority="457" operator="greaterThan">
      <formula>0</formula>
    </cfRule>
    <cfRule type="cellIs" dxfId="15332" priority="458" operator="lessThanOrEqual">
      <formula>0</formula>
    </cfRule>
  </conditionalFormatting>
  <conditionalFormatting sqref="AC125:AC126">
    <cfRule type="cellIs" dxfId="15331" priority="455" operator="greaterThan">
      <formula>0</formula>
    </cfRule>
    <cfRule type="cellIs" dxfId="15330" priority="456" operator="lessThanOrEqual">
      <formula>0</formula>
    </cfRule>
  </conditionalFormatting>
  <conditionalFormatting sqref="AC115:AC116">
    <cfRule type="cellIs" dxfId="15329" priority="453" operator="greaterThan">
      <formula>0</formula>
    </cfRule>
    <cfRule type="cellIs" dxfId="15328" priority="454" operator="lessThanOrEqual">
      <formula>0</formula>
    </cfRule>
  </conditionalFormatting>
  <conditionalFormatting sqref="AC77">
    <cfRule type="cellIs" dxfId="15327" priority="451" operator="greaterThan">
      <formula>0</formula>
    </cfRule>
    <cfRule type="cellIs" dxfId="15326" priority="452" operator="lessThanOrEqual">
      <formula>0</formula>
    </cfRule>
  </conditionalFormatting>
  <conditionalFormatting sqref="AC80">
    <cfRule type="cellIs" dxfId="15325" priority="449" operator="greaterThan">
      <formula>0</formula>
    </cfRule>
    <cfRule type="cellIs" dxfId="15324" priority="450" operator="lessThanOrEqual">
      <formula>0</formula>
    </cfRule>
  </conditionalFormatting>
  <conditionalFormatting sqref="AC83">
    <cfRule type="cellIs" dxfId="15323" priority="447" operator="greaterThan">
      <formula>0</formula>
    </cfRule>
    <cfRule type="cellIs" dxfId="15322" priority="448" operator="lessThanOrEqual">
      <formula>0</formula>
    </cfRule>
  </conditionalFormatting>
  <conditionalFormatting sqref="AC93">
    <cfRule type="cellIs" dxfId="15321" priority="445" operator="greaterThan">
      <formula>0</formula>
    </cfRule>
    <cfRule type="cellIs" dxfId="15320" priority="446" operator="lessThanOrEqual">
      <formula>0</formula>
    </cfRule>
  </conditionalFormatting>
  <conditionalFormatting sqref="AC86">
    <cfRule type="cellIs" dxfId="15319" priority="443" operator="greaterThan">
      <formula>0</formula>
    </cfRule>
    <cfRule type="cellIs" dxfId="15318" priority="444" operator="lessThanOrEqual">
      <formula>0</formula>
    </cfRule>
  </conditionalFormatting>
  <conditionalFormatting sqref="AC96">
    <cfRule type="cellIs" dxfId="15317" priority="441" operator="greaterThan">
      <formula>0</formula>
    </cfRule>
    <cfRule type="cellIs" dxfId="15316" priority="442" operator="lessThanOrEqual">
      <formula>0</formula>
    </cfRule>
  </conditionalFormatting>
  <conditionalFormatting sqref="AC99">
    <cfRule type="cellIs" dxfId="15315" priority="439" operator="greaterThan">
      <formula>0</formula>
    </cfRule>
    <cfRule type="cellIs" dxfId="15314" priority="440" operator="lessThanOrEqual">
      <formula>0</formula>
    </cfRule>
  </conditionalFormatting>
  <conditionalFormatting sqref="AC102">
    <cfRule type="cellIs" dxfId="15313" priority="437" operator="greaterThan">
      <formula>0</formula>
    </cfRule>
    <cfRule type="cellIs" dxfId="15312" priority="438" operator="lessThanOrEqual">
      <formula>0</formula>
    </cfRule>
  </conditionalFormatting>
  <conditionalFormatting sqref="AC88">
    <cfRule type="cellIs" dxfId="15311" priority="435" operator="greaterThan">
      <formula>0</formula>
    </cfRule>
    <cfRule type="cellIs" dxfId="15310" priority="436" operator="lessThanOrEqual">
      <formula>0</formula>
    </cfRule>
  </conditionalFormatting>
  <conditionalFormatting sqref="AC128">
    <cfRule type="cellIs" dxfId="15309" priority="433" operator="greaterThan">
      <formula>0</formula>
    </cfRule>
    <cfRule type="cellIs" dxfId="15308" priority="434" operator="lessThanOrEqual">
      <formula>0</formula>
    </cfRule>
  </conditionalFormatting>
  <conditionalFormatting sqref="AB75:AB76 AB78:AB79 AB81:AB82 AB84:AB85 AB91:AB92 AB94:AB95 AB97:AB98 AB100:AB101 AB110:AB111 AB115:AB116">
    <cfRule type="cellIs" dxfId="15307" priority="431" operator="lessThan">
      <formula>0</formula>
    </cfRule>
    <cfRule type="cellIs" dxfId="15306" priority="432" operator="greaterThanOrEqual">
      <formula>0</formula>
    </cfRule>
  </conditionalFormatting>
  <conditionalFormatting sqref="AB77 AB80 AB83 AB86 AB88 AB93 AB96 AB99 AB102">
    <cfRule type="cellIs" dxfId="15305" priority="430" operator="greaterThanOrEqual">
      <formula>0</formula>
    </cfRule>
  </conditionalFormatting>
  <conditionalFormatting sqref="AB77 AB80 AB83 AB86 AB88 AB93 AB96 AB99 AB102">
    <cfRule type="cellIs" dxfId="15304" priority="429" operator="lessThan">
      <formula>0</formula>
    </cfRule>
  </conditionalFormatting>
  <conditionalFormatting sqref="AC129">
    <cfRule type="cellIs" dxfId="15303" priority="427" operator="greaterThan">
      <formula>0</formula>
    </cfRule>
    <cfRule type="cellIs" dxfId="15302" priority="428" operator="lessThanOrEqual">
      <formula>0</formula>
    </cfRule>
  </conditionalFormatting>
  <conditionalFormatting sqref="AB129">
    <cfRule type="cellIs" dxfId="15301" priority="425" operator="greaterThanOrEqual">
      <formula>0</formula>
    </cfRule>
    <cfRule type="cellIs" dxfId="15300" priority="426" operator="lessThan">
      <formula>0</formula>
    </cfRule>
  </conditionalFormatting>
  <conditionalFormatting sqref="AB124">
    <cfRule type="cellIs" dxfId="15299" priority="406" operator="greaterThanOrEqual">
      <formula>0</formula>
    </cfRule>
  </conditionalFormatting>
  <conditionalFormatting sqref="AB124">
    <cfRule type="cellIs" dxfId="15298" priority="405" operator="lessThan">
      <formula>0</formula>
    </cfRule>
  </conditionalFormatting>
  <conditionalFormatting sqref="AC106">
    <cfRule type="cellIs" dxfId="15297" priority="415" operator="greaterThan">
      <formula>0</formula>
    </cfRule>
    <cfRule type="cellIs" dxfId="15296" priority="416" operator="lessThanOrEqual">
      <formula>0</formula>
    </cfRule>
  </conditionalFormatting>
  <conditionalFormatting sqref="AC109">
    <cfRule type="cellIs" dxfId="15295" priority="413" operator="greaterThan">
      <formula>0</formula>
    </cfRule>
    <cfRule type="cellIs" dxfId="15294" priority="414" operator="lessThanOrEqual">
      <formula>0</formula>
    </cfRule>
  </conditionalFormatting>
  <conditionalFormatting sqref="AC112">
    <cfRule type="cellIs" dxfId="15293" priority="411" operator="greaterThan">
      <formula>0</formula>
    </cfRule>
    <cfRule type="cellIs" dxfId="15292" priority="412" operator="lessThanOrEqual">
      <formula>0</formula>
    </cfRule>
  </conditionalFormatting>
  <conditionalFormatting sqref="AC90">
    <cfRule type="cellIs" dxfId="15291" priority="423" operator="greaterThan">
      <formula>0</formula>
    </cfRule>
    <cfRule type="cellIs" dxfId="15290" priority="424" operator="lessThanOrEqual">
      <formula>0</formula>
    </cfRule>
  </conditionalFormatting>
  <conditionalFormatting sqref="AC103">
    <cfRule type="cellIs" dxfId="15289" priority="421" operator="greaterThan">
      <formula>0</formula>
    </cfRule>
    <cfRule type="cellIs" dxfId="15288" priority="422" operator="lessThanOrEqual">
      <formula>0</formula>
    </cfRule>
  </conditionalFormatting>
  <conditionalFormatting sqref="AC104:AC105 AC107:AC108">
    <cfRule type="cellIs" dxfId="15287" priority="419" operator="greaterThan">
      <formula>0</formula>
    </cfRule>
    <cfRule type="cellIs" dxfId="15286" priority="420" operator="lessThanOrEqual">
      <formula>0</formula>
    </cfRule>
  </conditionalFormatting>
  <conditionalFormatting sqref="AC119:AC120 AC122:AC123">
    <cfRule type="cellIs" dxfId="15285" priority="417" operator="greaterThan">
      <formula>0</formula>
    </cfRule>
    <cfRule type="cellIs" dxfId="15284" priority="418" operator="lessThanOrEqual">
      <formula>0</formula>
    </cfRule>
  </conditionalFormatting>
  <conditionalFormatting sqref="AC121">
    <cfRule type="cellIs" dxfId="15283" priority="409" operator="greaterThan">
      <formula>0</formula>
    </cfRule>
    <cfRule type="cellIs" dxfId="15282" priority="410" operator="lessThanOrEqual">
      <formula>0</formula>
    </cfRule>
  </conditionalFormatting>
  <conditionalFormatting sqref="AC124">
    <cfRule type="cellIs" dxfId="15281" priority="407" operator="greaterThan">
      <formula>0</formula>
    </cfRule>
    <cfRule type="cellIs" dxfId="15280" priority="408" operator="lessThanOrEqual">
      <formula>0</formula>
    </cfRule>
  </conditionalFormatting>
  <conditionalFormatting sqref="AC127">
    <cfRule type="cellIs" dxfId="15279" priority="403" operator="greaterThan">
      <formula>0</formula>
    </cfRule>
    <cfRule type="cellIs" dxfId="15278" priority="404" operator="lessThanOrEqual">
      <formula>0</formula>
    </cfRule>
  </conditionalFormatting>
  <conditionalFormatting sqref="AC87">
    <cfRule type="cellIs" dxfId="15277" priority="401" operator="greaterThan">
      <formula>0</formula>
    </cfRule>
    <cfRule type="cellIs" dxfId="15276" priority="402" operator="lessThanOrEqual">
      <formula>0</formula>
    </cfRule>
  </conditionalFormatting>
  <conditionalFormatting sqref="AC118">
    <cfRule type="cellIs" dxfId="15275" priority="399" operator="greaterThan">
      <formula>0</formula>
    </cfRule>
    <cfRule type="cellIs" dxfId="15274" priority="400" operator="lessThanOrEqual">
      <formula>0</formula>
    </cfRule>
  </conditionalFormatting>
  <conditionalFormatting sqref="AB118">
    <cfRule type="cellIs" dxfId="15273" priority="398" operator="greaterThanOrEqual">
      <formula>0</formula>
    </cfRule>
  </conditionalFormatting>
  <conditionalFormatting sqref="AB118">
    <cfRule type="cellIs" dxfId="15272" priority="397" operator="lessThan">
      <formula>0</formula>
    </cfRule>
  </conditionalFormatting>
  <conditionalFormatting sqref="AC114">
    <cfRule type="cellIs" dxfId="15271" priority="395" operator="greaterThan">
      <formula>0</formula>
    </cfRule>
    <cfRule type="cellIs" dxfId="15270" priority="396" operator="lessThanOrEqual">
      <formula>0</formula>
    </cfRule>
  </conditionalFormatting>
  <conditionalFormatting sqref="AB114">
    <cfRule type="cellIs" dxfId="15269" priority="394" operator="greaterThanOrEqual">
      <formula>0</formula>
    </cfRule>
  </conditionalFormatting>
  <conditionalFormatting sqref="AB114">
    <cfRule type="cellIs" dxfId="15268" priority="393" operator="lessThan">
      <formula>0</formula>
    </cfRule>
  </conditionalFormatting>
  <conditionalFormatting sqref="AB87">
    <cfRule type="cellIs" dxfId="15267" priority="392" operator="greaterThanOrEqual">
      <formula>0</formula>
    </cfRule>
  </conditionalFormatting>
  <conditionalFormatting sqref="AB87">
    <cfRule type="cellIs" dxfId="15266" priority="391" operator="lessThan">
      <formula>0</formula>
    </cfRule>
  </conditionalFormatting>
  <conditionalFormatting sqref="AB90">
    <cfRule type="cellIs" dxfId="15265" priority="390" operator="greaterThanOrEqual">
      <formula>0</formula>
    </cfRule>
  </conditionalFormatting>
  <conditionalFormatting sqref="AB90">
    <cfRule type="cellIs" dxfId="15264" priority="389" operator="lessThan">
      <formula>0</formula>
    </cfRule>
  </conditionalFormatting>
  <conditionalFormatting sqref="AB103">
    <cfRule type="cellIs" dxfId="15263" priority="388" operator="greaterThanOrEqual">
      <formula>0</formula>
    </cfRule>
  </conditionalFormatting>
  <conditionalFormatting sqref="AB103">
    <cfRule type="cellIs" dxfId="15262" priority="387" operator="lessThan">
      <formula>0</formula>
    </cfRule>
  </conditionalFormatting>
  <conditionalFormatting sqref="AB106">
    <cfRule type="cellIs" dxfId="15261" priority="386" operator="greaterThanOrEqual">
      <formula>0</formula>
    </cfRule>
  </conditionalFormatting>
  <conditionalFormatting sqref="AB106">
    <cfRule type="cellIs" dxfId="15260" priority="385" operator="lessThan">
      <formula>0</formula>
    </cfRule>
  </conditionalFormatting>
  <conditionalFormatting sqref="AB109">
    <cfRule type="cellIs" dxfId="15259" priority="384" operator="greaterThanOrEqual">
      <formula>0</formula>
    </cfRule>
  </conditionalFormatting>
  <conditionalFormatting sqref="AB109">
    <cfRule type="cellIs" dxfId="15258" priority="383" operator="lessThan">
      <formula>0</formula>
    </cfRule>
  </conditionalFormatting>
  <conditionalFormatting sqref="AB112">
    <cfRule type="cellIs" dxfId="15257" priority="382" operator="greaterThanOrEqual">
      <formula>0</formula>
    </cfRule>
  </conditionalFormatting>
  <conditionalFormatting sqref="AB112">
    <cfRule type="cellIs" dxfId="15256" priority="381" operator="lessThan">
      <formula>0</formula>
    </cfRule>
  </conditionalFormatting>
  <conditionalFormatting sqref="AB113">
    <cfRule type="cellIs" dxfId="15255" priority="380" operator="greaterThanOrEqual">
      <formula>0</formula>
    </cfRule>
  </conditionalFormatting>
  <conditionalFormatting sqref="AB113">
    <cfRule type="cellIs" dxfId="15254" priority="379" operator="lessThan">
      <formula>0</formula>
    </cfRule>
  </conditionalFormatting>
  <conditionalFormatting sqref="AB121">
    <cfRule type="cellIs" dxfId="15253" priority="378" operator="greaterThanOrEqual">
      <formula>0</formula>
    </cfRule>
  </conditionalFormatting>
  <conditionalFormatting sqref="AB121">
    <cfRule type="cellIs" dxfId="15252" priority="377" operator="lessThan">
      <formula>0</formula>
    </cfRule>
  </conditionalFormatting>
  <conditionalFormatting sqref="AB127">
    <cfRule type="cellIs" dxfId="15251" priority="376" operator="greaterThanOrEqual">
      <formula>0</formula>
    </cfRule>
  </conditionalFormatting>
  <conditionalFormatting sqref="AB127">
    <cfRule type="cellIs" dxfId="15250" priority="375" operator="lessThan">
      <formula>0</formula>
    </cfRule>
  </conditionalFormatting>
  <conditionalFormatting sqref="AB128">
    <cfRule type="cellIs" dxfId="15249" priority="374" operator="greaterThanOrEqual">
      <formula>0</formula>
    </cfRule>
  </conditionalFormatting>
  <conditionalFormatting sqref="AB128">
    <cfRule type="cellIs" dxfId="15248" priority="373" operator="lessThan">
      <formula>0</formula>
    </cfRule>
  </conditionalFormatting>
  <conditionalFormatting sqref="AB104:AB105">
    <cfRule type="cellIs" dxfId="15247" priority="371" operator="lessThan">
      <formula>0</formula>
    </cfRule>
    <cfRule type="cellIs" dxfId="15246" priority="372" operator="greaterThanOrEqual">
      <formula>0</formula>
    </cfRule>
  </conditionalFormatting>
  <conditionalFormatting sqref="AB107:AB108">
    <cfRule type="cellIs" dxfId="15245" priority="369" operator="lessThan">
      <formula>0</formula>
    </cfRule>
    <cfRule type="cellIs" dxfId="15244" priority="370" operator="greaterThanOrEqual">
      <formula>0</formula>
    </cfRule>
  </conditionalFormatting>
  <conditionalFormatting sqref="AB119:AB120">
    <cfRule type="cellIs" dxfId="15243" priority="367" operator="lessThan">
      <formula>0</formula>
    </cfRule>
    <cfRule type="cellIs" dxfId="15242" priority="368" operator="greaterThanOrEqual">
      <formula>0</formula>
    </cfRule>
  </conditionalFormatting>
  <conditionalFormatting sqref="AB122:AB123">
    <cfRule type="cellIs" dxfId="15241" priority="365" operator="lessThan">
      <formula>0</formula>
    </cfRule>
    <cfRule type="cellIs" dxfId="15240" priority="366" operator="greaterThanOrEqual">
      <formula>0</formula>
    </cfRule>
  </conditionalFormatting>
  <conditionalFormatting sqref="AB125:AB126">
    <cfRule type="cellIs" dxfId="15239" priority="363" operator="lessThan">
      <formula>0</formula>
    </cfRule>
    <cfRule type="cellIs" dxfId="15238" priority="364" operator="greaterThanOrEqual">
      <formula>0</formula>
    </cfRule>
  </conditionalFormatting>
  <conditionalFormatting sqref="AC113">
    <cfRule type="cellIs" dxfId="15237" priority="361" operator="greaterThan">
      <formula>0</formula>
    </cfRule>
    <cfRule type="cellIs" dxfId="15236" priority="362" operator="lessThanOrEqual">
      <formula>0</formula>
    </cfRule>
  </conditionalFormatting>
  <conditionalFormatting sqref="AB117">
    <cfRule type="cellIs" dxfId="15235" priority="360" operator="greaterThanOrEqual">
      <formula>0</formula>
    </cfRule>
  </conditionalFormatting>
  <conditionalFormatting sqref="AB117">
    <cfRule type="cellIs" dxfId="15234" priority="359" operator="lessThan">
      <formula>0</formula>
    </cfRule>
  </conditionalFormatting>
  <conditionalFormatting sqref="AC117">
    <cfRule type="cellIs" dxfId="15233" priority="357" operator="greaterThan">
      <formula>0</formula>
    </cfRule>
    <cfRule type="cellIs" dxfId="15232" priority="358" operator="lessThanOrEqual">
      <formula>0</formula>
    </cfRule>
  </conditionalFormatting>
  <conditionalFormatting sqref="AG75:AG76">
    <cfRule type="cellIs" dxfId="15231" priority="355" operator="greaterThan">
      <formula>0</formula>
    </cfRule>
    <cfRule type="cellIs" dxfId="15230" priority="356" operator="lessThanOrEqual">
      <formula>0</formula>
    </cfRule>
  </conditionalFormatting>
  <conditionalFormatting sqref="AG78:AG79">
    <cfRule type="cellIs" dxfId="15229" priority="353" operator="greaterThan">
      <formula>0</formula>
    </cfRule>
    <cfRule type="cellIs" dxfId="15228" priority="354" operator="lessThanOrEqual">
      <formula>0</formula>
    </cfRule>
  </conditionalFormatting>
  <conditionalFormatting sqref="AG81:AG82">
    <cfRule type="cellIs" dxfId="15227" priority="351" operator="greaterThan">
      <formula>0</formula>
    </cfRule>
    <cfRule type="cellIs" dxfId="15226" priority="352" operator="lessThanOrEqual">
      <formula>0</formula>
    </cfRule>
  </conditionalFormatting>
  <conditionalFormatting sqref="AG91:AG92">
    <cfRule type="cellIs" dxfId="15225" priority="349" operator="greaterThan">
      <formula>0</formula>
    </cfRule>
    <cfRule type="cellIs" dxfId="15224" priority="350" operator="lessThanOrEqual">
      <formula>0</formula>
    </cfRule>
  </conditionalFormatting>
  <conditionalFormatting sqref="AG84:AG85">
    <cfRule type="cellIs" dxfId="15223" priority="347" operator="greaterThan">
      <formula>0</formula>
    </cfRule>
    <cfRule type="cellIs" dxfId="15222" priority="348" operator="lessThanOrEqual">
      <formula>0</formula>
    </cfRule>
  </conditionalFormatting>
  <conditionalFormatting sqref="AG97:AG98">
    <cfRule type="cellIs" dxfId="15221" priority="343" operator="greaterThan">
      <formula>0</formula>
    </cfRule>
    <cfRule type="cellIs" dxfId="15220" priority="344" operator="lessThanOrEqual">
      <formula>0</formula>
    </cfRule>
  </conditionalFormatting>
  <conditionalFormatting sqref="AG100:AG101">
    <cfRule type="cellIs" dxfId="15219" priority="341" operator="greaterThan">
      <formula>0</formula>
    </cfRule>
    <cfRule type="cellIs" dxfId="15218" priority="342" operator="lessThanOrEqual">
      <formula>0</formula>
    </cfRule>
  </conditionalFormatting>
  <conditionalFormatting sqref="AG110:AG111">
    <cfRule type="cellIs" dxfId="15217" priority="339" operator="greaterThan">
      <formula>0</formula>
    </cfRule>
    <cfRule type="cellIs" dxfId="15216" priority="340" operator="lessThanOrEqual">
      <formula>0</formula>
    </cfRule>
  </conditionalFormatting>
  <conditionalFormatting sqref="AG125:AG126">
    <cfRule type="cellIs" dxfId="15215" priority="337" operator="greaterThan">
      <formula>0</formula>
    </cfRule>
    <cfRule type="cellIs" dxfId="15214" priority="338" operator="lessThanOrEqual">
      <formula>0</formula>
    </cfRule>
  </conditionalFormatting>
  <conditionalFormatting sqref="AG115:AG116">
    <cfRule type="cellIs" dxfId="15213" priority="335" operator="greaterThan">
      <formula>0</formula>
    </cfRule>
    <cfRule type="cellIs" dxfId="15212" priority="336" operator="lessThanOrEqual">
      <formula>0</formula>
    </cfRule>
  </conditionalFormatting>
  <conditionalFormatting sqref="AG77">
    <cfRule type="cellIs" dxfId="15211" priority="333" operator="greaterThan">
      <formula>0</formula>
    </cfRule>
    <cfRule type="cellIs" dxfId="15210" priority="334" operator="lessThanOrEqual">
      <formula>0</formula>
    </cfRule>
  </conditionalFormatting>
  <conditionalFormatting sqref="AG80">
    <cfRule type="cellIs" dxfId="15209" priority="331" operator="greaterThan">
      <formula>0</formula>
    </cfRule>
    <cfRule type="cellIs" dxfId="15208" priority="332" operator="lessThanOrEqual">
      <formula>0</formula>
    </cfRule>
  </conditionalFormatting>
  <conditionalFormatting sqref="AG83">
    <cfRule type="cellIs" dxfId="15207" priority="329" operator="greaterThan">
      <formula>0</formula>
    </cfRule>
    <cfRule type="cellIs" dxfId="15206" priority="330" operator="lessThanOrEqual">
      <formula>0</formula>
    </cfRule>
  </conditionalFormatting>
  <conditionalFormatting sqref="AG93">
    <cfRule type="cellIs" dxfId="15205" priority="327" operator="greaterThan">
      <formula>0</formula>
    </cfRule>
    <cfRule type="cellIs" dxfId="15204" priority="328" operator="lessThanOrEqual">
      <formula>0</formula>
    </cfRule>
  </conditionalFormatting>
  <conditionalFormatting sqref="AG86">
    <cfRule type="cellIs" dxfId="15203" priority="325" operator="greaterThan">
      <formula>0</formula>
    </cfRule>
    <cfRule type="cellIs" dxfId="15202" priority="326" operator="lessThanOrEqual">
      <formula>0</formula>
    </cfRule>
  </conditionalFormatting>
  <conditionalFormatting sqref="AG96">
    <cfRule type="cellIs" dxfId="15201" priority="323" operator="greaterThan">
      <formula>0</formula>
    </cfRule>
    <cfRule type="cellIs" dxfId="15200" priority="324" operator="lessThanOrEqual">
      <formula>0</formula>
    </cfRule>
  </conditionalFormatting>
  <conditionalFormatting sqref="AG99">
    <cfRule type="cellIs" dxfId="15199" priority="321" operator="greaterThan">
      <formula>0</formula>
    </cfRule>
    <cfRule type="cellIs" dxfId="15198" priority="322" operator="lessThanOrEqual">
      <formula>0</formula>
    </cfRule>
  </conditionalFormatting>
  <conditionalFormatting sqref="AG102">
    <cfRule type="cellIs" dxfId="15197" priority="319" operator="greaterThan">
      <formula>0</formula>
    </cfRule>
    <cfRule type="cellIs" dxfId="15196" priority="320" operator="lessThanOrEqual">
      <formula>0</formula>
    </cfRule>
  </conditionalFormatting>
  <conditionalFormatting sqref="AG88">
    <cfRule type="cellIs" dxfId="15195" priority="317" operator="greaterThan">
      <formula>0</formula>
    </cfRule>
    <cfRule type="cellIs" dxfId="15194" priority="318" operator="lessThanOrEqual">
      <formula>0</formula>
    </cfRule>
  </conditionalFormatting>
  <conditionalFormatting sqref="AG128">
    <cfRule type="cellIs" dxfId="15193" priority="315" operator="greaterThan">
      <formula>0</formula>
    </cfRule>
    <cfRule type="cellIs" dxfId="15192" priority="316" operator="lessThanOrEqual">
      <formula>0</formula>
    </cfRule>
  </conditionalFormatting>
  <conditionalFormatting sqref="AF75:AF76 AF78:AF79 AF81:AF82 AF84:AF85 AF91:AF92 AF94:AF95 AF97:AF98 AF100:AF101 AF110:AF111 AF115:AF116">
    <cfRule type="cellIs" dxfId="15191" priority="313" operator="lessThan">
      <formula>0</formula>
    </cfRule>
    <cfRule type="cellIs" dxfId="15190" priority="314" operator="greaterThanOrEqual">
      <formula>0</formula>
    </cfRule>
  </conditionalFormatting>
  <conditionalFormatting sqref="AF77 AF80 AF83 AF86 AF88 AF93 AF96 AF99 AF102">
    <cfRule type="cellIs" dxfId="15189" priority="312" operator="greaterThanOrEqual">
      <formula>0</formula>
    </cfRule>
  </conditionalFormatting>
  <conditionalFormatting sqref="AF77 AF80 AF83 AF86 AF88 AF93 AF96 AF99 AF102">
    <cfRule type="cellIs" dxfId="15188" priority="311" operator="lessThan">
      <formula>0</formula>
    </cfRule>
  </conditionalFormatting>
  <conditionalFormatting sqref="AF124">
    <cfRule type="cellIs" dxfId="15187" priority="290" operator="greaterThanOrEqual">
      <formula>0</formula>
    </cfRule>
  </conditionalFormatting>
  <conditionalFormatting sqref="AF124">
    <cfRule type="cellIs" dxfId="15186" priority="289" operator="lessThan">
      <formula>0</formula>
    </cfRule>
  </conditionalFormatting>
  <conditionalFormatting sqref="AG113">
    <cfRule type="cellIs" dxfId="15185" priority="305" operator="greaterThan">
      <formula>0</formula>
    </cfRule>
    <cfRule type="cellIs" dxfId="15184" priority="306" operator="lessThanOrEqual">
      <formula>0</formula>
    </cfRule>
  </conditionalFormatting>
  <conditionalFormatting sqref="AG106">
    <cfRule type="cellIs" dxfId="15183" priority="299" operator="greaterThan">
      <formula>0</formula>
    </cfRule>
    <cfRule type="cellIs" dxfId="15182" priority="300" operator="lessThanOrEqual">
      <formula>0</formula>
    </cfRule>
  </conditionalFormatting>
  <conditionalFormatting sqref="AG109">
    <cfRule type="cellIs" dxfId="15181" priority="297" operator="greaterThan">
      <formula>0</formula>
    </cfRule>
    <cfRule type="cellIs" dxfId="15180" priority="298" operator="lessThanOrEqual">
      <formula>0</formula>
    </cfRule>
  </conditionalFormatting>
  <conditionalFormatting sqref="AG112">
    <cfRule type="cellIs" dxfId="15179" priority="295" operator="greaterThan">
      <formula>0</formula>
    </cfRule>
    <cfRule type="cellIs" dxfId="15178" priority="296" operator="lessThanOrEqual">
      <formula>0</formula>
    </cfRule>
  </conditionalFormatting>
  <conditionalFormatting sqref="AG90">
    <cfRule type="cellIs" dxfId="15177" priority="309" operator="greaterThan">
      <formula>0</formula>
    </cfRule>
    <cfRule type="cellIs" dxfId="15176" priority="310" operator="lessThanOrEqual">
      <formula>0</formula>
    </cfRule>
  </conditionalFormatting>
  <conditionalFormatting sqref="AG103">
    <cfRule type="cellIs" dxfId="15175" priority="307" operator="greaterThan">
      <formula>0</formula>
    </cfRule>
    <cfRule type="cellIs" dxfId="15174" priority="308" operator="lessThanOrEqual">
      <formula>0</formula>
    </cfRule>
  </conditionalFormatting>
  <conditionalFormatting sqref="AG104:AG105 AG107:AG108">
    <cfRule type="cellIs" dxfId="15173" priority="303" operator="greaterThan">
      <formula>0</formula>
    </cfRule>
    <cfRule type="cellIs" dxfId="15172" priority="304" operator="lessThanOrEqual">
      <formula>0</formula>
    </cfRule>
  </conditionalFormatting>
  <conditionalFormatting sqref="AG119:AG120 AG122:AG123">
    <cfRule type="cellIs" dxfId="15171" priority="301" operator="greaterThan">
      <formula>0</formula>
    </cfRule>
    <cfRule type="cellIs" dxfId="15170" priority="302" operator="lessThanOrEqual">
      <formula>0</formula>
    </cfRule>
  </conditionalFormatting>
  <conditionalFormatting sqref="AG121">
    <cfRule type="cellIs" dxfId="15169" priority="293" operator="greaterThan">
      <formula>0</formula>
    </cfRule>
    <cfRule type="cellIs" dxfId="15168" priority="294" operator="lessThanOrEqual">
      <formula>0</formula>
    </cfRule>
  </conditionalFormatting>
  <conditionalFormatting sqref="AG124">
    <cfRule type="cellIs" dxfId="15167" priority="291" operator="greaterThan">
      <formula>0</formula>
    </cfRule>
    <cfRule type="cellIs" dxfId="15166" priority="292" operator="lessThanOrEqual">
      <formula>0</formula>
    </cfRule>
  </conditionalFormatting>
  <conditionalFormatting sqref="AG127">
    <cfRule type="cellIs" dxfId="15165" priority="287" operator="greaterThan">
      <formula>0</formula>
    </cfRule>
    <cfRule type="cellIs" dxfId="15164" priority="288" operator="lessThanOrEqual">
      <formula>0</formula>
    </cfRule>
  </conditionalFormatting>
  <conditionalFormatting sqref="AG87">
    <cfRule type="cellIs" dxfId="15163" priority="285" operator="greaterThan">
      <formula>0</formula>
    </cfRule>
    <cfRule type="cellIs" dxfId="15162" priority="286" operator="lessThanOrEqual">
      <formula>0</formula>
    </cfRule>
  </conditionalFormatting>
  <conditionalFormatting sqref="AG118">
    <cfRule type="cellIs" dxfId="15161" priority="283" operator="greaterThan">
      <formula>0</formula>
    </cfRule>
    <cfRule type="cellIs" dxfId="15160" priority="284" operator="lessThanOrEqual">
      <formula>0</formula>
    </cfRule>
  </conditionalFormatting>
  <conditionalFormatting sqref="AF118">
    <cfRule type="cellIs" dxfId="15159" priority="282" operator="greaterThanOrEqual">
      <formula>0</formula>
    </cfRule>
  </conditionalFormatting>
  <conditionalFormatting sqref="AF118">
    <cfRule type="cellIs" dxfId="15158" priority="281" operator="lessThan">
      <formula>0</formula>
    </cfRule>
  </conditionalFormatting>
  <conditionalFormatting sqref="AG114">
    <cfRule type="cellIs" dxfId="15157" priority="279" operator="greaterThan">
      <formula>0</formula>
    </cfRule>
    <cfRule type="cellIs" dxfId="15156" priority="280" operator="lessThanOrEqual">
      <formula>0</formula>
    </cfRule>
  </conditionalFormatting>
  <conditionalFormatting sqref="AF114">
    <cfRule type="cellIs" dxfId="15155" priority="278" operator="greaterThanOrEqual">
      <formula>0</formula>
    </cfRule>
  </conditionalFormatting>
  <conditionalFormatting sqref="AF114">
    <cfRule type="cellIs" dxfId="15154" priority="277" operator="lessThan">
      <formula>0</formula>
    </cfRule>
  </conditionalFormatting>
  <conditionalFormatting sqref="AF87">
    <cfRule type="cellIs" dxfId="15153" priority="276" operator="greaterThanOrEqual">
      <formula>0</formula>
    </cfRule>
  </conditionalFormatting>
  <conditionalFormatting sqref="AF87">
    <cfRule type="cellIs" dxfId="15152" priority="275" operator="lessThan">
      <formula>0</formula>
    </cfRule>
  </conditionalFormatting>
  <conditionalFormatting sqref="AF90">
    <cfRule type="cellIs" dxfId="15151" priority="274" operator="greaterThanOrEqual">
      <formula>0</formula>
    </cfRule>
  </conditionalFormatting>
  <conditionalFormatting sqref="AF90">
    <cfRule type="cellIs" dxfId="15150" priority="273" operator="lessThan">
      <formula>0</formula>
    </cfRule>
  </conditionalFormatting>
  <conditionalFormatting sqref="AF103">
    <cfRule type="cellIs" dxfId="15149" priority="272" operator="greaterThanOrEqual">
      <formula>0</formula>
    </cfRule>
  </conditionalFormatting>
  <conditionalFormatting sqref="AF103">
    <cfRule type="cellIs" dxfId="15148" priority="271" operator="lessThan">
      <formula>0</formula>
    </cfRule>
  </conditionalFormatting>
  <conditionalFormatting sqref="AF109">
    <cfRule type="cellIs" dxfId="15147" priority="268" operator="greaterThanOrEqual">
      <formula>0</formula>
    </cfRule>
  </conditionalFormatting>
  <conditionalFormatting sqref="AF109">
    <cfRule type="cellIs" dxfId="15146" priority="267" operator="lessThan">
      <formula>0</formula>
    </cfRule>
  </conditionalFormatting>
  <conditionalFormatting sqref="AF112">
    <cfRule type="cellIs" dxfId="15145" priority="266" operator="greaterThanOrEqual">
      <formula>0</formula>
    </cfRule>
  </conditionalFormatting>
  <conditionalFormatting sqref="AF112">
    <cfRule type="cellIs" dxfId="15144" priority="265" operator="lessThan">
      <formula>0</formula>
    </cfRule>
  </conditionalFormatting>
  <conditionalFormatting sqref="AF113">
    <cfRule type="cellIs" dxfId="15143" priority="264" operator="greaterThanOrEqual">
      <formula>0</formula>
    </cfRule>
  </conditionalFormatting>
  <conditionalFormatting sqref="AF113">
    <cfRule type="cellIs" dxfId="15142" priority="263" operator="lessThan">
      <formula>0</formula>
    </cfRule>
  </conditionalFormatting>
  <conditionalFormatting sqref="AF121">
    <cfRule type="cellIs" dxfId="15141" priority="262" operator="greaterThanOrEqual">
      <formula>0</formula>
    </cfRule>
  </conditionalFormatting>
  <conditionalFormatting sqref="AF121">
    <cfRule type="cellIs" dxfId="15140" priority="261" operator="lessThan">
      <formula>0</formula>
    </cfRule>
  </conditionalFormatting>
  <conditionalFormatting sqref="AF127">
    <cfRule type="cellIs" dxfId="15139" priority="260" operator="greaterThanOrEqual">
      <formula>0</formula>
    </cfRule>
  </conditionalFormatting>
  <conditionalFormatting sqref="AF127">
    <cfRule type="cellIs" dxfId="15138" priority="259" operator="lessThan">
      <formula>0</formula>
    </cfRule>
  </conditionalFormatting>
  <conditionalFormatting sqref="AF128">
    <cfRule type="cellIs" dxfId="15137" priority="258" operator="greaterThanOrEqual">
      <formula>0</formula>
    </cfRule>
  </conditionalFormatting>
  <conditionalFormatting sqref="AF128">
    <cfRule type="cellIs" dxfId="15136" priority="257" operator="lessThan">
      <formula>0</formula>
    </cfRule>
  </conditionalFormatting>
  <conditionalFormatting sqref="AF104:AF105">
    <cfRule type="cellIs" dxfId="15135" priority="255" operator="lessThan">
      <formula>0</formula>
    </cfRule>
    <cfRule type="cellIs" dxfId="15134" priority="256" operator="greaterThanOrEqual">
      <formula>0</formula>
    </cfRule>
  </conditionalFormatting>
  <conditionalFormatting sqref="AF107:AF108">
    <cfRule type="cellIs" dxfId="15133" priority="253" operator="lessThan">
      <formula>0</formula>
    </cfRule>
    <cfRule type="cellIs" dxfId="15132" priority="254" operator="greaterThanOrEqual">
      <formula>0</formula>
    </cfRule>
  </conditionalFormatting>
  <conditionalFormatting sqref="AF119:AF120">
    <cfRule type="cellIs" dxfId="15131" priority="251" operator="lessThan">
      <formula>0</formula>
    </cfRule>
    <cfRule type="cellIs" dxfId="15130" priority="252" operator="greaterThanOrEqual">
      <formula>0</formula>
    </cfRule>
  </conditionalFormatting>
  <conditionalFormatting sqref="AF122:AF123">
    <cfRule type="cellIs" dxfId="15129" priority="249" operator="lessThan">
      <formula>0</formula>
    </cfRule>
    <cfRule type="cellIs" dxfId="15128" priority="250" operator="greaterThanOrEqual">
      <formula>0</formula>
    </cfRule>
  </conditionalFormatting>
  <conditionalFormatting sqref="AF125:AF126">
    <cfRule type="cellIs" dxfId="15127" priority="247" operator="lessThan">
      <formula>0</formula>
    </cfRule>
    <cfRule type="cellIs" dxfId="15126" priority="248" operator="greaterThanOrEqual">
      <formula>0</formula>
    </cfRule>
  </conditionalFormatting>
  <conditionalFormatting sqref="AG129">
    <cfRule type="cellIs" dxfId="15125" priority="245" operator="greaterThan">
      <formula>0</formula>
    </cfRule>
    <cfRule type="cellIs" dxfId="15124" priority="246" operator="lessThanOrEqual">
      <formula>0</formula>
    </cfRule>
  </conditionalFormatting>
  <conditionalFormatting sqref="AF129">
    <cfRule type="cellIs" dxfId="15123" priority="243" operator="greaterThanOrEqual">
      <formula>0</formula>
    </cfRule>
    <cfRule type="cellIs" dxfId="15122" priority="244" operator="lessThan">
      <formula>0</formula>
    </cfRule>
  </conditionalFormatting>
  <conditionalFormatting sqref="AG117">
    <cfRule type="cellIs" dxfId="15121" priority="241" operator="greaterThan">
      <formula>0</formula>
    </cfRule>
    <cfRule type="cellIs" dxfId="15120" priority="242" operator="lessThanOrEqual">
      <formula>0</formula>
    </cfRule>
  </conditionalFormatting>
  <conditionalFormatting sqref="AF117">
    <cfRule type="cellIs" dxfId="15119" priority="240" operator="greaterThanOrEqual">
      <formula>0</formula>
    </cfRule>
  </conditionalFormatting>
  <conditionalFormatting sqref="AF117">
    <cfRule type="cellIs" dxfId="15118" priority="239" operator="lessThan">
      <formula>0</formula>
    </cfRule>
  </conditionalFormatting>
  <conditionalFormatting sqref="AI77 AI86 AI80 AI83 AI93 AI96 AI99 AI102">
    <cfRule type="cellIs" dxfId="15117" priority="236" operator="greaterThanOrEqual">
      <formula>0</formula>
    </cfRule>
  </conditionalFormatting>
  <conditionalFormatting sqref="AI77 AI86 AI80 AI83 AI93 AI96 AI99 AI102">
    <cfRule type="cellIs" dxfId="15116" priority="235" operator="lessThan">
      <formula>0</formula>
    </cfRule>
  </conditionalFormatting>
  <conditionalFormatting sqref="AI129">
    <cfRule type="cellIs" dxfId="15115" priority="233" operator="greaterThanOrEqual">
      <formula>0</formula>
    </cfRule>
    <cfRule type="cellIs" dxfId="15114" priority="234" operator="lessThan">
      <formula>0</formula>
    </cfRule>
  </conditionalFormatting>
  <conditionalFormatting sqref="AJ75:AJ76">
    <cfRule type="cellIs" dxfId="15113" priority="231" operator="greaterThan">
      <formula>0</formula>
    </cfRule>
    <cfRule type="cellIs" dxfId="15112" priority="232" operator="lessThanOrEqual">
      <formula>0</formula>
    </cfRule>
  </conditionalFormatting>
  <conditionalFormatting sqref="AJ77 AJ86 AJ80 AJ83 AJ93 AJ96 AJ99 AJ102">
    <cfRule type="cellIs" dxfId="15111" priority="230" operator="greaterThanOrEqual">
      <formula>0</formula>
    </cfRule>
  </conditionalFormatting>
  <conditionalFormatting sqref="AJ77 AJ86 AJ80 AJ83 AJ93 AJ96 AJ99 AJ102">
    <cfRule type="cellIs" dxfId="15110" priority="229" operator="lessThan">
      <formula>0</formula>
    </cfRule>
  </conditionalFormatting>
  <conditionalFormatting sqref="AJ129">
    <cfRule type="cellIs" dxfId="15109" priority="227" operator="lessThan">
      <formula>0</formula>
    </cfRule>
    <cfRule type="cellIs" dxfId="15108" priority="228" operator="greaterThanOrEqual">
      <formula>0</formula>
    </cfRule>
  </conditionalFormatting>
  <conditionalFormatting sqref="AJ114">
    <cfRule type="cellIs" dxfId="15107" priority="223" operator="lessThan">
      <formula>0</formula>
    </cfRule>
  </conditionalFormatting>
  <conditionalFormatting sqref="AI114">
    <cfRule type="cellIs" dxfId="15106" priority="226" operator="greaterThanOrEqual">
      <formula>0</formula>
    </cfRule>
  </conditionalFormatting>
  <conditionalFormatting sqref="AI114">
    <cfRule type="cellIs" dxfId="15105" priority="225" operator="lessThan">
      <formula>0</formula>
    </cfRule>
  </conditionalFormatting>
  <conditionalFormatting sqref="AJ114">
    <cfRule type="cellIs" dxfId="15104" priority="224" operator="greaterThanOrEqual">
      <formula>0</formula>
    </cfRule>
  </conditionalFormatting>
  <conditionalFormatting sqref="AI104:AI105">
    <cfRule type="cellIs" dxfId="15103" priority="221" operator="lessThan">
      <formula>0</formula>
    </cfRule>
    <cfRule type="cellIs" dxfId="15102" priority="222" operator="greaterThanOrEqual">
      <formula>0</formula>
    </cfRule>
  </conditionalFormatting>
  <conditionalFormatting sqref="AI107:AI108">
    <cfRule type="cellIs" dxfId="15101" priority="219" operator="lessThan">
      <formula>0</formula>
    </cfRule>
    <cfRule type="cellIs" dxfId="15100" priority="220" operator="greaterThanOrEqual">
      <formula>0</formula>
    </cfRule>
  </conditionalFormatting>
  <conditionalFormatting sqref="AI115:AI116">
    <cfRule type="cellIs" dxfId="15099" priority="217" operator="lessThan">
      <formula>0</formula>
    </cfRule>
    <cfRule type="cellIs" dxfId="15098" priority="218" operator="greaterThanOrEqual">
      <formula>0</formula>
    </cfRule>
  </conditionalFormatting>
  <conditionalFormatting sqref="AI119:AI120">
    <cfRule type="cellIs" dxfId="15097" priority="215" operator="lessThan">
      <formula>0</formula>
    </cfRule>
    <cfRule type="cellIs" dxfId="15096" priority="216" operator="greaterThanOrEqual">
      <formula>0</formula>
    </cfRule>
  </conditionalFormatting>
  <conditionalFormatting sqref="AI122:AI123">
    <cfRule type="cellIs" dxfId="15095" priority="213" operator="lessThan">
      <formula>0</formula>
    </cfRule>
    <cfRule type="cellIs" dxfId="15094" priority="214" operator="greaterThanOrEqual">
      <formula>0</formula>
    </cfRule>
  </conditionalFormatting>
  <conditionalFormatting sqref="AI125:AI126">
    <cfRule type="cellIs" dxfId="15093" priority="211" operator="lessThan">
      <formula>0</formula>
    </cfRule>
    <cfRule type="cellIs" dxfId="15092" priority="212" operator="greaterThanOrEqual">
      <formula>0</formula>
    </cfRule>
  </conditionalFormatting>
  <conditionalFormatting sqref="AI87">
    <cfRule type="cellIs" dxfId="15091" priority="210" operator="greaterThanOrEqual">
      <formula>0</formula>
    </cfRule>
  </conditionalFormatting>
  <conditionalFormatting sqref="AI87">
    <cfRule type="cellIs" dxfId="15090" priority="209" operator="lessThan">
      <formula>0</formula>
    </cfRule>
  </conditionalFormatting>
  <conditionalFormatting sqref="AI88">
    <cfRule type="cellIs" dxfId="15089" priority="208" operator="greaterThanOrEqual">
      <formula>0</formula>
    </cfRule>
  </conditionalFormatting>
  <conditionalFormatting sqref="AI88">
    <cfRule type="cellIs" dxfId="15088" priority="207" operator="lessThan">
      <formula>0</formula>
    </cfRule>
  </conditionalFormatting>
  <conditionalFormatting sqref="AI90">
    <cfRule type="cellIs" dxfId="15087" priority="206" operator="greaterThanOrEqual">
      <formula>0</formula>
    </cfRule>
  </conditionalFormatting>
  <conditionalFormatting sqref="AI90">
    <cfRule type="cellIs" dxfId="15086" priority="205" operator="lessThan">
      <formula>0</formula>
    </cfRule>
  </conditionalFormatting>
  <conditionalFormatting sqref="AI103">
    <cfRule type="cellIs" dxfId="15085" priority="204" operator="greaterThanOrEqual">
      <formula>0</formula>
    </cfRule>
  </conditionalFormatting>
  <conditionalFormatting sqref="AI103">
    <cfRule type="cellIs" dxfId="15084" priority="203" operator="lessThan">
      <formula>0</formula>
    </cfRule>
  </conditionalFormatting>
  <conditionalFormatting sqref="AI109">
    <cfRule type="cellIs" dxfId="15083" priority="200" operator="greaterThanOrEqual">
      <formula>0</formula>
    </cfRule>
  </conditionalFormatting>
  <conditionalFormatting sqref="AI109">
    <cfRule type="cellIs" dxfId="15082" priority="199" operator="lessThan">
      <formula>0</formula>
    </cfRule>
  </conditionalFormatting>
  <conditionalFormatting sqref="AI112">
    <cfRule type="cellIs" dxfId="15081" priority="198" operator="greaterThanOrEqual">
      <formula>0</formula>
    </cfRule>
  </conditionalFormatting>
  <conditionalFormatting sqref="AI112">
    <cfRule type="cellIs" dxfId="15080" priority="197" operator="lessThan">
      <formula>0</formula>
    </cfRule>
  </conditionalFormatting>
  <conditionalFormatting sqref="AI121">
    <cfRule type="cellIs" dxfId="15079" priority="194" operator="greaterThanOrEqual">
      <formula>0</formula>
    </cfRule>
  </conditionalFormatting>
  <conditionalFormatting sqref="AI121">
    <cfRule type="cellIs" dxfId="15078" priority="193" operator="lessThan">
      <formula>0</formula>
    </cfRule>
  </conditionalFormatting>
  <conditionalFormatting sqref="AI124">
    <cfRule type="cellIs" dxfId="15077" priority="192" operator="greaterThanOrEqual">
      <formula>0</formula>
    </cfRule>
  </conditionalFormatting>
  <conditionalFormatting sqref="AI124">
    <cfRule type="cellIs" dxfId="15076" priority="191" operator="lessThan">
      <formula>0</formula>
    </cfRule>
  </conditionalFormatting>
  <conditionalFormatting sqref="AI127">
    <cfRule type="cellIs" dxfId="15075" priority="190" operator="greaterThanOrEqual">
      <formula>0</formula>
    </cfRule>
  </conditionalFormatting>
  <conditionalFormatting sqref="AI127">
    <cfRule type="cellIs" dxfId="15074" priority="189" operator="lessThan">
      <formula>0</formula>
    </cfRule>
  </conditionalFormatting>
  <conditionalFormatting sqref="AI118">
    <cfRule type="cellIs" dxfId="15073" priority="188" operator="greaterThanOrEqual">
      <formula>0</formula>
    </cfRule>
  </conditionalFormatting>
  <conditionalFormatting sqref="AI118">
    <cfRule type="cellIs" dxfId="15072" priority="187" operator="lessThan">
      <formula>0</formula>
    </cfRule>
  </conditionalFormatting>
  <conditionalFormatting sqref="AI128">
    <cfRule type="cellIs" dxfId="15071" priority="186" operator="greaterThanOrEqual">
      <formula>0</formula>
    </cfRule>
  </conditionalFormatting>
  <conditionalFormatting sqref="AI128">
    <cfRule type="cellIs" dxfId="15070" priority="185" operator="lessThan">
      <formula>0</formula>
    </cfRule>
  </conditionalFormatting>
  <conditionalFormatting sqref="AJ78:AJ79">
    <cfRule type="cellIs" dxfId="15069" priority="183" operator="greaterThan">
      <formula>0</formula>
    </cfRule>
    <cfRule type="cellIs" dxfId="15068" priority="184" operator="lessThanOrEqual">
      <formula>0</formula>
    </cfRule>
  </conditionalFormatting>
  <conditionalFormatting sqref="AJ81:AJ82">
    <cfRule type="cellIs" dxfId="15067" priority="181" operator="greaterThan">
      <formula>0</formula>
    </cfRule>
    <cfRule type="cellIs" dxfId="15066" priority="182" operator="lessThanOrEqual">
      <formula>0</formula>
    </cfRule>
  </conditionalFormatting>
  <conditionalFormatting sqref="AJ84:AJ85">
    <cfRule type="cellIs" dxfId="15065" priority="179" operator="greaterThan">
      <formula>0</formula>
    </cfRule>
    <cfRule type="cellIs" dxfId="15064" priority="180" operator="lessThanOrEqual">
      <formula>0</formula>
    </cfRule>
  </conditionalFormatting>
  <conditionalFormatting sqref="AJ91:AJ92">
    <cfRule type="cellIs" dxfId="15063" priority="177" operator="greaterThan">
      <formula>0</formula>
    </cfRule>
    <cfRule type="cellIs" dxfId="15062" priority="178" operator="lessThanOrEqual">
      <formula>0</formula>
    </cfRule>
  </conditionalFormatting>
  <conditionalFormatting sqref="AJ94:AJ95">
    <cfRule type="cellIs" dxfId="15061" priority="175" operator="greaterThan">
      <formula>0</formula>
    </cfRule>
    <cfRule type="cellIs" dxfId="15060" priority="176" operator="lessThanOrEqual">
      <formula>0</formula>
    </cfRule>
  </conditionalFormatting>
  <conditionalFormatting sqref="AJ97:AJ98">
    <cfRule type="cellIs" dxfId="15059" priority="173" operator="greaterThan">
      <formula>0</formula>
    </cfRule>
    <cfRule type="cellIs" dxfId="15058" priority="174" operator="lessThanOrEqual">
      <formula>0</formula>
    </cfRule>
  </conditionalFormatting>
  <conditionalFormatting sqref="AJ100:AJ101">
    <cfRule type="cellIs" dxfId="15057" priority="171" operator="greaterThan">
      <formula>0</formula>
    </cfRule>
    <cfRule type="cellIs" dxfId="15056" priority="172" operator="lessThanOrEqual">
      <formula>0</formula>
    </cfRule>
  </conditionalFormatting>
  <conditionalFormatting sqref="AJ104:AJ105">
    <cfRule type="cellIs" dxfId="15055" priority="169" operator="greaterThan">
      <formula>0</formula>
    </cfRule>
    <cfRule type="cellIs" dxfId="15054" priority="170" operator="lessThanOrEqual">
      <formula>0</formula>
    </cfRule>
  </conditionalFormatting>
  <conditionalFormatting sqref="AJ107:AJ108">
    <cfRule type="cellIs" dxfId="15053" priority="167" operator="greaterThan">
      <formula>0</formula>
    </cfRule>
    <cfRule type="cellIs" dxfId="15052" priority="168" operator="lessThanOrEqual">
      <formula>0</formula>
    </cfRule>
  </conditionalFormatting>
  <conditionalFormatting sqref="AJ110:AJ111">
    <cfRule type="cellIs" dxfId="15051" priority="165" operator="greaterThan">
      <formula>0</formula>
    </cfRule>
    <cfRule type="cellIs" dxfId="15050" priority="166" operator="lessThanOrEqual">
      <formula>0</formula>
    </cfRule>
  </conditionalFormatting>
  <conditionalFormatting sqref="AJ115:AJ116">
    <cfRule type="cellIs" dxfId="15049" priority="163" operator="greaterThan">
      <formula>0</formula>
    </cfRule>
    <cfRule type="cellIs" dxfId="15048" priority="164" operator="lessThanOrEqual">
      <formula>0</formula>
    </cfRule>
  </conditionalFormatting>
  <conditionalFormatting sqref="AJ119:AJ120">
    <cfRule type="cellIs" dxfId="15047" priority="161" operator="greaterThan">
      <formula>0</formula>
    </cfRule>
    <cfRule type="cellIs" dxfId="15046" priority="162" operator="lessThanOrEqual">
      <formula>0</formula>
    </cfRule>
  </conditionalFormatting>
  <conditionalFormatting sqref="AJ125:AJ126">
    <cfRule type="cellIs" dxfId="15045" priority="157" operator="greaterThan">
      <formula>0</formula>
    </cfRule>
    <cfRule type="cellIs" dxfId="15044" priority="158" operator="lessThanOrEqual">
      <formula>0</formula>
    </cfRule>
  </conditionalFormatting>
  <conditionalFormatting sqref="AJ87">
    <cfRule type="cellIs" dxfId="15043" priority="156" operator="greaterThanOrEqual">
      <formula>0</formula>
    </cfRule>
  </conditionalFormatting>
  <conditionalFormatting sqref="AJ87">
    <cfRule type="cellIs" dxfId="15042" priority="155" operator="lessThan">
      <formula>0</formula>
    </cfRule>
  </conditionalFormatting>
  <conditionalFormatting sqref="AJ88">
    <cfRule type="cellIs" dxfId="15041" priority="154" operator="greaterThanOrEqual">
      <formula>0</formula>
    </cfRule>
  </conditionalFormatting>
  <conditionalFormatting sqref="AJ88">
    <cfRule type="cellIs" dxfId="15040" priority="153" operator="lessThan">
      <formula>0</formula>
    </cfRule>
  </conditionalFormatting>
  <conditionalFormatting sqref="AJ90">
    <cfRule type="cellIs" dxfId="15039" priority="152" operator="greaterThanOrEqual">
      <formula>0</formula>
    </cfRule>
  </conditionalFormatting>
  <conditionalFormatting sqref="AJ90">
    <cfRule type="cellIs" dxfId="15038" priority="151" operator="lessThan">
      <formula>0</formula>
    </cfRule>
  </conditionalFormatting>
  <conditionalFormatting sqref="AJ103">
    <cfRule type="cellIs" dxfId="15037" priority="150" operator="greaterThanOrEqual">
      <formula>0</formula>
    </cfRule>
  </conditionalFormatting>
  <conditionalFormatting sqref="AJ103">
    <cfRule type="cellIs" dxfId="15036" priority="149" operator="lessThan">
      <formula>0</formula>
    </cfRule>
  </conditionalFormatting>
  <conditionalFormatting sqref="AJ106">
    <cfRule type="cellIs" dxfId="15035" priority="148" operator="greaterThanOrEqual">
      <formula>0</formula>
    </cfRule>
  </conditionalFormatting>
  <conditionalFormatting sqref="AJ106">
    <cfRule type="cellIs" dxfId="15034" priority="147" operator="lessThan">
      <formula>0</formula>
    </cfRule>
  </conditionalFormatting>
  <conditionalFormatting sqref="AJ109">
    <cfRule type="cellIs" dxfId="15033" priority="146" operator="greaterThanOrEqual">
      <formula>0</formula>
    </cfRule>
  </conditionalFormatting>
  <conditionalFormatting sqref="AJ109">
    <cfRule type="cellIs" dxfId="15032" priority="145" operator="lessThan">
      <formula>0</formula>
    </cfRule>
  </conditionalFormatting>
  <conditionalFormatting sqref="AJ113">
    <cfRule type="cellIs" dxfId="15031" priority="142" operator="greaterThanOrEqual">
      <formula>0</formula>
    </cfRule>
  </conditionalFormatting>
  <conditionalFormatting sqref="AJ113">
    <cfRule type="cellIs" dxfId="15030" priority="141" operator="lessThan">
      <formula>0</formula>
    </cfRule>
  </conditionalFormatting>
  <conditionalFormatting sqref="AJ121">
    <cfRule type="cellIs" dxfId="15029" priority="140" operator="greaterThanOrEqual">
      <formula>0</formula>
    </cfRule>
  </conditionalFormatting>
  <conditionalFormatting sqref="AJ121">
    <cfRule type="cellIs" dxfId="15028" priority="139" operator="lessThan">
      <formula>0</formula>
    </cfRule>
  </conditionalFormatting>
  <conditionalFormatting sqref="AI117">
    <cfRule type="cellIs" dxfId="15027" priority="130" operator="greaterThanOrEqual">
      <formula>0</formula>
    </cfRule>
  </conditionalFormatting>
  <conditionalFormatting sqref="AI117">
    <cfRule type="cellIs" dxfId="15026" priority="129" operator="lessThan">
      <formula>0</formula>
    </cfRule>
  </conditionalFormatting>
  <conditionalFormatting sqref="AC132">
    <cfRule type="cellIs" dxfId="15025" priority="125" operator="lessThan">
      <formula>0</formula>
    </cfRule>
    <cfRule type="cellIs" dxfId="15024" priority="126" operator="greaterThanOrEqual">
      <formula>0</formula>
    </cfRule>
  </conditionalFormatting>
  <conditionalFormatting sqref="AC175">
    <cfRule type="cellIs" dxfId="15023" priority="123" operator="greaterThan">
      <formula>0</formula>
    </cfRule>
    <cfRule type="cellIs" dxfId="15022" priority="124" operator="lessThanOrEqual">
      <formula>0</formula>
    </cfRule>
  </conditionalFormatting>
  <conditionalFormatting sqref="AB175">
    <cfRule type="cellIs" dxfId="15021" priority="122" operator="greaterThanOrEqual">
      <formula>0</formula>
    </cfRule>
  </conditionalFormatting>
  <conditionalFormatting sqref="AB175">
    <cfRule type="cellIs" dxfId="15020" priority="121" operator="lessThan">
      <formula>0</formula>
    </cfRule>
  </conditionalFormatting>
  <conditionalFormatting sqref="AF175">
    <cfRule type="cellIs" dxfId="15019" priority="120" operator="greaterThanOrEqual">
      <formula>0</formula>
    </cfRule>
  </conditionalFormatting>
  <conditionalFormatting sqref="AF175">
    <cfRule type="cellIs" dxfId="15018" priority="119" operator="lessThan">
      <formula>0</formula>
    </cfRule>
  </conditionalFormatting>
  <conditionalFormatting sqref="AI175">
    <cfRule type="cellIs" dxfId="15017" priority="118" operator="greaterThanOrEqual">
      <formula>0</formula>
    </cfRule>
  </conditionalFormatting>
  <conditionalFormatting sqref="AI175">
    <cfRule type="cellIs" dxfId="15016" priority="117" operator="lessThan">
      <formula>0</formula>
    </cfRule>
  </conditionalFormatting>
  <conditionalFormatting sqref="AJ175">
    <cfRule type="cellIs" dxfId="15015" priority="116" operator="greaterThanOrEqual">
      <formula>0</formula>
    </cfRule>
  </conditionalFormatting>
  <conditionalFormatting sqref="AJ175">
    <cfRule type="cellIs" dxfId="15014" priority="115" operator="lessThan">
      <formula>0</formula>
    </cfRule>
  </conditionalFormatting>
  <conditionalFormatting sqref="AC174">
    <cfRule type="cellIs" dxfId="15013" priority="113" operator="greaterThan">
      <formula>0</formula>
    </cfRule>
    <cfRule type="cellIs" dxfId="15012" priority="114" operator="lessThanOrEqual">
      <formula>0</formula>
    </cfRule>
  </conditionalFormatting>
  <conditionalFormatting sqref="AB174">
    <cfRule type="cellIs" dxfId="15011" priority="112" operator="greaterThanOrEqual">
      <formula>0</formula>
    </cfRule>
  </conditionalFormatting>
  <conditionalFormatting sqref="AB174">
    <cfRule type="cellIs" dxfId="15010" priority="111" operator="lessThan">
      <formula>0</formula>
    </cfRule>
  </conditionalFormatting>
  <conditionalFormatting sqref="AI174:AJ174">
    <cfRule type="cellIs" dxfId="15009" priority="108" operator="greaterThanOrEqual">
      <formula>0</formula>
    </cfRule>
  </conditionalFormatting>
  <conditionalFormatting sqref="AI174:AJ174">
    <cfRule type="cellIs" dxfId="15008" priority="107" operator="lessThan">
      <formula>0</formula>
    </cfRule>
  </conditionalFormatting>
  <conditionalFormatting sqref="AF174">
    <cfRule type="cellIs" dxfId="15007" priority="110" operator="greaterThanOrEqual">
      <formula>0</formula>
    </cfRule>
  </conditionalFormatting>
  <conditionalFormatting sqref="AF174">
    <cfRule type="cellIs" dxfId="15006" priority="109" operator="lessThan">
      <formula>0</formula>
    </cfRule>
  </conditionalFormatting>
  <conditionalFormatting sqref="AG133">
    <cfRule type="cellIs" dxfId="15005" priority="105" operator="greaterThan">
      <formula>0</formula>
    </cfRule>
    <cfRule type="cellIs" dxfId="15004" priority="106" operator="lessThanOrEqual">
      <formula>0</formula>
    </cfRule>
  </conditionalFormatting>
  <conditionalFormatting sqref="AG135:AG136">
    <cfRule type="cellIs" dxfId="15003" priority="103" operator="greaterThan">
      <formula>0</formula>
    </cfRule>
    <cfRule type="cellIs" dxfId="15002" priority="104" operator="lessThanOrEqual">
      <formula>0</formula>
    </cfRule>
  </conditionalFormatting>
  <conditionalFormatting sqref="AG172:AG173">
    <cfRule type="cellIs" dxfId="15001" priority="85" operator="greaterThan">
      <formula>0</formula>
    </cfRule>
    <cfRule type="cellIs" dxfId="15000" priority="86" operator="lessThanOrEqual">
      <formula>0</formula>
    </cfRule>
  </conditionalFormatting>
  <conditionalFormatting sqref="AG143">
    <cfRule type="cellIs" dxfId="14999" priority="75" operator="greaterThan">
      <formula>0</formula>
    </cfRule>
    <cfRule type="cellIs" dxfId="14998" priority="76" operator="lessThanOrEqual">
      <formula>0</formula>
    </cfRule>
  </conditionalFormatting>
  <conditionalFormatting sqref="AG153">
    <cfRule type="cellIs" dxfId="14997" priority="73" operator="greaterThan">
      <formula>0</formula>
    </cfRule>
    <cfRule type="cellIs" dxfId="14996" priority="74" operator="lessThanOrEqual">
      <formula>0</formula>
    </cfRule>
  </conditionalFormatting>
  <conditionalFormatting sqref="AG156">
    <cfRule type="cellIs" dxfId="14995" priority="71" operator="greaterThan">
      <formula>0</formula>
    </cfRule>
    <cfRule type="cellIs" dxfId="14994" priority="72" operator="lessThanOrEqual">
      <formula>0</formula>
    </cfRule>
  </conditionalFormatting>
  <conditionalFormatting sqref="AG163">
    <cfRule type="cellIs" dxfId="14993" priority="47" operator="greaterThan">
      <formula>0</formula>
    </cfRule>
    <cfRule type="cellIs" dxfId="14992" priority="48" operator="lessThanOrEqual">
      <formula>0</formula>
    </cfRule>
  </conditionalFormatting>
  <conditionalFormatting sqref="AG170">
    <cfRule type="cellIs" dxfId="14991" priority="53" operator="greaterThan">
      <formula>0</formula>
    </cfRule>
    <cfRule type="cellIs" dxfId="14990" priority="54" operator="lessThanOrEqual">
      <formula>0</formula>
    </cfRule>
  </conditionalFormatting>
  <conditionalFormatting sqref="AG138:AG139">
    <cfRule type="cellIs" dxfId="14989" priority="101" operator="greaterThan">
      <formula>0</formula>
    </cfRule>
    <cfRule type="cellIs" dxfId="14988" priority="102" operator="lessThanOrEqual">
      <formula>0</formula>
    </cfRule>
  </conditionalFormatting>
  <conditionalFormatting sqref="AG148:AG149">
    <cfRule type="cellIs" dxfId="14987" priority="99" operator="greaterThan">
      <formula>0</formula>
    </cfRule>
    <cfRule type="cellIs" dxfId="14986" priority="100" operator="lessThanOrEqual">
      <formula>0</formula>
    </cfRule>
  </conditionalFormatting>
  <conditionalFormatting sqref="AG141:AG142">
    <cfRule type="cellIs" dxfId="14985" priority="97" operator="greaterThan">
      <formula>0</formula>
    </cfRule>
    <cfRule type="cellIs" dxfId="14984" priority="98" operator="lessThanOrEqual">
      <formula>0</formula>
    </cfRule>
  </conditionalFormatting>
  <conditionalFormatting sqref="AG151:AG152">
    <cfRule type="cellIs" dxfId="14983" priority="95" operator="greaterThan">
      <formula>0</formula>
    </cfRule>
    <cfRule type="cellIs" dxfId="14982" priority="96" operator="lessThanOrEqual">
      <formula>0</formula>
    </cfRule>
  </conditionalFormatting>
  <conditionalFormatting sqref="AG154:AG155">
    <cfRule type="cellIs" dxfId="14981" priority="93" operator="greaterThan">
      <formula>0</formula>
    </cfRule>
    <cfRule type="cellIs" dxfId="14980" priority="94" operator="lessThanOrEqual">
      <formula>0</formula>
    </cfRule>
  </conditionalFormatting>
  <conditionalFormatting sqref="AG157:AG158">
    <cfRule type="cellIs" dxfId="14979" priority="91" operator="greaterThan">
      <formula>0</formula>
    </cfRule>
    <cfRule type="cellIs" dxfId="14978" priority="92" operator="lessThanOrEqual">
      <formula>0</formula>
    </cfRule>
  </conditionalFormatting>
  <conditionalFormatting sqref="AG167:AG168">
    <cfRule type="cellIs" dxfId="14977" priority="89" operator="greaterThan">
      <formula>0</formula>
    </cfRule>
    <cfRule type="cellIs" dxfId="14976" priority="90" operator="lessThanOrEqual">
      <formula>0</formula>
    </cfRule>
  </conditionalFormatting>
  <conditionalFormatting sqref="AG182:AG183">
    <cfRule type="cellIs" dxfId="14975" priority="87" operator="greaterThan">
      <formula>0</formula>
    </cfRule>
    <cfRule type="cellIs" dxfId="14974" priority="88" operator="lessThanOrEqual">
      <formula>0</formula>
    </cfRule>
  </conditionalFormatting>
  <conditionalFormatting sqref="AG134">
    <cfRule type="cellIs" dxfId="14973" priority="83" operator="greaterThan">
      <formula>0</formula>
    </cfRule>
    <cfRule type="cellIs" dxfId="14972" priority="84" operator="lessThanOrEqual">
      <formula>0</formula>
    </cfRule>
  </conditionalFormatting>
  <conditionalFormatting sqref="AG137">
    <cfRule type="cellIs" dxfId="14971" priority="81" operator="greaterThan">
      <formula>0</formula>
    </cfRule>
    <cfRule type="cellIs" dxfId="14970" priority="82" operator="lessThanOrEqual">
      <formula>0</formula>
    </cfRule>
  </conditionalFormatting>
  <conditionalFormatting sqref="AG140">
    <cfRule type="cellIs" dxfId="14969" priority="79" operator="greaterThan">
      <formula>0</formula>
    </cfRule>
    <cfRule type="cellIs" dxfId="14968" priority="80" operator="lessThanOrEqual">
      <formula>0</formula>
    </cfRule>
  </conditionalFormatting>
  <conditionalFormatting sqref="AG150">
    <cfRule type="cellIs" dxfId="14967" priority="77" operator="greaterThan">
      <formula>0</formula>
    </cfRule>
    <cfRule type="cellIs" dxfId="14966" priority="78" operator="lessThanOrEqual">
      <formula>0</formula>
    </cfRule>
  </conditionalFormatting>
  <conditionalFormatting sqref="AG159">
    <cfRule type="cellIs" dxfId="14965" priority="69" operator="greaterThan">
      <formula>0</formula>
    </cfRule>
    <cfRule type="cellIs" dxfId="14964" priority="70" operator="lessThanOrEqual">
      <formula>0</formula>
    </cfRule>
  </conditionalFormatting>
  <conditionalFormatting sqref="AG145">
    <cfRule type="cellIs" dxfId="14963" priority="67" operator="greaterThan">
      <formula>0</formula>
    </cfRule>
    <cfRule type="cellIs" dxfId="14962" priority="68" operator="lessThanOrEqual">
      <formula>0</formula>
    </cfRule>
  </conditionalFormatting>
  <conditionalFormatting sqref="AG185">
    <cfRule type="cellIs" dxfId="14961" priority="65" operator="greaterThan">
      <formula>0</formula>
    </cfRule>
    <cfRule type="cellIs" dxfId="14960" priority="66" operator="lessThanOrEqual">
      <formula>0</formula>
    </cfRule>
  </conditionalFormatting>
  <conditionalFormatting sqref="AG186">
    <cfRule type="cellIs" dxfId="14959" priority="63" operator="greaterThan">
      <formula>0</formula>
    </cfRule>
    <cfRule type="cellIs" dxfId="14958" priority="64" operator="lessThanOrEqual">
      <formula>0</formula>
    </cfRule>
  </conditionalFormatting>
  <conditionalFormatting sqref="AG171">
    <cfRule type="cellIs" dxfId="14957" priority="61" operator="greaterThan">
      <formula>0</formula>
    </cfRule>
    <cfRule type="cellIs" dxfId="14956" priority="62" operator="lessThanOrEqual">
      <formula>0</formula>
    </cfRule>
  </conditionalFormatting>
  <conditionalFormatting sqref="AG144">
    <cfRule type="cellIs" dxfId="14955" priority="59" operator="greaterThan">
      <formula>0</formula>
    </cfRule>
    <cfRule type="cellIs" dxfId="14954" priority="60" operator="lessThanOrEqual">
      <formula>0</formula>
    </cfRule>
  </conditionalFormatting>
  <conditionalFormatting sqref="AG166">
    <cfRule type="cellIs" dxfId="14953" priority="45" operator="greaterThan">
      <formula>0</formula>
    </cfRule>
    <cfRule type="cellIs" dxfId="14952" priority="46" operator="lessThanOrEqual">
      <formula>0</formula>
    </cfRule>
  </conditionalFormatting>
  <conditionalFormatting sqref="AG169">
    <cfRule type="cellIs" dxfId="14951" priority="43" operator="greaterThan">
      <formula>0</formula>
    </cfRule>
    <cfRule type="cellIs" dxfId="14950" priority="44" operator="lessThanOrEqual">
      <formula>0</formula>
    </cfRule>
  </conditionalFormatting>
  <conditionalFormatting sqref="AG147">
    <cfRule type="cellIs" dxfId="14949" priority="57" operator="greaterThan">
      <formula>0</formula>
    </cfRule>
    <cfRule type="cellIs" dxfId="14948" priority="58" operator="lessThanOrEqual">
      <formula>0</formula>
    </cfRule>
  </conditionalFormatting>
  <conditionalFormatting sqref="AG160">
    <cfRule type="cellIs" dxfId="14947" priority="55" operator="greaterThan">
      <formula>0</formula>
    </cfRule>
    <cfRule type="cellIs" dxfId="14946" priority="56" operator="lessThanOrEqual">
      <formula>0</formula>
    </cfRule>
  </conditionalFormatting>
  <conditionalFormatting sqref="AG161:AG162 AG164:AG165">
    <cfRule type="cellIs" dxfId="14945" priority="51" operator="greaterThan">
      <formula>0</formula>
    </cfRule>
    <cfRule type="cellIs" dxfId="14944" priority="52" operator="lessThanOrEqual">
      <formula>0</formula>
    </cfRule>
  </conditionalFormatting>
  <conditionalFormatting sqref="AG176:AG177 AG179:AG180">
    <cfRule type="cellIs" dxfId="14943" priority="49" operator="greaterThan">
      <formula>0</formula>
    </cfRule>
    <cfRule type="cellIs" dxfId="14942" priority="50" operator="lessThanOrEqual">
      <formula>0</formula>
    </cfRule>
  </conditionalFormatting>
  <conditionalFormatting sqref="AG178">
    <cfRule type="cellIs" dxfId="14941" priority="41" operator="greaterThan">
      <formula>0</formula>
    </cfRule>
    <cfRule type="cellIs" dxfId="14940" priority="42" operator="lessThanOrEqual">
      <formula>0</formula>
    </cfRule>
  </conditionalFormatting>
  <conditionalFormatting sqref="AG181">
    <cfRule type="cellIs" dxfId="14939" priority="39" operator="greaterThan">
      <formula>0</formula>
    </cfRule>
    <cfRule type="cellIs" dxfId="14938" priority="40" operator="lessThanOrEqual">
      <formula>0</formula>
    </cfRule>
  </conditionalFormatting>
  <conditionalFormatting sqref="AG184">
    <cfRule type="cellIs" dxfId="14937" priority="37" operator="greaterThan">
      <formula>0</formula>
    </cfRule>
    <cfRule type="cellIs" dxfId="14936" priority="38" operator="lessThanOrEqual">
      <formula>0</formula>
    </cfRule>
  </conditionalFormatting>
  <conditionalFormatting sqref="AG132">
    <cfRule type="cellIs" dxfId="14935" priority="35" operator="lessThan">
      <formula>0</formula>
    </cfRule>
    <cfRule type="cellIs" dxfId="14934" priority="36" operator="greaterThanOrEqual">
      <formula>0</formula>
    </cfRule>
  </conditionalFormatting>
  <conditionalFormatting sqref="AG175">
    <cfRule type="cellIs" dxfId="14933" priority="33" operator="greaterThan">
      <formula>0</formula>
    </cfRule>
    <cfRule type="cellIs" dxfId="14932" priority="34" operator="lessThanOrEqual">
      <formula>0</formula>
    </cfRule>
  </conditionalFormatting>
  <conditionalFormatting sqref="AG174">
    <cfRule type="cellIs" dxfId="14931" priority="31" operator="greaterThan">
      <formula>0</formula>
    </cfRule>
    <cfRule type="cellIs" dxfId="14930" priority="32" operator="lessThanOrEqual">
      <formula>0</formula>
    </cfRule>
  </conditionalFormatting>
  <conditionalFormatting sqref="AC26">
    <cfRule type="cellIs" dxfId="14929" priority="29" operator="greaterThan">
      <formula>0</formula>
    </cfRule>
    <cfRule type="cellIs" dxfId="14928" priority="30" operator="lessThanOrEqual">
      <formula>0</formula>
    </cfRule>
  </conditionalFormatting>
  <conditionalFormatting sqref="AB26">
    <cfRule type="cellIs" dxfId="14927" priority="28" operator="greaterThanOrEqual">
      <formula>0</formula>
    </cfRule>
  </conditionalFormatting>
  <conditionalFormatting sqref="AB26">
    <cfRule type="cellIs" dxfId="14926" priority="27" operator="lessThan">
      <formula>0</formula>
    </cfRule>
  </conditionalFormatting>
  <conditionalFormatting sqref="AG26">
    <cfRule type="cellIs" dxfId="14925" priority="25" operator="greaterThan">
      <formula>0</formula>
    </cfRule>
    <cfRule type="cellIs" dxfId="14924" priority="26" operator="lessThanOrEqual">
      <formula>0</formula>
    </cfRule>
  </conditionalFormatting>
  <conditionalFormatting sqref="AF26">
    <cfRule type="cellIs" dxfId="14923" priority="24" operator="greaterThanOrEqual">
      <formula>0</formula>
    </cfRule>
  </conditionalFormatting>
  <conditionalFormatting sqref="AF26">
    <cfRule type="cellIs" dxfId="14922" priority="23" operator="lessThan">
      <formula>0</formula>
    </cfRule>
  </conditionalFormatting>
  <conditionalFormatting sqref="AI26">
    <cfRule type="cellIs" dxfId="14921" priority="22" operator="greaterThanOrEqual">
      <formula>0</formula>
    </cfRule>
  </conditionalFormatting>
  <conditionalFormatting sqref="AI26">
    <cfRule type="cellIs" dxfId="14920" priority="21" operator="lessThan">
      <formula>0</formula>
    </cfRule>
  </conditionalFormatting>
  <conditionalFormatting sqref="AJ26">
    <cfRule type="cellIs" dxfId="14919" priority="20" operator="greaterThanOrEqual">
      <formula>0</formula>
    </cfRule>
  </conditionalFormatting>
  <conditionalFormatting sqref="AJ26">
    <cfRule type="cellIs" dxfId="14918" priority="19" operator="lessThan">
      <formula>0</formula>
    </cfRule>
  </conditionalFormatting>
  <conditionalFormatting sqref="AC89">
    <cfRule type="cellIs" dxfId="14917" priority="17" operator="greaterThan">
      <formula>0</formula>
    </cfRule>
    <cfRule type="cellIs" dxfId="14916" priority="18" operator="lessThanOrEqual">
      <formula>0</formula>
    </cfRule>
  </conditionalFormatting>
  <conditionalFormatting sqref="AB89">
    <cfRule type="cellIs" dxfId="14915" priority="16" operator="greaterThanOrEqual">
      <formula>0</formula>
    </cfRule>
  </conditionalFormatting>
  <conditionalFormatting sqref="AB89">
    <cfRule type="cellIs" dxfId="14914" priority="15" operator="lessThan">
      <formula>0</formula>
    </cfRule>
  </conditionalFormatting>
  <conditionalFormatting sqref="AG89">
    <cfRule type="cellIs" dxfId="14913" priority="13" operator="greaterThan">
      <formula>0</formula>
    </cfRule>
    <cfRule type="cellIs" dxfId="14912" priority="14" operator="lessThanOrEqual">
      <formula>0</formula>
    </cfRule>
  </conditionalFormatting>
  <conditionalFormatting sqref="AF89">
    <cfRule type="cellIs" dxfId="14911" priority="12" operator="greaterThanOrEqual">
      <formula>0</formula>
    </cfRule>
  </conditionalFormatting>
  <conditionalFormatting sqref="AF89">
    <cfRule type="cellIs" dxfId="14910" priority="11" operator="lessThan">
      <formula>0</formula>
    </cfRule>
  </conditionalFormatting>
  <conditionalFormatting sqref="AI89">
    <cfRule type="cellIs" dxfId="14909" priority="10" operator="greaterThanOrEqual">
      <formula>0</formula>
    </cfRule>
  </conditionalFormatting>
  <conditionalFormatting sqref="AI89">
    <cfRule type="cellIs" dxfId="14908" priority="9" operator="lessThan">
      <formula>0</formula>
    </cfRule>
  </conditionalFormatting>
  <conditionalFormatting sqref="AJ89">
    <cfRule type="cellIs" dxfId="14907" priority="8" operator="greaterThanOrEqual">
      <formula>0</formula>
    </cfRule>
  </conditionalFormatting>
  <conditionalFormatting sqref="AJ89">
    <cfRule type="cellIs" dxfId="14906" priority="7" operator="lessThan">
      <formula>0</formula>
    </cfRule>
  </conditionalFormatting>
  <conditionalFormatting sqref="AC146">
    <cfRule type="cellIs" dxfId="14905" priority="5" operator="greaterThan">
      <formula>0</formula>
    </cfRule>
    <cfRule type="cellIs" dxfId="14904" priority="6" operator="lessThanOrEqual">
      <formula>0</formula>
    </cfRule>
  </conditionalFormatting>
  <conditionalFormatting sqref="AF146 AI146:AJ146 AB146">
    <cfRule type="cellIs" dxfId="14903" priority="4" operator="greaterThanOrEqual">
      <formula>0</formula>
    </cfRule>
  </conditionalFormatting>
  <conditionalFormatting sqref="AF146 AI146:AJ146 AB146">
    <cfRule type="cellIs" dxfId="14902" priority="3" operator="lessThan">
      <formula>0</formula>
    </cfRule>
  </conditionalFormatting>
  <conditionalFormatting sqref="AG146">
    <cfRule type="cellIs" dxfId="14901" priority="1" operator="greaterThan">
      <formula>0</formula>
    </cfRule>
    <cfRule type="cellIs" dxfId="14900" priority="2" operator="lessThanOr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DJ367"/>
  <sheetViews>
    <sheetView showGridLines="0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1" sqref="B1"/>
    </sheetView>
  </sheetViews>
  <sheetFormatPr defaultColWidth="9.140625" defaultRowHeight="12.75" outlineLevelRow="3" x14ac:dyDescent="0.2"/>
  <cols>
    <col min="1" max="1" width="5" style="1" customWidth="1"/>
    <col min="2" max="3" width="38.85546875" style="1" customWidth="1"/>
    <col min="4" max="7" width="15" style="1" customWidth="1"/>
    <col min="8" max="8" width="15" style="2" customWidth="1"/>
    <col min="9" max="18" width="15" style="1" customWidth="1"/>
    <col min="19" max="19" width="15" style="2" customWidth="1"/>
    <col min="20" max="29" width="15" style="1" customWidth="1"/>
    <col min="30" max="30" width="15" style="2" customWidth="1"/>
    <col min="31" max="40" width="15" style="1" customWidth="1"/>
    <col min="41" max="41" width="15" style="2" customWidth="1"/>
    <col min="42" max="51" width="15" style="1" customWidth="1"/>
    <col min="52" max="52" width="15" style="2" customWidth="1"/>
    <col min="53" max="58" width="15" style="1" customWidth="1"/>
    <col min="59" max="59" width="15" style="1" customWidth="1" collapsed="1"/>
    <col min="60" max="62" width="15" style="1" customWidth="1"/>
    <col min="63" max="63" width="15" style="2" customWidth="1"/>
    <col min="64" max="73" width="15" style="1" customWidth="1"/>
    <col min="74" max="74" width="15" style="2" customWidth="1"/>
    <col min="75" max="84" width="15" style="1" customWidth="1"/>
    <col min="85" max="85" width="15" style="2" customWidth="1"/>
    <col min="86" max="95" width="15" style="1" customWidth="1"/>
    <col min="96" max="96" width="15" style="2" customWidth="1"/>
    <col min="97" max="106" width="15" style="1" customWidth="1"/>
    <col min="107" max="107" width="15" style="2" customWidth="1"/>
    <col min="108" max="113" width="15" style="1" customWidth="1"/>
    <col min="114" max="114" width="9.140625" style="1" collapsed="1"/>
    <col min="115" max="16384" width="9.140625" style="1"/>
  </cols>
  <sheetData>
    <row r="1" spans="1:113" ht="31.5" x14ac:dyDescent="0.2">
      <c r="B1" s="139" t="s">
        <v>196</v>
      </c>
    </row>
    <row r="2" spans="1:113" x14ac:dyDescent="0.2">
      <c r="B2" s="135" t="s">
        <v>146</v>
      </c>
      <c r="C2" s="138" t="s">
        <v>145</v>
      </c>
    </row>
    <row r="3" spans="1:113" x14ac:dyDescent="0.2">
      <c r="B3" s="135" t="s">
        <v>144</v>
      </c>
      <c r="C3" s="138" t="s">
        <v>150</v>
      </c>
    </row>
    <row r="4" spans="1:113" x14ac:dyDescent="0.2">
      <c r="B4" s="135" t="s">
        <v>151</v>
      </c>
      <c r="C4" s="138" t="s">
        <v>150</v>
      </c>
    </row>
    <row r="5" spans="1:113" x14ac:dyDescent="0.2">
      <c r="B5" s="135" t="s">
        <v>143</v>
      </c>
      <c r="C5" s="138" t="s">
        <v>142</v>
      </c>
      <c r="M5" s="136"/>
      <c r="X5" s="136"/>
      <c r="AI5" s="136"/>
      <c r="AT5" s="136"/>
      <c r="BE5" s="136"/>
      <c r="BP5" s="136"/>
      <c r="CA5" s="136"/>
      <c r="CL5" s="136"/>
      <c r="CW5" s="136"/>
      <c r="DH5" s="136"/>
    </row>
    <row r="6" spans="1:113" x14ac:dyDescent="0.2">
      <c r="B6" s="135" t="s">
        <v>141</v>
      </c>
      <c r="C6" s="137">
        <v>46174</v>
      </c>
      <c r="E6" s="2"/>
      <c r="F6" s="54"/>
      <c r="G6" s="54"/>
      <c r="M6" s="136"/>
      <c r="P6" s="2"/>
      <c r="Q6" s="54"/>
      <c r="R6" s="54"/>
      <c r="X6" s="136"/>
      <c r="AA6" s="2"/>
      <c r="AB6" s="54"/>
      <c r="AC6" s="54"/>
      <c r="AI6" s="136"/>
      <c r="AL6" s="2"/>
      <c r="AM6" s="54"/>
      <c r="AN6" s="54"/>
      <c r="AT6" s="136"/>
      <c r="AW6" s="2"/>
      <c r="AX6" s="54"/>
      <c r="AY6" s="54"/>
      <c r="BE6" s="136"/>
      <c r="BH6" s="2"/>
      <c r="BI6" s="54"/>
      <c r="BJ6" s="54"/>
      <c r="BP6" s="136"/>
      <c r="BS6" s="2"/>
      <c r="BT6" s="54"/>
      <c r="BU6" s="54"/>
      <c r="CA6" s="136"/>
      <c r="CD6" s="2"/>
      <c r="CE6" s="54"/>
      <c r="CF6" s="54"/>
      <c r="CL6" s="136"/>
      <c r="CO6" s="2"/>
      <c r="CP6" s="54"/>
      <c r="CQ6" s="54"/>
      <c r="CW6" s="136"/>
      <c r="CZ6" s="2"/>
      <c r="DA6" s="54"/>
      <c r="DB6" s="54"/>
      <c r="DH6" s="136"/>
    </row>
    <row r="7" spans="1:113" x14ac:dyDescent="0.2">
      <c r="B7" s="135" t="s">
        <v>140</v>
      </c>
      <c r="C7" s="134" t="s">
        <v>139</v>
      </c>
      <c r="D7" s="133"/>
      <c r="E7" s="128"/>
      <c r="F7" s="128"/>
      <c r="G7" s="129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9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9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9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9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9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9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9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9"/>
      <c r="DC7" s="128"/>
      <c r="DD7" s="128"/>
      <c r="DE7" s="128"/>
      <c r="DF7" s="128"/>
      <c r="DG7" s="128"/>
      <c r="DH7" s="128"/>
      <c r="DI7" s="128"/>
    </row>
    <row r="8" spans="1:113" ht="13.5" thickBot="1" x14ac:dyDescent="0.25">
      <c r="B8" s="131"/>
      <c r="C8" s="130"/>
      <c r="D8" s="128"/>
      <c r="E8" s="128"/>
      <c r="F8" s="128"/>
      <c r="G8" s="129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9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9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9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9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9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9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9"/>
      <c r="CR8" s="128"/>
      <c r="CS8" s="128"/>
      <c r="CT8" s="128"/>
      <c r="CU8" s="128"/>
      <c r="CV8" s="128"/>
      <c r="CW8" s="128"/>
      <c r="CX8" s="128"/>
      <c r="CY8" s="128"/>
      <c r="CZ8" s="128"/>
      <c r="DA8" s="128"/>
      <c r="DB8" s="129"/>
      <c r="DC8" s="128"/>
      <c r="DD8" s="128"/>
      <c r="DE8" s="128"/>
      <c r="DF8" s="128"/>
      <c r="DG8" s="128"/>
      <c r="DH8" s="128"/>
      <c r="DI8" s="128"/>
    </row>
    <row r="9" spans="1:113" ht="15.75" customHeight="1" thickTop="1" x14ac:dyDescent="0.2">
      <c r="B9" s="127"/>
      <c r="C9" s="127"/>
      <c r="D9" s="234" t="s">
        <v>160</v>
      </c>
      <c r="E9" s="235"/>
      <c r="F9" s="235"/>
      <c r="G9" s="235"/>
      <c r="H9" s="235"/>
      <c r="I9" s="235"/>
      <c r="J9" s="235"/>
      <c r="K9" s="235"/>
      <c r="L9" s="235"/>
      <c r="M9" s="235"/>
      <c r="N9" s="236"/>
      <c r="O9" s="234" t="s">
        <v>152</v>
      </c>
      <c r="P9" s="235"/>
      <c r="Q9" s="235"/>
      <c r="R9" s="235"/>
      <c r="S9" s="235"/>
      <c r="T9" s="235"/>
      <c r="U9" s="235"/>
      <c r="V9" s="235"/>
      <c r="W9" s="235"/>
      <c r="X9" s="235"/>
      <c r="Y9" s="236"/>
      <c r="Z9" s="234" t="s">
        <v>153</v>
      </c>
      <c r="AA9" s="235"/>
      <c r="AB9" s="235"/>
      <c r="AC9" s="235"/>
      <c r="AD9" s="235"/>
      <c r="AE9" s="235"/>
      <c r="AF9" s="235"/>
      <c r="AG9" s="235"/>
      <c r="AH9" s="235"/>
      <c r="AI9" s="235"/>
      <c r="AJ9" s="236"/>
      <c r="AK9" s="234" t="s">
        <v>154</v>
      </c>
      <c r="AL9" s="235"/>
      <c r="AM9" s="235"/>
      <c r="AN9" s="235"/>
      <c r="AO9" s="235"/>
      <c r="AP9" s="235"/>
      <c r="AQ9" s="235"/>
      <c r="AR9" s="235"/>
      <c r="AS9" s="235"/>
      <c r="AT9" s="235"/>
      <c r="AU9" s="236"/>
      <c r="AV9" s="234" t="s">
        <v>155</v>
      </c>
      <c r="AW9" s="235"/>
      <c r="AX9" s="235"/>
      <c r="AY9" s="235"/>
      <c r="AZ9" s="235"/>
      <c r="BA9" s="235"/>
      <c r="BB9" s="235"/>
      <c r="BC9" s="235"/>
      <c r="BD9" s="235"/>
      <c r="BE9" s="235"/>
      <c r="BF9" s="236"/>
      <c r="BG9" s="234" t="s">
        <v>156</v>
      </c>
      <c r="BH9" s="235"/>
      <c r="BI9" s="235"/>
      <c r="BJ9" s="235"/>
      <c r="BK9" s="235"/>
      <c r="BL9" s="235"/>
      <c r="BM9" s="235"/>
      <c r="BN9" s="235"/>
      <c r="BO9" s="235"/>
      <c r="BP9" s="235"/>
      <c r="BQ9" s="236"/>
      <c r="BR9" s="234" t="s">
        <v>157</v>
      </c>
      <c r="BS9" s="235"/>
      <c r="BT9" s="235"/>
      <c r="BU9" s="235"/>
      <c r="BV9" s="235"/>
      <c r="BW9" s="235"/>
      <c r="BX9" s="235"/>
      <c r="BY9" s="235"/>
      <c r="BZ9" s="235"/>
      <c r="CA9" s="235"/>
      <c r="CB9" s="236"/>
      <c r="CC9" s="234" t="s">
        <v>158</v>
      </c>
      <c r="CD9" s="235"/>
      <c r="CE9" s="235"/>
      <c r="CF9" s="235"/>
      <c r="CG9" s="235"/>
      <c r="CH9" s="235"/>
      <c r="CI9" s="235"/>
      <c r="CJ9" s="235"/>
      <c r="CK9" s="235"/>
      <c r="CL9" s="235"/>
      <c r="CM9" s="236"/>
      <c r="CN9" s="234" t="s">
        <v>129</v>
      </c>
      <c r="CO9" s="235"/>
      <c r="CP9" s="235"/>
      <c r="CQ9" s="235"/>
      <c r="CR9" s="235"/>
      <c r="CS9" s="235"/>
      <c r="CT9" s="235"/>
      <c r="CU9" s="235"/>
      <c r="CV9" s="235"/>
      <c r="CW9" s="235"/>
      <c r="CX9" s="236"/>
      <c r="CY9" s="234" t="s">
        <v>159</v>
      </c>
      <c r="CZ9" s="235"/>
      <c r="DA9" s="235"/>
      <c r="DB9" s="235"/>
      <c r="DC9" s="235"/>
      <c r="DD9" s="235"/>
      <c r="DE9" s="235"/>
      <c r="DF9" s="235"/>
      <c r="DG9" s="235"/>
      <c r="DH9" s="235"/>
      <c r="DI9" s="236"/>
    </row>
    <row r="10" spans="1:113" ht="15.75" customHeight="1" x14ac:dyDescent="0.2">
      <c r="B10" s="127"/>
      <c r="C10" s="126"/>
      <c r="D10" s="237" t="s">
        <v>137</v>
      </c>
      <c r="E10" s="237"/>
      <c r="F10" s="237"/>
      <c r="G10" s="237"/>
      <c r="H10" s="238" t="s">
        <v>136</v>
      </c>
      <c r="I10" s="237"/>
      <c r="J10" s="237"/>
      <c r="K10" s="239"/>
      <c r="L10" s="240" t="s">
        <v>135</v>
      </c>
      <c r="M10" s="237"/>
      <c r="N10" s="241"/>
      <c r="O10" s="237" t="s">
        <v>137</v>
      </c>
      <c r="P10" s="237"/>
      <c r="Q10" s="237"/>
      <c r="R10" s="237"/>
      <c r="S10" s="238" t="s">
        <v>136</v>
      </c>
      <c r="T10" s="237"/>
      <c r="U10" s="237"/>
      <c r="V10" s="239"/>
      <c r="W10" s="240" t="s">
        <v>135</v>
      </c>
      <c r="X10" s="237"/>
      <c r="Y10" s="241"/>
      <c r="Z10" s="237" t="s">
        <v>137</v>
      </c>
      <c r="AA10" s="237"/>
      <c r="AB10" s="237"/>
      <c r="AC10" s="237"/>
      <c r="AD10" s="238" t="s">
        <v>136</v>
      </c>
      <c r="AE10" s="237"/>
      <c r="AF10" s="237"/>
      <c r="AG10" s="239"/>
      <c r="AH10" s="240" t="s">
        <v>135</v>
      </c>
      <c r="AI10" s="237"/>
      <c r="AJ10" s="241"/>
      <c r="AK10" s="237" t="s">
        <v>137</v>
      </c>
      <c r="AL10" s="237"/>
      <c r="AM10" s="237"/>
      <c r="AN10" s="237"/>
      <c r="AO10" s="238" t="s">
        <v>136</v>
      </c>
      <c r="AP10" s="237"/>
      <c r="AQ10" s="237"/>
      <c r="AR10" s="239"/>
      <c r="AS10" s="240" t="s">
        <v>135</v>
      </c>
      <c r="AT10" s="237"/>
      <c r="AU10" s="241"/>
      <c r="AV10" s="237" t="s">
        <v>137</v>
      </c>
      <c r="AW10" s="237"/>
      <c r="AX10" s="237"/>
      <c r="AY10" s="237"/>
      <c r="AZ10" s="238" t="s">
        <v>136</v>
      </c>
      <c r="BA10" s="237"/>
      <c r="BB10" s="237"/>
      <c r="BC10" s="239"/>
      <c r="BD10" s="240" t="s">
        <v>135</v>
      </c>
      <c r="BE10" s="237"/>
      <c r="BF10" s="241"/>
      <c r="BG10" s="237" t="s">
        <v>137</v>
      </c>
      <c r="BH10" s="237"/>
      <c r="BI10" s="237"/>
      <c r="BJ10" s="237"/>
      <c r="BK10" s="238" t="s">
        <v>136</v>
      </c>
      <c r="BL10" s="237"/>
      <c r="BM10" s="237"/>
      <c r="BN10" s="239"/>
      <c r="BO10" s="240" t="s">
        <v>135</v>
      </c>
      <c r="BP10" s="237"/>
      <c r="BQ10" s="241"/>
      <c r="BR10" s="237" t="s">
        <v>137</v>
      </c>
      <c r="BS10" s="237"/>
      <c r="BT10" s="237"/>
      <c r="BU10" s="237"/>
      <c r="BV10" s="238" t="s">
        <v>136</v>
      </c>
      <c r="BW10" s="237"/>
      <c r="BX10" s="237"/>
      <c r="BY10" s="239"/>
      <c r="BZ10" s="240" t="s">
        <v>135</v>
      </c>
      <c r="CA10" s="237"/>
      <c r="CB10" s="241"/>
      <c r="CC10" s="237" t="s">
        <v>137</v>
      </c>
      <c r="CD10" s="237"/>
      <c r="CE10" s="237"/>
      <c r="CF10" s="237"/>
      <c r="CG10" s="238" t="s">
        <v>136</v>
      </c>
      <c r="CH10" s="237"/>
      <c r="CI10" s="237"/>
      <c r="CJ10" s="239"/>
      <c r="CK10" s="240" t="s">
        <v>135</v>
      </c>
      <c r="CL10" s="237"/>
      <c r="CM10" s="241"/>
      <c r="CN10" s="237" t="s">
        <v>137</v>
      </c>
      <c r="CO10" s="237"/>
      <c r="CP10" s="237"/>
      <c r="CQ10" s="237"/>
      <c r="CR10" s="238" t="s">
        <v>136</v>
      </c>
      <c r="CS10" s="237"/>
      <c r="CT10" s="237"/>
      <c r="CU10" s="239"/>
      <c r="CV10" s="240" t="s">
        <v>135</v>
      </c>
      <c r="CW10" s="237"/>
      <c r="CX10" s="241"/>
      <c r="CY10" s="237" t="s">
        <v>137</v>
      </c>
      <c r="CZ10" s="237"/>
      <c r="DA10" s="237"/>
      <c r="DB10" s="237"/>
      <c r="DC10" s="238" t="s">
        <v>136</v>
      </c>
      <c r="DD10" s="237"/>
      <c r="DE10" s="237"/>
      <c r="DF10" s="239"/>
      <c r="DG10" s="240" t="s">
        <v>135</v>
      </c>
      <c r="DH10" s="237"/>
      <c r="DI10" s="241"/>
    </row>
    <row r="11" spans="1:113" ht="34.5" customHeight="1" x14ac:dyDescent="0.2">
      <c r="B11" s="127"/>
      <c r="C11" s="126"/>
      <c r="D11" s="125" t="s">
        <v>134</v>
      </c>
      <c r="E11" s="123" t="s">
        <v>132</v>
      </c>
      <c r="F11" s="242" t="s">
        <v>133</v>
      </c>
      <c r="G11" s="243"/>
      <c r="H11" s="124" t="s">
        <v>134</v>
      </c>
      <c r="I11" s="123" t="s">
        <v>132</v>
      </c>
      <c r="J11" s="242" t="s">
        <v>133</v>
      </c>
      <c r="K11" s="243"/>
      <c r="L11" s="122" t="s">
        <v>132</v>
      </c>
      <c r="M11" s="244" t="s">
        <v>131</v>
      </c>
      <c r="N11" s="245"/>
      <c r="O11" s="125" t="s">
        <v>134</v>
      </c>
      <c r="P11" s="123" t="s">
        <v>132</v>
      </c>
      <c r="Q11" s="242" t="s">
        <v>133</v>
      </c>
      <c r="R11" s="243"/>
      <c r="S11" s="124" t="s">
        <v>134</v>
      </c>
      <c r="T11" s="123" t="s">
        <v>132</v>
      </c>
      <c r="U11" s="242" t="s">
        <v>133</v>
      </c>
      <c r="V11" s="243"/>
      <c r="W11" s="122" t="s">
        <v>132</v>
      </c>
      <c r="X11" s="244" t="s">
        <v>131</v>
      </c>
      <c r="Y11" s="245"/>
      <c r="Z11" s="125" t="s">
        <v>134</v>
      </c>
      <c r="AA11" s="123" t="s">
        <v>132</v>
      </c>
      <c r="AB11" s="242" t="s">
        <v>133</v>
      </c>
      <c r="AC11" s="243"/>
      <c r="AD11" s="124" t="s">
        <v>134</v>
      </c>
      <c r="AE11" s="123" t="s">
        <v>132</v>
      </c>
      <c r="AF11" s="242" t="s">
        <v>133</v>
      </c>
      <c r="AG11" s="243"/>
      <c r="AH11" s="122" t="s">
        <v>132</v>
      </c>
      <c r="AI11" s="244" t="s">
        <v>131</v>
      </c>
      <c r="AJ11" s="245"/>
      <c r="AK11" s="125" t="s">
        <v>134</v>
      </c>
      <c r="AL11" s="123" t="s">
        <v>132</v>
      </c>
      <c r="AM11" s="242" t="s">
        <v>133</v>
      </c>
      <c r="AN11" s="243"/>
      <c r="AO11" s="124" t="s">
        <v>134</v>
      </c>
      <c r="AP11" s="123" t="s">
        <v>132</v>
      </c>
      <c r="AQ11" s="242" t="s">
        <v>133</v>
      </c>
      <c r="AR11" s="243"/>
      <c r="AS11" s="122" t="s">
        <v>132</v>
      </c>
      <c r="AT11" s="244" t="s">
        <v>131</v>
      </c>
      <c r="AU11" s="245"/>
      <c r="AV11" s="125" t="s">
        <v>134</v>
      </c>
      <c r="AW11" s="123" t="s">
        <v>132</v>
      </c>
      <c r="AX11" s="242" t="s">
        <v>133</v>
      </c>
      <c r="AY11" s="243"/>
      <c r="AZ11" s="124" t="s">
        <v>134</v>
      </c>
      <c r="BA11" s="123" t="s">
        <v>132</v>
      </c>
      <c r="BB11" s="242" t="s">
        <v>133</v>
      </c>
      <c r="BC11" s="243"/>
      <c r="BD11" s="122" t="s">
        <v>132</v>
      </c>
      <c r="BE11" s="244" t="s">
        <v>131</v>
      </c>
      <c r="BF11" s="245"/>
      <c r="BG11" s="125" t="s">
        <v>134</v>
      </c>
      <c r="BH11" s="123" t="s">
        <v>132</v>
      </c>
      <c r="BI11" s="242" t="s">
        <v>133</v>
      </c>
      <c r="BJ11" s="243"/>
      <c r="BK11" s="124" t="s">
        <v>134</v>
      </c>
      <c r="BL11" s="123" t="s">
        <v>132</v>
      </c>
      <c r="BM11" s="242" t="s">
        <v>133</v>
      </c>
      <c r="BN11" s="243"/>
      <c r="BO11" s="122" t="s">
        <v>132</v>
      </c>
      <c r="BP11" s="244" t="s">
        <v>131</v>
      </c>
      <c r="BQ11" s="245"/>
      <c r="BR11" s="125" t="s">
        <v>134</v>
      </c>
      <c r="BS11" s="123" t="s">
        <v>132</v>
      </c>
      <c r="BT11" s="242" t="s">
        <v>133</v>
      </c>
      <c r="BU11" s="243"/>
      <c r="BV11" s="124" t="s">
        <v>134</v>
      </c>
      <c r="BW11" s="123" t="s">
        <v>132</v>
      </c>
      <c r="BX11" s="242" t="s">
        <v>133</v>
      </c>
      <c r="BY11" s="243"/>
      <c r="BZ11" s="122" t="s">
        <v>132</v>
      </c>
      <c r="CA11" s="244" t="s">
        <v>131</v>
      </c>
      <c r="CB11" s="245"/>
      <c r="CC11" s="125" t="s">
        <v>134</v>
      </c>
      <c r="CD11" s="123" t="s">
        <v>132</v>
      </c>
      <c r="CE11" s="242" t="s">
        <v>133</v>
      </c>
      <c r="CF11" s="243"/>
      <c r="CG11" s="124" t="s">
        <v>134</v>
      </c>
      <c r="CH11" s="123" t="s">
        <v>132</v>
      </c>
      <c r="CI11" s="242" t="s">
        <v>133</v>
      </c>
      <c r="CJ11" s="243"/>
      <c r="CK11" s="122" t="s">
        <v>132</v>
      </c>
      <c r="CL11" s="244" t="s">
        <v>131</v>
      </c>
      <c r="CM11" s="245"/>
      <c r="CN11" s="125" t="s">
        <v>134</v>
      </c>
      <c r="CO11" s="123" t="s">
        <v>132</v>
      </c>
      <c r="CP11" s="242" t="s">
        <v>133</v>
      </c>
      <c r="CQ11" s="243"/>
      <c r="CR11" s="124" t="s">
        <v>134</v>
      </c>
      <c r="CS11" s="123" t="s">
        <v>132</v>
      </c>
      <c r="CT11" s="242" t="s">
        <v>133</v>
      </c>
      <c r="CU11" s="243"/>
      <c r="CV11" s="122" t="s">
        <v>132</v>
      </c>
      <c r="CW11" s="244" t="s">
        <v>131</v>
      </c>
      <c r="CX11" s="245"/>
      <c r="CY11" s="125" t="s">
        <v>134</v>
      </c>
      <c r="CZ11" s="123" t="s">
        <v>132</v>
      </c>
      <c r="DA11" s="242" t="s">
        <v>133</v>
      </c>
      <c r="DB11" s="243"/>
      <c r="DC11" s="124" t="s">
        <v>134</v>
      </c>
      <c r="DD11" s="123" t="s">
        <v>132</v>
      </c>
      <c r="DE11" s="242" t="s">
        <v>133</v>
      </c>
      <c r="DF11" s="243"/>
      <c r="DG11" s="122" t="s">
        <v>132</v>
      </c>
      <c r="DH11" s="244" t="s">
        <v>131</v>
      </c>
      <c r="DI11" s="245"/>
    </row>
    <row r="12" spans="1:113" ht="16.5" customHeight="1" thickBot="1" x14ac:dyDescent="0.25">
      <c r="A12" s="54"/>
      <c r="B12" s="70" t="s">
        <v>130</v>
      </c>
      <c r="C12" s="69" t="s">
        <v>129</v>
      </c>
      <c r="D12" s="120"/>
      <c r="E12" s="68"/>
      <c r="F12" s="64"/>
      <c r="G12" s="66"/>
      <c r="H12" s="121"/>
      <c r="I12" s="120"/>
      <c r="J12" s="66"/>
      <c r="K12" s="66"/>
      <c r="L12" s="65"/>
      <c r="M12" s="64"/>
      <c r="N12" s="63"/>
      <c r="O12" s="120"/>
      <c r="P12" s="68"/>
      <c r="Q12" s="64"/>
      <c r="R12" s="66"/>
      <c r="S12" s="121"/>
      <c r="T12" s="120"/>
      <c r="U12" s="66"/>
      <c r="V12" s="66"/>
      <c r="W12" s="65"/>
      <c r="X12" s="64"/>
      <c r="Y12" s="63"/>
      <c r="Z12" s="120"/>
      <c r="AA12" s="68"/>
      <c r="AB12" s="64"/>
      <c r="AC12" s="66"/>
      <c r="AD12" s="121"/>
      <c r="AE12" s="120"/>
      <c r="AF12" s="66"/>
      <c r="AG12" s="66"/>
      <c r="AH12" s="65"/>
      <c r="AI12" s="64"/>
      <c r="AJ12" s="63"/>
      <c r="AK12" s="120"/>
      <c r="AL12" s="68"/>
      <c r="AM12" s="64"/>
      <c r="AN12" s="66"/>
      <c r="AO12" s="121"/>
      <c r="AP12" s="120"/>
      <c r="AQ12" s="66"/>
      <c r="AR12" s="66"/>
      <c r="AS12" s="65"/>
      <c r="AT12" s="64"/>
      <c r="AU12" s="63"/>
      <c r="AV12" s="120"/>
      <c r="AW12" s="68"/>
      <c r="AX12" s="64"/>
      <c r="AY12" s="66"/>
      <c r="AZ12" s="121"/>
      <c r="BA12" s="120"/>
      <c r="BB12" s="66"/>
      <c r="BC12" s="66"/>
      <c r="BD12" s="65"/>
      <c r="BE12" s="64"/>
      <c r="BF12" s="63"/>
      <c r="BG12" s="120"/>
      <c r="BH12" s="68"/>
      <c r="BI12" s="64"/>
      <c r="BJ12" s="66"/>
      <c r="BK12" s="121"/>
      <c r="BL12" s="120"/>
      <c r="BM12" s="66"/>
      <c r="BN12" s="66"/>
      <c r="BO12" s="65"/>
      <c r="BP12" s="64"/>
      <c r="BQ12" s="63"/>
      <c r="BR12" s="120"/>
      <c r="BS12" s="68"/>
      <c r="BT12" s="64"/>
      <c r="BU12" s="66"/>
      <c r="BV12" s="121"/>
      <c r="BW12" s="120"/>
      <c r="BX12" s="66"/>
      <c r="BY12" s="66"/>
      <c r="BZ12" s="65"/>
      <c r="CA12" s="64"/>
      <c r="CB12" s="63"/>
      <c r="CC12" s="120"/>
      <c r="CD12" s="68"/>
      <c r="CE12" s="64"/>
      <c r="CF12" s="66"/>
      <c r="CG12" s="121"/>
      <c r="CH12" s="120"/>
      <c r="CI12" s="66"/>
      <c r="CJ12" s="66"/>
      <c r="CK12" s="65"/>
      <c r="CL12" s="64"/>
      <c r="CM12" s="63"/>
      <c r="CN12" s="120"/>
      <c r="CO12" s="68"/>
      <c r="CP12" s="64"/>
      <c r="CQ12" s="66"/>
      <c r="CR12" s="121"/>
      <c r="CS12" s="120"/>
      <c r="CT12" s="66"/>
      <c r="CU12" s="66"/>
      <c r="CV12" s="65"/>
      <c r="CW12" s="64"/>
      <c r="CX12" s="63"/>
      <c r="CY12" s="120"/>
      <c r="CZ12" s="68"/>
      <c r="DA12" s="64"/>
      <c r="DB12" s="66"/>
      <c r="DC12" s="121"/>
      <c r="DD12" s="120"/>
      <c r="DE12" s="66"/>
      <c r="DF12" s="66"/>
      <c r="DG12" s="65"/>
      <c r="DH12" s="64"/>
      <c r="DI12" s="63"/>
    </row>
    <row r="13" spans="1:113" ht="13.5" hidden="1" outlineLevel="3" thickTop="1" x14ac:dyDescent="0.2">
      <c r="A13" s="54"/>
      <c r="B13" s="38" t="s">
        <v>128</v>
      </c>
      <c r="C13" s="62" t="s">
        <v>127</v>
      </c>
      <c r="D13" s="61">
        <v>135195586.78999999</v>
      </c>
      <c r="E13" s="60">
        <v>145701750</v>
      </c>
      <c r="F13" s="32">
        <f t="shared" ref="F13:F44" si="0">D13-E13</f>
        <v>-10506163.210000008</v>
      </c>
      <c r="G13" s="78">
        <f t="shared" ref="G13:G44" si="1">IFERROR(D13/E13-1,"-")</f>
        <v>-7.2107323419245195E-2</v>
      </c>
      <c r="H13" s="39">
        <v>851059330</v>
      </c>
      <c r="I13" s="39">
        <v>866543899</v>
      </c>
      <c r="J13" s="32">
        <f t="shared" ref="J13:J44" si="2">H13-I13</f>
        <v>-15484569</v>
      </c>
      <c r="K13" s="78">
        <f t="shared" ref="K13:K44" si="3">IFERROR(H13/I13-1,"-")</f>
        <v>-1.7869341666209126E-2</v>
      </c>
      <c r="L13" s="39">
        <v>1740754399</v>
      </c>
      <c r="M13" s="32">
        <f t="shared" ref="M13:M44" si="4">H13-L13</f>
        <v>-889695069</v>
      </c>
      <c r="N13" s="79">
        <f t="shared" ref="N13:N44" si="5">IFERROR(M13/L13,"-")</f>
        <v>-0.51109741242710482</v>
      </c>
      <c r="O13" s="61">
        <v>135195586.78999999</v>
      </c>
      <c r="P13" s="60">
        <v>145701750</v>
      </c>
      <c r="Q13" s="32">
        <f t="shared" ref="Q13:Q44" si="6">O13-P13</f>
        <v>-10506163.210000008</v>
      </c>
      <c r="R13" s="78">
        <f t="shared" ref="R13:R44" si="7">IFERROR(O13/P13-1,"-")</f>
        <v>-7.2107323419245195E-2</v>
      </c>
      <c r="S13" s="39">
        <v>851059330</v>
      </c>
      <c r="T13" s="39">
        <v>866543899</v>
      </c>
      <c r="U13" s="32">
        <f t="shared" ref="U13:U44" si="8">S13-T13</f>
        <v>-15484569</v>
      </c>
      <c r="V13" s="78">
        <f t="shared" ref="V13:V44" si="9">IFERROR(S13/T13-1,"-")</f>
        <v>-1.7869341666209126E-2</v>
      </c>
      <c r="W13" s="39">
        <v>1740754399</v>
      </c>
      <c r="X13" s="32">
        <f t="shared" ref="X13:X44" si="10">S13-W13</f>
        <v>-889695069</v>
      </c>
      <c r="Y13" s="79">
        <f t="shared" ref="Y13:Y44" si="11">IFERROR(X13/W13,"-")</f>
        <v>-0.51109741242710482</v>
      </c>
      <c r="Z13" s="61">
        <v>135195586.78999999</v>
      </c>
      <c r="AA13" s="60">
        <v>145701750</v>
      </c>
      <c r="AB13" s="32">
        <f t="shared" ref="AB13:AB44" si="12">Z13-AA13</f>
        <v>-10506163.210000008</v>
      </c>
      <c r="AC13" s="78">
        <f t="shared" ref="AC13:AC44" si="13">IFERROR(Z13/AA13-1,"-")</f>
        <v>-7.2107323419245195E-2</v>
      </c>
      <c r="AD13" s="39">
        <v>851059330</v>
      </c>
      <c r="AE13" s="39">
        <v>866543899</v>
      </c>
      <c r="AF13" s="32">
        <f t="shared" ref="AF13:AF44" si="14">AD13-AE13</f>
        <v>-15484569</v>
      </c>
      <c r="AG13" s="78">
        <f t="shared" ref="AG13:AG44" si="15">IFERROR(AD13/AE13-1,"-")</f>
        <v>-1.7869341666209126E-2</v>
      </c>
      <c r="AH13" s="39">
        <v>1740754399</v>
      </c>
      <c r="AI13" s="32">
        <f t="shared" ref="AI13:AI44" si="16">AD13-AH13</f>
        <v>-889695069</v>
      </c>
      <c r="AJ13" s="79">
        <f t="shared" ref="AJ13:AJ44" si="17">IFERROR(AI13/AH13,"-")</f>
        <v>-0.51109741242710482</v>
      </c>
      <c r="AK13" s="61">
        <v>135195586.78999999</v>
      </c>
      <c r="AL13" s="60">
        <v>145701750</v>
      </c>
      <c r="AM13" s="32">
        <f t="shared" ref="AM13:AM44" si="18">AK13-AL13</f>
        <v>-10506163.210000008</v>
      </c>
      <c r="AN13" s="78">
        <f t="shared" ref="AN13:AN44" si="19">IFERROR(AK13/AL13-1,"-")</f>
        <v>-7.2107323419245195E-2</v>
      </c>
      <c r="AO13" s="39">
        <v>851059330</v>
      </c>
      <c r="AP13" s="39">
        <v>866543899</v>
      </c>
      <c r="AQ13" s="32">
        <f t="shared" ref="AQ13:AQ44" si="20">AO13-AP13</f>
        <v>-15484569</v>
      </c>
      <c r="AR13" s="78">
        <f t="shared" ref="AR13:AR44" si="21">IFERROR(AO13/AP13-1,"-")</f>
        <v>-1.7869341666209126E-2</v>
      </c>
      <c r="AS13" s="39">
        <v>1740754399</v>
      </c>
      <c r="AT13" s="32">
        <f t="shared" ref="AT13:AT44" si="22">AO13-AS13</f>
        <v>-889695069</v>
      </c>
      <c r="AU13" s="79">
        <f t="shared" ref="AU13:AU44" si="23">IFERROR(AT13/AS13,"-")</f>
        <v>-0.51109741242710482</v>
      </c>
      <c r="AV13" s="61">
        <v>135195586.78999999</v>
      </c>
      <c r="AW13" s="60">
        <v>145701750</v>
      </c>
      <c r="AX13" s="32">
        <f t="shared" ref="AX13:AX44" si="24">AV13-AW13</f>
        <v>-10506163.210000008</v>
      </c>
      <c r="AY13" s="78">
        <f t="shared" ref="AY13:AY44" si="25">IFERROR(AV13/AW13-1,"-")</f>
        <v>-7.2107323419245195E-2</v>
      </c>
      <c r="AZ13" s="39">
        <v>851059330</v>
      </c>
      <c r="BA13" s="39">
        <v>866543899</v>
      </c>
      <c r="BB13" s="32">
        <f t="shared" ref="BB13:BB44" si="26">AZ13-BA13</f>
        <v>-15484569</v>
      </c>
      <c r="BC13" s="78">
        <f t="shared" ref="BC13:BC44" si="27">IFERROR(AZ13/BA13-1,"-")</f>
        <v>-1.7869341666209126E-2</v>
      </c>
      <c r="BD13" s="39">
        <v>1740754399</v>
      </c>
      <c r="BE13" s="32">
        <f t="shared" ref="BE13:BE44" si="28">AZ13-BD13</f>
        <v>-889695069</v>
      </c>
      <c r="BF13" s="79">
        <f t="shared" ref="BF13:BF44" si="29">IFERROR(BE13/BD13,"-")</f>
        <v>-0.51109741242710482</v>
      </c>
      <c r="BG13" s="61">
        <v>135195586.78999999</v>
      </c>
      <c r="BH13" s="60">
        <v>145701750</v>
      </c>
      <c r="BI13" s="32">
        <f t="shared" ref="BI13:BI44" si="30">BG13-BH13</f>
        <v>-10506163.210000008</v>
      </c>
      <c r="BJ13" s="78">
        <f t="shared" ref="BJ13:BJ44" si="31">IFERROR(BG13/BH13-1,"-")</f>
        <v>-7.2107323419245195E-2</v>
      </c>
      <c r="BK13" s="39">
        <v>851059330</v>
      </c>
      <c r="BL13" s="39">
        <v>866543899</v>
      </c>
      <c r="BM13" s="32">
        <f t="shared" ref="BM13:BM44" si="32">BK13-BL13</f>
        <v>-15484569</v>
      </c>
      <c r="BN13" s="78">
        <f t="shared" ref="BN13:BN44" si="33">IFERROR(BK13/BL13-1,"-")</f>
        <v>-1.7869341666209126E-2</v>
      </c>
      <c r="BO13" s="39">
        <v>1740754399</v>
      </c>
      <c r="BP13" s="32">
        <f t="shared" ref="BP13:BP44" si="34">BK13-BO13</f>
        <v>-889695069</v>
      </c>
      <c r="BQ13" s="79">
        <f t="shared" ref="BQ13:BQ44" si="35">IFERROR(BP13/BO13,"-")</f>
        <v>-0.51109741242710482</v>
      </c>
      <c r="BR13" s="61">
        <v>135195586.78999999</v>
      </c>
      <c r="BS13" s="60">
        <v>145701750</v>
      </c>
      <c r="BT13" s="32">
        <f t="shared" ref="BT13:BT44" si="36">BR13-BS13</f>
        <v>-10506163.210000008</v>
      </c>
      <c r="BU13" s="78">
        <f t="shared" ref="BU13:BU44" si="37">IFERROR(BR13/BS13-1,"-")</f>
        <v>-7.2107323419245195E-2</v>
      </c>
      <c r="BV13" s="39">
        <v>851059330</v>
      </c>
      <c r="BW13" s="39">
        <v>866543899</v>
      </c>
      <c r="BX13" s="32">
        <f t="shared" ref="BX13:BX44" si="38">BV13-BW13</f>
        <v>-15484569</v>
      </c>
      <c r="BY13" s="78">
        <f t="shared" ref="BY13:BY44" si="39">IFERROR(BV13/BW13-1,"-")</f>
        <v>-1.7869341666209126E-2</v>
      </c>
      <c r="BZ13" s="39">
        <v>1740754399</v>
      </c>
      <c r="CA13" s="32">
        <f t="shared" ref="CA13:CA44" si="40">BV13-BZ13</f>
        <v>-889695069</v>
      </c>
      <c r="CB13" s="79">
        <f t="shared" ref="CB13:CB44" si="41">IFERROR(CA13/BZ13,"-")</f>
        <v>-0.51109741242710482</v>
      </c>
      <c r="CC13" s="61">
        <v>135195586.78999999</v>
      </c>
      <c r="CD13" s="60">
        <v>145701750</v>
      </c>
      <c r="CE13" s="32">
        <f t="shared" ref="CE13:CE44" si="42">CC13-CD13</f>
        <v>-10506163.210000008</v>
      </c>
      <c r="CF13" s="78">
        <f t="shared" ref="CF13:CF44" si="43">IFERROR(CC13/CD13-1,"-")</f>
        <v>-7.2107323419245195E-2</v>
      </c>
      <c r="CG13" s="39">
        <v>851059330</v>
      </c>
      <c r="CH13" s="39">
        <v>866543899</v>
      </c>
      <c r="CI13" s="32">
        <f t="shared" ref="CI13:CI44" si="44">CG13-CH13</f>
        <v>-15484569</v>
      </c>
      <c r="CJ13" s="78">
        <f t="shared" ref="CJ13:CJ44" si="45">IFERROR(CG13/CH13-1,"-")</f>
        <v>-1.7869341666209126E-2</v>
      </c>
      <c r="CK13" s="39">
        <v>1740754399</v>
      </c>
      <c r="CL13" s="32">
        <f t="shared" ref="CL13:CL44" si="46">CG13-CK13</f>
        <v>-889695069</v>
      </c>
      <c r="CM13" s="79">
        <f t="shared" ref="CM13:CM44" si="47">IFERROR(CL13/CK13,"-")</f>
        <v>-0.51109741242710482</v>
      </c>
      <c r="CN13" s="61">
        <v>135195586.78999999</v>
      </c>
      <c r="CO13" s="60">
        <v>145701750</v>
      </c>
      <c r="CP13" s="32">
        <f t="shared" ref="CP13:CP44" si="48">CN13-CO13</f>
        <v>-10506163.210000008</v>
      </c>
      <c r="CQ13" s="78">
        <f t="shared" ref="CQ13:CQ44" si="49">IFERROR(CN13/CO13-1,"-")</f>
        <v>-7.2107323419245195E-2</v>
      </c>
      <c r="CR13" s="39">
        <v>851059330</v>
      </c>
      <c r="CS13" s="39">
        <v>866543899</v>
      </c>
      <c r="CT13" s="32">
        <f t="shared" ref="CT13:CT44" si="50">CR13-CS13</f>
        <v>-15484569</v>
      </c>
      <c r="CU13" s="78">
        <f t="shared" ref="CU13:CU44" si="51">IFERROR(CR13/CS13-1,"-")</f>
        <v>-1.7869341666209126E-2</v>
      </c>
      <c r="CV13" s="39">
        <v>1740754399</v>
      </c>
      <c r="CW13" s="32">
        <f t="shared" ref="CW13:CW44" si="52">CR13-CV13</f>
        <v>-889695069</v>
      </c>
      <c r="CX13" s="79">
        <f t="shared" ref="CX13:CX44" si="53">IFERROR(CW13/CV13,"-")</f>
        <v>-0.51109741242710482</v>
      </c>
      <c r="CY13" s="61">
        <v>135195586.78999999</v>
      </c>
      <c r="CZ13" s="60">
        <v>145701750</v>
      </c>
      <c r="DA13" s="32">
        <f t="shared" ref="DA13:DA44" si="54">CY13-CZ13</f>
        <v>-10506163.210000008</v>
      </c>
      <c r="DB13" s="78">
        <f t="shared" ref="DB13:DB44" si="55">IFERROR(CY13/CZ13-1,"-")</f>
        <v>-7.2107323419245195E-2</v>
      </c>
      <c r="DC13" s="39">
        <v>851059330</v>
      </c>
      <c r="DD13" s="39">
        <v>866543899</v>
      </c>
      <c r="DE13" s="32">
        <f t="shared" ref="DE13:DE44" si="56">DC13-DD13</f>
        <v>-15484569</v>
      </c>
      <c r="DF13" s="78">
        <f t="shared" ref="DF13:DF44" si="57">IFERROR(DC13/DD13-1,"-")</f>
        <v>-1.7869341666209126E-2</v>
      </c>
      <c r="DG13" s="39">
        <v>1740754399</v>
      </c>
      <c r="DH13" s="32">
        <f t="shared" ref="DH13:DH44" si="58">DC13-DG13</f>
        <v>-889695069</v>
      </c>
      <c r="DI13" s="79">
        <f t="shared" ref="DI13:DI44" si="59">IFERROR(DH13/DG13,"-")</f>
        <v>-0.51109741242710482</v>
      </c>
    </row>
    <row r="14" spans="1:113" ht="13.5" hidden="1" outlineLevel="3" thickTop="1" x14ac:dyDescent="0.2">
      <c r="A14" s="54"/>
      <c r="B14" s="38" t="s">
        <v>126</v>
      </c>
      <c r="C14" s="49" t="s">
        <v>125</v>
      </c>
      <c r="D14" s="41">
        <v>27369683.629999999</v>
      </c>
      <c r="E14" s="40">
        <v>26954823.75</v>
      </c>
      <c r="F14" s="32">
        <f t="shared" si="0"/>
        <v>414859.87999999896</v>
      </c>
      <c r="G14" s="78">
        <f t="shared" si="1"/>
        <v>1.5390932763936105E-2</v>
      </c>
      <c r="H14" s="39">
        <v>198975930</v>
      </c>
      <c r="I14" s="39">
        <v>160310621.315</v>
      </c>
      <c r="J14" s="32">
        <f t="shared" si="2"/>
        <v>38665308.685000002</v>
      </c>
      <c r="K14" s="78">
        <f t="shared" si="3"/>
        <v>0.24118993718466841</v>
      </c>
      <c r="L14" s="39">
        <v>322039563.815</v>
      </c>
      <c r="M14" s="32">
        <f t="shared" si="4"/>
        <v>-123063633.815</v>
      </c>
      <c r="N14" s="77">
        <f t="shared" si="5"/>
        <v>-0.38213824524273537</v>
      </c>
      <c r="O14" s="41">
        <v>27369683.629999999</v>
      </c>
      <c r="P14" s="40">
        <v>26954823.75</v>
      </c>
      <c r="Q14" s="32">
        <f t="shared" si="6"/>
        <v>414859.87999999896</v>
      </c>
      <c r="R14" s="78">
        <f t="shared" si="7"/>
        <v>1.5390932763936105E-2</v>
      </c>
      <c r="S14" s="39">
        <v>198975930</v>
      </c>
      <c r="T14" s="39">
        <v>160310621.315</v>
      </c>
      <c r="U14" s="32">
        <f t="shared" si="8"/>
        <v>38665308.685000002</v>
      </c>
      <c r="V14" s="78">
        <f t="shared" si="9"/>
        <v>0.24118993718466841</v>
      </c>
      <c r="W14" s="39">
        <v>322039563.815</v>
      </c>
      <c r="X14" s="32">
        <f t="shared" si="10"/>
        <v>-123063633.815</v>
      </c>
      <c r="Y14" s="77">
        <f t="shared" si="11"/>
        <v>-0.38213824524273537</v>
      </c>
      <c r="Z14" s="41">
        <v>27369683.629999999</v>
      </c>
      <c r="AA14" s="40">
        <v>26954823.75</v>
      </c>
      <c r="AB14" s="32">
        <f t="shared" si="12"/>
        <v>414859.87999999896</v>
      </c>
      <c r="AC14" s="78">
        <f t="shared" si="13"/>
        <v>1.5390932763936105E-2</v>
      </c>
      <c r="AD14" s="39">
        <v>198975930</v>
      </c>
      <c r="AE14" s="39">
        <v>160310621.315</v>
      </c>
      <c r="AF14" s="32">
        <f t="shared" si="14"/>
        <v>38665308.685000002</v>
      </c>
      <c r="AG14" s="78">
        <f t="shared" si="15"/>
        <v>0.24118993718466841</v>
      </c>
      <c r="AH14" s="39">
        <v>322039563.815</v>
      </c>
      <c r="AI14" s="32">
        <f t="shared" si="16"/>
        <v>-123063633.815</v>
      </c>
      <c r="AJ14" s="77">
        <f t="shared" si="17"/>
        <v>-0.38213824524273537</v>
      </c>
      <c r="AK14" s="41">
        <v>27369683.629999999</v>
      </c>
      <c r="AL14" s="40">
        <v>26954823.75</v>
      </c>
      <c r="AM14" s="32">
        <f t="shared" si="18"/>
        <v>414859.87999999896</v>
      </c>
      <c r="AN14" s="78">
        <f t="shared" si="19"/>
        <v>1.5390932763936105E-2</v>
      </c>
      <c r="AO14" s="39">
        <v>198975930</v>
      </c>
      <c r="AP14" s="39">
        <v>160310621.315</v>
      </c>
      <c r="AQ14" s="32">
        <f t="shared" si="20"/>
        <v>38665308.685000002</v>
      </c>
      <c r="AR14" s="78">
        <f t="shared" si="21"/>
        <v>0.24118993718466841</v>
      </c>
      <c r="AS14" s="39">
        <v>322039563.815</v>
      </c>
      <c r="AT14" s="32">
        <f t="shared" si="22"/>
        <v>-123063633.815</v>
      </c>
      <c r="AU14" s="77">
        <f t="shared" si="23"/>
        <v>-0.38213824524273537</v>
      </c>
      <c r="AV14" s="41">
        <v>27369683.629999999</v>
      </c>
      <c r="AW14" s="40">
        <v>26954823.75</v>
      </c>
      <c r="AX14" s="32">
        <f t="shared" si="24"/>
        <v>414859.87999999896</v>
      </c>
      <c r="AY14" s="78">
        <f t="shared" si="25"/>
        <v>1.5390932763936105E-2</v>
      </c>
      <c r="AZ14" s="39">
        <v>198975930</v>
      </c>
      <c r="BA14" s="39">
        <v>160310621.315</v>
      </c>
      <c r="BB14" s="32">
        <f t="shared" si="26"/>
        <v>38665308.685000002</v>
      </c>
      <c r="BC14" s="78">
        <f t="shared" si="27"/>
        <v>0.24118993718466841</v>
      </c>
      <c r="BD14" s="39">
        <v>322039563.815</v>
      </c>
      <c r="BE14" s="32">
        <f t="shared" si="28"/>
        <v>-123063633.815</v>
      </c>
      <c r="BF14" s="77">
        <f t="shared" si="29"/>
        <v>-0.38213824524273537</v>
      </c>
      <c r="BG14" s="41">
        <v>27369683.629999999</v>
      </c>
      <c r="BH14" s="40">
        <v>26954823.75</v>
      </c>
      <c r="BI14" s="32">
        <f t="shared" si="30"/>
        <v>414859.87999999896</v>
      </c>
      <c r="BJ14" s="78">
        <f t="shared" si="31"/>
        <v>1.5390932763936105E-2</v>
      </c>
      <c r="BK14" s="39">
        <v>198975930</v>
      </c>
      <c r="BL14" s="39">
        <v>160310621.315</v>
      </c>
      <c r="BM14" s="32">
        <f t="shared" si="32"/>
        <v>38665308.685000002</v>
      </c>
      <c r="BN14" s="78">
        <f t="shared" si="33"/>
        <v>0.24118993718466841</v>
      </c>
      <c r="BO14" s="39">
        <v>322039563.815</v>
      </c>
      <c r="BP14" s="32">
        <f t="shared" si="34"/>
        <v>-123063633.815</v>
      </c>
      <c r="BQ14" s="77">
        <f t="shared" si="35"/>
        <v>-0.38213824524273537</v>
      </c>
      <c r="BR14" s="41">
        <v>27369683.629999999</v>
      </c>
      <c r="BS14" s="40">
        <v>26954823.75</v>
      </c>
      <c r="BT14" s="32">
        <f t="shared" si="36"/>
        <v>414859.87999999896</v>
      </c>
      <c r="BU14" s="78">
        <f t="shared" si="37"/>
        <v>1.5390932763936105E-2</v>
      </c>
      <c r="BV14" s="39">
        <v>198975930</v>
      </c>
      <c r="BW14" s="39">
        <v>160310621.315</v>
      </c>
      <c r="BX14" s="32">
        <f t="shared" si="38"/>
        <v>38665308.685000002</v>
      </c>
      <c r="BY14" s="78">
        <f t="shared" si="39"/>
        <v>0.24118993718466841</v>
      </c>
      <c r="BZ14" s="39">
        <v>322039563.815</v>
      </c>
      <c r="CA14" s="32">
        <f t="shared" si="40"/>
        <v>-123063633.815</v>
      </c>
      <c r="CB14" s="77">
        <f t="shared" si="41"/>
        <v>-0.38213824524273537</v>
      </c>
      <c r="CC14" s="41">
        <v>27369683.629999999</v>
      </c>
      <c r="CD14" s="40">
        <v>26954823.75</v>
      </c>
      <c r="CE14" s="32">
        <f t="shared" si="42"/>
        <v>414859.87999999896</v>
      </c>
      <c r="CF14" s="78">
        <f t="shared" si="43"/>
        <v>1.5390932763936105E-2</v>
      </c>
      <c r="CG14" s="39">
        <v>198975930</v>
      </c>
      <c r="CH14" s="39">
        <v>160310621.315</v>
      </c>
      <c r="CI14" s="32">
        <f t="shared" si="44"/>
        <v>38665308.685000002</v>
      </c>
      <c r="CJ14" s="78">
        <f t="shared" si="45"/>
        <v>0.24118993718466841</v>
      </c>
      <c r="CK14" s="39">
        <v>322039563.815</v>
      </c>
      <c r="CL14" s="32">
        <f t="shared" si="46"/>
        <v>-123063633.815</v>
      </c>
      <c r="CM14" s="77">
        <f t="shared" si="47"/>
        <v>-0.38213824524273537</v>
      </c>
      <c r="CN14" s="41">
        <v>27369683.629999999</v>
      </c>
      <c r="CO14" s="40">
        <v>26954823.75</v>
      </c>
      <c r="CP14" s="32">
        <f t="shared" si="48"/>
        <v>414859.87999999896</v>
      </c>
      <c r="CQ14" s="78">
        <f t="shared" si="49"/>
        <v>1.5390932763936105E-2</v>
      </c>
      <c r="CR14" s="39">
        <v>198975930</v>
      </c>
      <c r="CS14" s="39">
        <v>160310621.315</v>
      </c>
      <c r="CT14" s="32">
        <f t="shared" si="50"/>
        <v>38665308.685000002</v>
      </c>
      <c r="CU14" s="78">
        <f t="shared" si="51"/>
        <v>0.24118993718466841</v>
      </c>
      <c r="CV14" s="39">
        <v>322039563.815</v>
      </c>
      <c r="CW14" s="32">
        <f t="shared" si="52"/>
        <v>-123063633.815</v>
      </c>
      <c r="CX14" s="77">
        <f t="shared" si="53"/>
        <v>-0.38213824524273537</v>
      </c>
      <c r="CY14" s="41">
        <v>27369683.629999999</v>
      </c>
      <c r="CZ14" s="40">
        <v>26954823.75</v>
      </c>
      <c r="DA14" s="32">
        <f t="shared" si="54"/>
        <v>414859.87999999896</v>
      </c>
      <c r="DB14" s="78">
        <f t="shared" si="55"/>
        <v>1.5390932763936105E-2</v>
      </c>
      <c r="DC14" s="39">
        <v>198975930</v>
      </c>
      <c r="DD14" s="39">
        <v>160310621.315</v>
      </c>
      <c r="DE14" s="32">
        <f t="shared" si="56"/>
        <v>38665308.685000002</v>
      </c>
      <c r="DF14" s="78">
        <f t="shared" si="57"/>
        <v>0.24118993718466841</v>
      </c>
      <c r="DG14" s="39">
        <v>322039563.815</v>
      </c>
      <c r="DH14" s="32">
        <f t="shared" si="58"/>
        <v>-123063633.815</v>
      </c>
      <c r="DI14" s="77">
        <f t="shared" si="59"/>
        <v>-0.38213824524273537</v>
      </c>
    </row>
    <row r="15" spans="1:113" s="6" customFormat="1" ht="13.5" hidden="1" outlineLevel="2" collapsed="1" thickTop="1" x14ac:dyDescent="0.2">
      <c r="A15" s="30"/>
      <c r="B15" s="29" t="s">
        <v>124</v>
      </c>
      <c r="C15" s="52" t="s">
        <v>123</v>
      </c>
      <c r="D15" s="27">
        <f>SUM(D13:D14)</f>
        <v>162565270.41999999</v>
      </c>
      <c r="E15" s="26">
        <f>SUM(E13:E14)</f>
        <v>172656573.75</v>
      </c>
      <c r="F15" s="23">
        <f t="shared" si="0"/>
        <v>-10091303.330000013</v>
      </c>
      <c r="G15" s="76">
        <f t="shared" si="1"/>
        <v>-5.844725810794682E-2</v>
      </c>
      <c r="H15" s="24">
        <f>SUM(H13:H14)</f>
        <v>1050035260</v>
      </c>
      <c r="I15" s="24">
        <f>SUM(I13:I14)</f>
        <v>1026854520.3150001</v>
      </c>
      <c r="J15" s="23">
        <f t="shared" si="2"/>
        <v>23180739.684999943</v>
      </c>
      <c r="K15" s="76">
        <f t="shared" si="3"/>
        <v>2.2574511994054358E-2</v>
      </c>
      <c r="L15" s="24">
        <f>SUM(L13:L14)</f>
        <v>2062793962.8150001</v>
      </c>
      <c r="M15" s="23">
        <f t="shared" si="4"/>
        <v>-1012758702.8150001</v>
      </c>
      <c r="N15" s="75">
        <f t="shared" si="5"/>
        <v>-0.49096454666414419</v>
      </c>
      <c r="O15" s="27">
        <f>SUM(O13:O14)</f>
        <v>162565270.41999999</v>
      </c>
      <c r="P15" s="26">
        <f>SUM(P13:P14)</f>
        <v>172656573.75</v>
      </c>
      <c r="Q15" s="23">
        <f t="shared" si="6"/>
        <v>-10091303.330000013</v>
      </c>
      <c r="R15" s="76">
        <f t="shared" si="7"/>
        <v>-5.844725810794682E-2</v>
      </c>
      <c r="S15" s="24">
        <f>SUM(S13:S14)</f>
        <v>1050035260</v>
      </c>
      <c r="T15" s="24">
        <f>SUM(T13:T14)</f>
        <v>1026854520.3150001</v>
      </c>
      <c r="U15" s="23">
        <f t="shared" si="8"/>
        <v>23180739.684999943</v>
      </c>
      <c r="V15" s="76">
        <f t="shared" si="9"/>
        <v>2.2574511994054358E-2</v>
      </c>
      <c r="W15" s="24">
        <f>SUM(W13:W14)</f>
        <v>2062793962.8150001</v>
      </c>
      <c r="X15" s="23">
        <f t="shared" si="10"/>
        <v>-1012758702.8150001</v>
      </c>
      <c r="Y15" s="75">
        <f t="shared" si="11"/>
        <v>-0.49096454666414419</v>
      </c>
      <c r="Z15" s="27">
        <f>SUM(Z13:Z14)</f>
        <v>162565270.41999999</v>
      </c>
      <c r="AA15" s="26">
        <f>SUM(AA13:AA14)</f>
        <v>172656573.75</v>
      </c>
      <c r="AB15" s="23">
        <f t="shared" si="12"/>
        <v>-10091303.330000013</v>
      </c>
      <c r="AC15" s="76">
        <f t="shared" si="13"/>
        <v>-5.844725810794682E-2</v>
      </c>
      <c r="AD15" s="24">
        <f>SUM(AD13:AD14)</f>
        <v>1050035260</v>
      </c>
      <c r="AE15" s="24">
        <f>SUM(AE13:AE14)</f>
        <v>1026854520.3150001</v>
      </c>
      <c r="AF15" s="23">
        <f t="shared" si="14"/>
        <v>23180739.684999943</v>
      </c>
      <c r="AG15" s="76">
        <f t="shared" si="15"/>
        <v>2.2574511994054358E-2</v>
      </c>
      <c r="AH15" s="24">
        <f>SUM(AH13:AH14)</f>
        <v>2062793962.8150001</v>
      </c>
      <c r="AI15" s="23">
        <f t="shared" si="16"/>
        <v>-1012758702.8150001</v>
      </c>
      <c r="AJ15" s="75">
        <f t="shared" si="17"/>
        <v>-0.49096454666414419</v>
      </c>
      <c r="AK15" s="27">
        <f>SUM(AK13:AK14)</f>
        <v>162565270.41999999</v>
      </c>
      <c r="AL15" s="26">
        <f>SUM(AL13:AL14)</f>
        <v>172656573.75</v>
      </c>
      <c r="AM15" s="23">
        <f t="shared" si="18"/>
        <v>-10091303.330000013</v>
      </c>
      <c r="AN15" s="76">
        <f t="shared" si="19"/>
        <v>-5.844725810794682E-2</v>
      </c>
      <c r="AO15" s="24">
        <f>SUM(AO13:AO14)</f>
        <v>1050035260</v>
      </c>
      <c r="AP15" s="24">
        <f>SUM(AP13:AP14)</f>
        <v>1026854520.3150001</v>
      </c>
      <c r="AQ15" s="23">
        <f t="shared" si="20"/>
        <v>23180739.684999943</v>
      </c>
      <c r="AR15" s="76">
        <f t="shared" si="21"/>
        <v>2.2574511994054358E-2</v>
      </c>
      <c r="AS15" s="24">
        <f>SUM(AS13:AS14)</f>
        <v>2062793962.8150001</v>
      </c>
      <c r="AT15" s="23">
        <f t="shared" si="22"/>
        <v>-1012758702.8150001</v>
      </c>
      <c r="AU15" s="75">
        <f t="shared" si="23"/>
        <v>-0.49096454666414419</v>
      </c>
      <c r="AV15" s="27">
        <f>SUM(AV13:AV14)</f>
        <v>162565270.41999999</v>
      </c>
      <c r="AW15" s="26">
        <f>SUM(AW13:AW14)</f>
        <v>172656573.75</v>
      </c>
      <c r="AX15" s="23">
        <f t="shared" si="24"/>
        <v>-10091303.330000013</v>
      </c>
      <c r="AY15" s="76">
        <f t="shared" si="25"/>
        <v>-5.844725810794682E-2</v>
      </c>
      <c r="AZ15" s="24">
        <f>SUM(AZ13:AZ14)</f>
        <v>1050035260</v>
      </c>
      <c r="BA15" s="24">
        <f>SUM(BA13:BA14)</f>
        <v>1026854520.3150001</v>
      </c>
      <c r="BB15" s="23">
        <f t="shared" si="26"/>
        <v>23180739.684999943</v>
      </c>
      <c r="BC15" s="76">
        <f t="shared" si="27"/>
        <v>2.2574511994054358E-2</v>
      </c>
      <c r="BD15" s="24">
        <f>SUM(BD13:BD14)</f>
        <v>2062793962.8150001</v>
      </c>
      <c r="BE15" s="23">
        <f t="shared" si="28"/>
        <v>-1012758702.8150001</v>
      </c>
      <c r="BF15" s="75">
        <f t="shared" si="29"/>
        <v>-0.49096454666414419</v>
      </c>
      <c r="BG15" s="27">
        <f>SUM(BG13:BG14)</f>
        <v>162565270.41999999</v>
      </c>
      <c r="BH15" s="26">
        <f>SUM(BH13:BH14)</f>
        <v>172656573.75</v>
      </c>
      <c r="BI15" s="23">
        <f t="shared" si="30"/>
        <v>-10091303.330000013</v>
      </c>
      <c r="BJ15" s="76">
        <f t="shared" si="31"/>
        <v>-5.844725810794682E-2</v>
      </c>
      <c r="BK15" s="24">
        <f>SUM(BK13:BK14)</f>
        <v>1050035260</v>
      </c>
      <c r="BL15" s="24">
        <f>SUM(BL13:BL14)</f>
        <v>1026854520.3150001</v>
      </c>
      <c r="BM15" s="23">
        <f t="shared" si="32"/>
        <v>23180739.684999943</v>
      </c>
      <c r="BN15" s="76">
        <f t="shared" si="33"/>
        <v>2.2574511994054358E-2</v>
      </c>
      <c r="BO15" s="24">
        <f>SUM(BO13:BO14)</f>
        <v>2062793962.8150001</v>
      </c>
      <c r="BP15" s="23">
        <f t="shared" si="34"/>
        <v>-1012758702.8150001</v>
      </c>
      <c r="BQ15" s="75">
        <f t="shared" si="35"/>
        <v>-0.49096454666414419</v>
      </c>
      <c r="BR15" s="27">
        <f>SUM(BR13:BR14)</f>
        <v>162565270.41999999</v>
      </c>
      <c r="BS15" s="26">
        <f>SUM(BS13:BS14)</f>
        <v>172656573.75</v>
      </c>
      <c r="BT15" s="23">
        <f t="shared" si="36"/>
        <v>-10091303.330000013</v>
      </c>
      <c r="BU15" s="76">
        <f t="shared" si="37"/>
        <v>-5.844725810794682E-2</v>
      </c>
      <c r="BV15" s="24">
        <f>SUM(BV13:BV14)</f>
        <v>1050035260</v>
      </c>
      <c r="BW15" s="24">
        <f>SUM(BW13:BW14)</f>
        <v>1026854520.3150001</v>
      </c>
      <c r="BX15" s="23">
        <f t="shared" si="38"/>
        <v>23180739.684999943</v>
      </c>
      <c r="BY15" s="76">
        <f t="shared" si="39"/>
        <v>2.2574511994054358E-2</v>
      </c>
      <c r="BZ15" s="24">
        <f>SUM(BZ13:BZ14)</f>
        <v>2062793962.8150001</v>
      </c>
      <c r="CA15" s="23">
        <f t="shared" si="40"/>
        <v>-1012758702.8150001</v>
      </c>
      <c r="CB15" s="75">
        <f t="shared" si="41"/>
        <v>-0.49096454666414419</v>
      </c>
      <c r="CC15" s="27">
        <f>SUM(CC13:CC14)</f>
        <v>162565270.41999999</v>
      </c>
      <c r="CD15" s="26">
        <f>SUM(CD13:CD14)</f>
        <v>172656573.75</v>
      </c>
      <c r="CE15" s="23">
        <f t="shared" si="42"/>
        <v>-10091303.330000013</v>
      </c>
      <c r="CF15" s="76">
        <f t="shared" si="43"/>
        <v>-5.844725810794682E-2</v>
      </c>
      <c r="CG15" s="24">
        <f>SUM(CG13:CG14)</f>
        <v>1050035260</v>
      </c>
      <c r="CH15" s="24">
        <f>SUM(CH13:CH14)</f>
        <v>1026854520.3150001</v>
      </c>
      <c r="CI15" s="23">
        <f t="shared" si="44"/>
        <v>23180739.684999943</v>
      </c>
      <c r="CJ15" s="76">
        <f t="shared" si="45"/>
        <v>2.2574511994054358E-2</v>
      </c>
      <c r="CK15" s="24">
        <f>SUM(CK13:CK14)</f>
        <v>2062793962.8150001</v>
      </c>
      <c r="CL15" s="23">
        <f t="shared" si="46"/>
        <v>-1012758702.8150001</v>
      </c>
      <c r="CM15" s="75">
        <f t="shared" si="47"/>
        <v>-0.49096454666414419</v>
      </c>
      <c r="CN15" s="27">
        <f>SUM(CN13:CN14)</f>
        <v>162565270.41999999</v>
      </c>
      <c r="CO15" s="26">
        <f>SUM(CO13:CO14)</f>
        <v>172656573.75</v>
      </c>
      <c r="CP15" s="23">
        <f t="shared" si="48"/>
        <v>-10091303.330000013</v>
      </c>
      <c r="CQ15" s="76">
        <f t="shared" si="49"/>
        <v>-5.844725810794682E-2</v>
      </c>
      <c r="CR15" s="24">
        <f>SUM(CR13:CR14)</f>
        <v>1050035260</v>
      </c>
      <c r="CS15" s="24">
        <f>SUM(CS13:CS14)</f>
        <v>1026854520.3150001</v>
      </c>
      <c r="CT15" s="23">
        <f t="shared" si="50"/>
        <v>23180739.684999943</v>
      </c>
      <c r="CU15" s="76">
        <f t="shared" si="51"/>
        <v>2.2574511994054358E-2</v>
      </c>
      <c r="CV15" s="24">
        <f>SUM(CV13:CV14)</f>
        <v>2062793962.8150001</v>
      </c>
      <c r="CW15" s="23">
        <f t="shared" si="52"/>
        <v>-1012758702.8150001</v>
      </c>
      <c r="CX15" s="75">
        <f t="shared" si="53"/>
        <v>-0.49096454666414419</v>
      </c>
      <c r="CY15" s="27">
        <f>SUM(CY13:CY14)</f>
        <v>162565270.41999999</v>
      </c>
      <c r="CZ15" s="26">
        <f>SUM(CZ13:CZ14)</f>
        <v>172656573.75</v>
      </c>
      <c r="DA15" s="23">
        <f t="shared" si="54"/>
        <v>-10091303.330000013</v>
      </c>
      <c r="DB15" s="76">
        <f t="shared" si="55"/>
        <v>-5.844725810794682E-2</v>
      </c>
      <c r="DC15" s="24">
        <f>SUM(DC13:DC14)</f>
        <v>1050035260</v>
      </c>
      <c r="DD15" s="24">
        <f>SUM(DD13:DD14)</f>
        <v>1026854520.3150001</v>
      </c>
      <c r="DE15" s="23">
        <f t="shared" si="56"/>
        <v>23180739.684999943</v>
      </c>
      <c r="DF15" s="76">
        <f t="shared" si="57"/>
        <v>2.2574511994054358E-2</v>
      </c>
      <c r="DG15" s="24">
        <f>SUM(DG13:DG14)</f>
        <v>2062793962.8150001</v>
      </c>
      <c r="DH15" s="23">
        <f t="shared" si="58"/>
        <v>-1012758702.8150001</v>
      </c>
      <c r="DI15" s="75">
        <f t="shared" si="59"/>
        <v>-0.49096454666414419</v>
      </c>
    </row>
    <row r="16" spans="1:113" hidden="1" outlineLevel="3" x14ac:dyDescent="0.2">
      <c r="A16" s="54"/>
      <c r="B16" s="57" t="s">
        <v>122</v>
      </c>
      <c r="C16" s="56" t="s">
        <v>121</v>
      </c>
      <c r="D16" s="41">
        <v>44268446.450000003</v>
      </c>
      <c r="E16" s="40">
        <v>41309276.698853597</v>
      </c>
      <c r="F16" s="32">
        <f t="shared" si="0"/>
        <v>2959169.7511464059</v>
      </c>
      <c r="G16" s="78">
        <f t="shared" si="1"/>
        <v>7.1634508943811293E-2</v>
      </c>
      <c r="H16" s="39">
        <v>416503908.48000002</v>
      </c>
      <c r="I16" s="39">
        <v>247877363.72588509</v>
      </c>
      <c r="J16" s="32">
        <f t="shared" si="2"/>
        <v>168626544.75411493</v>
      </c>
      <c r="K16" s="78">
        <f t="shared" si="3"/>
        <v>0.68028214524901265</v>
      </c>
      <c r="L16" s="39">
        <v>495733023.91900676</v>
      </c>
      <c r="M16" s="32">
        <f t="shared" si="4"/>
        <v>-79229115.439006746</v>
      </c>
      <c r="N16" s="77">
        <f t="shared" si="5"/>
        <v>-0.15982214542146633</v>
      </c>
      <c r="O16" s="41">
        <v>44268446.450000003</v>
      </c>
      <c r="P16" s="40">
        <v>41309276.698853597</v>
      </c>
      <c r="Q16" s="32">
        <f t="shared" si="6"/>
        <v>2959169.7511464059</v>
      </c>
      <c r="R16" s="78">
        <f t="shared" si="7"/>
        <v>7.1634508943811293E-2</v>
      </c>
      <c r="S16" s="39">
        <v>416503908.48000002</v>
      </c>
      <c r="T16" s="39">
        <v>247877363.72588509</v>
      </c>
      <c r="U16" s="32">
        <f t="shared" si="8"/>
        <v>168626544.75411493</v>
      </c>
      <c r="V16" s="78">
        <f t="shared" si="9"/>
        <v>0.68028214524901265</v>
      </c>
      <c r="W16" s="39">
        <v>495733023.91900676</v>
      </c>
      <c r="X16" s="32">
        <f t="shared" si="10"/>
        <v>-79229115.439006746</v>
      </c>
      <c r="Y16" s="77">
        <f t="shared" si="11"/>
        <v>-0.15982214542146633</v>
      </c>
      <c r="Z16" s="41">
        <v>44268446.450000003</v>
      </c>
      <c r="AA16" s="40">
        <v>41309276.698853597</v>
      </c>
      <c r="AB16" s="32">
        <f t="shared" si="12"/>
        <v>2959169.7511464059</v>
      </c>
      <c r="AC16" s="78">
        <f t="shared" si="13"/>
        <v>7.1634508943811293E-2</v>
      </c>
      <c r="AD16" s="39">
        <v>416503908.48000002</v>
      </c>
      <c r="AE16" s="39">
        <v>247877363.72588509</v>
      </c>
      <c r="AF16" s="32">
        <f t="shared" si="14"/>
        <v>168626544.75411493</v>
      </c>
      <c r="AG16" s="78">
        <f t="shared" si="15"/>
        <v>0.68028214524901265</v>
      </c>
      <c r="AH16" s="39">
        <v>495733023.91900676</v>
      </c>
      <c r="AI16" s="32">
        <f t="shared" si="16"/>
        <v>-79229115.439006746</v>
      </c>
      <c r="AJ16" s="77">
        <f t="shared" si="17"/>
        <v>-0.15982214542146633</v>
      </c>
      <c r="AK16" s="41">
        <v>44268446.450000003</v>
      </c>
      <c r="AL16" s="40">
        <v>41309276.698853597</v>
      </c>
      <c r="AM16" s="32">
        <f t="shared" si="18"/>
        <v>2959169.7511464059</v>
      </c>
      <c r="AN16" s="78">
        <f t="shared" si="19"/>
        <v>7.1634508943811293E-2</v>
      </c>
      <c r="AO16" s="39">
        <v>416503908.48000002</v>
      </c>
      <c r="AP16" s="39">
        <v>247877363.72588509</v>
      </c>
      <c r="AQ16" s="32">
        <f t="shared" si="20"/>
        <v>168626544.75411493</v>
      </c>
      <c r="AR16" s="78">
        <f t="shared" si="21"/>
        <v>0.68028214524901265</v>
      </c>
      <c r="AS16" s="39">
        <v>495733023.91900676</v>
      </c>
      <c r="AT16" s="32">
        <f t="shared" si="22"/>
        <v>-79229115.439006746</v>
      </c>
      <c r="AU16" s="77">
        <f t="shared" si="23"/>
        <v>-0.15982214542146633</v>
      </c>
      <c r="AV16" s="41">
        <v>44268446.450000003</v>
      </c>
      <c r="AW16" s="40">
        <v>41309276.698853597</v>
      </c>
      <c r="AX16" s="32">
        <f t="shared" si="24"/>
        <v>2959169.7511464059</v>
      </c>
      <c r="AY16" s="78">
        <f t="shared" si="25"/>
        <v>7.1634508943811293E-2</v>
      </c>
      <c r="AZ16" s="39">
        <v>416503908.48000002</v>
      </c>
      <c r="BA16" s="39">
        <v>247877363.72588509</v>
      </c>
      <c r="BB16" s="32">
        <f t="shared" si="26"/>
        <v>168626544.75411493</v>
      </c>
      <c r="BC16" s="78">
        <f t="shared" si="27"/>
        <v>0.68028214524901265</v>
      </c>
      <c r="BD16" s="39">
        <v>495733023.91900676</v>
      </c>
      <c r="BE16" s="32">
        <f t="shared" si="28"/>
        <v>-79229115.439006746</v>
      </c>
      <c r="BF16" s="77">
        <f t="shared" si="29"/>
        <v>-0.15982214542146633</v>
      </c>
      <c r="BG16" s="41">
        <v>44268446.450000003</v>
      </c>
      <c r="BH16" s="40">
        <v>41309276.698853597</v>
      </c>
      <c r="BI16" s="32">
        <f t="shared" si="30"/>
        <v>2959169.7511464059</v>
      </c>
      <c r="BJ16" s="78">
        <f t="shared" si="31"/>
        <v>7.1634508943811293E-2</v>
      </c>
      <c r="BK16" s="39">
        <v>416503908.48000002</v>
      </c>
      <c r="BL16" s="39">
        <v>247877363.72588509</v>
      </c>
      <c r="BM16" s="32">
        <f t="shared" si="32"/>
        <v>168626544.75411493</v>
      </c>
      <c r="BN16" s="78">
        <f t="shared" si="33"/>
        <v>0.68028214524901265</v>
      </c>
      <c r="BO16" s="39">
        <v>495733023.91900676</v>
      </c>
      <c r="BP16" s="32">
        <f t="shared" si="34"/>
        <v>-79229115.439006746</v>
      </c>
      <c r="BQ16" s="77">
        <f t="shared" si="35"/>
        <v>-0.15982214542146633</v>
      </c>
      <c r="BR16" s="41">
        <v>44268446.450000003</v>
      </c>
      <c r="BS16" s="40">
        <v>41309276.698853597</v>
      </c>
      <c r="BT16" s="32">
        <f t="shared" si="36"/>
        <v>2959169.7511464059</v>
      </c>
      <c r="BU16" s="78">
        <f t="shared" si="37"/>
        <v>7.1634508943811293E-2</v>
      </c>
      <c r="BV16" s="39">
        <v>416503908.48000002</v>
      </c>
      <c r="BW16" s="39">
        <v>247877363.72588509</v>
      </c>
      <c r="BX16" s="32">
        <f t="shared" si="38"/>
        <v>168626544.75411493</v>
      </c>
      <c r="BY16" s="78">
        <f t="shared" si="39"/>
        <v>0.68028214524901265</v>
      </c>
      <c r="BZ16" s="39">
        <v>495733023.91900676</v>
      </c>
      <c r="CA16" s="32">
        <f t="shared" si="40"/>
        <v>-79229115.439006746</v>
      </c>
      <c r="CB16" s="77">
        <f t="shared" si="41"/>
        <v>-0.15982214542146633</v>
      </c>
      <c r="CC16" s="41">
        <v>44268446.450000003</v>
      </c>
      <c r="CD16" s="40">
        <v>41309276.698853597</v>
      </c>
      <c r="CE16" s="32">
        <f t="shared" si="42"/>
        <v>2959169.7511464059</v>
      </c>
      <c r="CF16" s="78">
        <f t="shared" si="43"/>
        <v>7.1634508943811293E-2</v>
      </c>
      <c r="CG16" s="39">
        <v>416503908.48000002</v>
      </c>
      <c r="CH16" s="39">
        <v>247877363.72588509</v>
      </c>
      <c r="CI16" s="32">
        <f t="shared" si="44"/>
        <v>168626544.75411493</v>
      </c>
      <c r="CJ16" s="78">
        <f t="shared" si="45"/>
        <v>0.68028214524901265</v>
      </c>
      <c r="CK16" s="39">
        <v>495733023.91900676</v>
      </c>
      <c r="CL16" s="32">
        <f t="shared" si="46"/>
        <v>-79229115.439006746</v>
      </c>
      <c r="CM16" s="77">
        <f t="shared" si="47"/>
        <v>-0.15982214542146633</v>
      </c>
      <c r="CN16" s="41">
        <v>44268446.450000003</v>
      </c>
      <c r="CO16" s="40">
        <v>41309276.698853597</v>
      </c>
      <c r="CP16" s="32">
        <f t="shared" si="48"/>
        <v>2959169.7511464059</v>
      </c>
      <c r="CQ16" s="78">
        <f t="shared" si="49"/>
        <v>7.1634508943811293E-2</v>
      </c>
      <c r="CR16" s="39">
        <v>416503908.48000002</v>
      </c>
      <c r="CS16" s="39">
        <v>247877363.72588509</v>
      </c>
      <c r="CT16" s="32">
        <f t="shared" si="50"/>
        <v>168626544.75411493</v>
      </c>
      <c r="CU16" s="78">
        <f t="shared" si="51"/>
        <v>0.68028214524901265</v>
      </c>
      <c r="CV16" s="39">
        <v>495733023.91900676</v>
      </c>
      <c r="CW16" s="32">
        <f t="shared" si="52"/>
        <v>-79229115.439006746</v>
      </c>
      <c r="CX16" s="77">
        <f t="shared" si="53"/>
        <v>-0.15982214542146633</v>
      </c>
      <c r="CY16" s="41">
        <v>44268446.450000003</v>
      </c>
      <c r="CZ16" s="40">
        <v>41309276.698853597</v>
      </c>
      <c r="DA16" s="32">
        <f t="shared" si="54"/>
        <v>2959169.7511464059</v>
      </c>
      <c r="DB16" s="78">
        <f t="shared" si="55"/>
        <v>7.1634508943811293E-2</v>
      </c>
      <c r="DC16" s="39">
        <v>416503908.48000002</v>
      </c>
      <c r="DD16" s="39">
        <v>247877363.72588509</v>
      </c>
      <c r="DE16" s="32">
        <f t="shared" si="56"/>
        <v>168626544.75411493</v>
      </c>
      <c r="DF16" s="78">
        <f t="shared" si="57"/>
        <v>0.68028214524901265</v>
      </c>
      <c r="DG16" s="39">
        <v>495733023.91900676</v>
      </c>
      <c r="DH16" s="32">
        <f t="shared" si="58"/>
        <v>-79229115.439006746</v>
      </c>
      <c r="DI16" s="77">
        <f t="shared" si="59"/>
        <v>-0.15982214542146633</v>
      </c>
    </row>
    <row r="17" spans="1:113" hidden="1" outlineLevel="3" x14ac:dyDescent="0.2">
      <c r="A17" s="54"/>
      <c r="B17" s="38" t="s">
        <v>120</v>
      </c>
      <c r="C17" s="56" t="s">
        <v>119</v>
      </c>
      <c r="D17" s="41">
        <v>6226136.4199999999</v>
      </c>
      <c r="E17" s="40">
        <v>7642216.1892879102</v>
      </c>
      <c r="F17" s="32">
        <f t="shared" si="0"/>
        <v>-1416079.7692879103</v>
      </c>
      <c r="G17" s="78">
        <f t="shared" si="1"/>
        <v>-0.18529700471871347</v>
      </c>
      <c r="H17" s="39">
        <v>69999585.459999993</v>
      </c>
      <c r="I17" s="39">
        <v>45857312.289288707</v>
      </c>
      <c r="J17" s="32">
        <f t="shared" si="2"/>
        <v>24142273.170711286</v>
      </c>
      <c r="K17" s="78">
        <f t="shared" si="3"/>
        <v>0.5264650710100689</v>
      </c>
      <c r="L17" s="39">
        <v>91710609.42501618</v>
      </c>
      <c r="M17" s="32">
        <f t="shared" si="4"/>
        <v>-21711023.965016186</v>
      </c>
      <c r="N17" s="77">
        <f t="shared" si="5"/>
        <v>-0.23673404964959271</v>
      </c>
      <c r="O17" s="41">
        <v>6226136.4199999999</v>
      </c>
      <c r="P17" s="40">
        <v>7642216.1892879102</v>
      </c>
      <c r="Q17" s="32">
        <f t="shared" si="6"/>
        <v>-1416079.7692879103</v>
      </c>
      <c r="R17" s="78">
        <f t="shared" si="7"/>
        <v>-0.18529700471871347</v>
      </c>
      <c r="S17" s="39">
        <v>69999585.459999993</v>
      </c>
      <c r="T17" s="39">
        <v>45857312.289288707</v>
      </c>
      <c r="U17" s="32">
        <f t="shared" si="8"/>
        <v>24142273.170711286</v>
      </c>
      <c r="V17" s="78">
        <f t="shared" si="9"/>
        <v>0.5264650710100689</v>
      </c>
      <c r="W17" s="39">
        <v>91710609.42501618</v>
      </c>
      <c r="X17" s="32">
        <f t="shared" si="10"/>
        <v>-21711023.965016186</v>
      </c>
      <c r="Y17" s="77">
        <f t="shared" si="11"/>
        <v>-0.23673404964959271</v>
      </c>
      <c r="Z17" s="41">
        <v>6226136.4199999999</v>
      </c>
      <c r="AA17" s="40">
        <v>7642216.1892879102</v>
      </c>
      <c r="AB17" s="32">
        <f t="shared" si="12"/>
        <v>-1416079.7692879103</v>
      </c>
      <c r="AC17" s="78">
        <f t="shared" si="13"/>
        <v>-0.18529700471871347</v>
      </c>
      <c r="AD17" s="39">
        <v>69999585.459999993</v>
      </c>
      <c r="AE17" s="39">
        <v>45857312.289288707</v>
      </c>
      <c r="AF17" s="32">
        <f t="shared" si="14"/>
        <v>24142273.170711286</v>
      </c>
      <c r="AG17" s="78">
        <f t="shared" si="15"/>
        <v>0.5264650710100689</v>
      </c>
      <c r="AH17" s="39">
        <v>91710609.42501618</v>
      </c>
      <c r="AI17" s="32">
        <f t="shared" si="16"/>
        <v>-21711023.965016186</v>
      </c>
      <c r="AJ17" s="77">
        <f t="shared" si="17"/>
        <v>-0.23673404964959271</v>
      </c>
      <c r="AK17" s="41">
        <v>6226136.4199999999</v>
      </c>
      <c r="AL17" s="40">
        <v>7642216.1892879102</v>
      </c>
      <c r="AM17" s="32">
        <f t="shared" si="18"/>
        <v>-1416079.7692879103</v>
      </c>
      <c r="AN17" s="78">
        <f t="shared" si="19"/>
        <v>-0.18529700471871347</v>
      </c>
      <c r="AO17" s="39">
        <v>69999585.459999993</v>
      </c>
      <c r="AP17" s="39">
        <v>45857312.289288707</v>
      </c>
      <c r="AQ17" s="32">
        <f t="shared" si="20"/>
        <v>24142273.170711286</v>
      </c>
      <c r="AR17" s="78">
        <f t="shared" si="21"/>
        <v>0.5264650710100689</v>
      </c>
      <c r="AS17" s="39">
        <v>91710609.42501618</v>
      </c>
      <c r="AT17" s="32">
        <f t="shared" si="22"/>
        <v>-21711023.965016186</v>
      </c>
      <c r="AU17" s="77">
        <f t="shared" si="23"/>
        <v>-0.23673404964959271</v>
      </c>
      <c r="AV17" s="41">
        <v>6226136.4199999999</v>
      </c>
      <c r="AW17" s="40">
        <v>7642216.1892879102</v>
      </c>
      <c r="AX17" s="32">
        <f t="shared" si="24"/>
        <v>-1416079.7692879103</v>
      </c>
      <c r="AY17" s="78">
        <f t="shared" si="25"/>
        <v>-0.18529700471871347</v>
      </c>
      <c r="AZ17" s="39">
        <v>69999585.459999993</v>
      </c>
      <c r="BA17" s="39">
        <v>45857312.289288707</v>
      </c>
      <c r="BB17" s="32">
        <f t="shared" si="26"/>
        <v>24142273.170711286</v>
      </c>
      <c r="BC17" s="78">
        <f t="shared" si="27"/>
        <v>0.5264650710100689</v>
      </c>
      <c r="BD17" s="39">
        <v>91710609.42501618</v>
      </c>
      <c r="BE17" s="32">
        <f t="shared" si="28"/>
        <v>-21711023.965016186</v>
      </c>
      <c r="BF17" s="77">
        <f t="shared" si="29"/>
        <v>-0.23673404964959271</v>
      </c>
      <c r="BG17" s="41">
        <v>6226136.4199999999</v>
      </c>
      <c r="BH17" s="40">
        <v>7642216.1892879102</v>
      </c>
      <c r="BI17" s="32">
        <f t="shared" si="30"/>
        <v>-1416079.7692879103</v>
      </c>
      <c r="BJ17" s="78">
        <f t="shared" si="31"/>
        <v>-0.18529700471871347</v>
      </c>
      <c r="BK17" s="39">
        <v>69999585.459999993</v>
      </c>
      <c r="BL17" s="39">
        <v>45857312.289288707</v>
      </c>
      <c r="BM17" s="32">
        <f t="shared" si="32"/>
        <v>24142273.170711286</v>
      </c>
      <c r="BN17" s="78">
        <f t="shared" si="33"/>
        <v>0.5264650710100689</v>
      </c>
      <c r="BO17" s="39">
        <v>91710609.42501618</v>
      </c>
      <c r="BP17" s="32">
        <f t="shared" si="34"/>
        <v>-21711023.965016186</v>
      </c>
      <c r="BQ17" s="77">
        <f t="shared" si="35"/>
        <v>-0.23673404964959271</v>
      </c>
      <c r="BR17" s="41">
        <v>6226136.4199999999</v>
      </c>
      <c r="BS17" s="40">
        <v>7642216.1892879102</v>
      </c>
      <c r="BT17" s="32">
        <f t="shared" si="36"/>
        <v>-1416079.7692879103</v>
      </c>
      <c r="BU17" s="78">
        <f t="shared" si="37"/>
        <v>-0.18529700471871347</v>
      </c>
      <c r="BV17" s="39">
        <v>69999585.459999993</v>
      </c>
      <c r="BW17" s="39">
        <v>45857312.289288707</v>
      </c>
      <c r="BX17" s="32">
        <f t="shared" si="38"/>
        <v>24142273.170711286</v>
      </c>
      <c r="BY17" s="78">
        <f t="shared" si="39"/>
        <v>0.5264650710100689</v>
      </c>
      <c r="BZ17" s="39">
        <v>91710609.42501618</v>
      </c>
      <c r="CA17" s="32">
        <f t="shared" si="40"/>
        <v>-21711023.965016186</v>
      </c>
      <c r="CB17" s="77">
        <f t="shared" si="41"/>
        <v>-0.23673404964959271</v>
      </c>
      <c r="CC17" s="41">
        <v>6226136.4199999999</v>
      </c>
      <c r="CD17" s="40">
        <v>7642216.1892879102</v>
      </c>
      <c r="CE17" s="32">
        <f t="shared" si="42"/>
        <v>-1416079.7692879103</v>
      </c>
      <c r="CF17" s="78">
        <f t="shared" si="43"/>
        <v>-0.18529700471871347</v>
      </c>
      <c r="CG17" s="39">
        <v>69999585.459999993</v>
      </c>
      <c r="CH17" s="39">
        <v>45857312.289288707</v>
      </c>
      <c r="CI17" s="32">
        <f t="shared" si="44"/>
        <v>24142273.170711286</v>
      </c>
      <c r="CJ17" s="78">
        <f t="shared" si="45"/>
        <v>0.5264650710100689</v>
      </c>
      <c r="CK17" s="39">
        <v>91710609.42501618</v>
      </c>
      <c r="CL17" s="32">
        <f t="shared" si="46"/>
        <v>-21711023.965016186</v>
      </c>
      <c r="CM17" s="77">
        <f t="shared" si="47"/>
        <v>-0.23673404964959271</v>
      </c>
      <c r="CN17" s="41">
        <v>6226136.4199999999</v>
      </c>
      <c r="CO17" s="40">
        <v>7642216.1892879102</v>
      </c>
      <c r="CP17" s="32">
        <f t="shared" si="48"/>
        <v>-1416079.7692879103</v>
      </c>
      <c r="CQ17" s="78">
        <f t="shared" si="49"/>
        <v>-0.18529700471871347</v>
      </c>
      <c r="CR17" s="39">
        <v>69999585.459999993</v>
      </c>
      <c r="CS17" s="39">
        <v>45857312.289288707</v>
      </c>
      <c r="CT17" s="32">
        <f t="shared" si="50"/>
        <v>24142273.170711286</v>
      </c>
      <c r="CU17" s="78">
        <f t="shared" si="51"/>
        <v>0.5264650710100689</v>
      </c>
      <c r="CV17" s="39">
        <v>91710609.42501618</v>
      </c>
      <c r="CW17" s="32">
        <f t="shared" si="52"/>
        <v>-21711023.965016186</v>
      </c>
      <c r="CX17" s="77">
        <f t="shared" si="53"/>
        <v>-0.23673404964959271</v>
      </c>
      <c r="CY17" s="41">
        <v>6226136.4199999999</v>
      </c>
      <c r="CZ17" s="40">
        <v>7642216.1892879102</v>
      </c>
      <c r="DA17" s="32">
        <f t="shared" si="54"/>
        <v>-1416079.7692879103</v>
      </c>
      <c r="DB17" s="78">
        <f t="shared" si="55"/>
        <v>-0.18529700471871347</v>
      </c>
      <c r="DC17" s="39">
        <v>69999585.459999993</v>
      </c>
      <c r="DD17" s="39">
        <v>45857312.289288707</v>
      </c>
      <c r="DE17" s="32">
        <f t="shared" si="56"/>
        <v>24142273.170711286</v>
      </c>
      <c r="DF17" s="78">
        <f t="shared" si="57"/>
        <v>0.5264650710100689</v>
      </c>
      <c r="DG17" s="39">
        <v>91710609.42501618</v>
      </c>
      <c r="DH17" s="32">
        <f t="shared" si="58"/>
        <v>-21711023.965016186</v>
      </c>
      <c r="DI17" s="77">
        <f t="shared" si="59"/>
        <v>-0.23673404964959271</v>
      </c>
    </row>
    <row r="18" spans="1:113" s="6" customFormat="1" hidden="1" outlineLevel="2" collapsed="1" x14ac:dyDescent="0.2">
      <c r="A18" s="30"/>
      <c r="B18" s="29" t="s">
        <v>118</v>
      </c>
      <c r="C18" s="52" t="s">
        <v>117</v>
      </c>
      <c r="D18" s="27">
        <f>SUM(D16:D17)</f>
        <v>50494582.870000005</v>
      </c>
      <c r="E18" s="26">
        <f>SUM(E16:E17)</f>
        <v>48951492.888141505</v>
      </c>
      <c r="F18" s="23">
        <f t="shared" si="0"/>
        <v>1543089.9818584993</v>
      </c>
      <c r="G18" s="76">
        <f t="shared" si="1"/>
        <v>3.1522838034472089E-2</v>
      </c>
      <c r="H18" s="24">
        <f>SUM(H16:H17)</f>
        <v>486503493.94</v>
      </c>
      <c r="I18" s="24">
        <f>SUM(I16:I17)</f>
        <v>293734676.01517379</v>
      </c>
      <c r="J18" s="23">
        <f t="shared" si="2"/>
        <v>192768817.9248262</v>
      </c>
      <c r="K18" s="76">
        <f t="shared" si="3"/>
        <v>0.6562685091863929</v>
      </c>
      <c r="L18" s="24">
        <f>SUM(L16:L17)</f>
        <v>587443633.34402299</v>
      </c>
      <c r="M18" s="23">
        <f t="shared" si="4"/>
        <v>-100940139.40402299</v>
      </c>
      <c r="N18" s="75">
        <f t="shared" si="5"/>
        <v>-0.17182948911952833</v>
      </c>
      <c r="O18" s="27">
        <f>SUM(O16:O17)</f>
        <v>50494582.870000005</v>
      </c>
      <c r="P18" s="26">
        <f>SUM(P16:P17)</f>
        <v>48951492.888141505</v>
      </c>
      <c r="Q18" s="23">
        <f t="shared" si="6"/>
        <v>1543089.9818584993</v>
      </c>
      <c r="R18" s="76">
        <f t="shared" si="7"/>
        <v>3.1522838034472089E-2</v>
      </c>
      <c r="S18" s="24">
        <f>SUM(S16:S17)</f>
        <v>486503493.94</v>
      </c>
      <c r="T18" s="24">
        <f>SUM(T16:T17)</f>
        <v>293734676.01517379</v>
      </c>
      <c r="U18" s="23">
        <f t="shared" si="8"/>
        <v>192768817.9248262</v>
      </c>
      <c r="V18" s="76">
        <f t="shared" si="9"/>
        <v>0.6562685091863929</v>
      </c>
      <c r="W18" s="24">
        <f>SUM(W16:W17)</f>
        <v>587443633.34402299</v>
      </c>
      <c r="X18" s="23">
        <f t="shared" si="10"/>
        <v>-100940139.40402299</v>
      </c>
      <c r="Y18" s="75">
        <f t="shared" si="11"/>
        <v>-0.17182948911952833</v>
      </c>
      <c r="Z18" s="27">
        <f>SUM(Z16:Z17)</f>
        <v>50494582.870000005</v>
      </c>
      <c r="AA18" s="26">
        <f>SUM(AA16:AA17)</f>
        <v>48951492.888141505</v>
      </c>
      <c r="AB18" s="23">
        <f t="shared" si="12"/>
        <v>1543089.9818584993</v>
      </c>
      <c r="AC18" s="76">
        <f t="shared" si="13"/>
        <v>3.1522838034472089E-2</v>
      </c>
      <c r="AD18" s="24">
        <f>SUM(AD16:AD17)</f>
        <v>486503493.94</v>
      </c>
      <c r="AE18" s="24">
        <f>SUM(AE16:AE17)</f>
        <v>293734676.01517379</v>
      </c>
      <c r="AF18" s="23">
        <f t="shared" si="14"/>
        <v>192768817.9248262</v>
      </c>
      <c r="AG18" s="76">
        <f t="shared" si="15"/>
        <v>0.6562685091863929</v>
      </c>
      <c r="AH18" s="24">
        <f>SUM(AH16:AH17)</f>
        <v>587443633.34402299</v>
      </c>
      <c r="AI18" s="23">
        <f t="shared" si="16"/>
        <v>-100940139.40402299</v>
      </c>
      <c r="AJ18" s="75">
        <f t="shared" si="17"/>
        <v>-0.17182948911952833</v>
      </c>
      <c r="AK18" s="27">
        <f>SUM(AK16:AK17)</f>
        <v>50494582.870000005</v>
      </c>
      <c r="AL18" s="26">
        <f>SUM(AL16:AL17)</f>
        <v>48951492.888141505</v>
      </c>
      <c r="AM18" s="23">
        <f t="shared" si="18"/>
        <v>1543089.9818584993</v>
      </c>
      <c r="AN18" s="76">
        <f t="shared" si="19"/>
        <v>3.1522838034472089E-2</v>
      </c>
      <c r="AO18" s="24">
        <f>SUM(AO16:AO17)</f>
        <v>486503493.94</v>
      </c>
      <c r="AP18" s="24">
        <f>SUM(AP16:AP17)</f>
        <v>293734676.01517379</v>
      </c>
      <c r="AQ18" s="23">
        <f t="shared" si="20"/>
        <v>192768817.9248262</v>
      </c>
      <c r="AR18" s="76">
        <f t="shared" si="21"/>
        <v>0.6562685091863929</v>
      </c>
      <c r="AS18" s="24">
        <f>SUM(AS16:AS17)</f>
        <v>587443633.34402299</v>
      </c>
      <c r="AT18" s="23">
        <f t="shared" si="22"/>
        <v>-100940139.40402299</v>
      </c>
      <c r="AU18" s="75">
        <f t="shared" si="23"/>
        <v>-0.17182948911952833</v>
      </c>
      <c r="AV18" s="27">
        <f>SUM(AV16:AV17)</f>
        <v>50494582.870000005</v>
      </c>
      <c r="AW18" s="26">
        <f>SUM(AW16:AW17)</f>
        <v>48951492.888141505</v>
      </c>
      <c r="AX18" s="23">
        <f t="shared" si="24"/>
        <v>1543089.9818584993</v>
      </c>
      <c r="AY18" s="76">
        <f t="shared" si="25"/>
        <v>3.1522838034472089E-2</v>
      </c>
      <c r="AZ18" s="24">
        <f>SUM(AZ16:AZ17)</f>
        <v>486503493.94</v>
      </c>
      <c r="BA18" s="24">
        <f>SUM(BA16:BA17)</f>
        <v>293734676.01517379</v>
      </c>
      <c r="BB18" s="23">
        <f t="shared" si="26"/>
        <v>192768817.9248262</v>
      </c>
      <c r="BC18" s="76">
        <f t="shared" si="27"/>
        <v>0.6562685091863929</v>
      </c>
      <c r="BD18" s="24">
        <f>SUM(BD16:BD17)</f>
        <v>587443633.34402299</v>
      </c>
      <c r="BE18" s="23">
        <f t="shared" si="28"/>
        <v>-100940139.40402299</v>
      </c>
      <c r="BF18" s="75">
        <f t="shared" si="29"/>
        <v>-0.17182948911952833</v>
      </c>
      <c r="BG18" s="27">
        <f>SUM(BG16:BG17)</f>
        <v>50494582.870000005</v>
      </c>
      <c r="BH18" s="26">
        <f>SUM(BH16:BH17)</f>
        <v>48951492.888141505</v>
      </c>
      <c r="BI18" s="23">
        <f t="shared" si="30"/>
        <v>1543089.9818584993</v>
      </c>
      <c r="BJ18" s="76">
        <f t="shared" si="31"/>
        <v>3.1522838034472089E-2</v>
      </c>
      <c r="BK18" s="24">
        <f>SUM(BK16:BK17)</f>
        <v>486503493.94</v>
      </c>
      <c r="BL18" s="24">
        <f>SUM(BL16:BL17)</f>
        <v>293734676.01517379</v>
      </c>
      <c r="BM18" s="23">
        <f t="shared" si="32"/>
        <v>192768817.9248262</v>
      </c>
      <c r="BN18" s="76">
        <f t="shared" si="33"/>
        <v>0.6562685091863929</v>
      </c>
      <c r="BO18" s="24">
        <f>SUM(BO16:BO17)</f>
        <v>587443633.34402299</v>
      </c>
      <c r="BP18" s="23">
        <f t="shared" si="34"/>
        <v>-100940139.40402299</v>
      </c>
      <c r="BQ18" s="75">
        <f t="shared" si="35"/>
        <v>-0.17182948911952833</v>
      </c>
      <c r="BR18" s="27">
        <f>SUM(BR16:BR17)</f>
        <v>50494582.870000005</v>
      </c>
      <c r="BS18" s="26">
        <f>SUM(BS16:BS17)</f>
        <v>48951492.888141505</v>
      </c>
      <c r="BT18" s="23">
        <f t="shared" si="36"/>
        <v>1543089.9818584993</v>
      </c>
      <c r="BU18" s="76">
        <f t="shared" si="37"/>
        <v>3.1522838034472089E-2</v>
      </c>
      <c r="BV18" s="24">
        <f>SUM(BV16:BV17)</f>
        <v>486503493.94</v>
      </c>
      <c r="BW18" s="24">
        <f>SUM(BW16:BW17)</f>
        <v>293734676.01517379</v>
      </c>
      <c r="BX18" s="23">
        <f t="shared" si="38"/>
        <v>192768817.9248262</v>
      </c>
      <c r="BY18" s="76">
        <f t="shared" si="39"/>
        <v>0.6562685091863929</v>
      </c>
      <c r="BZ18" s="24">
        <f>SUM(BZ16:BZ17)</f>
        <v>587443633.34402299</v>
      </c>
      <c r="CA18" s="23">
        <f t="shared" si="40"/>
        <v>-100940139.40402299</v>
      </c>
      <c r="CB18" s="75">
        <f t="shared" si="41"/>
        <v>-0.17182948911952833</v>
      </c>
      <c r="CC18" s="27">
        <f>SUM(CC16:CC17)</f>
        <v>50494582.870000005</v>
      </c>
      <c r="CD18" s="26">
        <f>SUM(CD16:CD17)</f>
        <v>48951492.888141505</v>
      </c>
      <c r="CE18" s="23">
        <f t="shared" si="42"/>
        <v>1543089.9818584993</v>
      </c>
      <c r="CF18" s="76">
        <f t="shared" si="43"/>
        <v>3.1522838034472089E-2</v>
      </c>
      <c r="CG18" s="24">
        <f>SUM(CG16:CG17)</f>
        <v>486503493.94</v>
      </c>
      <c r="CH18" s="24">
        <f>SUM(CH16:CH17)</f>
        <v>293734676.01517379</v>
      </c>
      <c r="CI18" s="23">
        <f t="shared" si="44"/>
        <v>192768817.9248262</v>
      </c>
      <c r="CJ18" s="76">
        <f t="shared" si="45"/>
        <v>0.6562685091863929</v>
      </c>
      <c r="CK18" s="24">
        <f>SUM(CK16:CK17)</f>
        <v>587443633.34402299</v>
      </c>
      <c r="CL18" s="23">
        <f t="shared" si="46"/>
        <v>-100940139.40402299</v>
      </c>
      <c r="CM18" s="75">
        <f t="shared" si="47"/>
        <v>-0.17182948911952833</v>
      </c>
      <c r="CN18" s="27">
        <f>SUM(CN16:CN17)</f>
        <v>50494582.870000005</v>
      </c>
      <c r="CO18" s="26">
        <f>SUM(CO16:CO17)</f>
        <v>48951492.888141505</v>
      </c>
      <c r="CP18" s="23">
        <f t="shared" si="48"/>
        <v>1543089.9818584993</v>
      </c>
      <c r="CQ18" s="76">
        <f t="shared" si="49"/>
        <v>3.1522838034472089E-2</v>
      </c>
      <c r="CR18" s="24">
        <f>SUM(CR16:CR17)</f>
        <v>486503493.94</v>
      </c>
      <c r="CS18" s="24">
        <f>SUM(CS16:CS17)</f>
        <v>293734676.01517379</v>
      </c>
      <c r="CT18" s="23">
        <f t="shared" si="50"/>
        <v>192768817.9248262</v>
      </c>
      <c r="CU18" s="76">
        <f t="shared" si="51"/>
        <v>0.6562685091863929</v>
      </c>
      <c r="CV18" s="24">
        <f>SUM(CV16:CV17)</f>
        <v>587443633.34402299</v>
      </c>
      <c r="CW18" s="23">
        <f t="shared" si="52"/>
        <v>-100940139.40402299</v>
      </c>
      <c r="CX18" s="75">
        <f t="shared" si="53"/>
        <v>-0.17182948911952833</v>
      </c>
      <c r="CY18" s="27">
        <f>SUM(CY16:CY17)</f>
        <v>50494582.870000005</v>
      </c>
      <c r="CZ18" s="26">
        <f>SUM(CZ16:CZ17)</f>
        <v>48951492.888141505</v>
      </c>
      <c r="DA18" s="23">
        <f t="shared" si="54"/>
        <v>1543089.9818584993</v>
      </c>
      <c r="DB18" s="76">
        <f t="shared" si="55"/>
        <v>3.1522838034472089E-2</v>
      </c>
      <c r="DC18" s="24">
        <f>SUM(DC16:DC17)</f>
        <v>486503493.94</v>
      </c>
      <c r="DD18" s="24">
        <f>SUM(DD16:DD17)</f>
        <v>293734676.01517379</v>
      </c>
      <c r="DE18" s="23">
        <f t="shared" si="56"/>
        <v>192768817.9248262</v>
      </c>
      <c r="DF18" s="76">
        <f t="shared" si="57"/>
        <v>0.6562685091863929</v>
      </c>
      <c r="DG18" s="24">
        <f>SUM(DG16:DG17)</f>
        <v>587443633.34402299</v>
      </c>
      <c r="DH18" s="23">
        <f t="shared" si="58"/>
        <v>-100940139.40402299</v>
      </c>
      <c r="DI18" s="75">
        <f t="shared" si="59"/>
        <v>-0.17182948911952833</v>
      </c>
    </row>
    <row r="19" spans="1:113" hidden="1" outlineLevel="3" x14ac:dyDescent="0.2">
      <c r="A19" s="54"/>
      <c r="B19" s="38" t="s">
        <v>116</v>
      </c>
      <c r="C19" s="49" t="s">
        <v>115</v>
      </c>
      <c r="D19" s="41">
        <v>502299.88</v>
      </c>
      <c r="E19" s="40">
        <v>0</v>
      </c>
      <c r="F19" s="32">
        <f t="shared" si="0"/>
        <v>502299.88</v>
      </c>
      <c r="G19" s="78" t="str">
        <f t="shared" si="1"/>
        <v>-</v>
      </c>
      <c r="H19" s="39">
        <v>2428673.09</v>
      </c>
      <c r="I19" s="39">
        <v>0</v>
      </c>
      <c r="J19" s="32">
        <f t="shared" si="2"/>
        <v>2428673.09</v>
      </c>
      <c r="K19" s="78" t="str">
        <f t="shared" si="3"/>
        <v>-</v>
      </c>
      <c r="L19" s="39">
        <v>0</v>
      </c>
      <c r="M19" s="32">
        <f t="shared" si="4"/>
        <v>2428673.09</v>
      </c>
      <c r="N19" s="77" t="str">
        <f t="shared" si="5"/>
        <v>-</v>
      </c>
      <c r="O19" s="41">
        <v>502299.88</v>
      </c>
      <c r="P19" s="40">
        <v>0</v>
      </c>
      <c r="Q19" s="32">
        <f t="shared" si="6"/>
        <v>502299.88</v>
      </c>
      <c r="R19" s="78" t="str">
        <f t="shared" si="7"/>
        <v>-</v>
      </c>
      <c r="S19" s="39">
        <v>2428673.09</v>
      </c>
      <c r="T19" s="39">
        <v>0</v>
      </c>
      <c r="U19" s="32">
        <f t="shared" si="8"/>
        <v>2428673.09</v>
      </c>
      <c r="V19" s="78" t="str">
        <f t="shared" si="9"/>
        <v>-</v>
      </c>
      <c r="W19" s="39">
        <v>0</v>
      </c>
      <c r="X19" s="32">
        <f t="shared" si="10"/>
        <v>2428673.09</v>
      </c>
      <c r="Y19" s="77" t="str">
        <f t="shared" si="11"/>
        <v>-</v>
      </c>
      <c r="Z19" s="41">
        <v>502299.88</v>
      </c>
      <c r="AA19" s="40">
        <v>0</v>
      </c>
      <c r="AB19" s="32">
        <f t="shared" si="12"/>
        <v>502299.88</v>
      </c>
      <c r="AC19" s="78" t="str">
        <f t="shared" si="13"/>
        <v>-</v>
      </c>
      <c r="AD19" s="39">
        <v>2428673.09</v>
      </c>
      <c r="AE19" s="39">
        <v>0</v>
      </c>
      <c r="AF19" s="32">
        <f t="shared" si="14"/>
        <v>2428673.09</v>
      </c>
      <c r="AG19" s="78" t="str">
        <f t="shared" si="15"/>
        <v>-</v>
      </c>
      <c r="AH19" s="39">
        <v>0</v>
      </c>
      <c r="AI19" s="32">
        <f t="shared" si="16"/>
        <v>2428673.09</v>
      </c>
      <c r="AJ19" s="77" t="str">
        <f t="shared" si="17"/>
        <v>-</v>
      </c>
      <c r="AK19" s="41">
        <v>502299.88</v>
      </c>
      <c r="AL19" s="40">
        <v>0</v>
      </c>
      <c r="AM19" s="32">
        <f t="shared" si="18"/>
        <v>502299.88</v>
      </c>
      <c r="AN19" s="78" t="str">
        <f t="shared" si="19"/>
        <v>-</v>
      </c>
      <c r="AO19" s="39">
        <v>2428673.09</v>
      </c>
      <c r="AP19" s="39">
        <v>0</v>
      </c>
      <c r="AQ19" s="32">
        <f t="shared" si="20"/>
        <v>2428673.09</v>
      </c>
      <c r="AR19" s="78" t="str">
        <f t="shared" si="21"/>
        <v>-</v>
      </c>
      <c r="AS19" s="39">
        <v>0</v>
      </c>
      <c r="AT19" s="32">
        <f t="shared" si="22"/>
        <v>2428673.09</v>
      </c>
      <c r="AU19" s="77" t="str">
        <f t="shared" si="23"/>
        <v>-</v>
      </c>
      <c r="AV19" s="41">
        <v>502299.88</v>
      </c>
      <c r="AW19" s="40">
        <v>0</v>
      </c>
      <c r="AX19" s="32">
        <f t="shared" si="24"/>
        <v>502299.88</v>
      </c>
      <c r="AY19" s="78" t="str">
        <f t="shared" si="25"/>
        <v>-</v>
      </c>
      <c r="AZ19" s="39">
        <v>2428673.09</v>
      </c>
      <c r="BA19" s="39">
        <v>0</v>
      </c>
      <c r="BB19" s="32">
        <f t="shared" si="26"/>
        <v>2428673.09</v>
      </c>
      <c r="BC19" s="78" t="str">
        <f t="shared" si="27"/>
        <v>-</v>
      </c>
      <c r="BD19" s="39">
        <v>0</v>
      </c>
      <c r="BE19" s="32">
        <f t="shared" si="28"/>
        <v>2428673.09</v>
      </c>
      <c r="BF19" s="77" t="str">
        <f t="shared" si="29"/>
        <v>-</v>
      </c>
      <c r="BG19" s="41">
        <v>502299.88</v>
      </c>
      <c r="BH19" s="40">
        <v>0</v>
      </c>
      <c r="BI19" s="32">
        <f t="shared" si="30"/>
        <v>502299.88</v>
      </c>
      <c r="BJ19" s="78" t="str">
        <f t="shared" si="31"/>
        <v>-</v>
      </c>
      <c r="BK19" s="39">
        <v>2428673.09</v>
      </c>
      <c r="BL19" s="39">
        <v>0</v>
      </c>
      <c r="BM19" s="32">
        <f t="shared" si="32"/>
        <v>2428673.09</v>
      </c>
      <c r="BN19" s="78" t="str">
        <f t="shared" si="33"/>
        <v>-</v>
      </c>
      <c r="BO19" s="39">
        <v>0</v>
      </c>
      <c r="BP19" s="32">
        <f t="shared" si="34"/>
        <v>2428673.09</v>
      </c>
      <c r="BQ19" s="77" t="str">
        <f t="shared" si="35"/>
        <v>-</v>
      </c>
      <c r="BR19" s="41">
        <v>502299.88</v>
      </c>
      <c r="BS19" s="40">
        <v>0</v>
      </c>
      <c r="BT19" s="32">
        <f t="shared" si="36"/>
        <v>502299.88</v>
      </c>
      <c r="BU19" s="78" t="str">
        <f t="shared" si="37"/>
        <v>-</v>
      </c>
      <c r="BV19" s="39">
        <v>2428673.09</v>
      </c>
      <c r="BW19" s="39">
        <v>0</v>
      </c>
      <c r="BX19" s="32">
        <f t="shared" si="38"/>
        <v>2428673.09</v>
      </c>
      <c r="BY19" s="78" t="str">
        <f t="shared" si="39"/>
        <v>-</v>
      </c>
      <c r="BZ19" s="39">
        <v>0</v>
      </c>
      <c r="CA19" s="32">
        <f t="shared" si="40"/>
        <v>2428673.09</v>
      </c>
      <c r="CB19" s="77" t="str">
        <f t="shared" si="41"/>
        <v>-</v>
      </c>
      <c r="CC19" s="41">
        <v>502299.88</v>
      </c>
      <c r="CD19" s="40">
        <v>0</v>
      </c>
      <c r="CE19" s="32">
        <f t="shared" si="42"/>
        <v>502299.88</v>
      </c>
      <c r="CF19" s="78" t="str">
        <f t="shared" si="43"/>
        <v>-</v>
      </c>
      <c r="CG19" s="39">
        <v>2428673.09</v>
      </c>
      <c r="CH19" s="39">
        <v>0</v>
      </c>
      <c r="CI19" s="32">
        <f t="shared" si="44"/>
        <v>2428673.09</v>
      </c>
      <c r="CJ19" s="78" t="str">
        <f t="shared" si="45"/>
        <v>-</v>
      </c>
      <c r="CK19" s="39">
        <v>0</v>
      </c>
      <c r="CL19" s="32">
        <f t="shared" si="46"/>
        <v>2428673.09</v>
      </c>
      <c r="CM19" s="77" t="str">
        <f t="shared" si="47"/>
        <v>-</v>
      </c>
      <c r="CN19" s="41">
        <v>502299.88</v>
      </c>
      <c r="CO19" s="40">
        <v>0</v>
      </c>
      <c r="CP19" s="32">
        <f t="shared" si="48"/>
        <v>502299.88</v>
      </c>
      <c r="CQ19" s="78" t="str">
        <f t="shared" si="49"/>
        <v>-</v>
      </c>
      <c r="CR19" s="39">
        <v>2428673.09</v>
      </c>
      <c r="CS19" s="39">
        <v>0</v>
      </c>
      <c r="CT19" s="32">
        <f t="shared" si="50"/>
        <v>2428673.09</v>
      </c>
      <c r="CU19" s="78" t="str">
        <f t="shared" si="51"/>
        <v>-</v>
      </c>
      <c r="CV19" s="39">
        <v>0</v>
      </c>
      <c r="CW19" s="32">
        <f t="shared" si="52"/>
        <v>2428673.09</v>
      </c>
      <c r="CX19" s="77" t="str">
        <f t="shared" si="53"/>
        <v>-</v>
      </c>
      <c r="CY19" s="41">
        <v>502299.88</v>
      </c>
      <c r="CZ19" s="40">
        <v>0</v>
      </c>
      <c r="DA19" s="32">
        <f t="shared" si="54"/>
        <v>502299.88</v>
      </c>
      <c r="DB19" s="78" t="str">
        <f t="shared" si="55"/>
        <v>-</v>
      </c>
      <c r="DC19" s="39">
        <v>2428673.09</v>
      </c>
      <c r="DD19" s="39">
        <v>0</v>
      </c>
      <c r="DE19" s="32">
        <f t="shared" si="56"/>
        <v>2428673.09</v>
      </c>
      <c r="DF19" s="78" t="str">
        <f t="shared" si="57"/>
        <v>-</v>
      </c>
      <c r="DG19" s="39">
        <v>0</v>
      </c>
      <c r="DH19" s="32">
        <f t="shared" si="58"/>
        <v>2428673.09</v>
      </c>
      <c r="DI19" s="77" t="str">
        <f t="shared" si="59"/>
        <v>-</v>
      </c>
    </row>
    <row r="20" spans="1:113" hidden="1" outlineLevel="3" x14ac:dyDescent="0.2">
      <c r="A20" s="54"/>
      <c r="B20" s="38" t="s">
        <v>114</v>
      </c>
      <c r="C20" s="49" t="s">
        <v>113</v>
      </c>
      <c r="D20" s="41">
        <v>81339.45</v>
      </c>
      <c r="E20" s="40">
        <v>0</v>
      </c>
      <c r="F20" s="32">
        <f t="shared" si="0"/>
        <v>81339.45</v>
      </c>
      <c r="G20" s="78" t="str">
        <f t="shared" si="1"/>
        <v>-</v>
      </c>
      <c r="H20" s="39">
        <v>429173.05</v>
      </c>
      <c r="I20" s="39">
        <v>0</v>
      </c>
      <c r="J20" s="32">
        <f t="shared" si="2"/>
        <v>429173.05</v>
      </c>
      <c r="K20" s="78" t="str">
        <f t="shared" si="3"/>
        <v>-</v>
      </c>
      <c r="L20" s="39">
        <v>0</v>
      </c>
      <c r="M20" s="32">
        <f t="shared" si="4"/>
        <v>429173.05</v>
      </c>
      <c r="N20" s="77" t="str">
        <f t="shared" si="5"/>
        <v>-</v>
      </c>
      <c r="O20" s="41">
        <v>81339.45</v>
      </c>
      <c r="P20" s="40">
        <v>0</v>
      </c>
      <c r="Q20" s="32">
        <f t="shared" si="6"/>
        <v>81339.45</v>
      </c>
      <c r="R20" s="78" t="str">
        <f t="shared" si="7"/>
        <v>-</v>
      </c>
      <c r="S20" s="39">
        <v>429173.05</v>
      </c>
      <c r="T20" s="39">
        <v>0</v>
      </c>
      <c r="U20" s="32">
        <f t="shared" si="8"/>
        <v>429173.05</v>
      </c>
      <c r="V20" s="78" t="str">
        <f t="shared" si="9"/>
        <v>-</v>
      </c>
      <c r="W20" s="39">
        <v>0</v>
      </c>
      <c r="X20" s="32">
        <f t="shared" si="10"/>
        <v>429173.05</v>
      </c>
      <c r="Y20" s="77" t="str">
        <f t="shared" si="11"/>
        <v>-</v>
      </c>
      <c r="Z20" s="41">
        <v>81339.45</v>
      </c>
      <c r="AA20" s="40">
        <v>0</v>
      </c>
      <c r="AB20" s="32">
        <f t="shared" si="12"/>
        <v>81339.45</v>
      </c>
      <c r="AC20" s="78" t="str">
        <f t="shared" si="13"/>
        <v>-</v>
      </c>
      <c r="AD20" s="39">
        <v>429173.05</v>
      </c>
      <c r="AE20" s="39">
        <v>0</v>
      </c>
      <c r="AF20" s="32">
        <f t="shared" si="14"/>
        <v>429173.05</v>
      </c>
      <c r="AG20" s="78" t="str">
        <f t="shared" si="15"/>
        <v>-</v>
      </c>
      <c r="AH20" s="39">
        <v>0</v>
      </c>
      <c r="AI20" s="32">
        <f t="shared" si="16"/>
        <v>429173.05</v>
      </c>
      <c r="AJ20" s="77" t="str">
        <f t="shared" si="17"/>
        <v>-</v>
      </c>
      <c r="AK20" s="41">
        <v>81339.45</v>
      </c>
      <c r="AL20" s="40">
        <v>0</v>
      </c>
      <c r="AM20" s="32">
        <f t="shared" si="18"/>
        <v>81339.45</v>
      </c>
      <c r="AN20" s="78" t="str">
        <f t="shared" si="19"/>
        <v>-</v>
      </c>
      <c r="AO20" s="39">
        <v>429173.05</v>
      </c>
      <c r="AP20" s="39">
        <v>0</v>
      </c>
      <c r="AQ20" s="32">
        <f t="shared" si="20"/>
        <v>429173.05</v>
      </c>
      <c r="AR20" s="78" t="str">
        <f t="shared" si="21"/>
        <v>-</v>
      </c>
      <c r="AS20" s="39">
        <v>0</v>
      </c>
      <c r="AT20" s="32">
        <f t="shared" si="22"/>
        <v>429173.05</v>
      </c>
      <c r="AU20" s="77" t="str">
        <f t="shared" si="23"/>
        <v>-</v>
      </c>
      <c r="AV20" s="41">
        <v>81339.45</v>
      </c>
      <c r="AW20" s="40">
        <v>0</v>
      </c>
      <c r="AX20" s="32">
        <f t="shared" si="24"/>
        <v>81339.45</v>
      </c>
      <c r="AY20" s="78" t="str">
        <f t="shared" si="25"/>
        <v>-</v>
      </c>
      <c r="AZ20" s="39">
        <v>429173.05</v>
      </c>
      <c r="BA20" s="39">
        <v>0</v>
      </c>
      <c r="BB20" s="32">
        <f t="shared" si="26"/>
        <v>429173.05</v>
      </c>
      <c r="BC20" s="78" t="str">
        <f t="shared" si="27"/>
        <v>-</v>
      </c>
      <c r="BD20" s="39">
        <v>0</v>
      </c>
      <c r="BE20" s="32">
        <f t="shared" si="28"/>
        <v>429173.05</v>
      </c>
      <c r="BF20" s="77" t="str">
        <f t="shared" si="29"/>
        <v>-</v>
      </c>
      <c r="BG20" s="41">
        <v>81339.45</v>
      </c>
      <c r="BH20" s="40">
        <v>0</v>
      </c>
      <c r="BI20" s="32">
        <f t="shared" si="30"/>
        <v>81339.45</v>
      </c>
      <c r="BJ20" s="78" t="str">
        <f t="shared" si="31"/>
        <v>-</v>
      </c>
      <c r="BK20" s="39">
        <v>429173.05</v>
      </c>
      <c r="BL20" s="39">
        <v>0</v>
      </c>
      <c r="BM20" s="32">
        <f t="shared" si="32"/>
        <v>429173.05</v>
      </c>
      <c r="BN20" s="78" t="str">
        <f t="shared" si="33"/>
        <v>-</v>
      </c>
      <c r="BO20" s="39">
        <v>0</v>
      </c>
      <c r="BP20" s="32">
        <f t="shared" si="34"/>
        <v>429173.05</v>
      </c>
      <c r="BQ20" s="77" t="str">
        <f t="shared" si="35"/>
        <v>-</v>
      </c>
      <c r="BR20" s="41">
        <v>81339.45</v>
      </c>
      <c r="BS20" s="40">
        <v>0</v>
      </c>
      <c r="BT20" s="32">
        <f t="shared" si="36"/>
        <v>81339.45</v>
      </c>
      <c r="BU20" s="78" t="str">
        <f t="shared" si="37"/>
        <v>-</v>
      </c>
      <c r="BV20" s="39">
        <v>429173.05</v>
      </c>
      <c r="BW20" s="39">
        <v>0</v>
      </c>
      <c r="BX20" s="32">
        <f t="shared" si="38"/>
        <v>429173.05</v>
      </c>
      <c r="BY20" s="78" t="str">
        <f t="shared" si="39"/>
        <v>-</v>
      </c>
      <c r="BZ20" s="39">
        <v>0</v>
      </c>
      <c r="CA20" s="32">
        <f t="shared" si="40"/>
        <v>429173.05</v>
      </c>
      <c r="CB20" s="77" t="str">
        <f t="shared" si="41"/>
        <v>-</v>
      </c>
      <c r="CC20" s="41">
        <v>81339.45</v>
      </c>
      <c r="CD20" s="40">
        <v>0</v>
      </c>
      <c r="CE20" s="32">
        <f t="shared" si="42"/>
        <v>81339.45</v>
      </c>
      <c r="CF20" s="78" t="str">
        <f t="shared" si="43"/>
        <v>-</v>
      </c>
      <c r="CG20" s="39">
        <v>429173.05</v>
      </c>
      <c r="CH20" s="39">
        <v>0</v>
      </c>
      <c r="CI20" s="32">
        <f t="shared" si="44"/>
        <v>429173.05</v>
      </c>
      <c r="CJ20" s="78" t="str">
        <f t="shared" si="45"/>
        <v>-</v>
      </c>
      <c r="CK20" s="39">
        <v>0</v>
      </c>
      <c r="CL20" s="32">
        <f t="shared" si="46"/>
        <v>429173.05</v>
      </c>
      <c r="CM20" s="77" t="str">
        <f t="shared" si="47"/>
        <v>-</v>
      </c>
      <c r="CN20" s="41">
        <v>81339.45</v>
      </c>
      <c r="CO20" s="40">
        <v>0</v>
      </c>
      <c r="CP20" s="32">
        <f t="shared" si="48"/>
        <v>81339.45</v>
      </c>
      <c r="CQ20" s="78" t="str">
        <f t="shared" si="49"/>
        <v>-</v>
      </c>
      <c r="CR20" s="39">
        <v>429173.05</v>
      </c>
      <c r="CS20" s="39">
        <v>0</v>
      </c>
      <c r="CT20" s="32">
        <f t="shared" si="50"/>
        <v>429173.05</v>
      </c>
      <c r="CU20" s="78" t="str">
        <f t="shared" si="51"/>
        <v>-</v>
      </c>
      <c r="CV20" s="39">
        <v>0</v>
      </c>
      <c r="CW20" s="32">
        <f t="shared" si="52"/>
        <v>429173.05</v>
      </c>
      <c r="CX20" s="77" t="str">
        <f t="shared" si="53"/>
        <v>-</v>
      </c>
      <c r="CY20" s="41">
        <v>81339.45</v>
      </c>
      <c r="CZ20" s="40">
        <v>0</v>
      </c>
      <c r="DA20" s="32">
        <f t="shared" si="54"/>
        <v>81339.45</v>
      </c>
      <c r="DB20" s="78" t="str">
        <f t="shared" si="55"/>
        <v>-</v>
      </c>
      <c r="DC20" s="39">
        <v>429173.05</v>
      </c>
      <c r="DD20" s="39">
        <v>0</v>
      </c>
      <c r="DE20" s="32">
        <f t="shared" si="56"/>
        <v>429173.05</v>
      </c>
      <c r="DF20" s="78" t="str">
        <f t="shared" si="57"/>
        <v>-</v>
      </c>
      <c r="DG20" s="39">
        <v>0</v>
      </c>
      <c r="DH20" s="32">
        <f t="shared" si="58"/>
        <v>429173.05</v>
      </c>
      <c r="DI20" s="77" t="str">
        <f t="shared" si="59"/>
        <v>-</v>
      </c>
    </row>
    <row r="21" spans="1:113" s="6" customFormat="1" hidden="1" outlineLevel="2" collapsed="1" x14ac:dyDescent="0.2">
      <c r="A21" s="30"/>
      <c r="B21" s="29" t="s">
        <v>112</v>
      </c>
      <c r="C21" s="52" t="s">
        <v>111</v>
      </c>
      <c r="D21" s="27">
        <f>SUM(D19:D20)</f>
        <v>583639.32999999996</v>
      </c>
      <c r="E21" s="26">
        <f>SUM(E19:E20)</f>
        <v>0</v>
      </c>
      <c r="F21" s="23">
        <f t="shared" si="0"/>
        <v>583639.32999999996</v>
      </c>
      <c r="G21" s="76" t="str">
        <f t="shared" si="1"/>
        <v>-</v>
      </c>
      <c r="H21" s="24">
        <f>SUM(H19:H20)</f>
        <v>2857846.1399999997</v>
      </c>
      <c r="I21" s="24">
        <f>SUM(I19:I20)</f>
        <v>0</v>
      </c>
      <c r="J21" s="23">
        <f t="shared" si="2"/>
        <v>2857846.1399999997</v>
      </c>
      <c r="K21" s="76" t="str">
        <f t="shared" si="3"/>
        <v>-</v>
      </c>
      <c r="L21" s="24">
        <f>SUM(L19:L20)</f>
        <v>0</v>
      </c>
      <c r="M21" s="23">
        <f t="shared" si="4"/>
        <v>2857846.1399999997</v>
      </c>
      <c r="N21" s="75" t="str">
        <f t="shared" si="5"/>
        <v>-</v>
      </c>
      <c r="O21" s="27">
        <f>SUM(O19:O20)</f>
        <v>583639.32999999996</v>
      </c>
      <c r="P21" s="26">
        <f>SUM(P19:P20)</f>
        <v>0</v>
      </c>
      <c r="Q21" s="23">
        <f t="shared" si="6"/>
        <v>583639.32999999996</v>
      </c>
      <c r="R21" s="76" t="str">
        <f t="shared" si="7"/>
        <v>-</v>
      </c>
      <c r="S21" s="24">
        <f>SUM(S19:S20)</f>
        <v>2857846.1399999997</v>
      </c>
      <c r="T21" s="24">
        <f>SUM(T19:T20)</f>
        <v>0</v>
      </c>
      <c r="U21" s="23">
        <f t="shared" si="8"/>
        <v>2857846.1399999997</v>
      </c>
      <c r="V21" s="76" t="str">
        <f t="shared" si="9"/>
        <v>-</v>
      </c>
      <c r="W21" s="24">
        <f>SUM(W19:W20)</f>
        <v>0</v>
      </c>
      <c r="X21" s="23">
        <f t="shared" si="10"/>
        <v>2857846.1399999997</v>
      </c>
      <c r="Y21" s="75" t="str">
        <f t="shared" si="11"/>
        <v>-</v>
      </c>
      <c r="Z21" s="27">
        <f>SUM(Z19:Z20)</f>
        <v>583639.32999999996</v>
      </c>
      <c r="AA21" s="26">
        <f>SUM(AA19:AA20)</f>
        <v>0</v>
      </c>
      <c r="AB21" s="23">
        <f t="shared" si="12"/>
        <v>583639.32999999996</v>
      </c>
      <c r="AC21" s="76" t="str">
        <f t="shared" si="13"/>
        <v>-</v>
      </c>
      <c r="AD21" s="24">
        <f>SUM(AD19:AD20)</f>
        <v>2857846.1399999997</v>
      </c>
      <c r="AE21" s="24">
        <f>SUM(AE19:AE20)</f>
        <v>0</v>
      </c>
      <c r="AF21" s="23">
        <f t="shared" si="14"/>
        <v>2857846.1399999997</v>
      </c>
      <c r="AG21" s="76" t="str">
        <f t="shared" si="15"/>
        <v>-</v>
      </c>
      <c r="AH21" s="24">
        <f>SUM(AH19:AH20)</f>
        <v>0</v>
      </c>
      <c r="AI21" s="23">
        <f t="shared" si="16"/>
        <v>2857846.1399999997</v>
      </c>
      <c r="AJ21" s="75" t="str">
        <f t="shared" si="17"/>
        <v>-</v>
      </c>
      <c r="AK21" s="27">
        <f>SUM(AK19:AK20)</f>
        <v>583639.32999999996</v>
      </c>
      <c r="AL21" s="26">
        <f>SUM(AL19:AL20)</f>
        <v>0</v>
      </c>
      <c r="AM21" s="23">
        <f t="shared" si="18"/>
        <v>583639.32999999996</v>
      </c>
      <c r="AN21" s="76" t="str">
        <f t="shared" si="19"/>
        <v>-</v>
      </c>
      <c r="AO21" s="24">
        <f>SUM(AO19:AO20)</f>
        <v>2857846.1399999997</v>
      </c>
      <c r="AP21" s="24">
        <f>SUM(AP19:AP20)</f>
        <v>0</v>
      </c>
      <c r="AQ21" s="23">
        <f t="shared" si="20"/>
        <v>2857846.1399999997</v>
      </c>
      <c r="AR21" s="76" t="str">
        <f t="shared" si="21"/>
        <v>-</v>
      </c>
      <c r="AS21" s="24">
        <f>SUM(AS19:AS20)</f>
        <v>0</v>
      </c>
      <c r="AT21" s="23">
        <f t="shared" si="22"/>
        <v>2857846.1399999997</v>
      </c>
      <c r="AU21" s="75" t="str">
        <f t="shared" si="23"/>
        <v>-</v>
      </c>
      <c r="AV21" s="27">
        <f>SUM(AV19:AV20)</f>
        <v>583639.32999999996</v>
      </c>
      <c r="AW21" s="26">
        <f>SUM(AW19:AW20)</f>
        <v>0</v>
      </c>
      <c r="AX21" s="23">
        <f t="shared" si="24"/>
        <v>583639.32999999996</v>
      </c>
      <c r="AY21" s="76" t="str">
        <f t="shared" si="25"/>
        <v>-</v>
      </c>
      <c r="AZ21" s="24">
        <f>SUM(AZ19:AZ20)</f>
        <v>2857846.1399999997</v>
      </c>
      <c r="BA21" s="24">
        <f>SUM(BA19:BA20)</f>
        <v>0</v>
      </c>
      <c r="BB21" s="23">
        <f t="shared" si="26"/>
        <v>2857846.1399999997</v>
      </c>
      <c r="BC21" s="76" t="str">
        <f t="shared" si="27"/>
        <v>-</v>
      </c>
      <c r="BD21" s="24">
        <f>SUM(BD19:BD20)</f>
        <v>0</v>
      </c>
      <c r="BE21" s="23">
        <f t="shared" si="28"/>
        <v>2857846.1399999997</v>
      </c>
      <c r="BF21" s="75" t="str">
        <f t="shared" si="29"/>
        <v>-</v>
      </c>
      <c r="BG21" s="27">
        <f>SUM(BG19:BG20)</f>
        <v>583639.32999999996</v>
      </c>
      <c r="BH21" s="26">
        <f>SUM(BH19:BH20)</f>
        <v>0</v>
      </c>
      <c r="BI21" s="23">
        <f t="shared" si="30"/>
        <v>583639.32999999996</v>
      </c>
      <c r="BJ21" s="76" t="str">
        <f t="shared" si="31"/>
        <v>-</v>
      </c>
      <c r="BK21" s="24">
        <f>SUM(BK19:BK20)</f>
        <v>2857846.1399999997</v>
      </c>
      <c r="BL21" s="24">
        <f>SUM(BL19:BL20)</f>
        <v>0</v>
      </c>
      <c r="BM21" s="23">
        <f t="shared" si="32"/>
        <v>2857846.1399999997</v>
      </c>
      <c r="BN21" s="76" t="str">
        <f t="shared" si="33"/>
        <v>-</v>
      </c>
      <c r="BO21" s="24">
        <f>SUM(BO19:BO20)</f>
        <v>0</v>
      </c>
      <c r="BP21" s="23">
        <f t="shared" si="34"/>
        <v>2857846.1399999997</v>
      </c>
      <c r="BQ21" s="75" t="str">
        <f t="shared" si="35"/>
        <v>-</v>
      </c>
      <c r="BR21" s="27">
        <f>SUM(BR19:BR20)</f>
        <v>583639.32999999996</v>
      </c>
      <c r="BS21" s="26">
        <f>SUM(BS19:BS20)</f>
        <v>0</v>
      </c>
      <c r="BT21" s="23">
        <f t="shared" si="36"/>
        <v>583639.32999999996</v>
      </c>
      <c r="BU21" s="76" t="str">
        <f t="shared" si="37"/>
        <v>-</v>
      </c>
      <c r="BV21" s="24">
        <f>SUM(BV19:BV20)</f>
        <v>2857846.1399999997</v>
      </c>
      <c r="BW21" s="24">
        <f>SUM(BW19:BW20)</f>
        <v>0</v>
      </c>
      <c r="BX21" s="23">
        <f t="shared" si="38"/>
        <v>2857846.1399999997</v>
      </c>
      <c r="BY21" s="76" t="str">
        <f t="shared" si="39"/>
        <v>-</v>
      </c>
      <c r="BZ21" s="24">
        <f>SUM(BZ19:BZ20)</f>
        <v>0</v>
      </c>
      <c r="CA21" s="23">
        <f t="shared" si="40"/>
        <v>2857846.1399999997</v>
      </c>
      <c r="CB21" s="75" t="str">
        <f t="shared" si="41"/>
        <v>-</v>
      </c>
      <c r="CC21" s="27">
        <f>SUM(CC19:CC20)</f>
        <v>583639.32999999996</v>
      </c>
      <c r="CD21" s="26">
        <f>SUM(CD19:CD20)</f>
        <v>0</v>
      </c>
      <c r="CE21" s="23">
        <f t="shared" si="42"/>
        <v>583639.32999999996</v>
      </c>
      <c r="CF21" s="76" t="str">
        <f t="shared" si="43"/>
        <v>-</v>
      </c>
      <c r="CG21" s="24">
        <f>SUM(CG19:CG20)</f>
        <v>2857846.1399999997</v>
      </c>
      <c r="CH21" s="24">
        <f>SUM(CH19:CH20)</f>
        <v>0</v>
      </c>
      <c r="CI21" s="23">
        <f t="shared" si="44"/>
        <v>2857846.1399999997</v>
      </c>
      <c r="CJ21" s="76" t="str">
        <f t="shared" si="45"/>
        <v>-</v>
      </c>
      <c r="CK21" s="24">
        <f>SUM(CK19:CK20)</f>
        <v>0</v>
      </c>
      <c r="CL21" s="23">
        <f t="shared" si="46"/>
        <v>2857846.1399999997</v>
      </c>
      <c r="CM21" s="75" t="str">
        <f t="shared" si="47"/>
        <v>-</v>
      </c>
      <c r="CN21" s="27">
        <f>SUM(CN19:CN20)</f>
        <v>583639.32999999996</v>
      </c>
      <c r="CO21" s="26">
        <f>SUM(CO19:CO20)</f>
        <v>0</v>
      </c>
      <c r="CP21" s="23">
        <f t="shared" si="48"/>
        <v>583639.32999999996</v>
      </c>
      <c r="CQ21" s="76" t="str">
        <f t="shared" si="49"/>
        <v>-</v>
      </c>
      <c r="CR21" s="24">
        <f>SUM(CR19:CR20)</f>
        <v>2857846.1399999997</v>
      </c>
      <c r="CS21" s="24">
        <f>SUM(CS19:CS20)</f>
        <v>0</v>
      </c>
      <c r="CT21" s="23">
        <f t="shared" si="50"/>
        <v>2857846.1399999997</v>
      </c>
      <c r="CU21" s="76" t="str">
        <f t="shared" si="51"/>
        <v>-</v>
      </c>
      <c r="CV21" s="24">
        <f>SUM(CV19:CV20)</f>
        <v>0</v>
      </c>
      <c r="CW21" s="23">
        <f t="shared" si="52"/>
        <v>2857846.1399999997</v>
      </c>
      <c r="CX21" s="75" t="str">
        <f t="shared" si="53"/>
        <v>-</v>
      </c>
      <c r="CY21" s="27">
        <f>SUM(CY19:CY20)</f>
        <v>583639.32999999996</v>
      </c>
      <c r="CZ21" s="26">
        <f>SUM(CZ19:CZ20)</f>
        <v>0</v>
      </c>
      <c r="DA21" s="23">
        <f t="shared" si="54"/>
        <v>583639.32999999996</v>
      </c>
      <c r="DB21" s="76" t="str">
        <f t="shared" si="55"/>
        <v>-</v>
      </c>
      <c r="DC21" s="24">
        <f>SUM(DC19:DC20)</f>
        <v>2857846.1399999997</v>
      </c>
      <c r="DD21" s="24">
        <f>SUM(DD19:DD20)</f>
        <v>0</v>
      </c>
      <c r="DE21" s="23">
        <f t="shared" si="56"/>
        <v>2857846.1399999997</v>
      </c>
      <c r="DF21" s="76" t="str">
        <f t="shared" si="57"/>
        <v>-</v>
      </c>
      <c r="DG21" s="24">
        <f>SUM(DG19:DG20)</f>
        <v>0</v>
      </c>
      <c r="DH21" s="23">
        <f t="shared" si="58"/>
        <v>2857846.1399999997</v>
      </c>
      <c r="DI21" s="75" t="str">
        <f t="shared" si="59"/>
        <v>-</v>
      </c>
    </row>
    <row r="22" spans="1:113" hidden="1" outlineLevel="3" x14ac:dyDescent="0.2">
      <c r="A22" s="54"/>
      <c r="B22" s="38" t="s">
        <v>110</v>
      </c>
      <c r="C22" s="49" t="s">
        <v>109</v>
      </c>
      <c r="D22" s="41">
        <v>0</v>
      </c>
      <c r="E22" s="40">
        <v>0</v>
      </c>
      <c r="F22" s="32">
        <f t="shared" si="0"/>
        <v>0</v>
      </c>
      <c r="G22" s="78" t="str">
        <f t="shared" si="1"/>
        <v>-</v>
      </c>
      <c r="H22" s="39">
        <v>0</v>
      </c>
      <c r="I22" s="39">
        <v>0</v>
      </c>
      <c r="J22" s="32">
        <f t="shared" si="2"/>
        <v>0</v>
      </c>
      <c r="K22" s="78" t="str">
        <f t="shared" si="3"/>
        <v>-</v>
      </c>
      <c r="L22" s="39">
        <v>0</v>
      </c>
      <c r="M22" s="32">
        <f t="shared" si="4"/>
        <v>0</v>
      </c>
      <c r="N22" s="77" t="str">
        <f t="shared" si="5"/>
        <v>-</v>
      </c>
      <c r="O22" s="41">
        <v>0</v>
      </c>
      <c r="P22" s="40">
        <v>0</v>
      </c>
      <c r="Q22" s="32">
        <f t="shared" si="6"/>
        <v>0</v>
      </c>
      <c r="R22" s="78" t="str">
        <f t="shared" si="7"/>
        <v>-</v>
      </c>
      <c r="S22" s="39">
        <v>0</v>
      </c>
      <c r="T22" s="39">
        <v>0</v>
      </c>
      <c r="U22" s="32">
        <f t="shared" si="8"/>
        <v>0</v>
      </c>
      <c r="V22" s="78" t="str">
        <f t="shared" si="9"/>
        <v>-</v>
      </c>
      <c r="W22" s="39">
        <v>0</v>
      </c>
      <c r="X22" s="32">
        <f t="shared" si="10"/>
        <v>0</v>
      </c>
      <c r="Y22" s="77" t="str">
        <f t="shared" si="11"/>
        <v>-</v>
      </c>
      <c r="Z22" s="41">
        <v>0</v>
      </c>
      <c r="AA22" s="40">
        <v>0</v>
      </c>
      <c r="AB22" s="32">
        <f t="shared" si="12"/>
        <v>0</v>
      </c>
      <c r="AC22" s="78" t="str">
        <f t="shared" si="13"/>
        <v>-</v>
      </c>
      <c r="AD22" s="39">
        <v>0</v>
      </c>
      <c r="AE22" s="39">
        <v>0</v>
      </c>
      <c r="AF22" s="32">
        <f t="shared" si="14"/>
        <v>0</v>
      </c>
      <c r="AG22" s="78" t="str">
        <f t="shared" si="15"/>
        <v>-</v>
      </c>
      <c r="AH22" s="39">
        <v>0</v>
      </c>
      <c r="AI22" s="32">
        <f t="shared" si="16"/>
        <v>0</v>
      </c>
      <c r="AJ22" s="77" t="str">
        <f t="shared" si="17"/>
        <v>-</v>
      </c>
      <c r="AK22" s="41">
        <v>0</v>
      </c>
      <c r="AL22" s="40">
        <v>0</v>
      </c>
      <c r="AM22" s="32">
        <f t="shared" si="18"/>
        <v>0</v>
      </c>
      <c r="AN22" s="78" t="str">
        <f t="shared" si="19"/>
        <v>-</v>
      </c>
      <c r="AO22" s="39">
        <v>0</v>
      </c>
      <c r="AP22" s="39">
        <v>0</v>
      </c>
      <c r="AQ22" s="32">
        <f t="shared" si="20"/>
        <v>0</v>
      </c>
      <c r="AR22" s="78" t="str">
        <f t="shared" si="21"/>
        <v>-</v>
      </c>
      <c r="AS22" s="39">
        <v>0</v>
      </c>
      <c r="AT22" s="32">
        <f t="shared" si="22"/>
        <v>0</v>
      </c>
      <c r="AU22" s="77" t="str">
        <f t="shared" si="23"/>
        <v>-</v>
      </c>
      <c r="AV22" s="41">
        <v>0</v>
      </c>
      <c r="AW22" s="40">
        <v>0</v>
      </c>
      <c r="AX22" s="32">
        <f t="shared" si="24"/>
        <v>0</v>
      </c>
      <c r="AY22" s="78" t="str">
        <f t="shared" si="25"/>
        <v>-</v>
      </c>
      <c r="AZ22" s="39">
        <v>0</v>
      </c>
      <c r="BA22" s="39">
        <v>0</v>
      </c>
      <c r="BB22" s="32">
        <f t="shared" si="26"/>
        <v>0</v>
      </c>
      <c r="BC22" s="78" t="str">
        <f t="shared" si="27"/>
        <v>-</v>
      </c>
      <c r="BD22" s="39">
        <v>0</v>
      </c>
      <c r="BE22" s="32">
        <f t="shared" si="28"/>
        <v>0</v>
      </c>
      <c r="BF22" s="77" t="str">
        <f t="shared" si="29"/>
        <v>-</v>
      </c>
      <c r="BG22" s="41">
        <v>0</v>
      </c>
      <c r="BH22" s="40">
        <v>0</v>
      </c>
      <c r="BI22" s="32">
        <f t="shared" si="30"/>
        <v>0</v>
      </c>
      <c r="BJ22" s="78" t="str">
        <f t="shared" si="31"/>
        <v>-</v>
      </c>
      <c r="BK22" s="39">
        <v>0</v>
      </c>
      <c r="BL22" s="39">
        <v>0</v>
      </c>
      <c r="BM22" s="32">
        <f t="shared" si="32"/>
        <v>0</v>
      </c>
      <c r="BN22" s="78" t="str">
        <f t="shared" si="33"/>
        <v>-</v>
      </c>
      <c r="BO22" s="39">
        <v>0</v>
      </c>
      <c r="BP22" s="32">
        <f t="shared" si="34"/>
        <v>0</v>
      </c>
      <c r="BQ22" s="77" t="str">
        <f t="shared" si="35"/>
        <v>-</v>
      </c>
      <c r="BR22" s="41">
        <v>0</v>
      </c>
      <c r="BS22" s="40">
        <v>0</v>
      </c>
      <c r="BT22" s="32">
        <f t="shared" si="36"/>
        <v>0</v>
      </c>
      <c r="BU22" s="78" t="str">
        <f t="shared" si="37"/>
        <v>-</v>
      </c>
      <c r="BV22" s="39">
        <v>0</v>
      </c>
      <c r="BW22" s="39">
        <v>0</v>
      </c>
      <c r="BX22" s="32">
        <f t="shared" si="38"/>
        <v>0</v>
      </c>
      <c r="BY22" s="78" t="str">
        <f t="shared" si="39"/>
        <v>-</v>
      </c>
      <c r="BZ22" s="39">
        <v>0</v>
      </c>
      <c r="CA22" s="32">
        <f t="shared" si="40"/>
        <v>0</v>
      </c>
      <c r="CB22" s="77" t="str">
        <f t="shared" si="41"/>
        <v>-</v>
      </c>
      <c r="CC22" s="41">
        <v>0</v>
      </c>
      <c r="CD22" s="40">
        <v>0</v>
      </c>
      <c r="CE22" s="32">
        <f t="shared" si="42"/>
        <v>0</v>
      </c>
      <c r="CF22" s="78" t="str">
        <f t="shared" si="43"/>
        <v>-</v>
      </c>
      <c r="CG22" s="39">
        <v>0</v>
      </c>
      <c r="CH22" s="39">
        <v>0</v>
      </c>
      <c r="CI22" s="32">
        <f t="shared" si="44"/>
        <v>0</v>
      </c>
      <c r="CJ22" s="78" t="str">
        <f t="shared" si="45"/>
        <v>-</v>
      </c>
      <c r="CK22" s="39">
        <v>0</v>
      </c>
      <c r="CL22" s="32">
        <f t="shared" si="46"/>
        <v>0</v>
      </c>
      <c r="CM22" s="77" t="str">
        <f t="shared" si="47"/>
        <v>-</v>
      </c>
      <c r="CN22" s="41">
        <v>0</v>
      </c>
      <c r="CO22" s="40">
        <v>0</v>
      </c>
      <c r="CP22" s="32">
        <f t="shared" si="48"/>
        <v>0</v>
      </c>
      <c r="CQ22" s="78" t="str">
        <f t="shared" si="49"/>
        <v>-</v>
      </c>
      <c r="CR22" s="39">
        <v>0</v>
      </c>
      <c r="CS22" s="39">
        <v>0</v>
      </c>
      <c r="CT22" s="32">
        <f t="shared" si="50"/>
        <v>0</v>
      </c>
      <c r="CU22" s="78" t="str">
        <f t="shared" si="51"/>
        <v>-</v>
      </c>
      <c r="CV22" s="39">
        <v>0</v>
      </c>
      <c r="CW22" s="32">
        <f t="shared" si="52"/>
        <v>0</v>
      </c>
      <c r="CX22" s="77" t="str">
        <f t="shared" si="53"/>
        <v>-</v>
      </c>
      <c r="CY22" s="41">
        <v>0</v>
      </c>
      <c r="CZ22" s="40">
        <v>0</v>
      </c>
      <c r="DA22" s="32">
        <f t="shared" si="54"/>
        <v>0</v>
      </c>
      <c r="DB22" s="78" t="str">
        <f t="shared" si="55"/>
        <v>-</v>
      </c>
      <c r="DC22" s="39">
        <v>0</v>
      </c>
      <c r="DD22" s="39">
        <v>0</v>
      </c>
      <c r="DE22" s="32">
        <f t="shared" si="56"/>
        <v>0</v>
      </c>
      <c r="DF22" s="78" t="str">
        <f t="shared" si="57"/>
        <v>-</v>
      </c>
      <c r="DG22" s="39">
        <v>0</v>
      </c>
      <c r="DH22" s="32">
        <f t="shared" si="58"/>
        <v>0</v>
      </c>
      <c r="DI22" s="77" t="str">
        <f t="shared" si="59"/>
        <v>-</v>
      </c>
    </row>
    <row r="23" spans="1:113" hidden="1" outlineLevel="3" x14ac:dyDescent="0.2">
      <c r="A23" s="54"/>
      <c r="B23" s="38" t="s">
        <v>108</v>
      </c>
      <c r="C23" s="49" t="s">
        <v>107</v>
      </c>
      <c r="D23" s="41">
        <v>0</v>
      </c>
      <c r="E23" s="40">
        <v>0</v>
      </c>
      <c r="F23" s="32">
        <f t="shared" si="0"/>
        <v>0</v>
      </c>
      <c r="G23" s="78" t="str">
        <f t="shared" si="1"/>
        <v>-</v>
      </c>
      <c r="H23" s="39">
        <v>0</v>
      </c>
      <c r="I23" s="39">
        <v>0</v>
      </c>
      <c r="J23" s="32">
        <f t="shared" si="2"/>
        <v>0</v>
      </c>
      <c r="K23" s="78" t="str">
        <f t="shared" si="3"/>
        <v>-</v>
      </c>
      <c r="L23" s="39">
        <v>0</v>
      </c>
      <c r="M23" s="32">
        <f t="shared" si="4"/>
        <v>0</v>
      </c>
      <c r="N23" s="77" t="str">
        <f t="shared" si="5"/>
        <v>-</v>
      </c>
      <c r="O23" s="41">
        <v>0</v>
      </c>
      <c r="P23" s="40">
        <v>0</v>
      </c>
      <c r="Q23" s="32">
        <f t="shared" si="6"/>
        <v>0</v>
      </c>
      <c r="R23" s="78" t="str">
        <f t="shared" si="7"/>
        <v>-</v>
      </c>
      <c r="S23" s="39">
        <v>0</v>
      </c>
      <c r="T23" s="39">
        <v>0</v>
      </c>
      <c r="U23" s="32">
        <f t="shared" si="8"/>
        <v>0</v>
      </c>
      <c r="V23" s="78" t="str">
        <f t="shared" si="9"/>
        <v>-</v>
      </c>
      <c r="W23" s="39">
        <v>0</v>
      </c>
      <c r="X23" s="32">
        <f t="shared" si="10"/>
        <v>0</v>
      </c>
      <c r="Y23" s="77" t="str">
        <f t="shared" si="11"/>
        <v>-</v>
      </c>
      <c r="Z23" s="41">
        <v>0</v>
      </c>
      <c r="AA23" s="40">
        <v>0</v>
      </c>
      <c r="AB23" s="32">
        <f t="shared" si="12"/>
        <v>0</v>
      </c>
      <c r="AC23" s="78" t="str">
        <f t="shared" si="13"/>
        <v>-</v>
      </c>
      <c r="AD23" s="39">
        <v>0</v>
      </c>
      <c r="AE23" s="39">
        <v>0</v>
      </c>
      <c r="AF23" s="32">
        <f t="shared" si="14"/>
        <v>0</v>
      </c>
      <c r="AG23" s="78" t="str">
        <f t="shared" si="15"/>
        <v>-</v>
      </c>
      <c r="AH23" s="39">
        <v>0</v>
      </c>
      <c r="AI23" s="32">
        <f t="shared" si="16"/>
        <v>0</v>
      </c>
      <c r="AJ23" s="77" t="str">
        <f t="shared" si="17"/>
        <v>-</v>
      </c>
      <c r="AK23" s="41">
        <v>0</v>
      </c>
      <c r="AL23" s="40">
        <v>0</v>
      </c>
      <c r="AM23" s="32">
        <f t="shared" si="18"/>
        <v>0</v>
      </c>
      <c r="AN23" s="78" t="str">
        <f t="shared" si="19"/>
        <v>-</v>
      </c>
      <c r="AO23" s="39">
        <v>0</v>
      </c>
      <c r="AP23" s="39">
        <v>0</v>
      </c>
      <c r="AQ23" s="32">
        <f t="shared" si="20"/>
        <v>0</v>
      </c>
      <c r="AR23" s="78" t="str">
        <f t="shared" si="21"/>
        <v>-</v>
      </c>
      <c r="AS23" s="39">
        <v>0</v>
      </c>
      <c r="AT23" s="32">
        <f t="shared" si="22"/>
        <v>0</v>
      </c>
      <c r="AU23" s="77" t="str">
        <f t="shared" si="23"/>
        <v>-</v>
      </c>
      <c r="AV23" s="41">
        <v>0</v>
      </c>
      <c r="AW23" s="40">
        <v>0</v>
      </c>
      <c r="AX23" s="32">
        <f t="shared" si="24"/>
        <v>0</v>
      </c>
      <c r="AY23" s="78" t="str">
        <f t="shared" si="25"/>
        <v>-</v>
      </c>
      <c r="AZ23" s="39">
        <v>0</v>
      </c>
      <c r="BA23" s="39">
        <v>0</v>
      </c>
      <c r="BB23" s="32">
        <f t="shared" si="26"/>
        <v>0</v>
      </c>
      <c r="BC23" s="78" t="str">
        <f t="shared" si="27"/>
        <v>-</v>
      </c>
      <c r="BD23" s="39">
        <v>0</v>
      </c>
      <c r="BE23" s="32">
        <f t="shared" si="28"/>
        <v>0</v>
      </c>
      <c r="BF23" s="77" t="str">
        <f t="shared" si="29"/>
        <v>-</v>
      </c>
      <c r="BG23" s="41">
        <v>0</v>
      </c>
      <c r="BH23" s="40">
        <v>0</v>
      </c>
      <c r="BI23" s="32">
        <f t="shared" si="30"/>
        <v>0</v>
      </c>
      <c r="BJ23" s="78" t="str">
        <f t="shared" si="31"/>
        <v>-</v>
      </c>
      <c r="BK23" s="39">
        <v>0</v>
      </c>
      <c r="BL23" s="39">
        <v>0</v>
      </c>
      <c r="BM23" s="32">
        <f t="shared" si="32"/>
        <v>0</v>
      </c>
      <c r="BN23" s="78" t="str">
        <f t="shared" si="33"/>
        <v>-</v>
      </c>
      <c r="BO23" s="39">
        <v>0</v>
      </c>
      <c r="BP23" s="32">
        <f t="shared" si="34"/>
        <v>0</v>
      </c>
      <c r="BQ23" s="77" t="str">
        <f t="shared" si="35"/>
        <v>-</v>
      </c>
      <c r="BR23" s="41">
        <v>0</v>
      </c>
      <c r="BS23" s="40">
        <v>0</v>
      </c>
      <c r="BT23" s="32">
        <f t="shared" si="36"/>
        <v>0</v>
      </c>
      <c r="BU23" s="78" t="str">
        <f t="shared" si="37"/>
        <v>-</v>
      </c>
      <c r="BV23" s="39">
        <v>0</v>
      </c>
      <c r="BW23" s="39">
        <v>0</v>
      </c>
      <c r="BX23" s="32">
        <f t="shared" si="38"/>
        <v>0</v>
      </c>
      <c r="BY23" s="78" t="str">
        <f t="shared" si="39"/>
        <v>-</v>
      </c>
      <c r="BZ23" s="39">
        <v>0</v>
      </c>
      <c r="CA23" s="32">
        <f t="shared" si="40"/>
        <v>0</v>
      </c>
      <c r="CB23" s="77" t="str">
        <f t="shared" si="41"/>
        <v>-</v>
      </c>
      <c r="CC23" s="41">
        <v>0</v>
      </c>
      <c r="CD23" s="40">
        <v>0</v>
      </c>
      <c r="CE23" s="32">
        <f t="shared" si="42"/>
        <v>0</v>
      </c>
      <c r="CF23" s="78" t="str">
        <f t="shared" si="43"/>
        <v>-</v>
      </c>
      <c r="CG23" s="39">
        <v>0</v>
      </c>
      <c r="CH23" s="39">
        <v>0</v>
      </c>
      <c r="CI23" s="32">
        <f t="shared" si="44"/>
        <v>0</v>
      </c>
      <c r="CJ23" s="78" t="str">
        <f t="shared" si="45"/>
        <v>-</v>
      </c>
      <c r="CK23" s="39">
        <v>0</v>
      </c>
      <c r="CL23" s="32">
        <f t="shared" si="46"/>
        <v>0</v>
      </c>
      <c r="CM23" s="77" t="str">
        <f t="shared" si="47"/>
        <v>-</v>
      </c>
      <c r="CN23" s="41">
        <v>0</v>
      </c>
      <c r="CO23" s="40">
        <v>0</v>
      </c>
      <c r="CP23" s="32">
        <f t="shared" si="48"/>
        <v>0</v>
      </c>
      <c r="CQ23" s="78" t="str">
        <f t="shared" si="49"/>
        <v>-</v>
      </c>
      <c r="CR23" s="39">
        <v>0</v>
      </c>
      <c r="CS23" s="39">
        <v>0</v>
      </c>
      <c r="CT23" s="32">
        <f t="shared" si="50"/>
        <v>0</v>
      </c>
      <c r="CU23" s="78" t="str">
        <f t="shared" si="51"/>
        <v>-</v>
      </c>
      <c r="CV23" s="39">
        <v>0</v>
      </c>
      <c r="CW23" s="32">
        <f t="shared" si="52"/>
        <v>0</v>
      </c>
      <c r="CX23" s="77" t="str">
        <f t="shared" si="53"/>
        <v>-</v>
      </c>
      <c r="CY23" s="41">
        <v>0</v>
      </c>
      <c r="CZ23" s="40">
        <v>0</v>
      </c>
      <c r="DA23" s="32">
        <f t="shared" si="54"/>
        <v>0</v>
      </c>
      <c r="DB23" s="78" t="str">
        <f t="shared" si="55"/>
        <v>-</v>
      </c>
      <c r="DC23" s="39">
        <v>0</v>
      </c>
      <c r="DD23" s="39">
        <v>0</v>
      </c>
      <c r="DE23" s="32">
        <f t="shared" si="56"/>
        <v>0</v>
      </c>
      <c r="DF23" s="78" t="str">
        <f t="shared" si="57"/>
        <v>-</v>
      </c>
      <c r="DG23" s="39">
        <v>0</v>
      </c>
      <c r="DH23" s="32">
        <f t="shared" si="58"/>
        <v>0</v>
      </c>
      <c r="DI23" s="77" t="str">
        <f t="shared" si="59"/>
        <v>-</v>
      </c>
    </row>
    <row r="24" spans="1:113" s="6" customFormat="1" hidden="1" outlineLevel="2" collapsed="1" x14ac:dyDescent="0.2">
      <c r="A24" s="30"/>
      <c r="B24" s="29" t="s">
        <v>106</v>
      </c>
      <c r="C24" s="52" t="s">
        <v>105</v>
      </c>
      <c r="D24" s="27">
        <f>SUM(D22:D23)</f>
        <v>0</v>
      </c>
      <c r="E24" s="26">
        <f>SUM(E22:E23)</f>
        <v>0</v>
      </c>
      <c r="F24" s="23">
        <f t="shared" si="0"/>
        <v>0</v>
      </c>
      <c r="G24" s="76" t="str">
        <f t="shared" si="1"/>
        <v>-</v>
      </c>
      <c r="H24" s="24">
        <f>SUM(H22:H23)</f>
        <v>0</v>
      </c>
      <c r="I24" s="24">
        <f>SUM(I22:I23)</f>
        <v>0</v>
      </c>
      <c r="J24" s="23">
        <f t="shared" si="2"/>
        <v>0</v>
      </c>
      <c r="K24" s="76" t="str">
        <f t="shared" si="3"/>
        <v>-</v>
      </c>
      <c r="L24" s="24">
        <f>SUM(L22:L23)</f>
        <v>0</v>
      </c>
      <c r="M24" s="23">
        <f t="shared" si="4"/>
        <v>0</v>
      </c>
      <c r="N24" s="75" t="str">
        <f t="shared" si="5"/>
        <v>-</v>
      </c>
      <c r="O24" s="27">
        <f>SUM(O22:O23)</f>
        <v>0</v>
      </c>
      <c r="P24" s="26">
        <f>SUM(P22:P23)</f>
        <v>0</v>
      </c>
      <c r="Q24" s="23">
        <f t="shared" si="6"/>
        <v>0</v>
      </c>
      <c r="R24" s="76" t="str">
        <f t="shared" si="7"/>
        <v>-</v>
      </c>
      <c r="S24" s="24">
        <f>SUM(S22:S23)</f>
        <v>0</v>
      </c>
      <c r="T24" s="24">
        <f>SUM(T22:T23)</f>
        <v>0</v>
      </c>
      <c r="U24" s="23">
        <f t="shared" si="8"/>
        <v>0</v>
      </c>
      <c r="V24" s="76" t="str">
        <f t="shared" si="9"/>
        <v>-</v>
      </c>
      <c r="W24" s="24">
        <f>SUM(W22:W23)</f>
        <v>0</v>
      </c>
      <c r="X24" s="23">
        <f t="shared" si="10"/>
        <v>0</v>
      </c>
      <c r="Y24" s="75" t="str">
        <f t="shared" si="11"/>
        <v>-</v>
      </c>
      <c r="Z24" s="27">
        <f>SUM(Z22:Z23)</f>
        <v>0</v>
      </c>
      <c r="AA24" s="26">
        <f>SUM(AA22:AA23)</f>
        <v>0</v>
      </c>
      <c r="AB24" s="23">
        <f t="shared" si="12"/>
        <v>0</v>
      </c>
      <c r="AC24" s="76" t="str">
        <f t="shared" si="13"/>
        <v>-</v>
      </c>
      <c r="AD24" s="24">
        <f>SUM(AD22:AD23)</f>
        <v>0</v>
      </c>
      <c r="AE24" s="24">
        <f>SUM(AE22:AE23)</f>
        <v>0</v>
      </c>
      <c r="AF24" s="23">
        <f t="shared" si="14"/>
        <v>0</v>
      </c>
      <c r="AG24" s="76" t="str">
        <f t="shared" si="15"/>
        <v>-</v>
      </c>
      <c r="AH24" s="24">
        <f>SUM(AH22:AH23)</f>
        <v>0</v>
      </c>
      <c r="AI24" s="23">
        <f t="shared" si="16"/>
        <v>0</v>
      </c>
      <c r="AJ24" s="75" t="str">
        <f t="shared" si="17"/>
        <v>-</v>
      </c>
      <c r="AK24" s="27">
        <f>SUM(AK22:AK23)</f>
        <v>0</v>
      </c>
      <c r="AL24" s="26">
        <f>SUM(AL22:AL23)</f>
        <v>0</v>
      </c>
      <c r="AM24" s="23">
        <f t="shared" si="18"/>
        <v>0</v>
      </c>
      <c r="AN24" s="76" t="str">
        <f t="shared" si="19"/>
        <v>-</v>
      </c>
      <c r="AO24" s="24">
        <f>SUM(AO22:AO23)</f>
        <v>0</v>
      </c>
      <c r="AP24" s="24">
        <f>SUM(AP22:AP23)</f>
        <v>0</v>
      </c>
      <c r="AQ24" s="23">
        <f t="shared" si="20"/>
        <v>0</v>
      </c>
      <c r="AR24" s="76" t="str">
        <f t="shared" si="21"/>
        <v>-</v>
      </c>
      <c r="AS24" s="24">
        <f>SUM(AS22:AS23)</f>
        <v>0</v>
      </c>
      <c r="AT24" s="23">
        <f t="shared" si="22"/>
        <v>0</v>
      </c>
      <c r="AU24" s="75" t="str">
        <f t="shared" si="23"/>
        <v>-</v>
      </c>
      <c r="AV24" s="27">
        <f>SUM(AV22:AV23)</f>
        <v>0</v>
      </c>
      <c r="AW24" s="26">
        <f>SUM(AW22:AW23)</f>
        <v>0</v>
      </c>
      <c r="AX24" s="23">
        <f t="shared" si="24"/>
        <v>0</v>
      </c>
      <c r="AY24" s="76" t="str">
        <f t="shared" si="25"/>
        <v>-</v>
      </c>
      <c r="AZ24" s="24">
        <f>SUM(AZ22:AZ23)</f>
        <v>0</v>
      </c>
      <c r="BA24" s="24">
        <f>SUM(BA22:BA23)</f>
        <v>0</v>
      </c>
      <c r="BB24" s="23">
        <f t="shared" si="26"/>
        <v>0</v>
      </c>
      <c r="BC24" s="76" t="str">
        <f t="shared" si="27"/>
        <v>-</v>
      </c>
      <c r="BD24" s="24">
        <f>SUM(BD22:BD23)</f>
        <v>0</v>
      </c>
      <c r="BE24" s="23">
        <f t="shared" si="28"/>
        <v>0</v>
      </c>
      <c r="BF24" s="75" t="str">
        <f t="shared" si="29"/>
        <v>-</v>
      </c>
      <c r="BG24" s="27">
        <f>SUM(BG22:BG23)</f>
        <v>0</v>
      </c>
      <c r="BH24" s="26">
        <f>SUM(BH22:BH23)</f>
        <v>0</v>
      </c>
      <c r="BI24" s="23">
        <f t="shared" si="30"/>
        <v>0</v>
      </c>
      <c r="BJ24" s="76" t="str">
        <f t="shared" si="31"/>
        <v>-</v>
      </c>
      <c r="BK24" s="24">
        <f>SUM(BK22:BK23)</f>
        <v>0</v>
      </c>
      <c r="BL24" s="24">
        <f>SUM(BL22:BL23)</f>
        <v>0</v>
      </c>
      <c r="BM24" s="23">
        <f t="shared" si="32"/>
        <v>0</v>
      </c>
      <c r="BN24" s="76" t="str">
        <f t="shared" si="33"/>
        <v>-</v>
      </c>
      <c r="BO24" s="24">
        <f>SUM(BO22:BO23)</f>
        <v>0</v>
      </c>
      <c r="BP24" s="23">
        <f t="shared" si="34"/>
        <v>0</v>
      </c>
      <c r="BQ24" s="75" t="str">
        <f t="shared" si="35"/>
        <v>-</v>
      </c>
      <c r="BR24" s="27">
        <f>SUM(BR22:BR23)</f>
        <v>0</v>
      </c>
      <c r="BS24" s="26">
        <f>SUM(BS22:BS23)</f>
        <v>0</v>
      </c>
      <c r="BT24" s="23">
        <f t="shared" si="36"/>
        <v>0</v>
      </c>
      <c r="BU24" s="76" t="str">
        <f t="shared" si="37"/>
        <v>-</v>
      </c>
      <c r="BV24" s="24">
        <f>SUM(BV22:BV23)</f>
        <v>0</v>
      </c>
      <c r="BW24" s="24">
        <f>SUM(BW22:BW23)</f>
        <v>0</v>
      </c>
      <c r="BX24" s="23">
        <f t="shared" si="38"/>
        <v>0</v>
      </c>
      <c r="BY24" s="76" t="str">
        <f t="shared" si="39"/>
        <v>-</v>
      </c>
      <c r="BZ24" s="24">
        <f>SUM(BZ22:BZ23)</f>
        <v>0</v>
      </c>
      <c r="CA24" s="23">
        <f t="shared" si="40"/>
        <v>0</v>
      </c>
      <c r="CB24" s="75" t="str">
        <f t="shared" si="41"/>
        <v>-</v>
      </c>
      <c r="CC24" s="27">
        <f>SUM(CC22:CC23)</f>
        <v>0</v>
      </c>
      <c r="CD24" s="26">
        <f>SUM(CD22:CD23)</f>
        <v>0</v>
      </c>
      <c r="CE24" s="23">
        <f t="shared" si="42"/>
        <v>0</v>
      </c>
      <c r="CF24" s="76" t="str">
        <f t="shared" si="43"/>
        <v>-</v>
      </c>
      <c r="CG24" s="24">
        <f>SUM(CG22:CG23)</f>
        <v>0</v>
      </c>
      <c r="CH24" s="24">
        <f>SUM(CH22:CH23)</f>
        <v>0</v>
      </c>
      <c r="CI24" s="23">
        <f t="shared" si="44"/>
        <v>0</v>
      </c>
      <c r="CJ24" s="76" t="str">
        <f t="shared" si="45"/>
        <v>-</v>
      </c>
      <c r="CK24" s="24">
        <f>SUM(CK22:CK23)</f>
        <v>0</v>
      </c>
      <c r="CL24" s="23">
        <f t="shared" si="46"/>
        <v>0</v>
      </c>
      <c r="CM24" s="75" t="str">
        <f t="shared" si="47"/>
        <v>-</v>
      </c>
      <c r="CN24" s="27">
        <f>SUM(CN22:CN23)</f>
        <v>0</v>
      </c>
      <c r="CO24" s="26">
        <f>SUM(CO22:CO23)</f>
        <v>0</v>
      </c>
      <c r="CP24" s="23">
        <f t="shared" si="48"/>
        <v>0</v>
      </c>
      <c r="CQ24" s="76" t="str">
        <f t="shared" si="49"/>
        <v>-</v>
      </c>
      <c r="CR24" s="24">
        <f>SUM(CR22:CR23)</f>
        <v>0</v>
      </c>
      <c r="CS24" s="24">
        <f>SUM(CS22:CS23)</f>
        <v>0</v>
      </c>
      <c r="CT24" s="23">
        <f t="shared" si="50"/>
        <v>0</v>
      </c>
      <c r="CU24" s="76" t="str">
        <f t="shared" si="51"/>
        <v>-</v>
      </c>
      <c r="CV24" s="24">
        <f>SUM(CV22:CV23)</f>
        <v>0</v>
      </c>
      <c r="CW24" s="23">
        <f t="shared" si="52"/>
        <v>0</v>
      </c>
      <c r="CX24" s="75" t="str">
        <f t="shared" si="53"/>
        <v>-</v>
      </c>
      <c r="CY24" s="27">
        <f>SUM(CY22:CY23)</f>
        <v>0</v>
      </c>
      <c r="CZ24" s="26">
        <f>SUM(CZ22:CZ23)</f>
        <v>0</v>
      </c>
      <c r="DA24" s="23">
        <f t="shared" si="54"/>
        <v>0</v>
      </c>
      <c r="DB24" s="76" t="str">
        <f t="shared" si="55"/>
        <v>-</v>
      </c>
      <c r="DC24" s="24">
        <f>SUM(DC22:DC23)</f>
        <v>0</v>
      </c>
      <c r="DD24" s="24">
        <f>SUM(DD22:DD23)</f>
        <v>0</v>
      </c>
      <c r="DE24" s="23">
        <f t="shared" si="56"/>
        <v>0</v>
      </c>
      <c r="DF24" s="76" t="str">
        <f t="shared" si="57"/>
        <v>-</v>
      </c>
      <c r="DG24" s="24">
        <f>SUM(DG22:DG23)</f>
        <v>0</v>
      </c>
      <c r="DH24" s="23">
        <f t="shared" si="58"/>
        <v>0</v>
      </c>
      <c r="DI24" s="75" t="str">
        <f t="shared" si="59"/>
        <v>-</v>
      </c>
    </row>
    <row r="25" spans="1:113" s="6" customFormat="1" ht="13.5" outlineLevel="1" collapsed="1" thickTop="1" x14ac:dyDescent="0.2">
      <c r="A25" s="30"/>
      <c r="B25" s="48" t="s">
        <v>104</v>
      </c>
      <c r="C25" s="55" t="s">
        <v>103</v>
      </c>
      <c r="D25" s="46">
        <f>D15+D18+D21+D24</f>
        <v>213643492.62</v>
      </c>
      <c r="E25" s="45">
        <f>E15+E18+E21+E24</f>
        <v>221608066.63814151</v>
      </c>
      <c r="F25" s="23">
        <f t="shared" si="0"/>
        <v>-7964574.0181415081</v>
      </c>
      <c r="G25" s="76">
        <f t="shared" si="1"/>
        <v>-3.5939910216114423E-2</v>
      </c>
      <c r="H25" s="44">
        <f>H15+H18+H21+H24</f>
        <v>1539396600.0800002</v>
      </c>
      <c r="I25" s="44">
        <f>I15+I18+I21+I24</f>
        <v>1320589196.330174</v>
      </c>
      <c r="J25" s="23">
        <f t="shared" si="2"/>
        <v>218807403.74982619</v>
      </c>
      <c r="K25" s="76">
        <f t="shared" si="3"/>
        <v>0.16568922747352222</v>
      </c>
      <c r="L25" s="44">
        <f>L15+L18+L21+L24</f>
        <v>2650237596.1590233</v>
      </c>
      <c r="M25" s="23">
        <f t="shared" si="4"/>
        <v>-1110840996.0790231</v>
      </c>
      <c r="N25" s="75">
        <f t="shared" si="5"/>
        <v>-0.4191477012057182</v>
      </c>
      <c r="O25" s="46">
        <f>O15+O18+O21+O24</f>
        <v>213643492.62</v>
      </c>
      <c r="P25" s="45">
        <f>P15+P18+P21+P24</f>
        <v>221608066.63814151</v>
      </c>
      <c r="Q25" s="23">
        <f t="shared" si="6"/>
        <v>-7964574.0181415081</v>
      </c>
      <c r="R25" s="76">
        <f t="shared" si="7"/>
        <v>-3.5939910216114423E-2</v>
      </c>
      <c r="S25" s="44">
        <f>S15+S18+S21+S24</f>
        <v>1539396600.0800002</v>
      </c>
      <c r="T25" s="44">
        <f>T15+T18+T21+T24</f>
        <v>1320589196.330174</v>
      </c>
      <c r="U25" s="23">
        <f t="shared" si="8"/>
        <v>218807403.74982619</v>
      </c>
      <c r="V25" s="76">
        <f t="shared" si="9"/>
        <v>0.16568922747352222</v>
      </c>
      <c r="W25" s="44">
        <f>W15+W18+W21+W24</f>
        <v>2650237596.1590233</v>
      </c>
      <c r="X25" s="23">
        <f t="shared" si="10"/>
        <v>-1110840996.0790231</v>
      </c>
      <c r="Y25" s="75">
        <f t="shared" si="11"/>
        <v>-0.4191477012057182</v>
      </c>
      <c r="Z25" s="46">
        <f>Z15+Z18+Z21+Z24</f>
        <v>213643492.62</v>
      </c>
      <c r="AA25" s="45">
        <f>AA15+AA18+AA21+AA24</f>
        <v>221608066.63814151</v>
      </c>
      <c r="AB25" s="23">
        <f t="shared" si="12"/>
        <v>-7964574.0181415081</v>
      </c>
      <c r="AC25" s="76">
        <f t="shared" si="13"/>
        <v>-3.5939910216114423E-2</v>
      </c>
      <c r="AD25" s="44">
        <f>AD15+AD18+AD21+AD24</f>
        <v>1539396600.0800002</v>
      </c>
      <c r="AE25" s="44">
        <f>AE15+AE18+AE21+AE24</f>
        <v>1320589196.330174</v>
      </c>
      <c r="AF25" s="23">
        <f t="shared" si="14"/>
        <v>218807403.74982619</v>
      </c>
      <c r="AG25" s="76">
        <f t="shared" si="15"/>
        <v>0.16568922747352222</v>
      </c>
      <c r="AH25" s="44">
        <f>AH15+AH18+AH21+AH24</f>
        <v>2650237596.1590233</v>
      </c>
      <c r="AI25" s="23">
        <f t="shared" si="16"/>
        <v>-1110840996.0790231</v>
      </c>
      <c r="AJ25" s="75">
        <f t="shared" si="17"/>
        <v>-0.4191477012057182</v>
      </c>
      <c r="AK25" s="46">
        <f>AK15+AK18+AK21+AK24</f>
        <v>213643492.62</v>
      </c>
      <c r="AL25" s="45">
        <f>AL15+AL18+AL21+AL24</f>
        <v>221608066.63814151</v>
      </c>
      <c r="AM25" s="23">
        <f t="shared" si="18"/>
        <v>-7964574.0181415081</v>
      </c>
      <c r="AN25" s="76">
        <f t="shared" si="19"/>
        <v>-3.5939910216114423E-2</v>
      </c>
      <c r="AO25" s="44">
        <f>AO15+AO18+AO21+AO24</f>
        <v>1539396600.0800002</v>
      </c>
      <c r="AP25" s="44">
        <f>AP15+AP18+AP21+AP24</f>
        <v>1320589196.330174</v>
      </c>
      <c r="AQ25" s="23">
        <f t="shared" si="20"/>
        <v>218807403.74982619</v>
      </c>
      <c r="AR25" s="76">
        <f t="shared" si="21"/>
        <v>0.16568922747352222</v>
      </c>
      <c r="AS25" s="44">
        <f>AS15+AS18+AS21+AS24</f>
        <v>2650237596.1590233</v>
      </c>
      <c r="AT25" s="23">
        <f t="shared" si="22"/>
        <v>-1110840996.0790231</v>
      </c>
      <c r="AU25" s="75">
        <f t="shared" si="23"/>
        <v>-0.4191477012057182</v>
      </c>
      <c r="AV25" s="46">
        <f>AV15+AV18+AV21+AV24</f>
        <v>213643492.62</v>
      </c>
      <c r="AW25" s="45">
        <f>AW15+AW18+AW21+AW24</f>
        <v>221608066.63814151</v>
      </c>
      <c r="AX25" s="23">
        <f t="shared" si="24"/>
        <v>-7964574.0181415081</v>
      </c>
      <c r="AY25" s="76">
        <f t="shared" si="25"/>
        <v>-3.5939910216114423E-2</v>
      </c>
      <c r="AZ25" s="44">
        <f>AZ15+AZ18+AZ21+AZ24</f>
        <v>1539396600.0800002</v>
      </c>
      <c r="BA25" s="44">
        <f>BA15+BA18+BA21+BA24</f>
        <v>1320589196.330174</v>
      </c>
      <c r="BB25" s="23">
        <f t="shared" si="26"/>
        <v>218807403.74982619</v>
      </c>
      <c r="BC25" s="76">
        <f t="shared" si="27"/>
        <v>0.16568922747352222</v>
      </c>
      <c r="BD25" s="44">
        <f>BD15+BD18+BD21+BD24</f>
        <v>2650237596.1590233</v>
      </c>
      <c r="BE25" s="23">
        <f t="shared" si="28"/>
        <v>-1110840996.0790231</v>
      </c>
      <c r="BF25" s="75">
        <f t="shared" si="29"/>
        <v>-0.4191477012057182</v>
      </c>
      <c r="BG25" s="46">
        <f>BG15+BG18+BG21+BG24</f>
        <v>213643492.62</v>
      </c>
      <c r="BH25" s="45">
        <f>BH15+BH18+BH21+BH24</f>
        <v>221608066.63814151</v>
      </c>
      <c r="BI25" s="23">
        <f t="shared" si="30"/>
        <v>-7964574.0181415081</v>
      </c>
      <c r="BJ25" s="76">
        <f t="shared" si="31"/>
        <v>-3.5939910216114423E-2</v>
      </c>
      <c r="BK25" s="44">
        <f>BK15+BK18+BK21+BK24</f>
        <v>1539396600.0800002</v>
      </c>
      <c r="BL25" s="44">
        <f>BL15+BL18+BL21+BL24</f>
        <v>1320589196.330174</v>
      </c>
      <c r="BM25" s="23">
        <f t="shared" si="32"/>
        <v>218807403.74982619</v>
      </c>
      <c r="BN25" s="76">
        <f t="shared" si="33"/>
        <v>0.16568922747352222</v>
      </c>
      <c r="BO25" s="44">
        <f>BO15+BO18+BO21+BO24</f>
        <v>2650237596.1590233</v>
      </c>
      <c r="BP25" s="23">
        <f t="shared" si="34"/>
        <v>-1110840996.0790231</v>
      </c>
      <c r="BQ25" s="75">
        <f t="shared" si="35"/>
        <v>-0.4191477012057182</v>
      </c>
      <c r="BR25" s="46">
        <f>BR15+BR18+BR21+BR24</f>
        <v>213643492.62</v>
      </c>
      <c r="BS25" s="45">
        <f>BS15+BS18+BS21+BS24</f>
        <v>221608066.63814151</v>
      </c>
      <c r="BT25" s="23">
        <f t="shared" si="36"/>
        <v>-7964574.0181415081</v>
      </c>
      <c r="BU25" s="76">
        <f t="shared" si="37"/>
        <v>-3.5939910216114423E-2</v>
      </c>
      <c r="BV25" s="44">
        <f>BV15+BV18+BV21+BV24</f>
        <v>1539396600.0800002</v>
      </c>
      <c r="BW25" s="44">
        <f>BW15+BW18+BW21+BW24</f>
        <v>1320589196.330174</v>
      </c>
      <c r="BX25" s="23">
        <f t="shared" si="38"/>
        <v>218807403.74982619</v>
      </c>
      <c r="BY25" s="76">
        <f t="shared" si="39"/>
        <v>0.16568922747352222</v>
      </c>
      <c r="BZ25" s="44">
        <f>BZ15+BZ18+BZ21+BZ24</f>
        <v>2650237596.1590233</v>
      </c>
      <c r="CA25" s="23">
        <f t="shared" si="40"/>
        <v>-1110840996.0790231</v>
      </c>
      <c r="CB25" s="75">
        <f t="shared" si="41"/>
        <v>-0.4191477012057182</v>
      </c>
      <c r="CC25" s="46">
        <f>CC15+CC18+CC21+CC24</f>
        <v>213643492.62</v>
      </c>
      <c r="CD25" s="45">
        <f>CD15+CD18+CD21+CD24</f>
        <v>221608066.63814151</v>
      </c>
      <c r="CE25" s="23">
        <f t="shared" si="42"/>
        <v>-7964574.0181415081</v>
      </c>
      <c r="CF25" s="76">
        <f t="shared" si="43"/>
        <v>-3.5939910216114423E-2</v>
      </c>
      <c r="CG25" s="44">
        <f>CG15+CG18+CG21+CG24</f>
        <v>1539396600.0800002</v>
      </c>
      <c r="CH25" s="44">
        <f>CH15+CH18+CH21+CH24</f>
        <v>1320589196.330174</v>
      </c>
      <c r="CI25" s="23">
        <f t="shared" si="44"/>
        <v>218807403.74982619</v>
      </c>
      <c r="CJ25" s="76">
        <f t="shared" si="45"/>
        <v>0.16568922747352222</v>
      </c>
      <c r="CK25" s="44">
        <f>CK15+CK18+CK21+CK24</f>
        <v>2650237596.1590233</v>
      </c>
      <c r="CL25" s="23">
        <f t="shared" si="46"/>
        <v>-1110840996.0790231</v>
      </c>
      <c r="CM25" s="75">
        <f t="shared" si="47"/>
        <v>-0.4191477012057182</v>
      </c>
      <c r="CN25" s="46">
        <f>CN15+CN18+CN21+CN24</f>
        <v>213643492.62</v>
      </c>
      <c r="CO25" s="45">
        <f>CO15+CO18+CO21+CO24</f>
        <v>221608066.63814151</v>
      </c>
      <c r="CP25" s="23">
        <f t="shared" si="48"/>
        <v>-7964574.0181415081</v>
      </c>
      <c r="CQ25" s="76">
        <f t="shared" si="49"/>
        <v>-3.5939910216114423E-2</v>
      </c>
      <c r="CR25" s="44">
        <f>CR15+CR18+CR21+CR24</f>
        <v>1539396600.0800002</v>
      </c>
      <c r="CS25" s="44">
        <f>CS15+CS18+CS21+CS24</f>
        <v>1320589196.330174</v>
      </c>
      <c r="CT25" s="23">
        <f t="shared" si="50"/>
        <v>218807403.74982619</v>
      </c>
      <c r="CU25" s="76">
        <f t="shared" si="51"/>
        <v>0.16568922747352222</v>
      </c>
      <c r="CV25" s="44">
        <f>CV15+CV18+CV21+CV24</f>
        <v>2650237596.1590233</v>
      </c>
      <c r="CW25" s="23">
        <f t="shared" si="52"/>
        <v>-1110840996.0790231</v>
      </c>
      <c r="CX25" s="75">
        <f t="shared" si="53"/>
        <v>-0.4191477012057182</v>
      </c>
      <c r="CY25" s="46">
        <f>CY15+CY18+CY21+CY24</f>
        <v>213643492.62</v>
      </c>
      <c r="CZ25" s="45">
        <f>CZ15+CZ18+CZ21+CZ24</f>
        <v>221608066.63814151</v>
      </c>
      <c r="DA25" s="23">
        <f t="shared" si="54"/>
        <v>-7964574.0181415081</v>
      </c>
      <c r="DB25" s="76">
        <f t="shared" si="55"/>
        <v>-3.5939910216114423E-2</v>
      </c>
      <c r="DC25" s="44">
        <f>DC15+DC18+DC21+DC24</f>
        <v>1539396600.0800002</v>
      </c>
      <c r="DD25" s="44">
        <f>DD15+DD18+DD21+DD24</f>
        <v>1320589196.330174</v>
      </c>
      <c r="DE25" s="23">
        <f t="shared" si="56"/>
        <v>218807403.74982619</v>
      </c>
      <c r="DF25" s="76">
        <f t="shared" si="57"/>
        <v>0.16568922747352222</v>
      </c>
      <c r="DG25" s="44">
        <f>DG15+DG18+DG21+DG24</f>
        <v>2650237596.1590233</v>
      </c>
      <c r="DH25" s="23">
        <f t="shared" si="58"/>
        <v>-1110840996.0790231</v>
      </c>
      <c r="DI25" s="75">
        <f t="shared" si="59"/>
        <v>-0.4191477012057182</v>
      </c>
    </row>
    <row r="26" spans="1:113" s="6" customFormat="1" hidden="1" outlineLevel="2" x14ac:dyDescent="0.2">
      <c r="B26" s="29" t="s">
        <v>102</v>
      </c>
      <c r="C26" s="52" t="s">
        <v>101</v>
      </c>
      <c r="D26" s="27">
        <v>5000000</v>
      </c>
      <c r="E26" s="26">
        <v>5753441.4887820091</v>
      </c>
      <c r="F26" s="23">
        <f t="shared" si="0"/>
        <v>-753441.48878200911</v>
      </c>
      <c r="G26" s="76">
        <f t="shared" si="1"/>
        <v>-0.13095492328392666</v>
      </c>
      <c r="H26" s="24">
        <f>D26*6</f>
        <v>30000000</v>
      </c>
      <c r="I26" s="24">
        <v>33785316.582061373</v>
      </c>
      <c r="J26" s="23">
        <f t="shared" si="2"/>
        <v>-3785316.5820613727</v>
      </c>
      <c r="K26" s="76">
        <f t="shared" si="3"/>
        <v>-0.11204028746829098</v>
      </c>
      <c r="L26" s="24">
        <v>68305965.514753431</v>
      </c>
      <c r="M26" s="23">
        <f t="shared" si="4"/>
        <v>-38305965.514753431</v>
      </c>
      <c r="N26" s="75">
        <f t="shared" si="5"/>
        <v>-0.56079970799153278</v>
      </c>
      <c r="O26" s="27">
        <v>5000000</v>
      </c>
      <c r="P26" s="26">
        <v>5753441.4887820091</v>
      </c>
      <c r="Q26" s="23">
        <f t="shared" si="6"/>
        <v>-753441.48878200911</v>
      </c>
      <c r="R26" s="76">
        <f t="shared" si="7"/>
        <v>-0.13095492328392666</v>
      </c>
      <c r="S26" s="24">
        <f>O26*6</f>
        <v>30000000</v>
      </c>
      <c r="T26" s="24">
        <v>33785316.582061373</v>
      </c>
      <c r="U26" s="23">
        <f t="shared" si="8"/>
        <v>-3785316.5820613727</v>
      </c>
      <c r="V26" s="76">
        <f t="shared" si="9"/>
        <v>-0.11204028746829098</v>
      </c>
      <c r="W26" s="24">
        <v>68305965.514753431</v>
      </c>
      <c r="X26" s="23">
        <f t="shared" si="10"/>
        <v>-38305965.514753431</v>
      </c>
      <c r="Y26" s="75">
        <f t="shared" si="11"/>
        <v>-0.56079970799153278</v>
      </c>
      <c r="Z26" s="27">
        <v>5000000</v>
      </c>
      <c r="AA26" s="26">
        <v>5753441.4887820091</v>
      </c>
      <c r="AB26" s="23">
        <f t="shared" si="12"/>
        <v>-753441.48878200911</v>
      </c>
      <c r="AC26" s="76">
        <f t="shared" si="13"/>
        <v>-0.13095492328392666</v>
      </c>
      <c r="AD26" s="24">
        <f>Z26*6</f>
        <v>30000000</v>
      </c>
      <c r="AE26" s="24">
        <v>33785316.582061373</v>
      </c>
      <c r="AF26" s="23">
        <f t="shared" si="14"/>
        <v>-3785316.5820613727</v>
      </c>
      <c r="AG26" s="76">
        <f t="shared" si="15"/>
        <v>-0.11204028746829098</v>
      </c>
      <c r="AH26" s="24">
        <v>68305965.514753431</v>
      </c>
      <c r="AI26" s="23">
        <f t="shared" si="16"/>
        <v>-38305965.514753431</v>
      </c>
      <c r="AJ26" s="75">
        <f t="shared" si="17"/>
        <v>-0.56079970799153278</v>
      </c>
      <c r="AK26" s="27">
        <v>5000000</v>
      </c>
      <c r="AL26" s="26">
        <v>5753441.4887820091</v>
      </c>
      <c r="AM26" s="23">
        <f t="shared" si="18"/>
        <v>-753441.48878200911</v>
      </c>
      <c r="AN26" s="76">
        <f t="shared" si="19"/>
        <v>-0.13095492328392666</v>
      </c>
      <c r="AO26" s="24">
        <f>AK26*6</f>
        <v>30000000</v>
      </c>
      <c r="AP26" s="24">
        <v>33785316.582061373</v>
      </c>
      <c r="AQ26" s="23">
        <f t="shared" si="20"/>
        <v>-3785316.5820613727</v>
      </c>
      <c r="AR26" s="76">
        <f t="shared" si="21"/>
        <v>-0.11204028746829098</v>
      </c>
      <c r="AS26" s="24">
        <v>68305965.514753431</v>
      </c>
      <c r="AT26" s="23">
        <f t="shared" si="22"/>
        <v>-38305965.514753431</v>
      </c>
      <c r="AU26" s="75">
        <f t="shared" si="23"/>
        <v>-0.56079970799153278</v>
      </c>
      <c r="AV26" s="27">
        <v>5000000</v>
      </c>
      <c r="AW26" s="26">
        <v>5753441.4887820091</v>
      </c>
      <c r="AX26" s="23">
        <f t="shared" si="24"/>
        <v>-753441.48878200911</v>
      </c>
      <c r="AY26" s="76">
        <f t="shared" si="25"/>
        <v>-0.13095492328392666</v>
      </c>
      <c r="AZ26" s="24">
        <f>AV26*6</f>
        <v>30000000</v>
      </c>
      <c r="BA26" s="24">
        <v>33785316.582061373</v>
      </c>
      <c r="BB26" s="23">
        <f t="shared" si="26"/>
        <v>-3785316.5820613727</v>
      </c>
      <c r="BC26" s="76">
        <f t="shared" si="27"/>
        <v>-0.11204028746829098</v>
      </c>
      <c r="BD26" s="24">
        <v>68305965.514753431</v>
      </c>
      <c r="BE26" s="23">
        <f t="shared" si="28"/>
        <v>-38305965.514753431</v>
      </c>
      <c r="BF26" s="75">
        <f t="shared" si="29"/>
        <v>-0.56079970799153278</v>
      </c>
      <c r="BG26" s="27">
        <v>5000000</v>
      </c>
      <c r="BH26" s="26">
        <v>5753441.4887820091</v>
      </c>
      <c r="BI26" s="23">
        <f t="shared" si="30"/>
        <v>-753441.48878200911</v>
      </c>
      <c r="BJ26" s="76">
        <f t="shared" si="31"/>
        <v>-0.13095492328392666</v>
      </c>
      <c r="BK26" s="24">
        <f>BG26*6</f>
        <v>30000000</v>
      </c>
      <c r="BL26" s="24">
        <v>33785316.582061373</v>
      </c>
      <c r="BM26" s="23">
        <f t="shared" si="32"/>
        <v>-3785316.5820613727</v>
      </c>
      <c r="BN26" s="76">
        <f t="shared" si="33"/>
        <v>-0.11204028746829098</v>
      </c>
      <c r="BO26" s="24">
        <v>68305965.514753431</v>
      </c>
      <c r="BP26" s="23">
        <f t="shared" si="34"/>
        <v>-38305965.514753431</v>
      </c>
      <c r="BQ26" s="75">
        <f t="shared" si="35"/>
        <v>-0.56079970799153278</v>
      </c>
      <c r="BR26" s="27">
        <v>5000000</v>
      </c>
      <c r="BS26" s="26">
        <v>5753441.4887820091</v>
      </c>
      <c r="BT26" s="23">
        <f t="shared" si="36"/>
        <v>-753441.48878200911</v>
      </c>
      <c r="BU26" s="76">
        <f t="shared" si="37"/>
        <v>-0.13095492328392666</v>
      </c>
      <c r="BV26" s="24">
        <f>BR26*6</f>
        <v>30000000</v>
      </c>
      <c r="BW26" s="24">
        <v>33785316.582061373</v>
      </c>
      <c r="BX26" s="23">
        <f t="shared" si="38"/>
        <v>-3785316.5820613727</v>
      </c>
      <c r="BY26" s="76">
        <f t="shared" si="39"/>
        <v>-0.11204028746829098</v>
      </c>
      <c r="BZ26" s="24">
        <v>68305965.514753431</v>
      </c>
      <c r="CA26" s="23">
        <f t="shared" si="40"/>
        <v>-38305965.514753431</v>
      </c>
      <c r="CB26" s="75">
        <f t="shared" si="41"/>
        <v>-0.56079970799153278</v>
      </c>
      <c r="CC26" s="27">
        <v>5000000</v>
      </c>
      <c r="CD26" s="26">
        <v>5753441.4887820091</v>
      </c>
      <c r="CE26" s="23">
        <f t="shared" si="42"/>
        <v>-753441.48878200911</v>
      </c>
      <c r="CF26" s="76">
        <f t="shared" si="43"/>
        <v>-0.13095492328392666</v>
      </c>
      <c r="CG26" s="24">
        <f>CC26*6</f>
        <v>30000000</v>
      </c>
      <c r="CH26" s="24">
        <v>33785316.582061373</v>
      </c>
      <c r="CI26" s="23">
        <f t="shared" si="44"/>
        <v>-3785316.5820613727</v>
      </c>
      <c r="CJ26" s="76">
        <f t="shared" si="45"/>
        <v>-0.11204028746829098</v>
      </c>
      <c r="CK26" s="24">
        <v>68305965.514753431</v>
      </c>
      <c r="CL26" s="23">
        <f t="shared" si="46"/>
        <v>-38305965.514753431</v>
      </c>
      <c r="CM26" s="75">
        <f t="shared" si="47"/>
        <v>-0.56079970799153278</v>
      </c>
      <c r="CN26" s="27">
        <v>5000000</v>
      </c>
      <c r="CO26" s="26">
        <v>5753441.4887820091</v>
      </c>
      <c r="CP26" s="23">
        <f t="shared" si="48"/>
        <v>-753441.48878200911</v>
      </c>
      <c r="CQ26" s="76">
        <f t="shared" si="49"/>
        <v>-0.13095492328392666</v>
      </c>
      <c r="CR26" s="24">
        <f>CN26*6</f>
        <v>30000000</v>
      </c>
      <c r="CS26" s="24">
        <v>33785316.582061373</v>
      </c>
      <c r="CT26" s="23">
        <f t="shared" si="50"/>
        <v>-3785316.5820613727</v>
      </c>
      <c r="CU26" s="76">
        <f t="shared" si="51"/>
        <v>-0.11204028746829098</v>
      </c>
      <c r="CV26" s="24">
        <v>68305965.514753431</v>
      </c>
      <c r="CW26" s="23">
        <f t="shared" si="52"/>
        <v>-38305965.514753431</v>
      </c>
      <c r="CX26" s="75">
        <f t="shared" si="53"/>
        <v>-0.56079970799153278</v>
      </c>
      <c r="CY26" s="27">
        <v>5000000</v>
      </c>
      <c r="CZ26" s="26">
        <v>5753441.4887820091</v>
      </c>
      <c r="DA26" s="23">
        <f t="shared" si="54"/>
        <v>-753441.48878200911</v>
      </c>
      <c r="DB26" s="76">
        <f t="shared" si="55"/>
        <v>-0.13095492328392666</v>
      </c>
      <c r="DC26" s="24">
        <f>CY26*6</f>
        <v>30000000</v>
      </c>
      <c r="DD26" s="24">
        <v>33785316.582061373</v>
      </c>
      <c r="DE26" s="23">
        <f t="shared" si="56"/>
        <v>-3785316.5820613727</v>
      </c>
      <c r="DF26" s="76">
        <f t="shared" si="57"/>
        <v>-0.11204028746829098</v>
      </c>
      <c r="DG26" s="24">
        <v>68305965.514753431</v>
      </c>
      <c r="DH26" s="23">
        <f t="shared" si="58"/>
        <v>-38305965.514753431</v>
      </c>
      <c r="DI26" s="75">
        <f t="shared" si="59"/>
        <v>-0.56079970799153278</v>
      </c>
    </row>
    <row r="27" spans="1:113" s="6" customFormat="1" hidden="1" outlineLevel="2" x14ac:dyDescent="0.2">
      <c r="B27" s="29" t="s">
        <v>100</v>
      </c>
      <c r="C27" s="52" t="s">
        <v>99</v>
      </c>
      <c r="D27" s="27">
        <v>0</v>
      </c>
      <c r="E27" s="26">
        <v>0</v>
      </c>
      <c r="F27" s="23">
        <f t="shared" si="0"/>
        <v>0</v>
      </c>
      <c r="G27" s="76" t="str">
        <f t="shared" si="1"/>
        <v>-</v>
      </c>
      <c r="H27" s="24">
        <v>0</v>
      </c>
      <c r="I27" s="24">
        <v>0</v>
      </c>
      <c r="J27" s="23">
        <f t="shared" si="2"/>
        <v>0</v>
      </c>
      <c r="K27" s="76" t="str">
        <f t="shared" si="3"/>
        <v>-</v>
      </c>
      <c r="L27" s="24">
        <v>0</v>
      </c>
      <c r="M27" s="23">
        <f t="shared" si="4"/>
        <v>0</v>
      </c>
      <c r="N27" s="75" t="str">
        <f t="shared" si="5"/>
        <v>-</v>
      </c>
      <c r="O27" s="27">
        <v>0</v>
      </c>
      <c r="P27" s="26">
        <v>0</v>
      </c>
      <c r="Q27" s="23">
        <f t="shared" si="6"/>
        <v>0</v>
      </c>
      <c r="R27" s="76" t="str">
        <f t="shared" si="7"/>
        <v>-</v>
      </c>
      <c r="S27" s="24">
        <v>0</v>
      </c>
      <c r="T27" s="24">
        <v>0</v>
      </c>
      <c r="U27" s="23">
        <f t="shared" si="8"/>
        <v>0</v>
      </c>
      <c r="V27" s="76" t="str">
        <f t="shared" si="9"/>
        <v>-</v>
      </c>
      <c r="W27" s="24">
        <v>0</v>
      </c>
      <c r="X27" s="23">
        <f t="shared" si="10"/>
        <v>0</v>
      </c>
      <c r="Y27" s="75" t="str">
        <f t="shared" si="11"/>
        <v>-</v>
      </c>
      <c r="Z27" s="27">
        <v>0</v>
      </c>
      <c r="AA27" s="26">
        <v>0</v>
      </c>
      <c r="AB27" s="23">
        <f t="shared" si="12"/>
        <v>0</v>
      </c>
      <c r="AC27" s="76" t="str">
        <f t="shared" si="13"/>
        <v>-</v>
      </c>
      <c r="AD27" s="24">
        <v>0</v>
      </c>
      <c r="AE27" s="24">
        <v>0</v>
      </c>
      <c r="AF27" s="23">
        <f t="shared" si="14"/>
        <v>0</v>
      </c>
      <c r="AG27" s="76" t="str">
        <f t="shared" si="15"/>
        <v>-</v>
      </c>
      <c r="AH27" s="24">
        <v>0</v>
      </c>
      <c r="AI27" s="23">
        <f t="shared" si="16"/>
        <v>0</v>
      </c>
      <c r="AJ27" s="75" t="str">
        <f t="shared" si="17"/>
        <v>-</v>
      </c>
      <c r="AK27" s="27">
        <v>0</v>
      </c>
      <c r="AL27" s="26">
        <v>0</v>
      </c>
      <c r="AM27" s="23">
        <f t="shared" si="18"/>
        <v>0</v>
      </c>
      <c r="AN27" s="76" t="str">
        <f t="shared" si="19"/>
        <v>-</v>
      </c>
      <c r="AO27" s="24">
        <v>0</v>
      </c>
      <c r="AP27" s="24">
        <v>0</v>
      </c>
      <c r="AQ27" s="23">
        <f t="shared" si="20"/>
        <v>0</v>
      </c>
      <c r="AR27" s="76" t="str">
        <f t="shared" si="21"/>
        <v>-</v>
      </c>
      <c r="AS27" s="24">
        <v>0</v>
      </c>
      <c r="AT27" s="23">
        <f t="shared" si="22"/>
        <v>0</v>
      </c>
      <c r="AU27" s="75" t="str">
        <f t="shared" si="23"/>
        <v>-</v>
      </c>
      <c r="AV27" s="27">
        <v>0</v>
      </c>
      <c r="AW27" s="26">
        <v>0</v>
      </c>
      <c r="AX27" s="23">
        <f t="shared" si="24"/>
        <v>0</v>
      </c>
      <c r="AY27" s="76" t="str">
        <f t="shared" si="25"/>
        <v>-</v>
      </c>
      <c r="AZ27" s="24">
        <v>0</v>
      </c>
      <c r="BA27" s="24">
        <v>0</v>
      </c>
      <c r="BB27" s="23">
        <f t="shared" si="26"/>
        <v>0</v>
      </c>
      <c r="BC27" s="76" t="str">
        <f t="shared" si="27"/>
        <v>-</v>
      </c>
      <c r="BD27" s="24">
        <v>0</v>
      </c>
      <c r="BE27" s="23">
        <f t="shared" si="28"/>
        <v>0</v>
      </c>
      <c r="BF27" s="75" t="str">
        <f t="shared" si="29"/>
        <v>-</v>
      </c>
      <c r="BG27" s="27">
        <v>0</v>
      </c>
      <c r="BH27" s="26">
        <v>0</v>
      </c>
      <c r="BI27" s="23">
        <f t="shared" si="30"/>
        <v>0</v>
      </c>
      <c r="BJ27" s="76" t="str">
        <f t="shared" si="31"/>
        <v>-</v>
      </c>
      <c r="BK27" s="24">
        <v>0</v>
      </c>
      <c r="BL27" s="24">
        <v>0</v>
      </c>
      <c r="BM27" s="23">
        <f t="shared" si="32"/>
        <v>0</v>
      </c>
      <c r="BN27" s="76" t="str">
        <f t="shared" si="33"/>
        <v>-</v>
      </c>
      <c r="BO27" s="24">
        <v>0</v>
      </c>
      <c r="BP27" s="23">
        <f t="shared" si="34"/>
        <v>0</v>
      </c>
      <c r="BQ27" s="75" t="str">
        <f t="shared" si="35"/>
        <v>-</v>
      </c>
      <c r="BR27" s="27">
        <v>0</v>
      </c>
      <c r="BS27" s="26">
        <v>0</v>
      </c>
      <c r="BT27" s="23">
        <f t="shared" si="36"/>
        <v>0</v>
      </c>
      <c r="BU27" s="76" t="str">
        <f t="shared" si="37"/>
        <v>-</v>
      </c>
      <c r="BV27" s="24">
        <v>0</v>
      </c>
      <c r="BW27" s="24">
        <v>0</v>
      </c>
      <c r="BX27" s="23">
        <f t="shared" si="38"/>
        <v>0</v>
      </c>
      <c r="BY27" s="76" t="str">
        <f t="shared" si="39"/>
        <v>-</v>
      </c>
      <c r="BZ27" s="24">
        <v>0</v>
      </c>
      <c r="CA27" s="23">
        <f t="shared" si="40"/>
        <v>0</v>
      </c>
      <c r="CB27" s="75" t="str">
        <f t="shared" si="41"/>
        <v>-</v>
      </c>
      <c r="CC27" s="27">
        <v>0</v>
      </c>
      <c r="CD27" s="26">
        <v>0</v>
      </c>
      <c r="CE27" s="23">
        <f t="shared" si="42"/>
        <v>0</v>
      </c>
      <c r="CF27" s="76" t="str">
        <f t="shared" si="43"/>
        <v>-</v>
      </c>
      <c r="CG27" s="24">
        <v>0</v>
      </c>
      <c r="CH27" s="24">
        <v>0</v>
      </c>
      <c r="CI27" s="23">
        <f t="shared" si="44"/>
        <v>0</v>
      </c>
      <c r="CJ27" s="76" t="str">
        <f t="shared" si="45"/>
        <v>-</v>
      </c>
      <c r="CK27" s="24">
        <v>0</v>
      </c>
      <c r="CL27" s="23">
        <f t="shared" si="46"/>
        <v>0</v>
      </c>
      <c r="CM27" s="75" t="str">
        <f t="shared" si="47"/>
        <v>-</v>
      </c>
      <c r="CN27" s="27">
        <v>0</v>
      </c>
      <c r="CO27" s="26">
        <v>0</v>
      </c>
      <c r="CP27" s="23">
        <f t="shared" si="48"/>
        <v>0</v>
      </c>
      <c r="CQ27" s="76" t="str">
        <f t="shared" si="49"/>
        <v>-</v>
      </c>
      <c r="CR27" s="24">
        <v>0</v>
      </c>
      <c r="CS27" s="24">
        <v>0</v>
      </c>
      <c r="CT27" s="23">
        <f t="shared" si="50"/>
        <v>0</v>
      </c>
      <c r="CU27" s="76" t="str">
        <f t="shared" si="51"/>
        <v>-</v>
      </c>
      <c r="CV27" s="24">
        <v>0</v>
      </c>
      <c r="CW27" s="23">
        <f t="shared" si="52"/>
        <v>0</v>
      </c>
      <c r="CX27" s="75" t="str">
        <f t="shared" si="53"/>
        <v>-</v>
      </c>
      <c r="CY27" s="27">
        <v>0</v>
      </c>
      <c r="CZ27" s="26">
        <v>0</v>
      </c>
      <c r="DA27" s="23">
        <f t="shared" si="54"/>
        <v>0</v>
      </c>
      <c r="DB27" s="76" t="str">
        <f t="shared" si="55"/>
        <v>-</v>
      </c>
      <c r="DC27" s="24">
        <v>0</v>
      </c>
      <c r="DD27" s="24">
        <v>0</v>
      </c>
      <c r="DE27" s="23">
        <f t="shared" si="56"/>
        <v>0</v>
      </c>
      <c r="DF27" s="76" t="str">
        <f t="shared" si="57"/>
        <v>-</v>
      </c>
      <c r="DG27" s="24">
        <v>0</v>
      </c>
      <c r="DH27" s="23">
        <f t="shared" si="58"/>
        <v>0</v>
      </c>
      <c r="DI27" s="75" t="str">
        <f t="shared" si="59"/>
        <v>-</v>
      </c>
    </row>
    <row r="28" spans="1:113" s="6" customFormat="1" outlineLevel="1" collapsed="1" x14ac:dyDescent="0.2">
      <c r="A28" s="30"/>
      <c r="B28" s="48" t="s">
        <v>98</v>
      </c>
      <c r="C28" s="55" t="s">
        <v>97</v>
      </c>
      <c r="D28" s="46">
        <f>SUM(D26:D27)</f>
        <v>5000000</v>
      </c>
      <c r="E28" s="45">
        <f>SUM(E26:E27)</f>
        <v>5753441.4887820091</v>
      </c>
      <c r="F28" s="23">
        <f t="shared" si="0"/>
        <v>-753441.48878200911</v>
      </c>
      <c r="G28" s="76">
        <f t="shared" si="1"/>
        <v>-0.13095492328392666</v>
      </c>
      <c r="H28" s="44">
        <f>SUM(H26:H27)</f>
        <v>30000000</v>
      </c>
      <c r="I28" s="44">
        <f>SUM(I26:I27)</f>
        <v>33785316.582061373</v>
      </c>
      <c r="J28" s="23">
        <f t="shared" si="2"/>
        <v>-3785316.5820613727</v>
      </c>
      <c r="K28" s="76">
        <f t="shared" si="3"/>
        <v>-0.11204028746829098</v>
      </c>
      <c r="L28" s="44">
        <f>SUM(L26:L27)</f>
        <v>68305965.514753431</v>
      </c>
      <c r="M28" s="23">
        <f t="shared" si="4"/>
        <v>-38305965.514753431</v>
      </c>
      <c r="N28" s="75">
        <f t="shared" si="5"/>
        <v>-0.56079970799153278</v>
      </c>
      <c r="O28" s="46">
        <f>SUM(O26:O27)</f>
        <v>5000000</v>
      </c>
      <c r="P28" s="45">
        <f>SUM(P26:P27)</f>
        <v>5753441.4887820091</v>
      </c>
      <c r="Q28" s="23">
        <f t="shared" si="6"/>
        <v>-753441.48878200911</v>
      </c>
      <c r="R28" s="76">
        <f t="shared" si="7"/>
        <v>-0.13095492328392666</v>
      </c>
      <c r="S28" s="44">
        <f>SUM(S26:S27)</f>
        <v>30000000</v>
      </c>
      <c r="T28" s="44">
        <f>SUM(T26:T27)</f>
        <v>33785316.582061373</v>
      </c>
      <c r="U28" s="23">
        <f t="shared" si="8"/>
        <v>-3785316.5820613727</v>
      </c>
      <c r="V28" s="76">
        <f t="shared" si="9"/>
        <v>-0.11204028746829098</v>
      </c>
      <c r="W28" s="44">
        <f>SUM(W26:W27)</f>
        <v>68305965.514753431</v>
      </c>
      <c r="X28" s="23">
        <f t="shared" si="10"/>
        <v>-38305965.514753431</v>
      </c>
      <c r="Y28" s="75">
        <f t="shared" si="11"/>
        <v>-0.56079970799153278</v>
      </c>
      <c r="Z28" s="46">
        <f>SUM(Z26:Z27)</f>
        <v>5000000</v>
      </c>
      <c r="AA28" s="45">
        <f>SUM(AA26:AA27)</f>
        <v>5753441.4887820091</v>
      </c>
      <c r="AB28" s="23">
        <f t="shared" si="12"/>
        <v>-753441.48878200911</v>
      </c>
      <c r="AC28" s="76">
        <f t="shared" si="13"/>
        <v>-0.13095492328392666</v>
      </c>
      <c r="AD28" s="44">
        <f>SUM(AD26:AD27)</f>
        <v>30000000</v>
      </c>
      <c r="AE28" s="44">
        <f>SUM(AE26:AE27)</f>
        <v>33785316.582061373</v>
      </c>
      <c r="AF28" s="23">
        <f t="shared" si="14"/>
        <v>-3785316.5820613727</v>
      </c>
      <c r="AG28" s="76">
        <f t="shared" si="15"/>
        <v>-0.11204028746829098</v>
      </c>
      <c r="AH28" s="44">
        <f>SUM(AH26:AH27)</f>
        <v>68305965.514753431</v>
      </c>
      <c r="AI28" s="23">
        <f t="shared" si="16"/>
        <v>-38305965.514753431</v>
      </c>
      <c r="AJ28" s="75">
        <f t="shared" si="17"/>
        <v>-0.56079970799153278</v>
      </c>
      <c r="AK28" s="46">
        <f>SUM(AK26:AK27)</f>
        <v>5000000</v>
      </c>
      <c r="AL28" s="45">
        <f>SUM(AL26:AL27)</f>
        <v>5753441.4887820091</v>
      </c>
      <c r="AM28" s="23">
        <f t="shared" si="18"/>
        <v>-753441.48878200911</v>
      </c>
      <c r="AN28" s="76">
        <f t="shared" si="19"/>
        <v>-0.13095492328392666</v>
      </c>
      <c r="AO28" s="44">
        <f>SUM(AO26:AO27)</f>
        <v>30000000</v>
      </c>
      <c r="AP28" s="44">
        <f>SUM(AP26:AP27)</f>
        <v>33785316.582061373</v>
      </c>
      <c r="AQ28" s="23">
        <f t="shared" si="20"/>
        <v>-3785316.5820613727</v>
      </c>
      <c r="AR28" s="76">
        <f t="shared" si="21"/>
        <v>-0.11204028746829098</v>
      </c>
      <c r="AS28" s="44">
        <f>SUM(AS26:AS27)</f>
        <v>68305965.514753431</v>
      </c>
      <c r="AT28" s="23">
        <f t="shared" si="22"/>
        <v>-38305965.514753431</v>
      </c>
      <c r="AU28" s="75">
        <f t="shared" si="23"/>
        <v>-0.56079970799153278</v>
      </c>
      <c r="AV28" s="46">
        <f>SUM(AV26:AV27)</f>
        <v>5000000</v>
      </c>
      <c r="AW28" s="45">
        <f>SUM(AW26:AW27)</f>
        <v>5753441.4887820091</v>
      </c>
      <c r="AX28" s="23">
        <f t="shared" si="24"/>
        <v>-753441.48878200911</v>
      </c>
      <c r="AY28" s="76">
        <f t="shared" si="25"/>
        <v>-0.13095492328392666</v>
      </c>
      <c r="AZ28" s="44">
        <f>SUM(AZ26:AZ27)</f>
        <v>30000000</v>
      </c>
      <c r="BA28" s="44">
        <f>SUM(BA26:BA27)</f>
        <v>33785316.582061373</v>
      </c>
      <c r="BB28" s="23">
        <f t="shared" si="26"/>
        <v>-3785316.5820613727</v>
      </c>
      <c r="BC28" s="76">
        <f t="shared" si="27"/>
        <v>-0.11204028746829098</v>
      </c>
      <c r="BD28" s="44">
        <f>SUM(BD26:BD27)</f>
        <v>68305965.514753431</v>
      </c>
      <c r="BE28" s="23">
        <f t="shared" si="28"/>
        <v>-38305965.514753431</v>
      </c>
      <c r="BF28" s="75">
        <f t="shared" si="29"/>
        <v>-0.56079970799153278</v>
      </c>
      <c r="BG28" s="46">
        <f>SUM(BG26:BG27)</f>
        <v>5000000</v>
      </c>
      <c r="BH28" s="45">
        <f>SUM(BH26:BH27)</f>
        <v>5753441.4887820091</v>
      </c>
      <c r="BI28" s="23">
        <f t="shared" si="30"/>
        <v>-753441.48878200911</v>
      </c>
      <c r="BJ28" s="76">
        <f t="shared" si="31"/>
        <v>-0.13095492328392666</v>
      </c>
      <c r="BK28" s="44">
        <f>SUM(BK26:BK27)</f>
        <v>30000000</v>
      </c>
      <c r="BL28" s="44">
        <f>SUM(BL26:BL27)</f>
        <v>33785316.582061373</v>
      </c>
      <c r="BM28" s="23">
        <f t="shared" si="32"/>
        <v>-3785316.5820613727</v>
      </c>
      <c r="BN28" s="76">
        <f t="shared" si="33"/>
        <v>-0.11204028746829098</v>
      </c>
      <c r="BO28" s="44">
        <f>SUM(BO26:BO27)</f>
        <v>68305965.514753431</v>
      </c>
      <c r="BP28" s="23">
        <f t="shared" si="34"/>
        <v>-38305965.514753431</v>
      </c>
      <c r="BQ28" s="75">
        <f t="shared" si="35"/>
        <v>-0.56079970799153278</v>
      </c>
      <c r="BR28" s="46">
        <f>SUM(BR26:BR27)</f>
        <v>5000000</v>
      </c>
      <c r="BS28" s="45">
        <f>SUM(BS26:BS27)</f>
        <v>5753441.4887820091</v>
      </c>
      <c r="BT28" s="23">
        <f t="shared" si="36"/>
        <v>-753441.48878200911</v>
      </c>
      <c r="BU28" s="76">
        <f t="shared" si="37"/>
        <v>-0.13095492328392666</v>
      </c>
      <c r="BV28" s="44">
        <f>SUM(BV26:BV27)</f>
        <v>30000000</v>
      </c>
      <c r="BW28" s="44">
        <f>SUM(BW26:BW27)</f>
        <v>33785316.582061373</v>
      </c>
      <c r="BX28" s="23">
        <f t="shared" si="38"/>
        <v>-3785316.5820613727</v>
      </c>
      <c r="BY28" s="76">
        <f t="shared" si="39"/>
        <v>-0.11204028746829098</v>
      </c>
      <c r="BZ28" s="44">
        <f>SUM(BZ26:BZ27)</f>
        <v>68305965.514753431</v>
      </c>
      <c r="CA28" s="23">
        <f t="shared" si="40"/>
        <v>-38305965.514753431</v>
      </c>
      <c r="CB28" s="75">
        <f t="shared" si="41"/>
        <v>-0.56079970799153278</v>
      </c>
      <c r="CC28" s="46">
        <f>SUM(CC26:CC27)</f>
        <v>5000000</v>
      </c>
      <c r="CD28" s="45">
        <f>SUM(CD26:CD27)</f>
        <v>5753441.4887820091</v>
      </c>
      <c r="CE28" s="23">
        <f t="shared" si="42"/>
        <v>-753441.48878200911</v>
      </c>
      <c r="CF28" s="76">
        <f t="shared" si="43"/>
        <v>-0.13095492328392666</v>
      </c>
      <c r="CG28" s="44">
        <f>SUM(CG26:CG27)</f>
        <v>30000000</v>
      </c>
      <c r="CH28" s="44">
        <f>SUM(CH26:CH27)</f>
        <v>33785316.582061373</v>
      </c>
      <c r="CI28" s="23">
        <f t="shared" si="44"/>
        <v>-3785316.5820613727</v>
      </c>
      <c r="CJ28" s="76">
        <f t="shared" si="45"/>
        <v>-0.11204028746829098</v>
      </c>
      <c r="CK28" s="44">
        <f>SUM(CK26:CK27)</f>
        <v>68305965.514753431</v>
      </c>
      <c r="CL28" s="23">
        <f t="shared" si="46"/>
        <v>-38305965.514753431</v>
      </c>
      <c r="CM28" s="75">
        <f t="shared" si="47"/>
        <v>-0.56079970799153278</v>
      </c>
      <c r="CN28" s="46">
        <f>SUM(CN26:CN27)</f>
        <v>5000000</v>
      </c>
      <c r="CO28" s="45">
        <f>SUM(CO26:CO27)</f>
        <v>5753441.4887820091</v>
      </c>
      <c r="CP28" s="23">
        <f t="shared" si="48"/>
        <v>-753441.48878200911</v>
      </c>
      <c r="CQ28" s="76">
        <f t="shared" si="49"/>
        <v>-0.13095492328392666</v>
      </c>
      <c r="CR28" s="44">
        <f>SUM(CR26:CR27)</f>
        <v>30000000</v>
      </c>
      <c r="CS28" s="44">
        <f>SUM(CS26:CS27)</f>
        <v>33785316.582061373</v>
      </c>
      <c r="CT28" s="23">
        <f t="shared" si="50"/>
        <v>-3785316.5820613727</v>
      </c>
      <c r="CU28" s="76">
        <f t="shared" si="51"/>
        <v>-0.11204028746829098</v>
      </c>
      <c r="CV28" s="44">
        <f>SUM(CV26:CV27)</f>
        <v>68305965.514753431</v>
      </c>
      <c r="CW28" s="23">
        <f t="shared" si="52"/>
        <v>-38305965.514753431</v>
      </c>
      <c r="CX28" s="75">
        <f t="shared" si="53"/>
        <v>-0.56079970799153278</v>
      </c>
      <c r="CY28" s="46">
        <f>SUM(CY26:CY27)</f>
        <v>5000000</v>
      </c>
      <c r="CZ28" s="45">
        <f>SUM(CZ26:CZ27)</f>
        <v>5753441.4887820091</v>
      </c>
      <c r="DA28" s="23">
        <f t="shared" si="54"/>
        <v>-753441.48878200911</v>
      </c>
      <c r="DB28" s="76">
        <f t="shared" si="55"/>
        <v>-0.13095492328392666</v>
      </c>
      <c r="DC28" s="44">
        <f>SUM(DC26:DC27)</f>
        <v>30000000</v>
      </c>
      <c r="DD28" s="44">
        <f>SUM(DD26:DD27)</f>
        <v>33785316.582061373</v>
      </c>
      <c r="DE28" s="23">
        <f t="shared" si="56"/>
        <v>-3785316.5820613727</v>
      </c>
      <c r="DF28" s="76">
        <f t="shared" si="57"/>
        <v>-0.11204028746829098</v>
      </c>
      <c r="DG28" s="44">
        <f>SUM(DG26:DG27)</f>
        <v>68305965.514753431</v>
      </c>
      <c r="DH28" s="23">
        <f t="shared" si="58"/>
        <v>-38305965.514753431</v>
      </c>
      <c r="DI28" s="75">
        <f t="shared" si="59"/>
        <v>-0.56079970799153278</v>
      </c>
    </row>
    <row r="29" spans="1:113" hidden="1" outlineLevel="3" x14ac:dyDescent="0.2">
      <c r="A29" s="54"/>
      <c r="B29" s="38" t="s">
        <v>96</v>
      </c>
      <c r="C29" s="49" t="s">
        <v>95</v>
      </c>
      <c r="D29" s="41">
        <v>120000</v>
      </c>
      <c r="E29" s="40">
        <v>0</v>
      </c>
      <c r="F29" s="32">
        <f t="shared" si="0"/>
        <v>120000</v>
      </c>
      <c r="G29" s="78" t="str">
        <f t="shared" si="1"/>
        <v>-</v>
      </c>
      <c r="H29" s="39">
        <v>498360</v>
      </c>
      <c r="I29" s="39">
        <v>0</v>
      </c>
      <c r="J29" s="32">
        <f t="shared" si="2"/>
        <v>498360</v>
      </c>
      <c r="K29" s="78" t="str">
        <f t="shared" si="3"/>
        <v>-</v>
      </c>
      <c r="L29" s="39">
        <v>0</v>
      </c>
      <c r="M29" s="32">
        <f t="shared" si="4"/>
        <v>498360</v>
      </c>
      <c r="N29" s="77" t="str">
        <f t="shared" si="5"/>
        <v>-</v>
      </c>
      <c r="O29" s="41">
        <v>120000</v>
      </c>
      <c r="P29" s="40">
        <v>0</v>
      </c>
      <c r="Q29" s="32">
        <f t="shared" si="6"/>
        <v>120000</v>
      </c>
      <c r="R29" s="78" t="str">
        <f t="shared" si="7"/>
        <v>-</v>
      </c>
      <c r="S29" s="39">
        <v>498360</v>
      </c>
      <c r="T29" s="39">
        <v>0</v>
      </c>
      <c r="U29" s="32">
        <f t="shared" si="8"/>
        <v>498360</v>
      </c>
      <c r="V29" s="78" t="str">
        <f t="shared" si="9"/>
        <v>-</v>
      </c>
      <c r="W29" s="39">
        <v>0</v>
      </c>
      <c r="X29" s="32">
        <f t="shared" si="10"/>
        <v>498360</v>
      </c>
      <c r="Y29" s="77" t="str">
        <f t="shared" si="11"/>
        <v>-</v>
      </c>
      <c r="Z29" s="41">
        <v>120000</v>
      </c>
      <c r="AA29" s="40">
        <v>0</v>
      </c>
      <c r="AB29" s="32">
        <f t="shared" si="12"/>
        <v>120000</v>
      </c>
      <c r="AC29" s="78" t="str">
        <f t="shared" si="13"/>
        <v>-</v>
      </c>
      <c r="AD29" s="39">
        <v>498360</v>
      </c>
      <c r="AE29" s="39">
        <v>0</v>
      </c>
      <c r="AF29" s="32">
        <f t="shared" si="14"/>
        <v>498360</v>
      </c>
      <c r="AG29" s="78" t="str">
        <f t="shared" si="15"/>
        <v>-</v>
      </c>
      <c r="AH29" s="39">
        <v>0</v>
      </c>
      <c r="AI29" s="32">
        <f t="shared" si="16"/>
        <v>498360</v>
      </c>
      <c r="AJ29" s="77" t="str">
        <f t="shared" si="17"/>
        <v>-</v>
      </c>
      <c r="AK29" s="41">
        <v>120000</v>
      </c>
      <c r="AL29" s="40">
        <v>0</v>
      </c>
      <c r="AM29" s="32">
        <f t="shared" si="18"/>
        <v>120000</v>
      </c>
      <c r="AN29" s="78" t="str">
        <f t="shared" si="19"/>
        <v>-</v>
      </c>
      <c r="AO29" s="39">
        <v>498360</v>
      </c>
      <c r="AP29" s="39">
        <v>0</v>
      </c>
      <c r="AQ29" s="32">
        <f t="shared" si="20"/>
        <v>498360</v>
      </c>
      <c r="AR29" s="78" t="str">
        <f t="shared" si="21"/>
        <v>-</v>
      </c>
      <c r="AS29" s="39">
        <v>0</v>
      </c>
      <c r="AT29" s="32">
        <f t="shared" si="22"/>
        <v>498360</v>
      </c>
      <c r="AU29" s="77" t="str">
        <f t="shared" si="23"/>
        <v>-</v>
      </c>
      <c r="AV29" s="41">
        <v>120000</v>
      </c>
      <c r="AW29" s="40">
        <v>0</v>
      </c>
      <c r="AX29" s="32">
        <f t="shared" si="24"/>
        <v>120000</v>
      </c>
      <c r="AY29" s="78" t="str">
        <f t="shared" si="25"/>
        <v>-</v>
      </c>
      <c r="AZ29" s="39">
        <v>498360</v>
      </c>
      <c r="BA29" s="39">
        <v>0</v>
      </c>
      <c r="BB29" s="32">
        <f t="shared" si="26"/>
        <v>498360</v>
      </c>
      <c r="BC29" s="78" t="str">
        <f t="shared" si="27"/>
        <v>-</v>
      </c>
      <c r="BD29" s="39">
        <v>0</v>
      </c>
      <c r="BE29" s="32">
        <f t="shared" si="28"/>
        <v>498360</v>
      </c>
      <c r="BF29" s="77" t="str">
        <f t="shared" si="29"/>
        <v>-</v>
      </c>
      <c r="BG29" s="41">
        <v>120000</v>
      </c>
      <c r="BH29" s="40">
        <v>0</v>
      </c>
      <c r="BI29" s="32">
        <f t="shared" si="30"/>
        <v>120000</v>
      </c>
      <c r="BJ29" s="78" t="str">
        <f t="shared" si="31"/>
        <v>-</v>
      </c>
      <c r="BK29" s="39">
        <v>498360</v>
      </c>
      <c r="BL29" s="39">
        <v>0</v>
      </c>
      <c r="BM29" s="32">
        <f t="shared" si="32"/>
        <v>498360</v>
      </c>
      <c r="BN29" s="78" t="str">
        <f t="shared" si="33"/>
        <v>-</v>
      </c>
      <c r="BO29" s="39">
        <v>0</v>
      </c>
      <c r="BP29" s="32">
        <f t="shared" si="34"/>
        <v>498360</v>
      </c>
      <c r="BQ29" s="77" t="str">
        <f t="shared" si="35"/>
        <v>-</v>
      </c>
      <c r="BR29" s="41">
        <v>120000</v>
      </c>
      <c r="BS29" s="40">
        <v>0</v>
      </c>
      <c r="BT29" s="32">
        <f t="shared" si="36"/>
        <v>120000</v>
      </c>
      <c r="BU29" s="78" t="str">
        <f t="shared" si="37"/>
        <v>-</v>
      </c>
      <c r="BV29" s="39">
        <v>498360</v>
      </c>
      <c r="BW29" s="39">
        <v>0</v>
      </c>
      <c r="BX29" s="32">
        <f t="shared" si="38"/>
        <v>498360</v>
      </c>
      <c r="BY29" s="78" t="str">
        <f t="shared" si="39"/>
        <v>-</v>
      </c>
      <c r="BZ29" s="39">
        <v>0</v>
      </c>
      <c r="CA29" s="32">
        <f t="shared" si="40"/>
        <v>498360</v>
      </c>
      <c r="CB29" s="77" t="str">
        <f t="shared" si="41"/>
        <v>-</v>
      </c>
      <c r="CC29" s="41">
        <v>120000</v>
      </c>
      <c r="CD29" s="40">
        <v>0</v>
      </c>
      <c r="CE29" s="32">
        <f t="shared" si="42"/>
        <v>120000</v>
      </c>
      <c r="CF29" s="78" t="str">
        <f t="shared" si="43"/>
        <v>-</v>
      </c>
      <c r="CG29" s="39">
        <v>498360</v>
      </c>
      <c r="CH29" s="39">
        <v>0</v>
      </c>
      <c r="CI29" s="32">
        <f t="shared" si="44"/>
        <v>498360</v>
      </c>
      <c r="CJ29" s="78" t="str">
        <f t="shared" si="45"/>
        <v>-</v>
      </c>
      <c r="CK29" s="39">
        <v>0</v>
      </c>
      <c r="CL29" s="32">
        <f t="shared" si="46"/>
        <v>498360</v>
      </c>
      <c r="CM29" s="77" t="str">
        <f t="shared" si="47"/>
        <v>-</v>
      </c>
      <c r="CN29" s="41">
        <v>120000</v>
      </c>
      <c r="CO29" s="40">
        <v>0</v>
      </c>
      <c r="CP29" s="32">
        <f t="shared" si="48"/>
        <v>120000</v>
      </c>
      <c r="CQ29" s="78" t="str">
        <f t="shared" si="49"/>
        <v>-</v>
      </c>
      <c r="CR29" s="39">
        <v>498360</v>
      </c>
      <c r="CS29" s="39">
        <v>0</v>
      </c>
      <c r="CT29" s="32">
        <f t="shared" si="50"/>
        <v>498360</v>
      </c>
      <c r="CU29" s="78" t="str">
        <f t="shared" si="51"/>
        <v>-</v>
      </c>
      <c r="CV29" s="39">
        <v>0</v>
      </c>
      <c r="CW29" s="32">
        <f t="shared" si="52"/>
        <v>498360</v>
      </c>
      <c r="CX29" s="77" t="str">
        <f t="shared" si="53"/>
        <v>-</v>
      </c>
      <c r="CY29" s="41">
        <v>120000</v>
      </c>
      <c r="CZ29" s="40">
        <v>0</v>
      </c>
      <c r="DA29" s="32">
        <f t="shared" si="54"/>
        <v>120000</v>
      </c>
      <c r="DB29" s="78" t="str">
        <f t="shared" si="55"/>
        <v>-</v>
      </c>
      <c r="DC29" s="39">
        <v>498360</v>
      </c>
      <c r="DD29" s="39">
        <v>0</v>
      </c>
      <c r="DE29" s="32">
        <f t="shared" si="56"/>
        <v>498360</v>
      </c>
      <c r="DF29" s="78" t="str">
        <f t="shared" si="57"/>
        <v>-</v>
      </c>
      <c r="DG29" s="39">
        <v>0</v>
      </c>
      <c r="DH29" s="32">
        <f t="shared" si="58"/>
        <v>498360</v>
      </c>
      <c r="DI29" s="77" t="str">
        <f t="shared" si="59"/>
        <v>-</v>
      </c>
    </row>
    <row r="30" spans="1:113" hidden="1" outlineLevel="3" x14ac:dyDescent="0.2">
      <c r="A30" s="54"/>
      <c r="B30" s="38" t="s">
        <v>94</v>
      </c>
      <c r="C30" s="49" t="s">
        <v>93</v>
      </c>
      <c r="D30" s="41">
        <v>0</v>
      </c>
      <c r="E30" s="40">
        <v>0</v>
      </c>
      <c r="F30" s="32">
        <f t="shared" si="0"/>
        <v>0</v>
      </c>
      <c r="G30" s="78" t="str">
        <f t="shared" si="1"/>
        <v>-</v>
      </c>
      <c r="H30" s="39">
        <v>0</v>
      </c>
      <c r="I30" s="39">
        <v>0</v>
      </c>
      <c r="J30" s="32">
        <f t="shared" si="2"/>
        <v>0</v>
      </c>
      <c r="K30" s="78" t="str">
        <f t="shared" si="3"/>
        <v>-</v>
      </c>
      <c r="L30" s="39">
        <v>0</v>
      </c>
      <c r="M30" s="32">
        <f t="shared" si="4"/>
        <v>0</v>
      </c>
      <c r="N30" s="77" t="str">
        <f t="shared" si="5"/>
        <v>-</v>
      </c>
      <c r="O30" s="41">
        <v>0</v>
      </c>
      <c r="P30" s="40">
        <v>0</v>
      </c>
      <c r="Q30" s="32">
        <f t="shared" si="6"/>
        <v>0</v>
      </c>
      <c r="R30" s="78" t="str">
        <f t="shared" si="7"/>
        <v>-</v>
      </c>
      <c r="S30" s="39">
        <v>0</v>
      </c>
      <c r="T30" s="39">
        <v>0</v>
      </c>
      <c r="U30" s="32">
        <f t="shared" si="8"/>
        <v>0</v>
      </c>
      <c r="V30" s="78" t="str">
        <f t="shared" si="9"/>
        <v>-</v>
      </c>
      <c r="W30" s="39">
        <v>0</v>
      </c>
      <c r="X30" s="32">
        <f t="shared" si="10"/>
        <v>0</v>
      </c>
      <c r="Y30" s="77" t="str">
        <f t="shared" si="11"/>
        <v>-</v>
      </c>
      <c r="Z30" s="41">
        <v>0</v>
      </c>
      <c r="AA30" s="40">
        <v>0</v>
      </c>
      <c r="AB30" s="32">
        <f t="shared" si="12"/>
        <v>0</v>
      </c>
      <c r="AC30" s="78" t="str">
        <f t="shared" si="13"/>
        <v>-</v>
      </c>
      <c r="AD30" s="39">
        <v>0</v>
      </c>
      <c r="AE30" s="39">
        <v>0</v>
      </c>
      <c r="AF30" s="32">
        <f t="shared" si="14"/>
        <v>0</v>
      </c>
      <c r="AG30" s="78" t="str">
        <f t="shared" si="15"/>
        <v>-</v>
      </c>
      <c r="AH30" s="39">
        <v>0</v>
      </c>
      <c r="AI30" s="32">
        <f t="shared" si="16"/>
        <v>0</v>
      </c>
      <c r="AJ30" s="77" t="str">
        <f t="shared" si="17"/>
        <v>-</v>
      </c>
      <c r="AK30" s="41">
        <v>0</v>
      </c>
      <c r="AL30" s="40">
        <v>0</v>
      </c>
      <c r="AM30" s="32">
        <f t="shared" si="18"/>
        <v>0</v>
      </c>
      <c r="AN30" s="78" t="str">
        <f t="shared" si="19"/>
        <v>-</v>
      </c>
      <c r="AO30" s="39">
        <v>0</v>
      </c>
      <c r="AP30" s="39">
        <v>0</v>
      </c>
      <c r="AQ30" s="32">
        <f t="shared" si="20"/>
        <v>0</v>
      </c>
      <c r="AR30" s="78" t="str">
        <f t="shared" si="21"/>
        <v>-</v>
      </c>
      <c r="AS30" s="39">
        <v>0</v>
      </c>
      <c r="AT30" s="32">
        <f t="shared" si="22"/>
        <v>0</v>
      </c>
      <c r="AU30" s="77" t="str">
        <f t="shared" si="23"/>
        <v>-</v>
      </c>
      <c r="AV30" s="41">
        <v>0</v>
      </c>
      <c r="AW30" s="40">
        <v>0</v>
      </c>
      <c r="AX30" s="32">
        <f t="shared" si="24"/>
        <v>0</v>
      </c>
      <c r="AY30" s="78" t="str">
        <f t="shared" si="25"/>
        <v>-</v>
      </c>
      <c r="AZ30" s="39">
        <v>0</v>
      </c>
      <c r="BA30" s="39">
        <v>0</v>
      </c>
      <c r="BB30" s="32">
        <f t="shared" si="26"/>
        <v>0</v>
      </c>
      <c r="BC30" s="78" t="str">
        <f t="shared" si="27"/>
        <v>-</v>
      </c>
      <c r="BD30" s="39">
        <v>0</v>
      </c>
      <c r="BE30" s="32">
        <f t="shared" si="28"/>
        <v>0</v>
      </c>
      <c r="BF30" s="77" t="str">
        <f t="shared" si="29"/>
        <v>-</v>
      </c>
      <c r="BG30" s="41">
        <v>0</v>
      </c>
      <c r="BH30" s="40">
        <v>0</v>
      </c>
      <c r="BI30" s="32">
        <f t="shared" si="30"/>
        <v>0</v>
      </c>
      <c r="BJ30" s="78" t="str">
        <f t="shared" si="31"/>
        <v>-</v>
      </c>
      <c r="BK30" s="39">
        <v>0</v>
      </c>
      <c r="BL30" s="39">
        <v>0</v>
      </c>
      <c r="BM30" s="32">
        <f t="shared" si="32"/>
        <v>0</v>
      </c>
      <c r="BN30" s="78" t="str">
        <f t="shared" si="33"/>
        <v>-</v>
      </c>
      <c r="BO30" s="39">
        <v>0</v>
      </c>
      <c r="BP30" s="32">
        <f t="shared" si="34"/>
        <v>0</v>
      </c>
      <c r="BQ30" s="77" t="str">
        <f t="shared" si="35"/>
        <v>-</v>
      </c>
      <c r="BR30" s="41">
        <v>0</v>
      </c>
      <c r="BS30" s="40">
        <v>0</v>
      </c>
      <c r="BT30" s="32">
        <f t="shared" si="36"/>
        <v>0</v>
      </c>
      <c r="BU30" s="78" t="str">
        <f t="shared" si="37"/>
        <v>-</v>
      </c>
      <c r="BV30" s="39">
        <v>0</v>
      </c>
      <c r="BW30" s="39">
        <v>0</v>
      </c>
      <c r="BX30" s="32">
        <f t="shared" si="38"/>
        <v>0</v>
      </c>
      <c r="BY30" s="78" t="str">
        <f t="shared" si="39"/>
        <v>-</v>
      </c>
      <c r="BZ30" s="39">
        <v>0</v>
      </c>
      <c r="CA30" s="32">
        <f t="shared" si="40"/>
        <v>0</v>
      </c>
      <c r="CB30" s="77" t="str">
        <f t="shared" si="41"/>
        <v>-</v>
      </c>
      <c r="CC30" s="41">
        <v>0</v>
      </c>
      <c r="CD30" s="40">
        <v>0</v>
      </c>
      <c r="CE30" s="32">
        <f t="shared" si="42"/>
        <v>0</v>
      </c>
      <c r="CF30" s="78" t="str">
        <f t="shared" si="43"/>
        <v>-</v>
      </c>
      <c r="CG30" s="39">
        <v>0</v>
      </c>
      <c r="CH30" s="39">
        <v>0</v>
      </c>
      <c r="CI30" s="32">
        <f t="shared" si="44"/>
        <v>0</v>
      </c>
      <c r="CJ30" s="78" t="str">
        <f t="shared" si="45"/>
        <v>-</v>
      </c>
      <c r="CK30" s="39">
        <v>0</v>
      </c>
      <c r="CL30" s="32">
        <f t="shared" si="46"/>
        <v>0</v>
      </c>
      <c r="CM30" s="77" t="str">
        <f t="shared" si="47"/>
        <v>-</v>
      </c>
      <c r="CN30" s="41">
        <v>0</v>
      </c>
      <c r="CO30" s="40">
        <v>0</v>
      </c>
      <c r="CP30" s="32">
        <f t="shared" si="48"/>
        <v>0</v>
      </c>
      <c r="CQ30" s="78" t="str">
        <f t="shared" si="49"/>
        <v>-</v>
      </c>
      <c r="CR30" s="39">
        <v>0</v>
      </c>
      <c r="CS30" s="39">
        <v>0</v>
      </c>
      <c r="CT30" s="32">
        <f t="shared" si="50"/>
        <v>0</v>
      </c>
      <c r="CU30" s="78" t="str">
        <f t="shared" si="51"/>
        <v>-</v>
      </c>
      <c r="CV30" s="39">
        <v>0</v>
      </c>
      <c r="CW30" s="32">
        <f t="shared" si="52"/>
        <v>0</v>
      </c>
      <c r="CX30" s="77" t="str">
        <f t="shared" si="53"/>
        <v>-</v>
      </c>
      <c r="CY30" s="41">
        <v>0</v>
      </c>
      <c r="CZ30" s="40">
        <v>0</v>
      </c>
      <c r="DA30" s="32">
        <f t="shared" si="54"/>
        <v>0</v>
      </c>
      <c r="DB30" s="78" t="str">
        <f t="shared" si="55"/>
        <v>-</v>
      </c>
      <c r="DC30" s="39">
        <v>0</v>
      </c>
      <c r="DD30" s="39">
        <v>0</v>
      </c>
      <c r="DE30" s="32">
        <f t="shared" si="56"/>
        <v>0</v>
      </c>
      <c r="DF30" s="78" t="str">
        <f t="shared" si="57"/>
        <v>-</v>
      </c>
      <c r="DG30" s="39">
        <v>0</v>
      </c>
      <c r="DH30" s="32">
        <f t="shared" si="58"/>
        <v>0</v>
      </c>
      <c r="DI30" s="77" t="str">
        <f t="shared" si="59"/>
        <v>-</v>
      </c>
    </row>
    <row r="31" spans="1:113" s="6" customFormat="1" hidden="1" outlineLevel="2" collapsed="1" x14ac:dyDescent="0.2">
      <c r="A31" s="30"/>
      <c r="B31" s="29" t="s">
        <v>92</v>
      </c>
      <c r="C31" s="52" t="s">
        <v>91</v>
      </c>
      <c r="D31" s="27">
        <f>SUM(D29:D30)</f>
        <v>120000</v>
      </c>
      <c r="E31" s="26">
        <f>SUM(E29:E30)</f>
        <v>0</v>
      </c>
      <c r="F31" s="23">
        <f t="shared" si="0"/>
        <v>120000</v>
      </c>
      <c r="G31" s="76" t="str">
        <f t="shared" si="1"/>
        <v>-</v>
      </c>
      <c r="H31" s="24">
        <f>SUM(H29:H30)</f>
        <v>498360</v>
      </c>
      <c r="I31" s="24">
        <f>SUM(I29:I30)</f>
        <v>0</v>
      </c>
      <c r="J31" s="23">
        <f t="shared" si="2"/>
        <v>498360</v>
      </c>
      <c r="K31" s="76" t="str">
        <f t="shared" si="3"/>
        <v>-</v>
      </c>
      <c r="L31" s="24">
        <f>SUM(L29:L30)</f>
        <v>0</v>
      </c>
      <c r="M31" s="23">
        <f t="shared" si="4"/>
        <v>498360</v>
      </c>
      <c r="N31" s="75" t="str">
        <f t="shared" si="5"/>
        <v>-</v>
      </c>
      <c r="O31" s="27">
        <f>SUM(O29:O30)</f>
        <v>120000</v>
      </c>
      <c r="P31" s="26">
        <f>SUM(P29:P30)</f>
        <v>0</v>
      </c>
      <c r="Q31" s="23">
        <f t="shared" si="6"/>
        <v>120000</v>
      </c>
      <c r="R31" s="76" t="str">
        <f t="shared" si="7"/>
        <v>-</v>
      </c>
      <c r="S31" s="24">
        <f>SUM(S29:S30)</f>
        <v>498360</v>
      </c>
      <c r="T31" s="24">
        <f>SUM(T29:T30)</f>
        <v>0</v>
      </c>
      <c r="U31" s="23">
        <f t="shared" si="8"/>
        <v>498360</v>
      </c>
      <c r="V31" s="76" t="str">
        <f t="shared" si="9"/>
        <v>-</v>
      </c>
      <c r="W31" s="24">
        <f>SUM(W29:W30)</f>
        <v>0</v>
      </c>
      <c r="X31" s="23">
        <f t="shared" si="10"/>
        <v>498360</v>
      </c>
      <c r="Y31" s="75" t="str">
        <f t="shared" si="11"/>
        <v>-</v>
      </c>
      <c r="Z31" s="27">
        <f>SUM(Z29:Z30)</f>
        <v>120000</v>
      </c>
      <c r="AA31" s="26">
        <f>SUM(AA29:AA30)</f>
        <v>0</v>
      </c>
      <c r="AB31" s="23">
        <f t="shared" si="12"/>
        <v>120000</v>
      </c>
      <c r="AC31" s="76" t="str">
        <f t="shared" si="13"/>
        <v>-</v>
      </c>
      <c r="AD31" s="24">
        <f>SUM(AD29:AD30)</f>
        <v>498360</v>
      </c>
      <c r="AE31" s="24">
        <f>SUM(AE29:AE30)</f>
        <v>0</v>
      </c>
      <c r="AF31" s="23">
        <f t="shared" si="14"/>
        <v>498360</v>
      </c>
      <c r="AG31" s="76" t="str">
        <f t="shared" si="15"/>
        <v>-</v>
      </c>
      <c r="AH31" s="24">
        <f>SUM(AH29:AH30)</f>
        <v>0</v>
      </c>
      <c r="AI31" s="23">
        <f t="shared" si="16"/>
        <v>498360</v>
      </c>
      <c r="AJ31" s="75" t="str">
        <f t="shared" si="17"/>
        <v>-</v>
      </c>
      <c r="AK31" s="27">
        <f>SUM(AK29:AK30)</f>
        <v>120000</v>
      </c>
      <c r="AL31" s="26">
        <f>SUM(AL29:AL30)</f>
        <v>0</v>
      </c>
      <c r="AM31" s="23">
        <f t="shared" si="18"/>
        <v>120000</v>
      </c>
      <c r="AN31" s="76" t="str">
        <f t="shared" si="19"/>
        <v>-</v>
      </c>
      <c r="AO31" s="24">
        <f>SUM(AO29:AO30)</f>
        <v>498360</v>
      </c>
      <c r="AP31" s="24">
        <f>SUM(AP29:AP30)</f>
        <v>0</v>
      </c>
      <c r="AQ31" s="23">
        <f t="shared" si="20"/>
        <v>498360</v>
      </c>
      <c r="AR31" s="76" t="str">
        <f t="shared" si="21"/>
        <v>-</v>
      </c>
      <c r="AS31" s="24">
        <f>SUM(AS29:AS30)</f>
        <v>0</v>
      </c>
      <c r="AT31" s="23">
        <f t="shared" si="22"/>
        <v>498360</v>
      </c>
      <c r="AU31" s="75" t="str">
        <f t="shared" si="23"/>
        <v>-</v>
      </c>
      <c r="AV31" s="27">
        <f>SUM(AV29:AV30)</f>
        <v>120000</v>
      </c>
      <c r="AW31" s="26">
        <f>SUM(AW29:AW30)</f>
        <v>0</v>
      </c>
      <c r="AX31" s="23">
        <f t="shared" si="24"/>
        <v>120000</v>
      </c>
      <c r="AY31" s="76" t="str">
        <f t="shared" si="25"/>
        <v>-</v>
      </c>
      <c r="AZ31" s="24">
        <f>SUM(AZ29:AZ30)</f>
        <v>498360</v>
      </c>
      <c r="BA31" s="24">
        <f>SUM(BA29:BA30)</f>
        <v>0</v>
      </c>
      <c r="BB31" s="23">
        <f t="shared" si="26"/>
        <v>498360</v>
      </c>
      <c r="BC31" s="76" t="str">
        <f t="shared" si="27"/>
        <v>-</v>
      </c>
      <c r="BD31" s="24">
        <f>SUM(BD29:BD30)</f>
        <v>0</v>
      </c>
      <c r="BE31" s="23">
        <f t="shared" si="28"/>
        <v>498360</v>
      </c>
      <c r="BF31" s="75" t="str">
        <f t="shared" si="29"/>
        <v>-</v>
      </c>
      <c r="BG31" s="27">
        <f>SUM(BG29:BG30)</f>
        <v>120000</v>
      </c>
      <c r="BH31" s="26">
        <f>SUM(BH29:BH30)</f>
        <v>0</v>
      </c>
      <c r="BI31" s="23">
        <f t="shared" si="30"/>
        <v>120000</v>
      </c>
      <c r="BJ31" s="76" t="str">
        <f t="shared" si="31"/>
        <v>-</v>
      </c>
      <c r="BK31" s="24">
        <f>SUM(BK29:BK30)</f>
        <v>498360</v>
      </c>
      <c r="BL31" s="24">
        <f>SUM(BL29:BL30)</f>
        <v>0</v>
      </c>
      <c r="BM31" s="23">
        <f t="shared" si="32"/>
        <v>498360</v>
      </c>
      <c r="BN31" s="76" t="str">
        <f t="shared" si="33"/>
        <v>-</v>
      </c>
      <c r="BO31" s="24">
        <f>SUM(BO29:BO30)</f>
        <v>0</v>
      </c>
      <c r="BP31" s="23">
        <f t="shared" si="34"/>
        <v>498360</v>
      </c>
      <c r="BQ31" s="75" t="str">
        <f t="shared" si="35"/>
        <v>-</v>
      </c>
      <c r="BR31" s="27">
        <f>SUM(BR29:BR30)</f>
        <v>120000</v>
      </c>
      <c r="BS31" s="26">
        <f>SUM(BS29:BS30)</f>
        <v>0</v>
      </c>
      <c r="BT31" s="23">
        <f t="shared" si="36"/>
        <v>120000</v>
      </c>
      <c r="BU31" s="76" t="str">
        <f t="shared" si="37"/>
        <v>-</v>
      </c>
      <c r="BV31" s="24">
        <f>SUM(BV29:BV30)</f>
        <v>498360</v>
      </c>
      <c r="BW31" s="24">
        <f>SUM(BW29:BW30)</f>
        <v>0</v>
      </c>
      <c r="BX31" s="23">
        <f t="shared" si="38"/>
        <v>498360</v>
      </c>
      <c r="BY31" s="76" t="str">
        <f t="shared" si="39"/>
        <v>-</v>
      </c>
      <c r="BZ31" s="24">
        <f>SUM(BZ29:BZ30)</f>
        <v>0</v>
      </c>
      <c r="CA31" s="23">
        <f t="shared" si="40"/>
        <v>498360</v>
      </c>
      <c r="CB31" s="75" t="str">
        <f t="shared" si="41"/>
        <v>-</v>
      </c>
      <c r="CC31" s="27">
        <f>SUM(CC29:CC30)</f>
        <v>120000</v>
      </c>
      <c r="CD31" s="26">
        <f>SUM(CD29:CD30)</f>
        <v>0</v>
      </c>
      <c r="CE31" s="23">
        <f t="shared" si="42"/>
        <v>120000</v>
      </c>
      <c r="CF31" s="76" t="str">
        <f t="shared" si="43"/>
        <v>-</v>
      </c>
      <c r="CG31" s="24">
        <f>SUM(CG29:CG30)</f>
        <v>498360</v>
      </c>
      <c r="CH31" s="24">
        <f>SUM(CH29:CH30)</f>
        <v>0</v>
      </c>
      <c r="CI31" s="23">
        <f t="shared" si="44"/>
        <v>498360</v>
      </c>
      <c r="CJ31" s="76" t="str">
        <f t="shared" si="45"/>
        <v>-</v>
      </c>
      <c r="CK31" s="24">
        <f>SUM(CK29:CK30)</f>
        <v>0</v>
      </c>
      <c r="CL31" s="23">
        <f t="shared" si="46"/>
        <v>498360</v>
      </c>
      <c r="CM31" s="75" t="str">
        <f t="shared" si="47"/>
        <v>-</v>
      </c>
      <c r="CN31" s="27">
        <f>SUM(CN29:CN30)</f>
        <v>120000</v>
      </c>
      <c r="CO31" s="26">
        <f>SUM(CO29:CO30)</f>
        <v>0</v>
      </c>
      <c r="CP31" s="23">
        <f t="shared" si="48"/>
        <v>120000</v>
      </c>
      <c r="CQ31" s="76" t="str">
        <f t="shared" si="49"/>
        <v>-</v>
      </c>
      <c r="CR31" s="24">
        <f>SUM(CR29:CR30)</f>
        <v>498360</v>
      </c>
      <c r="CS31" s="24">
        <f>SUM(CS29:CS30)</f>
        <v>0</v>
      </c>
      <c r="CT31" s="23">
        <f t="shared" si="50"/>
        <v>498360</v>
      </c>
      <c r="CU31" s="76" t="str">
        <f t="shared" si="51"/>
        <v>-</v>
      </c>
      <c r="CV31" s="24">
        <f>SUM(CV29:CV30)</f>
        <v>0</v>
      </c>
      <c r="CW31" s="23">
        <f t="shared" si="52"/>
        <v>498360</v>
      </c>
      <c r="CX31" s="75" t="str">
        <f t="shared" si="53"/>
        <v>-</v>
      </c>
      <c r="CY31" s="27">
        <f>SUM(CY29:CY30)</f>
        <v>120000</v>
      </c>
      <c r="CZ31" s="26">
        <f>SUM(CZ29:CZ30)</f>
        <v>0</v>
      </c>
      <c r="DA31" s="23">
        <f t="shared" si="54"/>
        <v>120000</v>
      </c>
      <c r="DB31" s="76" t="str">
        <f t="shared" si="55"/>
        <v>-</v>
      </c>
      <c r="DC31" s="24">
        <f>SUM(DC29:DC30)</f>
        <v>498360</v>
      </c>
      <c r="DD31" s="24">
        <f>SUM(DD29:DD30)</f>
        <v>0</v>
      </c>
      <c r="DE31" s="23">
        <f t="shared" si="56"/>
        <v>498360</v>
      </c>
      <c r="DF31" s="76" t="str">
        <f t="shared" si="57"/>
        <v>-</v>
      </c>
      <c r="DG31" s="24">
        <f>SUM(DG29:DG30)</f>
        <v>0</v>
      </c>
      <c r="DH31" s="23">
        <f t="shared" si="58"/>
        <v>498360</v>
      </c>
      <c r="DI31" s="75" t="str">
        <f t="shared" si="59"/>
        <v>-</v>
      </c>
    </row>
    <row r="32" spans="1:113" ht="12.75" hidden="1" customHeight="1" outlineLevel="3" x14ac:dyDescent="0.2">
      <c r="A32" s="54"/>
      <c r="B32" s="38" t="s">
        <v>90</v>
      </c>
      <c r="C32" s="49" t="s">
        <v>89</v>
      </c>
      <c r="D32" s="41">
        <v>19000000</v>
      </c>
      <c r="E32" s="40">
        <v>0</v>
      </c>
      <c r="F32" s="32">
        <f t="shared" si="0"/>
        <v>19000000</v>
      </c>
      <c r="G32" s="78" t="str">
        <f t="shared" si="1"/>
        <v>-</v>
      </c>
      <c r="H32" s="39">
        <v>19000000</v>
      </c>
      <c r="I32" s="39">
        <v>0</v>
      </c>
      <c r="J32" s="32">
        <f t="shared" si="2"/>
        <v>19000000</v>
      </c>
      <c r="K32" s="78" t="str">
        <f t="shared" si="3"/>
        <v>-</v>
      </c>
      <c r="L32" s="39">
        <v>0</v>
      </c>
      <c r="M32" s="32">
        <f t="shared" si="4"/>
        <v>19000000</v>
      </c>
      <c r="N32" s="77" t="str">
        <f t="shared" si="5"/>
        <v>-</v>
      </c>
      <c r="O32" s="41">
        <v>19000000</v>
      </c>
      <c r="P32" s="40">
        <v>0</v>
      </c>
      <c r="Q32" s="32">
        <f t="shared" si="6"/>
        <v>19000000</v>
      </c>
      <c r="R32" s="78" t="str">
        <f t="shared" si="7"/>
        <v>-</v>
      </c>
      <c r="S32" s="39">
        <v>19000000</v>
      </c>
      <c r="T32" s="39">
        <v>0</v>
      </c>
      <c r="U32" s="32">
        <f t="shared" si="8"/>
        <v>19000000</v>
      </c>
      <c r="V32" s="78" t="str">
        <f t="shared" si="9"/>
        <v>-</v>
      </c>
      <c r="W32" s="39">
        <v>0</v>
      </c>
      <c r="X32" s="32">
        <f t="shared" si="10"/>
        <v>19000000</v>
      </c>
      <c r="Y32" s="77" t="str">
        <f t="shared" si="11"/>
        <v>-</v>
      </c>
      <c r="Z32" s="41">
        <v>19000000</v>
      </c>
      <c r="AA32" s="40">
        <v>0</v>
      </c>
      <c r="AB32" s="32">
        <f t="shared" si="12"/>
        <v>19000000</v>
      </c>
      <c r="AC32" s="78" t="str">
        <f t="shared" si="13"/>
        <v>-</v>
      </c>
      <c r="AD32" s="39">
        <v>19000000</v>
      </c>
      <c r="AE32" s="39">
        <v>0</v>
      </c>
      <c r="AF32" s="32">
        <f t="shared" si="14"/>
        <v>19000000</v>
      </c>
      <c r="AG32" s="78" t="str">
        <f t="shared" si="15"/>
        <v>-</v>
      </c>
      <c r="AH32" s="39">
        <v>0</v>
      </c>
      <c r="AI32" s="32">
        <f t="shared" si="16"/>
        <v>19000000</v>
      </c>
      <c r="AJ32" s="77" t="str">
        <f t="shared" si="17"/>
        <v>-</v>
      </c>
      <c r="AK32" s="41">
        <v>19000000</v>
      </c>
      <c r="AL32" s="40">
        <v>0</v>
      </c>
      <c r="AM32" s="32">
        <f t="shared" si="18"/>
        <v>19000000</v>
      </c>
      <c r="AN32" s="78" t="str">
        <f t="shared" si="19"/>
        <v>-</v>
      </c>
      <c r="AO32" s="39">
        <v>19000000</v>
      </c>
      <c r="AP32" s="39">
        <v>0</v>
      </c>
      <c r="AQ32" s="32">
        <f t="shared" si="20"/>
        <v>19000000</v>
      </c>
      <c r="AR32" s="78" t="str">
        <f t="shared" si="21"/>
        <v>-</v>
      </c>
      <c r="AS32" s="39">
        <v>0</v>
      </c>
      <c r="AT32" s="32">
        <f t="shared" si="22"/>
        <v>19000000</v>
      </c>
      <c r="AU32" s="77" t="str">
        <f t="shared" si="23"/>
        <v>-</v>
      </c>
      <c r="AV32" s="41">
        <v>19000000</v>
      </c>
      <c r="AW32" s="40">
        <v>0</v>
      </c>
      <c r="AX32" s="32">
        <f t="shared" si="24"/>
        <v>19000000</v>
      </c>
      <c r="AY32" s="78" t="str">
        <f t="shared" si="25"/>
        <v>-</v>
      </c>
      <c r="AZ32" s="39">
        <v>19000000</v>
      </c>
      <c r="BA32" s="39">
        <v>0</v>
      </c>
      <c r="BB32" s="32">
        <f t="shared" si="26"/>
        <v>19000000</v>
      </c>
      <c r="BC32" s="78" t="str">
        <f t="shared" si="27"/>
        <v>-</v>
      </c>
      <c r="BD32" s="39">
        <v>0</v>
      </c>
      <c r="BE32" s="32">
        <f t="shared" si="28"/>
        <v>19000000</v>
      </c>
      <c r="BF32" s="77" t="str">
        <f t="shared" si="29"/>
        <v>-</v>
      </c>
      <c r="BG32" s="41">
        <v>19000000</v>
      </c>
      <c r="BH32" s="40">
        <v>0</v>
      </c>
      <c r="BI32" s="32">
        <f t="shared" si="30"/>
        <v>19000000</v>
      </c>
      <c r="BJ32" s="78" t="str">
        <f t="shared" si="31"/>
        <v>-</v>
      </c>
      <c r="BK32" s="39">
        <v>19000000</v>
      </c>
      <c r="BL32" s="39">
        <v>0</v>
      </c>
      <c r="BM32" s="32">
        <f t="shared" si="32"/>
        <v>19000000</v>
      </c>
      <c r="BN32" s="78" t="str">
        <f t="shared" si="33"/>
        <v>-</v>
      </c>
      <c r="BO32" s="39">
        <v>0</v>
      </c>
      <c r="BP32" s="32">
        <f t="shared" si="34"/>
        <v>19000000</v>
      </c>
      <c r="BQ32" s="77" t="str">
        <f t="shared" si="35"/>
        <v>-</v>
      </c>
      <c r="BR32" s="41">
        <v>19000000</v>
      </c>
      <c r="BS32" s="40">
        <v>0</v>
      </c>
      <c r="BT32" s="32">
        <f t="shared" si="36"/>
        <v>19000000</v>
      </c>
      <c r="BU32" s="78" t="str">
        <f t="shared" si="37"/>
        <v>-</v>
      </c>
      <c r="BV32" s="39">
        <v>19000000</v>
      </c>
      <c r="BW32" s="39">
        <v>0</v>
      </c>
      <c r="BX32" s="32">
        <f t="shared" si="38"/>
        <v>19000000</v>
      </c>
      <c r="BY32" s="78" t="str">
        <f t="shared" si="39"/>
        <v>-</v>
      </c>
      <c r="BZ32" s="39">
        <v>0</v>
      </c>
      <c r="CA32" s="32">
        <f t="shared" si="40"/>
        <v>19000000</v>
      </c>
      <c r="CB32" s="77" t="str">
        <f t="shared" si="41"/>
        <v>-</v>
      </c>
      <c r="CC32" s="41">
        <v>19000000</v>
      </c>
      <c r="CD32" s="40">
        <v>0</v>
      </c>
      <c r="CE32" s="32">
        <f t="shared" si="42"/>
        <v>19000000</v>
      </c>
      <c r="CF32" s="78" t="str">
        <f t="shared" si="43"/>
        <v>-</v>
      </c>
      <c r="CG32" s="39">
        <v>19000000</v>
      </c>
      <c r="CH32" s="39">
        <v>0</v>
      </c>
      <c r="CI32" s="32">
        <f t="shared" si="44"/>
        <v>19000000</v>
      </c>
      <c r="CJ32" s="78" t="str">
        <f t="shared" si="45"/>
        <v>-</v>
      </c>
      <c r="CK32" s="39">
        <v>0</v>
      </c>
      <c r="CL32" s="32">
        <f t="shared" si="46"/>
        <v>19000000</v>
      </c>
      <c r="CM32" s="77" t="str">
        <f t="shared" si="47"/>
        <v>-</v>
      </c>
      <c r="CN32" s="41">
        <v>19000000</v>
      </c>
      <c r="CO32" s="40">
        <v>0</v>
      </c>
      <c r="CP32" s="32">
        <f t="shared" si="48"/>
        <v>19000000</v>
      </c>
      <c r="CQ32" s="78" t="str">
        <f t="shared" si="49"/>
        <v>-</v>
      </c>
      <c r="CR32" s="39">
        <v>19000000</v>
      </c>
      <c r="CS32" s="39">
        <v>0</v>
      </c>
      <c r="CT32" s="32">
        <f t="shared" si="50"/>
        <v>19000000</v>
      </c>
      <c r="CU32" s="78" t="str">
        <f t="shared" si="51"/>
        <v>-</v>
      </c>
      <c r="CV32" s="39">
        <v>0</v>
      </c>
      <c r="CW32" s="32">
        <f t="shared" si="52"/>
        <v>19000000</v>
      </c>
      <c r="CX32" s="77" t="str">
        <f t="shared" si="53"/>
        <v>-</v>
      </c>
      <c r="CY32" s="41">
        <v>19000000</v>
      </c>
      <c r="CZ32" s="40">
        <v>0</v>
      </c>
      <c r="DA32" s="32">
        <f t="shared" si="54"/>
        <v>19000000</v>
      </c>
      <c r="DB32" s="78" t="str">
        <f t="shared" si="55"/>
        <v>-</v>
      </c>
      <c r="DC32" s="39">
        <v>19000000</v>
      </c>
      <c r="DD32" s="39">
        <v>0</v>
      </c>
      <c r="DE32" s="32">
        <f t="shared" si="56"/>
        <v>19000000</v>
      </c>
      <c r="DF32" s="78" t="str">
        <f t="shared" si="57"/>
        <v>-</v>
      </c>
      <c r="DG32" s="39">
        <v>0</v>
      </c>
      <c r="DH32" s="32">
        <f t="shared" si="58"/>
        <v>19000000</v>
      </c>
      <c r="DI32" s="77" t="str">
        <f t="shared" si="59"/>
        <v>-</v>
      </c>
    </row>
    <row r="33" spans="1:113" ht="12.75" hidden="1" customHeight="1" outlineLevel="3" x14ac:dyDescent="0.2">
      <c r="A33" s="54"/>
      <c r="B33" s="38" t="s">
        <v>88</v>
      </c>
      <c r="C33" s="49" t="s">
        <v>87</v>
      </c>
      <c r="D33" s="41">
        <v>3328677</v>
      </c>
      <c r="E33" s="40">
        <v>0</v>
      </c>
      <c r="F33" s="32">
        <f t="shared" si="0"/>
        <v>3328677</v>
      </c>
      <c r="G33" s="78" t="str">
        <f t="shared" si="1"/>
        <v>-</v>
      </c>
      <c r="H33" s="39">
        <v>3328677</v>
      </c>
      <c r="I33" s="39">
        <v>0</v>
      </c>
      <c r="J33" s="32">
        <f t="shared" si="2"/>
        <v>3328677</v>
      </c>
      <c r="K33" s="78" t="str">
        <f t="shared" si="3"/>
        <v>-</v>
      </c>
      <c r="L33" s="39">
        <v>0</v>
      </c>
      <c r="M33" s="32">
        <f t="shared" si="4"/>
        <v>3328677</v>
      </c>
      <c r="N33" s="77" t="str">
        <f t="shared" si="5"/>
        <v>-</v>
      </c>
      <c r="O33" s="41">
        <v>3328677</v>
      </c>
      <c r="P33" s="40">
        <v>0</v>
      </c>
      <c r="Q33" s="32">
        <f t="shared" si="6"/>
        <v>3328677</v>
      </c>
      <c r="R33" s="78" t="str">
        <f t="shared" si="7"/>
        <v>-</v>
      </c>
      <c r="S33" s="39">
        <v>3328677</v>
      </c>
      <c r="T33" s="39">
        <v>0</v>
      </c>
      <c r="U33" s="32">
        <f t="shared" si="8"/>
        <v>3328677</v>
      </c>
      <c r="V33" s="78" t="str">
        <f t="shared" si="9"/>
        <v>-</v>
      </c>
      <c r="W33" s="39">
        <v>0</v>
      </c>
      <c r="X33" s="32">
        <f t="shared" si="10"/>
        <v>3328677</v>
      </c>
      <c r="Y33" s="77" t="str">
        <f t="shared" si="11"/>
        <v>-</v>
      </c>
      <c r="Z33" s="41">
        <v>3328677</v>
      </c>
      <c r="AA33" s="40">
        <v>0</v>
      </c>
      <c r="AB33" s="32">
        <f t="shared" si="12"/>
        <v>3328677</v>
      </c>
      <c r="AC33" s="78" t="str">
        <f t="shared" si="13"/>
        <v>-</v>
      </c>
      <c r="AD33" s="39">
        <v>3328677</v>
      </c>
      <c r="AE33" s="39">
        <v>0</v>
      </c>
      <c r="AF33" s="32">
        <f t="shared" si="14"/>
        <v>3328677</v>
      </c>
      <c r="AG33" s="78" t="str">
        <f t="shared" si="15"/>
        <v>-</v>
      </c>
      <c r="AH33" s="39">
        <v>0</v>
      </c>
      <c r="AI33" s="32">
        <f t="shared" si="16"/>
        <v>3328677</v>
      </c>
      <c r="AJ33" s="77" t="str">
        <f t="shared" si="17"/>
        <v>-</v>
      </c>
      <c r="AK33" s="41">
        <v>3328677</v>
      </c>
      <c r="AL33" s="40">
        <v>0</v>
      </c>
      <c r="AM33" s="32">
        <f t="shared" si="18"/>
        <v>3328677</v>
      </c>
      <c r="AN33" s="78" t="str">
        <f t="shared" si="19"/>
        <v>-</v>
      </c>
      <c r="AO33" s="39">
        <v>3328677</v>
      </c>
      <c r="AP33" s="39">
        <v>0</v>
      </c>
      <c r="AQ33" s="32">
        <f t="shared" si="20"/>
        <v>3328677</v>
      </c>
      <c r="AR33" s="78" t="str">
        <f t="shared" si="21"/>
        <v>-</v>
      </c>
      <c r="AS33" s="39">
        <v>0</v>
      </c>
      <c r="AT33" s="32">
        <f t="shared" si="22"/>
        <v>3328677</v>
      </c>
      <c r="AU33" s="77" t="str">
        <f t="shared" si="23"/>
        <v>-</v>
      </c>
      <c r="AV33" s="41">
        <v>3328677</v>
      </c>
      <c r="AW33" s="40">
        <v>0</v>
      </c>
      <c r="AX33" s="32">
        <f t="shared" si="24"/>
        <v>3328677</v>
      </c>
      <c r="AY33" s="78" t="str">
        <f t="shared" si="25"/>
        <v>-</v>
      </c>
      <c r="AZ33" s="39">
        <v>3328677</v>
      </c>
      <c r="BA33" s="39">
        <v>0</v>
      </c>
      <c r="BB33" s="32">
        <f t="shared" si="26"/>
        <v>3328677</v>
      </c>
      <c r="BC33" s="78" t="str">
        <f t="shared" si="27"/>
        <v>-</v>
      </c>
      <c r="BD33" s="39">
        <v>0</v>
      </c>
      <c r="BE33" s="32">
        <f t="shared" si="28"/>
        <v>3328677</v>
      </c>
      <c r="BF33" s="77" t="str">
        <f t="shared" si="29"/>
        <v>-</v>
      </c>
      <c r="BG33" s="41">
        <v>3328677</v>
      </c>
      <c r="BH33" s="40">
        <v>0</v>
      </c>
      <c r="BI33" s="32">
        <f t="shared" si="30"/>
        <v>3328677</v>
      </c>
      <c r="BJ33" s="78" t="str">
        <f t="shared" si="31"/>
        <v>-</v>
      </c>
      <c r="BK33" s="39">
        <v>3328677</v>
      </c>
      <c r="BL33" s="39">
        <v>0</v>
      </c>
      <c r="BM33" s="32">
        <f t="shared" si="32"/>
        <v>3328677</v>
      </c>
      <c r="BN33" s="78" t="str">
        <f t="shared" si="33"/>
        <v>-</v>
      </c>
      <c r="BO33" s="39">
        <v>0</v>
      </c>
      <c r="BP33" s="32">
        <f t="shared" si="34"/>
        <v>3328677</v>
      </c>
      <c r="BQ33" s="77" t="str">
        <f t="shared" si="35"/>
        <v>-</v>
      </c>
      <c r="BR33" s="41">
        <v>3328677</v>
      </c>
      <c r="BS33" s="40">
        <v>0</v>
      </c>
      <c r="BT33" s="32">
        <f t="shared" si="36"/>
        <v>3328677</v>
      </c>
      <c r="BU33" s="78" t="str">
        <f t="shared" si="37"/>
        <v>-</v>
      </c>
      <c r="BV33" s="39">
        <v>3328677</v>
      </c>
      <c r="BW33" s="39">
        <v>0</v>
      </c>
      <c r="BX33" s="32">
        <f t="shared" si="38"/>
        <v>3328677</v>
      </c>
      <c r="BY33" s="78" t="str">
        <f t="shared" si="39"/>
        <v>-</v>
      </c>
      <c r="BZ33" s="39">
        <v>0</v>
      </c>
      <c r="CA33" s="32">
        <f t="shared" si="40"/>
        <v>3328677</v>
      </c>
      <c r="CB33" s="77" t="str">
        <f t="shared" si="41"/>
        <v>-</v>
      </c>
      <c r="CC33" s="41">
        <v>3328677</v>
      </c>
      <c r="CD33" s="40">
        <v>0</v>
      </c>
      <c r="CE33" s="32">
        <f t="shared" si="42"/>
        <v>3328677</v>
      </c>
      <c r="CF33" s="78" t="str">
        <f t="shared" si="43"/>
        <v>-</v>
      </c>
      <c r="CG33" s="39">
        <v>3328677</v>
      </c>
      <c r="CH33" s="39">
        <v>0</v>
      </c>
      <c r="CI33" s="32">
        <f t="shared" si="44"/>
        <v>3328677</v>
      </c>
      <c r="CJ33" s="78" t="str">
        <f t="shared" si="45"/>
        <v>-</v>
      </c>
      <c r="CK33" s="39">
        <v>0</v>
      </c>
      <c r="CL33" s="32">
        <f t="shared" si="46"/>
        <v>3328677</v>
      </c>
      <c r="CM33" s="77" t="str">
        <f t="shared" si="47"/>
        <v>-</v>
      </c>
      <c r="CN33" s="41">
        <v>3328677</v>
      </c>
      <c r="CO33" s="40">
        <v>0</v>
      </c>
      <c r="CP33" s="32">
        <f t="shared" si="48"/>
        <v>3328677</v>
      </c>
      <c r="CQ33" s="78" t="str">
        <f t="shared" si="49"/>
        <v>-</v>
      </c>
      <c r="CR33" s="39">
        <v>3328677</v>
      </c>
      <c r="CS33" s="39">
        <v>0</v>
      </c>
      <c r="CT33" s="32">
        <f t="shared" si="50"/>
        <v>3328677</v>
      </c>
      <c r="CU33" s="78" t="str">
        <f t="shared" si="51"/>
        <v>-</v>
      </c>
      <c r="CV33" s="39">
        <v>0</v>
      </c>
      <c r="CW33" s="32">
        <f t="shared" si="52"/>
        <v>3328677</v>
      </c>
      <c r="CX33" s="77" t="str">
        <f t="shared" si="53"/>
        <v>-</v>
      </c>
      <c r="CY33" s="41">
        <v>3328677</v>
      </c>
      <c r="CZ33" s="40">
        <v>0</v>
      </c>
      <c r="DA33" s="32">
        <f t="shared" si="54"/>
        <v>3328677</v>
      </c>
      <c r="DB33" s="78" t="str">
        <f t="shared" si="55"/>
        <v>-</v>
      </c>
      <c r="DC33" s="39">
        <v>3328677</v>
      </c>
      <c r="DD33" s="39">
        <v>0</v>
      </c>
      <c r="DE33" s="32">
        <f t="shared" si="56"/>
        <v>3328677</v>
      </c>
      <c r="DF33" s="78" t="str">
        <f t="shared" si="57"/>
        <v>-</v>
      </c>
      <c r="DG33" s="39">
        <v>0</v>
      </c>
      <c r="DH33" s="32">
        <f t="shared" si="58"/>
        <v>3328677</v>
      </c>
      <c r="DI33" s="77" t="str">
        <f t="shared" si="59"/>
        <v>-</v>
      </c>
    </row>
    <row r="34" spans="1:113" s="6" customFormat="1" hidden="1" outlineLevel="2" collapsed="1" x14ac:dyDescent="0.2">
      <c r="A34" s="30"/>
      <c r="B34" s="29" t="s">
        <v>86</v>
      </c>
      <c r="C34" s="52" t="s">
        <v>85</v>
      </c>
      <c r="D34" s="27">
        <f>SUM(D32:D33)</f>
        <v>22328677</v>
      </c>
      <c r="E34" s="26">
        <f>SUM(E32:E33)</f>
        <v>0</v>
      </c>
      <c r="F34" s="23">
        <f t="shared" si="0"/>
        <v>22328677</v>
      </c>
      <c r="G34" s="76" t="str">
        <f t="shared" si="1"/>
        <v>-</v>
      </c>
      <c r="H34" s="24">
        <f>SUM(H32:H33)</f>
        <v>22328677</v>
      </c>
      <c r="I34" s="24">
        <f>SUM(I32:I33)</f>
        <v>0</v>
      </c>
      <c r="J34" s="23">
        <f t="shared" si="2"/>
        <v>22328677</v>
      </c>
      <c r="K34" s="76" t="str">
        <f t="shared" si="3"/>
        <v>-</v>
      </c>
      <c r="L34" s="24">
        <f>SUM(L32:L33)</f>
        <v>0</v>
      </c>
      <c r="M34" s="23">
        <f t="shared" si="4"/>
        <v>22328677</v>
      </c>
      <c r="N34" s="75" t="str">
        <f t="shared" si="5"/>
        <v>-</v>
      </c>
      <c r="O34" s="27">
        <f>SUM(O32:O33)</f>
        <v>22328677</v>
      </c>
      <c r="P34" s="26">
        <f>SUM(P32:P33)</f>
        <v>0</v>
      </c>
      <c r="Q34" s="23">
        <f t="shared" si="6"/>
        <v>22328677</v>
      </c>
      <c r="R34" s="76" t="str">
        <f t="shared" si="7"/>
        <v>-</v>
      </c>
      <c r="S34" s="24">
        <f>SUM(S32:S33)</f>
        <v>22328677</v>
      </c>
      <c r="T34" s="24">
        <f>SUM(T32:T33)</f>
        <v>0</v>
      </c>
      <c r="U34" s="23">
        <f t="shared" si="8"/>
        <v>22328677</v>
      </c>
      <c r="V34" s="76" t="str">
        <f t="shared" si="9"/>
        <v>-</v>
      </c>
      <c r="W34" s="24">
        <f>SUM(W32:W33)</f>
        <v>0</v>
      </c>
      <c r="X34" s="23">
        <f t="shared" si="10"/>
        <v>22328677</v>
      </c>
      <c r="Y34" s="75" t="str">
        <f t="shared" si="11"/>
        <v>-</v>
      </c>
      <c r="Z34" s="27">
        <f>SUM(Z32:Z33)</f>
        <v>22328677</v>
      </c>
      <c r="AA34" s="26">
        <f>SUM(AA32:AA33)</f>
        <v>0</v>
      </c>
      <c r="AB34" s="23">
        <f t="shared" si="12"/>
        <v>22328677</v>
      </c>
      <c r="AC34" s="76" t="str">
        <f t="shared" si="13"/>
        <v>-</v>
      </c>
      <c r="AD34" s="24">
        <f>SUM(AD32:AD33)</f>
        <v>22328677</v>
      </c>
      <c r="AE34" s="24">
        <f>SUM(AE32:AE33)</f>
        <v>0</v>
      </c>
      <c r="AF34" s="23">
        <f t="shared" si="14"/>
        <v>22328677</v>
      </c>
      <c r="AG34" s="76" t="str">
        <f t="shared" si="15"/>
        <v>-</v>
      </c>
      <c r="AH34" s="24">
        <f>SUM(AH32:AH33)</f>
        <v>0</v>
      </c>
      <c r="AI34" s="23">
        <f t="shared" si="16"/>
        <v>22328677</v>
      </c>
      <c r="AJ34" s="75" t="str">
        <f t="shared" si="17"/>
        <v>-</v>
      </c>
      <c r="AK34" s="27">
        <f>SUM(AK32:AK33)</f>
        <v>22328677</v>
      </c>
      <c r="AL34" s="26">
        <f>SUM(AL32:AL33)</f>
        <v>0</v>
      </c>
      <c r="AM34" s="23">
        <f t="shared" si="18"/>
        <v>22328677</v>
      </c>
      <c r="AN34" s="76" t="str">
        <f t="shared" si="19"/>
        <v>-</v>
      </c>
      <c r="AO34" s="24">
        <f>SUM(AO32:AO33)</f>
        <v>22328677</v>
      </c>
      <c r="AP34" s="24">
        <f>SUM(AP32:AP33)</f>
        <v>0</v>
      </c>
      <c r="AQ34" s="23">
        <f t="shared" si="20"/>
        <v>22328677</v>
      </c>
      <c r="AR34" s="76" t="str">
        <f t="shared" si="21"/>
        <v>-</v>
      </c>
      <c r="AS34" s="24">
        <f>SUM(AS32:AS33)</f>
        <v>0</v>
      </c>
      <c r="AT34" s="23">
        <f t="shared" si="22"/>
        <v>22328677</v>
      </c>
      <c r="AU34" s="75" t="str">
        <f t="shared" si="23"/>
        <v>-</v>
      </c>
      <c r="AV34" s="27">
        <f>SUM(AV32:AV33)</f>
        <v>22328677</v>
      </c>
      <c r="AW34" s="26">
        <f>SUM(AW32:AW33)</f>
        <v>0</v>
      </c>
      <c r="AX34" s="23">
        <f t="shared" si="24"/>
        <v>22328677</v>
      </c>
      <c r="AY34" s="76" t="str">
        <f t="shared" si="25"/>
        <v>-</v>
      </c>
      <c r="AZ34" s="24">
        <f>SUM(AZ32:AZ33)</f>
        <v>22328677</v>
      </c>
      <c r="BA34" s="24">
        <f>SUM(BA32:BA33)</f>
        <v>0</v>
      </c>
      <c r="BB34" s="23">
        <f t="shared" si="26"/>
        <v>22328677</v>
      </c>
      <c r="BC34" s="76" t="str">
        <f t="shared" si="27"/>
        <v>-</v>
      </c>
      <c r="BD34" s="24">
        <f>SUM(BD32:BD33)</f>
        <v>0</v>
      </c>
      <c r="BE34" s="23">
        <f t="shared" si="28"/>
        <v>22328677</v>
      </c>
      <c r="BF34" s="75" t="str">
        <f t="shared" si="29"/>
        <v>-</v>
      </c>
      <c r="BG34" s="27">
        <f>SUM(BG32:BG33)</f>
        <v>22328677</v>
      </c>
      <c r="BH34" s="26">
        <f>SUM(BH32:BH33)</f>
        <v>0</v>
      </c>
      <c r="BI34" s="23">
        <f t="shared" si="30"/>
        <v>22328677</v>
      </c>
      <c r="BJ34" s="76" t="str">
        <f t="shared" si="31"/>
        <v>-</v>
      </c>
      <c r="BK34" s="24">
        <f>SUM(BK32:BK33)</f>
        <v>22328677</v>
      </c>
      <c r="BL34" s="24">
        <f>SUM(BL32:BL33)</f>
        <v>0</v>
      </c>
      <c r="BM34" s="23">
        <f t="shared" si="32"/>
        <v>22328677</v>
      </c>
      <c r="BN34" s="76" t="str">
        <f t="shared" si="33"/>
        <v>-</v>
      </c>
      <c r="BO34" s="24">
        <f>SUM(BO32:BO33)</f>
        <v>0</v>
      </c>
      <c r="BP34" s="23">
        <f t="shared" si="34"/>
        <v>22328677</v>
      </c>
      <c r="BQ34" s="75" t="str">
        <f t="shared" si="35"/>
        <v>-</v>
      </c>
      <c r="BR34" s="27">
        <f>SUM(BR32:BR33)</f>
        <v>22328677</v>
      </c>
      <c r="BS34" s="26">
        <f>SUM(BS32:BS33)</f>
        <v>0</v>
      </c>
      <c r="BT34" s="23">
        <f t="shared" si="36"/>
        <v>22328677</v>
      </c>
      <c r="BU34" s="76" t="str">
        <f t="shared" si="37"/>
        <v>-</v>
      </c>
      <c r="BV34" s="24">
        <f>SUM(BV32:BV33)</f>
        <v>22328677</v>
      </c>
      <c r="BW34" s="24">
        <f>SUM(BW32:BW33)</f>
        <v>0</v>
      </c>
      <c r="BX34" s="23">
        <f t="shared" si="38"/>
        <v>22328677</v>
      </c>
      <c r="BY34" s="76" t="str">
        <f t="shared" si="39"/>
        <v>-</v>
      </c>
      <c r="BZ34" s="24">
        <f>SUM(BZ32:BZ33)</f>
        <v>0</v>
      </c>
      <c r="CA34" s="23">
        <f t="shared" si="40"/>
        <v>22328677</v>
      </c>
      <c r="CB34" s="75" t="str">
        <f t="shared" si="41"/>
        <v>-</v>
      </c>
      <c r="CC34" s="27">
        <f>SUM(CC32:CC33)</f>
        <v>22328677</v>
      </c>
      <c r="CD34" s="26">
        <f>SUM(CD32:CD33)</f>
        <v>0</v>
      </c>
      <c r="CE34" s="23">
        <f t="shared" si="42"/>
        <v>22328677</v>
      </c>
      <c r="CF34" s="76" t="str">
        <f t="shared" si="43"/>
        <v>-</v>
      </c>
      <c r="CG34" s="24">
        <f>SUM(CG32:CG33)</f>
        <v>22328677</v>
      </c>
      <c r="CH34" s="24">
        <f>SUM(CH32:CH33)</f>
        <v>0</v>
      </c>
      <c r="CI34" s="23">
        <f t="shared" si="44"/>
        <v>22328677</v>
      </c>
      <c r="CJ34" s="76" t="str">
        <f t="shared" si="45"/>
        <v>-</v>
      </c>
      <c r="CK34" s="24">
        <f>SUM(CK32:CK33)</f>
        <v>0</v>
      </c>
      <c r="CL34" s="23">
        <f t="shared" si="46"/>
        <v>22328677</v>
      </c>
      <c r="CM34" s="75" t="str">
        <f t="shared" si="47"/>
        <v>-</v>
      </c>
      <c r="CN34" s="27">
        <f>SUM(CN32:CN33)</f>
        <v>22328677</v>
      </c>
      <c r="CO34" s="26">
        <f>SUM(CO32:CO33)</f>
        <v>0</v>
      </c>
      <c r="CP34" s="23">
        <f t="shared" si="48"/>
        <v>22328677</v>
      </c>
      <c r="CQ34" s="76" t="str">
        <f t="shared" si="49"/>
        <v>-</v>
      </c>
      <c r="CR34" s="24">
        <f>SUM(CR32:CR33)</f>
        <v>22328677</v>
      </c>
      <c r="CS34" s="24">
        <f>SUM(CS32:CS33)</f>
        <v>0</v>
      </c>
      <c r="CT34" s="23">
        <f t="shared" si="50"/>
        <v>22328677</v>
      </c>
      <c r="CU34" s="76" t="str">
        <f t="shared" si="51"/>
        <v>-</v>
      </c>
      <c r="CV34" s="24">
        <f>SUM(CV32:CV33)</f>
        <v>0</v>
      </c>
      <c r="CW34" s="23">
        <f t="shared" si="52"/>
        <v>22328677</v>
      </c>
      <c r="CX34" s="75" t="str">
        <f t="shared" si="53"/>
        <v>-</v>
      </c>
      <c r="CY34" s="27">
        <f>SUM(CY32:CY33)</f>
        <v>22328677</v>
      </c>
      <c r="CZ34" s="26">
        <f>SUM(CZ32:CZ33)</f>
        <v>0</v>
      </c>
      <c r="DA34" s="23">
        <f t="shared" si="54"/>
        <v>22328677</v>
      </c>
      <c r="DB34" s="76" t="str">
        <f t="shared" si="55"/>
        <v>-</v>
      </c>
      <c r="DC34" s="24">
        <f>SUM(DC32:DC33)</f>
        <v>22328677</v>
      </c>
      <c r="DD34" s="24">
        <f>SUM(DD32:DD33)</f>
        <v>0</v>
      </c>
      <c r="DE34" s="23">
        <f t="shared" si="56"/>
        <v>22328677</v>
      </c>
      <c r="DF34" s="76" t="str">
        <f t="shared" si="57"/>
        <v>-</v>
      </c>
      <c r="DG34" s="24">
        <f>SUM(DG32:DG33)</f>
        <v>0</v>
      </c>
      <c r="DH34" s="23">
        <f t="shared" si="58"/>
        <v>22328677</v>
      </c>
      <c r="DI34" s="75" t="str">
        <f t="shared" si="59"/>
        <v>-</v>
      </c>
    </row>
    <row r="35" spans="1:113" ht="12.75" hidden="1" customHeight="1" outlineLevel="3" x14ac:dyDescent="0.2">
      <c r="A35" s="54"/>
      <c r="B35" s="38" t="s">
        <v>84</v>
      </c>
      <c r="C35" s="49" t="s">
        <v>83</v>
      </c>
      <c r="D35" s="41">
        <v>0</v>
      </c>
      <c r="E35" s="40">
        <v>0</v>
      </c>
      <c r="F35" s="32">
        <f t="shared" si="0"/>
        <v>0</v>
      </c>
      <c r="G35" s="78" t="str">
        <f t="shared" si="1"/>
        <v>-</v>
      </c>
      <c r="H35" s="39">
        <v>4743000</v>
      </c>
      <c r="I35" s="39">
        <v>0</v>
      </c>
      <c r="J35" s="32">
        <f t="shared" si="2"/>
        <v>4743000</v>
      </c>
      <c r="K35" s="78" t="str">
        <f t="shared" si="3"/>
        <v>-</v>
      </c>
      <c r="L35" s="39">
        <v>0</v>
      </c>
      <c r="M35" s="32">
        <f t="shared" si="4"/>
        <v>4743000</v>
      </c>
      <c r="N35" s="77" t="str">
        <f t="shared" si="5"/>
        <v>-</v>
      </c>
      <c r="O35" s="41">
        <v>0</v>
      </c>
      <c r="P35" s="40">
        <v>0</v>
      </c>
      <c r="Q35" s="32">
        <f t="shared" si="6"/>
        <v>0</v>
      </c>
      <c r="R35" s="78" t="str">
        <f t="shared" si="7"/>
        <v>-</v>
      </c>
      <c r="S35" s="39">
        <v>4743000</v>
      </c>
      <c r="T35" s="39">
        <v>0</v>
      </c>
      <c r="U35" s="32">
        <f t="shared" si="8"/>
        <v>4743000</v>
      </c>
      <c r="V35" s="78" t="str">
        <f t="shared" si="9"/>
        <v>-</v>
      </c>
      <c r="W35" s="39">
        <v>0</v>
      </c>
      <c r="X35" s="32">
        <f t="shared" si="10"/>
        <v>4743000</v>
      </c>
      <c r="Y35" s="77" t="str">
        <f t="shared" si="11"/>
        <v>-</v>
      </c>
      <c r="Z35" s="41">
        <v>0</v>
      </c>
      <c r="AA35" s="40">
        <v>0</v>
      </c>
      <c r="AB35" s="32">
        <f t="shared" si="12"/>
        <v>0</v>
      </c>
      <c r="AC35" s="78" t="str">
        <f t="shared" si="13"/>
        <v>-</v>
      </c>
      <c r="AD35" s="39">
        <v>4743000</v>
      </c>
      <c r="AE35" s="39">
        <v>0</v>
      </c>
      <c r="AF35" s="32">
        <f t="shared" si="14"/>
        <v>4743000</v>
      </c>
      <c r="AG35" s="78" t="str">
        <f t="shared" si="15"/>
        <v>-</v>
      </c>
      <c r="AH35" s="39">
        <v>0</v>
      </c>
      <c r="AI35" s="32">
        <f t="shared" si="16"/>
        <v>4743000</v>
      </c>
      <c r="AJ35" s="77" t="str">
        <f t="shared" si="17"/>
        <v>-</v>
      </c>
      <c r="AK35" s="41">
        <v>0</v>
      </c>
      <c r="AL35" s="40">
        <v>0</v>
      </c>
      <c r="AM35" s="32">
        <f t="shared" si="18"/>
        <v>0</v>
      </c>
      <c r="AN35" s="78" t="str">
        <f t="shared" si="19"/>
        <v>-</v>
      </c>
      <c r="AO35" s="39">
        <v>4743000</v>
      </c>
      <c r="AP35" s="39">
        <v>0</v>
      </c>
      <c r="AQ35" s="32">
        <f t="shared" si="20"/>
        <v>4743000</v>
      </c>
      <c r="AR35" s="78" t="str">
        <f t="shared" si="21"/>
        <v>-</v>
      </c>
      <c r="AS35" s="39">
        <v>0</v>
      </c>
      <c r="AT35" s="32">
        <f t="shared" si="22"/>
        <v>4743000</v>
      </c>
      <c r="AU35" s="77" t="str">
        <f t="shared" si="23"/>
        <v>-</v>
      </c>
      <c r="AV35" s="41">
        <v>0</v>
      </c>
      <c r="AW35" s="40">
        <v>0</v>
      </c>
      <c r="AX35" s="32">
        <f t="shared" si="24"/>
        <v>0</v>
      </c>
      <c r="AY35" s="78" t="str">
        <f t="shared" si="25"/>
        <v>-</v>
      </c>
      <c r="AZ35" s="39">
        <v>4743000</v>
      </c>
      <c r="BA35" s="39">
        <v>0</v>
      </c>
      <c r="BB35" s="32">
        <f t="shared" si="26"/>
        <v>4743000</v>
      </c>
      <c r="BC35" s="78" t="str">
        <f t="shared" si="27"/>
        <v>-</v>
      </c>
      <c r="BD35" s="39">
        <v>0</v>
      </c>
      <c r="BE35" s="32">
        <f t="shared" si="28"/>
        <v>4743000</v>
      </c>
      <c r="BF35" s="77" t="str">
        <f t="shared" si="29"/>
        <v>-</v>
      </c>
      <c r="BG35" s="41">
        <v>0</v>
      </c>
      <c r="BH35" s="40">
        <v>0</v>
      </c>
      <c r="BI35" s="32">
        <f t="shared" si="30"/>
        <v>0</v>
      </c>
      <c r="BJ35" s="78" t="str">
        <f t="shared" si="31"/>
        <v>-</v>
      </c>
      <c r="BK35" s="39">
        <v>4743000</v>
      </c>
      <c r="BL35" s="39">
        <v>0</v>
      </c>
      <c r="BM35" s="32">
        <f t="shared" si="32"/>
        <v>4743000</v>
      </c>
      <c r="BN35" s="78" t="str">
        <f t="shared" si="33"/>
        <v>-</v>
      </c>
      <c r="BO35" s="39">
        <v>0</v>
      </c>
      <c r="BP35" s="32">
        <f t="shared" si="34"/>
        <v>4743000</v>
      </c>
      <c r="BQ35" s="77" t="str">
        <f t="shared" si="35"/>
        <v>-</v>
      </c>
      <c r="BR35" s="41">
        <v>0</v>
      </c>
      <c r="BS35" s="40">
        <v>0</v>
      </c>
      <c r="BT35" s="32">
        <f t="shared" si="36"/>
        <v>0</v>
      </c>
      <c r="BU35" s="78" t="str">
        <f t="shared" si="37"/>
        <v>-</v>
      </c>
      <c r="BV35" s="39">
        <v>4743000</v>
      </c>
      <c r="BW35" s="39">
        <v>0</v>
      </c>
      <c r="BX35" s="32">
        <f t="shared" si="38"/>
        <v>4743000</v>
      </c>
      <c r="BY35" s="78" t="str">
        <f t="shared" si="39"/>
        <v>-</v>
      </c>
      <c r="BZ35" s="39">
        <v>0</v>
      </c>
      <c r="CA35" s="32">
        <f t="shared" si="40"/>
        <v>4743000</v>
      </c>
      <c r="CB35" s="77" t="str">
        <f t="shared" si="41"/>
        <v>-</v>
      </c>
      <c r="CC35" s="41">
        <v>0</v>
      </c>
      <c r="CD35" s="40">
        <v>0</v>
      </c>
      <c r="CE35" s="32">
        <f t="shared" si="42"/>
        <v>0</v>
      </c>
      <c r="CF35" s="78" t="str">
        <f t="shared" si="43"/>
        <v>-</v>
      </c>
      <c r="CG35" s="39">
        <v>4743000</v>
      </c>
      <c r="CH35" s="39">
        <v>0</v>
      </c>
      <c r="CI35" s="32">
        <f t="shared" si="44"/>
        <v>4743000</v>
      </c>
      <c r="CJ35" s="78" t="str">
        <f t="shared" si="45"/>
        <v>-</v>
      </c>
      <c r="CK35" s="39">
        <v>0</v>
      </c>
      <c r="CL35" s="32">
        <f t="shared" si="46"/>
        <v>4743000</v>
      </c>
      <c r="CM35" s="77" t="str">
        <f t="shared" si="47"/>
        <v>-</v>
      </c>
      <c r="CN35" s="41">
        <v>0</v>
      </c>
      <c r="CO35" s="40">
        <v>0</v>
      </c>
      <c r="CP35" s="32">
        <f t="shared" si="48"/>
        <v>0</v>
      </c>
      <c r="CQ35" s="78" t="str">
        <f t="shared" si="49"/>
        <v>-</v>
      </c>
      <c r="CR35" s="39">
        <v>4743000</v>
      </c>
      <c r="CS35" s="39">
        <v>0</v>
      </c>
      <c r="CT35" s="32">
        <f t="shared" si="50"/>
        <v>4743000</v>
      </c>
      <c r="CU35" s="78" t="str">
        <f t="shared" si="51"/>
        <v>-</v>
      </c>
      <c r="CV35" s="39">
        <v>0</v>
      </c>
      <c r="CW35" s="32">
        <f t="shared" si="52"/>
        <v>4743000</v>
      </c>
      <c r="CX35" s="77" t="str">
        <f t="shared" si="53"/>
        <v>-</v>
      </c>
      <c r="CY35" s="41">
        <v>0</v>
      </c>
      <c r="CZ35" s="40">
        <v>0</v>
      </c>
      <c r="DA35" s="32">
        <f t="shared" si="54"/>
        <v>0</v>
      </c>
      <c r="DB35" s="78" t="str">
        <f t="shared" si="55"/>
        <v>-</v>
      </c>
      <c r="DC35" s="39">
        <v>4743000</v>
      </c>
      <c r="DD35" s="39">
        <v>0</v>
      </c>
      <c r="DE35" s="32">
        <f t="shared" si="56"/>
        <v>4743000</v>
      </c>
      <c r="DF35" s="78" t="str">
        <f t="shared" si="57"/>
        <v>-</v>
      </c>
      <c r="DG35" s="39">
        <v>0</v>
      </c>
      <c r="DH35" s="32">
        <f t="shared" si="58"/>
        <v>4743000</v>
      </c>
      <c r="DI35" s="77" t="str">
        <f t="shared" si="59"/>
        <v>-</v>
      </c>
    </row>
    <row r="36" spans="1:113" ht="12.75" hidden="1" customHeight="1" outlineLevel="3" x14ac:dyDescent="0.2">
      <c r="A36" s="54"/>
      <c r="B36" s="38" t="s">
        <v>82</v>
      </c>
      <c r="C36" s="49" t="s">
        <v>81</v>
      </c>
      <c r="D36" s="41">
        <v>0</v>
      </c>
      <c r="E36" s="40">
        <v>0</v>
      </c>
      <c r="F36" s="32">
        <f t="shared" si="0"/>
        <v>0</v>
      </c>
      <c r="G36" s="78" t="str">
        <f t="shared" si="1"/>
        <v>-</v>
      </c>
      <c r="H36" s="39">
        <v>32028.32</v>
      </c>
      <c r="I36" s="39">
        <v>0</v>
      </c>
      <c r="J36" s="32">
        <f t="shared" si="2"/>
        <v>32028.32</v>
      </c>
      <c r="K36" s="78" t="str">
        <f t="shared" si="3"/>
        <v>-</v>
      </c>
      <c r="L36" s="39">
        <v>0</v>
      </c>
      <c r="M36" s="32">
        <f t="shared" si="4"/>
        <v>32028.32</v>
      </c>
      <c r="N36" s="77" t="str">
        <f t="shared" si="5"/>
        <v>-</v>
      </c>
      <c r="O36" s="41">
        <v>0</v>
      </c>
      <c r="P36" s="40">
        <v>0</v>
      </c>
      <c r="Q36" s="32">
        <f t="shared" si="6"/>
        <v>0</v>
      </c>
      <c r="R36" s="78" t="str">
        <f t="shared" si="7"/>
        <v>-</v>
      </c>
      <c r="S36" s="39">
        <v>32028.32</v>
      </c>
      <c r="T36" s="39">
        <v>0</v>
      </c>
      <c r="U36" s="32">
        <f t="shared" si="8"/>
        <v>32028.32</v>
      </c>
      <c r="V36" s="78" t="str">
        <f t="shared" si="9"/>
        <v>-</v>
      </c>
      <c r="W36" s="39">
        <v>0</v>
      </c>
      <c r="X36" s="32">
        <f t="shared" si="10"/>
        <v>32028.32</v>
      </c>
      <c r="Y36" s="77" t="str">
        <f t="shared" si="11"/>
        <v>-</v>
      </c>
      <c r="Z36" s="41">
        <v>0</v>
      </c>
      <c r="AA36" s="40">
        <v>0</v>
      </c>
      <c r="AB36" s="32">
        <f t="shared" si="12"/>
        <v>0</v>
      </c>
      <c r="AC36" s="78" t="str">
        <f t="shared" si="13"/>
        <v>-</v>
      </c>
      <c r="AD36" s="39">
        <v>32028.32</v>
      </c>
      <c r="AE36" s="39">
        <v>0</v>
      </c>
      <c r="AF36" s="32">
        <f t="shared" si="14"/>
        <v>32028.32</v>
      </c>
      <c r="AG36" s="78" t="str">
        <f t="shared" si="15"/>
        <v>-</v>
      </c>
      <c r="AH36" s="39">
        <v>0</v>
      </c>
      <c r="AI36" s="32">
        <f t="shared" si="16"/>
        <v>32028.32</v>
      </c>
      <c r="AJ36" s="77" t="str">
        <f t="shared" si="17"/>
        <v>-</v>
      </c>
      <c r="AK36" s="41">
        <v>0</v>
      </c>
      <c r="AL36" s="40">
        <v>0</v>
      </c>
      <c r="AM36" s="32">
        <f t="shared" si="18"/>
        <v>0</v>
      </c>
      <c r="AN36" s="78" t="str">
        <f t="shared" si="19"/>
        <v>-</v>
      </c>
      <c r="AO36" s="39">
        <v>32028.32</v>
      </c>
      <c r="AP36" s="39">
        <v>0</v>
      </c>
      <c r="AQ36" s="32">
        <f t="shared" si="20"/>
        <v>32028.32</v>
      </c>
      <c r="AR36" s="78" t="str">
        <f t="shared" si="21"/>
        <v>-</v>
      </c>
      <c r="AS36" s="39">
        <v>0</v>
      </c>
      <c r="AT36" s="32">
        <f t="shared" si="22"/>
        <v>32028.32</v>
      </c>
      <c r="AU36" s="77" t="str">
        <f t="shared" si="23"/>
        <v>-</v>
      </c>
      <c r="AV36" s="41">
        <v>0</v>
      </c>
      <c r="AW36" s="40">
        <v>0</v>
      </c>
      <c r="AX36" s="32">
        <f t="shared" si="24"/>
        <v>0</v>
      </c>
      <c r="AY36" s="78" t="str">
        <f t="shared" si="25"/>
        <v>-</v>
      </c>
      <c r="AZ36" s="39">
        <v>32028.32</v>
      </c>
      <c r="BA36" s="39">
        <v>0</v>
      </c>
      <c r="BB36" s="32">
        <f t="shared" si="26"/>
        <v>32028.32</v>
      </c>
      <c r="BC36" s="78" t="str">
        <f t="shared" si="27"/>
        <v>-</v>
      </c>
      <c r="BD36" s="39">
        <v>0</v>
      </c>
      <c r="BE36" s="32">
        <f t="shared" si="28"/>
        <v>32028.32</v>
      </c>
      <c r="BF36" s="77" t="str">
        <f t="shared" si="29"/>
        <v>-</v>
      </c>
      <c r="BG36" s="41">
        <v>0</v>
      </c>
      <c r="BH36" s="40">
        <v>0</v>
      </c>
      <c r="BI36" s="32">
        <f t="shared" si="30"/>
        <v>0</v>
      </c>
      <c r="BJ36" s="78" t="str">
        <f t="shared" si="31"/>
        <v>-</v>
      </c>
      <c r="BK36" s="39">
        <v>32028.32</v>
      </c>
      <c r="BL36" s="39">
        <v>0</v>
      </c>
      <c r="BM36" s="32">
        <f t="shared" si="32"/>
        <v>32028.32</v>
      </c>
      <c r="BN36" s="78" t="str">
        <f t="shared" si="33"/>
        <v>-</v>
      </c>
      <c r="BO36" s="39">
        <v>0</v>
      </c>
      <c r="BP36" s="32">
        <f t="shared" si="34"/>
        <v>32028.32</v>
      </c>
      <c r="BQ36" s="77" t="str">
        <f t="shared" si="35"/>
        <v>-</v>
      </c>
      <c r="BR36" s="41">
        <v>0</v>
      </c>
      <c r="BS36" s="40">
        <v>0</v>
      </c>
      <c r="BT36" s="32">
        <f t="shared" si="36"/>
        <v>0</v>
      </c>
      <c r="BU36" s="78" t="str">
        <f t="shared" si="37"/>
        <v>-</v>
      </c>
      <c r="BV36" s="39">
        <v>32028.32</v>
      </c>
      <c r="BW36" s="39">
        <v>0</v>
      </c>
      <c r="BX36" s="32">
        <f t="shared" si="38"/>
        <v>32028.32</v>
      </c>
      <c r="BY36" s="78" t="str">
        <f t="shared" si="39"/>
        <v>-</v>
      </c>
      <c r="BZ36" s="39">
        <v>0</v>
      </c>
      <c r="CA36" s="32">
        <f t="shared" si="40"/>
        <v>32028.32</v>
      </c>
      <c r="CB36" s="77" t="str">
        <f t="shared" si="41"/>
        <v>-</v>
      </c>
      <c r="CC36" s="41">
        <v>0</v>
      </c>
      <c r="CD36" s="40">
        <v>0</v>
      </c>
      <c r="CE36" s="32">
        <f t="shared" si="42"/>
        <v>0</v>
      </c>
      <c r="CF36" s="78" t="str">
        <f t="shared" si="43"/>
        <v>-</v>
      </c>
      <c r="CG36" s="39">
        <v>32028.32</v>
      </c>
      <c r="CH36" s="39">
        <v>0</v>
      </c>
      <c r="CI36" s="32">
        <f t="shared" si="44"/>
        <v>32028.32</v>
      </c>
      <c r="CJ36" s="78" t="str">
        <f t="shared" si="45"/>
        <v>-</v>
      </c>
      <c r="CK36" s="39">
        <v>0</v>
      </c>
      <c r="CL36" s="32">
        <f t="shared" si="46"/>
        <v>32028.32</v>
      </c>
      <c r="CM36" s="77" t="str">
        <f t="shared" si="47"/>
        <v>-</v>
      </c>
      <c r="CN36" s="41">
        <v>0</v>
      </c>
      <c r="CO36" s="40">
        <v>0</v>
      </c>
      <c r="CP36" s="32">
        <f t="shared" si="48"/>
        <v>0</v>
      </c>
      <c r="CQ36" s="78" t="str">
        <f t="shared" si="49"/>
        <v>-</v>
      </c>
      <c r="CR36" s="39">
        <v>32028.32</v>
      </c>
      <c r="CS36" s="39">
        <v>0</v>
      </c>
      <c r="CT36" s="32">
        <f t="shared" si="50"/>
        <v>32028.32</v>
      </c>
      <c r="CU36" s="78" t="str">
        <f t="shared" si="51"/>
        <v>-</v>
      </c>
      <c r="CV36" s="39">
        <v>0</v>
      </c>
      <c r="CW36" s="32">
        <f t="shared" si="52"/>
        <v>32028.32</v>
      </c>
      <c r="CX36" s="77" t="str">
        <f t="shared" si="53"/>
        <v>-</v>
      </c>
      <c r="CY36" s="41">
        <v>0</v>
      </c>
      <c r="CZ36" s="40">
        <v>0</v>
      </c>
      <c r="DA36" s="32">
        <f t="shared" si="54"/>
        <v>0</v>
      </c>
      <c r="DB36" s="78" t="str">
        <f t="shared" si="55"/>
        <v>-</v>
      </c>
      <c r="DC36" s="39">
        <v>32028.32</v>
      </c>
      <c r="DD36" s="39">
        <v>0</v>
      </c>
      <c r="DE36" s="32">
        <f t="shared" si="56"/>
        <v>32028.32</v>
      </c>
      <c r="DF36" s="78" t="str">
        <f t="shared" si="57"/>
        <v>-</v>
      </c>
      <c r="DG36" s="39">
        <v>0</v>
      </c>
      <c r="DH36" s="32">
        <f t="shared" si="58"/>
        <v>32028.32</v>
      </c>
      <c r="DI36" s="77" t="str">
        <f t="shared" si="59"/>
        <v>-</v>
      </c>
    </row>
    <row r="37" spans="1:113" s="6" customFormat="1" hidden="1" outlineLevel="2" collapsed="1" x14ac:dyDescent="0.2">
      <c r="A37" s="30"/>
      <c r="B37" s="29" t="s">
        <v>80</v>
      </c>
      <c r="C37" s="52" t="s">
        <v>79</v>
      </c>
      <c r="D37" s="27">
        <f>SUM(D35:D36)</f>
        <v>0</v>
      </c>
      <c r="E37" s="26">
        <f>SUM(E35:E36)</f>
        <v>0</v>
      </c>
      <c r="F37" s="23">
        <f t="shared" si="0"/>
        <v>0</v>
      </c>
      <c r="G37" s="76" t="str">
        <f t="shared" si="1"/>
        <v>-</v>
      </c>
      <c r="H37" s="24">
        <f>SUM(H35:H36)</f>
        <v>4775028.32</v>
      </c>
      <c r="I37" s="24">
        <f>SUM(I35:I36)</f>
        <v>0</v>
      </c>
      <c r="J37" s="23">
        <f t="shared" si="2"/>
        <v>4775028.32</v>
      </c>
      <c r="K37" s="76" t="str">
        <f t="shared" si="3"/>
        <v>-</v>
      </c>
      <c r="L37" s="24">
        <f>SUM(L35:L36)</f>
        <v>0</v>
      </c>
      <c r="M37" s="23">
        <f t="shared" si="4"/>
        <v>4775028.32</v>
      </c>
      <c r="N37" s="75" t="str">
        <f t="shared" si="5"/>
        <v>-</v>
      </c>
      <c r="O37" s="27">
        <f>SUM(O35:O36)</f>
        <v>0</v>
      </c>
      <c r="P37" s="26">
        <f>SUM(P35:P36)</f>
        <v>0</v>
      </c>
      <c r="Q37" s="23">
        <f t="shared" si="6"/>
        <v>0</v>
      </c>
      <c r="R37" s="76" t="str">
        <f t="shared" si="7"/>
        <v>-</v>
      </c>
      <c r="S37" s="24">
        <f>SUM(S35:S36)</f>
        <v>4775028.32</v>
      </c>
      <c r="T37" s="24">
        <f>SUM(T35:T36)</f>
        <v>0</v>
      </c>
      <c r="U37" s="23">
        <f t="shared" si="8"/>
        <v>4775028.32</v>
      </c>
      <c r="V37" s="76" t="str">
        <f t="shared" si="9"/>
        <v>-</v>
      </c>
      <c r="W37" s="24">
        <f>SUM(W35:W36)</f>
        <v>0</v>
      </c>
      <c r="X37" s="23">
        <f t="shared" si="10"/>
        <v>4775028.32</v>
      </c>
      <c r="Y37" s="75" t="str">
        <f t="shared" si="11"/>
        <v>-</v>
      </c>
      <c r="Z37" s="27">
        <f>SUM(Z35:Z36)</f>
        <v>0</v>
      </c>
      <c r="AA37" s="26">
        <f>SUM(AA35:AA36)</f>
        <v>0</v>
      </c>
      <c r="AB37" s="23">
        <f t="shared" si="12"/>
        <v>0</v>
      </c>
      <c r="AC37" s="76" t="str">
        <f t="shared" si="13"/>
        <v>-</v>
      </c>
      <c r="AD37" s="24">
        <f>SUM(AD35:AD36)</f>
        <v>4775028.32</v>
      </c>
      <c r="AE37" s="24">
        <f>SUM(AE35:AE36)</f>
        <v>0</v>
      </c>
      <c r="AF37" s="23">
        <f t="shared" si="14"/>
        <v>4775028.32</v>
      </c>
      <c r="AG37" s="76" t="str">
        <f t="shared" si="15"/>
        <v>-</v>
      </c>
      <c r="AH37" s="24">
        <f>SUM(AH35:AH36)</f>
        <v>0</v>
      </c>
      <c r="AI37" s="23">
        <f t="shared" si="16"/>
        <v>4775028.32</v>
      </c>
      <c r="AJ37" s="75" t="str">
        <f t="shared" si="17"/>
        <v>-</v>
      </c>
      <c r="AK37" s="27">
        <f>SUM(AK35:AK36)</f>
        <v>0</v>
      </c>
      <c r="AL37" s="26">
        <f>SUM(AL35:AL36)</f>
        <v>0</v>
      </c>
      <c r="AM37" s="23">
        <f t="shared" si="18"/>
        <v>0</v>
      </c>
      <c r="AN37" s="76" t="str">
        <f t="shared" si="19"/>
        <v>-</v>
      </c>
      <c r="AO37" s="24">
        <f>SUM(AO35:AO36)</f>
        <v>4775028.32</v>
      </c>
      <c r="AP37" s="24">
        <f>SUM(AP35:AP36)</f>
        <v>0</v>
      </c>
      <c r="AQ37" s="23">
        <f t="shared" si="20"/>
        <v>4775028.32</v>
      </c>
      <c r="AR37" s="76" t="str">
        <f t="shared" si="21"/>
        <v>-</v>
      </c>
      <c r="AS37" s="24">
        <f>SUM(AS35:AS36)</f>
        <v>0</v>
      </c>
      <c r="AT37" s="23">
        <f t="shared" si="22"/>
        <v>4775028.32</v>
      </c>
      <c r="AU37" s="75" t="str">
        <f t="shared" si="23"/>
        <v>-</v>
      </c>
      <c r="AV37" s="27">
        <f>SUM(AV35:AV36)</f>
        <v>0</v>
      </c>
      <c r="AW37" s="26">
        <f>SUM(AW35:AW36)</f>
        <v>0</v>
      </c>
      <c r="AX37" s="23">
        <f t="shared" si="24"/>
        <v>0</v>
      </c>
      <c r="AY37" s="76" t="str">
        <f t="shared" si="25"/>
        <v>-</v>
      </c>
      <c r="AZ37" s="24">
        <f>SUM(AZ35:AZ36)</f>
        <v>4775028.32</v>
      </c>
      <c r="BA37" s="24">
        <f>SUM(BA35:BA36)</f>
        <v>0</v>
      </c>
      <c r="BB37" s="23">
        <f t="shared" si="26"/>
        <v>4775028.32</v>
      </c>
      <c r="BC37" s="76" t="str">
        <f t="shared" si="27"/>
        <v>-</v>
      </c>
      <c r="BD37" s="24">
        <f>SUM(BD35:BD36)</f>
        <v>0</v>
      </c>
      <c r="BE37" s="23">
        <f t="shared" si="28"/>
        <v>4775028.32</v>
      </c>
      <c r="BF37" s="75" t="str">
        <f t="shared" si="29"/>
        <v>-</v>
      </c>
      <c r="BG37" s="27">
        <f>SUM(BG35:BG36)</f>
        <v>0</v>
      </c>
      <c r="BH37" s="26">
        <f>SUM(BH35:BH36)</f>
        <v>0</v>
      </c>
      <c r="BI37" s="23">
        <f t="shared" si="30"/>
        <v>0</v>
      </c>
      <c r="BJ37" s="76" t="str">
        <f t="shared" si="31"/>
        <v>-</v>
      </c>
      <c r="BK37" s="24">
        <f>SUM(BK35:BK36)</f>
        <v>4775028.32</v>
      </c>
      <c r="BL37" s="24">
        <f>SUM(BL35:BL36)</f>
        <v>0</v>
      </c>
      <c r="BM37" s="23">
        <f t="shared" si="32"/>
        <v>4775028.32</v>
      </c>
      <c r="BN37" s="76" t="str">
        <f t="shared" si="33"/>
        <v>-</v>
      </c>
      <c r="BO37" s="24">
        <f>SUM(BO35:BO36)</f>
        <v>0</v>
      </c>
      <c r="BP37" s="23">
        <f t="shared" si="34"/>
        <v>4775028.32</v>
      </c>
      <c r="BQ37" s="75" t="str">
        <f t="shared" si="35"/>
        <v>-</v>
      </c>
      <c r="BR37" s="27">
        <f>SUM(BR35:BR36)</f>
        <v>0</v>
      </c>
      <c r="BS37" s="26">
        <f>SUM(BS35:BS36)</f>
        <v>0</v>
      </c>
      <c r="BT37" s="23">
        <f t="shared" si="36"/>
        <v>0</v>
      </c>
      <c r="BU37" s="76" t="str">
        <f t="shared" si="37"/>
        <v>-</v>
      </c>
      <c r="BV37" s="24">
        <f>SUM(BV35:BV36)</f>
        <v>4775028.32</v>
      </c>
      <c r="BW37" s="24">
        <f>SUM(BW35:BW36)</f>
        <v>0</v>
      </c>
      <c r="BX37" s="23">
        <f t="shared" si="38"/>
        <v>4775028.32</v>
      </c>
      <c r="BY37" s="76" t="str">
        <f t="shared" si="39"/>
        <v>-</v>
      </c>
      <c r="BZ37" s="24">
        <f>SUM(BZ35:BZ36)</f>
        <v>0</v>
      </c>
      <c r="CA37" s="23">
        <f t="shared" si="40"/>
        <v>4775028.32</v>
      </c>
      <c r="CB37" s="75" t="str">
        <f t="shared" si="41"/>
        <v>-</v>
      </c>
      <c r="CC37" s="27">
        <f>SUM(CC35:CC36)</f>
        <v>0</v>
      </c>
      <c r="CD37" s="26">
        <f>SUM(CD35:CD36)</f>
        <v>0</v>
      </c>
      <c r="CE37" s="23">
        <f t="shared" si="42"/>
        <v>0</v>
      </c>
      <c r="CF37" s="76" t="str">
        <f t="shared" si="43"/>
        <v>-</v>
      </c>
      <c r="CG37" s="24">
        <f>SUM(CG35:CG36)</f>
        <v>4775028.32</v>
      </c>
      <c r="CH37" s="24">
        <f>SUM(CH35:CH36)</f>
        <v>0</v>
      </c>
      <c r="CI37" s="23">
        <f t="shared" si="44"/>
        <v>4775028.32</v>
      </c>
      <c r="CJ37" s="76" t="str">
        <f t="shared" si="45"/>
        <v>-</v>
      </c>
      <c r="CK37" s="24">
        <f>SUM(CK35:CK36)</f>
        <v>0</v>
      </c>
      <c r="CL37" s="23">
        <f t="shared" si="46"/>
        <v>4775028.32</v>
      </c>
      <c r="CM37" s="75" t="str">
        <f t="shared" si="47"/>
        <v>-</v>
      </c>
      <c r="CN37" s="27">
        <f>SUM(CN35:CN36)</f>
        <v>0</v>
      </c>
      <c r="CO37" s="26">
        <f>SUM(CO35:CO36)</f>
        <v>0</v>
      </c>
      <c r="CP37" s="23">
        <f t="shared" si="48"/>
        <v>0</v>
      </c>
      <c r="CQ37" s="76" t="str">
        <f t="shared" si="49"/>
        <v>-</v>
      </c>
      <c r="CR37" s="24">
        <f>SUM(CR35:CR36)</f>
        <v>4775028.32</v>
      </c>
      <c r="CS37" s="24">
        <f>SUM(CS35:CS36)</f>
        <v>0</v>
      </c>
      <c r="CT37" s="23">
        <f t="shared" si="50"/>
        <v>4775028.32</v>
      </c>
      <c r="CU37" s="76" t="str">
        <f t="shared" si="51"/>
        <v>-</v>
      </c>
      <c r="CV37" s="24">
        <f>SUM(CV35:CV36)</f>
        <v>0</v>
      </c>
      <c r="CW37" s="23">
        <f t="shared" si="52"/>
        <v>4775028.32</v>
      </c>
      <c r="CX37" s="75" t="str">
        <f t="shared" si="53"/>
        <v>-</v>
      </c>
      <c r="CY37" s="27">
        <f>SUM(CY35:CY36)</f>
        <v>0</v>
      </c>
      <c r="CZ37" s="26">
        <f>SUM(CZ35:CZ36)</f>
        <v>0</v>
      </c>
      <c r="DA37" s="23">
        <f t="shared" si="54"/>
        <v>0</v>
      </c>
      <c r="DB37" s="76" t="str">
        <f t="shared" si="55"/>
        <v>-</v>
      </c>
      <c r="DC37" s="24">
        <f>SUM(DC35:DC36)</f>
        <v>4775028.32</v>
      </c>
      <c r="DD37" s="24">
        <f>SUM(DD35:DD36)</f>
        <v>0</v>
      </c>
      <c r="DE37" s="23">
        <f t="shared" si="56"/>
        <v>4775028.32</v>
      </c>
      <c r="DF37" s="76" t="str">
        <f t="shared" si="57"/>
        <v>-</v>
      </c>
      <c r="DG37" s="24">
        <f>SUM(DG35:DG36)</f>
        <v>0</v>
      </c>
      <c r="DH37" s="23">
        <f t="shared" si="58"/>
        <v>4775028.32</v>
      </c>
      <c r="DI37" s="75" t="str">
        <f t="shared" si="59"/>
        <v>-</v>
      </c>
    </row>
    <row r="38" spans="1:113" ht="12.75" hidden="1" customHeight="1" outlineLevel="3" x14ac:dyDescent="0.2">
      <c r="B38" s="38" t="s">
        <v>78</v>
      </c>
      <c r="C38" s="49" t="s">
        <v>74</v>
      </c>
      <c r="D38" s="41">
        <v>0</v>
      </c>
      <c r="E38" s="40">
        <v>0</v>
      </c>
      <c r="F38" s="32">
        <f t="shared" si="0"/>
        <v>0</v>
      </c>
      <c r="G38" s="78" t="str">
        <f t="shared" si="1"/>
        <v>-</v>
      </c>
      <c r="H38" s="39">
        <v>0</v>
      </c>
      <c r="I38" s="39">
        <v>0</v>
      </c>
      <c r="J38" s="32">
        <f t="shared" si="2"/>
        <v>0</v>
      </c>
      <c r="K38" s="78" t="str">
        <f t="shared" si="3"/>
        <v>-</v>
      </c>
      <c r="L38" s="39">
        <v>0</v>
      </c>
      <c r="M38" s="32">
        <f t="shared" si="4"/>
        <v>0</v>
      </c>
      <c r="N38" s="77" t="str">
        <f t="shared" si="5"/>
        <v>-</v>
      </c>
      <c r="O38" s="41">
        <v>0</v>
      </c>
      <c r="P38" s="40">
        <v>0</v>
      </c>
      <c r="Q38" s="32">
        <f t="shared" si="6"/>
        <v>0</v>
      </c>
      <c r="R38" s="78" t="str">
        <f t="shared" si="7"/>
        <v>-</v>
      </c>
      <c r="S38" s="39">
        <v>0</v>
      </c>
      <c r="T38" s="39">
        <v>0</v>
      </c>
      <c r="U38" s="32">
        <f t="shared" si="8"/>
        <v>0</v>
      </c>
      <c r="V38" s="78" t="str">
        <f t="shared" si="9"/>
        <v>-</v>
      </c>
      <c r="W38" s="39">
        <v>0</v>
      </c>
      <c r="X38" s="32">
        <f t="shared" si="10"/>
        <v>0</v>
      </c>
      <c r="Y38" s="77" t="str">
        <f t="shared" si="11"/>
        <v>-</v>
      </c>
      <c r="Z38" s="41">
        <v>0</v>
      </c>
      <c r="AA38" s="40">
        <v>0</v>
      </c>
      <c r="AB38" s="32">
        <f t="shared" si="12"/>
        <v>0</v>
      </c>
      <c r="AC38" s="78" t="str">
        <f t="shared" si="13"/>
        <v>-</v>
      </c>
      <c r="AD38" s="39">
        <v>0</v>
      </c>
      <c r="AE38" s="39">
        <v>0</v>
      </c>
      <c r="AF38" s="32">
        <f t="shared" si="14"/>
        <v>0</v>
      </c>
      <c r="AG38" s="78" t="str">
        <f t="shared" si="15"/>
        <v>-</v>
      </c>
      <c r="AH38" s="39">
        <v>0</v>
      </c>
      <c r="AI38" s="32">
        <f t="shared" si="16"/>
        <v>0</v>
      </c>
      <c r="AJ38" s="77" t="str">
        <f t="shared" si="17"/>
        <v>-</v>
      </c>
      <c r="AK38" s="41">
        <v>0</v>
      </c>
      <c r="AL38" s="40">
        <v>0</v>
      </c>
      <c r="AM38" s="32">
        <f t="shared" si="18"/>
        <v>0</v>
      </c>
      <c r="AN38" s="78" t="str">
        <f t="shared" si="19"/>
        <v>-</v>
      </c>
      <c r="AO38" s="39">
        <v>0</v>
      </c>
      <c r="AP38" s="39">
        <v>0</v>
      </c>
      <c r="AQ38" s="32">
        <f t="shared" si="20"/>
        <v>0</v>
      </c>
      <c r="AR38" s="78" t="str">
        <f t="shared" si="21"/>
        <v>-</v>
      </c>
      <c r="AS38" s="39">
        <v>0</v>
      </c>
      <c r="AT38" s="32">
        <f t="shared" si="22"/>
        <v>0</v>
      </c>
      <c r="AU38" s="77" t="str">
        <f t="shared" si="23"/>
        <v>-</v>
      </c>
      <c r="AV38" s="41">
        <v>0</v>
      </c>
      <c r="AW38" s="40">
        <v>0</v>
      </c>
      <c r="AX38" s="32">
        <f t="shared" si="24"/>
        <v>0</v>
      </c>
      <c r="AY38" s="78" t="str">
        <f t="shared" si="25"/>
        <v>-</v>
      </c>
      <c r="AZ38" s="39">
        <v>0</v>
      </c>
      <c r="BA38" s="39">
        <v>0</v>
      </c>
      <c r="BB38" s="32">
        <f t="shared" si="26"/>
        <v>0</v>
      </c>
      <c r="BC38" s="78" t="str">
        <f t="shared" si="27"/>
        <v>-</v>
      </c>
      <c r="BD38" s="39">
        <v>0</v>
      </c>
      <c r="BE38" s="32">
        <f t="shared" si="28"/>
        <v>0</v>
      </c>
      <c r="BF38" s="77" t="str">
        <f t="shared" si="29"/>
        <v>-</v>
      </c>
      <c r="BG38" s="41">
        <v>0</v>
      </c>
      <c r="BH38" s="40">
        <v>0</v>
      </c>
      <c r="BI38" s="32">
        <f t="shared" si="30"/>
        <v>0</v>
      </c>
      <c r="BJ38" s="78" t="str">
        <f t="shared" si="31"/>
        <v>-</v>
      </c>
      <c r="BK38" s="39">
        <v>0</v>
      </c>
      <c r="BL38" s="39">
        <v>0</v>
      </c>
      <c r="BM38" s="32">
        <f t="shared" si="32"/>
        <v>0</v>
      </c>
      <c r="BN38" s="78" t="str">
        <f t="shared" si="33"/>
        <v>-</v>
      </c>
      <c r="BO38" s="39">
        <v>0</v>
      </c>
      <c r="BP38" s="32">
        <f t="shared" si="34"/>
        <v>0</v>
      </c>
      <c r="BQ38" s="77" t="str">
        <f t="shared" si="35"/>
        <v>-</v>
      </c>
      <c r="BR38" s="41">
        <v>0</v>
      </c>
      <c r="BS38" s="40">
        <v>0</v>
      </c>
      <c r="BT38" s="32">
        <f t="shared" si="36"/>
        <v>0</v>
      </c>
      <c r="BU38" s="78" t="str">
        <f t="shared" si="37"/>
        <v>-</v>
      </c>
      <c r="BV38" s="39">
        <v>0</v>
      </c>
      <c r="BW38" s="39">
        <v>0</v>
      </c>
      <c r="BX38" s="32">
        <f t="shared" si="38"/>
        <v>0</v>
      </c>
      <c r="BY38" s="78" t="str">
        <f t="shared" si="39"/>
        <v>-</v>
      </c>
      <c r="BZ38" s="39">
        <v>0</v>
      </c>
      <c r="CA38" s="32">
        <f t="shared" si="40"/>
        <v>0</v>
      </c>
      <c r="CB38" s="77" t="str">
        <f t="shared" si="41"/>
        <v>-</v>
      </c>
      <c r="CC38" s="41">
        <v>0</v>
      </c>
      <c r="CD38" s="40">
        <v>0</v>
      </c>
      <c r="CE38" s="32">
        <f t="shared" si="42"/>
        <v>0</v>
      </c>
      <c r="CF38" s="78" t="str">
        <f t="shared" si="43"/>
        <v>-</v>
      </c>
      <c r="CG38" s="39">
        <v>0</v>
      </c>
      <c r="CH38" s="39">
        <v>0</v>
      </c>
      <c r="CI38" s="32">
        <f t="shared" si="44"/>
        <v>0</v>
      </c>
      <c r="CJ38" s="78" t="str">
        <f t="shared" si="45"/>
        <v>-</v>
      </c>
      <c r="CK38" s="39">
        <v>0</v>
      </c>
      <c r="CL38" s="32">
        <f t="shared" si="46"/>
        <v>0</v>
      </c>
      <c r="CM38" s="77" t="str">
        <f t="shared" si="47"/>
        <v>-</v>
      </c>
      <c r="CN38" s="41">
        <v>0</v>
      </c>
      <c r="CO38" s="40">
        <v>0</v>
      </c>
      <c r="CP38" s="32">
        <f t="shared" si="48"/>
        <v>0</v>
      </c>
      <c r="CQ38" s="78" t="str">
        <f t="shared" si="49"/>
        <v>-</v>
      </c>
      <c r="CR38" s="39">
        <v>0</v>
      </c>
      <c r="CS38" s="39">
        <v>0</v>
      </c>
      <c r="CT38" s="32">
        <f t="shared" si="50"/>
        <v>0</v>
      </c>
      <c r="CU38" s="78" t="str">
        <f t="shared" si="51"/>
        <v>-</v>
      </c>
      <c r="CV38" s="39">
        <v>0</v>
      </c>
      <c r="CW38" s="32">
        <f t="shared" si="52"/>
        <v>0</v>
      </c>
      <c r="CX38" s="77" t="str">
        <f t="shared" si="53"/>
        <v>-</v>
      </c>
      <c r="CY38" s="41">
        <v>0</v>
      </c>
      <c r="CZ38" s="40">
        <v>0</v>
      </c>
      <c r="DA38" s="32">
        <f t="shared" si="54"/>
        <v>0</v>
      </c>
      <c r="DB38" s="78" t="str">
        <f t="shared" si="55"/>
        <v>-</v>
      </c>
      <c r="DC38" s="39">
        <v>0</v>
      </c>
      <c r="DD38" s="39">
        <v>0</v>
      </c>
      <c r="DE38" s="32">
        <f t="shared" si="56"/>
        <v>0</v>
      </c>
      <c r="DF38" s="78" t="str">
        <f t="shared" si="57"/>
        <v>-</v>
      </c>
      <c r="DG38" s="39">
        <v>0</v>
      </c>
      <c r="DH38" s="32">
        <f t="shared" si="58"/>
        <v>0</v>
      </c>
      <c r="DI38" s="77" t="str">
        <f t="shared" si="59"/>
        <v>-</v>
      </c>
    </row>
    <row r="39" spans="1:113" ht="12.75" hidden="1" customHeight="1" outlineLevel="3" x14ac:dyDescent="0.2">
      <c r="B39" s="38" t="s">
        <v>77</v>
      </c>
      <c r="C39" s="49" t="s">
        <v>76</v>
      </c>
      <c r="D39" s="41">
        <v>0</v>
      </c>
      <c r="E39" s="40">
        <v>0</v>
      </c>
      <c r="F39" s="32">
        <f t="shared" si="0"/>
        <v>0</v>
      </c>
      <c r="G39" s="78" t="str">
        <f t="shared" si="1"/>
        <v>-</v>
      </c>
      <c r="H39" s="39">
        <v>0</v>
      </c>
      <c r="I39" s="39">
        <v>0</v>
      </c>
      <c r="J39" s="32">
        <f t="shared" si="2"/>
        <v>0</v>
      </c>
      <c r="K39" s="78" t="str">
        <f t="shared" si="3"/>
        <v>-</v>
      </c>
      <c r="L39" s="39">
        <v>0</v>
      </c>
      <c r="M39" s="32">
        <f t="shared" si="4"/>
        <v>0</v>
      </c>
      <c r="N39" s="77" t="str">
        <f t="shared" si="5"/>
        <v>-</v>
      </c>
      <c r="O39" s="41">
        <v>0</v>
      </c>
      <c r="P39" s="40">
        <v>0</v>
      </c>
      <c r="Q39" s="32">
        <f t="shared" si="6"/>
        <v>0</v>
      </c>
      <c r="R39" s="78" t="str">
        <f t="shared" si="7"/>
        <v>-</v>
      </c>
      <c r="S39" s="39">
        <v>0</v>
      </c>
      <c r="T39" s="39">
        <v>0</v>
      </c>
      <c r="U39" s="32">
        <f t="shared" si="8"/>
        <v>0</v>
      </c>
      <c r="V39" s="78" t="str">
        <f t="shared" si="9"/>
        <v>-</v>
      </c>
      <c r="W39" s="39">
        <v>0</v>
      </c>
      <c r="X39" s="32">
        <f t="shared" si="10"/>
        <v>0</v>
      </c>
      <c r="Y39" s="77" t="str">
        <f t="shared" si="11"/>
        <v>-</v>
      </c>
      <c r="Z39" s="41">
        <v>0</v>
      </c>
      <c r="AA39" s="40">
        <v>0</v>
      </c>
      <c r="AB39" s="32">
        <f t="shared" si="12"/>
        <v>0</v>
      </c>
      <c r="AC39" s="78" t="str">
        <f t="shared" si="13"/>
        <v>-</v>
      </c>
      <c r="AD39" s="39">
        <v>0</v>
      </c>
      <c r="AE39" s="39">
        <v>0</v>
      </c>
      <c r="AF39" s="32">
        <f t="shared" si="14"/>
        <v>0</v>
      </c>
      <c r="AG39" s="78" t="str">
        <f t="shared" si="15"/>
        <v>-</v>
      </c>
      <c r="AH39" s="39">
        <v>0</v>
      </c>
      <c r="AI39" s="32">
        <f t="shared" si="16"/>
        <v>0</v>
      </c>
      <c r="AJ39" s="77" t="str">
        <f t="shared" si="17"/>
        <v>-</v>
      </c>
      <c r="AK39" s="41">
        <v>0</v>
      </c>
      <c r="AL39" s="40">
        <v>0</v>
      </c>
      <c r="AM39" s="32">
        <f t="shared" si="18"/>
        <v>0</v>
      </c>
      <c r="AN39" s="78" t="str">
        <f t="shared" si="19"/>
        <v>-</v>
      </c>
      <c r="AO39" s="39">
        <v>0</v>
      </c>
      <c r="AP39" s="39">
        <v>0</v>
      </c>
      <c r="AQ39" s="32">
        <f t="shared" si="20"/>
        <v>0</v>
      </c>
      <c r="AR39" s="78" t="str">
        <f t="shared" si="21"/>
        <v>-</v>
      </c>
      <c r="AS39" s="39">
        <v>0</v>
      </c>
      <c r="AT39" s="32">
        <f t="shared" si="22"/>
        <v>0</v>
      </c>
      <c r="AU39" s="77" t="str">
        <f t="shared" si="23"/>
        <v>-</v>
      </c>
      <c r="AV39" s="41">
        <v>0</v>
      </c>
      <c r="AW39" s="40">
        <v>0</v>
      </c>
      <c r="AX39" s="32">
        <f t="shared" si="24"/>
        <v>0</v>
      </c>
      <c r="AY39" s="78" t="str">
        <f t="shared" si="25"/>
        <v>-</v>
      </c>
      <c r="AZ39" s="39">
        <v>0</v>
      </c>
      <c r="BA39" s="39">
        <v>0</v>
      </c>
      <c r="BB39" s="32">
        <f t="shared" si="26"/>
        <v>0</v>
      </c>
      <c r="BC39" s="78" t="str">
        <f t="shared" si="27"/>
        <v>-</v>
      </c>
      <c r="BD39" s="39">
        <v>0</v>
      </c>
      <c r="BE39" s="32">
        <f t="shared" si="28"/>
        <v>0</v>
      </c>
      <c r="BF39" s="77" t="str">
        <f t="shared" si="29"/>
        <v>-</v>
      </c>
      <c r="BG39" s="41">
        <v>0</v>
      </c>
      <c r="BH39" s="40">
        <v>0</v>
      </c>
      <c r="BI39" s="32">
        <f t="shared" si="30"/>
        <v>0</v>
      </c>
      <c r="BJ39" s="78" t="str">
        <f t="shared" si="31"/>
        <v>-</v>
      </c>
      <c r="BK39" s="39">
        <v>0</v>
      </c>
      <c r="BL39" s="39">
        <v>0</v>
      </c>
      <c r="BM39" s="32">
        <f t="shared" si="32"/>
        <v>0</v>
      </c>
      <c r="BN39" s="78" t="str">
        <f t="shared" si="33"/>
        <v>-</v>
      </c>
      <c r="BO39" s="39">
        <v>0</v>
      </c>
      <c r="BP39" s="32">
        <f t="shared" si="34"/>
        <v>0</v>
      </c>
      <c r="BQ39" s="77" t="str">
        <f t="shared" si="35"/>
        <v>-</v>
      </c>
      <c r="BR39" s="41">
        <v>0</v>
      </c>
      <c r="BS39" s="40">
        <v>0</v>
      </c>
      <c r="BT39" s="32">
        <f t="shared" si="36"/>
        <v>0</v>
      </c>
      <c r="BU39" s="78" t="str">
        <f t="shared" si="37"/>
        <v>-</v>
      </c>
      <c r="BV39" s="39">
        <v>0</v>
      </c>
      <c r="BW39" s="39">
        <v>0</v>
      </c>
      <c r="BX39" s="32">
        <f t="shared" si="38"/>
        <v>0</v>
      </c>
      <c r="BY39" s="78" t="str">
        <f t="shared" si="39"/>
        <v>-</v>
      </c>
      <c r="BZ39" s="39">
        <v>0</v>
      </c>
      <c r="CA39" s="32">
        <f t="shared" si="40"/>
        <v>0</v>
      </c>
      <c r="CB39" s="77" t="str">
        <f t="shared" si="41"/>
        <v>-</v>
      </c>
      <c r="CC39" s="41">
        <v>0</v>
      </c>
      <c r="CD39" s="40">
        <v>0</v>
      </c>
      <c r="CE39" s="32">
        <f t="shared" si="42"/>
        <v>0</v>
      </c>
      <c r="CF39" s="78" t="str">
        <f t="shared" si="43"/>
        <v>-</v>
      </c>
      <c r="CG39" s="39">
        <v>0</v>
      </c>
      <c r="CH39" s="39">
        <v>0</v>
      </c>
      <c r="CI39" s="32">
        <f t="shared" si="44"/>
        <v>0</v>
      </c>
      <c r="CJ39" s="78" t="str">
        <f t="shared" si="45"/>
        <v>-</v>
      </c>
      <c r="CK39" s="39">
        <v>0</v>
      </c>
      <c r="CL39" s="32">
        <f t="shared" si="46"/>
        <v>0</v>
      </c>
      <c r="CM39" s="77" t="str">
        <f t="shared" si="47"/>
        <v>-</v>
      </c>
      <c r="CN39" s="41">
        <v>0</v>
      </c>
      <c r="CO39" s="40">
        <v>0</v>
      </c>
      <c r="CP39" s="32">
        <f t="shared" si="48"/>
        <v>0</v>
      </c>
      <c r="CQ39" s="78" t="str">
        <f t="shared" si="49"/>
        <v>-</v>
      </c>
      <c r="CR39" s="39">
        <v>0</v>
      </c>
      <c r="CS39" s="39">
        <v>0</v>
      </c>
      <c r="CT39" s="32">
        <f t="shared" si="50"/>
        <v>0</v>
      </c>
      <c r="CU39" s="78" t="str">
        <f t="shared" si="51"/>
        <v>-</v>
      </c>
      <c r="CV39" s="39">
        <v>0</v>
      </c>
      <c r="CW39" s="32">
        <f t="shared" si="52"/>
        <v>0</v>
      </c>
      <c r="CX39" s="77" t="str">
        <f t="shared" si="53"/>
        <v>-</v>
      </c>
      <c r="CY39" s="41">
        <v>0</v>
      </c>
      <c r="CZ39" s="40">
        <v>0</v>
      </c>
      <c r="DA39" s="32">
        <f t="shared" si="54"/>
        <v>0</v>
      </c>
      <c r="DB39" s="78" t="str">
        <f t="shared" si="55"/>
        <v>-</v>
      </c>
      <c r="DC39" s="39">
        <v>0</v>
      </c>
      <c r="DD39" s="39">
        <v>0</v>
      </c>
      <c r="DE39" s="32">
        <f t="shared" si="56"/>
        <v>0</v>
      </c>
      <c r="DF39" s="78" t="str">
        <f t="shared" si="57"/>
        <v>-</v>
      </c>
      <c r="DG39" s="39">
        <v>0</v>
      </c>
      <c r="DH39" s="32">
        <f t="shared" si="58"/>
        <v>0</v>
      </c>
      <c r="DI39" s="77" t="str">
        <f t="shared" si="59"/>
        <v>-</v>
      </c>
    </row>
    <row r="40" spans="1:113" s="6" customFormat="1" hidden="1" outlineLevel="2" collapsed="1" x14ac:dyDescent="0.2">
      <c r="B40" s="29" t="s">
        <v>75</v>
      </c>
      <c r="C40" s="52" t="s">
        <v>74</v>
      </c>
      <c r="D40" s="27">
        <f>SUM(D38:D39)</f>
        <v>0</v>
      </c>
      <c r="E40" s="26">
        <f>SUM(E38:E39)</f>
        <v>0</v>
      </c>
      <c r="F40" s="23">
        <f t="shared" si="0"/>
        <v>0</v>
      </c>
      <c r="G40" s="76" t="str">
        <f t="shared" si="1"/>
        <v>-</v>
      </c>
      <c r="H40" s="24">
        <f>SUM(H38:H39)</f>
        <v>0</v>
      </c>
      <c r="I40" s="24">
        <f>SUM(I38:I39)</f>
        <v>0</v>
      </c>
      <c r="J40" s="23">
        <f t="shared" si="2"/>
        <v>0</v>
      </c>
      <c r="K40" s="76" t="str">
        <f t="shared" si="3"/>
        <v>-</v>
      </c>
      <c r="L40" s="24">
        <f>SUM(L38:L39)</f>
        <v>0</v>
      </c>
      <c r="M40" s="23">
        <f t="shared" si="4"/>
        <v>0</v>
      </c>
      <c r="N40" s="75" t="str">
        <f t="shared" si="5"/>
        <v>-</v>
      </c>
      <c r="O40" s="27">
        <f>SUM(O38:O39)</f>
        <v>0</v>
      </c>
      <c r="P40" s="26">
        <f>SUM(P38:P39)</f>
        <v>0</v>
      </c>
      <c r="Q40" s="23">
        <f t="shared" si="6"/>
        <v>0</v>
      </c>
      <c r="R40" s="76" t="str">
        <f t="shared" si="7"/>
        <v>-</v>
      </c>
      <c r="S40" s="24">
        <f>SUM(S38:S39)</f>
        <v>0</v>
      </c>
      <c r="T40" s="24">
        <f>SUM(T38:T39)</f>
        <v>0</v>
      </c>
      <c r="U40" s="23">
        <f t="shared" si="8"/>
        <v>0</v>
      </c>
      <c r="V40" s="76" t="str">
        <f t="shared" si="9"/>
        <v>-</v>
      </c>
      <c r="W40" s="24">
        <f>SUM(W38:W39)</f>
        <v>0</v>
      </c>
      <c r="X40" s="23">
        <f t="shared" si="10"/>
        <v>0</v>
      </c>
      <c r="Y40" s="75" t="str">
        <f t="shared" si="11"/>
        <v>-</v>
      </c>
      <c r="Z40" s="27">
        <f>SUM(Z38:Z39)</f>
        <v>0</v>
      </c>
      <c r="AA40" s="26">
        <f>SUM(AA38:AA39)</f>
        <v>0</v>
      </c>
      <c r="AB40" s="23">
        <f t="shared" si="12"/>
        <v>0</v>
      </c>
      <c r="AC40" s="76" t="str">
        <f t="shared" si="13"/>
        <v>-</v>
      </c>
      <c r="AD40" s="24">
        <f>SUM(AD38:AD39)</f>
        <v>0</v>
      </c>
      <c r="AE40" s="24">
        <f>SUM(AE38:AE39)</f>
        <v>0</v>
      </c>
      <c r="AF40" s="23">
        <f t="shared" si="14"/>
        <v>0</v>
      </c>
      <c r="AG40" s="76" t="str">
        <f t="shared" si="15"/>
        <v>-</v>
      </c>
      <c r="AH40" s="24">
        <f>SUM(AH38:AH39)</f>
        <v>0</v>
      </c>
      <c r="AI40" s="23">
        <f t="shared" si="16"/>
        <v>0</v>
      </c>
      <c r="AJ40" s="75" t="str">
        <f t="shared" si="17"/>
        <v>-</v>
      </c>
      <c r="AK40" s="27">
        <f>SUM(AK38:AK39)</f>
        <v>0</v>
      </c>
      <c r="AL40" s="26">
        <f>SUM(AL38:AL39)</f>
        <v>0</v>
      </c>
      <c r="AM40" s="23">
        <f t="shared" si="18"/>
        <v>0</v>
      </c>
      <c r="AN40" s="76" t="str">
        <f t="shared" si="19"/>
        <v>-</v>
      </c>
      <c r="AO40" s="24">
        <f>SUM(AO38:AO39)</f>
        <v>0</v>
      </c>
      <c r="AP40" s="24">
        <f>SUM(AP38:AP39)</f>
        <v>0</v>
      </c>
      <c r="AQ40" s="23">
        <f t="shared" si="20"/>
        <v>0</v>
      </c>
      <c r="AR40" s="76" t="str">
        <f t="shared" si="21"/>
        <v>-</v>
      </c>
      <c r="AS40" s="24">
        <f>SUM(AS38:AS39)</f>
        <v>0</v>
      </c>
      <c r="AT40" s="23">
        <f t="shared" si="22"/>
        <v>0</v>
      </c>
      <c r="AU40" s="75" t="str">
        <f t="shared" si="23"/>
        <v>-</v>
      </c>
      <c r="AV40" s="27">
        <f>SUM(AV38:AV39)</f>
        <v>0</v>
      </c>
      <c r="AW40" s="26">
        <f>SUM(AW38:AW39)</f>
        <v>0</v>
      </c>
      <c r="AX40" s="23">
        <f t="shared" si="24"/>
        <v>0</v>
      </c>
      <c r="AY40" s="76" t="str">
        <f t="shared" si="25"/>
        <v>-</v>
      </c>
      <c r="AZ40" s="24">
        <f>SUM(AZ38:AZ39)</f>
        <v>0</v>
      </c>
      <c r="BA40" s="24">
        <f>SUM(BA38:BA39)</f>
        <v>0</v>
      </c>
      <c r="BB40" s="23">
        <f t="shared" si="26"/>
        <v>0</v>
      </c>
      <c r="BC40" s="76" t="str">
        <f t="shared" si="27"/>
        <v>-</v>
      </c>
      <c r="BD40" s="24">
        <f>SUM(BD38:BD39)</f>
        <v>0</v>
      </c>
      <c r="BE40" s="23">
        <f t="shared" si="28"/>
        <v>0</v>
      </c>
      <c r="BF40" s="75" t="str">
        <f t="shared" si="29"/>
        <v>-</v>
      </c>
      <c r="BG40" s="27">
        <f>SUM(BG38:BG39)</f>
        <v>0</v>
      </c>
      <c r="BH40" s="26">
        <f>SUM(BH38:BH39)</f>
        <v>0</v>
      </c>
      <c r="BI40" s="23">
        <f t="shared" si="30"/>
        <v>0</v>
      </c>
      <c r="BJ40" s="76" t="str">
        <f t="shared" si="31"/>
        <v>-</v>
      </c>
      <c r="BK40" s="24">
        <f>SUM(BK38:BK39)</f>
        <v>0</v>
      </c>
      <c r="BL40" s="24">
        <f>SUM(BL38:BL39)</f>
        <v>0</v>
      </c>
      <c r="BM40" s="23">
        <f t="shared" si="32"/>
        <v>0</v>
      </c>
      <c r="BN40" s="76" t="str">
        <f t="shared" si="33"/>
        <v>-</v>
      </c>
      <c r="BO40" s="24">
        <f>SUM(BO38:BO39)</f>
        <v>0</v>
      </c>
      <c r="BP40" s="23">
        <f t="shared" si="34"/>
        <v>0</v>
      </c>
      <c r="BQ40" s="75" t="str">
        <f t="shared" si="35"/>
        <v>-</v>
      </c>
      <c r="BR40" s="27">
        <f>SUM(BR38:BR39)</f>
        <v>0</v>
      </c>
      <c r="BS40" s="26">
        <f>SUM(BS38:BS39)</f>
        <v>0</v>
      </c>
      <c r="BT40" s="23">
        <f t="shared" si="36"/>
        <v>0</v>
      </c>
      <c r="BU40" s="76" t="str">
        <f t="shared" si="37"/>
        <v>-</v>
      </c>
      <c r="BV40" s="24">
        <f>SUM(BV38:BV39)</f>
        <v>0</v>
      </c>
      <c r="BW40" s="24">
        <f>SUM(BW38:BW39)</f>
        <v>0</v>
      </c>
      <c r="BX40" s="23">
        <f t="shared" si="38"/>
        <v>0</v>
      </c>
      <c r="BY40" s="76" t="str">
        <f t="shared" si="39"/>
        <v>-</v>
      </c>
      <c r="BZ40" s="24">
        <f>SUM(BZ38:BZ39)</f>
        <v>0</v>
      </c>
      <c r="CA40" s="23">
        <f t="shared" si="40"/>
        <v>0</v>
      </c>
      <c r="CB40" s="75" t="str">
        <f t="shared" si="41"/>
        <v>-</v>
      </c>
      <c r="CC40" s="27">
        <f>SUM(CC38:CC39)</f>
        <v>0</v>
      </c>
      <c r="CD40" s="26">
        <f>SUM(CD38:CD39)</f>
        <v>0</v>
      </c>
      <c r="CE40" s="23">
        <f t="shared" si="42"/>
        <v>0</v>
      </c>
      <c r="CF40" s="76" t="str">
        <f t="shared" si="43"/>
        <v>-</v>
      </c>
      <c r="CG40" s="24">
        <f>SUM(CG38:CG39)</f>
        <v>0</v>
      </c>
      <c r="CH40" s="24">
        <f>SUM(CH38:CH39)</f>
        <v>0</v>
      </c>
      <c r="CI40" s="23">
        <f t="shared" si="44"/>
        <v>0</v>
      </c>
      <c r="CJ40" s="76" t="str">
        <f t="shared" si="45"/>
        <v>-</v>
      </c>
      <c r="CK40" s="24">
        <f>SUM(CK38:CK39)</f>
        <v>0</v>
      </c>
      <c r="CL40" s="23">
        <f t="shared" si="46"/>
        <v>0</v>
      </c>
      <c r="CM40" s="75" t="str">
        <f t="shared" si="47"/>
        <v>-</v>
      </c>
      <c r="CN40" s="27">
        <f>SUM(CN38:CN39)</f>
        <v>0</v>
      </c>
      <c r="CO40" s="26">
        <f>SUM(CO38:CO39)</f>
        <v>0</v>
      </c>
      <c r="CP40" s="23">
        <f t="shared" si="48"/>
        <v>0</v>
      </c>
      <c r="CQ40" s="76" t="str">
        <f t="shared" si="49"/>
        <v>-</v>
      </c>
      <c r="CR40" s="24">
        <f>SUM(CR38:CR39)</f>
        <v>0</v>
      </c>
      <c r="CS40" s="24">
        <f>SUM(CS38:CS39)</f>
        <v>0</v>
      </c>
      <c r="CT40" s="23">
        <f t="shared" si="50"/>
        <v>0</v>
      </c>
      <c r="CU40" s="76" t="str">
        <f t="shared" si="51"/>
        <v>-</v>
      </c>
      <c r="CV40" s="24">
        <f>SUM(CV38:CV39)</f>
        <v>0</v>
      </c>
      <c r="CW40" s="23">
        <f t="shared" si="52"/>
        <v>0</v>
      </c>
      <c r="CX40" s="75" t="str">
        <f t="shared" si="53"/>
        <v>-</v>
      </c>
      <c r="CY40" s="27">
        <f>SUM(CY38:CY39)</f>
        <v>0</v>
      </c>
      <c r="CZ40" s="26">
        <f>SUM(CZ38:CZ39)</f>
        <v>0</v>
      </c>
      <c r="DA40" s="23">
        <f t="shared" si="54"/>
        <v>0</v>
      </c>
      <c r="DB40" s="76" t="str">
        <f t="shared" si="55"/>
        <v>-</v>
      </c>
      <c r="DC40" s="24">
        <f>SUM(DC38:DC39)</f>
        <v>0</v>
      </c>
      <c r="DD40" s="24">
        <f>SUM(DD38:DD39)</f>
        <v>0</v>
      </c>
      <c r="DE40" s="23">
        <f t="shared" si="56"/>
        <v>0</v>
      </c>
      <c r="DF40" s="76" t="str">
        <f t="shared" si="57"/>
        <v>-</v>
      </c>
      <c r="DG40" s="24">
        <f>SUM(DG38:DG39)</f>
        <v>0</v>
      </c>
      <c r="DH40" s="23">
        <f t="shared" si="58"/>
        <v>0</v>
      </c>
      <c r="DI40" s="75" t="str">
        <f t="shared" si="59"/>
        <v>-</v>
      </c>
    </row>
    <row r="41" spans="1:113" s="6" customFormat="1" outlineLevel="1" collapsed="1" x14ac:dyDescent="0.2">
      <c r="A41" s="30"/>
      <c r="B41" s="51" t="s">
        <v>73</v>
      </c>
      <c r="C41" s="50" t="s">
        <v>72</v>
      </c>
      <c r="D41" s="46">
        <f>D31+D34+D37+D40</f>
        <v>22448677</v>
      </c>
      <c r="E41" s="45">
        <f>E31+E34+E37+E40</f>
        <v>0</v>
      </c>
      <c r="F41" s="23">
        <f t="shared" si="0"/>
        <v>22448677</v>
      </c>
      <c r="G41" s="76" t="str">
        <f t="shared" si="1"/>
        <v>-</v>
      </c>
      <c r="H41" s="44">
        <f>H31+H34+H37+H40</f>
        <v>27602065.32</v>
      </c>
      <c r="I41" s="44">
        <f>I31+I34+I37+I40</f>
        <v>0</v>
      </c>
      <c r="J41" s="23">
        <f t="shared" si="2"/>
        <v>27602065.32</v>
      </c>
      <c r="K41" s="76" t="str">
        <f t="shared" si="3"/>
        <v>-</v>
      </c>
      <c r="L41" s="44">
        <f>L31+L34+L37+L40</f>
        <v>0</v>
      </c>
      <c r="M41" s="23">
        <f t="shared" si="4"/>
        <v>27602065.32</v>
      </c>
      <c r="N41" s="75" t="str">
        <f t="shared" si="5"/>
        <v>-</v>
      </c>
      <c r="O41" s="46">
        <f>O31+O34+O37+O40</f>
        <v>22448677</v>
      </c>
      <c r="P41" s="45">
        <f>P31+P34+P37+P40</f>
        <v>0</v>
      </c>
      <c r="Q41" s="23">
        <f t="shared" si="6"/>
        <v>22448677</v>
      </c>
      <c r="R41" s="76" t="str">
        <f t="shared" si="7"/>
        <v>-</v>
      </c>
      <c r="S41" s="44">
        <f>S31+S34+S37+S40</f>
        <v>27602065.32</v>
      </c>
      <c r="T41" s="44">
        <f>T31+T34+T37+T40</f>
        <v>0</v>
      </c>
      <c r="U41" s="23">
        <f t="shared" si="8"/>
        <v>27602065.32</v>
      </c>
      <c r="V41" s="76" t="str">
        <f t="shared" si="9"/>
        <v>-</v>
      </c>
      <c r="W41" s="44">
        <f>W31+W34+W37+W40</f>
        <v>0</v>
      </c>
      <c r="X41" s="23">
        <f t="shared" si="10"/>
        <v>27602065.32</v>
      </c>
      <c r="Y41" s="75" t="str">
        <f t="shared" si="11"/>
        <v>-</v>
      </c>
      <c r="Z41" s="46">
        <f>Z31+Z34+Z37+Z40</f>
        <v>22448677</v>
      </c>
      <c r="AA41" s="45">
        <f>AA31+AA34+AA37+AA40</f>
        <v>0</v>
      </c>
      <c r="AB41" s="23">
        <f t="shared" si="12"/>
        <v>22448677</v>
      </c>
      <c r="AC41" s="76" t="str">
        <f t="shared" si="13"/>
        <v>-</v>
      </c>
      <c r="AD41" s="44">
        <f>AD31+AD34+AD37+AD40</f>
        <v>27602065.32</v>
      </c>
      <c r="AE41" s="44">
        <f>AE31+AE34+AE37+AE40</f>
        <v>0</v>
      </c>
      <c r="AF41" s="23">
        <f t="shared" si="14"/>
        <v>27602065.32</v>
      </c>
      <c r="AG41" s="76" t="str">
        <f t="shared" si="15"/>
        <v>-</v>
      </c>
      <c r="AH41" s="44">
        <f>AH31+AH34+AH37+AH40</f>
        <v>0</v>
      </c>
      <c r="AI41" s="23">
        <f t="shared" si="16"/>
        <v>27602065.32</v>
      </c>
      <c r="AJ41" s="75" t="str">
        <f t="shared" si="17"/>
        <v>-</v>
      </c>
      <c r="AK41" s="46">
        <f>AK31+AK34+AK37+AK40</f>
        <v>22448677</v>
      </c>
      <c r="AL41" s="45">
        <f>AL31+AL34+AL37+AL40</f>
        <v>0</v>
      </c>
      <c r="AM41" s="23">
        <f t="shared" si="18"/>
        <v>22448677</v>
      </c>
      <c r="AN41" s="76" t="str">
        <f t="shared" si="19"/>
        <v>-</v>
      </c>
      <c r="AO41" s="44">
        <f>AO31+AO34+AO37+AO40</f>
        <v>27602065.32</v>
      </c>
      <c r="AP41" s="44">
        <f>AP31+AP34+AP37+AP40</f>
        <v>0</v>
      </c>
      <c r="AQ41" s="23">
        <f t="shared" si="20"/>
        <v>27602065.32</v>
      </c>
      <c r="AR41" s="76" t="str">
        <f t="shared" si="21"/>
        <v>-</v>
      </c>
      <c r="AS41" s="44">
        <f>AS31+AS34+AS37+AS40</f>
        <v>0</v>
      </c>
      <c r="AT41" s="23">
        <f t="shared" si="22"/>
        <v>27602065.32</v>
      </c>
      <c r="AU41" s="75" t="str">
        <f t="shared" si="23"/>
        <v>-</v>
      </c>
      <c r="AV41" s="46">
        <f>AV31+AV34+AV37+AV40</f>
        <v>22448677</v>
      </c>
      <c r="AW41" s="45">
        <f>AW31+AW34+AW37+AW40</f>
        <v>0</v>
      </c>
      <c r="AX41" s="23">
        <f t="shared" si="24"/>
        <v>22448677</v>
      </c>
      <c r="AY41" s="76" t="str">
        <f t="shared" si="25"/>
        <v>-</v>
      </c>
      <c r="AZ41" s="44">
        <f>AZ31+AZ34+AZ37+AZ40</f>
        <v>27602065.32</v>
      </c>
      <c r="BA41" s="44">
        <f>BA31+BA34+BA37+BA40</f>
        <v>0</v>
      </c>
      <c r="BB41" s="23">
        <f t="shared" si="26"/>
        <v>27602065.32</v>
      </c>
      <c r="BC41" s="76" t="str">
        <f t="shared" si="27"/>
        <v>-</v>
      </c>
      <c r="BD41" s="44">
        <f>BD31+BD34+BD37+BD40</f>
        <v>0</v>
      </c>
      <c r="BE41" s="23">
        <f t="shared" si="28"/>
        <v>27602065.32</v>
      </c>
      <c r="BF41" s="75" t="str">
        <f t="shared" si="29"/>
        <v>-</v>
      </c>
      <c r="BG41" s="46">
        <f>BG31+BG34+BG37+BG40</f>
        <v>22448677</v>
      </c>
      <c r="BH41" s="45">
        <f>BH31+BH34+BH37+BH40</f>
        <v>0</v>
      </c>
      <c r="BI41" s="23">
        <f t="shared" si="30"/>
        <v>22448677</v>
      </c>
      <c r="BJ41" s="76" t="str">
        <f t="shared" si="31"/>
        <v>-</v>
      </c>
      <c r="BK41" s="44">
        <f>BK31+BK34+BK37+BK40</f>
        <v>27602065.32</v>
      </c>
      <c r="BL41" s="44">
        <f>BL31+BL34+BL37+BL40</f>
        <v>0</v>
      </c>
      <c r="BM41" s="23">
        <f t="shared" si="32"/>
        <v>27602065.32</v>
      </c>
      <c r="BN41" s="76" t="str">
        <f t="shared" si="33"/>
        <v>-</v>
      </c>
      <c r="BO41" s="44">
        <f>BO31+BO34+BO37+BO40</f>
        <v>0</v>
      </c>
      <c r="BP41" s="23">
        <f t="shared" si="34"/>
        <v>27602065.32</v>
      </c>
      <c r="BQ41" s="75" t="str">
        <f t="shared" si="35"/>
        <v>-</v>
      </c>
      <c r="BR41" s="46">
        <f>BR31+BR34+BR37+BR40</f>
        <v>22448677</v>
      </c>
      <c r="BS41" s="45">
        <f>BS31+BS34+BS37+BS40</f>
        <v>0</v>
      </c>
      <c r="BT41" s="23">
        <f t="shared" si="36"/>
        <v>22448677</v>
      </c>
      <c r="BU41" s="76" t="str">
        <f t="shared" si="37"/>
        <v>-</v>
      </c>
      <c r="BV41" s="44">
        <f>BV31+BV34+BV37+BV40</f>
        <v>27602065.32</v>
      </c>
      <c r="BW41" s="44">
        <f>BW31+BW34+BW37+BW40</f>
        <v>0</v>
      </c>
      <c r="BX41" s="23">
        <f t="shared" si="38"/>
        <v>27602065.32</v>
      </c>
      <c r="BY41" s="76" t="str">
        <f t="shared" si="39"/>
        <v>-</v>
      </c>
      <c r="BZ41" s="44">
        <f>BZ31+BZ34+BZ37+BZ40</f>
        <v>0</v>
      </c>
      <c r="CA41" s="23">
        <f t="shared" si="40"/>
        <v>27602065.32</v>
      </c>
      <c r="CB41" s="75" t="str">
        <f t="shared" si="41"/>
        <v>-</v>
      </c>
      <c r="CC41" s="46">
        <f>CC31+CC34+CC37+CC40</f>
        <v>22448677</v>
      </c>
      <c r="CD41" s="45">
        <f>CD31+CD34+CD37+CD40</f>
        <v>0</v>
      </c>
      <c r="CE41" s="23">
        <f t="shared" si="42"/>
        <v>22448677</v>
      </c>
      <c r="CF41" s="76" t="str">
        <f t="shared" si="43"/>
        <v>-</v>
      </c>
      <c r="CG41" s="44">
        <f>CG31+CG34+CG37+CG40</f>
        <v>27602065.32</v>
      </c>
      <c r="CH41" s="44">
        <f>CH31+CH34+CH37+CH40</f>
        <v>0</v>
      </c>
      <c r="CI41" s="23">
        <f t="shared" si="44"/>
        <v>27602065.32</v>
      </c>
      <c r="CJ41" s="76" t="str">
        <f t="shared" si="45"/>
        <v>-</v>
      </c>
      <c r="CK41" s="44">
        <f>CK31+CK34+CK37+CK40</f>
        <v>0</v>
      </c>
      <c r="CL41" s="23">
        <f t="shared" si="46"/>
        <v>27602065.32</v>
      </c>
      <c r="CM41" s="75" t="str">
        <f t="shared" si="47"/>
        <v>-</v>
      </c>
      <c r="CN41" s="46">
        <f>CN31+CN34+CN37+CN40</f>
        <v>22448677</v>
      </c>
      <c r="CO41" s="45">
        <f>CO31+CO34+CO37+CO40</f>
        <v>0</v>
      </c>
      <c r="CP41" s="23">
        <f t="shared" si="48"/>
        <v>22448677</v>
      </c>
      <c r="CQ41" s="76" t="str">
        <f t="shared" si="49"/>
        <v>-</v>
      </c>
      <c r="CR41" s="44">
        <f>CR31+CR34+CR37+CR40</f>
        <v>27602065.32</v>
      </c>
      <c r="CS41" s="44">
        <f>CS31+CS34+CS37+CS40</f>
        <v>0</v>
      </c>
      <c r="CT41" s="23">
        <f t="shared" si="50"/>
        <v>27602065.32</v>
      </c>
      <c r="CU41" s="76" t="str">
        <f t="shared" si="51"/>
        <v>-</v>
      </c>
      <c r="CV41" s="44">
        <f>CV31+CV34+CV37+CV40</f>
        <v>0</v>
      </c>
      <c r="CW41" s="23">
        <f t="shared" si="52"/>
        <v>27602065.32</v>
      </c>
      <c r="CX41" s="75" t="str">
        <f t="shared" si="53"/>
        <v>-</v>
      </c>
      <c r="CY41" s="46">
        <f>CY31+CY34+CY37+CY40</f>
        <v>22448677</v>
      </c>
      <c r="CZ41" s="45">
        <f>CZ31+CZ34+CZ37+CZ40</f>
        <v>0</v>
      </c>
      <c r="DA41" s="23">
        <f t="shared" si="54"/>
        <v>22448677</v>
      </c>
      <c r="DB41" s="76" t="str">
        <f t="shared" si="55"/>
        <v>-</v>
      </c>
      <c r="DC41" s="44">
        <f>DC31+DC34+DC37+DC40</f>
        <v>27602065.32</v>
      </c>
      <c r="DD41" s="44">
        <f>DD31+DD34+DD37+DD40</f>
        <v>0</v>
      </c>
      <c r="DE41" s="23">
        <f t="shared" si="56"/>
        <v>27602065.32</v>
      </c>
      <c r="DF41" s="76" t="str">
        <f t="shared" si="57"/>
        <v>-</v>
      </c>
      <c r="DG41" s="44">
        <f>DG31+DG34+DG37+DG40</f>
        <v>0</v>
      </c>
      <c r="DH41" s="23">
        <f t="shared" si="58"/>
        <v>27602065.32</v>
      </c>
      <c r="DI41" s="75" t="str">
        <f t="shared" si="59"/>
        <v>-</v>
      </c>
    </row>
    <row r="42" spans="1:113" ht="12.75" hidden="1" customHeight="1" outlineLevel="3" x14ac:dyDescent="0.2">
      <c r="B42" s="38" t="s">
        <v>71</v>
      </c>
      <c r="C42" s="49" t="s">
        <v>70</v>
      </c>
      <c r="D42" s="27">
        <f>33645750/3</f>
        <v>11215250</v>
      </c>
      <c r="E42" s="40">
        <v>0</v>
      </c>
      <c r="F42" s="32">
        <f t="shared" si="0"/>
        <v>11215250</v>
      </c>
      <c r="G42" s="78" t="str">
        <f t="shared" si="1"/>
        <v>-</v>
      </c>
      <c r="H42" s="39">
        <f>D42*6</f>
        <v>67291500</v>
      </c>
      <c r="I42" s="39">
        <v>0</v>
      </c>
      <c r="J42" s="32">
        <f t="shared" si="2"/>
        <v>67291500</v>
      </c>
      <c r="K42" s="78" t="str">
        <f t="shared" si="3"/>
        <v>-</v>
      </c>
      <c r="L42" s="39">
        <v>0</v>
      </c>
      <c r="M42" s="32">
        <f t="shared" si="4"/>
        <v>67291500</v>
      </c>
      <c r="N42" s="77" t="str">
        <f t="shared" si="5"/>
        <v>-</v>
      </c>
      <c r="O42" s="27">
        <f>33645750/3</f>
        <v>11215250</v>
      </c>
      <c r="P42" s="40">
        <v>0</v>
      </c>
      <c r="Q42" s="32">
        <f t="shared" si="6"/>
        <v>11215250</v>
      </c>
      <c r="R42" s="78" t="str">
        <f t="shared" si="7"/>
        <v>-</v>
      </c>
      <c r="S42" s="39">
        <f>O42*6</f>
        <v>67291500</v>
      </c>
      <c r="T42" s="39">
        <v>0</v>
      </c>
      <c r="U42" s="32">
        <f t="shared" si="8"/>
        <v>67291500</v>
      </c>
      <c r="V42" s="78" t="str">
        <f t="shared" si="9"/>
        <v>-</v>
      </c>
      <c r="W42" s="39">
        <v>0</v>
      </c>
      <c r="X42" s="32">
        <f t="shared" si="10"/>
        <v>67291500</v>
      </c>
      <c r="Y42" s="77" t="str">
        <f t="shared" si="11"/>
        <v>-</v>
      </c>
      <c r="Z42" s="27">
        <f>33645750/3</f>
        <v>11215250</v>
      </c>
      <c r="AA42" s="40">
        <v>0</v>
      </c>
      <c r="AB42" s="32">
        <f t="shared" si="12"/>
        <v>11215250</v>
      </c>
      <c r="AC42" s="78" t="str">
        <f t="shared" si="13"/>
        <v>-</v>
      </c>
      <c r="AD42" s="39">
        <f>Z42*6</f>
        <v>67291500</v>
      </c>
      <c r="AE42" s="39">
        <v>0</v>
      </c>
      <c r="AF42" s="32">
        <f t="shared" si="14"/>
        <v>67291500</v>
      </c>
      <c r="AG42" s="78" t="str">
        <f t="shared" si="15"/>
        <v>-</v>
      </c>
      <c r="AH42" s="39">
        <v>0</v>
      </c>
      <c r="AI42" s="32">
        <f t="shared" si="16"/>
        <v>67291500</v>
      </c>
      <c r="AJ42" s="77" t="str">
        <f t="shared" si="17"/>
        <v>-</v>
      </c>
      <c r="AK42" s="27">
        <f>33645750/3</f>
        <v>11215250</v>
      </c>
      <c r="AL42" s="40">
        <v>0</v>
      </c>
      <c r="AM42" s="32">
        <f t="shared" si="18"/>
        <v>11215250</v>
      </c>
      <c r="AN42" s="78" t="str">
        <f t="shared" si="19"/>
        <v>-</v>
      </c>
      <c r="AO42" s="39">
        <f>AK42*6</f>
        <v>67291500</v>
      </c>
      <c r="AP42" s="39">
        <v>0</v>
      </c>
      <c r="AQ42" s="32">
        <f t="shared" si="20"/>
        <v>67291500</v>
      </c>
      <c r="AR42" s="78" t="str">
        <f t="shared" si="21"/>
        <v>-</v>
      </c>
      <c r="AS42" s="39">
        <v>0</v>
      </c>
      <c r="AT42" s="32">
        <f t="shared" si="22"/>
        <v>67291500</v>
      </c>
      <c r="AU42" s="77" t="str">
        <f t="shared" si="23"/>
        <v>-</v>
      </c>
      <c r="AV42" s="27">
        <f>33645750/3</f>
        <v>11215250</v>
      </c>
      <c r="AW42" s="40">
        <v>0</v>
      </c>
      <c r="AX42" s="32">
        <f t="shared" si="24"/>
        <v>11215250</v>
      </c>
      <c r="AY42" s="78" t="str">
        <f t="shared" si="25"/>
        <v>-</v>
      </c>
      <c r="AZ42" s="39">
        <f>AV42*6</f>
        <v>67291500</v>
      </c>
      <c r="BA42" s="39">
        <v>0</v>
      </c>
      <c r="BB42" s="32">
        <f t="shared" si="26"/>
        <v>67291500</v>
      </c>
      <c r="BC42" s="78" t="str">
        <f t="shared" si="27"/>
        <v>-</v>
      </c>
      <c r="BD42" s="39">
        <v>0</v>
      </c>
      <c r="BE42" s="32">
        <f t="shared" si="28"/>
        <v>67291500</v>
      </c>
      <c r="BF42" s="77" t="str">
        <f t="shared" si="29"/>
        <v>-</v>
      </c>
      <c r="BG42" s="27">
        <f>33645750/3</f>
        <v>11215250</v>
      </c>
      <c r="BH42" s="40">
        <v>0</v>
      </c>
      <c r="BI42" s="32">
        <f t="shared" si="30"/>
        <v>11215250</v>
      </c>
      <c r="BJ42" s="78" t="str">
        <f t="shared" si="31"/>
        <v>-</v>
      </c>
      <c r="BK42" s="39">
        <f>BG42*6</f>
        <v>67291500</v>
      </c>
      <c r="BL42" s="39">
        <v>0</v>
      </c>
      <c r="BM42" s="32">
        <f t="shared" si="32"/>
        <v>67291500</v>
      </c>
      <c r="BN42" s="78" t="str">
        <f t="shared" si="33"/>
        <v>-</v>
      </c>
      <c r="BO42" s="39">
        <v>0</v>
      </c>
      <c r="BP42" s="32">
        <f t="shared" si="34"/>
        <v>67291500</v>
      </c>
      <c r="BQ42" s="77" t="str">
        <f t="shared" si="35"/>
        <v>-</v>
      </c>
      <c r="BR42" s="27">
        <f>33645750/3</f>
        <v>11215250</v>
      </c>
      <c r="BS42" s="40">
        <v>0</v>
      </c>
      <c r="BT42" s="32">
        <f t="shared" si="36"/>
        <v>11215250</v>
      </c>
      <c r="BU42" s="78" t="str">
        <f t="shared" si="37"/>
        <v>-</v>
      </c>
      <c r="BV42" s="39">
        <f>BR42*6</f>
        <v>67291500</v>
      </c>
      <c r="BW42" s="39">
        <v>0</v>
      </c>
      <c r="BX42" s="32">
        <f t="shared" si="38"/>
        <v>67291500</v>
      </c>
      <c r="BY42" s="78" t="str">
        <f t="shared" si="39"/>
        <v>-</v>
      </c>
      <c r="BZ42" s="39">
        <v>0</v>
      </c>
      <c r="CA42" s="32">
        <f t="shared" si="40"/>
        <v>67291500</v>
      </c>
      <c r="CB42" s="77" t="str">
        <f t="shared" si="41"/>
        <v>-</v>
      </c>
      <c r="CC42" s="27">
        <f>33645750/3</f>
        <v>11215250</v>
      </c>
      <c r="CD42" s="40">
        <v>0</v>
      </c>
      <c r="CE42" s="32">
        <f t="shared" si="42"/>
        <v>11215250</v>
      </c>
      <c r="CF42" s="78" t="str">
        <f t="shared" si="43"/>
        <v>-</v>
      </c>
      <c r="CG42" s="39">
        <f>CC42*6</f>
        <v>67291500</v>
      </c>
      <c r="CH42" s="39">
        <v>0</v>
      </c>
      <c r="CI42" s="32">
        <f t="shared" si="44"/>
        <v>67291500</v>
      </c>
      <c r="CJ42" s="78" t="str">
        <f t="shared" si="45"/>
        <v>-</v>
      </c>
      <c r="CK42" s="39">
        <v>0</v>
      </c>
      <c r="CL42" s="32">
        <f t="shared" si="46"/>
        <v>67291500</v>
      </c>
      <c r="CM42" s="77" t="str">
        <f t="shared" si="47"/>
        <v>-</v>
      </c>
      <c r="CN42" s="27">
        <f>33645750/3</f>
        <v>11215250</v>
      </c>
      <c r="CO42" s="40">
        <v>0</v>
      </c>
      <c r="CP42" s="32">
        <f t="shared" si="48"/>
        <v>11215250</v>
      </c>
      <c r="CQ42" s="78" t="str">
        <f t="shared" si="49"/>
        <v>-</v>
      </c>
      <c r="CR42" s="39">
        <f>CN42*6</f>
        <v>67291500</v>
      </c>
      <c r="CS42" s="39">
        <v>0</v>
      </c>
      <c r="CT42" s="32">
        <f t="shared" si="50"/>
        <v>67291500</v>
      </c>
      <c r="CU42" s="78" t="str">
        <f t="shared" si="51"/>
        <v>-</v>
      </c>
      <c r="CV42" s="39">
        <v>0</v>
      </c>
      <c r="CW42" s="32">
        <f t="shared" si="52"/>
        <v>67291500</v>
      </c>
      <c r="CX42" s="77" t="str">
        <f t="shared" si="53"/>
        <v>-</v>
      </c>
      <c r="CY42" s="27">
        <f>33645750/3</f>
        <v>11215250</v>
      </c>
      <c r="CZ42" s="40">
        <v>0</v>
      </c>
      <c r="DA42" s="32">
        <f t="shared" si="54"/>
        <v>11215250</v>
      </c>
      <c r="DB42" s="78" t="str">
        <f t="shared" si="55"/>
        <v>-</v>
      </c>
      <c r="DC42" s="39">
        <f>CY42*6</f>
        <v>67291500</v>
      </c>
      <c r="DD42" s="39">
        <v>0</v>
      </c>
      <c r="DE42" s="32">
        <f t="shared" si="56"/>
        <v>67291500</v>
      </c>
      <c r="DF42" s="78" t="str">
        <f t="shared" si="57"/>
        <v>-</v>
      </c>
      <c r="DG42" s="39">
        <v>0</v>
      </c>
      <c r="DH42" s="32">
        <f t="shared" si="58"/>
        <v>67291500</v>
      </c>
      <c r="DI42" s="77" t="str">
        <f t="shared" si="59"/>
        <v>-</v>
      </c>
    </row>
    <row r="43" spans="1:113" ht="12.75" hidden="1" customHeight="1" outlineLevel="3" x14ac:dyDescent="0.2">
      <c r="B43" s="38" t="s">
        <v>69</v>
      </c>
      <c r="C43" s="49" t="s">
        <v>68</v>
      </c>
      <c r="D43" s="27">
        <f>6224463.75/3</f>
        <v>2074821.25</v>
      </c>
      <c r="E43" s="40">
        <v>0</v>
      </c>
      <c r="F43" s="32">
        <f t="shared" si="0"/>
        <v>2074821.25</v>
      </c>
      <c r="G43" s="78" t="str">
        <f t="shared" si="1"/>
        <v>-</v>
      </c>
      <c r="H43" s="39">
        <f>D43*6</f>
        <v>12448927.5</v>
      </c>
      <c r="I43" s="39">
        <v>0</v>
      </c>
      <c r="J43" s="32">
        <f t="shared" si="2"/>
        <v>12448927.5</v>
      </c>
      <c r="K43" s="78" t="str">
        <f t="shared" si="3"/>
        <v>-</v>
      </c>
      <c r="L43" s="39">
        <v>0</v>
      </c>
      <c r="M43" s="32">
        <f t="shared" si="4"/>
        <v>12448927.5</v>
      </c>
      <c r="N43" s="77" t="str">
        <f t="shared" si="5"/>
        <v>-</v>
      </c>
      <c r="O43" s="27">
        <f>6224463.75/3</f>
        <v>2074821.25</v>
      </c>
      <c r="P43" s="40">
        <v>0</v>
      </c>
      <c r="Q43" s="32">
        <f t="shared" si="6"/>
        <v>2074821.25</v>
      </c>
      <c r="R43" s="78" t="str">
        <f t="shared" si="7"/>
        <v>-</v>
      </c>
      <c r="S43" s="39">
        <f>O43*6</f>
        <v>12448927.5</v>
      </c>
      <c r="T43" s="39">
        <v>0</v>
      </c>
      <c r="U43" s="32">
        <f t="shared" si="8"/>
        <v>12448927.5</v>
      </c>
      <c r="V43" s="78" t="str">
        <f t="shared" si="9"/>
        <v>-</v>
      </c>
      <c r="W43" s="39">
        <v>0</v>
      </c>
      <c r="X43" s="32">
        <f t="shared" si="10"/>
        <v>12448927.5</v>
      </c>
      <c r="Y43" s="77" t="str">
        <f t="shared" si="11"/>
        <v>-</v>
      </c>
      <c r="Z43" s="27">
        <f>6224463.75/3</f>
        <v>2074821.25</v>
      </c>
      <c r="AA43" s="40">
        <v>0</v>
      </c>
      <c r="AB43" s="32">
        <f t="shared" si="12"/>
        <v>2074821.25</v>
      </c>
      <c r="AC43" s="78" t="str">
        <f t="shared" si="13"/>
        <v>-</v>
      </c>
      <c r="AD43" s="39">
        <f>Z43*6</f>
        <v>12448927.5</v>
      </c>
      <c r="AE43" s="39">
        <v>0</v>
      </c>
      <c r="AF43" s="32">
        <f t="shared" si="14"/>
        <v>12448927.5</v>
      </c>
      <c r="AG43" s="78" t="str">
        <f t="shared" si="15"/>
        <v>-</v>
      </c>
      <c r="AH43" s="39">
        <v>0</v>
      </c>
      <c r="AI43" s="32">
        <f t="shared" si="16"/>
        <v>12448927.5</v>
      </c>
      <c r="AJ43" s="77" t="str">
        <f t="shared" si="17"/>
        <v>-</v>
      </c>
      <c r="AK43" s="27">
        <f>6224463.75/3</f>
        <v>2074821.25</v>
      </c>
      <c r="AL43" s="40">
        <v>0</v>
      </c>
      <c r="AM43" s="32">
        <f t="shared" si="18"/>
        <v>2074821.25</v>
      </c>
      <c r="AN43" s="78" t="str">
        <f t="shared" si="19"/>
        <v>-</v>
      </c>
      <c r="AO43" s="39">
        <f>AK43*6</f>
        <v>12448927.5</v>
      </c>
      <c r="AP43" s="39">
        <v>0</v>
      </c>
      <c r="AQ43" s="32">
        <f t="shared" si="20"/>
        <v>12448927.5</v>
      </c>
      <c r="AR43" s="78" t="str">
        <f t="shared" si="21"/>
        <v>-</v>
      </c>
      <c r="AS43" s="39">
        <v>0</v>
      </c>
      <c r="AT43" s="32">
        <f t="shared" si="22"/>
        <v>12448927.5</v>
      </c>
      <c r="AU43" s="77" t="str">
        <f t="shared" si="23"/>
        <v>-</v>
      </c>
      <c r="AV43" s="27">
        <f>6224463.75/3</f>
        <v>2074821.25</v>
      </c>
      <c r="AW43" s="40">
        <v>0</v>
      </c>
      <c r="AX43" s="32">
        <f t="shared" si="24"/>
        <v>2074821.25</v>
      </c>
      <c r="AY43" s="78" t="str">
        <f t="shared" si="25"/>
        <v>-</v>
      </c>
      <c r="AZ43" s="39">
        <f>AV43*6</f>
        <v>12448927.5</v>
      </c>
      <c r="BA43" s="39">
        <v>0</v>
      </c>
      <c r="BB43" s="32">
        <f t="shared" si="26"/>
        <v>12448927.5</v>
      </c>
      <c r="BC43" s="78" t="str">
        <f t="shared" si="27"/>
        <v>-</v>
      </c>
      <c r="BD43" s="39">
        <v>0</v>
      </c>
      <c r="BE43" s="32">
        <f t="shared" si="28"/>
        <v>12448927.5</v>
      </c>
      <c r="BF43" s="77" t="str">
        <f t="shared" si="29"/>
        <v>-</v>
      </c>
      <c r="BG43" s="27">
        <f>6224463.75/3</f>
        <v>2074821.25</v>
      </c>
      <c r="BH43" s="40">
        <v>0</v>
      </c>
      <c r="BI43" s="32">
        <f t="shared" si="30"/>
        <v>2074821.25</v>
      </c>
      <c r="BJ43" s="78" t="str">
        <f t="shared" si="31"/>
        <v>-</v>
      </c>
      <c r="BK43" s="39">
        <f>BG43*6</f>
        <v>12448927.5</v>
      </c>
      <c r="BL43" s="39">
        <v>0</v>
      </c>
      <c r="BM43" s="32">
        <f t="shared" si="32"/>
        <v>12448927.5</v>
      </c>
      <c r="BN43" s="78" t="str">
        <f t="shared" si="33"/>
        <v>-</v>
      </c>
      <c r="BO43" s="39">
        <v>0</v>
      </c>
      <c r="BP43" s="32">
        <f t="shared" si="34"/>
        <v>12448927.5</v>
      </c>
      <c r="BQ43" s="77" t="str">
        <f t="shared" si="35"/>
        <v>-</v>
      </c>
      <c r="BR43" s="27">
        <f>6224463.75/3</f>
        <v>2074821.25</v>
      </c>
      <c r="BS43" s="40">
        <v>0</v>
      </c>
      <c r="BT43" s="32">
        <f t="shared" si="36"/>
        <v>2074821.25</v>
      </c>
      <c r="BU43" s="78" t="str">
        <f t="shared" si="37"/>
        <v>-</v>
      </c>
      <c r="BV43" s="39">
        <f>BR43*6</f>
        <v>12448927.5</v>
      </c>
      <c r="BW43" s="39">
        <v>0</v>
      </c>
      <c r="BX43" s="32">
        <f t="shared" si="38"/>
        <v>12448927.5</v>
      </c>
      <c r="BY43" s="78" t="str">
        <f t="shared" si="39"/>
        <v>-</v>
      </c>
      <c r="BZ43" s="39">
        <v>0</v>
      </c>
      <c r="CA43" s="32">
        <f t="shared" si="40"/>
        <v>12448927.5</v>
      </c>
      <c r="CB43" s="77" t="str">
        <f t="shared" si="41"/>
        <v>-</v>
      </c>
      <c r="CC43" s="27">
        <f>6224463.75/3</f>
        <v>2074821.25</v>
      </c>
      <c r="CD43" s="40">
        <v>0</v>
      </c>
      <c r="CE43" s="32">
        <f t="shared" si="42"/>
        <v>2074821.25</v>
      </c>
      <c r="CF43" s="78" t="str">
        <f t="shared" si="43"/>
        <v>-</v>
      </c>
      <c r="CG43" s="39">
        <f>CC43*6</f>
        <v>12448927.5</v>
      </c>
      <c r="CH43" s="39">
        <v>0</v>
      </c>
      <c r="CI43" s="32">
        <f t="shared" si="44"/>
        <v>12448927.5</v>
      </c>
      <c r="CJ43" s="78" t="str">
        <f t="shared" si="45"/>
        <v>-</v>
      </c>
      <c r="CK43" s="39">
        <v>0</v>
      </c>
      <c r="CL43" s="32">
        <f t="shared" si="46"/>
        <v>12448927.5</v>
      </c>
      <c r="CM43" s="77" t="str">
        <f t="shared" si="47"/>
        <v>-</v>
      </c>
      <c r="CN43" s="27">
        <f>6224463.75/3</f>
        <v>2074821.25</v>
      </c>
      <c r="CO43" s="40">
        <v>0</v>
      </c>
      <c r="CP43" s="32">
        <f t="shared" si="48"/>
        <v>2074821.25</v>
      </c>
      <c r="CQ43" s="78" t="str">
        <f t="shared" si="49"/>
        <v>-</v>
      </c>
      <c r="CR43" s="39">
        <f>CN43*6</f>
        <v>12448927.5</v>
      </c>
      <c r="CS43" s="39">
        <v>0</v>
      </c>
      <c r="CT43" s="32">
        <f t="shared" si="50"/>
        <v>12448927.5</v>
      </c>
      <c r="CU43" s="78" t="str">
        <f t="shared" si="51"/>
        <v>-</v>
      </c>
      <c r="CV43" s="39">
        <v>0</v>
      </c>
      <c r="CW43" s="32">
        <f t="shared" si="52"/>
        <v>12448927.5</v>
      </c>
      <c r="CX43" s="77" t="str">
        <f t="shared" si="53"/>
        <v>-</v>
      </c>
      <c r="CY43" s="27">
        <f>6224463.75/3</f>
        <v>2074821.25</v>
      </c>
      <c r="CZ43" s="40">
        <v>0</v>
      </c>
      <c r="DA43" s="32">
        <f t="shared" si="54"/>
        <v>2074821.25</v>
      </c>
      <c r="DB43" s="78" t="str">
        <f t="shared" si="55"/>
        <v>-</v>
      </c>
      <c r="DC43" s="39">
        <f>CY43*6</f>
        <v>12448927.5</v>
      </c>
      <c r="DD43" s="39">
        <v>0</v>
      </c>
      <c r="DE43" s="32">
        <f t="shared" si="56"/>
        <v>12448927.5</v>
      </c>
      <c r="DF43" s="78" t="str">
        <f t="shared" si="57"/>
        <v>-</v>
      </c>
      <c r="DG43" s="39">
        <v>0</v>
      </c>
      <c r="DH43" s="32">
        <f t="shared" si="58"/>
        <v>12448927.5</v>
      </c>
      <c r="DI43" s="77" t="str">
        <f t="shared" si="59"/>
        <v>-</v>
      </c>
    </row>
    <row r="44" spans="1:113" s="6" customFormat="1" hidden="1" outlineLevel="2" collapsed="1" x14ac:dyDescent="0.2">
      <c r="A44" s="30"/>
      <c r="B44" s="29" t="s">
        <v>67</v>
      </c>
      <c r="C44" s="42" t="s">
        <v>66</v>
      </c>
      <c r="D44" s="27">
        <f>SUM(D42:D43)</f>
        <v>13290071.25</v>
      </c>
      <c r="E44" s="26">
        <f>SUM(E42:E43)</f>
        <v>0</v>
      </c>
      <c r="F44" s="23">
        <f t="shared" si="0"/>
        <v>13290071.25</v>
      </c>
      <c r="G44" s="76" t="str">
        <f t="shared" si="1"/>
        <v>-</v>
      </c>
      <c r="H44" s="24">
        <f>SUM(H42:H43)</f>
        <v>79740427.5</v>
      </c>
      <c r="I44" s="24">
        <f>SUM(I42:I43)</f>
        <v>0</v>
      </c>
      <c r="J44" s="23">
        <f t="shared" si="2"/>
        <v>79740427.5</v>
      </c>
      <c r="K44" s="76" t="str">
        <f t="shared" si="3"/>
        <v>-</v>
      </c>
      <c r="L44" s="24">
        <f>SUM(L42:L43)</f>
        <v>0</v>
      </c>
      <c r="M44" s="23">
        <f t="shared" si="4"/>
        <v>79740427.5</v>
      </c>
      <c r="N44" s="75" t="str">
        <f t="shared" si="5"/>
        <v>-</v>
      </c>
      <c r="O44" s="27">
        <f>SUM(O42:O43)</f>
        <v>13290071.25</v>
      </c>
      <c r="P44" s="26">
        <f>SUM(P42:P43)</f>
        <v>0</v>
      </c>
      <c r="Q44" s="23">
        <f t="shared" si="6"/>
        <v>13290071.25</v>
      </c>
      <c r="R44" s="76" t="str">
        <f t="shared" si="7"/>
        <v>-</v>
      </c>
      <c r="S44" s="24">
        <f>SUM(S42:S43)</f>
        <v>79740427.5</v>
      </c>
      <c r="T44" s="24">
        <f>SUM(T42:T43)</f>
        <v>0</v>
      </c>
      <c r="U44" s="23">
        <f t="shared" si="8"/>
        <v>79740427.5</v>
      </c>
      <c r="V44" s="76" t="str">
        <f t="shared" si="9"/>
        <v>-</v>
      </c>
      <c r="W44" s="24">
        <f>SUM(W42:W43)</f>
        <v>0</v>
      </c>
      <c r="X44" s="23">
        <f t="shared" si="10"/>
        <v>79740427.5</v>
      </c>
      <c r="Y44" s="75" t="str">
        <f t="shared" si="11"/>
        <v>-</v>
      </c>
      <c r="Z44" s="27">
        <f>SUM(Z42:Z43)</f>
        <v>13290071.25</v>
      </c>
      <c r="AA44" s="26">
        <f>SUM(AA42:AA43)</f>
        <v>0</v>
      </c>
      <c r="AB44" s="23">
        <f t="shared" si="12"/>
        <v>13290071.25</v>
      </c>
      <c r="AC44" s="76" t="str">
        <f t="shared" si="13"/>
        <v>-</v>
      </c>
      <c r="AD44" s="24">
        <f>SUM(AD42:AD43)</f>
        <v>79740427.5</v>
      </c>
      <c r="AE44" s="24">
        <f>SUM(AE42:AE43)</f>
        <v>0</v>
      </c>
      <c r="AF44" s="23">
        <f t="shared" si="14"/>
        <v>79740427.5</v>
      </c>
      <c r="AG44" s="76" t="str">
        <f t="shared" si="15"/>
        <v>-</v>
      </c>
      <c r="AH44" s="24">
        <f>SUM(AH42:AH43)</f>
        <v>0</v>
      </c>
      <c r="AI44" s="23">
        <f t="shared" si="16"/>
        <v>79740427.5</v>
      </c>
      <c r="AJ44" s="75" t="str">
        <f t="shared" si="17"/>
        <v>-</v>
      </c>
      <c r="AK44" s="27">
        <f>SUM(AK42:AK43)</f>
        <v>13290071.25</v>
      </c>
      <c r="AL44" s="26">
        <f>SUM(AL42:AL43)</f>
        <v>0</v>
      </c>
      <c r="AM44" s="23">
        <f t="shared" si="18"/>
        <v>13290071.25</v>
      </c>
      <c r="AN44" s="76" t="str">
        <f t="shared" si="19"/>
        <v>-</v>
      </c>
      <c r="AO44" s="24">
        <f>SUM(AO42:AO43)</f>
        <v>79740427.5</v>
      </c>
      <c r="AP44" s="24">
        <f>SUM(AP42:AP43)</f>
        <v>0</v>
      </c>
      <c r="AQ44" s="23">
        <f t="shared" si="20"/>
        <v>79740427.5</v>
      </c>
      <c r="AR44" s="76" t="str">
        <f t="shared" si="21"/>
        <v>-</v>
      </c>
      <c r="AS44" s="24">
        <f>SUM(AS42:AS43)</f>
        <v>0</v>
      </c>
      <c r="AT44" s="23">
        <f t="shared" si="22"/>
        <v>79740427.5</v>
      </c>
      <c r="AU44" s="75" t="str">
        <f t="shared" si="23"/>
        <v>-</v>
      </c>
      <c r="AV44" s="27">
        <f>SUM(AV42:AV43)</f>
        <v>13290071.25</v>
      </c>
      <c r="AW44" s="26">
        <f>SUM(AW42:AW43)</f>
        <v>0</v>
      </c>
      <c r="AX44" s="23">
        <f t="shared" si="24"/>
        <v>13290071.25</v>
      </c>
      <c r="AY44" s="76" t="str">
        <f t="shared" si="25"/>
        <v>-</v>
      </c>
      <c r="AZ44" s="24">
        <f>SUM(AZ42:AZ43)</f>
        <v>79740427.5</v>
      </c>
      <c r="BA44" s="24">
        <f>SUM(BA42:BA43)</f>
        <v>0</v>
      </c>
      <c r="BB44" s="23">
        <f t="shared" si="26"/>
        <v>79740427.5</v>
      </c>
      <c r="BC44" s="76" t="str">
        <f t="shared" si="27"/>
        <v>-</v>
      </c>
      <c r="BD44" s="24">
        <f>SUM(BD42:BD43)</f>
        <v>0</v>
      </c>
      <c r="BE44" s="23">
        <f t="shared" si="28"/>
        <v>79740427.5</v>
      </c>
      <c r="BF44" s="75" t="str">
        <f t="shared" si="29"/>
        <v>-</v>
      </c>
      <c r="BG44" s="27">
        <f>SUM(BG42:BG43)</f>
        <v>13290071.25</v>
      </c>
      <c r="BH44" s="26">
        <f>SUM(BH42:BH43)</f>
        <v>0</v>
      </c>
      <c r="BI44" s="23">
        <f t="shared" si="30"/>
        <v>13290071.25</v>
      </c>
      <c r="BJ44" s="76" t="str">
        <f t="shared" si="31"/>
        <v>-</v>
      </c>
      <c r="BK44" s="24">
        <f>SUM(BK42:BK43)</f>
        <v>79740427.5</v>
      </c>
      <c r="BL44" s="24">
        <f>SUM(BL42:BL43)</f>
        <v>0</v>
      </c>
      <c r="BM44" s="23">
        <f t="shared" si="32"/>
        <v>79740427.5</v>
      </c>
      <c r="BN44" s="76" t="str">
        <f t="shared" si="33"/>
        <v>-</v>
      </c>
      <c r="BO44" s="24">
        <f>SUM(BO42:BO43)</f>
        <v>0</v>
      </c>
      <c r="BP44" s="23">
        <f t="shared" si="34"/>
        <v>79740427.5</v>
      </c>
      <c r="BQ44" s="75" t="str">
        <f t="shared" si="35"/>
        <v>-</v>
      </c>
      <c r="BR44" s="27">
        <f>SUM(BR42:BR43)</f>
        <v>13290071.25</v>
      </c>
      <c r="BS44" s="26">
        <f>SUM(BS42:BS43)</f>
        <v>0</v>
      </c>
      <c r="BT44" s="23">
        <f t="shared" si="36"/>
        <v>13290071.25</v>
      </c>
      <c r="BU44" s="76" t="str">
        <f t="shared" si="37"/>
        <v>-</v>
      </c>
      <c r="BV44" s="24">
        <f>SUM(BV42:BV43)</f>
        <v>79740427.5</v>
      </c>
      <c r="BW44" s="24">
        <f>SUM(BW42:BW43)</f>
        <v>0</v>
      </c>
      <c r="BX44" s="23">
        <f t="shared" si="38"/>
        <v>79740427.5</v>
      </c>
      <c r="BY44" s="76" t="str">
        <f t="shared" si="39"/>
        <v>-</v>
      </c>
      <c r="BZ44" s="24">
        <f>SUM(BZ42:BZ43)</f>
        <v>0</v>
      </c>
      <c r="CA44" s="23">
        <f t="shared" si="40"/>
        <v>79740427.5</v>
      </c>
      <c r="CB44" s="75" t="str">
        <f t="shared" si="41"/>
        <v>-</v>
      </c>
      <c r="CC44" s="27">
        <f>SUM(CC42:CC43)</f>
        <v>13290071.25</v>
      </c>
      <c r="CD44" s="26">
        <f>SUM(CD42:CD43)</f>
        <v>0</v>
      </c>
      <c r="CE44" s="23">
        <f t="shared" si="42"/>
        <v>13290071.25</v>
      </c>
      <c r="CF44" s="76" t="str">
        <f t="shared" si="43"/>
        <v>-</v>
      </c>
      <c r="CG44" s="24">
        <f>SUM(CG42:CG43)</f>
        <v>79740427.5</v>
      </c>
      <c r="CH44" s="24">
        <f>SUM(CH42:CH43)</f>
        <v>0</v>
      </c>
      <c r="CI44" s="23">
        <f t="shared" si="44"/>
        <v>79740427.5</v>
      </c>
      <c r="CJ44" s="76" t="str">
        <f t="shared" si="45"/>
        <v>-</v>
      </c>
      <c r="CK44" s="24">
        <f>SUM(CK42:CK43)</f>
        <v>0</v>
      </c>
      <c r="CL44" s="23">
        <f t="shared" si="46"/>
        <v>79740427.5</v>
      </c>
      <c r="CM44" s="75" t="str">
        <f t="shared" si="47"/>
        <v>-</v>
      </c>
      <c r="CN44" s="27">
        <f>SUM(CN42:CN43)</f>
        <v>13290071.25</v>
      </c>
      <c r="CO44" s="26">
        <f>SUM(CO42:CO43)</f>
        <v>0</v>
      </c>
      <c r="CP44" s="23">
        <f t="shared" si="48"/>
        <v>13290071.25</v>
      </c>
      <c r="CQ44" s="76" t="str">
        <f t="shared" si="49"/>
        <v>-</v>
      </c>
      <c r="CR44" s="24">
        <f>SUM(CR42:CR43)</f>
        <v>79740427.5</v>
      </c>
      <c r="CS44" s="24">
        <f>SUM(CS42:CS43)</f>
        <v>0</v>
      </c>
      <c r="CT44" s="23">
        <f t="shared" si="50"/>
        <v>79740427.5</v>
      </c>
      <c r="CU44" s="76" t="str">
        <f t="shared" si="51"/>
        <v>-</v>
      </c>
      <c r="CV44" s="24">
        <f>SUM(CV42:CV43)</f>
        <v>0</v>
      </c>
      <c r="CW44" s="23">
        <f t="shared" si="52"/>
        <v>79740427.5</v>
      </c>
      <c r="CX44" s="75" t="str">
        <f t="shared" si="53"/>
        <v>-</v>
      </c>
      <c r="CY44" s="27">
        <f>SUM(CY42:CY43)</f>
        <v>13290071.25</v>
      </c>
      <c r="CZ44" s="26">
        <f>SUM(CZ42:CZ43)</f>
        <v>0</v>
      </c>
      <c r="DA44" s="23">
        <f t="shared" si="54"/>
        <v>13290071.25</v>
      </c>
      <c r="DB44" s="76" t="str">
        <f t="shared" si="55"/>
        <v>-</v>
      </c>
      <c r="DC44" s="24">
        <f>SUM(DC42:DC43)</f>
        <v>79740427.5</v>
      </c>
      <c r="DD44" s="24">
        <f>SUM(DD42:DD43)</f>
        <v>0</v>
      </c>
      <c r="DE44" s="23">
        <f t="shared" si="56"/>
        <v>79740427.5</v>
      </c>
      <c r="DF44" s="76" t="str">
        <f t="shared" si="57"/>
        <v>-</v>
      </c>
      <c r="DG44" s="24">
        <f>SUM(DG42:DG43)</f>
        <v>0</v>
      </c>
      <c r="DH44" s="23">
        <f t="shared" si="58"/>
        <v>79740427.5</v>
      </c>
      <c r="DI44" s="75" t="str">
        <f t="shared" si="59"/>
        <v>-</v>
      </c>
    </row>
    <row r="45" spans="1:113" ht="12.75" hidden="1" customHeight="1" outlineLevel="3" x14ac:dyDescent="0.2">
      <c r="B45" s="38" t="s">
        <v>65</v>
      </c>
      <c r="C45" s="37" t="s">
        <v>64</v>
      </c>
      <c r="D45" s="41">
        <v>0</v>
      </c>
      <c r="E45" s="40">
        <v>0</v>
      </c>
      <c r="F45" s="32">
        <f t="shared" ref="F45:F67" si="60">D45-E45</f>
        <v>0</v>
      </c>
      <c r="G45" s="78" t="str">
        <f t="shared" ref="G45:G67" si="61">IFERROR(D45/E45-1,"-")</f>
        <v>-</v>
      </c>
      <c r="H45" s="39">
        <f>-D42*3</f>
        <v>-33645750</v>
      </c>
      <c r="I45" s="39">
        <v>0</v>
      </c>
      <c r="J45" s="32">
        <f t="shared" ref="J45:J67" si="62">H45-I45</f>
        <v>-33645750</v>
      </c>
      <c r="K45" s="78" t="str">
        <f t="shared" ref="K45:K67" si="63">IFERROR(H45/I45-1,"-")</f>
        <v>-</v>
      </c>
      <c r="L45" s="39">
        <v>0</v>
      </c>
      <c r="M45" s="32">
        <f t="shared" ref="M45:M67" si="64">H45-L45</f>
        <v>-33645750</v>
      </c>
      <c r="N45" s="77" t="str">
        <f t="shared" ref="N45:N67" si="65">IFERROR(M45/L45,"-")</f>
        <v>-</v>
      </c>
      <c r="O45" s="41">
        <v>0</v>
      </c>
      <c r="P45" s="40">
        <v>0</v>
      </c>
      <c r="Q45" s="32">
        <f t="shared" ref="Q45:Q67" si="66">O45-P45</f>
        <v>0</v>
      </c>
      <c r="R45" s="78" t="str">
        <f t="shared" ref="R45:R67" si="67">IFERROR(O45/P45-1,"-")</f>
        <v>-</v>
      </c>
      <c r="S45" s="39">
        <f>-O42*3</f>
        <v>-33645750</v>
      </c>
      <c r="T45" s="39">
        <v>0</v>
      </c>
      <c r="U45" s="32">
        <f t="shared" ref="U45:U67" si="68">S45-T45</f>
        <v>-33645750</v>
      </c>
      <c r="V45" s="78" t="str">
        <f t="shared" ref="V45:V67" si="69">IFERROR(S45/T45-1,"-")</f>
        <v>-</v>
      </c>
      <c r="W45" s="39">
        <v>0</v>
      </c>
      <c r="X45" s="32">
        <f t="shared" ref="X45:X67" si="70">S45-W45</f>
        <v>-33645750</v>
      </c>
      <c r="Y45" s="77" t="str">
        <f t="shared" ref="Y45:Y67" si="71">IFERROR(X45/W45,"-")</f>
        <v>-</v>
      </c>
      <c r="Z45" s="41">
        <v>0</v>
      </c>
      <c r="AA45" s="40">
        <v>0</v>
      </c>
      <c r="AB45" s="32">
        <f t="shared" ref="AB45:AB67" si="72">Z45-AA45</f>
        <v>0</v>
      </c>
      <c r="AC45" s="78" t="str">
        <f t="shared" ref="AC45:AC67" si="73">IFERROR(Z45/AA45-1,"-")</f>
        <v>-</v>
      </c>
      <c r="AD45" s="39">
        <f>-Z42*3</f>
        <v>-33645750</v>
      </c>
      <c r="AE45" s="39">
        <v>0</v>
      </c>
      <c r="AF45" s="32">
        <f t="shared" ref="AF45:AF67" si="74">AD45-AE45</f>
        <v>-33645750</v>
      </c>
      <c r="AG45" s="78" t="str">
        <f t="shared" ref="AG45:AG67" si="75">IFERROR(AD45/AE45-1,"-")</f>
        <v>-</v>
      </c>
      <c r="AH45" s="39">
        <v>0</v>
      </c>
      <c r="AI45" s="32">
        <f t="shared" ref="AI45:AI67" si="76">AD45-AH45</f>
        <v>-33645750</v>
      </c>
      <c r="AJ45" s="77" t="str">
        <f t="shared" ref="AJ45:AJ67" si="77">IFERROR(AI45/AH45,"-")</f>
        <v>-</v>
      </c>
      <c r="AK45" s="41">
        <v>0</v>
      </c>
      <c r="AL45" s="40">
        <v>0</v>
      </c>
      <c r="AM45" s="32">
        <f t="shared" ref="AM45:AM67" si="78">AK45-AL45</f>
        <v>0</v>
      </c>
      <c r="AN45" s="78" t="str">
        <f t="shared" ref="AN45:AN67" si="79">IFERROR(AK45/AL45-1,"-")</f>
        <v>-</v>
      </c>
      <c r="AO45" s="39">
        <f>-AK42*3</f>
        <v>-33645750</v>
      </c>
      <c r="AP45" s="39">
        <v>0</v>
      </c>
      <c r="AQ45" s="32">
        <f t="shared" ref="AQ45:AQ67" si="80">AO45-AP45</f>
        <v>-33645750</v>
      </c>
      <c r="AR45" s="78" t="str">
        <f t="shared" ref="AR45:AR67" si="81">IFERROR(AO45/AP45-1,"-")</f>
        <v>-</v>
      </c>
      <c r="AS45" s="39">
        <v>0</v>
      </c>
      <c r="AT45" s="32">
        <f t="shared" ref="AT45:AT67" si="82">AO45-AS45</f>
        <v>-33645750</v>
      </c>
      <c r="AU45" s="77" t="str">
        <f t="shared" ref="AU45:AU67" si="83">IFERROR(AT45/AS45,"-")</f>
        <v>-</v>
      </c>
      <c r="AV45" s="41">
        <v>0</v>
      </c>
      <c r="AW45" s="40">
        <v>0</v>
      </c>
      <c r="AX45" s="32">
        <f t="shared" ref="AX45:AX67" si="84">AV45-AW45</f>
        <v>0</v>
      </c>
      <c r="AY45" s="78" t="str">
        <f t="shared" ref="AY45:AY67" si="85">IFERROR(AV45/AW45-1,"-")</f>
        <v>-</v>
      </c>
      <c r="AZ45" s="39">
        <f>-AV42*3</f>
        <v>-33645750</v>
      </c>
      <c r="BA45" s="39">
        <v>0</v>
      </c>
      <c r="BB45" s="32">
        <f t="shared" ref="BB45:BB67" si="86">AZ45-BA45</f>
        <v>-33645750</v>
      </c>
      <c r="BC45" s="78" t="str">
        <f t="shared" ref="BC45:BC67" si="87">IFERROR(AZ45/BA45-1,"-")</f>
        <v>-</v>
      </c>
      <c r="BD45" s="39">
        <v>0</v>
      </c>
      <c r="BE45" s="32">
        <f t="shared" ref="BE45:BE67" si="88">AZ45-BD45</f>
        <v>-33645750</v>
      </c>
      <c r="BF45" s="77" t="str">
        <f t="shared" ref="BF45:BF67" si="89">IFERROR(BE45/BD45,"-")</f>
        <v>-</v>
      </c>
      <c r="BG45" s="41">
        <v>0</v>
      </c>
      <c r="BH45" s="40">
        <v>0</v>
      </c>
      <c r="BI45" s="32">
        <f t="shared" ref="BI45:BI67" si="90">BG45-BH45</f>
        <v>0</v>
      </c>
      <c r="BJ45" s="78" t="str">
        <f t="shared" ref="BJ45:BJ67" si="91">IFERROR(BG45/BH45-1,"-")</f>
        <v>-</v>
      </c>
      <c r="BK45" s="39">
        <f>-BG42*3</f>
        <v>-33645750</v>
      </c>
      <c r="BL45" s="39">
        <v>0</v>
      </c>
      <c r="BM45" s="32">
        <f t="shared" ref="BM45:BM67" si="92">BK45-BL45</f>
        <v>-33645750</v>
      </c>
      <c r="BN45" s="78" t="str">
        <f t="shared" ref="BN45:BN67" si="93">IFERROR(BK45/BL45-1,"-")</f>
        <v>-</v>
      </c>
      <c r="BO45" s="39">
        <v>0</v>
      </c>
      <c r="BP45" s="32">
        <f t="shared" ref="BP45:BP67" si="94">BK45-BO45</f>
        <v>-33645750</v>
      </c>
      <c r="BQ45" s="77" t="str">
        <f t="shared" ref="BQ45:BQ67" si="95">IFERROR(BP45/BO45,"-")</f>
        <v>-</v>
      </c>
      <c r="BR45" s="41">
        <v>0</v>
      </c>
      <c r="BS45" s="40">
        <v>0</v>
      </c>
      <c r="BT45" s="32">
        <f t="shared" ref="BT45:BT67" si="96">BR45-BS45</f>
        <v>0</v>
      </c>
      <c r="BU45" s="78" t="str">
        <f t="shared" ref="BU45:BU67" si="97">IFERROR(BR45/BS45-1,"-")</f>
        <v>-</v>
      </c>
      <c r="BV45" s="39">
        <f>-BR42*3</f>
        <v>-33645750</v>
      </c>
      <c r="BW45" s="39">
        <v>0</v>
      </c>
      <c r="BX45" s="32">
        <f t="shared" ref="BX45:BX67" si="98">BV45-BW45</f>
        <v>-33645750</v>
      </c>
      <c r="BY45" s="78" t="str">
        <f t="shared" ref="BY45:BY67" si="99">IFERROR(BV45/BW45-1,"-")</f>
        <v>-</v>
      </c>
      <c r="BZ45" s="39">
        <v>0</v>
      </c>
      <c r="CA45" s="32">
        <f t="shared" ref="CA45:CA67" si="100">BV45-BZ45</f>
        <v>-33645750</v>
      </c>
      <c r="CB45" s="77" t="str">
        <f t="shared" ref="CB45:CB67" si="101">IFERROR(CA45/BZ45,"-")</f>
        <v>-</v>
      </c>
      <c r="CC45" s="41">
        <v>0</v>
      </c>
      <c r="CD45" s="40">
        <v>0</v>
      </c>
      <c r="CE45" s="32">
        <f t="shared" ref="CE45:CE67" si="102">CC45-CD45</f>
        <v>0</v>
      </c>
      <c r="CF45" s="78" t="str">
        <f t="shared" ref="CF45:CF67" si="103">IFERROR(CC45/CD45-1,"-")</f>
        <v>-</v>
      </c>
      <c r="CG45" s="39">
        <f>-CC42*3</f>
        <v>-33645750</v>
      </c>
      <c r="CH45" s="39">
        <v>0</v>
      </c>
      <c r="CI45" s="32">
        <f t="shared" ref="CI45:CI67" si="104">CG45-CH45</f>
        <v>-33645750</v>
      </c>
      <c r="CJ45" s="78" t="str">
        <f t="shared" ref="CJ45:CJ67" si="105">IFERROR(CG45/CH45-1,"-")</f>
        <v>-</v>
      </c>
      <c r="CK45" s="39">
        <v>0</v>
      </c>
      <c r="CL45" s="32">
        <f t="shared" ref="CL45:CL67" si="106">CG45-CK45</f>
        <v>-33645750</v>
      </c>
      <c r="CM45" s="77" t="str">
        <f t="shared" ref="CM45:CM67" si="107">IFERROR(CL45/CK45,"-")</f>
        <v>-</v>
      </c>
      <c r="CN45" s="41">
        <v>0</v>
      </c>
      <c r="CO45" s="40">
        <v>0</v>
      </c>
      <c r="CP45" s="32">
        <f t="shared" ref="CP45:CP67" si="108">CN45-CO45</f>
        <v>0</v>
      </c>
      <c r="CQ45" s="78" t="str">
        <f t="shared" ref="CQ45:CQ67" si="109">IFERROR(CN45/CO45-1,"-")</f>
        <v>-</v>
      </c>
      <c r="CR45" s="39">
        <f>-CN42*3</f>
        <v>-33645750</v>
      </c>
      <c r="CS45" s="39">
        <v>0</v>
      </c>
      <c r="CT45" s="32">
        <f t="shared" ref="CT45:CT67" si="110">CR45-CS45</f>
        <v>-33645750</v>
      </c>
      <c r="CU45" s="78" t="str">
        <f t="shared" ref="CU45:CU67" si="111">IFERROR(CR45/CS45-1,"-")</f>
        <v>-</v>
      </c>
      <c r="CV45" s="39">
        <v>0</v>
      </c>
      <c r="CW45" s="32">
        <f t="shared" ref="CW45:CW67" si="112">CR45-CV45</f>
        <v>-33645750</v>
      </c>
      <c r="CX45" s="77" t="str">
        <f t="shared" ref="CX45:CX67" si="113">IFERROR(CW45/CV45,"-")</f>
        <v>-</v>
      </c>
      <c r="CY45" s="41">
        <v>0</v>
      </c>
      <c r="CZ45" s="40">
        <v>0</v>
      </c>
      <c r="DA45" s="32">
        <f t="shared" ref="DA45:DA67" si="114">CY45-CZ45</f>
        <v>0</v>
      </c>
      <c r="DB45" s="78" t="str">
        <f t="shared" ref="DB45:DB67" si="115">IFERROR(CY45/CZ45-1,"-")</f>
        <v>-</v>
      </c>
      <c r="DC45" s="39">
        <f>-CY42*3</f>
        <v>-33645750</v>
      </c>
      <c r="DD45" s="39">
        <v>0</v>
      </c>
      <c r="DE45" s="32">
        <f t="shared" ref="DE45:DE67" si="116">DC45-DD45</f>
        <v>-33645750</v>
      </c>
      <c r="DF45" s="78" t="str">
        <f t="shared" ref="DF45:DF67" si="117">IFERROR(DC45/DD45-1,"-")</f>
        <v>-</v>
      </c>
      <c r="DG45" s="39">
        <v>0</v>
      </c>
      <c r="DH45" s="32">
        <f t="shared" ref="DH45:DH67" si="118">DC45-DG45</f>
        <v>-33645750</v>
      </c>
      <c r="DI45" s="77" t="str">
        <f t="shared" ref="DI45:DI67" si="119">IFERROR(DH45/DG45,"-")</f>
        <v>-</v>
      </c>
    </row>
    <row r="46" spans="1:113" ht="12.75" hidden="1" customHeight="1" outlineLevel="3" x14ac:dyDescent="0.2">
      <c r="B46" s="38" t="s">
        <v>63</v>
      </c>
      <c r="C46" s="37" t="s">
        <v>62</v>
      </c>
      <c r="D46" s="41">
        <v>0</v>
      </c>
      <c r="E46" s="40">
        <v>0</v>
      </c>
      <c r="F46" s="32">
        <f t="shared" si="60"/>
        <v>0</v>
      </c>
      <c r="G46" s="78" t="str">
        <f t="shared" si="61"/>
        <v>-</v>
      </c>
      <c r="H46" s="39">
        <f>-D43*3</f>
        <v>-6224463.75</v>
      </c>
      <c r="I46" s="39">
        <v>0</v>
      </c>
      <c r="J46" s="32">
        <f t="shared" si="62"/>
        <v>-6224463.75</v>
      </c>
      <c r="K46" s="78" t="str">
        <f t="shared" si="63"/>
        <v>-</v>
      </c>
      <c r="L46" s="39">
        <v>0</v>
      </c>
      <c r="M46" s="32">
        <f t="shared" si="64"/>
        <v>-6224463.75</v>
      </c>
      <c r="N46" s="77" t="str">
        <f t="shared" si="65"/>
        <v>-</v>
      </c>
      <c r="O46" s="41">
        <v>0</v>
      </c>
      <c r="P46" s="40">
        <v>0</v>
      </c>
      <c r="Q46" s="32">
        <f t="shared" si="66"/>
        <v>0</v>
      </c>
      <c r="R46" s="78" t="str">
        <f t="shared" si="67"/>
        <v>-</v>
      </c>
      <c r="S46" s="39">
        <f>-O43*3</f>
        <v>-6224463.75</v>
      </c>
      <c r="T46" s="39">
        <v>0</v>
      </c>
      <c r="U46" s="32">
        <f t="shared" si="68"/>
        <v>-6224463.75</v>
      </c>
      <c r="V46" s="78" t="str">
        <f t="shared" si="69"/>
        <v>-</v>
      </c>
      <c r="W46" s="39">
        <v>0</v>
      </c>
      <c r="X46" s="32">
        <f t="shared" si="70"/>
        <v>-6224463.75</v>
      </c>
      <c r="Y46" s="77" t="str">
        <f t="shared" si="71"/>
        <v>-</v>
      </c>
      <c r="Z46" s="41">
        <v>0</v>
      </c>
      <c r="AA46" s="40">
        <v>0</v>
      </c>
      <c r="AB46" s="32">
        <f t="shared" si="72"/>
        <v>0</v>
      </c>
      <c r="AC46" s="78" t="str">
        <f t="shared" si="73"/>
        <v>-</v>
      </c>
      <c r="AD46" s="39">
        <f>-Z43*3</f>
        <v>-6224463.75</v>
      </c>
      <c r="AE46" s="39">
        <v>0</v>
      </c>
      <c r="AF46" s="32">
        <f t="shared" si="74"/>
        <v>-6224463.75</v>
      </c>
      <c r="AG46" s="78" t="str">
        <f t="shared" si="75"/>
        <v>-</v>
      </c>
      <c r="AH46" s="39">
        <v>0</v>
      </c>
      <c r="AI46" s="32">
        <f t="shared" si="76"/>
        <v>-6224463.75</v>
      </c>
      <c r="AJ46" s="77" t="str">
        <f t="shared" si="77"/>
        <v>-</v>
      </c>
      <c r="AK46" s="41">
        <v>0</v>
      </c>
      <c r="AL46" s="40">
        <v>0</v>
      </c>
      <c r="AM46" s="32">
        <f t="shared" si="78"/>
        <v>0</v>
      </c>
      <c r="AN46" s="78" t="str">
        <f t="shared" si="79"/>
        <v>-</v>
      </c>
      <c r="AO46" s="39">
        <f>-AK43*3</f>
        <v>-6224463.75</v>
      </c>
      <c r="AP46" s="39">
        <v>0</v>
      </c>
      <c r="AQ46" s="32">
        <f t="shared" si="80"/>
        <v>-6224463.75</v>
      </c>
      <c r="AR46" s="78" t="str">
        <f t="shared" si="81"/>
        <v>-</v>
      </c>
      <c r="AS46" s="39">
        <v>0</v>
      </c>
      <c r="AT46" s="32">
        <f t="shared" si="82"/>
        <v>-6224463.75</v>
      </c>
      <c r="AU46" s="77" t="str">
        <f t="shared" si="83"/>
        <v>-</v>
      </c>
      <c r="AV46" s="41">
        <v>0</v>
      </c>
      <c r="AW46" s="40">
        <v>0</v>
      </c>
      <c r="AX46" s="32">
        <f t="shared" si="84"/>
        <v>0</v>
      </c>
      <c r="AY46" s="78" t="str">
        <f t="shared" si="85"/>
        <v>-</v>
      </c>
      <c r="AZ46" s="39">
        <f>-AV43*3</f>
        <v>-6224463.75</v>
      </c>
      <c r="BA46" s="39">
        <v>0</v>
      </c>
      <c r="BB46" s="32">
        <f t="shared" si="86"/>
        <v>-6224463.75</v>
      </c>
      <c r="BC46" s="78" t="str">
        <f t="shared" si="87"/>
        <v>-</v>
      </c>
      <c r="BD46" s="39">
        <v>0</v>
      </c>
      <c r="BE46" s="32">
        <f t="shared" si="88"/>
        <v>-6224463.75</v>
      </c>
      <c r="BF46" s="77" t="str">
        <f t="shared" si="89"/>
        <v>-</v>
      </c>
      <c r="BG46" s="41">
        <v>0</v>
      </c>
      <c r="BH46" s="40">
        <v>0</v>
      </c>
      <c r="BI46" s="32">
        <f t="shared" si="90"/>
        <v>0</v>
      </c>
      <c r="BJ46" s="78" t="str">
        <f t="shared" si="91"/>
        <v>-</v>
      </c>
      <c r="BK46" s="39">
        <f>-BG43*3</f>
        <v>-6224463.75</v>
      </c>
      <c r="BL46" s="39">
        <v>0</v>
      </c>
      <c r="BM46" s="32">
        <f t="shared" si="92"/>
        <v>-6224463.75</v>
      </c>
      <c r="BN46" s="78" t="str">
        <f t="shared" si="93"/>
        <v>-</v>
      </c>
      <c r="BO46" s="39">
        <v>0</v>
      </c>
      <c r="BP46" s="32">
        <f t="shared" si="94"/>
        <v>-6224463.75</v>
      </c>
      <c r="BQ46" s="77" t="str">
        <f t="shared" si="95"/>
        <v>-</v>
      </c>
      <c r="BR46" s="41">
        <v>0</v>
      </c>
      <c r="BS46" s="40">
        <v>0</v>
      </c>
      <c r="BT46" s="32">
        <f t="shared" si="96"/>
        <v>0</v>
      </c>
      <c r="BU46" s="78" t="str">
        <f t="shared" si="97"/>
        <v>-</v>
      </c>
      <c r="BV46" s="39">
        <f>-BR43*3</f>
        <v>-6224463.75</v>
      </c>
      <c r="BW46" s="39">
        <v>0</v>
      </c>
      <c r="BX46" s="32">
        <f t="shared" si="98"/>
        <v>-6224463.75</v>
      </c>
      <c r="BY46" s="78" t="str">
        <f t="shared" si="99"/>
        <v>-</v>
      </c>
      <c r="BZ46" s="39">
        <v>0</v>
      </c>
      <c r="CA46" s="32">
        <f t="shared" si="100"/>
        <v>-6224463.75</v>
      </c>
      <c r="CB46" s="77" t="str">
        <f t="shared" si="101"/>
        <v>-</v>
      </c>
      <c r="CC46" s="41">
        <v>0</v>
      </c>
      <c r="CD46" s="40">
        <v>0</v>
      </c>
      <c r="CE46" s="32">
        <f t="shared" si="102"/>
        <v>0</v>
      </c>
      <c r="CF46" s="78" t="str">
        <f t="shared" si="103"/>
        <v>-</v>
      </c>
      <c r="CG46" s="39">
        <f>-CC43*3</f>
        <v>-6224463.75</v>
      </c>
      <c r="CH46" s="39">
        <v>0</v>
      </c>
      <c r="CI46" s="32">
        <f t="shared" si="104"/>
        <v>-6224463.75</v>
      </c>
      <c r="CJ46" s="78" t="str">
        <f t="shared" si="105"/>
        <v>-</v>
      </c>
      <c r="CK46" s="39">
        <v>0</v>
      </c>
      <c r="CL46" s="32">
        <f t="shared" si="106"/>
        <v>-6224463.75</v>
      </c>
      <c r="CM46" s="77" t="str">
        <f t="shared" si="107"/>
        <v>-</v>
      </c>
      <c r="CN46" s="41">
        <v>0</v>
      </c>
      <c r="CO46" s="40">
        <v>0</v>
      </c>
      <c r="CP46" s="32">
        <f t="shared" si="108"/>
        <v>0</v>
      </c>
      <c r="CQ46" s="78" t="str">
        <f t="shared" si="109"/>
        <v>-</v>
      </c>
      <c r="CR46" s="39">
        <f>-CN43*3</f>
        <v>-6224463.75</v>
      </c>
      <c r="CS46" s="39">
        <v>0</v>
      </c>
      <c r="CT46" s="32">
        <f t="shared" si="110"/>
        <v>-6224463.75</v>
      </c>
      <c r="CU46" s="78" t="str">
        <f t="shared" si="111"/>
        <v>-</v>
      </c>
      <c r="CV46" s="39">
        <v>0</v>
      </c>
      <c r="CW46" s="32">
        <f t="shared" si="112"/>
        <v>-6224463.75</v>
      </c>
      <c r="CX46" s="77" t="str">
        <f t="shared" si="113"/>
        <v>-</v>
      </c>
      <c r="CY46" s="41">
        <v>0</v>
      </c>
      <c r="CZ46" s="40">
        <v>0</v>
      </c>
      <c r="DA46" s="32">
        <f t="shared" si="114"/>
        <v>0</v>
      </c>
      <c r="DB46" s="78" t="str">
        <f t="shared" si="115"/>
        <v>-</v>
      </c>
      <c r="DC46" s="39">
        <f>-CY43*3</f>
        <v>-6224463.75</v>
      </c>
      <c r="DD46" s="39">
        <v>0</v>
      </c>
      <c r="DE46" s="32">
        <f t="shared" si="116"/>
        <v>-6224463.75</v>
      </c>
      <c r="DF46" s="78" t="str">
        <f t="shared" si="117"/>
        <v>-</v>
      </c>
      <c r="DG46" s="39">
        <v>0</v>
      </c>
      <c r="DH46" s="32">
        <f t="shared" si="118"/>
        <v>-6224463.75</v>
      </c>
      <c r="DI46" s="77" t="str">
        <f t="shared" si="119"/>
        <v>-</v>
      </c>
    </row>
    <row r="47" spans="1:113" s="6" customFormat="1" hidden="1" outlineLevel="2" collapsed="1" x14ac:dyDescent="0.2">
      <c r="A47" s="30"/>
      <c r="B47" s="29" t="s">
        <v>61</v>
      </c>
      <c r="C47" s="42" t="s">
        <v>60</v>
      </c>
      <c r="D47" s="27">
        <f>SUM(D45:D46)</f>
        <v>0</v>
      </c>
      <c r="E47" s="26">
        <f>SUM(E45:E46)</f>
        <v>0</v>
      </c>
      <c r="F47" s="23">
        <f t="shared" si="60"/>
        <v>0</v>
      </c>
      <c r="G47" s="76" t="str">
        <f t="shared" si="61"/>
        <v>-</v>
      </c>
      <c r="H47" s="24">
        <f>SUM(H45:H46)</f>
        <v>-39870213.75</v>
      </c>
      <c r="I47" s="24">
        <f>SUM(I45:I46)</f>
        <v>0</v>
      </c>
      <c r="J47" s="23">
        <f t="shared" si="62"/>
        <v>-39870213.75</v>
      </c>
      <c r="K47" s="76" t="str">
        <f t="shared" si="63"/>
        <v>-</v>
      </c>
      <c r="L47" s="24">
        <f>SUM(L45:L46)</f>
        <v>0</v>
      </c>
      <c r="M47" s="23">
        <f t="shared" si="64"/>
        <v>-39870213.75</v>
      </c>
      <c r="N47" s="75" t="str">
        <f t="shared" si="65"/>
        <v>-</v>
      </c>
      <c r="O47" s="27">
        <f>SUM(O45:O46)</f>
        <v>0</v>
      </c>
      <c r="P47" s="26">
        <f>SUM(P45:P46)</f>
        <v>0</v>
      </c>
      <c r="Q47" s="23">
        <f t="shared" si="66"/>
        <v>0</v>
      </c>
      <c r="R47" s="76" t="str">
        <f t="shared" si="67"/>
        <v>-</v>
      </c>
      <c r="S47" s="24">
        <f>SUM(S45:S46)</f>
        <v>-39870213.75</v>
      </c>
      <c r="T47" s="24">
        <f>SUM(T45:T46)</f>
        <v>0</v>
      </c>
      <c r="U47" s="23">
        <f t="shared" si="68"/>
        <v>-39870213.75</v>
      </c>
      <c r="V47" s="76" t="str">
        <f t="shared" si="69"/>
        <v>-</v>
      </c>
      <c r="W47" s="24">
        <f>SUM(W45:W46)</f>
        <v>0</v>
      </c>
      <c r="X47" s="23">
        <f t="shared" si="70"/>
        <v>-39870213.75</v>
      </c>
      <c r="Y47" s="75" t="str">
        <f t="shared" si="71"/>
        <v>-</v>
      </c>
      <c r="Z47" s="27">
        <f>SUM(Z45:Z46)</f>
        <v>0</v>
      </c>
      <c r="AA47" s="26">
        <f>SUM(AA45:AA46)</f>
        <v>0</v>
      </c>
      <c r="AB47" s="23">
        <f t="shared" si="72"/>
        <v>0</v>
      </c>
      <c r="AC47" s="76" t="str">
        <f t="shared" si="73"/>
        <v>-</v>
      </c>
      <c r="AD47" s="24">
        <f>SUM(AD45:AD46)</f>
        <v>-39870213.75</v>
      </c>
      <c r="AE47" s="24">
        <f>SUM(AE45:AE46)</f>
        <v>0</v>
      </c>
      <c r="AF47" s="23">
        <f t="shared" si="74"/>
        <v>-39870213.75</v>
      </c>
      <c r="AG47" s="76" t="str">
        <f t="shared" si="75"/>
        <v>-</v>
      </c>
      <c r="AH47" s="24">
        <f>SUM(AH45:AH46)</f>
        <v>0</v>
      </c>
      <c r="AI47" s="23">
        <f t="shared" si="76"/>
        <v>-39870213.75</v>
      </c>
      <c r="AJ47" s="75" t="str">
        <f t="shared" si="77"/>
        <v>-</v>
      </c>
      <c r="AK47" s="27">
        <f>SUM(AK45:AK46)</f>
        <v>0</v>
      </c>
      <c r="AL47" s="26">
        <f>SUM(AL45:AL46)</f>
        <v>0</v>
      </c>
      <c r="AM47" s="23">
        <f t="shared" si="78"/>
        <v>0</v>
      </c>
      <c r="AN47" s="76" t="str">
        <f t="shared" si="79"/>
        <v>-</v>
      </c>
      <c r="AO47" s="24">
        <f>SUM(AO45:AO46)</f>
        <v>-39870213.75</v>
      </c>
      <c r="AP47" s="24">
        <f>SUM(AP45:AP46)</f>
        <v>0</v>
      </c>
      <c r="AQ47" s="23">
        <f t="shared" si="80"/>
        <v>-39870213.75</v>
      </c>
      <c r="AR47" s="76" t="str">
        <f t="shared" si="81"/>
        <v>-</v>
      </c>
      <c r="AS47" s="24">
        <f>SUM(AS45:AS46)</f>
        <v>0</v>
      </c>
      <c r="AT47" s="23">
        <f t="shared" si="82"/>
        <v>-39870213.75</v>
      </c>
      <c r="AU47" s="75" t="str">
        <f t="shared" si="83"/>
        <v>-</v>
      </c>
      <c r="AV47" s="27">
        <f>SUM(AV45:AV46)</f>
        <v>0</v>
      </c>
      <c r="AW47" s="26">
        <f>SUM(AW45:AW46)</f>
        <v>0</v>
      </c>
      <c r="AX47" s="23">
        <f t="shared" si="84"/>
        <v>0</v>
      </c>
      <c r="AY47" s="76" t="str">
        <f t="shared" si="85"/>
        <v>-</v>
      </c>
      <c r="AZ47" s="24">
        <f>SUM(AZ45:AZ46)</f>
        <v>-39870213.75</v>
      </c>
      <c r="BA47" s="24">
        <f>SUM(BA45:BA46)</f>
        <v>0</v>
      </c>
      <c r="BB47" s="23">
        <f t="shared" si="86"/>
        <v>-39870213.75</v>
      </c>
      <c r="BC47" s="76" t="str">
        <f t="shared" si="87"/>
        <v>-</v>
      </c>
      <c r="BD47" s="24">
        <f>SUM(BD45:BD46)</f>
        <v>0</v>
      </c>
      <c r="BE47" s="23">
        <f t="shared" si="88"/>
        <v>-39870213.75</v>
      </c>
      <c r="BF47" s="75" t="str">
        <f t="shared" si="89"/>
        <v>-</v>
      </c>
      <c r="BG47" s="27">
        <f>SUM(BG45:BG46)</f>
        <v>0</v>
      </c>
      <c r="BH47" s="26">
        <f>SUM(BH45:BH46)</f>
        <v>0</v>
      </c>
      <c r="BI47" s="23">
        <f t="shared" si="90"/>
        <v>0</v>
      </c>
      <c r="BJ47" s="76" t="str">
        <f t="shared" si="91"/>
        <v>-</v>
      </c>
      <c r="BK47" s="24">
        <f>SUM(BK45:BK46)</f>
        <v>-39870213.75</v>
      </c>
      <c r="BL47" s="24">
        <f>SUM(BL45:BL46)</f>
        <v>0</v>
      </c>
      <c r="BM47" s="23">
        <f t="shared" si="92"/>
        <v>-39870213.75</v>
      </c>
      <c r="BN47" s="76" t="str">
        <f t="shared" si="93"/>
        <v>-</v>
      </c>
      <c r="BO47" s="24">
        <f>SUM(BO45:BO46)</f>
        <v>0</v>
      </c>
      <c r="BP47" s="23">
        <f t="shared" si="94"/>
        <v>-39870213.75</v>
      </c>
      <c r="BQ47" s="75" t="str">
        <f t="shared" si="95"/>
        <v>-</v>
      </c>
      <c r="BR47" s="27">
        <f>SUM(BR45:BR46)</f>
        <v>0</v>
      </c>
      <c r="BS47" s="26">
        <f>SUM(BS45:BS46)</f>
        <v>0</v>
      </c>
      <c r="BT47" s="23">
        <f t="shared" si="96"/>
        <v>0</v>
      </c>
      <c r="BU47" s="76" t="str">
        <f t="shared" si="97"/>
        <v>-</v>
      </c>
      <c r="BV47" s="24">
        <f>SUM(BV45:BV46)</f>
        <v>-39870213.75</v>
      </c>
      <c r="BW47" s="24">
        <f>SUM(BW45:BW46)</f>
        <v>0</v>
      </c>
      <c r="BX47" s="23">
        <f t="shared" si="98"/>
        <v>-39870213.75</v>
      </c>
      <c r="BY47" s="76" t="str">
        <f t="shared" si="99"/>
        <v>-</v>
      </c>
      <c r="BZ47" s="24">
        <f>SUM(BZ45:BZ46)</f>
        <v>0</v>
      </c>
      <c r="CA47" s="23">
        <f t="shared" si="100"/>
        <v>-39870213.75</v>
      </c>
      <c r="CB47" s="75" t="str">
        <f t="shared" si="101"/>
        <v>-</v>
      </c>
      <c r="CC47" s="27">
        <f>SUM(CC45:CC46)</f>
        <v>0</v>
      </c>
      <c r="CD47" s="26">
        <f>SUM(CD45:CD46)</f>
        <v>0</v>
      </c>
      <c r="CE47" s="23">
        <f t="shared" si="102"/>
        <v>0</v>
      </c>
      <c r="CF47" s="76" t="str">
        <f t="shared" si="103"/>
        <v>-</v>
      </c>
      <c r="CG47" s="24">
        <f>SUM(CG45:CG46)</f>
        <v>-39870213.75</v>
      </c>
      <c r="CH47" s="24">
        <f>SUM(CH45:CH46)</f>
        <v>0</v>
      </c>
      <c r="CI47" s="23">
        <f t="shared" si="104"/>
        <v>-39870213.75</v>
      </c>
      <c r="CJ47" s="76" t="str">
        <f t="shared" si="105"/>
        <v>-</v>
      </c>
      <c r="CK47" s="24">
        <f>SUM(CK45:CK46)</f>
        <v>0</v>
      </c>
      <c r="CL47" s="23">
        <f t="shared" si="106"/>
        <v>-39870213.75</v>
      </c>
      <c r="CM47" s="75" t="str">
        <f t="shared" si="107"/>
        <v>-</v>
      </c>
      <c r="CN47" s="27">
        <f>SUM(CN45:CN46)</f>
        <v>0</v>
      </c>
      <c r="CO47" s="26">
        <f>SUM(CO45:CO46)</f>
        <v>0</v>
      </c>
      <c r="CP47" s="23">
        <f t="shared" si="108"/>
        <v>0</v>
      </c>
      <c r="CQ47" s="76" t="str">
        <f t="shared" si="109"/>
        <v>-</v>
      </c>
      <c r="CR47" s="24">
        <f>SUM(CR45:CR46)</f>
        <v>-39870213.75</v>
      </c>
      <c r="CS47" s="24">
        <f>SUM(CS45:CS46)</f>
        <v>0</v>
      </c>
      <c r="CT47" s="23">
        <f t="shared" si="110"/>
        <v>-39870213.75</v>
      </c>
      <c r="CU47" s="76" t="str">
        <f t="shared" si="111"/>
        <v>-</v>
      </c>
      <c r="CV47" s="24">
        <f>SUM(CV45:CV46)</f>
        <v>0</v>
      </c>
      <c r="CW47" s="23">
        <f t="shared" si="112"/>
        <v>-39870213.75</v>
      </c>
      <c r="CX47" s="75" t="str">
        <f t="shared" si="113"/>
        <v>-</v>
      </c>
      <c r="CY47" s="27">
        <f>SUM(CY45:CY46)</f>
        <v>0</v>
      </c>
      <c r="CZ47" s="26">
        <f>SUM(CZ45:CZ46)</f>
        <v>0</v>
      </c>
      <c r="DA47" s="23">
        <f t="shared" si="114"/>
        <v>0</v>
      </c>
      <c r="DB47" s="76" t="str">
        <f t="shared" si="115"/>
        <v>-</v>
      </c>
      <c r="DC47" s="24">
        <f>SUM(DC45:DC46)</f>
        <v>-39870213.75</v>
      </c>
      <c r="DD47" s="24">
        <f>SUM(DD45:DD46)</f>
        <v>0</v>
      </c>
      <c r="DE47" s="23">
        <f t="shared" si="116"/>
        <v>-39870213.75</v>
      </c>
      <c r="DF47" s="76" t="str">
        <f t="shared" si="117"/>
        <v>-</v>
      </c>
      <c r="DG47" s="24">
        <f>SUM(DG45:DG46)</f>
        <v>0</v>
      </c>
      <c r="DH47" s="23">
        <f t="shared" si="118"/>
        <v>-39870213.75</v>
      </c>
      <c r="DI47" s="75" t="str">
        <f t="shared" si="119"/>
        <v>-</v>
      </c>
    </row>
    <row r="48" spans="1:113" ht="12.75" hidden="1" customHeight="1" outlineLevel="3" x14ac:dyDescent="0.2">
      <c r="B48" s="38" t="s">
        <v>59</v>
      </c>
      <c r="C48" s="37" t="s">
        <v>58</v>
      </c>
      <c r="D48" s="41">
        <v>0</v>
      </c>
      <c r="E48" s="40">
        <f>33645750/3</f>
        <v>11215250</v>
      </c>
      <c r="F48" s="32">
        <f t="shared" si="60"/>
        <v>-11215250</v>
      </c>
      <c r="G48" s="78">
        <f t="shared" si="61"/>
        <v>-1</v>
      </c>
      <c r="H48" s="39">
        <v>32425066</v>
      </c>
      <c r="I48" s="39">
        <v>66701000</v>
      </c>
      <c r="J48" s="32">
        <f t="shared" si="62"/>
        <v>-34275934</v>
      </c>
      <c r="K48" s="78">
        <f t="shared" si="63"/>
        <v>-0.5138743647021784</v>
      </c>
      <c r="L48" s="39">
        <v>133992500</v>
      </c>
      <c r="M48" s="32">
        <f t="shared" si="64"/>
        <v>-101567434</v>
      </c>
      <c r="N48" s="77">
        <f t="shared" si="65"/>
        <v>-0.75800835121368737</v>
      </c>
      <c r="O48" s="41">
        <v>0</v>
      </c>
      <c r="P48" s="40">
        <f>33645750/3</f>
        <v>11215250</v>
      </c>
      <c r="Q48" s="32">
        <f t="shared" si="66"/>
        <v>-11215250</v>
      </c>
      <c r="R48" s="78">
        <f t="shared" si="67"/>
        <v>-1</v>
      </c>
      <c r="S48" s="39">
        <v>32425066</v>
      </c>
      <c r="T48" s="39">
        <v>66701000</v>
      </c>
      <c r="U48" s="32">
        <f t="shared" si="68"/>
        <v>-34275934</v>
      </c>
      <c r="V48" s="78">
        <f t="shared" si="69"/>
        <v>-0.5138743647021784</v>
      </c>
      <c r="W48" s="39">
        <v>133992500</v>
      </c>
      <c r="X48" s="32">
        <f t="shared" si="70"/>
        <v>-101567434</v>
      </c>
      <c r="Y48" s="77">
        <f t="shared" si="71"/>
        <v>-0.75800835121368737</v>
      </c>
      <c r="Z48" s="41">
        <v>0</v>
      </c>
      <c r="AA48" s="40">
        <f>33645750/3</f>
        <v>11215250</v>
      </c>
      <c r="AB48" s="32">
        <f t="shared" si="72"/>
        <v>-11215250</v>
      </c>
      <c r="AC48" s="78">
        <f t="shared" si="73"/>
        <v>-1</v>
      </c>
      <c r="AD48" s="39">
        <v>32425066</v>
      </c>
      <c r="AE48" s="39">
        <v>66701000</v>
      </c>
      <c r="AF48" s="32">
        <f t="shared" si="74"/>
        <v>-34275934</v>
      </c>
      <c r="AG48" s="78">
        <f t="shared" si="75"/>
        <v>-0.5138743647021784</v>
      </c>
      <c r="AH48" s="39">
        <v>133992500</v>
      </c>
      <c r="AI48" s="32">
        <f t="shared" si="76"/>
        <v>-101567434</v>
      </c>
      <c r="AJ48" s="77">
        <f t="shared" si="77"/>
        <v>-0.75800835121368737</v>
      </c>
      <c r="AK48" s="41">
        <v>0</v>
      </c>
      <c r="AL48" s="40">
        <f>33645750/3</f>
        <v>11215250</v>
      </c>
      <c r="AM48" s="32">
        <f t="shared" si="78"/>
        <v>-11215250</v>
      </c>
      <c r="AN48" s="78">
        <f t="shared" si="79"/>
        <v>-1</v>
      </c>
      <c r="AO48" s="39">
        <v>32425066</v>
      </c>
      <c r="AP48" s="39">
        <v>66701000</v>
      </c>
      <c r="AQ48" s="32">
        <f t="shared" si="80"/>
        <v>-34275934</v>
      </c>
      <c r="AR48" s="78">
        <f t="shared" si="81"/>
        <v>-0.5138743647021784</v>
      </c>
      <c r="AS48" s="39">
        <v>133992500</v>
      </c>
      <c r="AT48" s="32">
        <f t="shared" si="82"/>
        <v>-101567434</v>
      </c>
      <c r="AU48" s="77">
        <f t="shared" si="83"/>
        <v>-0.75800835121368737</v>
      </c>
      <c r="AV48" s="41">
        <v>0</v>
      </c>
      <c r="AW48" s="40">
        <f>33645750/3</f>
        <v>11215250</v>
      </c>
      <c r="AX48" s="32">
        <f t="shared" si="84"/>
        <v>-11215250</v>
      </c>
      <c r="AY48" s="78">
        <f t="shared" si="85"/>
        <v>-1</v>
      </c>
      <c r="AZ48" s="39">
        <v>32425066</v>
      </c>
      <c r="BA48" s="39">
        <v>66701000</v>
      </c>
      <c r="BB48" s="32">
        <f t="shared" si="86"/>
        <v>-34275934</v>
      </c>
      <c r="BC48" s="78">
        <f t="shared" si="87"/>
        <v>-0.5138743647021784</v>
      </c>
      <c r="BD48" s="39">
        <v>133992500</v>
      </c>
      <c r="BE48" s="32">
        <f t="shared" si="88"/>
        <v>-101567434</v>
      </c>
      <c r="BF48" s="77">
        <f t="shared" si="89"/>
        <v>-0.75800835121368737</v>
      </c>
      <c r="BG48" s="41">
        <v>0</v>
      </c>
      <c r="BH48" s="40">
        <f>33645750/3</f>
        <v>11215250</v>
      </c>
      <c r="BI48" s="32">
        <f t="shared" si="90"/>
        <v>-11215250</v>
      </c>
      <c r="BJ48" s="78">
        <f t="shared" si="91"/>
        <v>-1</v>
      </c>
      <c r="BK48" s="39">
        <v>32425066</v>
      </c>
      <c r="BL48" s="39">
        <v>66701000</v>
      </c>
      <c r="BM48" s="32">
        <f t="shared" si="92"/>
        <v>-34275934</v>
      </c>
      <c r="BN48" s="78">
        <f t="shared" si="93"/>
        <v>-0.5138743647021784</v>
      </c>
      <c r="BO48" s="39">
        <v>133992500</v>
      </c>
      <c r="BP48" s="32">
        <f t="shared" si="94"/>
        <v>-101567434</v>
      </c>
      <c r="BQ48" s="77">
        <f t="shared" si="95"/>
        <v>-0.75800835121368737</v>
      </c>
      <c r="BR48" s="41">
        <v>0</v>
      </c>
      <c r="BS48" s="40">
        <f>33645750/3</f>
        <v>11215250</v>
      </c>
      <c r="BT48" s="32">
        <f t="shared" si="96"/>
        <v>-11215250</v>
      </c>
      <c r="BU48" s="78">
        <f t="shared" si="97"/>
        <v>-1</v>
      </c>
      <c r="BV48" s="39">
        <v>32425066</v>
      </c>
      <c r="BW48" s="39">
        <v>66701000</v>
      </c>
      <c r="BX48" s="32">
        <f t="shared" si="98"/>
        <v>-34275934</v>
      </c>
      <c r="BY48" s="78">
        <f t="shared" si="99"/>
        <v>-0.5138743647021784</v>
      </c>
      <c r="BZ48" s="39">
        <v>133992500</v>
      </c>
      <c r="CA48" s="32">
        <f t="shared" si="100"/>
        <v>-101567434</v>
      </c>
      <c r="CB48" s="77">
        <f t="shared" si="101"/>
        <v>-0.75800835121368737</v>
      </c>
      <c r="CC48" s="41">
        <v>0</v>
      </c>
      <c r="CD48" s="40">
        <f>33645750/3</f>
        <v>11215250</v>
      </c>
      <c r="CE48" s="32">
        <f t="shared" si="102"/>
        <v>-11215250</v>
      </c>
      <c r="CF48" s="78">
        <f t="shared" si="103"/>
        <v>-1</v>
      </c>
      <c r="CG48" s="39">
        <v>32425066</v>
      </c>
      <c r="CH48" s="39">
        <v>66701000</v>
      </c>
      <c r="CI48" s="32">
        <f t="shared" si="104"/>
        <v>-34275934</v>
      </c>
      <c r="CJ48" s="78">
        <f t="shared" si="105"/>
        <v>-0.5138743647021784</v>
      </c>
      <c r="CK48" s="39">
        <v>133992500</v>
      </c>
      <c r="CL48" s="32">
        <f t="shared" si="106"/>
        <v>-101567434</v>
      </c>
      <c r="CM48" s="77">
        <f t="shared" si="107"/>
        <v>-0.75800835121368737</v>
      </c>
      <c r="CN48" s="41">
        <v>0</v>
      </c>
      <c r="CO48" s="40">
        <f>33645750/3</f>
        <v>11215250</v>
      </c>
      <c r="CP48" s="32">
        <f t="shared" si="108"/>
        <v>-11215250</v>
      </c>
      <c r="CQ48" s="78">
        <f t="shared" si="109"/>
        <v>-1</v>
      </c>
      <c r="CR48" s="39">
        <v>32425066</v>
      </c>
      <c r="CS48" s="39">
        <v>66701000</v>
      </c>
      <c r="CT48" s="32">
        <f t="shared" si="110"/>
        <v>-34275934</v>
      </c>
      <c r="CU48" s="78">
        <f t="shared" si="111"/>
        <v>-0.5138743647021784</v>
      </c>
      <c r="CV48" s="39">
        <v>133992500</v>
      </c>
      <c r="CW48" s="32">
        <f t="shared" si="112"/>
        <v>-101567434</v>
      </c>
      <c r="CX48" s="77">
        <f t="shared" si="113"/>
        <v>-0.75800835121368737</v>
      </c>
      <c r="CY48" s="41">
        <v>0</v>
      </c>
      <c r="CZ48" s="40">
        <f>33645750/3</f>
        <v>11215250</v>
      </c>
      <c r="DA48" s="32">
        <f t="shared" si="114"/>
        <v>-11215250</v>
      </c>
      <c r="DB48" s="78">
        <f t="shared" si="115"/>
        <v>-1</v>
      </c>
      <c r="DC48" s="39">
        <v>32425066</v>
      </c>
      <c r="DD48" s="39">
        <v>66701000</v>
      </c>
      <c r="DE48" s="32">
        <f t="shared" si="116"/>
        <v>-34275934</v>
      </c>
      <c r="DF48" s="78">
        <f t="shared" si="117"/>
        <v>-0.5138743647021784</v>
      </c>
      <c r="DG48" s="39">
        <v>133992500</v>
      </c>
      <c r="DH48" s="32">
        <f t="shared" si="118"/>
        <v>-101567434</v>
      </c>
      <c r="DI48" s="77">
        <f t="shared" si="119"/>
        <v>-0.75800835121368737</v>
      </c>
    </row>
    <row r="49" spans="1:113" ht="12.75" hidden="1" customHeight="1" outlineLevel="3" x14ac:dyDescent="0.2">
      <c r="B49" s="38" t="s">
        <v>57</v>
      </c>
      <c r="C49" s="37" t="s">
        <v>56</v>
      </c>
      <c r="D49" s="36">
        <v>0</v>
      </c>
      <c r="E49" s="35">
        <f>6224463.75/3</f>
        <v>2074821.25</v>
      </c>
      <c r="F49" s="32">
        <f t="shared" si="60"/>
        <v>-2074821.25</v>
      </c>
      <c r="G49" s="78">
        <f t="shared" si="61"/>
        <v>-1</v>
      </c>
      <c r="H49" s="33">
        <v>9492847</v>
      </c>
      <c r="I49" s="33">
        <v>12339685</v>
      </c>
      <c r="J49" s="32">
        <f t="shared" si="62"/>
        <v>-2846838</v>
      </c>
      <c r="K49" s="78">
        <f t="shared" si="63"/>
        <v>-0.2307058891697803</v>
      </c>
      <c r="L49" s="33">
        <v>24788612.5</v>
      </c>
      <c r="M49" s="32">
        <f t="shared" si="64"/>
        <v>-15295765.5</v>
      </c>
      <c r="N49" s="77">
        <f t="shared" si="65"/>
        <v>-0.61704806995550876</v>
      </c>
      <c r="O49" s="36">
        <v>0</v>
      </c>
      <c r="P49" s="35">
        <f>6224463.75/3</f>
        <v>2074821.25</v>
      </c>
      <c r="Q49" s="32">
        <f t="shared" si="66"/>
        <v>-2074821.25</v>
      </c>
      <c r="R49" s="78">
        <f t="shared" si="67"/>
        <v>-1</v>
      </c>
      <c r="S49" s="33">
        <v>9492847</v>
      </c>
      <c r="T49" s="33">
        <v>12339685</v>
      </c>
      <c r="U49" s="32">
        <f t="shared" si="68"/>
        <v>-2846838</v>
      </c>
      <c r="V49" s="78">
        <f t="shared" si="69"/>
        <v>-0.2307058891697803</v>
      </c>
      <c r="W49" s="33">
        <v>24788612.5</v>
      </c>
      <c r="X49" s="32">
        <f t="shared" si="70"/>
        <v>-15295765.5</v>
      </c>
      <c r="Y49" s="77">
        <f t="shared" si="71"/>
        <v>-0.61704806995550876</v>
      </c>
      <c r="Z49" s="36">
        <v>0</v>
      </c>
      <c r="AA49" s="35">
        <f>6224463.75/3</f>
        <v>2074821.25</v>
      </c>
      <c r="AB49" s="32">
        <f t="shared" si="72"/>
        <v>-2074821.25</v>
      </c>
      <c r="AC49" s="78">
        <f t="shared" si="73"/>
        <v>-1</v>
      </c>
      <c r="AD49" s="33">
        <v>9492847</v>
      </c>
      <c r="AE49" s="33">
        <v>12339685</v>
      </c>
      <c r="AF49" s="32">
        <f t="shared" si="74"/>
        <v>-2846838</v>
      </c>
      <c r="AG49" s="78">
        <f t="shared" si="75"/>
        <v>-0.2307058891697803</v>
      </c>
      <c r="AH49" s="33">
        <v>24788612.5</v>
      </c>
      <c r="AI49" s="32">
        <f t="shared" si="76"/>
        <v>-15295765.5</v>
      </c>
      <c r="AJ49" s="77">
        <f t="shared" si="77"/>
        <v>-0.61704806995550876</v>
      </c>
      <c r="AK49" s="36">
        <v>0</v>
      </c>
      <c r="AL49" s="35">
        <f>6224463.75/3</f>
        <v>2074821.25</v>
      </c>
      <c r="AM49" s="32">
        <f t="shared" si="78"/>
        <v>-2074821.25</v>
      </c>
      <c r="AN49" s="78">
        <f t="shared" si="79"/>
        <v>-1</v>
      </c>
      <c r="AO49" s="33">
        <v>9492847</v>
      </c>
      <c r="AP49" s="33">
        <v>12339685</v>
      </c>
      <c r="AQ49" s="32">
        <f t="shared" si="80"/>
        <v>-2846838</v>
      </c>
      <c r="AR49" s="78">
        <f t="shared" si="81"/>
        <v>-0.2307058891697803</v>
      </c>
      <c r="AS49" s="33">
        <v>24788612.5</v>
      </c>
      <c r="AT49" s="32">
        <f t="shared" si="82"/>
        <v>-15295765.5</v>
      </c>
      <c r="AU49" s="77">
        <f t="shared" si="83"/>
        <v>-0.61704806995550876</v>
      </c>
      <c r="AV49" s="36">
        <v>0</v>
      </c>
      <c r="AW49" s="35">
        <f>6224463.75/3</f>
        <v>2074821.25</v>
      </c>
      <c r="AX49" s="32">
        <f t="shared" si="84"/>
        <v>-2074821.25</v>
      </c>
      <c r="AY49" s="78">
        <f t="shared" si="85"/>
        <v>-1</v>
      </c>
      <c r="AZ49" s="33">
        <v>9492847</v>
      </c>
      <c r="BA49" s="33">
        <v>12339685</v>
      </c>
      <c r="BB49" s="32">
        <f t="shared" si="86"/>
        <v>-2846838</v>
      </c>
      <c r="BC49" s="78">
        <f t="shared" si="87"/>
        <v>-0.2307058891697803</v>
      </c>
      <c r="BD49" s="33">
        <v>24788612.5</v>
      </c>
      <c r="BE49" s="32">
        <f t="shared" si="88"/>
        <v>-15295765.5</v>
      </c>
      <c r="BF49" s="77">
        <f t="shared" si="89"/>
        <v>-0.61704806995550876</v>
      </c>
      <c r="BG49" s="36">
        <v>0</v>
      </c>
      <c r="BH49" s="35">
        <f>6224463.75/3</f>
        <v>2074821.25</v>
      </c>
      <c r="BI49" s="32">
        <f t="shared" si="90"/>
        <v>-2074821.25</v>
      </c>
      <c r="BJ49" s="78">
        <f t="shared" si="91"/>
        <v>-1</v>
      </c>
      <c r="BK49" s="33">
        <v>9492847</v>
      </c>
      <c r="BL49" s="33">
        <v>12339685</v>
      </c>
      <c r="BM49" s="32">
        <f t="shared" si="92"/>
        <v>-2846838</v>
      </c>
      <c r="BN49" s="78">
        <f t="shared" si="93"/>
        <v>-0.2307058891697803</v>
      </c>
      <c r="BO49" s="33">
        <v>24788612.5</v>
      </c>
      <c r="BP49" s="32">
        <f t="shared" si="94"/>
        <v>-15295765.5</v>
      </c>
      <c r="BQ49" s="77">
        <f t="shared" si="95"/>
        <v>-0.61704806995550876</v>
      </c>
      <c r="BR49" s="36">
        <v>0</v>
      </c>
      <c r="BS49" s="35">
        <f>6224463.75/3</f>
        <v>2074821.25</v>
      </c>
      <c r="BT49" s="32">
        <f t="shared" si="96"/>
        <v>-2074821.25</v>
      </c>
      <c r="BU49" s="78">
        <f t="shared" si="97"/>
        <v>-1</v>
      </c>
      <c r="BV49" s="33">
        <v>9492847</v>
      </c>
      <c r="BW49" s="33">
        <v>12339685</v>
      </c>
      <c r="BX49" s="32">
        <f t="shared" si="98"/>
        <v>-2846838</v>
      </c>
      <c r="BY49" s="78">
        <f t="shared" si="99"/>
        <v>-0.2307058891697803</v>
      </c>
      <c r="BZ49" s="33">
        <v>24788612.5</v>
      </c>
      <c r="CA49" s="32">
        <f t="shared" si="100"/>
        <v>-15295765.5</v>
      </c>
      <c r="CB49" s="77">
        <f t="shared" si="101"/>
        <v>-0.61704806995550876</v>
      </c>
      <c r="CC49" s="36">
        <v>0</v>
      </c>
      <c r="CD49" s="35">
        <f>6224463.75/3</f>
        <v>2074821.25</v>
      </c>
      <c r="CE49" s="32">
        <f t="shared" si="102"/>
        <v>-2074821.25</v>
      </c>
      <c r="CF49" s="78">
        <f t="shared" si="103"/>
        <v>-1</v>
      </c>
      <c r="CG49" s="33">
        <v>9492847</v>
      </c>
      <c r="CH49" s="33">
        <v>12339685</v>
      </c>
      <c r="CI49" s="32">
        <f t="shared" si="104"/>
        <v>-2846838</v>
      </c>
      <c r="CJ49" s="78">
        <f t="shared" si="105"/>
        <v>-0.2307058891697803</v>
      </c>
      <c r="CK49" s="33">
        <v>24788612.5</v>
      </c>
      <c r="CL49" s="32">
        <f t="shared" si="106"/>
        <v>-15295765.5</v>
      </c>
      <c r="CM49" s="77">
        <f t="shared" si="107"/>
        <v>-0.61704806995550876</v>
      </c>
      <c r="CN49" s="36">
        <v>0</v>
      </c>
      <c r="CO49" s="35">
        <f>6224463.75/3</f>
        <v>2074821.25</v>
      </c>
      <c r="CP49" s="32">
        <f t="shared" si="108"/>
        <v>-2074821.25</v>
      </c>
      <c r="CQ49" s="78">
        <f t="shared" si="109"/>
        <v>-1</v>
      </c>
      <c r="CR49" s="33">
        <v>9492847</v>
      </c>
      <c r="CS49" s="33">
        <v>12339685</v>
      </c>
      <c r="CT49" s="32">
        <f t="shared" si="110"/>
        <v>-2846838</v>
      </c>
      <c r="CU49" s="78">
        <f t="shared" si="111"/>
        <v>-0.2307058891697803</v>
      </c>
      <c r="CV49" s="33">
        <v>24788612.5</v>
      </c>
      <c r="CW49" s="32">
        <f t="shared" si="112"/>
        <v>-15295765.5</v>
      </c>
      <c r="CX49" s="77">
        <f t="shared" si="113"/>
        <v>-0.61704806995550876</v>
      </c>
      <c r="CY49" s="36">
        <v>0</v>
      </c>
      <c r="CZ49" s="35">
        <f>6224463.75/3</f>
        <v>2074821.25</v>
      </c>
      <c r="DA49" s="32">
        <f t="shared" si="114"/>
        <v>-2074821.25</v>
      </c>
      <c r="DB49" s="78">
        <f t="shared" si="115"/>
        <v>-1</v>
      </c>
      <c r="DC49" s="33">
        <v>9492847</v>
      </c>
      <c r="DD49" s="33">
        <v>12339685</v>
      </c>
      <c r="DE49" s="32">
        <f t="shared" si="116"/>
        <v>-2846838</v>
      </c>
      <c r="DF49" s="78">
        <f t="shared" si="117"/>
        <v>-0.2307058891697803</v>
      </c>
      <c r="DG49" s="33">
        <v>24788612.5</v>
      </c>
      <c r="DH49" s="32">
        <f t="shared" si="118"/>
        <v>-15295765.5</v>
      </c>
      <c r="DI49" s="77">
        <f t="shared" si="119"/>
        <v>-0.61704806995550876</v>
      </c>
    </row>
    <row r="50" spans="1:113" s="6" customFormat="1" hidden="1" outlineLevel="2" collapsed="1" x14ac:dyDescent="0.2">
      <c r="A50" s="30"/>
      <c r="B50" s="29" t="s">
        <v>55</v>
      </c>
      <c r="C50" s="42" t="s">
        <v>54</v>
      </c>
      <c r="D50" s="27">
        <f>SUM(D48:D49)</f>
        <v>0</v>
      </c>
      <c r="E50" s="26">
        <f>SUM(E48:E49)</f>
        <v>13290071.25</v>
      </c>
      <c r="F50" s="23">
        <f t="shared" si="60"/>
        <v>-13290071.25</v>
      </c>
      <c r="G50" s="76">
        <f t="shared" si="61"/>
        <v>-1</v>
      </c>
      <c r="H50" s="24">
        <f>SUM(H48:H49)</f>
        <v>41917913</v>
      </c>
      <c r="I50" s="24">
        <f>SUM(I48:I49)</f>
        <v>79040685</v>
      </c>
      <c r="J50" s="23">
        <f t="shared" si="62"/>
        <v>-37122772</v>
      </c>
      <c r="K50" s="76">
        <f t="shared" si="63"/>
        <v>-0.46966662801568582</v>
      </c>
      <c r="L50" s="24">
        <f>SUM(L48:L49)</f>
        <v>158781112.5</v>
      </c>
      <c r="M50" s="23">
        <f t="shared" si="64"/>
        <v>-116863199.5</v>
      </c>
      <c r="N50" s="75">
        <f t="shared" si="65"/>
        <v>-0.73600189380207293</v>
      </c>
      <c r="O50" s="27">
        <f>SUM(O48:O49)</f>
        <v>0</v>
      </c>
      <c r="P50" s="26">
        <f>SUM(P48:P49)</f>
        <v>13290071.25</v>
      </c>
      <c r="Q50" s="23">
        <f t="shared" si="66"/>
        <v>-13290071.25</v>
      </c>
      <c r="R50" s="76">
        <f t="shared" si="67"/>
        <v>-1</v>
      </c>
      <c r="S50" s="24">
        <f>SUM(S48:S49)</f>
        <v>41917913</v>
      </c>
      <c r="T50" s="24">
        <f>SUM(T48:T49)</f>
        <v>79040685</v>
      </c>
      <c r="U50" s="23">
        <f t="shared" si="68"/>
        <v>-37122772</v>
      </c>
      <c r="V50" s="76">
        <f t="shared" si="69"/>
        <v>-0.46966662801568582</v>
      </c>
      <c r="W50" s="24">
        <f>SUM(W48:W49)</f>
        <v>158781112.5</v>
      </c>
      <c r="X50" s="23">
        <f t="shared" si="70"/>
        <v>-116863199.5</v>
      </c>
      <c r="Y50" s="75">
        <f t="shared" si="71"/>
        <v>-0.73600189380207293</v>
      </c>
      <c r="Z50" s="27">
        <f>SUM(Z48:Z49)</f>
        <v>0</v>
      </c>
      <c r="AA50" s="26">
        <f>SUM(AA48:AA49)</f>
        <v>13290071.25</v>
      </c>
      <c r="AB50" s="23">
        <f t="shared" si="72"/>
        <v>-13290071.25</v>
      </c>
      <c r="AC50" s="76">
        <f t="shared" si="73"/>
        <v>-1</v>
      </c>
      <c r="AD50" s="24">
        <f>SUM(AD48:AD49)</f>
        <v>41917913</v>
      </c>
      <c r="AE50" s="24">
        <f>SUM(AE48:AE49)</f>
        <v>79040685</v>
      </c>
      <c r="AF50" s="23">
        <f t="shared" si="74"/>
        <v>-37122772</v>
      </c>
      <c r="AG50" s="76">
        <f t="shared" si="75"/>
        <v>-0.46966662801568582</v>
      </c>
      <c r="AH50" s="24">
        <f>SUM(AH48:AH49)</f>
        <v>158781112.5</v>
      </c>
      <c r="AI50" s="23">
        <f t="shared" si="76"/>
        <v>-116863199.5</v>
      </c>
      <c r="AJ50" s="75">
        <f t="shared" si="77"/>
        <v>-0.73600189380207293</v>
      </c>
      <c r="AK50" s="27">
        <f>SUM(AK48:AK49)</f>
        <v>0</v>
      </c>
      <c r="AL50" s="26">
        <f>SUM(AL48:AL49)</f>
        <v>13290071.25</v>
      </c>
      <c r="AM50" s="23">
        <f t="shared" si="78"/>
        <v>-13290071.25</v>
      </c>
      <c r="AN50" s="76">
        <f t="shared" si="79"/>
        <v>-1</v>
      </c>
      <c r="AO50" s="24">
        <f>SUM(AO48:AO49)</f>
        <v>41917913</v>
      </c>
      <c r="AP50" s="24">
        <f>SUM(AP48:AP49)</f>
        <v>79040685</v>
      </c>
      <c r="AQ50" s="23">
        <f t="shared" si="80"/>
        <v>-37122772</v>
      </c>
      <c r="AR50" s="76">
        <f t="shared" si="81"/>
        <v>-0.46966662801568582</v>
      </c>
      <c r="AS50" s="24">
        <f>SUM(AS48:AS49)</f>
        <v>158781112.5</v>
      </c>
      <c r="AT50" s="23">
        <f t="shared" si="82"/>
        <v>-116863199.5</v>
      </c>
      <c r="AU50" s="75">
        <f t="shared" si="83"/>
        <v>-0.73600189380207293</v>
      </c>
      <c r="AV50" s="27">
        <f>SUM(AV48:AV49)</f>
        <v>0</v>
      </c>
      <c r="AW50" s="26">
        <f>SUM(AW48:AW49)</f>
        <v>13290071.25</v>
      </c>
      <c r="AX50" s="23">
        <f t="shared" si="84"/>
        <v>-13290071.25</v>
      </c>
      <c r="AY50" s="76">
        <f t="shared" si="85"/>
        <v>-1</v>
      </c>
      <c r="AZ50" s="24">
        <f>SUM(AZ48:AZ49)</f>
        <v>41917913</v>
      </c>
      <c r="BA50" s="24">
        <f>SUM(BA48:BA49)</f>
        <v>79040685</v>
      </c>
      <c r="BB50" s="23">
        <f t="shared" si="86"/>
        <v>-37122772</v>
      </c>
      <c r="BC50" s="76">
        <f t="shared" si="87"/>
        <v>-0.46966662801568582</v>
      </c>
      <c r="BD50" s="24">
        <f>SUM(BD48:BD49)</f>
        <v>158781112.5</v>
      </c>
      <c r="BE50" s="23">
        <f t="shared" si="88"/>
        <v>-116863199.5</v>
      </c>
      <c r="BF50" s="75">
        <f t="shared" si="89"/>
        <v>-0.73600189380207293</v>
      </c>
      <c r="BG50" s="27">
        <f>SUM(BG48:BG49)</f>
        <v>0</v>
      </c>
      <c r="BH50" s="26">
        <f>SUM(BH48:BH49)</f>
        <v>13290071.25</v>
      </c>
      <c r="BI50" s="23">
        <f t="shared" si="90"/>
        <v>-13290071.25</v>
      </c>
      <c r="BJ50" s="76">
        <f t="shared" si="91"/>
        <v>-1</v>
      </c>
      <c r="BK50" s="24">
        <f>SUM(BK48:BK49)</f>
        <v>41917913</v>
      </c>
      <c r="BL50" s="24">
        <f>SUM(BL48:BL49)</f>
        <v>79040685</v>
      </c>
      <c r="BM50" s="23">
        <f t="shared" si="92"/>
        <v>-37122772</v>
      </c>
      <c r="BN50" s="76">
        <f t="shared" si="93"/>
        <v>-0.46966662801568582</v>
      </c>
      <c r="BO50" s="24">
        <f>SUM(BO48:BO49)</f>
        <v>158781112.5</v>
      </c>
      <c r="BP50" s="23">
        <f t="shared" si="94"/>
        <v>-116863199.5</v>
      </c>
      <c r="BQ50" s="75">
        <f t="shared" si="95"/>
        <v>-0.73600189380207293</v>
      </c>
      <c r="BR50" s="27">
        <f>SUM(BR48:BR49)</f>
        <v>0</v>
      </c>
      <c r="BS50" s="26">
        <f>SUM(BS48:BS49)</f>
        <v>13290071.25</v>
      </c>
      <c r="BT50" s="23">
        <f t="shared" si="96"/>
        <v>-13290071.25</v>
      </c>
      <c r="BU50" s="76">
        <f t="shared" si="97"/>
        <v>-1</v>
      </c>
      <c r="BV50" s="24">
        <f>SUM(BV48:BV49)</f>
        <v>41917913</v>
      </c>
      <c r="BW50" s="24">
        <f>SUM(BW48:BW49)</f>
        <v>79040685</v>
      </c>
      <c r="BX50" s="23">
        <f t="shared" si="98"/>
        <v>-37122772</v>
      </c>
      <c r="BY50" s="76">
        <f t="shared" si="99"/>
        <v>-0.46966662801568582</v>
      </c>
      <c r="BZ50" s="24">
        <f>SUM(BZ48:BZ49)</f>
        <v>158781112.5</v>
      </c>
      <c r="CA50" s="23">
        <f t="shared" si="100"/>
        <v>-116863199.5</v>
      </c>
      <c r="CB50" s="75">
        <f t="shared" si="101"/>
        <v>-0.73600189380207293</v>
      </c>
      <c r="CC50" s="27">
        <f>SUM(CC48:CC49)</f>
        <v>0</v>
      </c>
      <c r="CD50" s="26">
        <f>SUM(CD48:CD49)</f>
        <v>13290071.25</v>
      </c>
      <c r="CE50" s="23">
        <f t="shared" si="102"/>
        <v>-13290071.25</v>
      </c>
      <c r="CF50" s="76">
        <f t="shared" si="103"/>
        <v>-1</v>
      </c>
      <c r="CG50" s="24">
        <f>SUM(CG48:CG49)</f>
        <v>41917913</v>
      </c>
      <c r="CH50" s="24">
        <f>SUM(CH48:CH49)</f>
        <v>79040685</v>
      </c>
      <c r="CI50" s="23">
        <f t="shared" si="104"/>
        <v>-37122772</v>
      </c>
      <c r="CJ50" s="76">
        <f t="shared" si="105"/>
        <v>-0.46966662801568582</v>
      </c>
      <c r="CK50" s="24">
        <f>SUM(CK48:CK49)</f>
        <v>158781112.5</v>
      </c>
      <c r="CL50" s="23">
        <f t="shared" si="106"/>
        <v>-116863199.5</v>
      </c>
      <c r="CM50" s="75">
        <f t="shared" si="107"/>
        <v>-0.73600189380207293</v>
      </c>
      <c r="CN50" s="27">
        <f>SUM(CN48:CN49)</f>
        <v>0</v>
      </c>
      <c r="CO50" s="26">
        <f>SUM(CO48:CO49)</f>
        <v>13290071.25</v>
      </c>
      <c r="CP50" s="23">
        <f t="shared" si="108"/>
        <v>-13290071.25</v>
      </c>
      <c r="CQ50" s="76">
        <f t="shared" si="109"/>
        <v>-1</v>
      </c>
      <c r="CR50" s="24">
        <f>SUM(CR48:CR49)</f>
        <v>41917913</v>
      </c>
      <c r="CS50" s="24">
        <f>SUM(CS48:CS49)</f>
        <v>79040685</v>
      </c>
      <c r="CT50" s="23">
        <f t="shared" si="110"/>
        <v>-37122772</v>
      </c>
      <c r="CU50" s="76">
        <f t="shared" si="111"/>
        <v>-0.46966662801568582</v>
      </c>
      <c r="CV50" s="24">
        <f>SUM(CV48:CV49)</f>
        <v>158781112.5</v>
      </c>
      <c r="CW50" s="23">
        <f t="shared" si="112"/>
        <v>-116863199.5</v>
      </c>
      <c r="CX50" s="75">
        <f t="shared" si="113"/>
        <v>-0.73600189380207293</v>
      </c>
      <c r="CY50" s="27">
        <f>SUM(CY48:CY49)</f>
        <v>0</v>
      </c>
      <c r="CZ50" s="26">
        <f>SUM(CZ48:CZ49)</f>
        <v>13290071.25</v>
      </c>
      <c r="DA50" s="23">
        <f t="shared" si="114"/>
        <v>-13290071.25</v>
      </c>
      <c r="DB50" s="76">
        <f t="shared" si="115"/>
        <v>-1</v>
      </c>
      <c r="DC50" s="24">
        <f>SUM(DC48:DC49)</f>
        <v>41917913</v>
      </c>
      <c r="DD50" s="24">
        <f>SUM(DD48:DD49)</f>
        <v>79040685</v>
      </c>
      <c r="DE50" s="23">
        <f t="shared" si="116"/>
        <v>-37122772</v>
      </c>
      <c r="DF50" s="76">
        <f t="shared" si="117"/>
        <v>-0.46966662801568582</v>
      </c>
      <c r="DG50" s="24">
        <f>SUM(DG48:DG49)</f>
        <v>158781112.5</v>
      </c>
      <c r="DH50" s="23">
        <f t="shared" si="118"/>
        <v>-116863199.5</v>
      </c>
      <c r="DI50" s="75">
        <f t="shared" si="119"/>
        <v>-0.73600189380207293</v>
      </c>
    </row>
    <row r="51" spans="1:113" s="6" customFormat="1" ht="14.45" customHeight="1" outlineLevel="1" collapsed="1" x14ac:dyDescent="0.2">
      <c r="A51" s="30"/>
      <c r="B51" s="48" t="s">
        <v>53</v>
      </c>
      <c r="C51" s="47" t="s">
        <v>52</v>
      </c>
      <c r="D51" s="46">
        <f>D50+D47+D44</f>
        <v>13290071.25</v>
      </c>
      <c r="E51" s="45">
        <f>E50+E47+E44</f>
        <v>13290071.25</v>
      </c>
      <c r="F51" s="23">
        <f t="shared" si="60"/>
        <v>0</v>
      </c>
      <c r="G51" s="76">
        <f t="shared" si="61"/>
        <v>0</v>
      </c>
      <c r="H51" s="44">
        <f>H50+H47+H44</f>
        <v>81788126.75</v>
      </c>
      <c r="I51" s="44">
        <f>I50+I47+I44</f>
        <v>79040685</v>
      </c>
      <c r="J51" s="23">
        <f t="shared" si="62"/>
        <v>2747441.75</v>
      </c>
      <c r="K51" s="76">
        <f t="shared" si="63"/>
        <v>3.4759842352074743E-2</v>
      </c>
      <c r="L51" s="44">
        <f>L50+L47+L44</f>
        <v>158781112.5</v>
      </c>
      <c r="M51" s="23">
        <f t="shared" si="64"/>
        <v>-76992985.75</v>
      </c>
      <c r="N51" s="75">
        <f t="shared" si="65"/>
        <v>-0.48490015303300005</v>
      </c>
      <c r="O51" s="46">
        <f>O50+O47+O44</f>
        <v>13290071.25</v>
      </c>
      <c r="P51" s="45">
        <f>P50+P47+P44</f>
        <v>13290071.25</v>
      </c>
      <c r="Q51" s="23">
        <f t="shared" si="66"/>
        <v>0</v>
      </c>
      <c r="R51" s="76">
        <f t="shared" si="67"/>
        <v>0</v>
      </c>
      <c r="S51" s="44">
        <f>S50+S47+S44</f>
        <v>81788126.75</v>
      </c>
      <c r="T51" s="44">
        <f>T50+T47+T44</f>
        <v>79040685</v>
      </c>
      <c r="U51" s="23">
        <f t="shared" si="68"/>
        <v>2747441.75</v>
      </c>
      <c r="V51" s="76">
        <f t="shared" si="69"/>
        <v>3.4759842352074743E-2</v>
      </c>
      <c r="W51" s="44">
        <f>W50+W47+W44</f>
        <v>158781112.5</v>
      </c>
      <c r="X51" s="23">
        <f t="shared" si="70"/>
        <v>-76992985.75</v>
      </c>
      <c r="Y51" s="75">
        <f t="shared" si="71"/>
        <v>-0.48490015303300005</v>
      </c>
      <c r="Z51" s="46">
        <f>Z50+Z47+Z44</f>
        <v>13290071.25</v>
      </c>
      <c r="AA51" s="45">
        <f>AA50+AA47+AA44</f>
        <v>13290071.25</v>
      </c>
      <c r="AB51" s="23">
        <f t="shared" si="72"/>
        <v>0</v>
      </c>
      <c r="AC51" s="76">
        <f t="shared" si="73"/>
        <v>0</v>
      </c>
      <c r="AD51" s="44">
        <f>AD50+AD47+AD44</f>
        <v>81788126.75</v>
      </c>
      <c r="AE51" s="44">
        <f>AE50+AE47+AE44</f>
        <v>79040685</v>
      </c>
      <c r="AF51" s="23">
        <f t="shared" si="74"/>
        <v>2747441.75</v>
      </c>
      <c r="AG51" s="76">
        <f t="shared" si="75"/>
        <v>3.4759842352074743E-2</v>
      </c>
      <c r="AH51" s="44">
        <f>AH50+AH47+AH44</f>
        <v>158781112.5</v>
      </c>
      <c r="AI51" s="23">
        <f t="shared" si="76"/>
        <v>-76992985.75</v>
      </c>
      <c r="AJ51" s="75">
        <f t="shared" si="77"/>
        <v>-0.48490015303300005</v>
      </c>
      <c r="AK51" s="46">
        <f>AK50+AK47+AK44</f>
        <v>13290071.25</v>
      </c>
      <c r="AL51" s="45">
        <f>AL50+AL47+AL44</f>
        <v>13290071.25</v>
      </c>
      <c r="AM51" s="23">
        <f t="shared" si="78"/>
        <v>0</v>
      </c>
      <c r="AN51" s="76">
        <f t="shared" si="79"/>
        <v>0</v>
      </c>
      <c r="AO51" s="44">
        <f>AO50+AO47+AO44</f>
        <v>81788126.75</v>
      </c>
      <c r="AP51" s="44">
        <f>AP50+AP47+AP44</f>
        <v>79040685</v>
      </c>
      <c r="AQ51" s="23">
        <f t="shared" si="80"/>
        <v>2747441.75</v>
      </c>
      <c r="AR51" s="76">
        <f t="shared" si="81"/>
        <v>3.4759842352074743E-2</v>
      </c>
      <c r="AS51" s="44">
        <f>AS50+AS47+AS44</f>
        <v>158781112.5</v>
      </c>
      <c r="AT51" s="23">
        <f t="shared" si="82"/>
        <v>-76992985.75</v>
      </c>
      <c r="AU51" s="75">
        <f t="shared" si="83"/>
        <v>-0.48490015303300005</v>
      </c>
      <c r="AV51" s="46">
        <f>AV50+AV47+AV44</f>
        <v>13290071.25</v>
      </c>
      <c r="AW51" s="45">
        <f>AW50+AW47+AW44</f>
        <v>13290071.25</v>
      </c>
      <c r="AX51" s="23">
        <f t="shared" si="84"/>
        <v>0</v>
      </c>
      <c r="AY51" s="76">
        <f t="shared" si="85"/>
        <v>0</v>
      </c>
      <c r="AZ51" s="44">
        <f>AZ50+AZ47+AZ44</f>
        <v>81788126.75</v>
      </c>
      <c r="BA51" s="44">
        <f>BA50+BA47+BA44</f>
        <v>79040685</v>
      </c>
      <c r="BB51" s="23">
        <f t="shared" si="86"/>
        <v>2747441.75</v>
      </c>
      <c r="BC51" s="76">
        <f t="shared" si="87"/>
        <v>3.4759842352074743E-2</v>
      </c>
      <c r="BD51" s="44">
        <f>BD50+BD47+BD44</f>
        <v>158781112.5</v>
      </c>
      <c r="BE51" s="23">
        <f t="shared" si="88"/>
        <v>-76992985.75</v>
      </c>
      <c r="BF51" s="75">
        <f t="shared" si="89"/>
        <v>-0.48490015303300005</v>
      </c>
      <c r="BG51" s="46">
        <f>BG50+BG47+BG44</f>
        <v>13290071.25</v>
      </c>
      <c r="BH51" s="45">
        <f>BH50+BH47+BH44</f>
        <v>13290071.25</v>
      </c>
      <c r="BI51" s="23">
        <f t="shared" si="90"/>
        <v>0</v>
      </c>
      <c r="BJ51" s="76">
        <f t="shared" si="91"/>
        <v>0</v>
      </c>
      <c r="BK51" s="44">
        <f>BK50+BK47+BK44</f>
        <v>81788126.75</v>
      </c>
      <c r="BL51" s="44">
        <f>BL50+BL47+BL44</f>
        <v>79040685</v>
      </c>
      <c r="BM51" s="23">
        <f t="shared" si="92"/>
        <v>2747441.75</v>
      </c>
      <c r="BN51" s="76">
        <f t="shared" si="93"/>
        <v>3.4759842352074743E-2</v>
      </c>
      <c r="BO51" s="44">
        <f>BO50+BO47+BO44</f>
        <v>158781112.5</v>
      </c>
      <c r="BP51" s="23">
        <f t="shared" si="94"/>
        <v>-76992985.75</v>
      </c>
      <c r="BQ51" s="75">
        <f t="shared" si="95"/>
        <v>-0.48490015303300005</v>
      </c>
      <c r="BR51" s="46">
        <f>BR50+BR47+BR44</f>
        <v>13290071.25</v>
      </c>
      <c r="BS51" s="45">
        <f>BS50+BS47+BS44</f>
        <v>13290071.25</v>
      </c>
      <c r="BT51" s="23">
        <f t="shared" si="96"/>
        <v>0</v>
      </c>
      <c r="BU51" s="76">
        <f t="shared" si="97"/>
        <v>0</v>
      </c>
      <c r="BV51" s="44">
        <f>BV50+BV47+BV44</f>
        <v>81788126.75</v>
      </c>
      <c r="BW51" s="44">
        <f>BW50+BW47+BW44</f>
        <v>79040685</v>
      </c>
      <c r="BX51" s="23">
        <f t="shared" si="98"/>
        <v>2747441.75</v>
      </c>
      <c r="BY51" s="76">
        <f t="shared" si="99"/>
        <v>3.4759842352074743E-2</v>
      </c>
      <c r="BZ51" s="44">
        <f>BZ50+BZ47+BZ44</f>
        <v>158781112.5</v>
      </c>
      <c r="CA51" s="23">
        <f t="shared" si="100"/>
        <v>-76992985.75</v>
      </c>
      <c r="CB51" s="75">
        <f t="shared" si="101"/>
        <v>-0.48490015303300005</v>
      </c>
      <c r="CC51" s="46">
        <f>CC50+CC47+CC44</f>
        <v>13290071.25</v>
      </c>
      <c r="CD51" s="45">
        <f>CD50+CD47+CD44</f>
        <v>13290071.25</v>
      </c>
      <c r="CE51" s="23">
        <f t="shared" si="102"/>
        <v>0</v>
      </c>
      <c r="CF51" s="76">
        <f t="shared" si="103"/>
        <v>0</v>
      </c>
      <c r="CG51" s="44">
        <f>CG50+CG47+CG44</f>
        <v>81788126.75</v>
      </c>
      <c r="CH51" s="44">
        <f>CH50+CH47+CH44</f>
        <v>79040685</v>
      </c>
      <c r="CI51" s="23">
        <f t="shared" si="104"/>
        <v>2747441.75</v>
      </c>
      <c r="CJ51" s="76">
        <f t="shared" si="105"/>
        <v>3.4759842352074743E-2</v>
      </c>
      <c r="CK51" s="44">
        <f>CK50+CK47+CK44</f>
        <v>158781112.5</v>
      </c>
      <c r="CL51" s="23">
        <f t="shared" si="106"/>
        <v>-76992985.75</v>
      </c>
      <c r="CM51" s="75">
        <f t="shared" si="107"/>
        <v>-0.48490015303300005</v>
      </c>
      <c r="CN51" s="46">
        <f>CN50+CN47+CN44</f>
        <v>13290071.25</v>
      </c>
      <c r="CO51" s="45">
        <f>CO50+CO47+CO44</f>
        <v>13290071.25</v>
      </c>
      <c r="CP51" s="23">
        <f t="shared" si="108"/>
        <v>0</v>
      </c>
      <c r="CQ51" s="76">
        <f t="shared" si="109"/>
        <v>0</v>
      </c>
      <c r="CR51" s="44">
        <f>CR50+CR47+CR44</f>
        <v>81788126.75</v>
      </c>
      <c r="CS51" s="44">
        <f>CS50+CS47+CS44</f>
        <v>79040685</v>
      </c>
      <c r="CT51" s="23">
        <f t="shared" si="110"/>
        <v>2747441.75</v>
      </c>
      <c r="CU51" s="76">
        <f t="shared" si="111"/>
        <v>3.4759842352074743E-2</v>
      </c>
      <c r="CV51" s="44">
        <f>CV50+CV47+CV44</f>
        <v>158781112.5</v>
      </c>
      <c r="CW51" s="23">
        <f t="shared" si="112"/>
        <v>-76992985.75</v>
      </c>
      <c r="CX51" s="75">
        <f t="shared" si="113"/>
        <v>-0.48490015303300005</v>
      </c>
      <c r="CY51" s="46">
        <f>CY50+CY47+CY44</f>
        <v>13290071.25</v>
      </c>
      <c r="CZ51" s="45">
        <f>CZ50+CZ47+CZ44</f>
        <v>13290071.25</v>
      </c>
      <c r="DA51" s="23">
        <f t="shared" si="114"/>
        <v>0</v>
      </c>
      <c r="DB51" s="76">
        <f t="shared" si="115"/>
        <v>0</v>
      </c>
      <c r="DC51" s="44">
        <f>DC50+DC47+DC44</f>
        <v>81788126.75</v>
      </c>
      <c r="DD51" s="44">
        <f>DD50+DD47+DD44</f>
        <v>79040685</v>
      </c>
      <c r="DE51" s="23">
        <f t="shared" si="116"/>
        <v>2747441.75</v>
      </c>
      <c r="DF51" s="76">
        <f t="shared" si="117"/>
        <v>3.4759842352074743E-2</v>
      </c>
      <c r="DG51" s="44">
        <f>DG50+DG47+DG44</f>
        <v>158781112.5</v>
      </c>
      <c r="DH51" s="23">
        <f t="shared" si="118"/>
        <v>-76992985.75</v>
      </c>
      <c r="DI51" s="75">
        <f t="shared" si="119"/>
        <v>-0.48490015303300005</v>
      </c>
    </row>
    <row r="52" spans="1:113" s="6" customFormat="1" ht="15.75" customHeight="1" x14ac:dyDescent="0.2">
      <c r="B52" s="21" t="s">
        <v>51</v>
      </c>
      <c r="C52" s="20" t="s">
        <v>50</v>
      </c>
      <c r="D52" s="19">
        <f>D51+D41+D28+D25</f>
        <v>254382240.87</v>
      </c>
      <c r="E52" s="18">
        <f>E51+E41+E28+E25</f>
        <v>240651579.37692353</v>
      </c>
      <c r="F52" s="15">
        <f t="shared" si="60"/>
        <v>13730661.493076473</v>
      </c>
      <c r="G52" s="74">
        <f t="shared" si="61"/>
        <v>5.7056186909833828E-2</v>
      </c>
      <c r="H52" s="16">
        <f>H51+H41+H28+H25</f>
        <v>1678786792.1500001</v>
      </c>
      <c r="I52" s="16">
        <f>I51+I41+I28+I25</f>
        <v>1433415197.9122353</v>
      </c>
      <c r="J52" s="15">
        <f t="shared" si="62"/>
        <v>245371594.23776484</v>
      </c>
      <c r="K52" s="74">
        <f t="shared" si="63"/>
        <v>0.17117970745332389</v>
      </c>
      <c r="L52" s="16">
        <f>L51+L41+L28+L25</f>
        <v>2877324674.1737766</v>
      </c>
      <c r="M52" s="15">
        <f t="shared" si="64"/>
        <v>-1198537882.0237765</v>
      </c>
      <c r="N52" s="73">
        <f t="shared" si="65"/>
        <v>-0.41654592989855638</v>
      </c>
      <c r="O52" s="19">
        <f>O51+O41+O28+O25</f>
        <v>254382240.87</v>
      </c>
      <c r="P52" s="18">
        <f>P51+P41+P28+P25</f>
        <v>240651579.37692353</v>
      </c>
      <c r="Q52" s="15">
        <f t="shared" si="66"/>
        <v>13730661.493076473</v>
      </c>
      <c r="R52" s="74">
        <f t="shared" si="67"/>
        <v>5.7056186909833828E-2</v>
      </c>
      <c r="S52" s="16">
        <f>S51+S41+S28+S25</f>
        <v>1678786792.1500001</v>
      </c>
      <c r="T52" s="16">
        <f>T51+T41+T28+T25</f>
        <v>1433415197.9122353</v>
      </c>
      <c r="U52" s="15">
        <f t="shared" si="68"/>
        <v>245371594.23776484</v>
      </c>
      <c r="V52" s="74">
        <f t="shared" si="69"/>
        <v>0.17117970745332389</v>
      </c>
      <c r="W52" s="16">
        <f>W51+W41+W28+W25</f>
        <v>2877324674.1737766</v>
      </c>
      <c r="X52" s="15">
        <f t="shared" si="70"/>
        <v>-1198537882.0237765</v>
      </c>
      <c r="Y52" s="73">
        <f t="shared" si="71"/>
        <v>-0.41654592989855638</v>
      </c>
      <c r="Z52" s="19">
        <f>Z51+Z41+Z28+Z25</f>
        <v>254382240.87</v>
      </c>
      <c r="AA52" s="18">
        <f>AA51+AA41+AA28+AA25</f>
        <v>240651579.37692353</v>
      </c>
      <c r="AB52" s="15">
        <f t="shared" si="72"/>
        <v>13730661.493076473</v>
      </c>
      <c r="AC52" s="74">
        <f t="shared" si="73"/>
        <v>5.7056186909833828E-2</v>
      </c>
      <c r="AD52" s="16">
        <f>AD51+AD41+AD28+AD25</f>
        <v>1678786792.1500001</v>
      </c>
      <c r="AE52" s="16">
        <f>AE51+AE41+AE28+AE25</f>
        <v>1433415197.9122353</v>
      </c>
      <c r="AF52" s="15">
        <f t="shared" si="74"/>
        <v>245371594.23776484</v>
      </c>
      <c r="AG52" s="74">
        <f t="shared" si="75"/>
        <v>0.17117970745332389</v>
      </c>
      <c r="AH52" s="16">
        <f>AH51+AH41+AH28+AH25</f>
        <v>2877324674.1737766</v>
      </c>
      <c r="AI52" s="15">
        <f t="shared" si="76"/>
        <v>-1198537882.0237765</v>
      </c>
      <c r="AJ52" s="73">
        <f t="shared" si="77"/>
        <v>-0.41654592989855638</v>
      </c>
      <c r="AK52" s="19">
        <f>AK51+AK41+AK28+AK25</f>
        <v>254382240.87</v>
      </c>
      <c r="AL52" s="18">
        <f>AL51+AL41+AL28+AL25</f>
        <v>240651579.37692353</v>
      </c>
      <c r="AM52" s="15">
        <f t="shared" si="78"/>
        <v>13730661.493076473</v>
      </c>
      <c r="AN52" s="74">
        <f t="shared" si="79"/>
        <v>5.7056186909833828E-2</v>
      </c>
      <c r="AO52" s="16">
        <f>AO51+AO41+AO28+AO25</f>
        <v>1678786792.1500001</v>
      </c>
      <c r="AP52" s="16">
        <f>AP51+AP41+AP28+AP25</f>
        <v>1433415197.9122353</v>
      </c>
      <c r="AQ52" s="15">
        <f t="shared" si="80"/>
        <v>245371594.23776484</v>
      </c>
      <c r="AR52" s="74">
        <f t="shared" si="81"/>
        <v>0.17117970745332389</v>
      </c>
      <c r="AS52" s="16">
        <f>AS51+AS41+AS28+AS25</f>
        <v>2877324674.1737766</v>
      </c>
      <c r="AT52" s="15">
        <f t="shared" si="82"/>
        <v>-1198537882.0237765</v>
      </c>
      <c r="AU52" s="73">
        <f t="shared" si="83"/>
        <v>-0.41654592989855638</v>
      </c>
      <c r="AV52" s="19">
        <f>AV51+AV41+AV28+AV25</f>
        <v>254382240.87</v>
      </c>
      <c r="AW52" s="18">
        <f>AW51+AW41+AW28+AW25</f>
        <v>240651579.37692353</v>
      </c>
      <c r="AX52" s="15">
        <f t="shared" si="84"/>
        <v>13730661.493076473</v>
      </c>
      <c r="AY52" s="74">
        <f t="shared" si="85"/>
        <v>5.7056186909833828E-2</v>
      </c>
      <c r="AZ52" s="16">
        <f>AZ51+AZ41+AZ28+AZ25</f>
        <v>1678786792.1500001</v>
      </c>
      <c r="BA52" s="16">
        <f>BA51+BA41+BA28+BA25</f>
        <v>1433415197.9122353</v>
      </c>
      <c r="BB52" s="15">
        <f t="shared" si="86"/>
        <v>245371594.23776484</v>
      </c>
      <c r="BC52" s="74">
        <f t="shared" si="87"/>
        <v>0.17117970745332389</v>
      </c>
      <c r="BD52" s="16">
        <f>BD51+BD41+BD28+BD25</f>
        <v>2877324674.1737766</v>
      </c>
      <c r="BE52" s="15">
        <f t="shared" si="88"/>
        <v>-1198537882.0237765</v>
      </c>
      <c r="BF52" s="73">
        <f t="shared" si="89"/>
        <v>-0.41654592989855638</v>
      </c>
      <c r="BG52" s="19">
        <f>BG51+BG41+BG28+BG25</f>
        <v>254382240.87</v>
      </c>
      <c r="BH52" s="18">
        <f>BH51+BH41+BH28+BH25</f>
        <v>240651579.37692353</v>
      </c>
      <c r="BI52" s="15">
        <f t="shared" si="90"/>
        <v>13730661.493076473</v>
      </c>
      <c r="BJ52" s="74">
        <f t="shared" si="91"/>
        <v>5.7056186909833828E-2</v>
      </c>
      <c r="BK52" s="16">
        <f>BK51+BK41+BK28+BK25</f>
        <v>1678786792.1500001</v>
      </c>
      <c r="BL52" s="16">
        <f>BL51+BL41+BL28+BL25</f>
        <v>1433415197.9122353</v>
      </c>
      <c r="BM52" s="15">
        <f t="shared" si="92"/>
        <v>245371594.23776484</v>
      </c>
      <c r="BN52" s="74">
        <f t="shared" si="93"/>
        <v>0.17117970745332389</v>
      </c>
      <c r="BO52" s="16">
        <f>BO51+BO41+BO28+BO25</f>
        <v>2877324674.1737766</v>
      </c>
      <c r="BP52" s="15">
        <f t="shared" si="94"/>
        <v>-1198537882.0237765</v>
      </c>
      <c r="BQ52" s="73">
        <f t="shared" si="95"/>
        <v>-0.41654592989855638</v>
      </c>
      <c r="BR52" s="19">
        <f>BR51+BR41+BR28+BR25</f>
        <v>254382240.87</v>
      </c>
      <c r="BS52" s="18">
        <f>BS51+BS41+BS28+BS25</f>
        <v>240651579.37692353</v>
      </c>
      <c r="BT52" s="15">
        <f t="shared" si="96"/>
        <v>13730661.493076473</v>
      </c>
      <c r="BU52" s="74">
        <f t="shared" si="97"/>
        <v>5.7056186909833828E-2</v>
      </c>
      <c r="BV52" s="16">
        <f>BV51+BV41+BV28+BV25</f>
        <v>1678786792.1500001</v>
      </c>
      <c r="BW52" s="16">
        <f>BW51+BW41+BW28+BW25</f>
        <v>1433415197.9122353</v>
      </c>
      <c r="BX52" s="15">
        <f t="shared" si="98"/>
        <v>245371594.23776484</v>
      </c>
      <c r="BY52" s="74">
        <f t="shared" si="99"/>
        <v>0.17117970745332389</v>
      </c>
      <c r="BZ52" s="16">
        <f>BZ51+BZ41+BZ28+BZ25</f>
        <v>2877324674.1737766</v>
      </c>
      <c r="CA52" s="15">
        <f t="shared" si="100"/>
        <v>-1198537882.0237765</v>
      </c>
      <c r="CB52" s="73">
        <f t="shared" si="101"/>
        <v>-0.41654592989855638</v>
      </c>
      <c r="CC52" s="19">
        <f>CC51+CC41+CC28+CC25</f>
        <v>254382240.87</v>
      </c>
      <c r="CD52" s="18">
        <f>CD51+CD41+CD28+CD25</f>
        <v>240651579.37692353</v>
      </c>
      <c r="CE52" s="15">
        <f t="shared" si="102"/>
        <v>13730661.493076473</v>
      </c>
      <c r="CF52" s="74">
        <f t="shared" si="103"/>
        <v>5.7056186909833828E-2</v>
      </c>
      <c r="CG52" s="16">
        <f>CG51+CG41+CG28+CG25</f>
        <v>1678786792.1500001</v>
      </c>
      <c r="CH52" s="16">
        <f>CH51+CH41+CH28+CH25</f>
        <v>1433415197.9122353</v>
      </c>
      <c r="CI52" s="15">
        <f t="shared" si="104"/>
        <v>245371594.23776484</v>
      </c>
      <c r="CJ52" s="74">
        <f t="shared" si="105"/>
        <v>0.17117970745332389</v>
      </c>
      <c r="CK52" s="16">
        <f>CK51+CK41+CK28+CK25</f>
        <v>2877324674.1737766</v>
      </c>
      <c r="CL52" s="15">
        <f t="shared" si="106"/>
        <v>-1198537882.0237765</v>
      </c>
      <c r="CM52" s="73">
        <f t="shared" si="107"/>
        <v>-0.41654592989855638</v>
      </c>
      <c r="CN52" s="19">
        <f>CN51+CN41+CN28+CN25</f>
        <v>254382240.87</v>
      </c>
      <c r="CO52" s="18">
        <f>CO51+CO41+CO28+CO25</f>
        <v>240651579.37692353</v>
      </c>
      <c r="CP52" s="15">
        <f t="shared" si="108"/>
        <v>13730661.493076473</v>
      </c>
      <c r="CQ52" s="74">
        <f t="shared" si="109"/>
        <v>5.7056186909833828E-2</v>
      </c>
      <c r="CR52" s="16">
        <f>CR51+CR41+CR28+CR25</f>
        <v>1678786792.1500001</v>
      </c>
      <c r="CS52" s="16">
        <f>CS51+CS41+CS28+CS25</f>
        <v>1433415197.9122353</v>
      </c>
      <c r="CT52" s="15">
        <f t="shared" si="110"/>
        <v>245371594.23776484</v>
      </c>
      <c r="CU52" s="74">
        <f t="shared" si="111"/>
        <v>0.17117970745332389</v>
      </c>
      <c r="CV52" s="16">
        <f>CV51+CV41+CV28+CV25</f>
        <v>2877324674.1737766</v>
      </c>
      <c r="CW52" s="15">
        <f t="shared" si="112"/>
        <v>-1198537882.0237765</v>
      </c>
      <c r="CX52" s="73">
        <f t="shared" si="113"/>
        <v>-0.41654592989855638</v>
      </c>
      <c r="CY52" s="19">
        <f>CY51+CY41+CY28+CY25</f>
        <v>254382240.87</v>
      </c>
      <c r="CZ52" s="18">
        <f>CZ51+CZ41+CZ28+CZ25</f>
        <v>240651579.37692353</v>
      </c>
      <c r="DA52" s="15">
        <f t="shared" si="114"/>
        <v>13730661.493076473</v>
      </c>
      <c r="DB52" s="74">
        <f t="shared" si="115"/>
        <v>5.7056186909833828E-2</v>
      </c>
      <c r="DC52" s="16">
        <f>DC51+DC41+DC28+DC25</f>
        <v>1678786792.1500001</v>
      </c>
      <c r="DD52" s="16">
        <f>DD51+DD41+DD28+DD25</f>
        <v>1433415197.9122353</v>
      </c>
      <c r="DE52" s="15">
        <f t="shared" si="116"/>
        <v>245371594.23776484</v>
      </c>
      <c r="DF52" s="74">
        <f t="shared" si="117"/>
        <v>0.17117970745332389</v>
      </c>
      <c r="DG52" s="16">
        <f>DG51+DG41+DG28+DG25</f>
        <v>2877324674.1737766</v>
      </c>
      <c r="DH52" s="15">
        <f t="shared" si="118"/>
        <v>-1198537882.0237765</v>
      </c>
      <c r="DI52" s="73">
        <f t="shared" si="119"/>
        <v>-0.41654592989855638</v>
      </c>
    </row>
    <row r="53" spans="1:113" ht="12.75" hidden="1" customHeight="1" outlineLevel="3" x14ac:dyDescent="0.2">
      <c r="B53" s="38" t="s">
        <v>45</v>
      </c>
      <c r="C53" s="37" t="s">
        <v>44</v>
      </c>
      <c r="D53" s="36">
        <v>0</v>
      </c>
      <c r="E53" s="40">
        <v>0</v>
      </c>
      <c r="F53" s="32">
        <f t="shared" si="60"/>
        <v>0</v>
      </c>
      <c r="G53" s="78" t="str">
        <f t="shared" si="61"/>
        <v>-</v>
      </c>
      <c r="H53" s="33">
        <v>0</v>
      </c>
      <c r="I53" s="33">
        <v>0</v>
      </c>
      <c r="J53" s="32">
        <f t="shared" si="62"/>
        <v>0</v>
      </c>
      <c r="K53" s="78" t="str">
        <f t="shared" si="63"/>
        <v>-</v>
      </c>
      <c r="L53" s="33">
        <v>0</v>
      </c>
      <c r="M53" s="32">
        <f t="shared" si="64"/>
        <v>0</v>
      </c>
      <c r="N53" s="77" t="str">
        <f t="shared" si="65"/>
        <v>-</v>
      </c>
      <c r="O53" s="36">
        <v>0</v>
      </c>
      <c r="P53" s="40">
        <v>0</v>
      </c>
      <c r="Q53" s="32">
        <f t="shared" si="66"/>
        <v>0</v>
      </c>
      <c r="R53" s="78" t="str">
        <f t="shared" si="67"/>
        <v>-</v>
      </c>
      <c r="S53" s="33">
        <v>0</v>
      </c>
      <c r="T53" s="33">
        <v>0</v>
      </c>
      <c r="U53" s="32">
        <f t="shared" si="68"/>
        <v>0</v>
      </c>
      <c r="V53" s="78" t="str">
        <f t="shared" si="69"/>
        <v>-</v>
      </c>
      <c r="W53" s="33">
        <v>0</v>
      </c>
      <c r="X53" s="32">
        <f t="shared" si="70"/>
        <v>0</v>
      </c>
      <c r="Y53" s="77" t="str">
        <f t="shared" si="71"/>
        <v>-</v>
      </c>
      <c r="Z53" s="36">
        <v>0</v>
      </c>
      <c r="AA53" s="40">
        <v>0</v>
      </c>
      <c r="AB53" s="32">
        <f t="shared" si="72"/>
        <v>0</v>
      </c>
      <c r="AC53" s="78" t="str">
        <f t="shared" si="73"/>
        <v>-</v>
      </c>
      <c r="AD53" s="33">
        <v>0</v>
      </c>
      <c r="AE53" s="33">
        <v>0</v>
      </c>
      <c r="AF53" s="32">
        <f t="shared" si="74"/>
        <v>0</v>
      </c>
      <c r="AG53" s="78" t="str">
        <f t="shared" si="75"/>
        <v>-</v>
      </c>
      <c r="AH53" s="33">
        <v>0</v>
      </c>
      <c r="AI53" s="32">
        <f t="shared" si="76"/>
        <v>0</v>
      </c>
      <c r="AJ53" s="77" t="str">
        <f t="shared" si="77"/>
        <v>-</v>
      </c>
      <c r="AK53" s="36">
        <v>0</v>
      </c>
      <c r="AL53" s="40">
        <v>0</v>
      </c>
      <c r="AM53" s="32">
        <f t="shared" si="78"/>
        <v>0</v>
      </c>
      <c r="AN53" s="78" t="str">
        <f t="shared" si="79"/>
        <v>-</v>
      </c>
      <c r="AO53" s="33">
        <v>0</v>
      </c>
      <c r="AP53" s="33">
        <v>0</v>
      </c>
      <c r="AQ53" s="32">
        <f t="shared" si="80"/>
        <v>0</v>
      </c>
      <c r="AR53" s="78" t="str">
        <f t="shared" si="81"/>
        <v>-</v>
      </c>
      <c r="AS53" s="33">
        <v>0</v>
      </c>
      <c r="AT53" s="32">
        <f t="shared" si="82"/>
        <v>0</v>
      </c>
      <c r="AU53" s="77" t="str">
        <f t="shared" si="83"/>
        <v>-</v>
      </c>
      <c r="AV53" s="36">
        <v>0</v>
      </c>
      <c r="AW53" s="40">
        <v>0</v>
      </c>
      <c r="AX53" s="32">
        <f t="shared" si="84"/>
        <v>0</v>
      </c>
      <c r="AY53" s="78" t="str">
        <f t="shared" si="85"/>
        <v>-</v>
      </c>
      <c r="AZ53" s="33">
        <v>0</v>
      </c>
      <c r="BA53" s="33">
        <v>0</v>
      </c>
      <c r="BB53" s="32">
        <f t="shared" si="86"/>
        <v>0</v>
      </c>
      <c r="BC53" s="78" t="str">
        <f t="shared" si="87"/>
        <v>-</v>
      </c>
      <c r="BD53" s="33">
        <v>0</v>
      </c>
      <c r="BE53" s="32">
        <f t="shared" si="88"/>
        <v>0</v>
      </c>
      <c r="BF53" s="77" t="str">
        <f t="shared" si="89"/>
        <v>-</v>
      </c>
      <c r="BG53" s="36">
        <v>0</v>
      </c>
      <c r="BH53" s="40">
        <v>0</v>
      </c>
      <c r="BI53" s="32">
        <f t="shared" si="90"/>
        <v>0</v>
      </c>
      <c r="BJ53" s="78" t="str">
        <f t="shared" si="91"/>
        <v>-</v>
      </c>
      <c r="BK53" s="33">
        <v>0</v>
      </c>
      <c r="BL53" s="33">
        <v>0</v>
      </c>
      <c r="BM53" s="32">
        <f t="shared" si="92"/>
        <v>0</v>
      </c>
      <c r="BN53" s="78" t="str">
        <f t="shared" si="93"/>
        <v>-</v>
      </c>
      <c r="BO53" s="33">
        <v>0</v>
      </c>
      <c r="BP53" s="32">
        <f t="shared" si="94"/>
        <v>0</v>
      </c>
      <c r="BQ53" s="77" t="str">
        <f t="shared" si="95"/>
        <v>-</v>
      </c>
      <c r="BR53" s="36">
        <v>0</v>
      </c>
      <c r="BS53" s="40">
        <v>0</v>
      </c>
      <c r="BT53" s="32">
        <f t="shared" si="96"/>
        <v>0</v>
      </c>
      <c r="BU53" s="78" t="str">
        <f t="shared" si="97"/>
        <v>-</v>
      </c>
      <c r="BV53" s="33">
        <v>0</v>
      </c>
      <c r="BW53" s="33">
        <v>0</v>
      </c>
      <c r="BX53" s="32">
        <f t="shared" si="98"/>
        <v>0</v>
      </c>
      <c r="BY53" s="78" t="str">
        <f t="shared" si="99"/>
        <v>-</v>
      </c>
      <c r="BZ53" s="33">
        <v>0</v>
      </c>
      <c r="CA53" s="32">
        <f t="shared" si="100"/>
        <v>0</v>
      </c>
      <c r="CB53" s="77" t="str">
        <f t="shared" si="101"/>
        <v>-</v>
      </c>
      <c r="CC53" s="36">
        <v>0</v>
      </c>
      <c r="CD53" s="40">
        <v>0</v>
      </c>
      <c r="CE53" s="32">
        <f t="shared" si="102"/>
        <v>0</v>
      </c>
      <c r="CF53" s="78" t="str">
        <f t="shared" si="103"/>
        <v>-</v>
      </c>
      <c r="CG53" s="33">
        <v>0</v>
      </c>
      <c r="CH53" s="33">
        <v>0</v>
      </c>
      <c r="CI53" s="32">
        <f t="shared" si="104"/>
        <v>0</v>
      </c>
      <c r="CJ53" s="78" t="str">
        <f t="shared" si="105"/>
        <v>-</v>
      </c>
      <c r="CK53" s="33">
        <v>0</v>
      </c>
      <c r="CL53" s="32">
        <f t="shared" si="106"/>
        <v>0</v>
      </c>
      <c r="CM53" s="77" t="str">
        <f t="shared" si="107"/>
        <v>-</v>
      </c>
      <c r="CN53" s="36">
        <v>0</v>
      </c>
      <c r="CO53" s="40">
        <v>0</v>
      </c>
      <c r="CP53" s="32">
        <f t="shared" si="108"/>
        <v>0</v>
      </c>
      <c r="CQ53" s="78" t="str">
        <f t="shared" si="109"/>
        <v>-</v>
      </c>
      <c r="CR53" s="33">
        <v>0</v>
      </c>
      <c r="CS53" s="33">
        <v>0</v>
      </c>
      <c r="CT53" s="32">
        <f t="shared" si="110"/>
        <v>0</v>
      </c>
      <c r="CU53" s="78" t="str">
        <f t="shared" si="111"/>
        <v>-</v>
      </c>
      <c r="CV53" s="33">
        <v>0</v>
      </c>
      <c r="CW53" s="32">
        <f t="shared" si="112"/>
        <v>0</v>
      </c>
      <c r="CX53" s="77" t="str">
        <f t="shared" si="113"/>
        <v>-</v>
      </c>
      <c r="CY53" s="36">
        <v>0</v>
      </c>
      <c r="CZ53" s="40">
        <v>0</v>
      </c>
      <c r="DA53" s="32">
        <f t="shared" si="114"/>
        <v>0</v>
      </c>
      <c r="DB53" s="78" t="str">
        <f t="shared" si="115"/>
        <v>-</v>
      </c>
      <c r="DC53" s="33">
        <v>0</v>
      </c>
      <c r="DD53" s="33">
        <v>0</v>
      </c>
      <c r="DE53" s="32">
        <f t="shared" si="116"/>
        <v>0</v>
      </c>
      <c r="DF53" s="78" t="str">
        <f t="shared" si="117"/>
        <v>-</v>
      </c>
      <c r="DG53" s="33">
        <v>0</v>
      </c>
      <c r="DH53" s="32">
        <f t="shared" si="118"/>
        <v>0</v>
      </c>
      <c r="DI53" s="77" t="str">
        <f t="shared" si="119"/>
        <v>-</v>
      </c>
    </row>
    <row r="54" spans="1:113" ht="12.75" hidden="1" customHeight="1" outlineLevel="3" x14ac:dyDescent="0.2">
      <c r="B54" s="38" t="s">
        <v>49</v>
      </c>
      <c r="C54" s="37" t="s">
        <v>48</v>
      </c>
      <c r="D54" s="36">
        <v>0</v>
      </c>
      <c r="E54" s="40">
        <v>0</v>
      </c>
      <c r="F54" s="32">
        <f t="shared" si="60"/>
        <v>0</v>
      </c>
      <c r="G54" s="78" t="str">
        <f t="shared" si="61"/>
        <v>-</v>
      </c>
      <c r="H54" s="33">
        <v>0</v>
      </c>
      <c r="I54" s="33">
        <v>0</v>
      </c>
      <c r="J54" s="32">
        <f t="shared" si="62"/>
        <v>0</v>
      </c>
      <c r="K54" s="78" t="str">
        <f t="shared" si="63"/>
        <v>-</v>
      </c>
      <c r="L54" s="33">
        <v>0</v>
      </c>
      <c r="M54" s="32">
        <f t="shared" si="64"/>
        <v>0</v>
      </c>
      <c r="N54" s="77" t="str">
        <f t="shared" si="65"/>
        <v>-</v>
      </c>
      <c r="O54" s="36">
        <v>0</v>
      </c>
      <c r="P54" s="40">
        <v>0</v>
      </c>
      <c r="Q54" s="32">
        <f t="shared" si="66"/>
        <v>0</v>
      </c>
      <c r="R54" s="78" t="str">
        <f t="shared" si="67"/>
        <v>-</v>
      </c>
      <c r="S54" s="33">
        <v>0</v>
      </c>
      <c r="T54" s="33">
        <v>0</v>
      </c>
      <c r="U54" s="32">
        <f t="shared" si="68"/>
        <v>0</v>
      </c>
      <c r="V54" s="78" t="str">
        <f t="shared" si="69"/>
        <v>-</v>
      </c>
      <c r="W54" s="33">
        <v>0</v>
      </c>
      <c r="X54" s="32">
        <f t="shared" si="70"/>
        <v>0</v>
      </c>
      <c r="Y54" s="77" t="str">
        <f t="shared" si="71"/>
        <v>-</v>
      </c>
      <c r="Z54" s="36">
        <v>0</v>
      </c>
      <c r="AA54" s="40">
        <v>0</v>
      </c>
      <c r="AB54" s="32">
        <f t="shared" si="72"/>
        <v>0</v>
      </c>
      <c r="AC54" s="78" t="str">
        <f t="shared" si="73"/>
        <v>-</v>
      </c>
      <c r="AD54" s="33">
        <v>0</v>
      </c>
      <c r="AE54" s="33">
        <v>0</v>
      </c>
      <c r="AF54" s="32">
        <f t="shared" si="74"/>
        <v>0</v>
      </c>
      <c r="AG54" s="78" t="str">
        <f t="shared" si="75"/>
        <v>-</v>
      </c>
      <c r="AH54" s="33">
        <v>0</v>
      </c>
      <c r="AI54" s="32">
        <f t="shared" si="76"/>
        <v>0</v>
      </c>
      <c r="AJ54" s="77" t="str">
        <f t="shared" si="77"/>
        <v>-</v>
      </c>
      <c r="AK54" s="36">
        <v>0</v>
      </c>
      <c r="AL54" s="40">
        <v>0</v>
      </c>
      <c r="AM54" s="32">
        <f t="shared" si="78"/>
        <v>0</v>
      </c>
      <c r="AN54" s="78" t="str">
        <f t="shared" si="79"/>
        <v>-</v>
      </c>
      <c r="AO54" s="33">
        <v>0</v>
      </c>
      <c r="AP54" s="33">
        <v>0</v>
      </c>
      <c r="AQ54" s="32">
        <f t="shared" si="80"/>
        <v>0</v>
      </c>
      <c r="AR54" s="78" t="str">
        <f t="shared" si="81"/>
        <v>-</v>
      </c>
      <c r="AS54" s="33">
        <v>0</v>
      </c>
      <c r="AT54" s="32">
        <f t="shared" si="82"/>
        <v>0</v>
      </c>
      <c r="AU54" s="77" t="str">
        <f t="shared" si="83"/>
        <v>-</v>
      </c>
      <c r="AV54" s="36">
        <v>0</v>
      </c>
      <c r="AW54" s="40">
        <v>0</v>
      </c>
      <c r="AX54" s="32">
        <f t="shared" si="84"/>
        <v>0</v>
      </c>
      <c r="AY54" s="78" t="str">
        <f t="shared" si="85"/>
        <v>-</v>
      </c>
      <c r="AZ54" s="33">
        <v>0</v>
      </c>
      <c r="BA54" s="33">
        <v>0</v>
      </c>
      <c r="BB54" s="32">
        <f t="shared" si="86"/>
        <v>0</v>
      </c>
      <c r="BC54" s="78" t="str">
        <f t="shared" si="87"/>
        <v>-</v>
      </c>
      <c r="BD54" s="33">
        <v>0</v>
      </c>
      <c r="BE54" s="32">
        <f t="shared" si="88"/>
        <v>0</v>
      </c>
      <c r="BF54" s="77" t="str">
        <f t="shared" si="89"/>
        <v>-</v>
      </c>
      <c r="BG54" s="36">
        <v>0</v>
      </c>
      <c r="BH54" s="40">
        <v>0</v>
      </c>
      <c r="BI54" s="32">
        <f t="shared" si="90"/>
        <v>0</v>
      </c>
      <c r="BJ54" s="78" t="str">
        <f t="shared" si="91"/>
        <v>-</v>
      </c>
      <c r="BK54" s="33">
        <v>0</v>
      </c>
      <c r="BL54" s="33">
        <v>0</v>
      </c>
      <c r="BM54" s="32">
        <f t="shared" si="92"/>
        <v>0</v>
      </c>
      <c r="BN54" s="78" t="str">
        <f t="shared" si="93"/>
        <v>-</v>
      </c>
      <c r="BO54" s="33">
        <v>0</v>
      </c>
      <c r="BP54" s="32">
        <f t="shared" si="94"/>
        <v>0</v>
      </c>
      <c r="BQ54" s="77" t="str">
        <f t="shared" si="95"/>
        <v>-</v>
      </c>
      <c r="BR54" s="36">
        <v>0</v>
      </c>
      <c r="BS54" s="40">
        <v>0</v>
      </c>
      <c r="BT54" s="32">
        <f t="shared" si="96"/>
        <v>0</v>
      </c>
      <c r="BU54" s="78" t="str">
        <f t="shared" si="97"/>
        <v>-</v>
      </c>
      <c r="BV54" s="33">
        <v>0</v>
      </c>
      <c r="BW54" s="33">
        <v>0</v>
      </c>
      <c r="BX54" s="32">
        <f t="shared" si="98"/>
        <v>0</v>
      </c>
      <c r="BY54" s="78" t="str">
        <f t="shared" si="99"/>
        <v>-</v>
      </c>
      <c r="BZ54" s="33">
        <v>0</v>
      </c>
      <c r="CA54" s="32">
        <f t="shared" si="100"/>
        <v>0</v>
      </c>
      <c r="CB54" s="77" t="str">
        <f t="shared" si="101"/>
        <v>-</v>
      </c>
      <c r="CC54" s="36">
        <v>0</v>
      </c>
      <c r="CD54" s="40">
        <v>0</v>
      </c>
      <c r="CE54" s="32">
        <f t="shared" si="102"/>
        <v>0</v>
      </c>
      <c r="CF54" s="78" t="str">
        <f t="shared" si="103"/>
        <v>-</v>
      </c>
      <c r="CG54" s="33">
        <v>0</v>
      </c>
      <c r="CH54" s="33">
        <v>0</v>
      </c>
      <c r="CI54" s="32">
        <f t="shared" si="104"/>
        <v>0</v>
      </c>
      <c r="CJ54" s="78" t="str">
        <f t="shared" si="105"/>
        <v>-</v>
      </c>
      <c r="CK54" s="33">
        <v>0</v>
      </c>
      <c r="CL54" s="32">
        <f t="shared" si="106"/>
        <v>0</v>
      </c>
      <c r="CM54" s="77" t="str">
        <f t="shared" si="107"/>
        <v>-</v>
      </c>
      <c r="CN54" s="36">
        <v>0</v>
      </c>
      <c r="CO54" s="40">
        <v>0</v>
      </c>
      <c r="CP54" s="32">
        <f t="shared" si="108"/>
        <v>0</v>
      </c>
      <c r="CQ54" s="78" t="str">
        <f t="shared" si="109"/>
        <v>-</v>
      </c>
      <c r="CR54" s="33">
        <v>0</v>
      </c>
      <c r="CS54" s="33">
        <v>0</v>
      </c>
      <c r="CT54" s="32">
        <f t="shared" si="110"/>
        <v>0</v>
      </c>
      <c r="CU54" s="78" t="str">
        <f t="shared" si="111"/>
        <v>-</v>
      </c>
      <c r="CV54" s="33">
        <v>0</v>
      </c>
      <c r="CW54" s="32">
        <f t="shared" si="112"/>
        <v>0</v>
      </c>
      <c r="CX54" s="77" t="str">
        <f t="shared" si="113"/>
        <v>-</v>
      </c>
      <c r="CY54" s="36">
        <v>0</v>
      </c>
      <c r="CZ54" s="40">
        <v>0</v>
      </c>
      <c r="DA54" s="32">
        <f t="shared" si="114"/>
        <v>0</v>
      </c>
      <c r="DB54" s="78" t="str">
        <f t="shared" si="115"/>
        <v>-</v>
      </c>
      <c r="DC54" s="33">
        <v>0</v>
      </c>
      <c r="DD54" s="33">
        <v>0</v>
      </c>
      <c r="DE54" s="32">
        <f t="shared" si="116"/>
        <v>0</v>
      </c>
      <c r="DF54" s="78" t="str">
        <f t="shared" si="117"/>
        <v>-</v>
      </c>
      <c r="DG54" s="33">
        <v>0</v>
      </c>
      <c r="DH54" s="32">
        <f t="shared" si="118"/>
        <v>0</v>
      </c>
      <c r="DI54" s="77" t="str">
        <f t="shared" si="119"/>
        <v>-</v>
      </c>
    </row>
    <row r="55" spans="1:113" s="6" customFormat="1" ht="14.45" customHeight="1" outlineLevel="1" collapsed="1" x14ac:dyDescent="0.2">
      <c r="A55" s="30"/>
      <c r="B55" s="48" t="s">
        <v>47</v>
      </c>
      <c r="C55" s="47" t="s">
        <v>46</v>
      </c>
      <c r="D55" s="46">
        <f>SUM(D53:D54)</f>
        <v>0</v>
      </c>
      <c r="E55" s="45">
        <f>SUM(E53:E54)</f>
        <v>0</v>
      </c>
      <c r="F55" s="23">
        <f t="shared" si="60"/>
        <v>0</v>
      </c>
      <c r="G55" s="76" t="str">
        <f t="shared" si="61"/>
        <v>-</v>
      </c>
      <c r="H55" s="44">
        <f>SUM(H53:H54)</f>
        <v>0</v>
      </c>
      <c r="I55" s="44">
        <f>SUM(I53:I54)</f>
        <v>0</v>
      </c>
      <c r="J55" s="23">
        <f t="shared" si="62"/>
        <v>0</v>
      </c>
      <c r="K55" s="76" t="str">
        <f t="shared" si="63"/>
        <v>-</v>
      </c>
      <c r="L55" s="44">
        <f>SUM(L53:L54)</f>
        <v>0</v>
      </c>
      <c r="M55" s="23">
        <f t="shared" si="64"/>
        <v>0</v>
      </c>
      <c r="N55" s="75" t="str">
        <f t="shared" si="65"/>
        <v>-</v>
      </c>
      <c r="O55" s="46">
        <f>SUM(O53:O54)</f>
        <v>0</v>
      </c>
      <c r="P55" s="45">
        <f>SUM(P53:P54)</f>
        <v>0</v>
      </c>
      <c r="Q55" s="23">
        <f t="shared" si="66"/>
        <v>0</v>
      </c>
      <c r="R55" s="76" t="str">
        <f t="shared" si="67"/>
        <v>-</v>
      </c>
      <c r="S55" s="44">
        <f>SUM(S53:S54)</f>
        <v>0</v>
      </c>
      <c r="T55" s="44">
        <f>SUM(T53:T54)</f>
        <v>0</v>
      </c>
      <c r="U55" s="23">
        <f t="shared" si="68"/>
        <v>0</v>
      </c>
      <c r="V55" s="76" t="str">
        <f t="shared" si="69"/>
        <v>-</v>
      </c>
      <c r="W55" s="44">
        <f>SUM(W53:W54)</f>
        <v>0</v>
      </c>
      <c r="X55" s="23">
        <f t="shared" si="70"/>
        <v>0</v>
      </c>
      <c r="Y55" s="75" t="str">
        <f t="shared" si="71"/>
        <v>-</v>
      </c>
      <c r="Z55" s="46">
        <f>SUM(Z53:Z54)</f>
        <v>0</v>
      </c>
      <c r="AA55" s="45">
        <f>SUM(AA53:AA54)</f>
        <v>0</v>
      </c>
      <c r="AB55" s="23">
        <f t="shared" si="72"/>
        <v>0</v>
      </c>
      <c r="AC55" s="76" t="str">
        <f t="shared" si="73"/>
        <v>-</v>
      </c>
      <c r="AD55" s="44">
        <f>SUM(AD53:AD54)</f>
        <v>0</v>
      </c>
      <c r="AE55" s="44">
        <f>SUM(AE53:AE54)</f>
        <v>0</v>
      </c>
      <c r="AF55" s="23">
        <f t="shared" si="74"/>
        <v>0</v>
      </c>
      <c r="AG55" s="76" t="str">
        <f t="shared" si="75"/>
        <v>-</v>
      </c>
      <c r="AH55" s="44">
        <f>SUM(AH53:AH54)</f>
        <v>0</v>
      </c>
      <c r="AI55" s="23">
        <f t="shared" si="76"/>
        <v>0</v>
      </c>
      <c r="AJ55" s="75" t="str">
        <f t="shared" si="77"/>
        <v>-</v>
      </c>
      <c r="AK55" s="46">
        <f>SUM(AK53:AK54)</f>
        <v>0</v>
      </c>
      <c r="AL55" s="45">
        <f>SUM(AL53:AL54)</f>
        <v>0</v>
      </c>
      <c r="AM55" s="23">
        <f t="shared" si="78"/>
        <v>0</v>
      </c>
      <c r="AN55" s="76" t="str">
        <f t="shared" si="79"/>
        <v>-</v>
      </c>
      <c r="AO55" s="44">
        <f>SUM(AO53:AO54)</f>
        <v>0</v>
      </c>
      <c r="AP55" s="44">
        <f>SUM(AP53:AP54)</f>
        <v>0</v>
      </c>
      <c r="AQ55" s="23">
        <f t="shared" si="80"/>
        <v>0</v>
      </c>
      <c r="AR55" s="76" t="str">
        <f t="shared" si="81"/>
        <v>-</v>
      </c>
      <c r="AS55" s="44">
        <f>SUM(AS53:AS54)</f>
        <v>0</v>
      </c>
      <c r="AT55" s="23">
        <f t="shared" si="82"/>
        <v>0</v>
      </c>
      <c r="AU55" s="75" t="str">
        <f t="shared" si="83"/>
        <v>-</v>
      </c>
      <c r="AV55" s="46">
        <f>SUM(AV53:AV54)</f>
        <v>0</v>
      </c>
      <c r="AW55" s="45">
        <f>SUM(AW53:AW54)</f>
        <v>0</v>
      </c>
      <c r="AX55" s="23">
        <f t="shared" si="84"/>
        <v>0</v>
      </c>
      <c r="AY55" s="76" t="str">
        <f t="shared" si="85"/>
        <v>-</v>
      </c>
      <c r="AZ55" s="44">
        <f>SUM(AZ53:AZ54)</f>
        <v>0</v>
      </c>
      <c r="BA55" s="44">
        <f>SUM(BA53:BA54)</f>
        <v>0</v>
      </c>
      <c r="BB55" s="23">
        <f t="shared" si="86"/>
        <v>0</v>
      </c>
      <c r="BC55" s="76" t="str">
        <f t="shared" si="87"/>
        <v>-</v>
      </c>
      <c r="BD55" s="44">
        <f>SUM(BD53:BD54)</f>
        <v>0</v>
      </c>
      <c r="BE55" s="23">
        <f t="shared" si="88"/>
        <v>0</v>
      </c>
      <c r="BF55" s="75" t="str">
        <f t="shared" si="89"/>
        <v>-</v>
      </c>
      <c r="BG55" s="46">
        <f>SUM(BG53:BG54)</f>
        <v>0</v>
      </c>
      <c r="BH55" s="45">
        <f>SUM(BH53:BH54)</f>
        <v>0</v>
      </c>
      <c r="BI55" s="23">
        <f t="shared" si="90"/>
        <v>0</v>
      </c>
      <c r="BJ55" s="76" t="str">
        <f t="shared" si="91"/>
        <v>-</v>
      </c>
      <c r="BK55" s="44">
        <f>SUM(BK53:BK54)</f>
        <v>0</v>
      </c>
      <c r="BL55" s="44">
        <f>SUM(BL53:BL54)</f>
        <v>0</v>
      </c>
      <c r="BM55" s="23">
        <f t="shared" si="92"/>
        <v>0</v>
      </c>
      <c r="BN55" s="76" t="str">
        <f t="shared" si="93"/>
        <v>-</v>
      </c>
      <c r="BO55" s="44">
        <f>SUM(BO53:BO54)</f>
        <v>0</v>
      </c>
      <c r="BP55" s="23">
        <f t="shared" si="94"/>
        <v>0</v>
      </c>
      <c r="BQ55" s="75" t="str">
        <f t="shared" si="95"/>
        <v>-</v>
      </c>
      <c r="BR55" s="46">
        <f>SUM(BR53:BR54)</f>
        <v>0</v>
      </c>
      <c r="BS55" s="45">
        <f>SUM(BS53:BS54)</f>
        <v>0</v>
      </c>
      <c r="BT55" s="23">
        <f t="shared" si="96"/>
        <v>0</v>
      </c>
      <c r="BU55" s="76" t="str">
        <f t="shared" si="97"/>
        <v>-</v>
      </c>
      <c r="BV55" s="44">
        <f>SUM(BV53:BV54)</f>
        <v>0</v>
      </c>
      <c r="BW55" s="44">
        <f>SUM(BW53:BW54)</f>
        <v>0</v>
      </c>
      <c r="BX55" s="23">
        <f t="shared" si="98"/>
        <v>0</v>
      </c>
      <c r="BY55" s="76" t="str">
        <f t="shared" si="99"/>
        <v>-</v>
      </c>
      <c r="BZ55" s="44">
        <f>SUM(BZ53:BZ54)</f>
        <v>0</v>
      </c>
      <c r="CA55" s="23">
        <f t="shared" si="100"/>
        <v>0</v>
      </c>
      <c r="CB55" s="75" t="str">
        <f t="shared" si="101"/>
        <v>-</v>
      </c>
      <c r="CC55" s="46">
        <f>SUM(CC53:CC54)</f>
        <v>0</v>
      </c>
      <c r="CD55" s="45">
        <f>SUM(CD53:CD54)</f>
        <v>0</v>
      </c>
      <c r="CE55" s="23">
        <f t="shared" si="102"/>
        <v>0</v>
      </c>
      <c r="CF55" s="76" t="str">
        <f t="shared" si="103"/>
        <v>-</v>
      </c>
      <c r="CG55" s="44">
        <f>SUM(CG53:CG54)</f>
        <v>0</v>
      </c>
      <c r="CH55" s="44">
        <f>SUM(CH53:CH54)</f>
        <v>0</v>
      </c>
      <c r="CI55" s="23">
        <f t="shared" si="104"/>
        <v>0</v>
      </c>
      <c r="CJ55" s="76" t="str">
        <f t="shared" si="105"/>
        <v>-</v>
      </c>
      <c r="CK55" s="44">
        <f>SUM(CK53:CK54)</f>
        <v>0</v>
      </c>
      <c r="CL55" s="23">
        <f t="shared" si="106"/>
        <v>0</v>
      </c>
      <c r="CM55" s="75" t="str">
        <f t="shared" si="107"/>
        <v>-</v>
      </c>
      <c r="CN55" s="46">
        <f>SUM(CN53:CN54)</f>
        <v>0</v>
      </c>
      <c r="CO55" s="45">
        <f>SUM(CO53:CO54)</f>
        <v>0</v>
      </c>
      <c r="CP55" s="23">
        <f t="shared" si="108"/>
        <v>0</v>
      </c>
      <c r="CQ55" s="76" t="str">
        <f t="shared" si="109"/>
        <v>-</v>
      </c>
      <c r="CR55" s="44">
        <f>SUM(CR53:CR54)</f>
        <v>0</v>
      </c>
      <c r="CS55" s="44">
        <f>SUM(CS53:CS54)</f>
        <v>0</v>
      </c>
      <c r="CT55" s="23">
        <f t="shared" si="110"/>
        <v>0</v>
      </c>
      <c r="CU55" s="76" t="str">
        <f t="shared" si="111"/>
        <v>-</v>
      </c>
      <c r="CV55" s="44">
        <f>SUM(CV53:CV54)</f>
        <v>0</v>
      </c>
      <c r="CW55" s="23">
        <f t="shared" si="112"/>
        <v>0</v>
      </c>
      <c r="CX55" s="75" t="str">
        <f t="shared" si="113"/>
        <v>-</v>
      </c>
      <c r="CY55" s="46">
        <f>SUM(CY53:CY54)</f>
        <v>0</v>
      </c>
      <c r="CZ55" s="45">
        <f>SUM(CZ53:CZ54)</f>
        <v>0</v>
      </c>
      <c r="DA55" s="23">
        <f t="shared" si="114"/>
        <v>0</v>
      </c>
      <c r="DB55" s="76" t="str">
        <f t="shared" si="115"/>
        <v>-</v>
      </c>
      <c r="DC55" s="44">
        <f>SUM(DC53:DC54)</f>
        <v>0</v>
      </c>
      <c r="DD55" s="44">
        <f>SUM(DD53:DD54)</f>
        <v>0</v>
      </c>
      <c r="DE55" s="23">
        <f t="shared" si="116"/>
        <v>0</v>
      </c>
      <c r="DF55" s="76" t="str">
        <f t="shared" si="117"/>
        <v>-</v>
      </c>
      <c r="DG55" s="44">
        <f>SUM(DG53:DG54)</f>
        <v>0</v>
      </c>
      <c r="DH55" s="23">
        <f t="shared" si="118"/>
        <v>0</v>
      </c>
      <c r="DI55" s="75" t="str">
        <f t="shared" si="119"/>
        <v>-</v>
      </c>
    </row>
    <row r="56" spans="1:113" s="6" customFormat="1" ht="15.75" customHeight="1" x14ac:dyDescent="0.2">
      <c r="B56" s="21" t="s">
        <v>45</v>
      </c>
      <c r="C56" s="20" t="s">
        <v>44</v>
      </c>
      <c r="D56" s="19">
        <f>D55</f>
        <v>0</v>
      </c>
      <c r="E56" s="18">
        <f>E55</f>
        <v>0</v>
      </c>
      <c r="F56" s="15">
        <f t="shared" si="60"/>
        <v>0</v>
      </c>
      <c r="G56" s="74" t="str">
        <f t="shared" si="61"/>
        <v>-</v>
      </c>
      <c r="H56" s="16">
        <f>H55</f>
        <v>0</v>
      </c>
      <c r="I56" s="16">
        <f>I55</f>
        <v>0</v>
      </c>
      <c r="J56" s="15">
        <f t="shared" si="62"/>
        <v>0</v>
      </c>
      <c r="K56" s="74" t="str">
        <f t="shared" si="63"/>
        <v>-</v>
      </c>
      <c r="L56" s="16">
        <f>L55</f>
        <v>0</v>
      </c>
      <c r="M56" s="15">
        <f t="shared" si="64"/>
        <v>0</v>
      </c>
      <c r="N56" s="73" t="str">
        <f t="shared" si="65"/>
        <v>-</v>
      </c>
      <c r="O56" s="19">
        <f>O55</f>
        <v>0</v>
      </c>
      <c r="P56" s="18">
        <f>P55</f>
        <v>0</v>
      </c>
      <c r="Q56" s="15">
        <f t="shared" si="66"/>
        <v>0</v>
      </c>
      <c r="R56" s="74" t="str">
        <f t="shared" si="67"/>
        <v>-</v>
      </c>
      <c r="S56" s="16">
        <f>S55</f>
        <v>0</v>
      </c>
      <c r="T56" s="16">
        <f>T55</f>
        <v>0</v>
      </c>
      <c r="U56" s="15">
        <f t="shared" si="68"/>
        <v>0</v>
      </c>
      <c r="V56" s="74" t="str">
        <f t="shared" si="69"/>
        <v>-</v>
      </c>
      <c r="W56" s="16">
        <f>W55</f>
        <v>0</v>
      </c>
      <c r="X56" s="15">
        <f t="shared" si="70"/>
        <v>0</v>
      </c>
      <c r="Y56" s="73" t="str">
        <f t="shared" si="71"/>
        <v>-</v>
      </c>
      <c r="Z56" s="19">
        <f>Z55</f>
        <v>0</v>
      </c>
      <c r="AA56" s="18">
        <f>AA55</f>
        <v>0</v>
      </c>
      <c r="AB56" s="15">
        <f t="shared" si="72"/>
        <v>0</v>
      </c>
      <c r="AC56" s="74" t="str">
        <f t="shared" si="73"/>
        <v>-</v>
      </c>
      <c r="AD56" s="16">
        <f>AD55</f>
        <v>0</v>
      </c>
      <c r="AE56" s="16">
        <f>AE55</f>
        <v>0</v>
      </c>
      <c r="AF56" s="15">
        <f t="shared" si="74"/>
        <v>0</v>
      </c>
      <c r="AG56" s="74" t="str">
        <f t="shared" si="75"/>
        <v>-</v>
      </c>
      <c r="AH56" s="16">
        <f>AH55</f>
        <v>0</v>
      </c>
      <c r="AI56" s="15">
        <f t="shared" si="76"/>
        <v>0</v>
      </c>
      <c r="AJ56" s="73" t="str">
        <f t="shared" si="77"/>
        <v>-</v>
      </c>
      <c r="AK56" s="19">
        <f>AK55</f>
        <v>0</v>
      </c>
      <c r="AL56" s="18">
        <f>AL55</f>
        <v>0</v>
      </c>
      <c r="AM56" s="15">
        <f t="shared" si="78"/>
        <v>0</v>
      </c>
      <c r="AN56" s="74" t="str">
        <f t="shared" si="79"/>
        <v>-</v>
      </c>
      <c r="AO56" s="16">
        <f>AO55</f>
        <v>0</v>
      </c>
      <c r="AP56" s="16">
        <f>AP55</f>
        <v>0</v>
      </c>
      <c r="AQ56" s="15">
        <f t="shared" si="80"/>
        <v>0</v>
      </c>
      <c r="AR56" s="74" t="str">
        <f t="shared" si="81"/>
        <v>-</v>
      </c>
      <c r="AS56" s="16">
        <f>AS55</f>
        <v>0</v>
      </c>
      <c r="AT56" s="15">
        <f t="shared" si="82"/>
        <v>0</v>
      </c>
      <c r="AU56" s="73" t="str">
        <f t="shared" si="83"/>
        <v>-</v>
      </c>
      <c r="AV56" s="19">
        <f>AV55</f>
        <v>0</v>
      </c>
      <c r="AW56" s="18">
        <f>AW55</f>
        <v>0</v>
      </c>
      <c r="AX56" s="15">
        <f t="shared" si="84"/>
        <v>0</v>
      </c>
      <c r="AY56" s="74" t="str">
        <f t="shared" si="85"/>
        <v>-</v>
      </c>
      <c r="AZ56" s="16">
        <f>AZ55</f>
        <v>0</v>
      </c>
      <c r="BA56" s="16">
        <f>BA55</f>
        <v>0</v>
      </c>
      <c r="BB56" s="15">
        <f t="shared" si="86"/>
        <v>0</v>
      </c>
      <c r="BC56" s="74" t="str">
        <f t="shared" si="87"/>
        <v>-</v>
      </c>
      <c r="BD56" s="16">
        <f>BD55</f>
        <v>0</v>
      </c>
      <c r="BE56" s="15">
        <f t="shared" si="88"/>
        <v>0</v>
      </c>
      <c r="BF56" s="73" t="str">
        <f t="shared" si="89"/>
        <v>-</v>
      </c>
      <c r="BG56" s="19">
        <f>BG55</f>
        <v>0</v>
      </c>
      <c r="BH56" s="18">
        <f>BH55</f>
        <v>0</v>
      </c>
      <c r="BI56" s="15">
        <f t="shared" si="90"/>
        <v>0</v>
      </c>
      <c r="BJ56" s="74" t="str">
        <f t="shared" si="91"/>
        <v>-</v>
      </c>
      <c r="BK56" s="16">
        <f>BK55</f>
        <v>0</v>
      </c>
      <c r="BL56" s="16">
        <f>BL55</f>
        <v>0</v>
      </c>
      <c r="BM56" s="15">
        <f t="shared" si="92"/>
        <v>0</v>
      </c>
      <c r="BN56" s="74" t="str">
        <f t="shared" si="93"/>
        <v>-</v>
      </c>
      <c r="BO56" s="16">
        <f>BO55</f>
        <v>0</v>
      </c>
      <c r="BP56" s="15">
        <f t="shared" si="94"/>
        <v>0</v>
      </c>
      <c r="BQ56" s="73" t="str">
        <f t="shared" si="95"/>
        <v>-</v>
      </c>
      <c r="BR56" s="19">
        <f>BR55</f>
        <v>0</v>
      </c>
      <c r="BS56" s="18">
        <f>BS55</f>
        <v>0</v>
      </c>
      <c r="BT56" s="15">
        <f t="shared" si="96"/>
        <v>0</v>
      </c>
      <c r="BU56" s="74" t="str">
        <f t="shared" si="97"/>
        <v>-</v>
      </c>
      <c r="BV56" s="16">
        <f>BV55</f>
        <v>0</v>
      </c>
      <c r="BW56" s="16">
        <f>BW55</f>
        <v>0</v>
      </c>
      <c r="BX56" s="15">
        <f t="shared" si="98"/>
        <v>0</v>
      </c>
      <c r="BY56" s="74" t="str">
        <f t="shared" si="99"/>
        <v>-</v>
      </c>
      <c r="BZ56" s="16">
        <f>BZ55</f>
        <v>0</v>
      </c>
      <c r="CA56" s="15">
        <f t="shared" si="100"/>
        <v>0</v>
      </c>
      <c r="CB56" s="73" t="str">
        <f t="shared" si="101"/>
        <v>-</v>
      </c>
      <c r="CC56" s="19">
        <f>CC55</f>
        <v>0</v>
      </c>
      <c r="CD56" s="18">
        <f>CD55</f>
        <v>0</v>
      </c>
      <c r="CE56" s="15">
        <f t="shared" si="102"/>
        <v>0</v>
      </c>
      <c r="CF56" s="74" t="str">
        <f t="shared" si="103"/>
        <v>-</v>
      </c>
      <c r="CG56" s="16">
        <f>CG55</f>
        <v>0</v>
      </c>
      <c r="CH56" s="16">
        <f>CH55</f>
        <v>0</v>
      </c>
      <c r="CI56" s="15">
        <f t="shared" si="104"/>
        <v>0</v>
      </c>
      <c r="CJ56" s="74" t="str">
        <f t="shared" si="105"/>
        <v>-</v>
      </c>
      <c r="CK56" s="16">
        <f>CK55</f>
        <v>0</v>
      </c>
      <c r="CL56" s="15">
        <f t="shared" si="106"/>
        <v>0</v>
      </c>
      <c r="CM56" s="73" t="str">
        <f t="shared" si="107"/>
        <v>-</v>
      </c>
      <c r="CN56" s="19">
        <f>CN55</f>
        <v>0</v>
      </c>
      <c r="CO56" s="18">
        <f>CO55</f>
        <v>0</v>
      </c>
      <c r="CP56" s="15">
        <f t="shared" si="108"/>
        <v>0</v>
      </c>
      <c r="CQ56" s="74" t="str">
        <f t="shared" si="109"/>
        <v>-</v>
      </c>
      <c r="CR56" s="16">
        <f>CR55</f>
        <v>0</v>
      </c>
      <c r="CS56" s="16">
        <f>CS55</f>
        <v>0</v>
      </c>
      <c r="CT56" s="15">
        <f t="shared" si="110"/>
        <v>0</v>
      </c>
      <c r="CU56" s="74" t="str">
        <f t="shared" si="111"/>
        <v>-</v>
      </c>
      <c r="CV56" s="16">
        <f>CV55</f>
        <v>0</v>
      </c>
      <c r="CW56" s="15">
        <f t="shared" si="112"/>
        <v>0</v>
      </c>
      <c r="CX56" s="73" t="str">
        <f t="shared" si="113"/>
        <v>-</v>
      </c>
      <c r="CY56" s="19">
        <f>CY55</f>
        <v>0</v>
      </c>
      <c r="CZ56" s="18">
        <f>CZ55</f>
        <v>0</v>
      </c>
      <c r="DA56" s="15">
        <f t="shared" si="114"/>
        <v>0</v>
      </c>
      <c r="DB56" s="74" t="str">
        <f t="shared" si="115"/>
        <v>-</v>
      </c>
      <c r="DC56" s="16">
        <f>DC55</f>
        <v>0</v>
      </c>
      <c r="DD56" s="16">
        <f>DD55</f>
        <v>0</v>
      </c>
      <c r="DE56" s="15">
        <f t="shared" si="116"/>
        <v>0</v>
      </c>
      <c r="DF56" s="74" t="str">
        <f t="shared" si="117"/>
        <v>-</v>
      </c>
      <c r="DG56" s="16">
        <f>DG55</f>
        <v>0</v>
      </c>
      <c r="DH56" s="15">
        <f t="shared" si="118"/>
        <v>0</v>
      </c>
      <c r="DI56" s="73" t="str">
        <f t="shared" si="119"/>
        <v>-</v>
      </c>
    </row>
    <row r="57" spans="1:113" ht="12.75" hidden="1" customHeight="1" outlineLevel="3" x14ac:dyDescent="0.2">
      <c r="B57" s="38" t="s">
        <v>43</v>
      </c>
      <c r="C57" s="37" t="s">
        <v>42</v>
      </c>
      <c r="D57" s="41">
        <f>3528170167.46521*1/12</f>
        <v>294014180.62210083</v>
      </c>
      <c r="E57" s="40">
        <v>0</v>
      </c>
      <c r="F57" s="32">
        <f t="shared" si="60"/>
        <v>294014180.62210083</v>
      </c>
      <c r="G57" s="78" t="str">
        <f t="shared" si="61"/>
        <v>-</v>
      </c>
      <c r="H57" s="40">
        <f>3528170167.46521/2</f>
        <v>1764085083.732605</v>
      </c>
      <c r="I57" s="39">
        <v>0</v>
      </c>
      <c r="J57" s="32">
        <f t="shared" si="62"/>
        <v>1764085083.732605</v>
      </c>
      <c r="K57" s="78" t="str">
        <f t="shared" si="63"/>
        <v>-</v>
      </c>
      <c r="L57" s="39">
        <v>0</v>
      </c>
      <c r="M57" s="32">
        <f t="shared" si="64"/>
        <v>1764085083.732605</v>
      </c>
      <c r="N57" s="77" t="str">
        <f t="shared" si="65"/>
        <v>-</v>
      </c>
      <c r="O57" s="41">
        <f>3528170167.46521*1/12</f>
        <v>294014180.62210083</v>
      </c>
      <c r="P57" s="40">
        <v>0</v>
      </c>
      <c r="Q57" s="32">
        <f t="shared" si="66"/>
        <v>294014180.62210083</v>
      </c>
      <c r="R57" s="78" t="str">
        <f t="shared" si="67"/>
        <v>-</v>
      </c>
      <c r="S57" s="40">
        <f>3528170167.46521/2</f>
        <v>1764085083.732605</v>
      </c>
      <c r="T57" s="39">
        <v>0</v>
      </c>
      <c r="U57" s="32">
        <f t="shared" si="68"/>
        <v>1764085083.732605</v>
      </c>
      <c r="V57" s="78" t="str">
        <f t="shared" si="69"/>
        <v>-</v>
      </c>
      <c r="W57" s="39">
        <v>0</v>
      </c>
      <c r="X57" s="32">
        <f t="shared" si="70"/>
        <v>1764085083.732605</v>
      </c>
      <c r="Y57" s="77" t="str">
        <f t="shared" si="71"/>
        <v>-</v>
      </c>
      <c r="Z57" s="41">
        <f>3528170167.46521*1/12</f>
        <v>294014180.62210083</v>
      </c>
      <c r="AA57" s="40">
        <v>0</v>
      </c>
      <c r="AB57" s="32">
        <f t="shared" si="72"/>
        <v>294014180.62210083</v>
      </c>
      <c r="AC57" s="78" t="str">
        <f t="shared" si="73"/>
        <v>-</v>
      </c>
      <c r="AD57" s="40">
        <f>3528170167.46521/2</f>
        <v>1764085083.732605</v>
      </c>
      <c r="AE57" s="39">
        <v>0</v>
      </c>
      <c r="AF57" s="32">
        <f t="shared" si="74"/>
        <v>1764085083.732605</v>
      </c>
      <c r="AG57" s="78" t="str">
        <f t="shared" si="75"/>
        <v>-</v>
      </c>
      <c r="AH57" s="39">
        <v>0</v>
      </c>
      <c r="AI57" s="32">
        <f t="shared" si="76"/>
        <v>1764085083.732605</v>
      </c>
      <c r="AJ57" s="77" t="str">
        <f t="shared" si="77"/>
        <v>-</v>
      </c>
      <c r="AK57" s="41">
        <f>3528170167.46521*1/12</f>
        <v>294014180.62210083</v>
      </c>
      <c r="AL57" s="40">
        <v>0</v>
      </c>
      <c r="AM57" s="32">
        <f t="shared" si="78"/>
        <v>294014180.62210083</v>
      </c>
      <c r="AN57" s="78" t="str">
        <f t="shared" si="79"/>
        <v>-</v>
      </c>
      <c r="AO57" s="40">
        <f>3528170167.46521/2</f>
        <v>1764085083.732605</v>
      </c>
      <c r="AP57" s="39">
        <v>0</v>
      </c>
      <c r="AQ57" s="32">
        <f t="shared" si="80"/>
        <v>1764085083.732605</v>
      </c>
      <c r="AR57" s="78" t="str">
        <f t="shared" si="81"/>
        <v>-</v>
      </c>
      <c r="AS57" s="39">
        <v>0</v>
      </c>
      <c r="AT57" s="32">
        <f t="shared" si="82"/>
        <v>1764085083.732605</v>
      </c>
      <c r="AU57" s="77" t="str">
        <f t="shared" si="83"/>
        <v>-</v>
      </c>
      <c r="AV57" s="41">
        <f>3528170167.46521*1/12</f>
        <v>294014180.62210083</v>
      </c>
      <c r="AW57" s="40">
        <v>0</v>
      </c>
      <c r="AX57" s="32">
        <f t="shared" si="84"/>
        <v>294014180.62210083</v>
      </c>
      <c r="AY57" s="78" t="str">
        <f t="shared" si="85"/>
        <v>-</v>
      </c>
      <c r="AZ57" s="40">
        <f>3528170167.46521/2</f>
        <v>1764085083.732605</v>
      </c>
      <c r="BA57" s="39">
        <v>0</v>
      </c>
      <c r="BB57" s="32">
        <f t="shared" si="86"/>
        <v>1764085083.732605</v>
      </c>
      <c r="BC57" s="78" t="str">
        <f t="shared" si="87"/>
        <v>-</v>
      </c>
      <c r="BD57" s="39">
        <v>0</v>
      </c>
      <c r="BE57" s="32">
        <f t="shared" si="88"/>
        <v>1764085083.732605</v>
      </c>
      <c r="BF57" s="77" t="str">
        <f t="shared" si="89"/>
        <v>-</v>
      </c>
      <c r="BG57" s="41">
        <f>3528170167.46521*1/12</f>
        <v>294014180.62210083</v>
      </c>
      <c r="BH57" s="40">
        <v>0</v>
      </c>
      <c r="BI57" s="32">
        <f t="shared" si="90"/>
        <v>294014180.62210083</v>
      </c>
      <c r="BJ57" s="78" t="str">
        <f t="shared" si="91"/>
        <v>-</v>
      </c>
      <c r="BK57" s="40">
        <f>3528170167.46521/2</f>
        <v>1764085083.732605</v>
      </c>
      <c r="BL57" s="39">
        <v>0</v>
      </c>
      <c r="BM57" s="32">
        <f t="shared" si="92"/>
        <v>1764085083.732605</v>
      </c>
      <c r="BN57" s="78" t="str">
        <f t="shared" si="93"/>
        <v>-</v>
      </c>
      <c r="BO57" s="39">
        <v>0</v>
      </c>
      <c r="BP57" s="32">
        <f t="shared" si="94"/>
        <v>1764085083.732605</v>
      </c>
      <c r="BQ57" s="77" t="str">
        <f t="shared" si="95"/>
        <v>-</v>
      </c>
      <c r="BR57" s="41">
        <f>3528170167.46521*1/12</f>
        <v>294014180.62210083</v>
      </c>
      <c r="BS57" s="40">
        <v>0</v>
      </c>
      <c r="BT57" s="32">
        <f t="shared" si="96"/>
        <v>294014180.62210083</v>
      </c>
      <c r="BU57" s="78" t="str">
        <f t="shared" si="97"/>
        <v>-</v>
      </c>
      <c r="BV57" s="40">
        <f>3528170167.46521/2</f>
        <v>1764085083.732605</v>
      </c>
      <c r="BW57" s="39">
        <v>0</v>
      </c>
      <c r="BX57" s="32">
        <f t="shared" si="98"/>
        <v>1764085083.732605</v>
      </c>
      <c r="BY57" s="78" t="str">
        <f t="shared" si="99"/>
        <v>-</v>
      </c>
      <c r="BZ57" s="39">
        <v>0</v>
      </c>
      <c r="CA57" s="32">
        <f t="shared" si="100"/>
        <v>1764085083.732605</v>
      </c>
      <c r="CB57" s="77" t="str">
        <f t="shared" si="101"/>
        <v>-</v>
      </c>
      <c r="CC57" s="41">
        <f>3528170167.46521*1/12</f>
        <v>294014180.62210083</v>
      </c>
      <c r="CD57" s="40">
        <v>0</v>
      </c>
      <c r="CE57" s="32">
        <f t="shared" si="102"/>
        <v>294014180.62210083</v>
      </c>
      <c r="CF57" s="78" t="str">
        <f t="shared" si="103"/>
        <v>-</v>
      </c>
      <c r="CG57" s="40">
        <f>3528170167.46521/2</f>
        <v>1764085083.732605</v>
      </c>
      <c r="CH57" s="39">
        <v>0</v>
      </c>
      <c r="CI57" s="32">
        <f t="shared" si="104"/>
        <v>1764085083.732605</v>
      </c>
      <c r="CJ57" s="78" t="str">
        <f t="shared" si="105"/>
        <v>-</v>
      </c>
      <c r="CK57" s="39">
        <v>0</v>
      </c>
      <c r="CL57" s="32">
        <f t="shared" si="106"/>
        <v>1764085083.732605</v>
      </c>
      <c r="CM57" s="77" t="str">
        <f t="shared" si="107"/>
        <v>-</v>
      </c>
      <c r="CN57" s="41">
        <f>3528170167.46521*1/12</f>
        <v>294014180.62210083</v>
      </c>
      <c r="CO57" s="40">
        <v>0</v>
      </c>
      <c r="CP57" s="32">
        <f t="shared" si="108"/>
        <v>294014180.62210083</v>
      </c>
      <c r="CQ57" s="78" t="str">
        <f t="shared" si="109"/>
        <v>-</v>
      </c>
      <c r="CR57" s="40">
        <f>3528170167.46521/2</f>
        <v>1764085083.732605</v>
      </c>
      <c r="CS57" s="39">
        <v>0</v>
      </c>
      <c r="CT57" s="32">
        <f t="shared" si="110"/>
        <v>1764085083.732605</v>
      </c>
      <c r="CU57" s="78" t="str">
        <f t="shared" si="111"/>
        <v>-</v>
      </c>
      <c r="CV57" s="39">
        <v>0</v>
      </c>
      <c r="CW57" s="32">
        <f t="shared" si="112"/>
        <v>1764085083.732605</v>
      </c>
      <c r="CX57" s="77" t="str">
        <f t="shared" si="113"/>
        <v>-</v>
      </c>
      <c r="CY57" s="41">
        <f>3528170167.46521*1/12</f>
        <v>294014180.62210083</v>
      </c>
      <c r="CZ57" s="40">
        <v>0</v>
      </c>
      <c r="DA57" s="32">
        <f t="shared" si="114"/>
        <v>294014180.62210083</v>
      </c>
      <c r="DB57" s="78" t="str">
        <f t="shared" si="115"/>
        <v>-</v>
      </c>
      <c r="DC57" s="40">
        <f>3528170167.46521/2</f>
        <v>1764085083.732605</v>
      </c>
      <c r="DD57" s="39">
        <v>0</v>
      </c>
      <c r="DE57" s="32">
        <f t="shared" si="116"/>
        <v>1764085083.732605</v>
      </c>
      <c r="DF57" s="78" t="str">
        <f t="shared" si="117"/>
        <v>-</v>
      </c>
      <c r="DG57" s="39">
        <v>0</v>
      </c>
      <c r="DH57" s="32">
        <f t="shared" si="118"/>
        <v>1764085083.732605</v>
      </c>
      <c r="DI57" s="77" t="str">
        <f t="shared" si="119"/>
        <v>-</v>
      </c>
    </row>
    <row r="58" spans="1:113" ht="12.75" hidden="1" customHeight="1" outlineLevel="3" x14ac:dyDescent="0.2">
      <c r="B58" s="38" t="s">
        <v>41</v>
      </c>
      <c r="C58" s="37" t="s">
        <v>40</v>
      </c>
      <c r="D58" s="41">
        <f>652711480.981065*1/12</f>
        <v>54392623.41508875</v>
      </c>
      <c r="E58" s="40">
        <v>0</v>
      </c>
      <c r="F58" s="32">
        <f t="shared" si="60"/>
        <v>54392623.41508875</v>
      </c>
      <c r="G58" s="78" t="str">
        <f t="shared" si="61"/>
        <v>-</v>
      </c>
      <c r="H58" s="35">
        <f>652711480.981063/2</f>
        <v>326355740.4905315</v>
      </c>
      <c r="I58" s="39">
        <v>0</v>
      </c>
      <c r="J58" s="32">
        <f t="shared" si="62"/>
        <v>326355740.4905315</v>
      </c>
      <c r="K58" s="78" t="str">
        <f t="shared" si="63"/>
        <v>-</v>
      </c>
      <c r="L58" s="39">
        <v>0</v>
      </c>
      <c r="M58" s="32">
        <f t="shared" si="64"/>
        <v>326355740.4905315</v>
      </c>
      <c r="N58" s="77" t="str">
        <f t="shared" si="65"/>
        <v>-</v>
      </c>
      <c r="O58" s="41">
        <f>652711480.981065*1/12</f>
        <v>54392623.41508875</v>
      </c>
      <c r="P58" s="40">
        <v>0</v>
      </c>
      <c r="Q58" s="32">
        <f t="shared" si="66"/>
        <v>54392623.41508875</v>
      </c>
      <c r="R58" s="78" t="str">
        <f t="shared" si="67"/>
        <v>-</v>
      </c>
      <c r="S58" s="35">
        <f>652711480.981063/2</f>
        <v>326355740.4905315</v>
      </c>
      <c r="T58" s="39">
        <v>0</v>
      </c>
      <c r="U58" s="32">
        <f t="shared" si="68"/>
        <v>326355740.4905315</v>
      </c>
      <c r="V58" s="78" t="str">
        <f t="shared" si="69"/>
        <v>-</v>
      </c>
      <c r="W58" s="39">
        <v>0</v>
      </c>
      <c r="X58" s="32">
        <f t="shared" si="70"/>
        <v>326355740.4905315</v>
      </c>
      <c r="Y58" s="77" t="str">
        <f t="shared" si="71"/>
        <v>-</v>
      </c>
      <c r="Z58" s="41">
        <f>652711480.981065*1/12</f>
        <v>54392623.41508875</v>
      </c>
      <c r="AA58" s="40">
        <v>0</v>
      </c>
      <c r="AB58" s="32">
        <f t="shared" si="72"/>
        <v>54392623.41508875</v>
      </c>
      <c r="AC58" s="78" t="str">
        <f t="shared" si="73"/>
        <v>-</v>
      </c>
      <c r="AD58" s="35">
        <f>652711480.981063/2</f>
        <v>326355740.4905315</v>
      </c>
      <c r="AE58" s="39">
        <v>0</v>
      </c>
      <c r="AF58" s="32">
        <f t="shared" si="74"/>
        <v>326355740.4905315</v>
      </c>
      <c r="AG58" s="78" t="str">
        <f t="shared" si="75"/>
        <v>-</v>
      </c>
      <c r="AH58" s="39">
        <v>0</v>
      </c>
      <c r="AI58" s="32">
        <f t="shared" si="76"/>
        <v>326355740.4905315</v>
      </c>
      <c r="AJ58" s="77" t="str">
        <f t="shared" si="77"/>
        <v>-</v>
      </c>
      <c r="AK58" s="41">
        <f>652711480.981065*1/12</f>
        <v>54392623.41508875</v>
      </c>
      <c r="AL58" s="40">
        <v>0</v>
      </c>
      <c r="AM58" s="32">
        <f t="shared" si="78"/>
        <v>54392623.41508875</v>
      </c>
      <c r="AN58" s="78" t="str">
        <f t="shared" si="79"/>
        <v>-</v>
      </c>
      <c r="AO58" s="35">
        <f>652711480.981063/2</f>
        <v>326355740.4905315</v>
      </c>
      <c r="AP58" s="39">
        <v>0</v>
      </c>
      <c r="AQ58" s="32">
        <f t="shared" si="80"/>
        <v>326355740.4905315</v>
      </c>
      <c r="AR58" s="78" t="str">
        <f t="shared" si="81"/>
        <v>-</v>
      </c>
      <c r="AS58" s="39">
        <v>0</v>
      </c>
      <c r="AT58" s="32">
        <f t="shared" si="82"/>
        <v>326355740.4905315</v>
      </c>
      <c r="AU58" s="77" t="str">
        <f t="shared" si="83"/>
        <v>-</v>
      </c>
      <c r="AV58" s="41">
        <f>652711480.981065*1/12</f>
        <v>54392623.41508875</v>
      </c>
      <c r="AW58" s="40">
        <v>0</v>
      </c>
      <c r="AX58" s="32">
        <f t="shared" si="84"/>
        <v>54392623.41508875</v>
      </c>
      <c r="AY58" s="78" t="str">
        <f t="shared" si="85"/>
        <v>-</v>
      </c>
      <c r="AZ58" s="35">
        <f>652711480.981063/2</f>
        <v>326355740.4905315</v>
      </c>
      <c r="BA58" s="39">
        <v>0</v>
      </c>
      <c r="BB58" s="32">
        <f t="shared" si="86"/>
        <v>326355740.4905315</v>
      </c>
      <c r="BC58" s="78" t="str">
        <f t="shared" si="87"/>
        <v>-</v>
      </c>
      <c r="BD58" s="39">
        <v>0</v>
      </c>
      <c r="BE58" s="32">
        <f t="shared" si="88"/>
        <v>326355740.4905315</v>
      </c>
      <c r="BF58" s="77" t="str">
        <f t="shared" si="89"/>
        <v>-</v>
      </c>
      <c r="BG58" s="41">
        <f>652711480.981065*1/12</f>
        <v>54392623.41508875</v>
      </c>
      <c r="BH58" s="40">
        <v>0</v>
      </c>
      <c r="BI58" s="32">
        <f t="shared" si="90"/>
        <v>54392623.41508875</v>
      </c>
      <c r="BJ58" s="78" t="str">
        <f t="shared" si="91"/>
        <v>-</v>
      </c>
      <c r="BK58" s="35">
        <f>652711480.981063/2</f>
        <v>326355740.4905315</v>
      </c>
      <c r="BL58" s="39">
        <v>0</v>
      </c>
      <c r="BM58" s="32">
        <f t="shared" si="92"/>
        <v>326355740.4905315</v>
      </c>
      <c r="BN58" s="78" t="str">
        <f t="shared" si="93"/>
        <v>-</v>
      </c>
      <c r="BO58" s="39">
        <v>0</v>
      </c>
      <c r="BP58" s="32">
        <f t="shared" si="94"/>
        <v>326355740.4905315</v>
      </c>
      <c r="BQ58" s="77" t="str">
        <f t="shared" si="95"/>
        <v>-</v>
      </c>
      <c r="BR58" s="41">
        <f>652711480.981065*1/12</f>
        <v>54392623.41508875</v>
      </c>
      <c r="BS58" s="40">
        <v>0</v>
      </c>
      <c r="BT58" s="32">
        <f t="shared" si="96"/>
        <v>54392623.41508875</v>
      </c>
      <c r="BU58" s="78" t="str">
        <f t="shared" si="97"/>
        <v>-</v>
      </c>
      <c r="BV58" s="35">
        <f>652711480.981063/2</f>
        <v>326355740.4905315</v>
      </c>
      <c r="BW58" s="39">
        <v>0</v>
      </c>
      <c r="BX58" s="32">
        <f t="shared" si="98"/>
        <v>326355740.4905315</v>
      </c>
      <c r="BY58" s="78" t="str">
        <f t="shared" si="99"/>
        <v>-</v>
      </c>
      <c r="BZ58" s="39">
        <v>0</v>
      </c>
      <c r="CA58" s="32">
        <f t="shared" si="100"/>
        <v>326355740.4905315</v>
      </c>
      <c r="CB58" s="77" t="str">
        <f t="shared" si="101"/>
        <v>-</v>
      </c>
      <c r="CC58" s="41">
        <f>652711480.981065*1/12</f>
        <v>54392623.41508875</v>
      </c>
      <c r="CD58" s="40">
        <v>0</v>
      </c>
      <c r="CE58" s="32">
        <f t="shared" si="102"/>
        <v>54392623.41508875</v>
      </c>
      <c r="CF58" s="78" t="str">
        <f t="shared" si="103"/>
        <v>-</v>
      </c>
      <c r="CG58" s="35">
        <f>652711480.981063/2</f>
        <v>326355740.4905315</v>
      </c>
      <c r="CH58" s="39">
        <v>0</v>
      </c>
      <c r="CI58" s="32">
        <f t="shared" si="104"/>
        <v>326355740.4905315</v>
      </c>
      <c r="CJ58" s="78" t="str">
        <f t="shared" si="105"/>
        <v>-</v>
      </c>
      <c r="CK58" s="39">
        <v>0</v>
      </c>
      <c r="CL58" s="32">
        <f t="shared" si="106"/>
        <v>326355740.4905315</v>
      </c>
      <c r="CM58" s="77" t="str">
        <f t="shared" si="107"/>
        <v>-</v>
      </c>
      <c r="CN58" s="41">
        <f>652711480.981065*1/12</f>
        <v>54392623.41508875</v>
      </c>
      <c r="CO58" s="40">
        <v>0</v>
      </c>
      <c r="CP58" s="32">
        <f t="shared" si="108"/>
        <v>54392623.41508875</v>
      </c>
      <c r="CQ58" s="78" t="str">
        <f t="shared" si="109"/>
        <v>-</v>
      </c>
      <c r="CR58" s="35">
        <f>652711480.981063/2</f>
        <v>326355740.4905315</v>
      </c>
      <c r="CS58" s="39">
        <v>0</v>
      </c>
      <c r="CT58" s="32">
        <f t="shared" si="110"/>
        <v>326355740.4905315</v>
      </c>
      <c r="CU58" s="78" t="str">
        <f t="shared" si="111"/>
        <v>-</v>
      </c>
      <c r="CV58" s="39">
        <v>0</v>
      </c>
      <c r="CW58" s="32">
        <f t="shared" si="112"/>
        <v>326355740.4905315</v>
      </c>
      <c r="CX58" s="77" t="str">
        <f t="shared" si="113"/>
        <v>-</v>
      </c>
      <c r="CY58" s="41">
        <f>652711480.981065*1/12</f>
        <v>54392623.41508875</v>
      </c>
      <c r="CZ58" s="40">
        <v>0</v>
      </c>
      <c r="DA58" s="32">
        <f t="shared" si="114"/>
        <v>54392623.41508875</v>
      </c>
      <c r="DB58" s="78" t="str">
        <f t="shared" si="115"/>
        <v>-</v>
      </c>
      <c r="DC58" s="35">
        <f>652711480.981063/2</f>
        <v>326355740.4905315</v>
      </c>
      <c r="DD58" s="39">
        <v>0</v>
      </c>
      <c r="DE58" s="32">
        <f t="shared" si="116"/>
        <v>326355740.4905315</v>
      </c>
      <c r="DF58" s="78" t="str">
        <f t="shared" si="117"/>
        <v>-</v>
      </c>
      <c r="DG58" s="39">
        <v>0</v>
      </c>
      <c r="DH58" s="32">
        <f t="shared" si="118"/>
        <v>326355740.4905315</v>
      </c>
      <c r="DI58" s="77" t="str">
        <f t="shared" si="119"/>
        <v>-</v>
      </c>
    </row>
    <row r="59" spans="1:113" s="6" customFormat="1" hidden="1" outlineLevel="2" collapsed="1" x14ac:dyDescent="0.2">
      <c r="A59" s="30"/>
      <c r="B59" s="29" t="s">
        <v>39</v>
      </c>
      <c r="C59" s="42" t="s">
        <v>38</v>
      </c>
      <c r="D59" s="27">
        <f>SUM(D57:D58)</f>
        <v>348406804.0371896</v>
      </c>
      <c r="E59" s="26">
        <f>SUM(E57:E58)</f>
        <v>0</v>
      </c>
      <c r="F59" s="23">
        <f t="shared" si="60"/>
        <v>348406804.0371896</v>
      </c>
      <c r="G59" s="76" t="str">
        <f t="shared" si="61"/>
        <v>-</v>
      </c>
      <c r="H59" s="24">
        <f>SUM(H57:H58)</f>
        <v>2090440824.2231364</v>
      </c>
      <c r="I59" s="24">
        <f>SUM(I57:I58)</f>
        <v>0</v>
      </c>
      <c r="J59" s="23">
        <f t="shared" si="62"/>
        <v>2090440824.2231364</v>
      </c>
      <c r="K59" s="76" t="str">
        <f t="shared" si="63"/>
        <v>-</v>
      </c>
      <c r="L59" s="24">
        <f>SUM(L57:L58)</f>
        <v>0</v>
      </c>
      <c r="M59" s="23">
        <f t="shared" si="64"/>
        <v>2090440824.2231364</v>
      </c>
      <c r="N59" s="75" t="str">
        <f t="shared" si="65"/>
        <v>-</v>
      </c>
      <c r="O59" s="27">
        <f>SUM(O57:O58)</f>
        <v>348406804.0371896</v>
      </c>
      <c r="P59" s="26">
        <f>SUM(P57:P58)</f>
        <v>0</v>
      </c>
      <c r="Q59" s="23">
        <f t="shared" si="66"/>
        <v>348406804.0371896</v>
      </c>
      <c r="R59" s="76" t="str">
        <f t="shared" si="67"/>
        <v>-</v>
      </c>
      <c r="S59" s="24">
        <f>SUM(S57:S58)</f>
        <v>2090440824.2231364</v>
      </c>
      <c r="T59" s="24">
        <f>SUM(T57:T58)</f>
        <v>0</v>
      </c>
      <c r="U59" s="23">
        <f t="shared" si="68"/>
        <v>2090440824.2231364</v>
      </c>
      <c r="V59" s="76" t="str">
        <f t="shared" si="69"/>
        <v>-</v>
      </c>
      <c r="W59" s="24">
        <f>SUM(W57:W58)</f>
        <v>0</v>
      </c>
      <c r="X59" s="23">
        <f t="shared" si="70"/>
        <v>2090440824.2231364</v>
      </c>
      <c r="Y59" s="75" t="str">
        <f t="shared" si="71"/>
        <v>-</v>
      </c>
      <c r="Z59" s="27">
        <f>SUM(Z57:Z58)</f>
        <v>348406804.0371896</v>
      </c>
      <c r="AA59" s="26">
        <f>SUM(AA57:AA58)</f>
        <v>0</v>
      </c>
      <c r="AB59" s="23">
        <f t="shared" si="72"/>
        <v>348406804.0371896</v>
      </c>
      <c r="AC59" s="76" t="str">
        <f t="shared" si="73"/>
        <v>-</v>
      </c>
      <c r="AD59" s="24">
        <f>SUM(AD57:AD58)</f>
        <v>2090440824.2231364</v>
      </c>
      <c r="AE59" s="24">
        <f>SUM(AE57:AE58)</f>
        <v>0</v>
      </c>
      <c r="AF59" s="23">
        <f t="shared" si="74"/>
        <v>2090440824.2231364</v>
      </c>
      <c r="AG59" s="76" t="str">
        <f t="shared" si="75"/>
        <v>-</v>
      </c>
      <c r="AH59" s="24">
        <f>SUM(AH57:AH58)</f>
        <v>0</v>
      </c>
      <c r="AI59" s="23">
        <f t="shared" si="76"/>
        <v>2090440824.2231364</v>
      </c>
      <c r="AJ59" s="75" t="str">
        <f t="shared" si="77"/>
        <v>-</v>
      </c>
      <c r="AK59" s="27">
        <f>SUM(AK57:AK58)</f>
        <v>348406804.0371896</v>
      </c>
      <c r="AL59" s="26">
        <f>SUM(AL57:AL58)</f>
        <v>0</v>
      </c>
      <c r="AM59" s="23">
        <f t="shared" si="78"/>
        <v>348406804.0371896</v>
      </c>
      <c r="AN59" s="76" t="str">
        <f t="shared" si="79"/>
        <v>-</v>
      </c>
      <c r="AO59" s="24">
        <f>SUM(AO57:AO58)</f>
        <v>2090440824.2231364</v>
      </c>
      <c r="AP59" s="24">
        <f>SUM(AP57:AP58)</f>
        <v>0</v>
      </c>
      <c r="AQ59" s="23">
        <f t="shared" si="80"/>
        <v>2090440824.2231364</v>
      </c>
      <c r="AR59" s="76" t="str">
        <f t="shared" si="81"/>
        <v>-</v>
      </c>
      <c r="AS59" s="24">
        <f>SUM(AS57:AS58)</f>
        <v>0</v>
      </c>
      <c r="AT59" s="23">
        <f t="shared" si="82"/>
        <v>2090440824.2231364</v>
      </c>
      <c r="AU59" s="75" t="str">
        <f t="shared" si="83"/>
        <v>-</v>
      </c>
      <c r="AV59" s="27">
        <f>SUM(AV57:AV58)</f>
        <v>348406804.0371896</v>
      </c>
      <c r="AW59" s="26">
        <f>SUM(AW57:AW58)</f>
        <v>0</v>
      </c>
      <c r="AX59" s="23">
        <f t="shared" si="84"/>
        <v>348406804.0371896</v>
      </c>
      <c r="AY59" s="76" t="str">
        <f t="shared" si="85"/>
        <v>-</v>
      </c>
      <c r="AZ59" s="24">
        <f>SUM(AZ57:AZ58)</f>
        <v>2090440824.2231364</v>
      </c>
      <c r="BA59" s="24">
        <f>SUM(BA57:BA58)</f>
        <v>0</v>
      </c>
      <c r="BB59" s="23">
        <f t="shared" si="86"/>
        <v>2090440824.2231364</v>
      </c>
      <c r="BC59" s="76" t="str">
        <f t="shared" si="87"/>
        <v>-</v>
      </c>
      <c r="BD59" s="24">
        <f>SUM(BD57:BD58)</f>
        <v>0</v>
      </c>
      <c r="BE59" s="23">
        <f t="shared" si="88"/>
        <v>2090440824.2231364</v>
      </c>
      <c r="BF59" s="75" t="str">
        <f t="shared" si="89"/>
        <v>-</v>
      </c>
      <c r="BG59" s="27">
        <f>SUM(BG57:BG58)</f>
        <v>348406804.0371896</v>
      </c>
      <c r="BH59" s="26">
        <f>SUM(BH57:BH58)</f>
        <v>0</v>
      </c>
      <c r="BI59" s="23">
        <f t="shared" si="90"/>
        <v>348406804.0371896</v>
      </c>
      <c r="BJ59" s="76" t="str">
        <f t="shared" si="91"/>
        <v>-</v>
      </c>
      <c r="BK59" s="24">
        <f>SUM(BK57:BK58)</f>
        <v>2090440824.2231364</v>
      </c>
      <c r="BL59" s="24">
        <f>SUM(BL57:BL58)</f>
        <v>0</v>
      </c>
      <c r="BM59" s="23">
        <f t="shared" si="92"/>
        <v>2090440824.2231364</v>
      </c>
      <c r="BN59" s="76" t="str">
        <f t="shared" si="93"/>
        <v>-</v>
      </c>
      <c r="BO59" s="24">
        <f>SUM(BO57:BO58)</f>
        <v>0</v>
      </c>
      <c r="BP59" s="23">
        <f t="shared" si="94"/>
        <v>2090440824.2231364</v>
      </c>
      <c r="BQ59" s="75" t="str">
        <f t="shared" si="95"/>
        <v>-</v>
      </c>
      <c r="BR59" s="27">
        <f>SUM(BR57:BR58)</f>
        <v>348406804.0371896</v>
      </c>
      <c r="BS59" s="26">
        <f>SUM(BS57:BS58)</f>
        <v>0</v>
      </c>
      <c r="BT59" s="23">
        <f t="shared" si="96"/>
        <v>348406804.0371896</v>
      </c>
      <c r="BU59" s="76" t="str">
        <f t="shared" si="97"/>
        <v>-</v>
      </c>
      <c r="BV59" s="24">
        <f>SUM(BV57:BV58)</f>
        <v>2090440824.2231364</v>
      </c>
      <c r="BW59" s="24">
        <f>SUM(BW57:BW58)</f>
        <v>0</v>
      </c>
      <c r="BX59" s="23">
        <f t="shared" si="98"/>
        <v>2090440824.2231364</v>
      </c>
      <c r="BY59" s="76" t="str">
        <f t="shared" si="99"/>
        <v>-</v>
      </c>
      <c r="BZ59" s="24">
        <f>SUM(BZ57:BZ58)</f>
        <v>0</v>
      </c>
      <c r="CA59" s="23">
        <f t="shared" si="100"/>
        <v>2090440824.2231364</v>
      </c>
      <c r="CB59" s="75" t="str">
        <f t="shared" si="101"/>
        <v>-</v>
      </c>
      <c r="CC59" s="27">
        <f>SUM(CC57:CC58)</f>
        <v>348406804.0371896</v>
      </c>
      <c r="CD59" s="26">
        <f>SUM(CD57:CD58)</f>
        <v>0</v>
      </c>
      <c r="CE59" s="23">
        <f t="shared" si="102"/>
        <v>348406804.0371896</v>
      </c>
      <c r="CF59" s="76" t="str">
        <f t="shared" si="103"/>
        <v>-</v>
      </c>
      <c r="CG59" s="24">
        <f>SUM(CG57:CG58)</f>
        <v>2090440824.2231364</v>
      </c>
      <c r="CH59" s="24">
        <f>SUM(CH57:CH58)</f>
        <v>0</v>
      </c>
      <c r="CI59" s="23">
        <f t="shared" si="104"/>
        <v>2090440824.2231364</v>
      </c>
      <c r="CJ59" s="76" t="str">
        <f t="shared" si="105"/>
        <v>-</v>
      </c>
      <c r="CK59" s="24">
        <f>SUM(CK57:CK58)</f>
        <v>0</v>
      </c>
      <c r="CL59" s="23">
        <f t="shared" si="106"/>
        <v>2090440824.2231364</v>
      </c>
      <c r="CM59" s="75" t="str">
        <f t="shared" si="107"/>
        <v>-</v>
      </c>
      <c r="CN59" s="27">
        <f>SUM(CN57:CN58)</f>
        <v>348406804.0371896</v>
      </c>
      <c r="CO59" s="26">
        <f>SUM(CO57:CO58)</f>
        <v>0</v>
      </c>
      <c r="CP59" s="23">
        <f t="shared" si="108"/>
        <v>348406804.0371896</v>
      </c>
      <c r="CQ59" s="76" t="str">
        <f t="shared" si="109"/>
        <v>-</v>
      </c>
      <c r="CR59" s="24">
        <f>SUM(CR57:CR58)</f>
        <v>2090440824.2231364</v>
      </c>
      <c r="CS59" s="24">
        <f>SUM(CS57:CS58)</f>
        <v>0</v>
      </c>
      <c r="CT59" s="23">
        <f t="shared" si="110"/>
        <v>2090440824.2231364</v>
      </c>
      <c r="CU59" s="76" t="str">
        <f t="shared" si="111"/>
        <v>-</v>
      </c>
      <c r="CV59" s="24">
        <f>SUM(CV57:CV58)</f>
        <v>0</v>
      </c>
      <c r="CW59" s="23">
        <f t="shared" si="112"/>
        <v>2090440824.2231364</v>
      </c>
      <c r="CX59" s="75" t="str">
        <f t="shared" si="113"/>
        <v>-</v>
      </c>
      <c r="CY59" s="27">
        <f>SUM(CY57:CY58)</f>
        <v>348406804.0371896</v>
      </c>
      <c r="CZ59" s="26">
        <f>SUM(CZ57:CZ58)</f>
        <v>0</v>
      </c>
      <c r="DA59" s="23">
        <f t="shared" si="114"/>
        <v>348406804.0371896</v>
      </c>
      <c r="DB59" s="76" t="str">
        <f t="shared" si="115"/>
        <v>-</v>
      </c>
      <c r="DC59" s="24">
        <f>SUM(DC57:DC58)</f>
        <v>2090440824.2231364</v>
      </c>
      <c r="DD59" s="24">
        <f>SUM(DD57:DD58)</f>
        <v>0</v>
      </c>
      <c r="DE59" s="23">
        <f t="shared" si="116"/>
        <v>2090440824.2231364</v>
      </c>
      <c r="DF59" s="76" t="str">
        <f t="shared" si="117"/>
        <v>-</v>
      </c>
      <c r="DG59" s="24">
        <f>SUM(DG57:DG58)</f>
        <v>0</v>
      </c>
      <c r="DH59" s="23">
        <f t="shared" si="118"/>
        <v>2090440824.2231364</v>
      </c>
      <c r="DI59" s="75" t="str">
        <f t="shared" si="119"/>
        <v>-</v>
      </c>
    </row>
    <row r="60" spans="1:113" ht="12.75" hidden="1" customHeight="1" outlineLevel="3" x14ac:dyDescent="0.2">
      <c r="B60" s="38" t="s">
        <v>37</v>
      </c>
      <c r="C60" s="37" t="s">
        <v>36</v>
      </c>
      <c r="D60" s="41">
        <v>0</v>
      </c>
      <c r="E60" s="40">
        <v>0</v>
      </c>
      <c r="F60" s="32">
        <f t="shared" si="60"/>
        <v>0</v>
      </c>
      <c r="G60" s="78" t="str">
        <f t="shared" si="61"/>
        <v>-</v>
      </c>
      <c r="H60" s="39">
        <v>0</v>
      </c>
      <c r="I60" s="39">
        <v>0</v>
      </c>
      <c r="J60" s="32">
        <f t="shared" si="62"/>
        <v>0</v>
      </c>
      <c r="K60" s="78" t="str">
        <f t="shared" si="63"/>
        <v>-</v>
      </c>
      <c r="L60" s="39">
        <v>0</v>
      </c>
      <c r="M60" s="32">
        <f t="shared" si="64"/>
        <v>0</v>
      </c>
      <c r="N60" s="77" t="str">
        <f t="shared" si="65"/>
        <v>-</v>
      </c>
      <c r="O60" s="41">
        <v>0</v>
      </c>
      <c r="P60" s="40">
        <v>0</v>
      </c>
      <c r="Q60" s="32">
        <f t="shared" si="66"/>
        <v>0</v>
      </c>
      <c r="R60" s="78" t="str">
        <f t="shared" si="67"/>
        <v>-</v>
      </c>
      <c r="S60" s="39">
        <v>0</v>
      </c>
      <c r="T60" s="39">
        <v>0</v>
      </c>
      <c r="U60" s="32">
        <f t="shared" si="68"/>
        <v>0</v>
      </c>
      <c r="V60" s="78" t="str">
        <f t="shared" si="69"/>
        <v>-</v>
      </c>
      <c r="W60" s="39">
        <v>0</v>
      </c>
      <c r="X60" s="32">
        <f t="shared" si="70"/>
        <v>0</v>
      </c>
      <c r="Y60" s="77" t="str">
        <f t="shared" si="71"/>
        <v>-</v>
      </c>
      <c r="Z60" s="41">
        <v>0</v>
      </c>
      <c r="AA60" s="40">
        <v>0</v>
      </c>
      <c r="AB60" s="32">
        <f t="shared" si="72"/>
        <v>0</v>
      </c>
      <c r="AC60" s="78" t="str">
        <f t="shared" si="73"/>
        <v>-</v>
      </c>
      <c r="AD60" s="39">
        <v>0</v>
      </c>
      <c r="AE60" s="39">
        <v>0</v>
      </c>
      <c r="AF60" s="32">
        <f t="shared" si="74"/>
        <v>0</v>
      </c>
      <c r="AG60" s="78" t="str">
        <f t="shared" si="75"/>
        <v>-</v>
      </c>
      <c r="AH60" s="39">
        <v>0</v>
      </c>
      <c r="AI60" s="32">
        <f t="shared" si="76"/>
        <v>0</v>
      </c>
      <c r="AJ60" s="77" t="str">
        <f t="shared" si="77"/>
        <v>-</v>
      </c>
      <c r="AK60" s="41">
        <v>0</v>
      </c>
      <c r="AL60" s="40">
        <v>0</v>
      </c>
      <c r="AM60" s="32">
        <f t="shared" si="78"/>
        <v>0</v>
      </c>
      <c r="AN60" s="78" t="str">
        <f t="shared" si="79"/>
        <v>-</v>
      </c>
      <c r="AO60" s="39">
        <v>0</v>
      </c>
      <c r="AP60" s="39">
        <v>0</v>
      </c>
      <c r="AQ60" s="32">
        <f t="shared" si="80"/>
        <v>0</v>
      </c>
      <c r="AR60" s="78" t="str">
        <f t="shared" si="81"/>
        <v>-</v>
      </c>
      <c r="AS60" s="39">
        <v>0</v>
      </c>
      <c r="AT60" s="32">
        <f t="shared" si="82"/>
        <v>0</v>
      </c>
      <c r="AU60" s="77" t="str">
        <f t="shared" si="83"/>
        <v>-</v>
      </c>
      <c r="AV60" s="41">
        <v>0</v>
      </c>
      <c r="AW60" s="40">
        <v>0</v>
      </c>
      <c r="AX60" s="32">
        <f t="shared" si="84"/>
        <v>0</v>
      </c>
      <c r="AY60" s="78" t="str">
        <f t="shared" si="85"/>
        <v>-</v>
      </c>
      <c r="AZ60" s="39">
        <v>0</v>
      </c>
      <c r="BA60" s="39">
        <v>0</v>
      </c>
      <c r="BB60" s="32">
        <f t="shared" si="86"/>
        <v>0</v>
      </c>
      <c r="BC60" s="78" t="str">
        <f t="shared" si="87"/>
        <v>-</v>
      </c>
      <c r="BD60" s="39">
        <v>0</v>
      </c>
      <c r="BE60" s="32">
        <f t="shared" si="88"/>
        <v>0</v>
      </c>
      <c r="BF60" s="77" t="str">
        <f t="shared" si="89"/>
        <v>-</v>
      </c>
      <c r="BG60" s="41">
        <v>0</v>
      </c>
      <c r="BH60" s="40">
        <v>0</v>
      </c>
      <c r="BI60" s="32">
        <f t="shared" si="90"/>
        <v>0</v>
      </c>
      <c r="BJ60" s="78" t="str">
        <f t="shared" si="91"/>
        <v>-</v>
      </c>
      <c r="BK60" s="39">
        <v>0</v>
      </c>
      <c r="BL60" s="39">
        <v>0</v>
      </c>
      <c r="BM60" s="32">
        <f t="shared" si="92"/>
        <v>0</v>
      </c>
      <c r="BN60" s="78" t="str">
        <f t="shared" si="93"/>
        <v>-</v>
      </c>
      <c r="BO60" s="39">
        <v>0</v>
      </c>
      <c r="BP60" s="32">
        <f t="shared" si="94"/>
        <v>0</v>
      </c>
      <c r="BQ60" s="77" t="str">
        <f t="shared" si="95"/>
        <v>-</v>
      </c>
      <c r="BR60" s="41">
        <v>0</v>
      </c>
      <c r="BS60" s="40">
        <v>0</v>
      </c>
      <c r="BT60" s="32">
        <f t="shared" si="96"/>
        <v>0</v>
      </c>
      <c r="BU60" s="78" t="str">
        <f t="shared" si="97"/>
        <v>-</v>
      </c>
      <c r="BV60" s="39">
        <v>0</v>
      </c>
      <c r="BW60" s="39">
        <v>0</v>
      </c>
      <c r="BX60" s="32">
        <f t="shared" si="98"/>
        <v>0</v>
      </c>
      <c r="BY60" s="78" t="str">
        <f t="shared" si="99"/>
        <v>-</v>
      </c>
      <c r="BZ60" s="39">
        <v>0</v>
      </c>
      <c r="CA60" s="32">
        <f t="shared" si="100"/>
        <v>0</v>
      </c>
      <c r="CB60" s="77" t="str">
        <f t="shared" si="101"/>
        <v>-</v>
      </c>
      <c r="CC60" s="41">
        <v>0</v>
      </c>
      <c r="CD60" s="40">
        <v>0</v>
      </c>
      <c r="CE60" s="32">
        <f t="shared" si="102"/>
        <v>0</v>
      </c>
      <c r="CF60" s="78" t="str">
        <f t="shared" si="103"/>
        <v>-</v>
      </c>
      <c r="CG60" s="39">
        <v>0</v>
      </c>
      <c r="CH60" s="39">
        <v>0</v>
      </c>
      <c r="CI60" s="32">
        <f t="shared" si="104"/>
        <v>0</v>
      </c>
      <c r="CJ60" s="78" t="str">
        <f t="shared" si="105"/>
        <v>-</v>
      </c>
      <c r="CK60" s="39">
        <v>0</v>
      </c>
      <c r="CL60" s="32">
        <f t="shared" si="106"/>
        <v>0</v>
      </c>
      <c r="CM60" s="77" t="str">
        <f t="shared" si="107"/>
        <v>-</v>
      </c>
      <c r="CN60" s="41">
        <v>0</v>
      </c>
      <c r="CO60" s="40">
        <v>0</v>
      </c>
      <c r="CP60" s="32">
        <f t="shared" si="108"/>
        <v>0</v>
      </c>
      <c r="CQ60" s="78" t="str">
        <f t="shared" si="109"/>
        <v>-</v>
      </c>
      <c r="CR60" s="39">
        <v>0</v>
      </c>
      <c r="CS60" s="39">
        <v>0</v>
      </c>
      <c r="CT60" s="32">
        <f t="shared" si="110"/>
        <v>0</v>
      </c>
      <c r="CU60" s="78" t="str">
        <f t="shared" si="111"/>
        <v>-</v>
      </c>
      <c r="CV60" s="39">
        <v>0</v>
      </c>
      <c r="CW60" s="32">
        <f t="shared" si="112"/>
        <v>0</v>
      </c>
      <c r="CX60" s="77" t="str">
        <f t="shared" si="113"/>
        <v>-</v>
      </c>
      <c r="CY60" s="41">
        <v>0</v>
      </c>
      <c r="CZ60" s="40">
        <v>0</v>
      </c>
      <c r="DA60" s="32">
        <f t="shared" si="114"/>
        <v>0</v>
      </c>
      <c r="DB60" s="78" t="str">
        <f t="shared" si="115"/>
        <v>-</v>
      </c>
      <c r="DC60" s="39">
        <v>0</v>
      </c>
      <c r="DD60" s="39">
        <v>0</v>
      </c>
      <c r="DE60" s="32">
        <f t="shared" si="116"/>
        <v>0</v>
      </c>
      <c r="DF60" s="78" t="str">
        <f t="shared" si="117"/>
        <v>-</v>
      </c>
      <c r="DG60" s="39">
        <v>0</v>
      </c>
      <c r="DH60" s="32">
        <f t="shared" si="118"/>
        <v>0</v>
      </c>
      <c r="DI60" s="77" t="str">
        <f t="shared" si="119"/>
        <v>-</v>
      </c>
    </row>
    <row r="61" spans="1:113" ht="12.75" hidden="1" customHeight="1" outlineLevel="3" x14ac:dyDescent="0.2">
      <c r="B61" s="38" t="s">
        <v>35</v>
      </c>
      <c r="C61" s="37" t="s">
        <v>34</v>
      </c>
      <c r="D61" s="41">
        <v>0</v>
      </c>
      <c r="E61" s="40">
        <v>0</v>
      </c>
      <c r="F61" s="32">
        <f t="shared" si="60"/>
        <v>0</v>
      </c>
      <c r="G61" s="78" t="str">
        <f t="shared" si="61"/>
        <v>-</v>
      </c>
      <c r="H61" s="39">
        <v>0</v>
      </c>
      <c r="I61" s="39">
        <v>0</v>
      </c>
      <c r="J61" s="32">
        <f t="shared" si="62"/>
        <v>0</v>
      </c>
      <c r="K61" s="78" t="str">
        <f t="shared" si="63"/>
        <v>-</v>
      </c>
      <c r="L61" s="39">
        <v>0</v>
      </c>
      <c r="M61" s="32">
        <f t="shared" si="64"/>
        <v>0</v>
      </c>
      <c r="N61" s="77" t="str">
        <f t="shared" si="65"/>
        <v>-</v>
      </c>
      <c r="O61" s="41">
        <v>0</v>
      </c>
      <c r="P61" s="40">
        <v>0</v>
      </c>
      <c r="Q61" s="32">
        <f t="shared" si="66"/>
        <v>0</v>
      </c>
      <c r="R61" s="78" t="str">
        <f t="shared" si="67"/>
        <v>-</v>
      </c>
      <c r="S61" s="39">
        <v>0</v>
      </c>
      <c r="T61" s="39">
        <v>0</v>
      </c>
      <c r="U61" s="32">
        <f t="shared" si="68"/>
        <v>0</v>
      </c>
      <c r="V61" s="78" t="str">
        <f t="shared" si="69"/>
        <v>-</v>
      </c>
      <c r="W61" s="39">
        <v>0</v>
      </c>
      <c r="X61" s="32">
        <f t="shared" si="70"/>
        <v>0</v>
      </c>
      <c r="Y61" s="77" t="str">
        <f t="shared" si="71"/>
        <v>-</v>
      </c>
      <c r="Z61" s="41">
        <v>0</v>
      </c>
      <c r="AA61" s="40">
        <v>0</v>
      </c>
      <c r="AB61" s="32">
        <f t="shared" si="72"/>
        <v>0</v>
      </c>
      <c r="AC61" s="78" t="str">
        <f t="shared" si="73"/>
        <v>-</v>
      </c>
      <c r="AD61" s="39">
        <v>0</v>
      </c>
      <c r="AE61" s="39">
        <v>0</v>
      </c>
      <c r="AF61" s="32">
        <f t="shared" si="74"/>
        <v>0</v>
      </c>
      <c r="AG61" s="78" t="str">
        <f t="shared" si="75"/>
        <v>-</v>
      </c>
      <c r="AH61" s="39">
        <v>0</v>
      </c>
      <c r="AI61" s="32">
        <f t="shared" si="76"/>
        <v>0</v>
      </c>
      <c r="AJ61" s="77" t="str">
        <f t="shared" si="77"/>
        <v>-</v>
      </c>
      <c r="AK61" s="41">
        <v>0</v>
      </c>
      <c r="AL61" s="40">
        <v>0</v>
      </c>
      <c r="AM61" s="32">
        <f t="shared" si="78"/>
        <v>0</v>
      </c>
      <c r="AN61" s="78" t="str">
        <f t="shared" si="79"/>
        <v>-</v>
      </c>
      <c r="AO61" s="39">
        <v>0</v>
      </c>
      <c r="AP61" s="39">
        <v>0</v>
      </c>
      <c r="AQ61" s="32">
        <f t="shared" si="80"/>
        <v>0</v>
      </c>
      <c r="AR61" s="78" t="str">
        <f t="shared" si="81"/>
        <v>-</v>
      </c>
      <c r="AS61" s="39">
        <v>0</v>
      </c>
      <c r="AT61" s="32">
        <f t="shared" si="82"/>
        <v>0</v>
      </c>
      <c r="AU61" s="77" t="str">
        <f t="shared" si="83"/>
        <v>-</v>
      </c>
      <c r="AV61" s="41">
        <v>0</v>
      </c>
      <c r="AW61" s="40">
        <v>0</v>
      </c>
      <c r="AX61" s="32">
        <f t="shared" si="84"/>
        <v>0</v>
      </c>
      <c r="AY61" s="78" t="str">
        <f t="shared" si="85"/>
        <v>-</v>
      </c>
      <c r="AZ61" s="39">
        <v>0</v>
      </c>
      <c r="BA61" s="39">
        <v>0</v>
      </c>
      <c r="BB61" s="32">
        <f t="shared" si="86"/>
        <v>0</v>
      </c>
      <c r="BC61" s="78" t="str">
        <f t="shared" si="87"/>
        <v>-</v>
      </c>
      <c r="BD61" s="39">
        <v>0</v>
      </c>
      <c r="BE61" s="32">
        <f t="shared" si="88"/>
        <v>0</v>
      </c>
      <c r="BF61" s="77" t="str">
        <f t="shared" si="89"/>
        <v>-</v>
      </c>
      <c r="BG61" s="41">
        <v>0</v>
      </c>
      <c r="BH61" s="40">
        <v>0</v>
      </c>
      <c r="BI61" s="32">
        <f t="shared" si="90"/>
        <v>0</v>
      </c>
      <c r="BJ61" s="78" t="str">
        <f t="shared" si="91"/>
        <v>-</v>
      </c>
      <c r="BK61" s="39">
        <v>0</v>
      </c>
      <c r="BL61" s="39">
        <v>0</v>
      </c>
      <c r="BM61" s="32">
        <f t="shared" si="92"/>
        <v>0</v>
      </c>
      <c r="BN61" s="78" t="str">
        <f t="shared" si="93"/>
        <v>-</v>
      </c>
      <c r="BO61" s="39">
        <v>0</v>
      </c>
      <c r="BP61" s="32">
        <f t="shared" si="94"/>
        <v>0</v>
      </c>
      <c r="BQ61" s="77" t="str">
        <f t="shared" si="95"/>
        <v>-</v>
      </c>
      <c r="BR61" s="41">
        <v>0</v>
      </c>
      <c r="BS61" s="40">
        <v>0</v>
      </c>
      <c r="BT61" s="32">
        <f t="shared" si="96"/>
        <v>0</v>
      </c>
      <c r="BU61" s="78" t="str">
        <f t="shared" si="97"/>
        <v>-</v>
      </c>
      <c r="BV61" s="39">
        <v>0</v>
      </c>
      <c r="BW61" s="39">
        <v>0</v>
      </c>
      <c r="BX61" s="32">
        <f t="shared" si="98"/>
        <v>0</v>
      </c>
      <c r="BY61" s="78" t="str">
        <f t="shared" si="99"/>
        <v>-</v>
      </c>
      <c r="BZ61" s="39">
        <v>0</v>
      </c>
      <c r="CA61" s="32">
        <f t="shared" si="100"/>
        <v>0</v>
      </c>
      <c r="CB61" s="77" t="str">
        <f t="shared" si="101"/>
        <v>-</v>
      </c>
      <c r="CC61" s="41">
        <v>0</v>
      </c>
      <c r="CD61" s="40">
        <v>0</v>
      </c>
      <c r="CE61" s="32">
        <f t="shared" si="102"/>
        <v>0</v>
      </c>
      <c r="CF61" s="78" t="str">
        <f t="shared" si="103"/>
        <v>-</v>
      </c>
      <c r="CG61" s="39">
        <v>0</v>
      </c>
      <c r="CH61" s="39">
        <v>0</v>
      </c>
      <c r="CI61" s="32">
        <f t="shared" si="104"/>
        <v>0</v>
      </c>
      <c r="CJ61" s="78" t="str">
        <f t="shared" si="105"/>
        <v>-</v>
      </c>
      <c r="CK61" s="39">
        <v>0</v>
      </c>
      <c r="CL61" s="32">
        <f t="shared" si="106"/>
        <v>0</v>
      </c>
      <c r="CM61" s="77" t="str">
        <f t="shared" si="107"/>
        <v>-</v>
      </c>
      <c r="CN61" s="41">
        <v>0</v>
      </c>
      <c r="CO61" s="40">
        <v>0</v>
      </c>
      <c r="CP61" s="32">
        <f t="shared" si="108"/>
        <v>0</v>
      </c>
      <c r="CQ61" s="78" t="str">
        <f t="shared" si="109"/>
        <v>-</v>
      </c>
      <c r="CR61" s="39">
        <v>0</v>
      </c>
      <c r="CS61" s="39">
        <v>0</v>
      </c>
      <c r="CT61" s="32">
        <f t="shared" si="110"/>
        <v>0</v>
      </c>
      <c r="CU61" s="78" t="str">
        <f t="shared" si="111"/>
        <v>-</v>
      </c>
      <c r="CV61" s="39">
        <v>0</v>
      </c>
      <c r="CW61" s="32">
        <f t="shared" si="112"/>
        <v>0</v>
      </c>
      <c r="CX61" s="77" t="str">
        <f t="shared" si="113"/>
        <v>-</v>
      </c>
      <c r="CY61" s="41">
        <v>0</v>
      </c>
      <c r="CZ61" s="40">
        <v>0</v>
      </c>
      <c r="DA61" s="32">
        <f t="shared" si="114"/>
        <v>0</v>
      </c>
      <c r="DB61" s="78" t="str">
        <f t="shared" si="115"/>
        <v>-</v>
      </c>
      <c r="DC61" s="39">
        <v>0</v>
      </c>
      <c r="DD61" s="39">
        <v>0</v>
      </c>
      <c r="DE61" s="32">
        <f t="shared" si="116"/>
        <v>0</v>
      </c>
      <c r="DF61" s="78" t="str">
        <f t="shared" si="117"/>
        <v>-</v>
      </c>
      <c r="DG61" s="39">
        <v>0</v>
      </c>
      <c r="DH61" s="32">
        <f t="shared" si="118"/>
        <v>0</v>
      </c>
      <c r="DI61" s="77" t="str">
        <f t="shared" si="119"/>
        <v>-</v>
      </c>
    </row>
    <row r="62" spans="1:113" s="6" customFormat="1" hidden="1" outlineLevel="2" collapsed="1" x14ac:dyDescent="0.2">
      <c r="A62" s="30"/>
      <c r="B62" s="29" t="s">
        <v>33</v>
      </c>
      <c r="C62" s="42" t="s">
        <v>32</v>
      </c>
      <c r="D62" s="27">
        <f>SUM(D60:D61)</f>
        <v>0</v>
      </c>
      <c r="E62" s="26">
        <f>SUM(E60:E61)</f>
        <v>0</v>
      </c>
      <c r="F62" s="23">
        <f t="shared" si="60"/>
        <v>0</v>
      </c>
      <c r="G62" s="76" t="str">
        <f t="shared" si="61"/>
        <v>-</v>
      </c>
      <c r="H62" s="24">
        <f>SUM(H60:H61)</f>
        <v>0</v>
      </c>
      <c r="I62" s="24">
        <f>SUM(I60:I61)</f>
        <v>0</v>
      </c>
      <c r="J62" s="23">
        <f t="shared" si="62"/>
        <v>0</v>
      </c>
      <c r="K62" s="76" t="str">
        <f t="shared" si="63"/>
        <v>-</v>
      </c>
      <c r="L62" s="24">
        <f>SUM(L60:L61)</f>
        <v>0</v>
      </c>
      <c r="M62" s="23">
        <f t="shared" si="64"/>
        <v>0</v>
      </c>
      <c r="N62" s="75" t="str">
        <f t="shared" si="65"/>
        <v>-</v>
      </c>
      <c r="O62" s="27">
        <f>SUM(O60:O61)</f>
        <v>0</v>
      </c>
      <c r="P62" s="26">
        <f>SUM(P60:P61)</f>
        <v>0</v>
      </c>
      <c r="Q62" s="23">
        <f t="shared" si="66"/>
        <v>0</v>
      </c>
      <c r="R62" s="76" t="str">
        <f t="shared" si="67"/>
        <v>-</v>
      </c>
      <c r="S62" s="24">
        <f>SUM(S60:S61)</f>
        <v>0</v>
      </c>
      <c r="T62" s="24">
        <f>SUM(T60:T61)</f>
        <v>0</v>
      </c>
      <c r="U62" s="23">
        <f t="shared" si="68"/>
        <v>0</v>
      </c>
      <c r="V62" s="76" t="str">
        <f t="shared" si="69"/>
        <v>-</v>
      </c>
      <c r="W62" s="24">
        <f>SUM(W60:W61)</f>
        <v>0</v>
      </c>
      <c r="X62" s="23">
        <f t="shared" si="70"/>
        <v>0</v>
      </c>
      <c r="Y62" s="75" t="str">
        <f t="shared" si="71"/>
        <v>-</v>
      </c>
      <c r="Z62" s="27">
        <f>SUM(Z60:Z61)</f>
        <v>0</v>
      </c>
      <c r="AA62" s="26">
        <f>SUM(AA60:AA61)</f>
        <v>0</v>
      </c>
      <c r="AB62" s="23">
        <f t="shared" si="72"/>
        <v>0</v>
      </c>
      <c r="AC62" s="76" t="str">
        <f t="shared" si="73"/>
        <v>-</v>
      </c>
      <c r="AD62" s="24">
        <f>SUM(AD60:AD61)</f>
        <v>0</v>
      </c>
      <c r="AE62" s="24">
        <f>SUM(AE60:AE61)</f>
        <v>0</v>
      </c>
      <c r="AF62" s="23">
        <f t="shared" si="74"/>
        <v>0</v>
      </c>
      <c r="AG62" s="76" t="str">
        <f t="shared" si="75"/>
        <v>-</v>
      </c>
      <c r="AH62" s="24">
        <f>SUM(AH60:AH61)</f>
        <v>0</v>
      </c>
      <c r="AI62" s="23">
        <f t="shared" si="76"/>
        <v>0</v>
      </c>
      <c r="AJ62" s="75" t="str">
        <f t="shared" si="77"/>
        <v>-</v>
      </c>
      <c r="AK62" s="27">
        <f>SUM(AK60:AK61)</f>
        <v>0</v>
      </c>
      <c r="AL62" s="26">
        <f>SUM(AL60:AL61)</f>
        <v>0</v>
      </c>
      <c r="AM62" s="23">
        <f t="shared" si="78"/>
        <v>0</v>
      </c>
      <c r="AN62" s="76" t="str">
        <f t="shared" si="79"/>
        <v>-</v>
      </c>
      <c r="AO62" s="24">
        <f>SUM(AO60:AO61)</f>
        <v>0</v>
      </c>
      <c r="AP62" s="24">
        <f>SUM(AP60:AP61)</f>
        <v>0</v>
      </c>
      <c r="AQ62" s="23">
        <f t="shared" si="80"/>
        <v>0</v>
      </c>
      <c r="AR62" s="76" t="str">
        <f t="shared" si="81"/>
        <v>-</v>
      </c>
      <c r="AS62" s="24">
        <f>SUM(AS60:AS61)</f>
        <v>0</v>
      </c>
      <c r="AT62" s="23">
        <f t="shared" si="82"/>
        <v>0</v>
      </c>
      <c r="AU62" s="75" t="str">
        <f t="shared" si="83"/>
        <v>-</v>
      </c>
      <c r="AV62" s="27">
        <f>SUM(AV60:AV61)</f>
        <v>0</v>
      </c>
      <c r="AW62" s="26">
        <f>SUM(AW60:AW61)</f>
        <v>0</v>
      </c>
      <c r="AX62" s="23">
        <f t="shared" si="84"/>
        <v>0</v>
      </c>
      <c r="AY62" s="76" t="str">
        <f t="shared" si="85"/>
        <v>-</v>
      </c>
      <c r="AZ62" s="24">
        <f>SUM(AZ60:AZ61)</f>
        <v>0</v>
      </c>
      <c r="BA62" s="24">
        <f>SUM(BA60:BA61)</f>
        <v>0</v>
      </c>
      <c r="BB62" s="23">
        <f t="shared" si="86"/>
        <v>0</v>
      </c>
      <c r="BC62" s="76" t="str">
        <f t="shared" si="87"/>
        <v>-</v>
      </c>
      <c r="BD62" s="24">
        <f>SUM(BD60:BD61)</f>
        <v>0</v>
      </c>
      <c r="BE62" s="23">
        <f t="shared" si="88"/>
        <v>0</v>
      </c>
      <c r="BF62" s="75" t="str">
        <f t="shared" si="89"/>
        <v>-</v>
      </c>
      <c r="BG62" s="27">
        <f>SUM(BG60:BG61)</f>
        <v>0</v>
      </c>
      <c r="BH62" s="26">
        <f>SUM(BH60:BH61)</f>
        <v>0</v>
      </c>
      <c r="BI62" s="23">
        <f t="shared" si="90"/>
        <v>0</v>
      </c>
      <c r="BJ62" s="76" t="str">
        <f t="shared" si="91"/>
        <v>-</v>
      </c>
      <c r="BK62" s="24">
        <f>SUM(BK60:BK61)</f>
        <v>0</v>
      </c>
      <c r="BL62" s="24">
        <f>SUM(BL60:BL61)</f>
        <v>0</v>
      </c>
      <c r="BM62" s="23">
        <f t="shared" si="92"/>
        <v>0</v>
      </c>
      <c r="BN62" s="76" t="str">
        <f t="shared" si="93"/>
        <v>-</v>
      </c>
      <c r="BO62" s="24">
        <f>SUM(BO60:BO61)</f>
        <v>0</v>
      </c>
      <c r="BP62" s="23">
        <f t="shared" si="94"/>
        <v>0</v>
      </c>
      <c r="BQ62" s="75" t="str">
        <f t="shared" si="95"/>
        <v>-</v>
      </c>
      <c r="BR62" s="27">
        <f>SUM(BR60:BR61)</f>
        <v>0</v>
      </c>
      <c r="BS62" s="26">
        <f>SUM(BS60:BS61)</f>
        <v>0</v>
      </c>
      <c r="BT62" s="23">
        <f t="shared" si="96"/>
        <v>0</v>
      </c>
      <c r="BU62" s="76" t="str">
        <f t="shared" si="97"/>
        <v>-</v>
      </c>
      <c r="BV62" s="24">
        <f>SUM(BV60:BV61)</f>
        <v>0</v>
      </c>
      <c r="BW62" s="24">
        <f>SUM(BW60:BW61)</f>
        <v>0</v>
      </c>
      <c r="BX62" s="23">
        <f t="shared" si="98"/>
        <v>0</v>
      </c>
      <c r="BY62" s="76" t="str">
        <f t="shared" si="99"/>
        <v>-</v>
      </c>
      <c r="BZ62" s="24">
        <f>SUM(BZ60:BZ61)</f>
        <v>0</v>
      </c>
      <c r="CA62" s="23">
        <f t="shared" si="100"/>
        <v>0</v>
      </c>
      <c r="CB62" s="75" t="str">
        <f t="shared" si="101"/>
        <v>-</v>
      </c>
      <c r="CC62" s="27">
        <f>SUM(CC60:CC61)</f>
        <v>0</v>
      </c>
      <c r="CD62" s="26">
        <f>SUM(CD60:CD61)</f>
        <v>0</v>
      </c>
      <c r="CE62" s="23">
        <f t="shared" si="102"/>
        <v>0</v>
      </c>
      <c r="CF62" s="76" t="str">
        <f t="shared" si="103"/>
        <v>-</v>
      </c>
      <c r="CG62" s="24">
        <f>SUM(CG60:CG61)</f>
        <v>0</v>
      </c>
      <c r="CH62" s="24">
        <f>SUM(CH60:CH61)</f>
        <v>0</v>
      </c>
      <c r="CI62" s="23">
        <f t="shared" si="104"/>
        <v>0</v>
      </c>
      <c r="CJ62" s="76" t="str">
        <f t="shared" si="105"/>
        <v>-</v>
      </c>
      <c r="CK62" s="24">
        <f>SUM(CK60:CK61)</f>
        <v>0</v>
      </c>
      <c r="CL62" s="23">
        <f t="shared" si="106"/>
        <v>0</v>
      </c>
      <c r="CM62" s="75" t="str">
        <f t="shared" si="107"/>
        <v>-</v>
      </c>
      <c r="CN62" s="27">
        <f>SUM(CN60:CN61)</f>
        <v>0</v>
      </c>
      <c r="CO62" s="26">
        <f>SUM(CO60:CO61)</f>
        <v>0</v>
      </c>
      <c r="CP62" s="23">
        <f t="shared" si="108"/>
        <v>0</v>
      </c>
      <c r="CQ62" s="76" t="str">
        <f t="shared" si="109"/>
        <v>-</v>
      </c>
      <c r="CR62" s="24">
        <f>SUM(CR60:CR61)</f>
        <v>0</v>
      </c>
      <c r="CS62" s="24">
        <f>SUM(CS60:CS61)</f>
        <v>0</v>
      </c>
      <c r="CT62" s="23">
        <f t="shared" si="110"/>
        <v>0</v>
      </c>
      <c r="CU62" s="76" t="str">
        <f t="shared" si="111"/>
        <v>-</v>
      </c>
      <c r="CV62" s="24">
        <f>SUM(CV60:CV61)</f>
        <v>0</v>
      </c>
      <c r="CW62" s="23">
        <f t="shared" si="112"/>
        <v>0</v>
      </c>
      <c r="CX62" s="75" t="str">
        <f t="shared" si="113"/>
        <v>-</v>
      </c>
      <c r="CY62" s="27">
        <f>SUM(CY60:CY61)</f>
        <v>0</v>
      </c>
      <c r="CZ62" s="26">
        <f>SUM(CZ60:CZ61)</f>
        <v>0</v>
      </c>
      <c r="DA62" s="23">
        <f t="shared" si="114"/>
        <v>0</v>
      </c>
      <c r="DB62" s="76" t="str">
        <f t="shared" si="115"/>
        <v>-</v>
      </c>
      <c r="DC62" s="24">
        <f>SUM(DC60:DC61)</f>
        <v>0</v>
      </c>
      <c r="DD62" s="24">
        <f>SUM(DD60:DD61)</f>
        <v>0</v>
      </c>
      <c r="DE62" s="23">
        <f t="shared" si="116"/>
        <v>0</v>
      </c>
      <c r="DF62" s="76" t="str">
        <f t="shared" si="117"/>
        <v>-</v>
      </c>
      <c r="DG62" s="24">
        <f>SUM(DG60:DG61)</f>
        <v>0</v>
      </c>
      <c r="DH62" s="23">
        <f t="shared" si="118"/>
        <v>0</v>
      </c>
      <c r="DI62" s="75" t="str">
        <f t="shared" si="119"/>
        <v>-</v>
      </c>
    </row>
    <row r="63" spans="1:113" ht="12.75" hidden="1" customHeight="1" outlineLevel="3" x14ac:dyDescent="0.2">
      <c r="B63" s="38" t="s">
        <v>26</v>
      </c>
      <c r="C63" s="37" t="s">
        <v>31</v>
      </c>
      <c r="D63" s="41">
        <f>H63/3</f>
        <v>0</v>
      </c>
      <c r="E63" s="40">
        <f>3528170167.46521/12</f>
        <v>294014180.62210083</v>
      </c>
      <c r="F63" s="32">
        <f t="shared" si="60"/>
        <v>-294014180.62210083</v>
      </c>
      <c r="G63" s="78">
        <f t="shared" si="61"/>
        <v>-1</v>
      </c>
      <c r="H63" s="39">
        <v>0</v>
      </c>
      <c r="I63" s="40">
        <f>3528170167.46521/2</f>
        <v>1764085083.732605</v>
      </c>
      <c r="J63" s="32">
        <f t="shared" si="62"/>
        <v>-1764085083.732605</v>
      </c>
      <c r="K63" s="78">
        <f t="shared" si="63"/>
        <v>-1</v>
      </c>
      <c r="L63" s="39">
        <v>3528170167.4652085</v>
      </c>
      <c r="M63" s="32">
        <f t="shared" si="64"/>
        <v>-3528170167.4652085</v>
      </c>
      <c r="N63" s="77">
        <f t="shared" si="65"/>
        <v>-1</v>
      </c>
      <c r="O63" s="41">
        <f>S63/3</f>
        <v>0</v>
      </c>
      <c r="P63" s="40">
        <f>3528170167.46521/12</f>
        <v>294014180.62210083</v>
      </c>
      <c r="Q63" s="32">
        <f t="shared" si="66"/>
        <v>-294014180.62210083</v>
      </c>
      <c r="R63" s="78">
        <f t="shared" si="67"/>
        <v>-1</v>
      </c>
      <c r="S63" s="39">
        <v>0</v>
      </c>
      <c r="T63" s="40">
        <f>3528170167.46521/2</f>
        <v>1764085083.732605</v>
      </c>
      <c r="U63" s="32">
        <f t="shared" si="68"/>
        <v>-1764085083.732605</v>
      </c>
      <c r="V63" s="78">
        <f t="shared" si="69"/>
        <v>-1</v>
      </c>
      <c r="W63" s="39">
        <v>3528170167.4652085</v>
      </c>
      <c r="X63" s="32">
        <f t="shared" si="70"/>
        <v>-3528170167.4652085</v>
      </c>
      <c r="Y63" s="77">
        <f t="shared" si="71"/>
        <v>-1</v>
      </c>
      <c r="Z63" s="41">
        <f>AD63/3</f>
        <v>0</v>
      </c>
      <c r="AA63" s="40">
        <f>3528170167.46521/12</f>
        <v>294014180.62210083</v>
      </c>
      <c r="AB63" s="32">
        <f t="shared" si="72"/>
        <v>-294014180.62210083</v>
      </c>
      <c r="AC63" s="78">
        <f t="shared" si="73"/>
        <v>-1</v>
      </c>
      <c r="AD63" s="39">
        <v>0</v>
      </c>
      <c r="AE63" s="40">
        <f>3528170167.46521/2</f>
        <v>1764085083.732605</v>
      </c>
      <c r="AF63" s="32">
        <f t="shared" si="74"/>
        <v>-1764085083.732605</v>
      </c>
      <c r="AG63" s="78">
        <f t="shared" si="75"/>
        <v>-1</v>
      </c>
      <c r="AH63" s="39">
        <v>3528170167.4652085</v>
      </c>
      <c r="AI63" s="32">
        <f t="shared" si="76"/>
        <v>-3528170167.4652085</v>
      </c>
      <c r="AJ63" s="77">
        <f t="shared" si="77"/>
        <v>-1</v>
      </c>
      <c r="AK63" s="41">
        <f>AO63/3</f>
        <v>0</v>
      </c>
      <c r="AL63" s="40">
        <f>3528170167.46521/12</f>
        <v>294014180.62210083</v>
      </c>
      <c r="AM63" s="32">
        <f t="shared" si="78"/>
        <v>-294014180.62210083</v>
      </c>
      <c r="AN63" s="78">
        <f t="shared" si="79"/>
        <v>-1</v>
      </c>
      <c r="AO63" s="39">
        <v>0</v>
      </c>
      <c r="AP63" s="40">
        <f>3528170167.46521/2</f>
        <v>1764085083.732605</v>
      </c>
      <c r="AQ63" s="32">
        <f t="shared" si="80"/>
        <v>-1764085083.732605</v>
      </c>
      <c r="AR63" s="78">
        <f t="shared" si="81"/>
        <v>-1</v>
      </c>
      <c r="AS63" s="39">
        <v>3528170167.4652085</v>
      </c>
      <c r="AT63" s="32">
        <f t="shared" si="82"/>
        <v>-3528170167.4652085</v>
      </c>
      <c r="AU63" s="77">
        <f t="shared" si="83"/>
        <v>-1</v>
      </c>
      <c r="AV63" s="41">
        <f>AZ63/3</f>
        <v>0</v>
      </c>
      <c r="AW63" s="40">
        <f>3528170167.46521/12</f>
        <v>294014180.62210083</v>
      </c>
      <c r="AX63" s="32">
        <f t="shared" si="84"/>
        <v>-294014180.62210083</v>
      </c>
      <c r="AY63" s="78">
        <f t="shared" si="85"/>
        <v>-1</v>
      </c>
      <c r="AZ63" s="39">
        <v>0</v>
      </c>
      <c r="BA63" s="40">
        <f>3528170167.46521/2</f>
        <v>1764085083.732605</v>
      </c>
      <c r="BB63" s="32">
        <f t="shared" si="86"/>
        <v>-1764085083.732605</v>
      </c>
      <c r="BC63" s="78">
        <f t="shared" si="87"/>
        <v>-1</v>
      </c>
      <c r="BD63" s="39">
        <v>3528170167.4652085</v>
      </c>
      <c r="BE63" s="32">
        <f t="shared" si="88"/>
        <v>-3528170167.4652085</v>
      </c>
      <c r="BF63" s="77">
        <f t="shared" si="89"/>
        <v>-1</v>
      </c>
      <c r="BG63" s="41">
        <f>BK63/3</f>
        <v>0</v>
      </c>
      <c r="BH63" s="40">
        <f>3528170167.46521/12</f>
        <v>294014180.62210083</v>
      </c>
      <c r="BI63" s="32">
        <f t="shared" si="90"/>
        <v>-294014180.62210083</v>
      </c>
      <c r="BJ63" s="78">
        <f t="shared" si="91"/>
        <v>-1</v>
      </c>
      <c r="BK63" s="39">
        <v>0</v>
      </c>
      <c r="BL63" s="40">
        <f>3528170167.46521/2</f>
        <v>1764085083.732605</v>
      </c>
      <c r="BM63" s="32">
        <f t="shared" si="92"/>
        <v>-1764085083.732605</v>
      </c>
      <c r="BN63" s="78">
        <f t="shared" si="93"/>
        <v>-1</v>
      </c>
      <c r="BO63" s="39">
        <v>3528170167.4652085</v>
      </c>
      <c r="BP63" s="32">
        <f t="shared" si="94"/>
        <v>-3528170167.4652085</v>
      </c>
      <c r="BQ63" s="77">
        <f t="shared" si="95"/>
        <v>-1</v>
      </c>
      <c r="BR63" s="41">
        <f>BV63/3</f>
        <v>0</v>
      </c>
      <c r="BS63" s="40">
        <f>3528170167.46521/12</f>
        <v>294014180.62210083</v>
      </c>
      <c r="BT63" s="32">
        <f t="shared" si="96"/>
        <v>-294014180.62210083</v>
      </c>
      <c r="BU63" s="78">
        <f t="shared" si="97"/>
        <v>-1</v>
      </c>
      <c r="BV63" s="39">
        <v>0</v>
      </c>
      <c r="BW63" s="40">
        <f>3528170167.46521/2</f>
        <v>1764085083.732605</v>
      </c>
      <c r="BX63" s="32">
        <f t="shared" si="98"/>
        <v>-1764085083.732605</v>
      </c>
      <c r="BY63" s="78">
        <f t="shared" si="99"/>
        <v>-1</v>
      </c>
      <c r="BZ63" s="39">
        <v>3528170167.4652085</v>
      </c>
      <c r="CA63" s="32">
        <f t="shared" si="100"/>
        <v>-3528170167.4652085</v>
      </c>
      <c r="CB63" s="77">
        <f t="shared" si="101"/>
        <v>-1</v>
      </c>
      <c r="CC63" s="41">
        <f>CG63/3</f>
        <v>0</v>
      </c>
      <c r="CD63" s="40">
        <f>3528170167.46521/12</f>
        <v>294014180.62210083</v>
      </c>
      <c r="CE63" s="32">
        <f t="shared" si="102"/>
        <v>-294014180.62210083</v>
      </c>
      <c r="CF63" s="78">
        <f t="shared" si="103"/>
        <v>-1</v>
      </c>
      <c r="CG63" s="39">
        <v>0</v>
      </c>
      <c r="CH63" s="40">
        <f>3528170167.46521/2</f>
        <v>1764085083.732605</v>
      </c>
      <c r="CI63" s="32">
        <f t="shared" si="104"/>
        <v>-1764085083.732605</v>
      </c>
      <c r="CJ63" s="78">
        <f t="shared" si="105"/>
        <v>-1</v>
      </c>
      <c r="CK63" s="39">
        <v>3528170167.4652085</v>
      </c>
      <c r="CL63" s="32">
        <f t="shared" si="106"/>
        <v>-3528170167.4652085</v>
      </c>
      <c r="CM63" s="77">
        <f t="shared" si="107"/>
        <v>-1</v>
      </c>
      <c r="CN63" s="41">
        <f>CR63/3</f>
        <v>0</v>
      </c>
      <c r="CO63" s="40">
        <f>3528170167.46521/12</f>
        <v>294014180.62210083</v>
      </c>
      <c r="CP63" s="32">
        <f t="shared" si="108"/>
        <v>-294014180.62210083</v>
      </c>
      <c r="CQ63" s="78">
        <f t="shared" si="109"/>
        <v>-1</v>
      </c>
      <c r="CR63" s="39">
        <v>0</v>
      </c>
      <c r="CS63" s="40">
        <f>3528170167.46521/2</f>
        <v>1764085083.732605</v>
      </c>
      <c r="CT63" s="32">
        <f t="shared" si="110"/>
        <v>-1764085083.732605</v>
      </c>
      <c r="CU63" s="78">
        <f t="shared" si="111"/>
        <v>-1</v>
      </c>
      <c r="CV63" s="39">
        <v>3528170167.4652085</v>
      </c>
      <c r="CW63" s="32">
        <f t="shared" si="112"/>
        <v>-3528170167.4652085</v>
      </c>
      <c r="CX63" s="77">
        <f t="shared" si="113"/>
        <v>-1</v>
      </c>
      <c r="CY63" s="41">
        <f>DC63/3</f>
        <v>0</v>
      </c>
      <c r="CZ63" s="40">
        <f>3528170167.46521/12</f>
        <v>294014180.62210083</v>
      </c>
      <c r="DA63" s="32">
        <f t="shared" si="114"/>
        <v>-294014180.62210083</v>
      </c>
      <c r="DB63" s="78">
        <f t="shared" si="115"/>
        <v>-1</v>
      </c>
      <c r="DC63" s="39">
        <v>0</v>
      </c>
      <c r="DD63" s="40">
        <f>3528170167.46521/2</f>
        <v>1764085083.732605</v>
      </c>
      <c r="DE63" s="32">
        <f t="shared" si="116"/>
        <v>-1764085083.732605</v>
      </c>
      <c r="DF63" s="78">
        <f t="shared" si="117"/>
        <v>-1</v>
      </c>
      <c r="DG63" s="39">
        <v>3528170167.4652085</v>
      </c>
      <c r="DH63" s="32">
        <f t="shared" si="118"/>
        <v>-3528170167.4652085</v>
      </c>
      <c r="DI63" s="77">
        <f t="shared" si="119"/>
        <v>-1</v>
      </c>
    </row>
    <row r="64" spans="1:113" ht="12.75" hidden="1" customHeight="1" outlineLevel="3" x14ac:dyDescent="0.2">
      <c r="B64" s="38" t="s">
        <v>30</v>
      </c>
      <c r="C64" s="37" t="s">
        <v>29</v>
      </c>
      <c r="D64" s="36">
        <f>H64/3</f>
        <v>0</v>
      </c>
      <c r="E64" s="35">
        <f>652711480.981063/12</f>
        <v>54392623.415088587</v>
      </c>
      <c r="F64" s="32">
        <f t="shared" si="60"/>
        <v>-54392623.415088587</v>
      </c>
      <c r="G64" s="78">
        <f t="shared" si="61"/>
        <v>-1</v>
      </c>
      <c r="H64" s="33">
        <v>0</v>
      </c>
      <c r="I64" s="35">
        <f>652711480.981063/2</f>
        <v>326355740.4905315</v>
      </c>
      <c r="J64" s="32">
        <f t="shared" si="62"/>
        <v>-326355740.4905315</v>
      </c>
      <c r="K64" s="78">
        <f t="shared" si="63"/>
        <v>-1</v>
      </c>
      <c r="L64" s="33">
        <v>652711480.98106337</v>
      </c>
      <c r="M64" s="32">
        <f t="shared" si="64"/>
        <v>-652711480.98106337</v>
      </c>
      <c r="N64" s="77">
        <f t="shared" si="65"/>
        <v>-1</v>
      </c>
      <c r="O64" s="36">
        <f>S64/3</f>
        <v>0</v>
      </c>
      <c r="P64" s="35">
        <f>652711480.981063/12</f>
        <v>54392623.415088587</v>
      </c>
      <c r="Q64" s="32">
        <f t="shared" si="66"/>
        <v>-54392623.415088587</v>
      </c>
      <c r="R64" s="78">
        <f t="shared" si="67"/>
        <v>-1</v>
      </c>
      <c r="S64" s="33">
        <v>0</v>
      </c>
      <c r="T64" s="35">
        <f>652711480.981063/2</f>
        <v>326355740.4905315</v>
      </c>
      <c r="U64" s="32">
        <f t="shared" si="68"/>
        <v>-326355740.4905315</v>
      </c>
      <c r="V64" s="78">
        <f t="shared" si="69"/>
        <v>-1</v>
      </c>
      <c r="W64" s="33">
        <v>652711480.98106337</v>
      </c>
      <c r="X64" s="32">
        <f t="shared" si="70"/>
        <v>-652711480.98106337</v>
      </c>
      <c r="Y64" s="77">
        <f t="shared" si="71"/>
        <v>-1</v>
      </c>
      <c r="Z64" s="36">
        <f>AD64/3</f>
        <v>0</v>
      </c>
      <c r="AA64" s="35">
        <f>652711480.981063/12</f>
        <v>54392623.415088587</v>
      </c>
      <c r="AB64" s="32">
        <f t="shared" si="72"/>
        <v>-54392623.415088587</v>
      </c>
      <c r="AC64" s="78">
        <f t="shared" si="73"/>
        <v>-1</v>
      </c>
      <c r="AD64" s="33">
        <v>0</v>
      </c>
      <c r="AE64" s="35">
        <f>652711480.981063/2</f>
        <v>326355740.4905315</v>
      </c>
      <c r="AF64" s="32">
        <f t="shared" si="74"/>
        <v>-326355740.4905315</v>
      </c>
      <c r="AG64" s="78">
        <f t="shared" si="75"/>
        <v>-1</v>
      </c>
      <c r="AH64" s="33">
        <v>652711480.98106337</v>
      </c>
      <c r="AI64" s="32">
        <f t="shared" si="76"/>
        <v>-652711480.98106337</v>
      </c>
      <c r="AJ64" s="77">
        <f t="shared" si="77"/>
        <v>-1</v>
      </c>
      <c r="AK64" s="36">
        <f>AO64/3</f>
        <v>0</v>
      </c>
      <c r="AL64" s="35">
        <f>652711480.981063/12</f>
        <v>54392623.415088587</v>
      </c>
      <c r="AM64" s="32">
        <f t="shared" si="78"/>
        <v>-54392623.415088587</v>
      </c>
      <c r="AN64" s="78">
        <f t="shared" si="79"/>
        <v>-1</v>
      </c>
      <c r="AO64" s="33">
        <v>0</v>
      </c>
      <c r="AP64" s="35">
        <f>652711480.981063/2</f>
        <v>326355740.4905315</v>
      </c>
      <c r="AQ64" s="32">
        <f t="shared" si="80"/>
        <v>-326355740.4905315</v>
      </c>
      <c r="AR64" s="78">
        <f t="shared" si="81"/>
        <v>-1</v>
      </c>
      <c r="AS64" s="33">
        <v>652711480.98106337</v>
      </c>
      <c r="AT64" s="32">
        <f t="shared" si="82"/>
        <v>-652711480.98106337</v>
      </c>
      <c r="AU64" s="77">
        <f t="shared" si="83"/>
        <v>-1</v>
      </c>
      <c r="AV64" s="36">
        <f>AZ64/3</f>
        <v>0</v>
      </c>
      <c r="AW64" s="35">
        <f>652711480.981063/12</f>
        <v>54392623.415088587</v>
      </c>
      <c r="AX64" s="32">
        <f t="shared" si="84"/>
        <v>-54392623.415088587</v>
      </c>
      <c r="AY64" s="78">
        <f t="shared" si="85"/>
        <v>-1</v>
      </c>
      <c r="AZ64" s="33">
        <v>0</v>
      </c>
      <c r="BA64" s="35">
        <f>652711480.981063/2</f>
        <v>326355740.4905315</v>
      </c>
      <c r="BB64" s="32">
        <f t="shared" si="86"/>
        <v>-326355740.4905315</v>
      </c>
      <c r="BC64" s="78">
        <f t="shared" si="87"/>
        <v>-1</v>
      </c>
      <c r="BD64" s="33">
        <v>652711480.98106337</v>
      </c>
      <c r="BE64" s="32">
        <f t="shared" si="88"/>
        <v>-652711480.98106337</v>
      </c>
      <c r="BF64" s="77">
        <f t="shared" si="89"/>
        <v>-1</v>
      </c>
      <c r="BG64" s="36">
        <f>BK64/3</f>
        <v>0</v>
      </c>
      <c r="BH64" s="35">
        <f>652711480.981063/12</f>
        <v>54392623.415088587</v>
      </c>
      <c r="BI64" s="32">
        <f t="shared" si="90"/>
        <v>-54392623.415088587</v>
      </c>
      <c r="BJ64" s="78">
        <f t="shared" si="91"/>
        <v>-1</v>
      </c>
      <c r="BK64" s="33">
        <v>0</v>
      </c>
      <c r="BL64" s="35">
        <f>652711480.981063/2</f>
        <v>326355740.4905315</v>
      </c>
      <c r="BM64" s="32">
        <f t="shared" si="92"/>
        <v>-326355740.4905315</v>
      </c>
      <c r="BN64" s="78">
        <f t="shared" si="93"/>
        <v>-1</v>
      </c>
      <c r="BO64" s="33">
        <v>652711480.98106337</v>
      </c>
      <c r="BP64" s="32">
        <f t="shared" si="94"/>
        <v>-652711480.98106337</v>
      </c>
      <c r="BQ64" s="77">
        <f t="shared" si="95"/>
        <v>-1</v>
      </c>
      <c r="BR64" s="36">
        <f>BV64/3</f>
        <v>0</v>
      </c>
      <c r="BS64" s="35">
        <f>652711480.981063/12</f>
        <v>54392623.415088587</v>
      </c>
      <c r="BT64" s="32">
        <f t="shared" si="96"/>
        <v>-54392623.415088587</v>
      </c>
      <c r="BU64" s="78">
        <f t="shared" si="97"/>
        <v>-1</v>
      </c>
      <c r="BV64" s="33">
        <v>0</v>
      </c>
      <c r="BW64" s="35">
        <f>652711480.981063/2</f>
        <v>326355740.4905315</v>
      </c>
      <c r="BX64" s="32">
        <f t="shared" si="98"/>
        <v>-326355740.4905315</v>
      </c>
      <c r="BY64" s="78">
        <f t="shared" si="99"/>
        <v>-1</v>
      </c>
      <c r="BZ64" s="33">
        <v>652711480.98106337</v>
      </c>
      <c r="CA64" s="32">
        <f t="shared" si="100"/>
        <v>-652711480.98106337</v>
      </c>
      <c r="CB64" s="77">
        <f t="shared" si="101"/>
        <v>-1</v>
      </c>
      <c r="CC64" s="36">
        <f>CG64/3</f>
        <v>0</v>
      </c>
      <c r="CD64" s="35">
        <f>652711480.981063/12</f>
        <v>54392623.415088587</v>
      </c>
      <c r="CE64" s="32">
        <f t="shared" si="102"/>
        <v>-54392623.415088587</v>
      </c>
      <c r="CF64" s="78">
        <f t="shared" si="103"/>
        <v>-1</v>
      </c>
      <c r="CG64" s="33">
        <v>0</v>
      </c>
      <c r="CH64" s="35">
        <f>652711480.981063/2</f>
        <v>326355740.4905315</v>
      </c>
      <c r="CI64" s="32">
        <f t="shared" si="104"/>
        <v>-326355740.4905315</v>
      </c>
      <c r="CJ64" s="78">
        <f t="shared" si="105"/>
        <v>-1</v>
      </c>
      <c r="CK64" s="33">
        <v>652711480.98106337</v>
      </c>
      <c r="CL64" s="32">
        <f t="shared" si="106"/>
        <v>-652711480.98106337</v>
      </c>
      <c r="CM64" s="77">
        <f t="shared" si="107"/>
        <v>-1</v>
      </c>
      <c r="CN64" s="36">
        <f>CR64/3</f>
        <v>0</v>
      </c>
      <c r="CO64" s="35">
        <f>652711480.981063/12</f>
        <v>54392623.415088587</v>
      </c>
      <c r="CP64" s="32">
        <f t="shared" si="108"/>
        <v>-54392623.415088587</v>
      </c>
      <c r="CQ64" s="78">
        <f t="shared" si="109"/>
        <v>-1</v>
      </c>
      <c r="CR64" s="33">
        <v>0</v>
      </c>
      <c r="CS64" s="35">
        <f>652711480.981063/2</f>
        <v>326355740.4905315</v>
      </c>
      <c r="CT64" s="32">
        <f t="shared" si="110"/>
        <v>-326355740.4905315</v>
      </c>
      <c r="CU64" s="78">
        <f t="shared" si="111"/>
        <v>-1</v>
      </c>
      <c r="CV64" s="33">
        <v>652711480.98106337</v>
      </c>
      <c r="CW64" s="32">
        <f t="shared" si="112"/>
        <v>-652711480.98106337</v>
      </c>
      <c r="CX64" s="77">
        <f t="shared" si="113"/>
        <v>-1</v>
      </c>
      <c r="CY64" s="36">
        <f>DC64/3</f>
        <v>0</v>
      </c>
      <c r="CZ64" s="35">
        <f>652711480.981063/12</f>
        <v>54392623.415088587</v>
      </c>
      <c r="DA64" s="32">
        <f t="shared" si="114"/>
        <v>-54392623.415088587</v>
      </c>
      <c r="DB64" s="78">
        <f t="shared" si="115"/>
        <v>-1</v>
      </c>
      <c r="DC64" s="33">
        <v>0</v>
      </c>
      <c r="DD64" s="35">
        <f>652711480.981063/2</f>
        <v>326355740.4905315</v>
      </c>
      <c r="DE64" s="32">
        <f t="shared" si="116"/>
        <v>-326355740.4905315</v>
      </c>
      <c r="DF64" s="78">
        <f t="shared" si="117"/>
        <v>-1</v>
      </c>
      <c r="DG64" s="33">
        <v>652711480.98106337</v>
      </c>
      <c r="DH64" s="32">
        <f t="shared" si="118"/>
        <v>-652711480.98106337</v>
      </c>
      <c r="DI64" s="77">
        <f t="shared" si="119"/>
        <v>-1</v>
      </c>
    </row>
    <row r="65" spans="1:113" s="6" customFormat="1" hidden="1" outlineLevel="2" collapsed="1" x14ac:dyDescent="0.2">
      <c r="A65" s="30"/>
      <c r="B65" s="29" t="s">
        <v>28</v>
      </c>
      <c r="C65" s="28" t="s">
        <v>27</v>
      </c>
      <c r="D65" s="27">
        <f>SUM(D63:D64)</f>
        <v>0</v>
      </c>
      <c r="E65" s="26">
        <f>SUM(E63:E64)</f>
        <v>348406804.03718942</v>
      </c>
      <c r="F65" s="23">
        <f t="shared" si="60"/>
        <v>-348406804.03718942</v>
      </c>
      <c r="G65" s="76">
        <f t="shared" si="61"/>
        <v>-1</v>
      </c>
      <c r="H65" s="24">
        <f>SUM(H63:H64)</f>
        <v>0</v>
      </c>
      <c r="I65" s="24">
        <f>SUM(I63:I64)</f>
        <v>2090440824.2231364</v>
      </c>
      <c r="J65" s="23">
        <f t="shared" si="62"/>
        <v>-2090440824.2231364</v>
      </c>
      <c r="K65" s="76">
        <f t="shared" si="63"/>
        <v>-1</v>
      </c>
      <c r="L65" s="24">
        <f>SUM(L63:L64)</f>
        <v>4180881648.4462719</v>
      </c>
      <c r="M65" s="23">
        <f t="shared" si="64"/>
        <v>-4180881648.4462719</v>
      </c>
      <c r="N65" s="75">
        <f t="shared" si="65"/>
        <v>-1</v>
      </c>
      <c r="O65" s="27">
        <f>SUM(O63:O64)</f>
        <v>0</v>
      </c>
      <c r="P65" s="26">
        <f>SUM(P63:P64)</f>
        <v>348406804.03718942</v>
      </c>
      <c r="Q65" s="23">
        <f t="shared" si="66"/>
        <v>-348406804.03718942</v>
      </c>
      <c r="R65" s="76">
        <f t="shared" si="67"/>
        <v>-1</v>
      </c>
      <c r="S65" s="24">
        <f>SUM(S63:S64)</f>
        <v>0</v>
      </c>
      <c r="T65" s="24">
        <f>SUM(T63:T64)</f>
        <v>2090440824.2231364</v>
      </c>
      <c r="U65" s="23">
        <f t="shared" si="68"/>
        <v>-2090440824.2231364</v>
      </c>
      <c r="V65" s="76">
        <f t="shared" si="69"/>
        <v>-1</v>
      </c>
      <c r="W65" s="24">
        <f>SUM(W63:W64)</f>
        <v>4180881648.4462719</v>
      </c>
      <c r="X65" s="23">
        <f t="shared" si="70"/>
        <v>-4180881648.4462719</v>
      </c>
      <c r="Y65" s="75">
        <f t="shared" si="71"/>
        <v>-1</v>
      </c>
      <c r="Z65" s="27">
        <f>SUM(Z63:Z64)</f>
        <v>0</v>
      </c>
      <c r="AA65" s="26">
        <f>SUM(AA63:AA64)</f>
        <v>348406804.03718942</v>
      </c>
      <c r="AB65" s="23">
        <f t="shared" si="72"/>
        <v>-348406804.03718942</v>
      </c>
      <c r="AC65" s="76">
        <f t="shared" si="73"/>
        <v>-1</v>
      </c>
      <c r="AD65" s="24">
        <f>SUM(AD63:AD64)</f>
        <v>0</v>
      </c>
      <c r="AE65" s="24">
        <f>SUM(AE63:AE64)</f>
        <v>2090440824.2231364</v>
      </c>
      <c r="AF65" s="23">
        <f t="shared" si="74"/>
        <v>-2090440824.2231364</v>
      </c>
      <c r="AG65" s="76">
        <f t="shared" si="75"/>
        <v>-1</v>
      </c>
      <c r="AH65" s="24">
        <f>SUM(AH63:AH64)</f>
        <v>4180881648.4462719</v>
      </c>
      <c r="AI65" s="23">
        <f t="shared" si="76"/>
        <v>-4180881648.4462719</v>
      </c>
      <c r="AJ65" s="75">
        <f t="shared" si="77"/>
        <v>-1</v>
      </c>
      <c r="AK65" s="27">
        <f>SUM(AK63:AK64)</f>
        <v>0</v>
      </c>
      <c r="AL65" s="26">
        <f>SUM(AL63:AL64)</f>
        <v>348406804.03718942</v>
      </c>
      <c r="AM65" s="23">
        <f t="shared" si="78"/>
        <v>-348406804.03718942</v>
      </c>
      <c r="AN65" s="76">
        <f t="shared" si="79"/>
        <v>-1</v>
      </c>
      <c r="AO65" s="24">
        <f>SUM(AO63:AO64)</f>
        <v>0</v>
      </c>
      <c r="AP65" s="24">
        <f>SUM(AP63:AP64)</f>
        <v>2090440824.2231364</v>
      </c>
      <c r="AQ65" s="23">
        <f t="shared" si="80"/>
        <v>-2090440824.2231364</v>
      </c>
      <c r="AR65" s="76">
        <f t="shared" si="81"/>
        <v>-1</v>
      </c>
      <c r="AS65" s="24">
        <f>SUM(AS63:AS64)</f>
        <v>4180881648.4462719</v>
      </c>
      <c r="AT65" s="23">
        <f t="shared" si="82"/>
        <v>-4180881648.4462719</v>
      </c>
      <c r="AU65" s="75">
        <f t="shared" si="83"/>
        <v>-1</v>
      </c>
      <c r="AV65" s="27">
        <f>SUM(AV63:AV64)</f>
        <v>0</v>
      </c>
      <c r="AW65" s="26">
        <f>SUM(AW63:AW64)</f>
        <v>348406804.03718942</v>
      </c>
      <c r="AX65" s="23">
        <f t="shared" si="84"/>
        <v>-348406804.03718942</v>
      </c>
      <c r="AY65" s="76">
        <f t="shared" si="85"/>
        <v>-1</v>
      </c>
      <c r="AZ65" s="24">
        <f>SUM(AZ63:AZ64)</f>
        <v>0</v>
      </c>
      <c r="BA65" s="24">
        <f>SUM(BA63:BA64)</f>
        <v>2090440824.2231364</v>
      </c>
      <c r="BB65" s="23">
        <f t="shared" si="86"/>
        <v>-2090440824.2231364</v>
      </c>
      <c r="BC65" s="76">
        <f t="shared" si="87"/>
        <v>-1</v>
      </c>
      <c r="BD65" s="24">
        <f>SUM(BD63:BD64)</f>
        <v>4180881648.4462719</v>
      </c>
      <c r="BE65" s="23">
        <f t="shared" si="88"/>
        <v>-4180881648.4462719</v>
      </c>
      <c r="BF65" s="75">
        <f t="shared" si="89"/>
        <v>-1</v>
      </c>
      <c r="BG65" s="27">
        <f>SUM(BG63:BG64)</f>
        <v>0</v>
      </c>
      <c r="BH65" s="26">
        <f>SUM(BH63:BH64)</f>
        <v>348406804.03718942</v>
      </c>
      <c r="BI65" s="23">
        <f t="shared" si="90"/>
        <v>-348406804.03718942</v>
      </c>
      <c r="BJ65" s="76">
        <f t="shared" si="91"/>
        <v>-1</v>
      </c>
      <c r="BK65" s="24">
        <f>SUM(BK63:BK64)</f>
        <v>0</v>
      </c>
      <c r="BL65" s="24">
        <f>SUM(BL63:BL64)</f>
        <v>2090440824.2231364</v>
      </c>
      <c r="BM65" s="23">
        <f t="shared" si="92"/>
        <v>-2090440824.2231364</v>
      </c>
      <c r="BN65" s="76">
        <f t="shared" si="93"/>
        <v>-1</v>
      </c>
      <c r="BO65" s="24">
        <f>SUM(BO63:BO64)</f>
        <v>4180881648.4462719</v>
      </c>
      <c r="BP65" s="23">
        <f t="shared" si="94"/>
        <v>-4180881648.4462719</v>
      </c>
      <c r="BQ65" s="75">
        <f t="shared" si="95"/>
        <v>-1</v>
      </c>
      <c r="BR65" s="27">
        <f>SUM(BR63:BR64)</f>
        <v>0</v>
      </c>
      <c r="BS65" s="26">
        <f>SUM(BS63:BS64)</f>
        <v>348406804.03718942</v>
      </c>
      <c r="BT65" s="23">
        <f t="shared" si="96"/>
        <v>-348406804.03718942</v>
      </c>
      <c r="BU65" s="76">
        <f t="shared" si="97"/>
        <v>-1</v>
      </c>
      <c r="BV65" s="24">
        <f>SUM(BV63:BV64)</f>
        <v>0</v>
      </c>
      <c r="BW65" s="24">
        <f>SUM(BW63:BW64)</f>
        <v>2090440824.2231364</v>
      </c>
      <c r="BX65" s="23">
        <f t="shared" si="98"/>
        <v>-2090440824.2231364</v>
      </c>
      <c r="BY65" s="76">
        <f t="shared" si="99"/>
        <v>-1</v>
      </c>
      <c r="BZ65" s="24">
        <f>SUM(BZ63:BZ64)</f>
        <v>4180881648.4462719</v>
      </c>
      <c r="CA65" s="23">
        <f t="shared" si="100"/>
        <v>-4180881648.4462719</v>
      </c>
      <c r="CB65" s="75">
        <f t="shared" si="101"/>
        <v>-1</v>
      </c>
      <c r="CC65" s="27">
        <f>SUM(CC63:CC64)</f>
        <v>0</v>
      </c>
      <c r="CD65" s="26">
        <f>SUM(CD63:CD64)</f>
        <v>348406804.03718942</v>
      </c>
      <c r="CE65" s="23">
        <f t="shared" si="102"/>
        <v>-348406804.03718942</v>
      </c>
      <c r="CF65" s="76">
        <f t="shared" si="103"/>
        <v>-1</v>
      </c>
      <c r="CG65" s="24">
        <f>SUM(CG63:CG64)</f>
        <v>0</v>
      </c>
      <c r="CH65" s="24">
        <f>SUM(CH63:CH64)</f>
        <v>2090440824.2231364</v>
      </c>
      <c r="CI65" s="23">
        <f t="shared" si="104"/>
        <v>-2090440824.2231364</v>
      </c>
      <c r="CJ65" s="76">
        <f t="shared" si="105"/>
        <v>-1</v>
      </c>
      <c r="CK65" s="24">
        <f>SUM(CK63:CK64)</f>
        <v>4180881648.4462719</v>
      </c>
      <c r="CL65" s="23">
        <f t="shared" si="106"/>
        <v>-4180881648.4462719</v>
      </c>
      <c r="CM65" s="75">
        <f t="shared" si="107"/>
        <v>-1</v>
      </c>
      <c r="CN65" s="27">
        <f>SUM(CN63:CN64)</f>
        <v>0</v>
      </c>
      <c r="CO65" s="26">
        <f>SUM(CO63:CO64)</f>
        <v>348406804.03718942</v>
      </c>
      <c r="CP65" s="23">
        <f t="shared" si="108"/>
        <v>-348406804.03718942</v>
      </c>
      <c r="CQ65" s="76">
        <f t="shared" si="109"/>
        <v>-1</v>
      </c>
      <c r="CR65" s="24">
        <f>SUM(CR63:CR64)</f>
        <v>0</v>
      </c>
      <c r="CS65" s="24">
        <f>SUM(CS63:CS64)</f>
        <v>2090440824.2231364</v>
      </c>
      <c r="CT65" s="23">
        <f t="shared" si="110"/>
        <v>-2090440824.2231364</v>
      </c>
      <c r="CU65" s="76">
        <f t="shared" si="111"/>
        <v>-1</v>
      </c>
      <c r="CV65" s="24">
        <f>SUM(CV63:CV64)</f>
        <v>4180881648.4462719</v>
      </c>
      <c r="CW65" s="23">
        <f t="shared" si="112"/>
        <v>-4180881648.4462719</v>
      </c>
      <c r="CX65" s="75">
        <f t="shared" si="113"/>
        <v>-1</v>
      </c>
      <c r="CY65" s="27">
        <f>SUM(CY63:CY64)</f>
        <v>0</v>
      </c>
      <c r="CZ65" s="26">
        <f>SUM(CZ63:CZ64)</f>
        <v>348406804.03718942</v>
      </c>
      <c r="DA65" s="23">
        <f t="shared" si="114"/>
        <v>-348406804.03718942</v>
      </c>
      <c r="DB65" s="76">
        <f t="shared" si="115"/>
        <v>-1</v>
      </c>
      <c r="DC65" s="24">
        <f>SUM(DC63:DC64)</f>
        <v>0</v>
      </c>
      <c r="DD65" s="24">
        <f>SUM(DD63:DD64)</f>
        <v>2090440824.2231364</v>
      </c>
      <c r="DE65" s="23">
        <f t="shared" si="116"/>
        <v>-2090440824.2231364</v>
      </c>
      <c r="DF65" s="76">
        <f t="shared" si="117"/>
        <v>-1</v>
      </c>
      <c r="DG65" s="24">
        <f>SUM(DG63:DG64)</f>
        <v>4180881648.4462719</v>
      </c>
      <c r="DH65" s="23">
        <f t="shared" si="118"/>
        <v>-4180881648.4462719</v>
      </c>
      <c r="DI65" s="75">
        <f t="shared" si="119"/>
        <v>-1</v>
      </c>
    </row>
    <row r="66" spans="1:113" ht="15.75" customHeight="1" collapsed="1" x14ac:dyDescent="0.2">
      <c r="B66" s="21" t="s">
        <v>26</v>
      </c>
      <c r="C66" s="20" t="s">
        <v>25</v>
      </c>
      <c r="D66" s="19">
        <f>D65+D62+D59</f>
        <v>348406804.0371896</v>
      </c>
      <c r="E66" s="18">
        <f>E65+E62+E59</f>
        <v>348406804.03718942</v>
      </c>
      <c r="F66" s="15">
        <f t="shared" si="60"/>
        <v>0</v>
      </c>
      <c r="G66" s="74">
        <f t="shared" si="61"/>
        <v>4.4408920985006262E-16</v>
      </c>
      <c r="H66" s="16">
        <f>H65+H62+H59</f>
        <v>2090440824.2231364</v>
      </c>
      <c r="I66" s="16">
        <f>I65+I62+I59</f>
        <v>2090440824.2231364</v>
      </c>
      <c r="J66" s="15">
        <f t="shared" si="62"/>
        <v>0</v>
      </c>
      <c r="K66" s="74">
        <f t="shared" si="63"/>
        <v>0</v>
      </c>
      <c r="L66" s="16">
        <f>L65+L62+L59</f>
        <v>4180881648.4462719</v>
      </c>
      <c r="M66" s="15">
        <f t="shared" si="64"/>
        <v>-2090440824.2231355</v>
      </c>
      <c r="N66" s="73">
        <f t="shared" si="65"/>
        <v>-0.49999999999999989</v>
      </c>
      <c r="O66" s="19">
        <f>O65+O62+O59</f>
        <v>348406804.0371896</v>
      </c>
      <c r="P66" s="18">
        <f>P65+P62+P59</f>
        <v>348406804.03718942</v>
      </c>
      <c r="Q66" s="15">
        <f t="shared" si="66"/>
        <v>0</v>
      </c>
      <c r="R66" s="74">
        <f t="shared" si="67"/>
        <v>4.4408920985006262E-16</v>
      </c>
      <c r="S66" s="16">
        <f>S65+S62+S59</f>
        <v>2090440824.2231364</v>
      </c>
      <c r="T66" s="16">
        <f>T65+T62+T59</f>
        <v>2090440824.2231364</v>
      </c>
      <c r="U66" s="15">
        <f t="shared" si="68"/>
        <v>0</v>
      </c>
      <c r="V66" s="74">
        <f t="shared" si="69"/>
        <v>0</v>
      </c>
      <c r="W66" s="16">
        <f>W65+W62+W59</f>
        <v>4180881648.4462719</v>
      </c>
      <c r="X66" s="15">
        <f t="shared" si="70"/>
        <v>-2090440824.2231355</v>
      </c>
      <c r="Y66" s="73">
        <f t="shared" si="71"/>
        <v>-0.49999999999999989</v>
      </c>
      <c r="Z66" s="19">
        <f>Z65+Z62+Z59</f>
        <v>348406804.0371896</v>
      </c>
      <c r="AA66" s="18">
        <f>AA65+AA62+AA59</f>
        <v>348406804.03718942</v>
      </c>
      <c r="AB66" s="15">
        <f t="shared" si="72"/>
        <v>0</v>
      </c>
      <c r="AC66" s="74">
        <f t="shared" si="73"/>
        <v>4.4408920985006262E-16</v>
      </c>
      <c r="AD66" s="16">
        <f>AD65+AD62+AD59</f>
        <v>2090440824.2231364</v>
      </c>
      <c r="AE66" s="16">
        <f>AE65+AE62+AE59</f>
        <v>2090440824.2231364</v>
      </c>
      <c r="AF66" s="15">
        <f t="shared" si="74"/>
        <v>0</v>
      </c>
      <c r="AG66" s="74">
        <f t="shared" si="75"/>
        <v>0</v>
      </c>
      <c r="AH66" s="16">
        <f>AH65+AH62+AH59</f>
        <v>4180881648.4462719</v>
      </c>
      <c r="AI66" s="15">
        <f t="shared" si="76"/>
        <v>-2090440824.2231355</v>
      </c>
      <c r="AJ66" s="73">
        <f t="shared" si="77"/>
        <v>-0.49999999999999989</v>
      </c>
      <c r="AK66" s="19">
        <f>AK65+AK62+AK59</f>
        <v>348406804.0371896</v>
      </c>
      <c r="AL66" s="18">
        <f>AL65+AL62+AL59</f>
        <v>348406804.03718942</v>
      </c>
      <c r="AM66" s="15">
        <f t="shared" si="78"/>
        <v>0</v>
      </c>
      <c r="AN66" s="74">
        <f t="shared" si="79"/>
        <v>4.4408920985006262E-16</v>
      </c>
      <c r="AO66" s="16">
        <f>AO65+AO62+AO59</f>
        <v>2090440824.2231364</v>
      </c>
      <c r="AP66" s="16">
        <f>AP65+AP62+AP59</f>
        <v>2090440824.2231364</v>
      </c>
      <c r="AQ66" s="15">
        <f t="shared" si="80"/>
        <v>0</v>
      </c>
      <c r="AR66" s="74">
        <f t="shared" si="81"/>
        <v>0</v>
      </c>
      <c r="AS66" s="16">
        <f>AS65+AS62+AS59</f>
        <v>4180881648.4462719</v>
      </c>
      <c r="AT66" s="15">
        <f t="shared" si="82"/>
        <v>-2090440824.2231355</v>
      </c>
      <c r="AU66" s="73">
        <f t="shared" si="83"/>
        <v>-0.49999999999999989</v>
      </c>
      <c r="AV66" s="19">
        <f>AV65+AV62+AV59</f>
        <v>348406804.0371896</v>
      </c>
      <c r="AW66" s="18">
        <f>AW65+AW62+AW59</f>
        <v>348406804.03718942</v>
      </c>
      <c r="AX66" s="15">
        <f t="shared" si="84"/>
        <v>0</v>
      </c>
      <c r="AY66" s="74">
        <f t="shared" si="85"/>
        <v>4.4408920985006262E-16</v>
      </c>
      <c r="AZ66" s="16">
        <f>AZ65+AZ62+AZ59</f>
        <v>2090440824.2231364</v>
      </c>
      <c r="BA66" s="16">
        <f>BA65+BA62+BA59</f>
        <v>2090440824.2231364</v>
      </c>
      <c r="BB66" s="15">
        <f t="shared" si="86"/>
        <v>0</v>
      </c>
      <c r="BC66" s="74">
        <f t="shared" si="87"/>
        <v>0</v>
      </c>
      <c r="BD66" s="16">
        <f>BD65+BD62+BD59</f>
        <v>4180881648.4462719</v>
      </c>
      <c r="BE66" s="15">
        <f t="shared" si="88"/>
        <v>-2090440824.2231355</v>
      </c>
      <c r="BF66" s="73">
        <f t="shared" si="89"/>
        <v>-0.49999999999999989</v>
      </c>
      <c r="BG66" s="19">
        <f>BG65+BG62+BG59</f>
        <v>348406804.0371896</v>
      </c>
      <c r="BH66" s="18">
        <f>BH65+BH62+BH59</f>
        <v>348406804.03718942</v>
      </c>
      <c r="BI66" s="15">
        <f t="shared" si="90"/>
        <v>0</v>
      </c>
      <c r="BJ66" s="74">
        <f t="shared" si="91"/>
        <v>4.4408920985006262E-16</v>
      </c>
      <c r="BK66" s="16">
        <f>BK65+BK62+BK59</f>
        <v>2090440824.2231364</v>
      </c>
      <c r="BL66" s="16">
        <f>BL65+BL62+BL59</f>
        <v>2090440824.2231364</v>
      </c>
      <c r="BM66" s="15">
        <f t="shared" si="92"/>
        <v>0</v>
      </c>
      <c r="BN66" s="74">
        <f t="shared" si="93"/>
        <v>0</v>
      </c>
      <c r="BO66" s="16">
        <f>BO65+BO62+BO59</f>
        <v>4180881648.4462719</v>
      </c>
      <c r="BP66" s="15">
        <f t="shared" si="94"/>
        <v>-2090440824.2231355</v>
      </c>
      <c r="BQ66" s="73">
        <f t="shared" si="95"/>
        <v>-0.49999999999999989</v>
      </c>
      <c r="BR66" s="19">
        <f>BR65+BR62+BR59</f>
        <v>348406804.0371896</v>
      </c>
      <c r="BS66" s="18">
        <f>BS65+BS62+BS59</f>
        <v>348406804.03718942</v>
      </c>
      <c r="BT66" s="15">
        <f t="shared" si="96"/>
        <v>0</v>
      </c>
      <c r="BU66" s="74">
        <f t="shared" si="97"/>
        <v>4.4408920985006262E-16</v>
      </c>
      <c r="BV66" s="16">
        <f>BV65+BV62+BV59</f>
        <v>2090440824.2231364</v>
      </c>
      <c r="BW66" s="16">
        <f>BW65+BW62+BW59</f>
        <v>2090440824.2231364</v>
      </c>
      <c r="BX66" s="15">
        <f t="shared" si="98"/>
        <v>0</v>
      </c>
      <c r="BY66" s="74">
        <f t="shared" si="99"/>
        <v>0</v>
      </c>
      <c r="BZ66" s="16">
        <f>BZ65+BZ62+BZ59</f>
        <v>4180881648.4462719</v>
      </c>
      <c r="CA66" s="15">
        <f t="shared" si="100"/>
        <v>-2090440824.2231355</v>
      </c>
      <c r="CB66" s="73">
        <f t="shared" si="101"/>
        <v>-0.49999999999999989</v>
      </c>
      <c r="CC66" s="19">
        <f>CC65+CC62+CC59</f>
        <v>348406804.0371896</v>
      </c>
      <c r="CD66" s="18">
        <f>CD65+CD62+CD59</f>
        <v>348406804.03718942</v>
      </c>
      <c r="CE66" s="15">
        <f t="shared" si="102"/>
        <v>0</v>
      </c>
      <c r="CF66" s="74">
        <f t="shared" si="103"/>
        <v>4.4408920985006262E-16</v>
      </c>
      <c r="CG66" s="16">
        <f>CG65+CG62+CG59</f>
        <v>2090440824.2231364</v>
      </c>
      <c r="CH66" s="16">
        <f>CH65+CH62+CH59</f>
        <v>2090440824.2231364</v>
      </c>
      <c r="CI66" s="15">
        <f t="shared" si="104"/>
        <v>0</v>
      </c>
      <c r="CJ66" s="74">
        <f t="shared" si="105"/>
        <v>0</v>
      </c>
      <c r="CK66" s="16">
        <f>CK65+CK62+CK59</f>
        <v>4180881648.4462719</v>
      </c>
      <c r="CL66" s="15">
        <f t="shared" si="106"/>
        <v>-2090440824.2231355</v>
      </c>
      <c r="CM66" s="73">
        <f t="shared" si="107"/>
        <v>-0.49999999999999989</v>
      </c>
      <c r="CN66" s="19">
        <f>CN65+CN62+CN59</f>
        <v>348406804.0371896</v>
      </c>
      <c r="CO66" s="18">
        <f>CO65+CO62+CO59</f>
        <v>348406804.03718942</v>
      </c>
      <c r="CP66" s="15">
        <f t="shared" si="108"/>
        <v>0</v>
      </c>
      <c r="CQ66" s="74">
        <f t="shared" si="109"/>
        <v>4.4408920985006262E-16</v>
      </c>
      <c r="CR66" s="16">
        <f>CR65+CR62+CR59</f>
        <v>2090440824.2231364</v>
      </c>
      <c r="CS66" s="16">
        <f>CS65+CS62+CS59</f>
        <v>2090440824.2231364</v>
      </c>
      <c r="CT66" s="15">
        <f t="shared" si="110"/>
        <v>0</v>
      </c>
      <c r="CU66" s="74">
        <f t="shared" si="111"/>
        <v>0</v>
      </c>
      <c r="CV66" s="16">
        <f>CV65+CV62+CV59</f>
        <v>4180881648.4462719</v>
      </c>
      <c r="CW66" s="15">
        <f t="shared" si="112"/>
        <v>-2090440824.2231355</v>
      </c>
      <c r="CX66" s="73">
        <f t="shared" si="113"/>
        <v>-0.49999999999999989</v>
      </c>
      <c r="CY66" s="19">
        <f>CY65+CY62+CY59</f>
        <v>348406804.0371896</v>
      </c>
      <c r="CZ66" s="18">
        <f>CZ65+CZ62+CZ59</f>
        <v>348406804.03718942</v>
      </c>
      <c r="DA66" s="15">
        <f t="shared" si="114"/>
        <v>0</v>
      </c>
      <c r="DB66" s="74">
        <f t="shared" si="115"/>
        <v>4.4408920985006262E-16</v>
      </c>
      <c r="DC66" s="16">
        <f>DC65+DC62+DC59</f>
        <v>2090440824.2231364</v>
      </c>
      <c r="DD66" s="16">
        <f>DD65+DD62+DD59</f>
        <v>2090440824.2231364</v>
      </c>
      <c r="DE66" s="15">
        <f t="shared" si="116"/>
        <v>0</v>
      </c>
      <c r="DF66" s="74">
        <f t="shared" si="117"/>
        <v>0</v>
      </c>
      <c r="DG66" s="16">
        <f>DG65+DG62+DG59</f>
        <v>4180881648.4462719</v>
      </c>
      <c r="DH66" s="15">
        <f t="shared" si="118"/>
        <v>-2090440824.2231355</v>
      </c>
      <c r="DI66" s="73">
        <f t="shared" si="119"/>
        <v>-0.49999999999999989</v>
      </c>
    </row>
    <row r="67" spans="1:113" s="6" customFormat="1" ht="18.75" customHeight="1" x14ac:dyDescent="0.2">
      <c r="B67" s="13" t="s">
        <v>24</v>
      </c>
      <c r="C67" s="12" t="s">
        <v>23</v>
      </c>
      <c r="D67" s="119">
        <f>D52+D66+D56</f>
        <v>602789044.90718961</v>
      </c>
      <c r="E67" s="11">
        <f>E52+E66+E56</f>
        <v>589058383.41411293</v>
      </c>
      <c r="F67" s="8">
        <f t="shared" si="60"/>
        <v>13730661.493076682</v>
      </c>
      <c r="G67" s="72">
        <f t="shared" si="61"/>
        <v>2.330950866617898E-2</v>
      </c>
      <c r="H67" s="9">
        <f>H52+H66+H56</f>
        <v>3769227616.3731365</v>
      </c>
      <c r="I67" s="9">
        <f>I52+I66+I56</f>
        <v>3523856022.1353717</v>
      </c>
      <c r="J67" s="8">
        <f t="shared" si="62"/>
        <v>245371594.23776484</v>
      </c>
      <c r="K67" s="72">
        <f t="shared" si="63"/>
        <v>6.9631560624623834E-2</v>
      </c>
      <c r="L67" s="9">
        <f>L52+L66+L56</f>
        <v>7058206322.6200485</v>
      </c>
      <c r="M67" s="8">
        <f t="shared" si="64"/>
        <v>-3288978706.246912</v>
      </c>
      <c r="N67" s="71">
        <f t="shared" si="65"/>
        <v>-0.46597939418495538</v>
      </c>
      <c r="O67" s="119">
        <f>O52+O66+O56</f>
        <v>602789044.90718961</v>
      </c>
      <c r="P67" s="11">
        <f>P52+P66+P56</f>
        <v>589058383.41411293</v>
      </c>
      <c r="Q67" s="8">
        <f t="shared" si="66"/>
        <v>13730661.493076682</v>
      </c>
      <c r="R67" s="72">
        <f t="shared" si="67"/>
        <v>2.330950866617898E-2</v>
      </c>
      <c r="S67" s="9">
        <f>S52+S66+S56</f>
        <v>3769227616.3731365</v>
      </c>
      <c r="T67" s="9">
        <f>T52+T66+T56</f>
        <v>3523856022.1353717</v>
      </c>
      <c r="U67" s="8">
        <f t="shared" si="68"/>
        <v>245371594.23776484</v>
      </c>
      <c r="V67" s="72">
        <f t="shared" si="69"/>
        <v>6.9631560624623834E-2</v>
      </c>
      <c r="W67" s="9">
        <f>W52+W66+W56</f>
        <v>7058206322.6200485</v>
      </c>
      <c r="X67" s="8">
        <f t="shared" si="70"/>
        <v>-3288978706.246912</v>
      </c>
      <c r="Y67" s="71">
        <f t="shared" si="71"/>
        <v>-0.46597939418495538</v>
      </c>
      <c r="Z67" s="119">
        <f>Z52+Z66+Z56</f>
        <v>602789044.90718961</v>
      </c>
      <c r="AA67" s="11">
        <f>AA52+AA66+AA56</f>
        <v>589058383.41411293</v>
      </c>
      <c r="AB67" s="8">
        <f t="shared" si="72"/>
        <v>13730661.493076682</v>
      </c>
      <c r="AC67" s="72">
        <f t="shared" si="73"/>
        <v>2.330950866617898E-2</v>
      </c>
      <c r="AD67" s="9">
        <f>AD52+AD66+AD56</f>
        <v>3769227616.3731365</v>
      </c>
      <c r="AE67" s="9">
        <f>AE52+AE66+AE56</f>
        <v>3523856022.1353717</v>
      </c>
      <c r="AF67" s="8">
        <f t="shared" si="74"/>
        <v>245371594.23776484</v>
      </c>
      <c r="AG67" s="72">
        <f t="shared" si="75"/>
        <v>6.9631560624623834E-2</v>
      </c>
      <c r="AH67" s="9">
        <f>AH52+AH66+AH56</f>
        <v>7058206322.6200485</v>
      </c>
      <c r="AI67" s="8">
        <f t="shared" si="76"/>
        <v>-3288978706.246912</v>
      </c>
      <c r="AJ67" s="71">
        <f t="shared" si="77"/>
        <v>-0.46597939418495538</v>
      </c>
      <c r="AK67" s="119">
        <f>AK52+AK66+AK56</f>
        <v>602789044.90718961</v>
      </c>
      <c r="AL67" s="11">
        <f>AL52+AL66+AL56</f>
        <v>589058383.41411293</v>
      </c>
      <c r="AM67" s="8">
        <f t="shared" si="78"/>
        <v>13730661.493076682</v>
      </c>
      <c r="AN67" s="72">
        <f t="shared" si="79"/>
        <v>2.330950866617898E-2</v>
      </c>
      <c r="AO67" s="9">
        <f>AO52+AO66+AO56</f>
        <v>3769227616.3731365</v>
      </c>
      <c r="AP67" s="9">
        <f>AP52+AP66+AP56</f>
        <v>3523856022.1353717</v>
      </c>
      <c r="AQ67" s="8">
        <f t="shared" si="80"/>
        <v>245371594.23776484</v>
      </c>
      <c r="AR67" s="72">
        <f t="shared" si="81"/>
        <v>6.9631560624623834E-2</v>
      </c>
      <c r="AS67" s="9">
        <f>AS52+AS66+AS56</f>
        <v>7058206322.6200485</v>
      </c>
      <c r="AT67" s="8">
        <f t="shared" si="82"/>
        <v>-3288978706.246912</v>
      </c>
      <c r="AU67" s="71">
        <f t="shared" si="83"/>
        <v>-0.46597939418495538</v>
      </c>
      <c r="AV67" s="119">
        <f>AV52+AV66+AV56</f>
        <v>602789044.90718961</v>
      </c>
      <c r="AW67" s="11">
        <f>AW52+AW66+AW56</f>
        <v>589058383.41411293</v>
      </c>
      <c r="AX67" s="8">
        <f t="shared" si="84"/>
        <v>13730661.493076682</v>
      </c>
      <c r="AY67" s="72">
        <f t="shared" si="85"/>
        <v>2.330950866617898E-2</v>
      </c>
      <c r="AZ67" s="9">
        <f>AZ52+AZ66+AZ56</f>
        <v>3769227616.3731365</v>
      </c>
      <c r="BA67" s="9">
        <f>BA52+BA66+BA56</f>
        <v>3523856022.1353717</v>
      </c>
      <c r="BB67" s="8">
        <f t="shared" si="86"/>
        <v>245371594.23776484</v>
      </c>
      <c r="BC67" s="72">
        <f t="shared" si="87"/>
        <v>6.9631560624623834E-2</v>
      </c>
      <c r="BD67" s="9">
        <f>BD52+BD66+BD56</f>
        <v>7058206322.6200485</v>
      </c>
      <c r="BE67" s="8">
        <f t="shared" si="88"/>
        <v>-3288978706.246912</v>
      </c>
      <c r="BF67" s="71">
        <f t="shared" si="89"/>
        <v>-0.46597939418495538</v>
      </c>
      <c r="BG67" s="119">
        <f>BG52+BG66+BG56</f>
        <v>602789044.90718961</v>
      </c>
      <c r="BH67" s="11">
        <f>BH52+BH66+BH56</f>
        <v>589058383.41411293</v>
      </c>
      <c r="BI67" s="8">
        <f t="shared" si="90"/>
        <v>13730661.493076682</v>
      </c>
      <c r="BJ67" s="72">
        <f t="shared" si="91"/>
        <v>2.330950866617898E-2</v>
      </c>
      <c r="BK67" s="9">
        <f>BK52+BK66+BK56</f>
        <v>3769227616.3731365</v>
      </c>
      <c r="BL67" s="9">
        <f>BL52+BL66+BL56</f>
        <v>3523856022.1353717</v>
      </c>
      <c r="BM67" s="8">
        <f t="shared" si="92"/>
        <v>245371594.23776484</v>
      </c>
      <c r="BN67" s="72">
        <f t="shared" si="93"/>
        <v>6.9631560624623834E-2</v>
      </c>
      <c r="BO67" s="9">
        <f>BO52+BO66+BO56</f>
        <v>7058206322.6200485</v>
      </c>
      <c r="BP67" s="8">
        <f t="shared" si="94"/>
        <v>-3288978706.246912</v>
      </c>
      <c r="BQ67" s="71">
        <f t="shared" si="95"/>
        <v>-0.46597939418495538</v>
      </c>
      <c r="BR67" s="119">
        <f>BR52+BR66+BR56</f>
        <v>602789044.90718961</v>
      </c>
      <c r="BS67" s="11">
        <f>BS52+BS66+BS56</f>
        <v>589058383.41411293</v>
      </c>
      <c r="BT67" s="8">
        <f t="shared" si="96"/>
        <v>13730661.493076682</v>
      </c>
      <c r="BU67" s="72">
        <f t="shared" si="97"/>
        <v>2.330950866617898E-2</v>
      </c>
      <c r="BV67" s="9">
        <f>BV52+BV66+BV56</f>
        <v>3769227616.3731365</v>
      </c>
      <c r="BW67" s="9">
        <f>BW52+BW66+BW56</f>
        <v>3523856022.1353717</v>
      </c>
      <c r="BX67" s="8">
        <f t="shared" si="98"/>
        <v>245371594.23776484</v>
      </c>
      <c r="BY67" s="72">
        <f t="shared" si="99"/>
        <v>6.9631560624623834E-2</v>
      </c>
      <c r="BZ67" s="9">
        <f>BZ52+BZ66+BZ56</f>
        <v>7058206322.6200485</v>
      </c>
      <c r="CA67" s="8">
        <f t="shared" si="100"/>
        <v>-3288978706.246912</v>
      </c>
      <c r="CB67" s="71">
        <f t="shared" si="101"/>
        <v>-0.46597939418495538</v>
      </c>
      <c r="CC67" s="119">
        <f>CC52+CC66+CC56</f>
        <v>602789044.90718961</v>
      </c>
      <c r="CD67" s="11">
        <f>CD52+CD66+CD56</f>
        <v>589058383.41411293</v>
      </c>
      <c r="CE67" s="8">
        <f t="shared" si="102"/>
        <v>13730661.493076682</v>
      </c>
      <c r="CF67" s="72">
        <f t="shared" si="103"/>
        <v>2.330950866617898E-2</v>
      </c>
      <c r="CG67" s="9">
        <f>CG52+CG66+CG56</f>
        <v>3769227616.3731365</v>
      </c>
      <c r="CH67" s="9">
        <f>CH52+CH66+CH56</f>
        <v>3523856022.1353717</v>
      </c>
      <c r="CI67" s="8">
        <f t="shared" si="104"/>
        <v>245371594.23776484</v>
      </c>
      <c r="CJ67" s="72">
        <f t="shared" si="105"/>
        <v>6.9631560624623834E-2</v>
      </c>
      <c r="CK67" s="9">
        <f>CK52+CK66+CK56</f>
        <v>7058206322.6200485</v>
      </c>
      <c r="CL67" s="8">
        <f t="shared" si="106"/>
        <v>-3288978706.246912</v>
      </c>
      <c r="CM67" s="71">
        <f t="shared" si="107"/>
        <v>-0.46597939418495538</v>
      </c>
      <c r="CN67" s="119">
        <f>CN52+CN66+CN56</f>
        <v>602789044.90718961</v>
      </c>
      <c r="CO67" s="11">
        <f>CO52+CO66+CO56</f>
        <v>589058383.41411293</v>
      </c>
      <c r="CP67" s="8">
        <f t="shared" si="108"/>
        <v>13730661.493076682</v>
      </c>
      <c r="CQ67" s="72">
        <f t="shared" si="109"/>
        <v>2.330950866617898E-2</v>
      </c>
      <c r="CR67" s="9">
        <f>CR52+CR66+CR56</f>
        <v>3769227616.3731365</v>
      </c>
      <c r="CS67" s="9">
        <f>CS52+CS66+CS56</f>
        <v>3523856022.1353717</v>
      </c>
      <c r="CT67" s="8">
        <f t="shared" si="110"/>
        <v>245371594.23776484</v>
      </c>
      <c r="CU67" s="72">
        <f t="shared" si="111"/>
        <v>6.9631560624623834E-2</v>
      </c>
      <c r="CV67" s="9">
        <f>CV52+CV66+CV56</f>
        <v>7058206322.6200485</v>
      </c>
      <c r="CW67" s="8">
        <f t="shared" si="112"/>
        <v>-3288978706.246912</v>
      </c>
      <c r="CX67" s="71">
        <f t="shared" si="113"/>
        <v>-0.46597939418495538</v>
      </c>
      <c r="CY67" s="119">
        <f>CY52+CY66+CY56</f>
        <v>602789044.90718961</v>
      </c>
      <c r="CZ67" s="11">
        <f>CZ52+CZ66+CZ56</f>
        <v>589058383.41411293</v>
      </c>
      <c r="DA67" s="8">
        <f t="shared" si="114"/>
        <v>13730661.493076682</v>
      </c>
      <c r="DB67" s="72">
        <f t="shared" si="115"/>
        <v>2.330950866617898E-2</v>
      </c>
      <c r="DC67" s="9">
        <f>DC52+DC66+DC56</f>
        <v>3769227616.3731365</v>
      </c>
      <c r="DD67" s="9">
        <f>DD52+DD66+DD56</f>
        <v>3523856022.1353717</v>
      </c>
      <c r="DE67" s="8">
        <f t="shared" si="116"/>
        <v>245371594.23776484</v>
      </c>
      <c r="DF67" s="72">
        <f t="shared" si="117"/>
        <v>6.9631560624623834E-2</v>
      </c>
      <c r="DG67" s="9">
        <f>DG52+DG66+DG56</f>
        <v>7058206322.6200485</v>
      </c>
      <c r="DH67" s="8">
        <f t="shared" si="118"/>
        <v>-3288978706.246912</v>
      </c>
      <c r="DI67" s="71">
        <f t="shared" si="119"/>
        <v>-0.46597939418495538</v>
      </c>
    </row>
    <row r="68" spans="1:113" ht="16.5" customHeight="1" outlineLevel="1" x14ac:dyDescent="0.2">
      <c r="A68" s="54"/>
      <c r="B68" s="101" t="s">
        <v>22</v>
      </c>
      <c r="C68" s="100" t="s">
        <v>21</v>
      </c>
      <c r="D68" s="118">
        <f>(D14+D17+D20+D23+D30+D33+D36+D39)/(D13+D16+D19+D22+D29+D32+D35+D38)</f>
        <v>0.18587833690067815</v>
      </c>
      <c r="E68" s="117">
        <f>(E14+E17+E20+E23+E30+E33+E36+E39)/(E13+E16+E19+E22+E29+E32+E35+E38)</f>
        <v>0.18499999999999994</v>
      </c>
      <c r="F68" s="32">
        <v>0</v>
      </c>
      <c r="G68" s="116" t="s">
        <v>20</v>
      </c>
      <c r="H68" s="115">
        <f>(H14+H17+H20+H23+H30+H33+H36+H39)/(H13+H16+H19+H22+H29+H32+H35+H38)</f>
        <v>0.21075442875851549</v>
      </c>
      <c r="I68" s="115">
        <f>(I14+I17+I20+I23+I30+I33+I36+I39)/(I13+I16+I19+I22+I29+I32+I35+I38)</f>
        <v>0.18499999999999994</v>
      </c>
      <c r="J68" s="32">
        <v>0</v>
      </c>
      <c r="K68" s="116" t="s">
        <v>20</v>
      </c>
      <c r="L68" s="115">
        <f>(L14+L17+L20+L23+L30+L33+L36+L39)/(L13+L16+L19+L22+L29+L32+L35+L38)</f>
        <v>0.18499999999999994</v>
      </c>
      <c r="M68" s="114" t="s">
        <v>20</v>
      </c>
      <c r="N68" s="113" t="s">
        <v>20</v>
      </c>
      <c r="O68" s="118">
        <f>(O14+O17+O20+O23+O30+O33+O36+O39)/(O13+O16+O19+O22+O29+O32+O35+O38)</f>
        <v>0.18587833690067815</v>
      </c>
      <c r="P68" s="117">
        <f>(P14+P17+P20+P23+P30+P33+P36+P39)/(P13+P16+P19+P22+P29+P32+P35+P38)</f>
        <v>0.18499999999999994</v>
      </c>
      <c r="Q68" s="32">
        <v>0</v>
      </c>
      <c r="R68" s="116" t="s">
        <v>20</v>
      </c>
      <c r="S68" s="115">
        <f>(S14+S17+S20+S23+S30+S33+S36+S39)/(S13+S16+S19+S22+S29+S32+S35+S38)</f>
        <v>0.21075442875851549</v>
      </c>
      <c r="T68" s="115">
        <f>(T14+T17+T20+T23+T30+T33+T36+T39)/(T13+T16+T19+T22+T29+T32+T35+T38)</f>
        <v>0.18499999999999994</v>
      </c>
      <c r="U68" s="32">
        <v>0</v>
      </c>
      <c r="V68" s="116" t="s">
        <v>20</v>
      </c>
      <c r="W68" s="115">
        <f>(W14+W17+W20+W23+W30+W33+W36+W39)/(W13+W16+W19+W22+W29+W32+W35+W38)</f>
        <v>0.18499999999999994</v>
      </c>
      <c r="X68" s="114" t="s">
        <v>20</v>
      </c>
      <c r="Y68" s="113" t="s">
        <v>20</v>
      </c>
      <c r="Z68" s="118">
        <f>(Z14+Z17+Z20+Z23+Z30+Z33+Z36+Z39)/(Z13+Z16+Z19+Z22+Z29+Z32+Z35+Z38)</f>
        <v>0.18587833690067815</v>
      </c>
      <c r="AA68" s="117">
        <f>(AA14+AA17+AA20+AA23+AA30+AA33+AA36+AA39)/(AA13+AA16+AA19+AA22+AA29+AA32+AA35+AA38)</f>
        <v>0.18499999999999994</v>
      </c>
      <c r="AB68" s="32">
        <v>0</v>
      </c>
      <c r="AC68" s="116" t="s">
        <v>20</v>
      </c>
      <c r="AD68" s="115">
        <f>(AD14+AD17+AD20+AD23+AD30+AD33+AD36+AD39)/(AD13+AD16+AD19+AD22+AD29+AD32+AD35+AD38)</f>
        <v>0.21075442875851549</v>
      </c>
      <c r="AE68" s="115">
        <f>(AE14+AE17+AE20+AE23+AE30+AE33+AE36+AE39)/(AE13+AE16+AE19+AE22+AE29+AE32+AE35+AE38)</f>
        <v>0.18499999999999994</v>
      </c>
      <c r="AF68" s="32">
        <v>0</v>
      </c>
      <c r="AG68" s="116" t="s">
        <v>20</v>
      </c>
      <c r="AH68" s="115">
        <f>(AH14+AH17+AH20+AH23+AH30+AH33+AH36+AH39)/(AH13+AH16+AH19+AH22+AH29+AH32+AH35+AH38)</f>
        <v>0.18499999999999994</v>
      </c>
      <c r="AI68" s="114" t="s">
        <v>20</v>
      </c>
      <c r="AJ68" s="113" t="s">
        <v>20</v>
      </c>
      <c r="AK68" s="118">
        <f>(AK14+AK17+AK20+AK23+AK30+AK33+AK36+AK39)/(AK13+AK16+AK19+AK22+AK29+AK32+AK35+AK38)</f>
        <v>0.18587833690067815</v>
      </c>
      <c r="AL68" s="117">
        <f>(AL14+AL17+AL20+AL23+AL30+AL33+AL36+AL39)/(AL13+AL16+AL19+AL22+AL29+AL32+AL35+AL38)</f>
        <v>0.18499999999999994</v>
      </c>
      <c r="AM68" s="32">
        <v>0</v>
      </c>
      <c r="AN68" s="116" t="s">
        <v>20</v>
      </c>
      <c r="AO68" s="115">
        <f>(AO14+AO17+AO20+AO23+AO30+AO33+AO36+AO39)/(AO13+AO16+AO19+AO22+AO29+AO32+AO35+AO38)</f>
        <v>0.21075442875851549</v>
      </c>
      <c r="AP68" s="115">
        <f>(AP14+AP17+AP20+AP23+AP30+AP33+AP36+AP39)/(AP13+AP16+AP19+AP22+AP29+AP32+AP35+AP38)</f>
        <v>0.18499999999999994</v>
      </c>
      <c r="AQ68" s="32">
        <v>0</v>
      </c>
      <c r="AR68" s="116" t="s">
        <v>20</v>
      </c>
      <c r="AS68" s="115">
        <f>(AS14+AS17+AS20+AS23+AS30+AS33+AS36+AS39)/(AS13+AS16+AS19+AS22+AS29+AS32+AS35+AS38)</f>
        <v>0.18499999999999994</v>
      </c>
      <c r="AT68" s="114" t="s">
        <v>20</v>
      </c>
      <c r="AU68" s="113" t="s">
        <v>20</v>
      </c>
      <c r="AV68" s="118">
        <f>(AV14+AV17+AV20+AV23+AV30+AV33+AV36+AV39)/(AV13+AV16+AV19+AV22+AV29+AV32+AV35+AV38)</f>
        <v>0.18587833690067815</v>
      </c>
      <c r="AW68" s="117">
        <f>(AW14+AW17+AW20+AW23+AW30+AW33+AW36+AW39)/(AW13+AW16+AW19+AW22+AW29+AW32+AW35+AW38)</f>
        <v>0.18499999999999994</v>
      </c>
      <c r="AX68" s="32">
        <v>0</v>
      </c>
      <c r="AY68" s="116" t="s">
        <v>20</v>
      </c>
      <c r="AZ68" s="115">
        <f>(AZ14+AZ17+AZ20+AZ23+AZ30+AZ33+AZ36+AZ39)/(AZ13+AZ16+AZ19+AZ22+AZ29+AZ32+AZ35+AZ38)</f>
        <v>0.21075442875851549</v>
      </c>
      <c r="BA68" s="115">
        <f>(BA14+BA17+BA20+BA23+BA30+BA33+BA36+BA39)/(BA13+BA16+BA19+BA22+BA29+BA32+BA35+BA38)</f>
        <v>0.18499999999999994</v>
      </c>
      <c r="BB68" s="32">
        <v>0</v>
      </c>
      <c r="BC68" s="116" t="s">
        <v>20</v>
      </c>
      <c r="BD68" s="115">
        <f>(BD14+BD17+BD20+BD23+BD30+BD33+BD36+BD39)/(BD13+BD16+BD19+BD22+BD29+BD32+BD35+BD38)</f>
        <v>0.18499999999999994</v>
      </c>
      <c r="BE68" s="114" t="s">
        <v>20</v>
      </c>
      <c r="BF68" s="113" t="s">
        <v>20</v>
      </c>
      <c r="BG68" s="118">
        <f>(BG14+BG17+BG20+BG23+BG30+BG33+BG36+BG39)/(BG13+BG16+BG19+BG22+BG29+BG32+BG35+BG38)</f>
        <v>0.18587833690067815</v>
      </c>
      <c r="BH68" s="117">
        <f>(BH14+BH17+BH20+BH23+BH30+BH33+BH36+BH39)/(BH13+BH16+BH19+BH22+BH29+BH32+BH35+BH38)</f>
        <v>0.18499999999999994</v>
      </c>
      <c r="BI68" s="32">
        <v>0</v>
      </c>
      <c r="BJ68" s="116" t="s">
        <v>20</v>
      </c>
      <c r="BK68" s="115">
        <f>(BK14+BK17+BK20+BK23+BK30+BK33+BK36+BK39)/(BK13+BK16+BK19+BK22+BK29+BK32+BK35+BK38)</f>
        <v>0.21075442875851549</v>
      </c>
      <c r="BL68" s="115">
        <f>(BL14+BL17+BL20+BL23+BL30+BL33+BL36+BL39)/(BL13+BL16+BL19+BL22+BL29+BL32+BL35+BL38)</f>
        <v>0.18499999999999994</v>
      </c>
      <c r="BM68" s="32">
        <v>0</v>
      </c>
      <c r="BN68" s="116" t="s">
        <v>20</v>
      </c>
      <c r="BO68" s="115">
        <f>(BO14+BO17+BO20+BO23+BO30+BO33+BO36+BO39)/(BO13+BO16+BO19+BO22+BO29+BO32+BO35+BO38)</f>
        <v>0.18499999999999994</v>
      </c>
      <c r="BP68" s="114" t="s">
        <v>20</v>
      </c>
      <c r="BQ68" s="113" t="s">
        <v>20</v>
      </c>
      <c r="BR68" s="118">
        <f>(BR14+BR17+BR20+BR23+BR30+BR33+BR36+BR39)/(BR13+BR16+BR19+BR22+BR29+BR32+BR35+BR38)</f>
        <v>0.18587833690067815</v>
      </c>
      <c r="BS68" s="117">
        <f>(BS14+BS17+BS20+BS23+BS30+BS33+BS36+BS39)/(BS13+BS16+BS19+BS22+BS29+BS32+BS35+BS38)</f>
        <v>0.18499999999999994</v>
      </c>
      <c r="BT68" s="32">
        <v>0</v>
      </c>
      <c r="BU68" s="116" t="s">
        <v>20</v>
      </c>
      <c r="BV68" s="115">
        <f>(BV14+BV17+BV20+BV23+BV30+BV33+BV36+BV39)/(BV13+BV16+BV19+BV22+BV29+BV32+BV35+BV38)</f>
        <v>0.21075442875851549</v>
      </c>
      <c r="BW68" s="115">
        <f>(BW14+BW17+BW20+BW23+BW30+BW33+BW36+BW39)/(BW13+BW16+BW19+BW22+BW29+BW32+BW35+BW38)</f>
        <v>0.18499999999999994</v>
      </c>
      <c r="BX68" s="32">
        <v>0</v>
      </c>
      <c r="BY68" s="116" t="s">
        <v>20</v>
      </c>
      <c r="BZ68" s="115">
        <f>(BZ14+BZ17+BZ20+BZ23+BZ30+BZ33+BZ36+BZ39)/(BZ13+BZ16+BZ19+BZ22+BZ29+BZ32+BZ35+BZ38)</f>
        <v>0.18499999999999994</v>
      </c>
      <c r="CA68" s="114" t="s">
        <v>20</v>
      </c>
      <c r="CB68" s="113" t="s">
        <v>20</v>
      </c>
      <c r="CC68" s="118">
        <f>(CC14+CC17+CC20+CC23+CC30+CC33+CC36+CC39)/(CC13+CC16+CC19+CC22+CC29+CC32+CC35+CC38)</f>
        <v>0.18587833690067815</v>
      </c>
      <c r="CD68" s="117">
        <f>(CD14+CD17+CD20+CD23+CD30+CD33+CD36+CD39)/(CD13+CD16+CD19+CD22+CD29+CD32+CD35+CD38)</f>
        <v>0.18499999999999994</v>
      </c>
      <c r="CE68" s="32">
        <v>0</v>
      </c>
      <c r="CF68" s="116" t="s">
        <v>20</v>
      </c>
      <c r="CG68" s="115">
        <f>(CG14+CG17+CG20+CG23+CG30+CG33+CG36+CG39)/(CG13+CG16+CG19+CG22+CG29+CG32+CG35+CG38)</f>
        <v>0.21075442875851549</v>
      </c>
      <c r="CH68" s="115">
        <f>(CH14+CH17+CH20+CH23+CH30+CH33+CH36+CH39)/(CH13+CH16+CH19+CH22+CH29+CH32+CH35+CH38)</f>
        <v>0.18499999999999994</v>
      </c>
      <c r="CI68" s="32">
        <v>0</v>
      </c>
      <c r="CJ68" s="116" t="s">
        <v>20</v>
      </c>
      <c r="CK68" s="115">
        <f>(CK14+CK17+CK20+CK23+CK30+CK33+CK36+CK39)/(CK13+CK16+CK19+CK22+CK29+CK32+CK35+CK38)</f>
        <v>0.18499999999999994</v>
      </c>
      <c r="CL68" s="114" t="s">
        <v>20</v>
      </c>
      <c r="CM68" s="113" t="s">
        <v>20</v>
      </c>
      <c r="CN68" s="118">
        <f>(CN14+CN17+CN20+CN23+CN30+CN33+CN36+CN39)/(CN13+CN16+CN19+CN22+CN29+CN32+CN35+CN38)</f>
        <v>0.18587833690067815</v>
      </c>
      <c r="CO68" s="117">
        <f>(CO14+CO17+CO20+CO23+CO30+CO33+CO36+CO39)/(CO13+CO16+CO19+CO22+CO29+CO32+CO35+CO38)</f>
        <v>0.18499999999999994</v>
      </c>
      <c r="CP68" s="32">
        <v>0</v>
      </c>
      <c r="CQ68" s="116" t="s">
        <v>20</v>
      </c>
      <c r="CR68" s="115">
        <f>(CR14+CR17+CR20+CR23+CR30+CR33+CR36+CR39)/(CR13+CR16+CR19+CR22+CR29+CR32+CR35+CR38)</f>
        <v>0.21075442875851549</v>
      </c>
      <c r="CS68" s="115">
        <f>(CS14+CS17+CS20+CS23+CS30+CS33+CS36+CS39)/(CS13+CS16+CS19+CS22+CS29+CS32+CS35+CS38)</f>
        <v>0.18499999999999994</v>
      </c>
      <c r="CT68" s="32">
        <v>0</v>
      </c>
      <c r="CU68" s="116" t="s">
        <v>20</v>
      </c>
      <c r="CV68" s="115">
        <f>(CV14+CV17+CV20+CV23+CV30+CV33+CV36+CV39)/(CV13+CV16+CV19+CV22+CV29+CV32+CV35+CV38)</f>
        <v>0.18499999999999994</v>
      </c>
      <c r="CW68" s="114" t="s">
        <v>20</v>
      </c>
      <c r="CX68" s="113" t="s">
        <v>20</v>
      </c>
      <c r="CY68" s="118">
        <f>(CY14+CY17+CY20+CY23+CY30+CY33+CY36+CY39)/(CY13+CY16+CY19+CY22+CY29+CY32+CY35+CY38)</f>
        <v>0.18587833690067815</v>
      </c>
      <c r="CZ68" s="117">
        <f>(CZ14+CZ17+CZ20+CZ23+CZ30+CZ33+CZ36+CZ39)/(CZ13+CZ16+CZ19+CZ22+CZ29+CZ32+CZ35+CZ38)</f>
        <v>0.18499999999999994</v>
      </c>
      <c r="DA68" s="32">
        <v>0</v>
      </c>
      <c r="DB68" s="116" t="s">
        <v>20</v>
      </c>
      <c r="DC68" s="115">
        <f>(DC14+DC17+DC20+DC23+DC30+DC33+DC36+DC39)/(DC13+DC16+DC19+DC22+DC29+DC32+DC35+DC38)</f>
        <v>0.21075442875851549</v>
      </c>
      <c r="DD68" s="115">
        <f>(DD14+DD17+DD20+DD23+DD30+DD33+DD36+DD39)/(DD13+DD16+DD19+DD22+DD29+DD32+DD35+DD38)</f>
        <v>0.18499999999999994</v>
      </c>
      <c r="DE68" s="32">
        <v>0</v>
      </c>
      <c r="DF68" s="116" t="s">
        <v>20</v>
      </c>
      <c r="DG68" s="115">
        <f>(DG14+DG17+DG20+DG23+DG30+DG33+DG36+DG39)/(DG13+DG16+DG19+DG22+DG29+DG32+DG35+DG38)</f>
        <v>0.18499999999999994</v>
      </c>
      <c r="DH68" s="114" t="s">
        <v>20</v>
      </c>
      <c r="DI68" s="113" t="s">
        <v>20</v>
      </c>
    </row>
    <row r="69" spans="1:113" s="103" customFormat="1" ht="16.5" customHeight="1" outlineLevel="1" x14ac:dyDescent="0.2">
      <c r="B69" s="111" t="s">
        <v>19</v>
      </c>
      <c r="C69" s="110" t="s">
        <v>18</v>
      </c>
      <c r="D69" s="109">
        <v>311</v>
      </c>
      <c r="E69" s="108">
        <v>331</v>
      </c>
      <c r="F69" s="32">
        <f>D69-E69</f>
        <v>-20</v>
      </c>
      <c r="G69" s="112">
        <f>IFERROR(D69/E69-1,"-")</f>
        <v>-6.0422960725075581E-2</v>
      </c>
      <c r="H69" s="106">
        <v>311</v>
      </c>
      <c r="I69" s="106">
        <v>331</v>
      </c>
      <c r="J69" s="32">
        <f>H69-I69</f>
        <v>-20</v>
      </c>
      <c r="K69" s="112">
        <f>IFERROR(H69/I69-1,"-")</f>
        <v>-6.0422960725075581E-2</v>
      </c>
      <c r="L69" s="106">
        <v>331</v>
      </c>
      <c r="M69" s="105">
        <f>H69-L69</f>
        <v>-20</v>
      </c>
      <c r="N69" s="104">
        <f>IFERROR(M69/L69,"-")</f>
        <v>-6.0422960725075532E-2</v>
      </c>
      <c r="O69" s="109">
        <v>311</v>
      </c>
      <c r="P69" s="108">
        <v>331</v>
      </c>
      <c r="Q69" s="32">
        <f>O69-P69</f>
        <v>-20</v>
      </c>
      <c r="R69" s="112">
        <f>IFERROR(O69/P69-1,"-")</f>
        <v>-6.0422960725075581E-2</v>
      </c>
      <c r="S69" s="106">
        <v>311</v>
      </c>
      <c r="T69" s="106">
        <v>331</v>
      </c>
      <c r="U69" s="32">
        <f>S69-T69</f>
        <v>-20</v>
      </c>
      <c r="V69" s="112">
        <f>IFERROR(S69/T69-1,"-")</f>
        <v>-6.0422960725075581E-2</v>
      </c>
      <c r="W69" s="106">
        <v>331</v>
      </c>
      <c r="X69" s="105">
        <f>S69-W69</f>
        <v>-20</v>
      </c>
      <c r="Y69" s="104">
        <f>IFERROR(X69/W69,"-")</f>
        <v>-6.0422960725075532E-2</v>
      </c>
      <c r="Z69" s="109">
        <v>311</v>
      </c>
      <c r="AA69" s="108">
        <v>331</v>
      </c>
      <c r="AB69" s="32">
        <f>Z69-AA69</f>
        <v>-20</v>
      </c>
      <c r="AC69" s="112">
        <f>IFERROR(Z69/AA69-1,"-")</f>
        <v>-6.0422960725075581E-2</v>
      </c>
      <c r="AD69" s="106">
        <v>311</v>
      </c>
      <c r="AE69" s="106">
        <v>331</v>
      </c>
      <c r="AF69" s="32">
        <f>AD69-AE69</f>
        <v>-20</v>
      </c>
      <c r="AG69" s="112">
        <f>IFERROR(AD69/AE69-1,"-")</f>
        <v>-6.0422960725075581E-2</v>
      </c>
      <c r="AH69" s="106">
        <v>331</v>
      </c>
      <c r="AI69" s="105">
        <f>AD69-AH69</f>
        <v>-20</v>
      </c>
      <c r="AJ69" s="104">
        <f>IFERROR(AI69/AH69,"-")</f>
        <v>-6.0422960725075532E-2</v>
      </c>
      <c r="AK69" s="109">
        <v>311</v>
      </c>
      <c r="AL69" s="108">
        <v>331</v>
      </c>
      <c r="AM69" s="32">
        <f>AK69-AL69</f>
        <v>-20</v>
      </c>
      <c r="AN69" s="112">
        <f>IFERROR(AK69/AL69-1,"-")</f>
        <v>-6.0422960725075581E-2</v>
      </c>
      <c r="AO69" s="106">
        <v>311</v>
      </c>
      <c r="AP69" s="106">
        <v>331</v>
      </c>
      <c r="AQ69" s="32">
        <f>AO69-AP69</f>
        <v>-20</v>
      </c>
      <c r="AR69" s="112">
        <f>IFERROR(AO69/AP69-1,"-")</f>
        <v>-6.0422960725075581E-2</v>
      </c>
      <c r="AS69" s="106">
        <v>331</v>
      </c>
      <c r="AT69" s="105">
        <f>AO69-AS69</f>
        <v>-20</v>
      </c>
      <c r="AU69" s="104">
        <f>IFERROR(AT69/AS69,"-")</f>
        <v>-6.0422960725075532E-2</v>
      </c>
      <c r="AV69" s="109">
        <v>311</v>
      </c>
      <c r="AW69" s="108">
        <v>331</v>
      </c>
      <c r="AX69" s="32">
        <f>AV69-AW69</f>
        <v>-20</v>
      </c>
      <c r="AY69" s="112">
        <f>IFERROR(AV69/AW69-1,"-")</f>
        <v>-6.0422960725075581E-2</v>
      </c>
      <c r="AZ69" s="106">
        <v>311</v>
      </c>
      <c r="BA69" s="106">
        <v>331</v>
      </c>
      <c r="BB69" s="32">
        <f>AZ69-BA69</f>
        <v>-20</v>
      </c>
      <c r="BC69" s="112">
        <f>IFERROR(AZ69/BA69-1,"-")</f>
        <v>-6.0422960725075581E-2</v>
      </c>
      <c r="BD69" s="106">
        <v>331</v>
      </c>
      <c r="BE69" s="105">
        <f>AZ69-BD69</f>
        <v>-20</v>
      </c>
      <c r="BF69" s="104">
        <f>IFERROR(BE69/BD69,"-")</f>
        <v>-6.0422960725075532E-2</v>
      </c>
      <c r="BG69" s="109">
        <v>311</v>
      </c>
      <c r="BH69" s="108">
        <v>331</v>
      </c>
      <c r="BI69" s="32">
        <f>BG69-BH69</f>
        <v>-20</v>
      </c>
      <c r="BJ69" s="112">
        <f>IFERROR(BG69/BH69-1,"-")</f>
        <v>-6.0422960725075581E-2</v>
      </c>
      <c r="BK69" s="106">
        <v>311</v>
      </c>
      <c r="BL69" s="106">
        <v>331</v>
      </c>
      <c r="BM69" s="32">
        <f>BK69-BL69</f>
        <v>-20</v>
      </c>
      <c r="BN69" s="112">
        <f>IFERROR(BK69/BL69-1,"-")</f>
        <v>-6.0422960725075581E-2</v>
      </c>
      <c r="BO69" s="106">
        <v>331</v>
      </c>
      <c r="BP69" s="105">
        <f>BK69-BO69</f>
        <v>-20</v>
      </c>
      <c r="BQ69" s="104">
        <f>IFERROR(BP69/BO69,"-")</f>
        <v>-6.0422960725075532E-2</v>
      </c>
      <c r="BR69" s="109">
        <v>311</v>
      </c>
      <c r="BS69" s="108">
        <v>331</v>
      </c>
      <c r="BT69" s="32">
        <f>BR69-BS69</f>
        <v>-20</v>
      </c>
      <c r="BU69" s="112">
        <f>IFERROR(BR69/BS69-1,"-")</f>
        <v>-6.0422960725075581E-2</v>
      </c>
      <c r="BV69" s="106">
        <v>311</v>
      </c>
      <c r="BW69" s="106">
        <v>331</v>
      </c>
      <c r="BX69" s="32">
        <f>BV69-BW69</f>
        <v>-20</v>
      </c>
      <c r="BY69" s="112">
        <f>IFERROR(BV69/BW69-1,"-")</f>
        <v>-6.0422960725075581E-2</v>
      </c>
      <c r="BZ69" s="106">
        <v>331</v>
      </c>
      <c r="CA69" s="105">
        <f>BV69-BZ69</f>
        <v>-20</v>
      </c>
      <c r="CB69" s="104">
        <f>IFERROR(CA69/BZ69,"-")</f>
        <v>-6.0422960725075532E-2</v>
      </c>
      <c r="CC69" s="109">
        <v>311</v>
      </c>
      <c r="CD69" s="108">
        <v>331</v>
      </c>
      <c r="CE69" s="32">
        <f>CC69-CD69</f>
        <v>-20</v>
      </c>
      <c r="CF69" s="112">
        <f>IFERROR(CC69/CD69-1,"-")</f>
        <v>-6.0422960725075581E-2</v>
      </c>
      <c r="CG69" s="106">
        <v>311</v>
      </c>
      <c r="CH69" s="106">
        <v>331</v>
      </c>
      <c r="CI69" s="32">
        <f>CG69-CH69</f>
        <v>-20</v>
      </c>
      <c r="CJ69" s="112">
        <f>IFERROR(CG69/CH69-1,"-")</f>
        <v>-6.0422960725075581E-2</v>
      </c>
      <c r="CK69" s="106">
        <v>331</v>
      </c>
      <c r="CL69" s="105">
        <f>CG69-CK69</f>
        <v>-20</v>
      </c>
      <c r="CM69" s="104">
        <f>IFERROR(CL69/CK69,"-")</f>
        <v>-6.0422960725075532E-2</v>
      </c>
      <c r="CN69" s="109">
        <v>311</v>
      </c>
      <c r="CO69" s="108">
        <v>331</v>
      </c>
      <c r="CP69" s="32">
        <f>CN69-CO69</f>
        <v>-20</v>
      </c>
      <c r="CQ69" s="112">
        <f>IFERROR(CN69/CO69-1,"-")</f>
        <v>-6.0422960725075581E-2</v>
      </c>
      <c r="CR69" s="106">
        <v>311</v>
      </c>
      <c r="CS69" s="106">
        <v>331</v>
      </c>
      <c r="CT69" s="32">
        <f>CR69-CS69</f>
        <v>-20</v>
      </c>
      <c r="CU69" s="112">
        <f>IFERROR(CR69/CS69-1,"-")</f>
        <v>-6.0422960725075581E-2</v>
      </c>
      <c r="CV69" s="106">
        <v>331</v>
      </c>
      <c r="CW69" s="105">
        <f>CR69-CV69</f>
        <v>-20</v>
      </c>
      <c r="CX69" s="104">
        <f>IFERROR(CW69/CV69,"-")</f>
        <v>-6.0422960725075532E-2</v>
      </c>
      <c r="CY69" s="109">
        <v>311</v>
      </c>
      <c r="CZ69" s="108">
        <v>331</v>
      </c>
      <c r="DA69" s="32">
        <f>CY69-CZ69</f>
        <v>-20</v>
      </c>
      <c r="DB69" s="112">
        <f>IFERROR(CY69/CZ69-1,"-")</f>
        <v>-6.0422960725075581E-2</v>
      </c>
      <c r="DC69" s="106">
        <v>311</v>
      </c>
      <c r="DD69" s="106">
        <v>331</v>
      </c>
      <c r="DE69" s="32">
        <f>DC69-DD69</f>
        <v>-20</v>
      </c>
      <c r="DF69" s="112">
        <f>IFERROR(DC69/DD69-1,"-")</f>
        <v>-6.0422960725075581E-2</v>
      </c>
      <c r="DG69" s="106">
        <v>331</v>
      </c>
      <c r="DH69" s="105">
        <f>DC69-DG69</f>
        <v>-20</v>
      </c>
      <c r="DI69" s="104">
        <f>IFERROR(DH69/DG69,"-")</f>
        <v>-6.0422960725075532E-2</v>
      </c>
    </row>
    <row r="70" spans="1:113" s="103" customFormat="1" ht="16.5" customHeight="1" outlineLevel="1" x14ac:dyDescent="0.2">
      <c r="B70" s="111" t="s">
        <v>17</v>
      </c>
      <c r="C70" s="110" t="s">
        <v>16</v>
      </c>
      <c r="D70" s="109">
        <f>D71-D69</f>
        <v>110</v>
      </c>
      <c r="E70" s="108">
        <f>E71-E69</f>
        <v>113</v>
      </c>
      <c r="F70" s="32">
        <f>D70-E70</f>
        <v>-3</v>
      </c>
      <c r="G70" s="107">
        <f>IFERROR(D70/E70-1,"-")</f>
        <v>-2.6548672566371723E-2</v>
      </c>
      <c r="H70" s="106">
        <f>H71-H69</f>
        <v>110</v>
      </c>
      <c r="I70" s="106">
        <f>I71-I69</f>
        <v>113</v>
      </c>
      <c r="J70" s="32">
        <f>H70-I70</f>
        <v>-3</v>
      </c>
      <c r="K70" s="107">
        <f>IFERROR(H70/I70-1,"-")</f>
        <v>-2.6548672566371723E-2</v>
      </c>
      <c r="L70" s="106">
        <f>L71-L69</f>
        <v>113</v>
      </c>
      <c r="M70" s="105">
        <f>H70-L70</f>
        <v>-3</v>
      </c>
      <c r="N70" s="104">
        <f>IFERROR(M70/L70,"-")</f>
        <v>-2.6548672566371681E-2</v>
      </c>
      <c r="O70" s="109">
        <f>O71-O69</f>
        <v>110</v>
      </c>
      <c r="P70" s="108">
        <f>P71-P69</f>
        <v>113</v>
      </c>
      <c r="Q70" s="32">
        <f>O70-P70</f>
        <v>-3</v>
      </c>
      <c r="R70" s="107">
        <f>IFERROR(O70/P70-1,"-")</f>
        <v>-2.6548672566371723E-2</v>
      </c>
      <c r="S70" s="106">
        <f>S71-S69</f>
        <v>110</v>
      </c>
      <c r="T70" s="106">
        <f>T71-T69</f>
        <v>113</v>
      </c>
      <c r="U70" s="32">
        <f>S70-T70</f>
        <v>-3</v>
      </c>
      <c r="V70" s="107">
        <f>IFERROR(S70/T70-1,"-")</f>
        <v>-2.6548672566371723E-2</v>
      </c>
      <c r="W70" s="106">
        <f>W71-W69</f>
        <v>113</v>
      </c>
      <c r="X70" s="105">
        <f>S70-W70</f>
        <v>-3</v>
      </c>
      <c r="Y70" s="104">
        <f>IFERROR(X70/W70,"-")</f>
        <v>-2.6548672566371681E-2</v>
      </c>
      <c r="Z70" s="109">
        <f>Z71-Z69</f>
        <v>110</v>
      </c>
      <c r="AA70" s="108">
        <f>AA71-AA69</f>
        <v>113</v>
      </c>
      <c r="AB70" s="32">
        <f>Z70-AA70</f>
        <v>-3</v>
      </c>
      <c r="AC70" s="107">
        <f>IFERROR(Z70/AA70-1,"-")</f>
        <v>-2.6548672566371723E-2</v>
      </c>
      <c r="AD70" s="106">
        <f>AD71-AD69</f>
        <v>110</v>
      </c>
      <c r="AE70" s="106">
        <f>AE71-AE69</f>
        <v>113</v>
      </c>
      <c r="AF70" s="32">
        <f>AD70-AE70</f>
        <v>-3</v>
      </c>
      <c r="AG70" s="107">
        <f>IFERROR(AD70/AE70-1,"-")</f>
        <v>-2.6548672566371723E-2</v>
      </c>
      <c r="AH70" s="106">
        <f>AH71-AH69</f>
        <v>113</v>
      </c>
      <c r="AI70" s="105">
        <f>AD70-AH70</f>
        <v>-3</v>
      </c>
      <c r="AJ70" s="104">
        <f>IFERROR(AI70/AH70,"-")</f>
        <v>-2.6548672566371681E-2</v>
      </c>
      <c r="AK70" s="109">
        <f>AK71-AK69</f>
        <v>110</v>
      </c>
      <c r="AL70" s="108">
        <f>AL71-AL69</f>
        <v>113</v>
      </c>
      <c r="AM70" s="32">
        <f>AK70-AL70</f>
        <v>-3</v>
      </c>
      <c r="AN70" s="107">
        <f>IFERROR(AK70/AL70-1,"-")</f>
        <v>-2.6548672566371723E-2</v>
      </c>
      <c r="AO70" s="106">
        <f>AO71-AO69</f>
        <v>110</v>
      </c>
      <c r="AP70" s="106">
        <f>AP71-AP69</f>
        <v>113</v>
      </c>
      <c r="AQ70" s="32">
        <f>AO70-AP70</f>
        <v>-3</v>
      </c>
      <c r="AR70" s="107">
        <f>IFERROR(AO70/AP70-1,"-")</f>
        <v>-2.6548672566371723E-2</v>
      </c>
      <c r="AS70" s="106">
        <f>AS71-AS69</f>
        <v>113</v>
      </c>
      <c r="AT70" s="105">
        <f>AO70-AS70</f>
        <v>-3</v>
      </c>
      <c r="AU70" s="104">
        <f>IFERROR(AT70/AS70,"-")</f>
        <v>-2.6548672566371681E-2</v>
      </c>
      <c r="AV70" s="109">
        <f>AV71-AV69</f>
        <v>110</v>
      </c>
      <c r="AW70" s="108">
        <f>AW71-AW69</f>
        <v>113</v>
      </c>
      <c r="AX70" s="32">
        <f>AV70-AW70</f>
        <v>-3</v>
      </c>
      <c r="AY70" s="107">
        <f>IFERROR(AV70/AW70-1,"-")</f>
        <v>-2.6548672566371723E-2</v>
      </c>
      <c r="AZ70" s="106">
        <f>AZ71-AZ69</f>
        <v>110</v>
      </c>
      <c r="BA70" s="106">
        <f>BA71-BA69</f>
        <v>113</v>
      </c>
      <c r="BB70" s="32">
        <f>AZ70-BA70</f>
        <v>-3</v>
      </c>
      <c r="BC70" s="107">
        <f>IFERROR(AZ70/BA70-1,"-")</f>
        <v>-2.6548672566371723E-2</v>
      </c>
      <c r="BD70" s="106">
        <f>BD71-BD69</f>
        <v>113</v>
      </c>
      <c r="BE70" s="105">
        <f>AZ70-BD70</f>
        <v>-3</v>
      </c>
      <c r="BF70" s="104">
        <f>IFERROR(BE70/BD70,"-")</f>
        <v>-2.6548672566371681E-2</v>
      </c>
      <c r="BG70" s="109">
        <f>BG71-BG69</f>
        <v>110</v>
      </c>
      <c r="BH70" s="108">
        <f>BH71-BH69</f>
        <v>113</v>
      </c>
      <c r="BI70" s="32">
        <f>BG70-BH70</f>
        <v>-3</v>
      </c>
      <c r="BJ70" s="107">
        <f>IFERROR(BG70/BH70-1,"-")</f>
        <v>-2.6548672566371723E-2</v>
      </c>
      <c r="BK70" s="106">
        <f>BK71-BK69</f>
        <v>110</v>
      </c>
      <c r="BL70" s="106">
        <f>BL71-BL69</f>
        <v>113</v>
      </c>
      <c r="BM70" s="32">
        <f>BK70-BL70</f>
        <v>-3</v>
      </c>
      <c r="BN70" s="107">
        <f>IFERROR(BK70/BL70-1,"-")</f>
        <v>-2.6548672566371723E-2</v>
      </c>
      <c r="BO70" s="106">
        <f>BO71-BO69</f>
        <v>113</v>
      </c>
      <c r="BP70" s="105">
        <f>BK70-BO70</f>
        <v>-3</v>
      </c>
      <c r="BQ70" s="104">
        <f>IFERROR(BP70/BO70,"-")</f>
        <v>-2.6548672566371681E-2</v>
      </c>
      <c r="BR70" s="109">
        <f>BR71-BR69</f>
        <v>110</v>
      </c>
      <c r="BS70" s="108">
        <f>BS71-BS69</f>
        <v>113</v>
      </c>
      <c r="BT70" s="32">
        <f>BR70-BS70</f>
        <v>-3</v>
      </c>
      <c r="BU70" s="107">
        <f>IFERROR(BR70/BS70-1,"-")</f>
        <v>-2.6548672566371723E-2</v>
      </c>
      <c r="BV70" s="106">
        <f>BV71-BV69</f>
        <v>110</v>
      </c>
      <c r="BW70" s="106">
        <f>BW71-BW69</f>
        <v>113</v>
      </c>
      <c r="BX70" s="32">
        <f>BV70-BW70</f>
        <v>-3</v>
      </c>
      <c r="BY70" s="107">
        <f>IFERROR(BV70/BW70-1,"-")</f>
        <v>-2.6548672566371723E-2</v>
      </c>
      <c r="BZ70" s="106">
        <f>BZ71-BZ69</f>
        <v>113</v>
      </c>
      <c r="CA70" s="105">
        <f>BV70-BZ70</f>
        <v>-3</v>
      </c>
      <c r="CB70" s="104">
        <f>IFERROR(CA70/BZ70,"-")</f>
        <v>-2.6548672566371681E-2</v>
      </c>
      <c r="CC70" s="109">
        <f>CC71-CC69</f>
        <v>110</v>
      </c>
      <c r="CD70" s="108">
        <f>CD71-CD69</f>
        <v>113</v>
      </c>
      <c r="CE70" s="32">
        <f>CC70-CD70</f>
        <v>-3</v>
      </c>
      <c r="CF70" s="107">
        <f>IFERROR(CC70/CD70-1,"-")</f>
        <v>-2.6548672566371723E-2</v>
      </c>
      <c r="CG70" s="106">
        <f>CG71-CG69</f>
        <v>110</v>
      </c>
      <c r="CH70" s="106">
        <f>CH71-CH69</f>
        <v>113</v>
      </c>
      <c r="CI70" s="32">
        <f>CG70-CH70</f>
        <v>-3</v>
      </c>
      <c r="CJ70" s="107">
        <f>IFERROR(CG70/CH70-1,"-")</f>
        <v>-2.6548672566371723E-2</v>
      </c>
      <c r="CK70" s="106">
        <f>CK71-CK69</f>
        <v>113</v>
      </c>
      <c r="CL70" s="105">
        <f>CG70-CK70</f>
        <v>-3</v>
      </c>
      <c r="CM70" s="104">
        <f>IFERROR(CL70/CK70,"-")</f>
        <v>-2.6548672566371681E-2</v>
      </c>
      <c r="CN70" s="109">
        <f>CN71-CN69</f>
        <v>110</v>
      </c>
      <c r="CO70" s="108">
        <f>CO71-CO69</f>
        <v>113</v>
      </c>
      <c r="CP70" s="32">
        <f>CN70-CO70</f>
        <v>-3</v>
      </c>
      <c r="CQ70" s="107">
        <f>IFERROR(CN70/CO70-1,"-")</f>
        <v>-2.6548672566371723E-2</v>
      </c>
      <c r="CR70" s="106">
        <f>CR71-CR69</f>
        <v>110</v>
      </c>
      <c r="CS70" s="106">
        <f>CS71-CS69</f>
        <v>113</v>
      </c>
      <c r="CT70" s="32">
        <f>CR70-CS70</f>
        <v>-3</v>
      </c>
      <c r="CU70" s="107">
        <f>IFERROR(CR70/CS70-1,"-")</f>
        <v>-2.6548672566371723E-2</v>
      </c>
      <c r="CV70" s="106">
        <f>CV71-CV69</f>
        <v>113</v>
      </c>
      <c r="CW70" s="105">
        <f>CR70-CV70</f>
        <v>-3</v>
      </c>
      <c r="CX70" s="104">
        <f>IFERROR(CW70/CV70,"-")</f>
        <v>-2.6548672566371681E-2</v>
      </c>
      <c r="CY70" s="109">
        <f>CY71-CY69</f>
        <v>110</v>
      </c>
      <c r="CZ70" s="108">
        <f>CZ71-CZ69</f>
        <v>113</v>
      </c>
      <c r="DA70" s="32">
        <f>CY70-CZ70</f>
        <v>-3</v>
      </c>
      <c r="DB70" s="107">
        <f>IFERROR(CY70/CZ70-1,"-")</f>
        <v>-2.6548672566371723E-2</v>
      </c>
      <c r="DC70" s="106">
        <f>DC71-DC69</f>
        <v>110</v>
      </c>
      <c r="DD70" s="106">
        <f>DD71-DD69</f>
        <v>113</v>
      </c>
      <c r="DE70" s="32">
        <f>DC70-DD70</f>
        <v>-3</v>
      </c>
      <c r="DF70" s="107">
        <f>IFERROR(DC70/DD70-1,"-")</f>
        <v>-2.6548672566371723E-2</v>
      </c>
      <c r="DG70" s="106">
        <f>DG71-DG69</f>
        <v>113</v>
      </c>
      <c r="DH70" s="105">
        <f>DC70-DG70</f>
        <v>-3</v>
      </c>
      <c r="DI70" s="104">
        <f>IFERROR(DH70/DG70,"-")</f>
        <v>-2.6548672566371681E-2</v>
      </c>
    </row>
    <row r="71" spans="1:113" ht="16.5" customHeight="1" outlineLevel="1" x14ac:dyDescent="0.2">
      <c r="B71" s="101" t="s">
        <v>15</v>
      </c>
      <c r="C71" s="100" t="s">
        <v>14</v>
      </c>
      <c r="D71" s="99">
        <v>421</v>
      </c>
      <c r="E71" s="102">
        <v>444</v>
      </c>
      <c r="F71" s="23">
        <f>D71-E71</f>
        <v>-23</v>
      </c>
      <c r="G71" s="96">
        <f>IFERROR(D71/E71-1,"-")</f>
        <v>-5.1801801801801828E-2</v>
      </c>
      <c r="H71" s="95">
        <v>421</v>
      </c>
      <c r="I71" s="95">
        <v>444</v>
      </c>
      <c r="J71" s="23">
        <f>H71-I71</f>
        <v>-23</v>
      </c>
      <c r="K71" s="96">
        <f>IFERROR(H71/I71-1,"-")</f>
        <v>-5.1801801801801828E-2</v>
      </c>
      <c r="L71" s="95">
        <v>444</v>
      </c>
      <c r="M71" s="94">
        <f>H71-L71</f>
        <v>-23</v>
      </c>
      <c r="N71" s="93">
        <f>IFERROR(M71/L71,"-")</f>
        <v>-5.18018018018018E-2</v>
      </c>
      <c r="O71" s="99">
        <v>421</v>
      </c>
      <c r="P71" s="102">
        <v>444</v>
      </c>
      <c r="Q71" s="23">
        <f>O71-P71</f>
        <v>-23</v>
      </c>
      <c r="R71" s="96">
        <f>IFERROR(O71/P71-1,"-")</f>
        <v>-5.1801801801801828E-2</v>
      </c>
      <c r="S71" s="95">
        <v>421</v>
      </c>
      <c r="T71" s="95">
        <v>444</v>
      </c>
      <c r="U71" s="23">
        <f>S71-T71</f>
        <v>-23</v>
      </c>
      <c r="V71" s="96">
        <f>IFERROR(S71/T71-1,"-")</f>
        <v>-5.1801801801801828E-2</v>
      </c>
      <c r="W71" s="95">
        <v>444</v>
      </c>
      <c r="X71" s="94">
        <f>S71-W71</f>
        <v>-23</v>
      </c>
      <c r="Y71" s="93">
        <f>IFERROR(X71/W71,"-")</f>
        <v>-5.18018018018018E-2</v>
      </c>
      <c r="Z71" s="99">
        <v>421</v>
      </c>
      <c r="AA71" s="102">
        <v>444</v>
      </c>
      <c r="AB71" s="23">
        <f>Z71-AA71</f>
        <v>-23</v>
      </c>
      <c r="AC71" s="96">
        <f>IFERROR(Z71/AA71-1,"-")</f>
        <v>-5.1801801801801828E-2</v>
      </c>
      <c r="AD71" s="95">
        <v>421</v>
      </c>
      <c r="AE71" s="95">
        <v>444</v>
      </c>
      <c r="AF71" s="23">
        <f>AD71-AE71</f>
        <v>-23</v>
      </c>
      <c r="AG71" s="96">
        <f>IFERROR(AD71/AE71-1,"-")</f>
        <v>-5.1801801801801828E-2</v>
      </c>
      <c r="AH71" s="95">
        <v>444</v>
      </c>
      <c r="AI71" s="94">
        <f>AD71-AH71</f>
        <v>-23</v>
      </c>
      <c r="AJ71" s="93">
        <f>IFERROR(AI71/AH71,"-")</f>
        <v>-5.18018018018018E-2</v>
      </c>
      <c r="AK71" s="99">
        <v>421</v>
      </c>
      <c r="AL71" s="102">
        <v>444</v>
      </c>
      <c r="AM71" s="23">
        <f>AK71-AL71</f>
        <v>-23</v>
      </c>
      <c r="AN71" s="96">
        <f>IFERROR(AK71/AL71-1,"-")</f>
        <v>-5.1801801801801828E-2</v>
      </c>
      <c r="AO71" s="95">
        <v>421</v>
      </c>
      <c r="AP71" s="95">
        <v>444</v>
      </c>
      <c r="AQ71" s="23">
        <f>AO71-AP71</f>
        <v>-23</v>
      </c>
      <c r="AR71" s="96">
        <f>IFERROR(AO71/AP71-1,"-")</f>
        <v>-5.1801801801801828E-2</v>
      </c>
      <c r="AS71" s="95">
        <v>444</v>
      </c>
      <c r="AT71" s="94">
        <f>AO71-AS71</f>
        <v>-23</v>
      </c>
      <c r="AU71" s="93">
        <f>IFERROR(AT71/AS71,"-")</f>
        <v>-5.18018018018018E-2</v>
      </c>
      <c r="AV71" s="99">
        <v>421</v>
      </c>
      <c r="AW71" s="102">
        <v>444</v>
      </c>
      <c r="AX71" s="23">
        <f>AV71-AW71</f>
        <v>-23</v>
      </c>
      <c r="AY71" s="96">
        <f>IFERROR(AV71/AW71-1,"-")</f>
        <v>-5.1801801801801828E-2</v>
      </c>
      <c r="AZ71" s="95">
        <v>421</v>
      </c>
      <c r="BA71" s="95">
        <v>444</v>
      </c>
      <c r="BB71" s="23">
        <f>AZ71-BA71</f>
        <v>-23</v>
      </c>
      <c r="BC71" s="96">
        <f>IFERROR(AZ71/BA71-1,"-")</f>
        <v>-5.1801801801801828E-2</v>
      </c>
      <c r="BD71" s="95">
        <v>444</v>
      </c>
      <c r="BE71" s="94">
        <f>AZ71-BD71</f>
        <v>-23</v>
      </c>
      <c r="BF71" s="93">
        <f>IFERROR(BE71/BD71,"-")</f>
        <v>-5.18018018018018E-2</v>
      </c>
      <c r="BG71" s="99">
        <v>421</v>
      </c>
      <c r="BH71" s="102">
        <v>444</v>
      </c>
      <c r="BI71" s="23">
        <f>BG71-BH71</f>
        <v>-23</v>
      </c>
      <c r="BJ71" s="96">
        <f>IFERROR(BG71/BH71-1,"-")</f>
        <v>-5.1801801801801828E-2</v>
      </c>
      <c r="BK71" s="95">
        <v>421</v>
      </c>
      <c r="BL71" s="95">
        <v>444</v>
      </c>
      <c r="BM71" s="23">
        <f>BK71-BL71</f>
        <v>-23</v>
      </c>
      <c r="BN71" s="96">
        <f>IFERROR(BK71/BL71-1,"-")</f>
        <v>-5.1801801801801828E-2</v>
      </c>
      <c r="BO71" s="95">
        <v>444</v>
      </c>
      <c r="BP71" s="94">
        <f>BK71-BO71</f>
        <v>-23</v>
      </c>
      <c r="BQ71" s="93">
        <f>IFERROR(BP71/BO71,"-")</f>
        <v>-5.18018018018018E-2</v>
      </c>
      <c r="BR71" s="99">
        <v>421</v>
      </c>
      <c r="BS71" s="102">
        <v>444</v>
      </c>
      <c r="BT71" s="23">
        <f>BR71-BS71</f>
        <v>-23</v>
      </c>
      <c r="BU71" s="96">
        <f>IFERROR(BR71/BS71-1,"-")</f>
        <v>-5.1801801801801828E-2</v>
      </c>
      <c r="BV71" s="95">
        <v>421</v>
      </c>
      <c r="BW71" s="95">
        <v>444</v>
      </c>
      <c r="BX71" s="23">
        <f>BV71-BW71</f>
        <v>-23</v>
      </c>
      <c r="BY71" s="96">
        <f>IFERROR(BV71/BW71-1,"-")</f>
        <v>-5.1801801801801828E-2</v>
      </c>
      <c r="BZ71" s="95">
        <v>444</v>
      </c>
      <c r="CA71" s="94">
        <f>BV71-BZ71</f>
        <v>-23</v>
      </c>
      <c r="CB71" s="93">
        <f>IFERROR(CA71/BZ71,"-")</f>
        <v>-5.18018018018018E-2</v>
      </c>
      <c r="CC71" s="99">
        <v>421</v>
      </c>
      <c r="CD71" s="102">
        <v>444</v>
      </c>
      <c r="CE71" s="23">
        <f>CC71-CD71</f>
        <v>-23</v>
      </c>
      <c r="CF71" s="96">
        <f>IFERROR(CC71/CD71-1,"-")</f>
        <v>-5.1801801801801828E-2</v>
      </c>
      <c r="CG71" s="95">
        <v>421</v>
      </c>
      <c r="CH71" s="95">
        <v>444</v>
      </c>
      <c r="CI71" s="23">
        <f>CG71-CH71</f>
        <v>-23</v>
      </c>
      <c r="CJ71" s="96">
        <f>IFERROR(CG71/CH71-1,"-")</f>
        <v>-5.1801801801801828E-2</v>
      </c>
      <c r="CK71" s="95">
        <v>444</v>
      </c>
      <c r="CL71" s="94">
        <f>CG71-CK71</f>
        <v>-23</v>
      </c>
      <c r="CM71" s="93">
        <f>IFERROR(CL71/CK71,"-")</f>
        <v>-5.18018018018018E-2</v>
      </c>
      <c r="CN71" s="99">
        <v>421</v>
      </c>
      <c r="CO71" s="102">
        <v>444</v>
      </c>
      <c r="CP71" s="23">
        <f>CN71-CO71</f>
        <v>-23</v>
      </c>
      <c r="CQ71" s="96">
        <f>IFERROR(CN71/CO71-1,"-")</f>
        <v>-5.1801801801801828E-2</v>
      </c>
      <c r="CR71" s="95">
        <v>421</v>
      </c>
      <c r="CS71" s="95">
        <v>444</v>
      </c>
      <c r="CT71" s="23">
        <f>CR71-CS71</f>
        <v>-23</v>
      </c>
      <c r="CU71" s="96">
        <f>IFERROR(CR71/CS71-1,"-")</f>
        <v>-5.1801801801801828E-2</v>
      </c>
      <c r="CV71" s="95">
        <v>444</v>
      </c>
      <c r="CW71" s="94">
        <f>CR71-CV71</f>
        <v>-23</v>
      </c>
      <c r="CX71" s="93">
        <f>IFERROR(CW71/CV71,"-")</f>
        <v>-5.18018018018018E-2</v>
      </c>
      <c r="CY71" s="99">
        <v>421</v>
      </c>
      <c r="CZ71" s="102">
        <v>444</v>
      </c>
      <c r="DA71" s="23">
        <f>CY71-CZ71</f>
        <v>-23</v>
      </c>
      <c r="DB71" s="96">
        <f>IFERROR(CY71/CZ71-1,"-")</f>
        <v>-5.1801801801801828E-2</v>
      </c>
      <c r="DC71" s="95">
        <v>421</v>
      </c>
      <c r="DD71" s="95">
        <v>444</v>
      </c>
      <c r="DE71" s="23">
        <f>DC71-DD71</f>
        <v>-23</v>
      </c>
      <c r="DF71" s="96">
        <f>IFERROR(DC71/DD71-1,"-")</f>
        <v>-5.1801801801801828E-2</v>
      </c>
      <c r="DG71" s="95">
        <v>444</v>
      </c>
      <c r="DH71" s="94">
        <f>DC71-DG71</f>
        <v>-23</v>
      </c>
      <c r="DI71" s="93">
        <f>IFERROR(DH71/DG71,"-")</f>
        <v>-5.18018018018018E-2</v>
      </c>
    </row>
    <row r="72" spans="1:113" ht="16.5" customHeight="1" outlineLevel="1" x14ac:dyDescent="0.2">
      <c r="B72" s="101" t="s">
        <v>13</v>
      </c>
      <c r="C72" s="100" t="s">
        <v>12</v>
      </c>
      <c r="D72" s="99">
        <v>246</v>
      </c>
      <c r="E72" s="98">
        <v>265.68387212842742</v>
      </c>
      <c r="F72" s="23">
        <f>D72-E72</f>
        <v>-19.683872128427424</v>
      </c>
      <c r="G72" s="96">
        <f>IFERROR(D72/E72-1,"-")</f>
        <v>-7.4087568698609441E-2</v>
      </c>
      <c r="H72" s="95">
        <v>246</v>
      </c>
      <c r="I72" s="97">
        <v>265.68387212842742</v>
      </c>
      <c r="J72" s="23">
        <f>H72-I72</f>
        <v>-19.683872128427424</v>
      </c>
      <c r="K72" s="96">
        <f>IFERROR(H72/I72-1,"-")</f>
        <v>-7.4087568698609441E-2</v>
      </c>
      <c r="L72" s="95">
        <v>266</v>
      </c>
      <c r="M72" s="94">
        <f>H72-L72</f>
        <v>-20</v>
      </c>
      <c r="N72" s="93">
        <f>IFERROR(M72/L72,"-")</f>
        <v>-7.5187969924812026E-2</v>
      </c>
      <c r="O72" s="99">
        <v>246</v>
      </c>
      <c r="P72" s="98">
        <v>265.68387212842742</v>
      </c>
      <c r="Q72" s="23">
        <f>O72-P72</f>
        <v>-19.683872128427424</v>
      </c>
      <c r="R72" s="96">
        <f>IFERROR(O72/P72-1,"-")</f>
        <v>-7.4087568698609441E-2</v>
      </c>
      <c r="S72" s="95">
        <v>246</v>
      </c>
      <c r="T72" s="97">
        <v>265.68387212842742</v>
      </c>
      <c r="U72" s="23">
        <f>S72-T72</f>
        <v>-19.683872128427424</v>
      </c>
      <c r="V72" s="96">
        <f>IFERROR(S72/T72-1,"-")</f>
        <v>-7.4087568698609441E-2</v>
      </c>
      <c r="W72" s="95">
        <v>266</v>
      </c>
      <c r="X72" s="94">
        <f>S72-W72</f>
        <v>-20</v>
      </c>
      <c r="Y72" s="93">
        <f>IFERROR(X72/W72,"-")</f>
        <v>-7.5187969924812026E-2</v>
      </c>
      <c r="Z72" s="99">
        <v>246</v>
      </c>
      <c r="AA72" s="98">
        <v>265.68387212842742</v>
      </c>
      <c r="AB72" s="23">
        <f>Z72-AA72</f>
        <v>-19.683872128427424</v>
      </c>
      <c r="AC72" s="96">
        <f>IFERROR(Z72/AA72-1,"-")</f>
        <v>-7.4087568698609441E-2</v>
      </c>
      <c r="AD72" s="95">
        <v>246</v>
      </c>
      <c r="AE72" s="97">
        <v>265.68387212842742</v>
      </c>
      <c r="AF72" s="23">
        <f>AD72-AE72</f>
        <v>-19.683872128427424</v>
      </c>
      <c r="AG72" s="96">
        <f>IFERROR(AD72/AE72-1,"-")</f>
        <v>-7.4087568698609441E-2</v>
      </c>
      <c r="AH72" s="95">
        <v>266</v>
      </c>
      <c r="AI72" s="94">
        <f>AD72-AH72</f>
        <v>-20</v>
      </c>
      <c r="AJ72" s="93">
        <f>IFERROR(AI72/AH72,"-")</f>
        <v>-7.5187969924812026E-2</v>
      </c>
      <c r="AK72" s="99">
        <v>246</v>
      </c>
      <c r="AL72" s="98">
        <v>265.68387212842742</v>
      </c>
      <c r="AM72" s="23">
        <f>AK72-AL72</f>
        <v>-19.683872128427424</v>
      </c>
      <c r="AN72" s="96">
        <f>IFERROR(AK72/AL72-1,"-")</f>
        <v>-7.4087568698609441E-2</v>
      </c>
      <c r="AO72" s="95">
        <v>246</v>
      </c>
      <c r="AP72" s="97">
        <v>265.68387212842742</v>
      </c>
      <c r="AQ72" s="23">
        <f>AO72-AP72</f>
        <v>-19.683872128427424</v>
      </c>
      <c r="AR72" s="96">
        <f>IFERROR(AO72/AP72-1,"-")</f>
        <v>-7.4087568698609441E-2</v>
      </c>
      <c r="AS72" s="95">
        <v>266</v>
      </c>
      <c r="AT72" s="94">
        <f>AO72-AS72</f>
        <v>-20</v>
      </c>
      <c r="AU72" s="93">
        <f>IFERROR(AT72/AS72,"-")</f>
        <v>-7.5187969924812026E-2</v>
      </c>
      <c r="AV72" s="99">
        <v>246</v>
      </c>
      <c r="AW72" s="98">
        <v>265.68387212842742</v>
      </c>
      <c r="AX72" s="23">
        <f>AV72-AW72</f>
        <v>-19.683872128427424</v>
      </c>
      <c r="AY72" s="96">
        <f>IFERROR(AV72/AW72-1,"-")</f>
        <v>-7.4087568698609441E-2</v>
      </c>
      <c r="AZ72" s="95">
        <v>246</v>
      </c>
      <c r="BA72" s="97">
        <v>265.68387212842742</v>
      </c>
      <c r="BB72" s="23">
        <f>AZ72-BA72</f>
        <v>-19.683872128427424</v>
      </c>
      <c r="BC72" s="96">
        <f>IFERROR(AZ72/BA72-1,"-")</f>
        <v>-7.4087568698609441E-2</v>
      </c>
      <c r="BD72" s="95">
        <v>266</v>
      </c>
      <c r="BE72" s="94">
        <f>AZ72-BD72</f>
        <v>-20</v>
      </c>
      <c r="BF72" s="93">
        <f>IFERROR(BE72/BD72,"-")</f>
        <v>-7.5187969924812026E-2</v>
      </c>
      <c r="BG72" s="99">
        <v>246</v>
      </c>
      <c r="BH72" s="98">
        <v>265.68387212842742</v>
      </c>
      <c r="BI72" s="23">
        <f>BG72-BH72</f>
        <v>-19.683872128427424</v>
      </c>
      <c r="BJ72" s="96">
        <f>IFERROR(BG72/BH72-1,"-")</f>
        <v>-7.4087568698609441E-2</v>
      </c>
      <c r="BK72" s="95">
        <v>246</v>
      </c>
      <c r="BL72" s="97">
        <v>265.68387212842742</v>
      </c>
      <c r="BM72" s="23">
        <f>BK72-BL72</f>
        <v>-19.683872128427424</v>
      </c>
      <c r="BN72" s="96">
        <f>IFERROR(BK72/BL72-1,"-")</f>
        <v>-7.4087568698609441E-2</v>
      </c>
      <c r="BO72" s="95">
        <v>266</v>
      </c>
      <c r="BP72" s="94">
        <f>BK72-BO72</f>
        <v>-20</v>
      </c>
      <c r="BQ72" s="93">
        <f>IFERROR(BP72/BO72,"-")</f>
        <v>-7.5187969924812026E-2</v>
      </c>
      <c r="BR72" s="99">
        <v>246</v>
      </c>
      <c r="BS72" s="98">
        <v>265.68387212842742</v>
      </c>
      <c r="BT72" s="23">
        <f>BR72-BS72</f>
        <v>-19.683872128427424</v>
      </c>
      <c r="BU72" s="96">
        <f>IFERROR(BR72/BS72-1,"-")</f>
        <v>-7.4087568698609441E-2</v>
      </c>
      <c r="BV72" s="95">
        <v>246</v>
      </c>
      <c r="BW72" s="97">
        <v>265.68387212842742</v>
      </c>
      <c r="BX72" s="23">
        <f>BV72-BW72</f>
        <v>-19.683872128427424</v>
      </c>
      <c r="BY72" s="96">
        <f>IFERROR(BV72/BW72-1,"-")</f>
        <v>-7.4087568698609441E-2</v>
      </c>
      <c r="BZ72" s="95">
        <v>266</v>
      </c>
      <c r="CA72" s="94">
        <f>BV72-BZ72</f>
        <v>-20</v>
      </c>
      <c r="CB72" s="93">
        <f>IFERROR(CA72/BZ72,"-")</f>
        <v>-7.5187969924812026E-2</v>
      </c>
      <c r="CC72" s="99">
        <v>246</v>
      </c>
      <c r="CD72" s="98">
        <v>265.68387212842742</v>
      </c>
      <c r="CE72" s="23">
        <f>CC72-CD72</f>
        <v>-19.683872128427424</v>
      </c>
      <c r="CF72" s="96">
        <f>IFERROR(CC72/CD72-1,"-")</f>
        <v>-7.4087568698609441E-2</v>
      </c>
      <c r="CG72" s="95">
        <v>246</v>
      </c>
      <c r="CH72" s="97">
        <v>265.68387212842742</v>
      </c>
      <c r="CI72" s="23">
        <f>CG72-CH72</f>
        <v>-19.683872128427424</v>
      </c>
      <c r="CJ72" s="96">
        <f>IFERROR(CG72/CH72-1,"-")</f>
        <v>-7.4087568698609441E-2</v>
      </c>
      <c r="CK72" s="95">
        <v>266</v>
      </c>
      <c r="CL72" s="94">
        <f>CG72-CK72</f>
        <v>-20</v>
      </c>
      <c r="CM72" s="93">
        <f>IFERROR(CL72/CK72,"-")</f>
        <v>-7.5187969924812026E-2</v>
      </c>
      <c r="CN72" s="99">
        <v>246</v>
      </c>
      <c r="CO72" s="98">
        <v>265.68387212842742</v>
      </c>
      <c r="CP72" s="23">
        <f>CN72-CO72</f>
        <v>-19.683872128427424</v>
      </c>
      <c r="CQ72" s="96">
        <f>IFERROR(CN72/CO72-1,"-")</f>
        <v>-7.4087568698609441E-2</v>
      </c>
      <c r="CR72" s="95">
        <v>246</v>
      </c>
      <c r="CS72" s="97">
        <v>265.68387212842742</v>
      </c>
      <c r="CT72" s="23">
        <f>CR72-CS72</f>
        <v>-19.683872128427424</v>
      </c>
      <c r="CU72" s="96">
        <f>IFERROR(CR72/CS72-1,"-")</f>
        <v>-7.4087568698609441E-2</v>
      </c>
      <c r="CV72" s="95">
        <v>266</v>
      </c>
      <c r="CW72" s="94">
        <f>CR72-CV72</f>
        <v>-20</v>
      </c>
      <c r="CX72" s="93">
        <f>IFERROR(CW72/CV72,"-")</f>
        <v>-7.5187969924812026E-2</v>
      </c>
      <c r="CY72" s="99">
        <v>246</v>
      </c>
      <c r="CZ72" s="98">
        <v>265.68387212842742</v>
      </c>
      <c r="DA72" s="23">
        <f>CY72-CZ72</f>
        <v>-19.683872128427424</v>
      </c>
      <c r="DB72" s="96">
        <f>IFERROR(CY72/CZ72-1,"-")</f>
        <v>-7.4087568698609441E-2</v>
      </c>
      <c r="DC72" s="95">
        <v>246</v>
      </c>
      <c r="DD72" s="97">
        <v>265.68387212842742</v>
      </c>
      <c r="DE72" s="23">
        <f>DC72-DD72</f>
        <v>-19.683872128427424</v>
      </c>
      <c r="DF72" s="96">
        <f>IFERROR(DC72/DD72-1,"-")</f>
        <v>-7.4087568698609441E-2</v>
      </c>
      <c r="DG72" s="95">
        <v>266</v>
      </c>
      <c r="DH72" s="94">
        <f>DC72-DG72</f>
        <v>-20</v>
      </c>
      <c r="DI72" s="93">
        <f>IFERROR(DH72/DG72,"-")</f>
        <v>-7.5187969924812026E-2</v>
      </c>
    </row>
    <row r="73" spans="1:113" ht="13.5" outlineLevel="1" thickBot="1" x14ac:dyDescent="0.25">
      <c r="A73" s="54"/>
      <c r="B73" s="92" t="s">
        <v>11</v>
      </c>
      <c r="C73" s="91" t="s">
        <v>11</v>
      </c>
      <c r="D73" s="90">
        <v>307.7</v>
      </c>
      <c r="E73" s="89">
        <v>310</v>
      </c>
      <c r="F73" s="88">
        <f>D73-E73</f>
        <v>-2.3000000000000114</v>
      </c>
      <c r="G73" s="87">
        <f>IFERROR(D73/E73-1,"-")</f>
        <v>-7.4193548387097019E-3</v>
      </c>
      <c r="H73" s="86">
        <v>305.89999999999998</v>
      </c>
      <c r="I73" s="86">
        <v>310</v>
      </c>
      <c r="J73" s="88">
        <f>H73-I73</f>
        <v>-4.1000000000000227</v>
      </c>
      <c r="K73" s="87">
        <f>IFERROR(H73/I73-1,"-")</f>
        <v>-1.3225806451612976E-2</v>
      </c>
      <c r="L73" s="86">
        <v>310</v>
      </c>
      <c r="M73" s="85">
        <f>H73-L73</f>
        <v>-4.1000000000000227</v>
      </c>
      <c r="N73" s="84">
        <f>IFERROR(M73/L73,"-")</f>
        <v>-1.3225806451612976E-2</v>
      </c>
      <c r="O73" s="90">
        <v>307.7</v>
      </c>
      <c r="P73" s="89">
        <v>310</v>
      </c>
      <c r="Q73" s="88">
        <f>O73-P73</f>
        <v>-2.3000000000000114</v>
      </c>
      <c r="R73" s="87">
        <f>IFERROR(O73/P73-1,"-")</f>
        <v>-7.4193548387097019E-3</v>
      </c>
      <c r="S73" s="86">
        <v>305.89999999999998</v>
      </c>
      <c r="T73" s="86">
        <v>310</v>
      </c>
      <c r="U73" s="88">
        <f>S73-T73</f>
        <v>-4.1000000000000227</v>
      </c>
      <c r="V73" s="87">
        <f>IFERROR(S73/T73-1,"-")</f>
        <v>-1.3225806451612976E-2</v>
      </c>
      <c r="W73" s="86">
        <v>310</v>
      </c>
      <c r="X73" s="85">
        <f>S73-W73</f>
        <v>-4.1000000000000227</v>
      </c>
      <c r="Y73" s="84">
        <f>IFERROR(X73/W73,"-")</f>
        <v>-1.3225806451612976E-2</v>
      </c>
      <c r="Z73" s="90">
        <v>307.7</v>
      </c>
      <c r="AA73" s="89">
        <v>310</v>
      </c>
      <c r="AB73" s="88">
        <f>Z73-AA73</f>
        <v>-2.3000000000000114</v>
      </c>
      <c r="AC73" s="87">
        <f>IFERROR(Z73/AA73-1,"-")</f>
        <v>-7.4193548387097019E-3</v>
      </c>
      <c r="AD73" s="86">
        <v>305.89999999999998</v>
      </c>
      <c r="AE73" s="86">
        <v>310</v>
      </c>
      <c r="AF73" s="88">
        <f>AD73-AE73</f>
        <v>-4.1000000000000227</v>
      </c>
      <c r="AG73" s="87">
        <f>IFERROR(AD73/AE73-1,"-")</f>
        <v>-1.3225806451612976E-2</v>
      </c>
      <c r="AH73" s="86">
        <v>310</v>
      </c>
      <c r="AI73" s="85">
        <f>AD73-AH73</f>
        <v>-4.1000000000000227</v>
      </c>
      <c r="AJ73" s="84">
        <f>IFERROR(AI73/AH73,"-")</f>
        <v>-1.3225806451612976E-2</v>
      </c>
      <c r="AK73" s="90">
        <v>307.7</v>
      </c>
      <c r="AL73" s="89">
        <v>310</v>
      </c>
      <c r="AM73" s="88">
        <f>AK73-AL73</f>
        <v>-2.3000000000000114</v>
      </c>
      <c r="AN73" s="87">
        <f>IFERROR(AK73/AL73-1,"-")</f>
        <v>-7.4193548387097019E-3</v>
      </c>
      <c r="AO73" s="86">
        <v>305.89999999999998</v>
      </c>
      <c r="AP73" s="86">
        <v>310</v>
      </c>
      <c r="AQ73" s="88">
        <f>AO73-AP73</f>
        <v>-4.1000000000000227</v>
      </c>
      <c r="AR73" s="87">
        <f>IFERROR(AO73/AP73-1,"-")</f>
        <v>-1.3225806451612976E-2</v>
      </c>
      <c r="AS73" s="86">
        <v>310</v>
      </c>
      <c r="AT73" s="85">
        <f>AO73-AS73</f>
        <v>-4.1000000000000227</v>
      </c>
      <c r="AU73" s="84">
        <f>IFERROR(AT73/AS73,"-")</f>
        <v>-1.3225806451612976E-2</v>
      </c>
      <c r="AV73" s="90">
        <v>307.7</v>
      </c>
      <c r="AW73" s="89">
        <v>310</v>
      </c>
      <c r="AX73" s="88">
        <f>AV73-AW73</f>
        <v>-2.3000000000000114</v>
      </c>
      <c r="AY73" s="87">
        <f>IFERROR(AV73/AW73-1,"-")</f>
        <v>-7.4193548387097019E-3</v>
      </c>
      <c r="AZ73" s="86">
        <v>305.89999999999998</v>
      </c>
      <c r="BA73" s="86">
        <v>310</v>
      </c>
      <c r="BB73" s="88">
        <f>AZ73-BA73</f>
        <v>-4.1000000000000227</v>
      </c>
      <c r="BC73" s="87">
        <f>IFERROR(AZ73/BA73-1,"-")</f>
        <v>-1.3225806451612976E-2</v>
      </c>
      <c r="BD73" s="86">
        <v>310</v>
      </c>
      <c r="BE73" s="85">
        <f>AZ73-BD73</f>
        <v>-4.1000000000000227</v>
      </c>
      <c r="BF73" s="84">
        <f>IFERROR(BE73/BD73,"-")</f>
        <v>-1.3225806451612976E-2</v>
      </c>
      <c r="BG73" s="90">
        <v>307.7</v>
      </c>
      <c r="BH73" s="89">
        <v>310</v>
      </c>
      <c r="BI73" s="88">
        <f>BG73-BH73</f>
        <v>-2.3000000000000114</v>
      </c>
      <c r="BJ73" s="87">
        <f>IFERROR(BG73/BH73-1,"-")</f>
        <v>-7.4193548387097019E-3</v>
      </c>
      <c r="BK73" s="86">
        <v>305.89999999999998</v>
      </c>
      <c r="BL73" s="86">
        <v>310</v>
      </c>
      <c r="BM73" s="88">
        <f>BK73-BL73</f>
        <v>-4.1000000000000227</v>
      </c>
      <c r="BN73" s="87">
        <f>IFERROR(BK73/BL73-1,"-")</f>
        <v>-1.3225806451612976E-2</v>
      </c>
      <c r="BO73" s="86">
        <v>310</v>
      </c>
      <c r="BP73" s="85">
        <f>BK73-BO73</f>
        <v>-4.1000000000000227</v>
      </c>
      <c r="BQ73" s="84">
        <f>IFERROR(BP73/BO73,"-")</f>
        <v>-1.3225806451612976E-2</v>
      </c>
      <c r="BR73" s="90">
        <v>307.7</v>
      </c>
      <c r="BS73" s="89">
        <v>310</v>
      </c>
      <c r="BT73" s="88">
        <f>BR73-BS73</f>
        <v>-2.3000000000000114</v>
      </c>
      <c r="BU73" s="87">
        <f>IFERROR(BR73/BS73-1,"-")</f>
        <v>-7.4193548387097019E-3</v>
      </c>
      <c r="BV73" s="86">
        <v>305.89999999999998</v>
      </c>
      <c r="BW73" s="86">
        <v>310</v>
      </c>
      <c r="BX73" s="88">
        <f>BV73-BW73</f>
        <v>-4.1000000000000227</v>
      </c>
      <c r="BY73" s="87">
        <f>IFERROR(BV73/BW73-1,"-")</f>
        <v>-1.3225806451612976E-2</v>
      </c>
      <c r="BZ73" s="86">
        <v>310</v>
      </c>
      <c r="CA73" s="85">
        <f>BV73-BZ73</f>
        <v>-4.1000000000000227</v>
      </c>
      <c r="CB73" s="84">
        <f>IFERROR(CA73/BZ73,"-")</f>
        <v>-1.3225806451612976E-2</v>
      </c>
      <c r="CC73" s="90">
        <v>307.7</v>
      </c>
      <c r="CD73" s="89">
        <v>310</v>
      </c>
      <c r="CE73" s="88">
        <f>CC73-CD73</f>
        <v>-2.3000000000000114</v>
      </c>
      <c r="CF73" s="87">
        <f>IFERROR(CC73/CD73-1,"-")</f>
        <v>-7.4193548387097019E-3</v>
      </c>
      <c r="CG73" s="86">
        <v>305.89999999999998</v>
      </c>
      <c r="CH73" s="86">
        <v>310</v>
      </c>
      <c r="CI73" s="88">
        <f>CG73-CH73</f>
        <v>-4.1000000000000227</v>
      </c>
      <c r="CJ73" s="87">
        <f>IFERROR(CG73/CH73-1,"-")</f>
        <v>-1.3225806451612976E-2</v>
      </c>
      <c r="CK73" s="86">
        <v>310</v>
      </c>
      <c r="CL73" s="85">
        <f>CG73-CK73</f>
        <v>-4.1000000000000227</v>
      </c>
      <c r="CM73" s="84">
        <f>IFERROR(CL73/CK73,"-")</f>
        <v>-1.3225806451612976E-2</v>
      </c>
      <c r="CN73" s="90">
        <v>307.7</v>
      </c>
      <c r="CO73" s="89">
        <v>310</v>
      </c>
      <c r="CP73" s="88">
        <f>CN73-CO73</f>
        <v>-2.3000000000000114</v>
      </c>
      <c r="CQ73" s="87">
        <f>IFERROR(CN73/CO73-1,"-")</f>
        <v>-7.4193548387097019E-3</v>
      </c>
      <c r="CR73" s="86">
        <v>305.89999999999998</v>
      </c>
      <c r="CS73" s="86">
        <v>310</v>
      </c>
      <c r="CT73" s="88">
        <f>CR73-CS73</f>
        <v>-4.1000000000000227</v>
      </c>
      <c r="CU73" s="87">
        <f>IFERROR(CR73/CS73-1,"-")</f>
        <v>-1.3225806451612976E-2</v>
      </c>
      <c r="CV73" s="86">
        <v>310</v>
      </c>
      <c r="CW73" s="85">
        <f>CR73-CV73</f>
        <v>-4.1000000000000227</v>
      </c>
      <c r="CX73" s="84">
        <f>IFERROR(CW73/CV73,"-")</f>
        <v>-1.3225806451612976E-2</v>
      </c>
      <c r="CY73" s="90">
        <v>307.7</v>
      </c>
      <c r="CZ73" s="89">
        <v>310</v>
      </c>
      <c r="DA73" s="88">
        <f>CY73-CZ73</f>
        <v>-2.3000000000000114</v>
      </c>
      <c r="DB73" s="87">
        <f>IFERROR(CY73/CZ73-1,"-")</f>
        <v>-7.4193548387097019E-3</v>
      </c>
      <c r="DC73" s="86">
        <v>305.89999999999998</v>
      </c>
      <c r="DD73" s="86">
        <v>310</v>
      </c>
      <c r="DE73" s="88">
        <f>DC73-DD73</f>
        <v>-4.1000000000000227</v>
      </c>
      <c r="DF73" s="87">
        <f>IFERROR(DC73/DD73-1,"-")</f>
        <v>-1.3225806451612976E-2</v>
      </c>
      <c r="DG73" s="86">
        <v>310</v>
      </c>
      <c r="DH73" s="85">
        <f>DC73-DG73</f>
        <v>-4.1000000000000227</v>
      </c>
      <c r="DI73" s="84">
        <f>IFERROR(DH73/DG73,"-")</f>
        <v>-1.3225806451612976E-2</v>
      </c>
    </row>
    <row r="74" spans="1:113" s="80" customFormat="1" ht="13.5" thickTop="1" x14ac:dyDescent="0.2">
      <c r="B74" s="83"/>
      <c r="C74" s="83"/>
      <c r="D74" s="82"/>
      <c r="E74" s="83"/>
      <c r="F74" s="82"/>
      <c r="G74" s="82"/>
      <c r="H74" s="82"/>
      <c r="I74" s="82"/>
      <c r="J74" s="82"/>
      <c r="K74" s="82"/>
      <c r="L74" s="82"/>
      <c r="M74" s="82"/>
      <c r="N74" s="81"/>
      <c r="O74" s="82"/>
      <c r="P74" s="83"/>
      <c r="Q74" s="82"/>
      <c r="R74" s="82"/>
      <c r="S74" s="82"/>
      <c r="T74" s="82"/>
      <c r="U74" s="82"/>
      <c r="V74" s="82"/>
      <c r="W74" s="82"/>
      <c r="X74" s="82"/>
      <c r="Y74" s="81"/>
      <c r="Z74" s="82"/>
      <c r="AA74" s="83"/>
      <c r="AB74" s="82"/>
      <c r="AC74" s="82"/>
      <c r="AD74" s="82"/>
      <c r="AE74" s="82"/>
      <c r="AF74" s="82"/>
      <c r="AG74" s="82"/>
      <c r="AH74" s="82"/>
      <c r="AI74" s="82"/>
      <c r="AJ74" s="81"/>
      <c r="AK74" s="82"/>
      <c r="AL74" s="83"/>
      <c r="AM74" s="82"/>
      <c r="AN74" s="82"/>
      <c r="AO74" s="82"/>
      <c r="AP74" s="82"/>
      <c r="AQ74" s="82"/>
      <c r="AR74" s="82"/>
      <c r="AS74" s="82"/>
      <c r="AT74" s="82"/>
      <c r="AU74" s="81"/>
      <c r="AV74" s="82"/>
      <c r="AW74" s="83"/>
      <c r="AX74" s="82"/>
      <c r="AY74" s="82"/>
      <c r="AZ74" s="82"/>
      <c r="BA74" s="82"/>
      <c r="BB74" s="82"/>
      <c r="BC74" s="82"/>
      <c r="BD74" s="82"/>
      <c r="BE74" s="82"/>
      <c r="BF74" s="81"/>
      <c r="BG74" s="82"/>
      <c r="BH74" s="83"/>
      <c r="BI74" s="82"/>
      <c r="BJ74" s="82"/>
      <c r="BK74" s="82"/>
      <c r="BL74" s="82"/>
      <c r="BM74" s="82"/>
      <c r="BN74" s="82"/>
      <c r="BO74" s="82"/>
      <c r="BP74" s="82"/>
      <c r="BQ74" s="81"/>
      <c r="BR74" s="82"/>
      <c r="BS74" s="83"/>
      <c r="BT74" s="82"/>
      <c r="BU74" s="82"/>
      <c r="BV74" s="82"/>
      <c r="BW74" s="82"/>
      <c r="BX74" s="82"/>
      <c r="BY74" s="82"/>
      <c r="BZ74" s="82"/>
      <c r="CA74" s="82"/>
      <c r="CB74" s="81"/>
      <c r="CC74" s="82"/>
      <c r="CD74" s="83"/>
      <c r="CE74" s="82"/>
      <c r="CF74" s="82"/>
      <c r="CG74" s="82"/>
      <c r="CH74" s="82"/>
      <c r="CI74" s="82"/>
      <c r="CJ74" s="82"/>
      <c r="CK74" s="82"/>
      <c r="CL74" s="82"/>
      <c r="CM74" s="81"/>
      <c r="CN74" s="82"/>
      <c r="CO74" s="83"/>
      <c r="CP74" s="82"/>
      <c r="CQ74" s="82"/>
      <c r="CR74" s="82"/>
      <c r="CS74" s="82"/>
      <c r="CT74" s="82"/>
      <c r="CU74" s="82"/>
      <c r="CV74" s="82"/>
      <c r="CW74" s="82"/>
      <c r="CX74" s="81"/>
      <c r="CY74" s="82"/>
      <c r="CZ74" s="83"/>
      <c r="DA74" s="82"/>
      <c r="DB74" s="82"/>
      <c r="DC74" s="82"/>
      <c r="DD74" s="82"/>
      <c r="DE74" s="82"/>
      <c r="DF74" s="82"/>
      <c r="DG74" s="82"/>
      <c r="DH74" s="82"/>
      <c r="DI74" s="81"/>
    </row>
    <row r="75" spans="1:113" ht="16.5" customHeight="1" thickBot="1" x14ac:dyDescent="0.25">
      <c r="A75" s="54"/>
      <c r="B75" s="70" t="s">
        <v>10</v>
      </c>
      <c r="C75" s="69" t="s">
        <v>9</v>
      </c>
      <c r="D75" s="67"/>
      <c r="E75" s="68"/>
      <c r="F75" s="65"/>
      <c r="G75" s="66"/>
      <c r="H75" s="67"/>
      <c r="I75" s="65"/>
      <c r="J75" s="65"/>
      <c r="K75" s="66"/>
      <c r="L75" s="65"/>
      <c r="M75" s="64"/>
      <c r="N75" s="63"/>
      <c r="O75" s="67"/>
      <c r="P75" s="68"/>
      <c r="Q75" s="65"/>
      <c r="R75" s="66"/>
      <c r="S75" s="67"/>
      <c r="T75" s="65"/>
      <c r="U75" s="65"/>
      <c r="V75" s="66"/>
      <c r="W75" s="65"/>
      <c r="X75" s="64"/>
      <c r="Y75" s="63"/>
      <c r="Z75" s="67"/>
      <c r="AA75" s="68"/>
      <c r="AB75" s="65"/>
      <c r="AC75" s="66"/>
      <c r="AD75" s="67"/>
      <c r="AE75" s="65"/>
      <c r="AF75" s="65"/>
      <c r="AG75" s="66"/>
      <c r="AH75" s="65"/>
      <c r="AI75" s="64"/>
      <c r="AJ75" s="63"/>
      <c r="AK75" s="67"/>
      <c r="AL75" s="68"/>
      <c r="AM75" s="65"/>
      <c r="AN75" s="66"/>
      <c r="AO75" s="67"/>
      <c r="AP75" s="65"/>
      <c r="AQ75" s="65"/>
      <c r="AR75" s="66"/>
      <c r="AS75" s="65"/>
      <c r="AT75" s="64"/>
      <c r="AU75" s="63"/>
      <c r="AV75" s="67"/>
      <c r="AW75" s="68"/>
      <c r="AX75" s="65"/>
      <c r="AY75" s="66"/>
      <c r="AZ75" s="67"/>
      <c r="BA75" s="65"/>
      <c r="BB75" s="65"/>
      <c r="BC75" s="66"/>
      <c r="BD75" s="65"/>
      <c r="BE75" s="64"/>
      <c r="BF75" s="63"/>
      <c r="BG75" s="67"/>
      <c r="BH75" s="68"/>
      <c r="BI75" s="65"/>
      <c r="BJ75" s="66"/>
      <c r="BK75" s="67"/>
      <c r="BL75" s="65"/>
      <c r="BM75" s="65"/>
      <c r="BN75" s="66"/>
      <c r="BO75" s="65"/>
      <c r="BP75" s="64"/>
      <c r="BQ75" s="63"/>
      <c r="BR75" s="67"/>
      <c r="BS75" s="68"/>
      <c r="BT75" s="65"/>
      <c r="BU75" s="66"/>
      <c r="BV75" s="67"/>
      <c r="BW75" s="65"/>
      <c r="BX75" s="65"/>
      <c r="BY75" s="66"/>
      <c r="BZ75" s="65"/>
      <c r="CA75" s="64"/>
      <c r="CB75" s="63"/>
      <c r="CC75" s="67"/>
      <c r="CD75" s="68"/>
      <c r="CE75" s="65"/>
      <c r="CF75" s="66"/>
      <c r="CG75" s="67"/>
      <c r="CH75" s="65"/>
      <c r="CI75" s="65"/>
      <c r="CJ75" s="66"/>
      <c r="CK75" s="65"/>
      <c r="CL75" s="64"/>
      <c r="CM75" s="63"/>
      <c r="CN75" s="67"/>
      <c r="CO75" s="68"/>
      <c r="CP75" s="65"/>
      <c r="CQ75" s="66"/>
      <c r="CR75" s="67"/>
      <c r="CS75" s="65"/>
      <c r="CT75" s="65"/>
      <c r="CU75" s="66"/>
      <c r="CV75" s="65"/>
      <c r="CW75" s="64"/>
      <c r="CX75" s="63"/>
      <c r="CY75" s="67"/>
      <c r="CZ75" s="68"/>
      <c r="DA75" s="65"/>
      <c r="DB75" s="66"/>
      <c r="DC75" s="67"/>
      <c r="DD75" s="65"/>
      <c r="DE75" s="65"/>
      <c r="DF75" s="66"/>
      <c r="DG75" s="65"/>
      <c r="DH75" s="64"/>
      <c r="DI75" s="63"/>
    </row>
    <row r="76" spans="1:113" ht="13.5" hidden="1" outlineLevel="3" thickTop="1" x14ac:dyDescent="0.2">
      <c r="A76" s="54"/>
      <c r="B76" s="38" t="str">
        <f t="shared" ref="B76:C95" si="120">B13</f>
        <v xml:space="preserve">Оклад </v>
      </c>
      <c r="C76" s="62" t="str">
        <f t="shared" si="120"/>
        <v>Salary</v>
      </c>
      <c r="D76" s="61">
        <v>135263390.90000001</v>
      </c>
      <c r="E76" s="60">
        <f>I76/6</f>
        <v>144423983.16666666</v>
      </c>
      <c r="F76" s="32">
        <f t="shared" ref="F76:F107" si="121">D76-E76</f>
        <v>-9160592.2666666508</v>
      </c>
      <c r="G76" s="78">
        <f t="shared" ref="G76:G107" si="122">IFERROR(D76/E76-1,"-")</f>
        <v>-6.3428469882978122E-2</v>
      </c>
      <c r="H76" s="39">
        <v>852947329.30999982</v>
      </c>
      <c r="I76" s="39">
        <v>866543899</v>
      </c>
      <c r="J76" s="32">
        <f t="shared" ref="J76:J107" si="123">H76-I76</f>
        <v>-13596569.690000176</v>
      </c>
      <c r="K76" s="78">
        <f t="shared" ref="K76:K107" si="124">IFERROR(H76/I76-1,"-")</f>
        <v>-1.5690572290325666E-2</v>
      </c>
      <c r="L76" s="39">
        <v>1740754399</v>
      </c>
      <c r="M76" s="32">
        <f t="shared" ref="M76:M107" si="125">H76-L76</f>
        <v>-887807069.69000018</v>
      </c>
      <c r="N76" s="79">
        <f t="shared" ref="N76:N107" si="126">IFERROR(M76/L76,"-")</f>
        <v>-0.51001282558872918</v>
      </c>
      <c r="O76" s="61">
        <v>135263390.90000001</v>
      </c>
      <c r="P76" s="60">
        <f>T76/6</f>
        <v>144423983.16666666</v>
      </c>
      <c r="Q76" s="32">
        <f t="shared" ref="Q76:Q107" si="127">O76-P76</f>
        <v>-9160592.2666666508</v>
      </c>
      <c r="R76" s="78">
        <f t="shared" ref="R76:R107" si="128">IFERROR(O76/P76-1,"-")</f>
        <v>-6.3428469882978122E-2</v>
      </c>
      <c r="S76" s="39">
        <v>852947329.30999982</v>
      </c>
      <c r="T76" s="39">
        <v>866543899</v>
      </c>
      <c r="U76" s="32">
        <f t="shared" ref="U76:U107" si="129">S76-T76</f>
        <v>-13596569.690000176</v>
      </c>
      <c r="V76" s="78">
        <f t="shared" ref="V76:V107" si="130">IFERROR(S76/T76-1,"-")</f>
        <v>-1.5690572290325666E-2</v>
      </c>
      <c r="W76" s="39">
        <v>1740754399</v>
      </c>
      <c r="X76" s="32">
        <f t="shared" ref="X76:X107" si="131">S76-W76</f>
        <v>-887807069.69000018</v>
      </c>
      <c r="Y76" s="79">
        <f t="shared" ref="Y76:Y107" si="132">IFERROR(X76/W76,"-")</f>
        <v>-0.51001282558872918</v>
      </c>
      <c r="Z76" s="61">
        <v>135263390.90000001</v>
      </c>
      <c r="AA76" s="60">
        <f>AE76/6</f>
        <v>144423983.16666666</v>
      </c>
      <c r="AB76" s="32">
        <f t="shared" ref="AB76:AB107" si="133">Z76-AA76</f>
        <v>-9160592.2666666508</v>
      </c>
      <c r="AC76" s="78">
        <f t="shared" ref="AC76:AC107" si="134">IFERROR(Z76/AA76-1,"-")</f>
        <v>-6.3428469882978122E-2</v>
      </c>
      <c r="AD76" s="39">
        <v>852947329.30999982</v>
      </c>
      <c r="AE76" s="39">
        <v>866543899</v>
      </c>
      <c r="AF76" s="32">
        <f t="shared" ref="AF76:AF107" si="135">AD76-AE76</f>
        <v>-13596569.690000176</v>
      </c>
      <c r="AG76" s="78">
        <f t="shared" ref="AG76:AG107" si="136">IFERROR(AD76/AE76-1,"-")</f>
        <v>-1.5690572290325666E-2</v>
      </c>
      <c r="AH76" s="39">
        <v>1740754399</v>
      </c>
      <c r="AI76" s="32">
        <f t="shared" ref="AI76:AI107" si="137">AD76-AH76</f>
        <v>-887807069.69000018</v>
      </c>
      <c r="AJ76" s="79">
        <f t="shared" ref="AJ76:AJ107" si="138">IFERROR(AI76/AH76,"-")</f>
        <v>-0.51001282558872918</v>
      </c>
      <c r="AK76" s="61">
        <v>135263390.90000001</v>
      </c>
      <c r="AL76" s="60">
        <f>AP76/6</f>
        <v>144423983.16666666</v>
      </c>
      <c r="AM76" s="32">
        <f t="shared" ref="AM76:AM107" si="139">AK76-AL76</f>
        <v>-9160592.2666666508</v>
      </c>
      <c r="AN76" s="78">
        <f t="shared" ref="AN76:AN107" si="140">IFERROR(AK76/AL76-1,"-")</f>
        <v>-6.3428469882978122E-2</v>
      </c>
      <c r="AO76" s="39">
        <v>852947329.30999982</v>
      </c>
      <c r="AP76" s="39">
        <v>866543899</v>
      </c>
      <c r="AQ76" s="32">
        <f t="shared" ref="AQ76:AQ107" si="141">AO76-AP76</f>
        <v>-13596569.690000176</v>
      </c>
      <c r="AR76" s="78">
        <f t="shared" ref="AR76:AR107" si="142">IFERROR(AO76/AP76-1,"-")</f>
        <v>-1.5690572290325666E-2</v>
      </c>
      <c r="AS76" s="39">
        <v>1740754399</v>
      </c>
      <c r="AT76" s="32">
        <f t="shared" ref="AT76:AT107" si="143">AO76-AS76</f>
        <v>-887807069.69000018</v>
      </c>
      <c r="AU76" s="79">
        <f t="shared" ref="AU76:AU107" si="144">IFERROR(AT76/AS76,"-")</f>
        <v>-0.51001282558872918</v>
      </c>
      <c r="AV76" s="61">
        <v>135263390.90000001</v>
      </c>
      <c r="AW76" s="60">
        <f>BA76/6</f>
        <v>144423983.16666666</v>
      </c>
      <c r="AX76" s="32">
        <f t="shared" ref="AX76:AX107" si="145">AV76-AW76</f>
        <v>-9160592.2666666508</v>
      </c>
      <c r="AY76" s="78">
        <f t="shared" ref="AY76:AY107" si="146">IFERROR(AV76/AW76-1,"-")</f>
        <v>-6.3428469882978122E-2</v>
      </c>
      <c r="AZ76" s="39">
        <v>852947329.30999982</v>
      </c>
      <c r="BA76" s="39">
        <v>866543899</v>
      </c>
      <c r="BB76" s="32">
        <f t="shared" ref="BB76:BB107" si="147">AZ76-BA76</f>
        <v>-13596569.690000176</v>
      </c>
      <c r="BC76" s="78">
        <f t="shared" ref="BC76:BC107" si="148">IFERROR(AZ76/BA76-1,"-")</f>
        <v>-1.5690572290325666E-2</v>
      </c>
      <c r="BD76" s="39">
        <v>1740754399</v>
      </c>
      <c r="BE76" s="32">
        <f t="shared" ref="BE76:BE107" si="149">AZ76-BD76</f>
        <v>-887807069.69000018</v>
      </c>
      <c r="BF76" s="79">
        <f t="shared" ref="BF76:BF107" si="150">IFERROR(BE76/BD76,"-")</f>
        <v>-0.51001282558872918</v>
      </c>
      <c r="BG76" s="61">
        <v>135263390.90000001</v>
      </c>
      <c r="BH76" s="60">
        <f>BL76/6</f>
        <v>144423983.16666666</v>
      </c>
      <c r="BI76" s="32">
        <f t="shared" ref="BI76:BI107" si="151">BG76-BH76</f>
        <v>-9160592.2666666508</v>
      </c>
      <c r="BJ76" s="78">
        <f t="shared" ref="BJ76:BJ107" si="152">IFERROR(BG76/BH76-1,"-")</f>
        <v>-6.3428469882978122E-2</v>
      </c>
      <c r="BK76" s="39">
        <v>852947329.30999982</v>
      </c>
      <c r="BL76" s="39">
        <v>866543899</v>
      </c>
      <c r="BM76" s="32">
        <f t="shared" ref="BM76:BM107" si="153">BK76-BL76</f>
        <v>-13596569.690000176</v>
      </c>
      <c r="BN76" s="78">
        <f t="shared" ref="BN76:BN107" si="154">IFERROR(BK76/BL76-1,"-")</f>
        <v>-1.5690572290325666E-2</v>
      </c>
      <c r="BO76" s="39">
        <v>1740754399</v>
      </c>
      <c r="BP76" s="32">
        <f t="shared" ref="BP76:BP107" si="155">BK76-BO76</f>
        <v>-887807069.69000018</v>
      </c>
      <c r="BQ76" s="79">
        <f t="shared" ref="BQ76:BQ107" si="156">IFERROR(BP76/BO76,"-")</f>
        <v>-0.51001282558872918</v>
      </c>
      <c r="BR76" s="61">
        <v>135263390.90000001</v>
      </c>
      <c r="BS76" s="60">
        <f>BW76/6</f>
        <v>144423983.16666666</v>
      </c>
      <c r="BT76" s="32">
        <f t="shared" ref="BT76:BT107" si="157">BR76-BS76</f>
        <v>-9160592.2666666508</v>
      </c>
      <c r="BU76" s="78">
        <f t="shared" ref="BU76:BU107" si="158">IFERROR(BR76/BS76-1,"-")</f>
        <v>-6.3428469882978122E-2</v>
      </c>
      <c r="BV76" s="39">
        <v>852947329.30999982</v>
      </c>
      <c r="BW76" s="39">
        <v>866543899</v>
      </c>
      <c r="BX76" s="32">
        <f t="shared" ref="BX76:BX107" si="159">BV76-BW76</f>
        <v>-13596569.690000176</v>
      </c>
      <c r="BY76" s="78">
        <f t="shared" ref="BY76:BY107" si="160">IFERROR(BV76/BW76-1,"-")</f>
        <v>-1.5690572290325666E-2</v>
      </c>
      <c r="BZ76" s="39">
        <v>1740754399</v>
      </c>
      <c r="CA76" s="32">
        <f t="shared" ref="CA76:CA107" si="161">BV76-BZ76</f>
        <v>-887807069.69000018</v>
      </c>
      <c r="CB76" s="79">
        <f t="shared" ref="CB76:CB107" si="162">IFERROR(CA76/BZ76,"-")</f>
        <v>-0.51001282558872918</v>
      </c>
      <c r="CC76" s="61">
        <v>135263390.90000001</v>
      </c>
      <c r="CD76" s="60">
        <f>CH76/6</f>
        <v>144423983.16666666</v>
      </c>
      <c r="CE76" s="32">
        <f t="shared" ref="CE76:CE107" si="163">CC76-CD76</f>
        <v>-9160592.2666666508</v>
      </c>
      <c r="CF76" s="78">
        <f t="shared" ref="CF76:CF107" si="164">IFERROR(CC76/CD76-1,"-")</f>
        <v>-6.3428469882978122E-2</v>
      </c>
      <c r="CG76" s="39">
        <v>852947329.30999982</v>
      </c>
      <c r="CH76" s="39">
        <v>866543899</v>
      </c>
      <c r="CI76" s="32">
        <f t="shared" ref="CI76:CI107" si="165">CG76-CH76</f>
        <v>-13596569.690000176</v>
      </c>
      <c r="CJ76" s="78">
        <f t="shared" ref="CJ76:CJ107" si="166">IFERROR(CG76/CH76-1,"-")</f>
        <v>-1.5690572290325666E-2</v>
      </c>
      <c r="CK76" s="39">
        <v>1740754399</v>
      </c>
      <c r="CL76" s="32">
        <f t="shared" ref="CL76:CL107" si="167">CG76-CK76</f>
        <v>-887807069.69000018</v>
      </c>
      <c r="CM76" s="79">
        <f t="shared" ref="CM76:CM107" si="168">IFERROR(CL76/CK76,"-")</f>
        <v>-0.51001282558872918</v>
      </c>
      <c r="CN76" s="61">
        <v>135263390.90000001</v>
      </c>
      <c r="CO76" s="60">
        <f>CS76/6</f>
        <v>144423983.16666666</v>
      </c>
      <c r="CP76" s="32">
        <f t="shared" ref="CP76:CP107" si="169">CN76-CO76</f>
        <v>-9160592.2666666508</v>
      </c>
      <c r="CQ76" s="78">
        <f t="shared" ref="CQ76:CQ107" si="170">IFERROR(CN76/CO76-1,"-")</f>
        <v>-6.3428469882978122E-2</v>
      </c>
      <c r="CR76" s="39">
        <v>852947329.30999982</v>
      </c>
      <c r="CS76" s="39">
        <v>866543899</v>
      </c>
      <c r="CT76" s="32">
        <f t="shared" ref="CT76:CT107" si="171">CR76-CS76</f>
        <v>-13596569.690000176</v>
      </c>
      <c r="CU76" s="78">
        <f t="shared" ref="CU76:CU107" si="172">IFERROR(CR76/CS76-1,"-")</f>
        <v>-1.5690572290325666E-2</v>
      </c>
      <c r="CV76" s="39">
        <v>1740754399</v>
      </c>
      <c r="CW76" s="32">
        <f t="shared" ref="CW76:CW107" si="173">CR76-CV76</f>
        <v>-887807069.69000018</v>
      </c>
      <c r="CX76" s="79">
        <f t="shared" ref="CX76:CX107" si="174">IFERROR(CW76/CV76,"-")</f>
        <v>-0.51001282558872918</v>
      </c>
      <c r="CY76" s="61">
        <v>135263390.90000001</v>
      </c>
      <c r="CZ76" s="60">
        <f>DD76/6</f>
        <v>144423983.16666666</v>
      </c>
      <c r="DA76" s="32">
        <f t="shared" ref="DA76:DA107" si="175">CY76-CZ76</f>
        <v>-9160592.2666666508</v>
      </c>
      <c r="DB76" s="78">
        <f t="shared" ref="DB76:DB107" si="176">IFERROR(CY76/CZ76-1,"-")</f>
        <v>-6.3428469882978122E-2</v>
      </c>
      <c r="DC76" s="39">
        <v>852947329.30999982</v>
      </c>
      <c r="DD76" s="39">
        <v>866543899</v>
      </c>
      <c r="DE76" s="32">
        <f t="shared" ref="DE76:DE107" si="177">DC76-DD76</f>
        <v>-13596569.690000176</v>
      </c>
      <c r="DF76" s="78">
        <f t="shared" ref="DF76:DF107" si="178">IFERROR(DC76/DD76-1,"-")</f>
        <v>-1.5690572290325666E-2</v>
      </c>
      <c r="DG76" s="39">
        <v>1740754399</v>
      </c>
      <c r="DH76" s="32">
        <f t="shared" ref="DH76:DH107" si="179">DC76-DG76</f>
        <v>-887807069.69000018</v>
      </c>
      <c r="DI76" s="79">
        <f t="shared" ref="DI76:DI107" si="180">IFERROR(DH76/DG76,"-")</f>
        <v>-0.51001282558872918</v>
      </c>
    </row>
    <row r="77" spans="1:113" ht="13.5" hidden="1" outlineLevel="3" thickTop="1" x14ac:dyDescent="0.2">
      <c r="A77" s="54"/>
      <c r="B77" s="38" t="str">
        <f t="shared" si="120"/>
        <v>Страховые взносы оклад</v>
      </c>
      <c r="C77" s="49" t="str">
        <f t="shared" si="120"/>
        <v>Social securities on salaries</v>
      </c>
      <c r="D77" s="41">
        <v>27298223.000000004</v>
      </c>
      <c r="E77" s="40">
        <f>I77/6</f>
        <v>26718436.885833334</v>
      </c>
      <c r="F77" s="32">
        <f t="shared" si="121"/>
        <v>579786.11416666955</v>
      </c>
      <c r="G77" s="78">
        <f t="shared" si="122"/>
        <v>2.1699851553594662E-2</v>
      </c>
      <c r="H77" s="39">
        <v>195613161.08999997</v>
      </c>
      <c r="I77" s="39">
        <v>160310621.315</v>
      </c>
      <c r="J77" s="32">
        <f t="shared" si="123"/>
        <v>35302539.774999976</v>
      </c>
      <c r="K77" s="78">
        <f t="shared" si="124"/>
        <v>0.22021335508164963</v>
      </c>
      <c r="L77" s="39">
        <v>322039563.815</v>
      </c>
      <c r="M77" s="32">
        <f t="shared" si="125"/>
        <v>-126426402.72500002</v>
      </c>
      <c r="N77" s="77">
        <f t="shared" si="126"/>
        <v>-0.39258034394068236</v>
      </c>
      <c r="O77" s="41">
        <v>27298223.000000004</v>
      </c>
      <c r="P77" s="40">
        <f>T77/6</f>
        <v>26718436.885833334</v>
      </c>
      <c r="Q77" s="32">
        <f t="shared" si="127"/>
        <v>579786.11416666955</v>
      </c>
      <c r="R77" s="78">
        <f t="shared" si="128"/>
        <v>2.1699851553594662E-2</v>
      </c>
      <c r="S77" s="39">
        <v>195613161.08999997</v>
      </c>
      <c r="T77" s="39">
        <v>160310621.315</v>
      </c>
      <c r="U77" s="32">
        <f t="shared" si="129"/>
        <v>35302539.774999976</v>
      </c>
      <c r="V77" s="78">
        <f t="shared" si="130"/>
        <v>0.22021335508164963</v>
      </c>
      <c r="W77" s="39">
        <v>322039563.815</v>
      </c>
      <c r="X77" s="32">
        <f t="shared" si="131"/>
        <v>-126426402.72500002</v>
      </c>
      <c r="Y77" s="77">
        <f t="shared" si="132"/>
        <v>-0.39258034394068236</v>
      </c>
      <c r="Z77" s="41">
        <v>27298223.000000004</v>
      </c>
      <c r="AA77" s="40">
        <f>AE77/6</f>
        <v>26718436.885833334</v>
      </c>
      <c r="AB77" s="32">
        <f t="shared" si="133"/>
        <v>579786.11416666955</v>
      </c>
      <c r="AC77" s="78">
        <f t="shared" si="134"/>
        <v>2.1699851553594662E-2</v>
      </c>
      <c r="AD77" s="39">
        <v>195613161.08999997</v>
      </c>
      <c r="AE77" s="39">
        <v>160310621.315</v>
      </c>
      <c r="AF77" s="32">
        <f t="shared" si="135"/>
        <v>35302539.774999976</v>
      </c>
      <c r="AG77" s="78">
        <f t="shared" si="136"/>
        <v>0.22021335508164963</v>
      </c>
      <c r="AH77" s="39">
        <v>322039563.815</v>
      </c>
      <c r="AI77" s="32">
        <f t="shared" si="137"/>
        <v>-126426402.72500002</v>
      </c>
      <c r="AJ77" s="77">
        <f t="shared" si="138"/>
        <v>-0.39258034394068236</v>
      </c>
      <c r="AK77" s="41">
        <v>27298223.000000004</v>
      </c>
      <c r="AL77" s="40">
        <f>AP77/6</f>
        <v>26718436.885833334</v>
      </c>
      <c r="AM77" s="32">
        <f t="shared" si="139"/>
        <v>579786.11416666955</v>
      </c>
      <c r="AN77" s="78">
        <f t="shared" si="140"/>
        <v>2.1699851553594662E-2</v>
      </c>
      <c r="AO77" s="39">
        <v>195613161.08999997</v>
      </c>
      <c r="AP77" s="39">
        <v>160310621.315</v>
      </c>
      <c r="AQ77" s="32">
        <f t="shared" si="141"/>
        <v>35302539.774999976</v>
      </c>
      <c r="AR77" s="78">
        <f t="shared" si="142"/>
        <v>0.22021335508164963</v>
      </c>
      <c r="AS77" s="39">
        <v>322039563.815</v>
      </c>
      <c r="AT77" s="32">
        <f t="shared" si="143"/>
        <v>-126426402.72500002</v>
      </c>
      <c r="AU77" s="77">
        <f t="shared" si="144"/>
        <v>-0.39258034394068236</v>
      </c>
      <c r="AV77" s="41">
        <v>27298223.000000004</v>
      </c>
      <c r="AW77" s="40">
        <f>BA77/6</f>
        <v>26718436.885833334</v>
      </c>
      <c r="AX77" s="32">
        <f t="shared" si="145"/>
        <v>579786.11416666955</v>
      </c>
      <c r="AY77" s="78">
        <f t="shared" si="146"/>
        <v>2.1699851553594662E-2</v>
      </c>
      <c r="AZ77" s="39">
        <v>195613161.08999997</v>
      </c>
      <c r="BA77" s="39">
        <v>160310621.315</v>
      </c>
      <c r="BB77" s="32">
        <f t="shared" si="147"/>
        <v>35302539.774999976</v>
      </c>
      <c r="BC77" s="78">
        <f t="shared" si="148"/>
        <v>0.22021335508164963</v>
      </c>
      <c r="BD77" s="39">
        <v>322039563.815</v>
      </c>
      <c r="BE77" s="32">
        <f t="shared" si="149"/>
        <v>-126426402.72500002</v>
      </c>
      <c r="BF77" s="77">
        <f t="shared" si="150"/>
        <v>-0.39258034394068236</v>
      </c>
      <c r="BG77" s="41">
        <v>27298223.000000004</v>
      </c>
      <c r="BH77" s="40">
        <f>BL77/6</f>
        <v>26718436.885833334</v>
      </c>
      <c r="BI77" s="32">
        <f t="shared" si="151"/>
        <v>579786.11416666955</v>
      </c>
      <c r="BJ77" s="78">
        <f t="shared" si="152"/>
        <v>2.1699851553594662E-2</v>
      </c>
      <c r="BK77" s="39">
        <v>195613161.08999997</v>
      </c>
      <c r="BL77" s="39">
        <v>160310621.315</v>
      </c>
      <c r="BM77" s="32">
        <f t="shared" si="153"/>
        <v>35302539.774999976</v>
      </c>
      <c r="BN77" s="78">
        <f t="shared" si="154"/>
        <v>0.22021335508164963</v>
      </c>
      <c r="BO77" s="39">
        <v>322039563.815</v>
      </c>
      <c r="BP77" s="32">
        <f t="shared" si="155"/>
        <v>-126426402.72500002</v>
      </c>
      <c r="BQ77" s="77">
        <f t="shared" si="156"/>
        <v>-0.39258034394068236</v>
      </c>
      <c r="BR77" s="41">
        <v>27298223.000000004</v>
      </c>
      <c r="BS77" s="40">
        <f>BW77/6</f>
        <v>26718436.885833334</v>
      </c>
      <c r="BT77" s="32">
        <f t="shared" si="157"/>
        <v>579786.11416666955</v>
      </c>
      <c r="BU77" s="78">
        <f t="shared" si="158"/>
        <v>2.1699851553594662E-2</v>
      </c>
      <c r="BV77" s="39">
        <v>195613161.08999997</v>
      </c>
      <c r="BW77" s="39">
        <v>160310621.315</v>
      </c>
      <c r="BX77" s="32">
        <f t="shared" si="159"/>
        <v>35302539.774999976</v>
      </c>
      <c r="BY77" s="78">
        <f t="shared" si="160"/>
        <v>0.22021335508164963</v>
      </c>
      <c r="BZ77" s="39">
        <v>322039563.815</v>
      </c>
      <c r="CA77" s="32">
        <f t="shared" si="161"/>
        <v>-126426402.72500002</v>
      </c>
      <c r="CB77" s="77">
        <f t="shared" si="162"/>
        <v>-0.39258034394068236</v>
      </c>
      <c r="CC77" s="41">
        <v>27298223.000000004</v>
      </c>
      <c r="CD77" s="40">
        <f>CH77/6</f>
        <v>26718436.885833334</v>
      </c>
      <c r="CE77" s="32">
        <f t="shared" si="163"/>
        <v>579786.11416666955</v>
      </c>
      <c r="CF77" s="78">
        <f t="shared" si="164"/>
        <v>2.1699851553594662E-2</v>
      </c>
      <c r="CG77" s="39">
        <v>195613161.08999997</v>
      </c>
      <c r="CH77" s="39">
        <v>160310621.315</v>
      </c>
      <c r="CI77" s="32">
        <f t="shared" si="165"/>
        <v>35302539.774999976</v>
      </c>
      <c r="CJ77" s="78">
        <f t="shared" si="166"/>
        <v>0.22021335508164963</v>
      </c>
      <c r="CK77" s="39">
        <v>322039563.815</v>
      </c>
      <c r="CL77" s="32">
        <f t="shared" si="167"/>
        <v>-126426402.72500002</v>
      </c>
      <c r="CM77" s="77">
        <f t="shared" si="168"/>
        <v>-0.39258034394068236</v>
      </c>
      <c r="CN77" s="41">
        <v>27298223.000000004</v>
      </c>
      <c r="CO77" s="40">
        <f>CS77/6</f>
        <v>26718436.885833334</v>
      </c>
      <c r="CP77" s="32">
        <f t="shared" si="169"/>
        <v>579786.11416666955</v>
      </c>
      <c r="CQ77" s="78">
        <f t="shared" si="170"/>
        <v>2.1699851553594662E-2</v>
      </c>
      <c r="CR77" s="39">
        <v>195613161.08999997</v>
      </c>
      <c r="CS77" s="39">
        <v>160310621.315</v>
      </c>
      <c r="CT77" s="32">
        <f t="shared" si="171"/>
        <v>35302539.774999976</v>
      </c>
      <c r="CU77" s="78">
        <f t="shared" si="172"/>
        <v>0.22021335508164963</v>
      </c>
      <c r="CV77" s="39">
        <v>322039563.815</v>
      </c>
      <c r="CW77" s="32">
        <f t="shared" si="173"/>
        <v>-126426402.72500002</v>
      </c>
      <c r="CX77" s="77">
        <f t="shared" si="174"/>
        <v>-0.39258034394068236</v>
      </c>
      <c r="CY77" s="41">
        <v>27298223.000000004</v>
      </c>
      <c r="CZ77" s="40">
        <f>DD77/6</f>
        <v>26718436.885833334</v>
      </c>
      <c r="DA77" s="32">
        <f t="shared" si="175"/>
        <v>579786.11416666955</v>
      </c>
      <c r="DB77" s="78">
        <f t="shared" si="176"/>
        <v>2.1699851553594662E-2</v>
      </c>
      <c r="DC77" s="39">
        <v>195613161.08999997</v>
      </c>
      <c r="DD77" s="39">
        <v>160310621.315</v>
      </c>
      <c r="DE77" s="32">
        <f t="shared" si="177"/>
        <v>35302539.774999976</v>
      </c>
      <c r="DF77" s="78">
        <f t="shared" si="178"/>
        <v>0.22021335508164963</v>
      </c>
      <c r="DG77" s="39">
        <v>322039563.815</v>
      </c>
      <c r="DH77" s="32">
        <f t="shared" si="179"/>
        <v>-126426402.72500002</v>
      </c>
      <c r="DI77" s="77">
        <f t="shared" si="180"/>
        <v>-0.39258034394068236</v>
      </c>
    </row>
    <row r="78" spans="1:113" s="6" customFormat="1" ht="13.5" hidden="1" outlineLevel="2" collapsed="1" thickTop="1" x14ac:dyDescent="0.2">
      <c r="A78" s="30"/>
      <c r="B78" s="29" t="str">
        <f t="shared" si="120"/>
        <v>Итого оклад</v>
      </c>
      <c r="C78" s="52" t="str">
        <f t="shared" si="120"/>
        <v>Total Salary</v>
      </c>
      <c r="D78" s="27">
        <f>SUM(D76:D77)</f>
        <v>162561613.90000001</v>
      </c>
      <c r="E78" s="26">
        <f>SUM(E76:E77)</f>
        <v>171142420.05249998</v>
      </c>
      <c r="F78" s="23">
        <f t="shared" si="121"/>
        <v>-8580806.1524999738</v>
      </c>
      <c r="G78" s="76">
        <f t="shared" si="122"/>
        <v>-5.0138394384441343E-2</v>
      </c>
      <c r="H78" s="24">
        <f>SUM(H76:H77)</f>
        <v>1048560490.3999999</v>
      </c>
      <c r="I78" s="24">
        <f>SUM(I76:I77)</f>
        <v>1026854520.3150001</v>
      </c>
      <c r="J78" s="23">
        <f t="shared" si="123"/>
        <v>21705970.0849998</v>
      </c>
      <c r="K78" s="76">
        <f t="shared" si="124"/>
        <v>2.1138310885889799E-2</v>
      </c>
      <c r="L78" s="24">
        <f>SUM(L76:L77)</f>
        <v>2062793962.8150001</v>
      </c>
      <c r="M78" s="23">
        <f t="shared" si="125"/>
        <v>-1014233472.4150002</v>
      </c>
      <c r="N78" s="75">
        <f t="shared" si="126"/>
        <v>-0.49167948457194555</v>
      </c>
      <c r="O78" s="27">
        <f>SUM(O76:O77)</f>
        <v>162561613.90000001</v>
      </c>
      <c r="P78" s="26">
        <f>SUM(P76:P77)</f>
        <v>171142420.05249998</v>
      </c>
      <c r="Q78" s="23">
        <f t="shared" si="127"/>
        <v>-8580806.1524999738</v>
      </c>
      <c r="R78" s="76">
        <f t="shared" si="128"/>
        <v>-5.0138394384441343E-2</v>
      </c>
      <c r="S78" s="24">
        <f>SUM(S76:S77)</f>
        <v>1048560490.3999999</v>
      </c>
      <c r="T78" s="24">
        <f>SUM(T76:T77)</f>
        <v>1026854520.3150001</v>
      </c>
      <c r="U78" s="23">
        <f t="shared" si="129"/>
        <v>21705970.0849998</v>
      </c>
      <c r="V78" s="76">
        <f t="shared" si="130"/>
        <v>2.1138310885889799E-2</v>
      </c>
      <c r="W78" s="24">
        <f>SUM(W76:W77)</f>
        <v>2062793962.8150001</v>
      </c>
      <c r="X78" s="23">
        <f t="shared" si="131"/>
        <v>-1014233472.4150002</v>
      </c>
      <c r="Y78" s="75">
        <f t="shared" si="132"/>
        <v>-0.49167948457194555</v>
      </c>
      <c r="Z78" s="27">
        <f>SUM(Z76:Z77)</f>
        <v>162561613.90000001</v>
      </c>
      <c r="AA78" s="26">
        <f>SUM(AA76:AA77)</f>
        <v>171142420.05249998</v>
      </c>
      <c r="AB78" s="23">
        <f t="shared" si="133"/>
        <v>-8580806.1524999738</v>
      </c>
      <c r="AC78" s="76">
        <f t="shared" si="134"/>
        <v>-5.0138394384441343E-2</v>
      </c>
      <c r="AD78" s="24">
        <f>SUM(AD76:AD77)</f>
        <v>1048560490.3999999</v>
      </c>
      <c r="AE78" s="24">
        <f>SUM(AE76:AE77)</f>
        <v>1026854520.3150001</v>
      </c>
      <c r="AF78" s="23">
        <f t="shared" si="135"/>
        <v>21705970.0849998</v>
      </c>
      <c r="AG78" s="76">
        <f t="shared" si="136"/>
        <v>2.1138310885889799E-2</v>
      </c>
      <c r="AH78" s="24">
        <f>SUM(AH76:AH77)</f>
        <v>2062793962.8150001</v>
      </c>
      <c r="AI78" s="23">
        <f t="shared" si="137"/>
        <v>-1014233472.4150002</v>
      </c>
      <c r="AJ78" s="75">
        <f t="shared" si="138"/>
        <v>-0.49167948457194555</v>
      </c>
      <c r="AK78" s="27">
        <f>SUM(AK76:AK77)</f>
        <v>162561613.90000001</v>
      </c>
      <c r="AL78" s="26">
        <f>SUM(AL76:AL77)</f>
        <v>171142420.05249998</v>
      </c>
      <c r="AM78" s="23">
        <f t="shared" si="139"/>
        <v>-8580806.1524999738</v>
      </c>
      <c r="AN78" s="76">
        <f t="shared" si="140"/>
        <v>-5.0138394384441343E-2</v>
      </c>
      <c r="AO78" s="24">
        <f>SUM(AO76:AO77)</f>
        <v>1048560490.3999999</v>
      </c>
      <c r="AP78" s="24">
        <f>SUM(AP76:AP77)</f>
        <v>1026854520.3150001</v>
      </c>
      <c r="AQ78" s="23">
        <f t="shared" si="141"/>
        <v>21705970.0849998</v>
      </c>
      <c r="AR78" s="76">
        <f t="shared" si="142"/>
        <v>2.1138310885889799E-2</v>
      </c>
      <c r="AS78" s="24">
        <f>SUM(AS76:AS77)</f>
        <v>2062793962.8150001</v>
      </c>
      <c r="AT78" s="23">
        <f t="shared" si="143"/>
        <v>-1014233472.4150002</v>
      </c>
      <c r="AU78" s="75">
        <f t="shared" si="144"/>
        <v>-0.49167948457194555</v>
      </c>
      <c r="AV78" s="27">
        <f>SUM(AV76:AV77)</f>
        <v>162561613.90000001</v>
      </c>
      <c r="AW78" s="26">
        <f>SUM(AW76:AW77)</f>
        <v>171142420.05249998</v>
      </c>
      <c r="AX78" s="23">
        <f t="shared" si="145"/>
        <v>-8580806.1524999738</v>
      </c>
      <c r="AY78" s="76">
        <f t="shared" si="146"/>
        <v>-5.0138394384441343E-2</v>
      </c>
      <c r="AZ78" s="24">
        <f>SUM(AZ76:AZ77)</f>
        <v>1048560490.3999999</v>
      </c>
      <c r="BA78" s="24">
        <f>SUM(BA76:BA77)</f>
        <v>1026854520.3150001</v>
      </c>
      <c r="BB78" s="23">
        <f t="shared" si="147"/>
        <v>21705970.0849998</v>
      </c>
      <c r="BC78" s="76">
        <f t="shared" si="148"/>
        <v>2.1138310885889799E-2</v>
      </c>
      <c r="BD78" s="24">
        <f>SUM(BD76:BD77)</f>
        <v>2062793962.8150001</v>
      </c>
      <c r="BE78" s="23">
        <f t="shared" si="149"/>
        <v>-1014233472.4150002</v>
      </c>
      <c r="BF78" s="75">
        <f t="shared" si="150"/>
        <v>-0.49167948457194555</v>
      </c>
      <c r="BG78" s="27">
        <f>SUM(BG76:BG77)</f>
        <v>162561613.90000001</v>
      </c>
      <c r="BH78" s="26">
        <f>SUM(BH76:BH77)</f>
        <v>171142420.05249998</v>
      </c>
      <c r="BI78" s="23">
        <f t="shared" si="151"/>
        <v>-8580806.1524999738</v>
      </c>
      <c r="BJ78" s="76">
        <f t="shared" si="152"/>
        <v>-5.0138394384441343E-2</v>
      </c>
      <c r="BK78" s="24">
        <f>SUM(BK76:BK77)</f>
        <v>1048560490.3999999</v>
      </c>
      <c r="BL78" s="24">
        <f>SUM(BL76:BL77)</f>
        <v>1026854520.3150001</v>
      </c>
      <c r="BM78" s="23">
        <f t="shared" si="153"/>
        <v>21705970.0849998</v>
      </c>
      <c r="BN78" s="76">
        <f t="shared" si="154"/>
        <v>2.1138310885889799E-2</v>
      </c>
      <c r="BO78" s="24">
        <f>SUM(BO76:BO77)</f>
        <v>2062793962.8150001</v>
      </c>
      <c r="BP78" s="23">
        <f t="shared" si="155"/>
        <v>-1014233472.4150002</v>
      </c>
      <c r="BQ78" s="75">
        <f t="shared" si="156"/>
        <v>-0.49167948457194555</v>
      </c>
      <c r="BR78" s="27">
        <f>SUM(BR76:BR77)</f>
        <v>162561613.90000001</v>
      </c>
      <c r="BS78" s="26">
        <f>SUM(BS76:BS77)</f>
        <v>171142420.05249998</v>
      </c>
      <c r="BT78" s="23">
        <f t="shared" si="157"/>
        <v>-8580806.1524999738</v>
      </c>
      <c r="BU78" s="76">
        <f t="shared" si="158"/>
        <v>-5.0138394384441343E-2</v>
      </c>
      <c r="BV78" s="24">
        <f>SUM(BV76:BV77)</f>
        <v>1048560490.3999999</v>
      </c>
      <c r="BW78" s="24">
        <f>SUM(BW76:BW77)</f>
        <v>1026854520.3150001</v>
      </c>
      <c r="BX78" s="23">
        <f t="shared" si="159"/>
        <v>21705970.0849998</v>
      </c>
      <c r="BY78" s="76">
        <f t="shared" si="160"/>
        <v>2.1138310885889799E-2</v>
      </c>
      <c r="BZ78" s="24">
        <f>SUM(BZ76:BZ77)</f>
        <v>2062793962.8150001</v>
      </c>
      <c r="CA78" s="23">
        <f t="shared" si="161"/>
        <v>-1014233472.4150002</v>
      </c>
      <c r="CB78" s="75">
        <f t="shared" si="162"/>
        <v>-0.49167948457194555</v>
      </c>
      <c r="CC78" s="27">
        <f>SUM(CC76:CC77)</f>
        <v>162561613.90000001</v>
      </c>
      <c r="CD78" s="26">
        <f>SUM(CD76:CD77)</f>
        <v>171142420.05249998</v>
      </c>
      <c r="CE78" s="23">
        <f t="shared" si="163"/>
        <v>-8580806.1524999738</v>
      </c>
      <c r="CF78" s="76">
        <f t="shared" si="164"/>
        <v>-5.0138394384441343E-2</v>
      </c>
      <c r="CG78" s="24">
        <f>SUM(CG76:CG77)</f>
        <v>1048560490.3999999</v>
      </c>
      <c r="CH78" s="24">
        <f>SUM(CH76:CH77)</f>
        <v>1026854520.3150001</v>
      </c>
      <c r="CI78" s="23">
        <f t="shared" si="165"/>
        <v>21705970.0849998</v>
      </c>
      <c r="CJ78" s="76">
        <f t="shared" si="166"/>
        <v>2.1138310885889799E-2</v>
      </c>
      <c r="CK78" s="24">
        <f>SUM(CK76:CK77)</f>
        <v>2062793962.8150001</v>
      </c>
      <c r="CL78" s="23">
        <f t="shared" si="167"/>
        <v>-1014233472.4150002</v>
      </c>
      <c r="CM78" s="75">
        <f t="shared" si="168"/>
        <v>-0.49167948457194555</v>
      </c>
      <c r="CN78" s="27">
        <f>SUM(CN76:CN77)</f>
        <v>162561613.90000001</v>
      </c>
      <c r="CO78" s="26">
        <f>SUM(CO76:CO77)</f>
        <v>171142420.05249998</v>
      </c>
      <c r="CP78" s="23">
        <f t="shared" si="169"/>
        <v>-8580806.1524999738</v>
      </c>
      <c r="CQ78" s="76">
        <f t="shared" si="170"/>
        <v>-5.0138394384441343E-2</v>
      </c>
      <c r="CR78" s="24">
        <f>SUM(CR76:CR77)</f>
        <v>1048560490.3999999</v>
      </c>
      <c r="CS78" s="24">
        <f>SUM(CS76:CS77)</f>
        <v>1026854520.3150001</v>
      </c>
      <c r="CT78" s="23">
        <f t="shared" si="171"/>
        <v>21705970.0849998</v>
      </c>
      <c r="CU78" s="76">
        <f t="shared" si="172"/>
        <v>2.1138310885889799E-2</v>
      </c>
      <c r="CV78" s="24">
        <f>SUM(CV76:CV77)</f>
        <v>2062793962.8150001</v>
      </c>
      <c r="CW78" s="23">
        <f t="shared" si="173"/>
        <v>-1014233472.4150002</v>
      </c>
      <c r="CX78" s="75">
        <f t="shared" si="174"/>
        <v>-0.49167948457194555</v>
      </c>
      <c r="CY78" s="27">
        <f>SUM(CY76:CY77)</f>
        <v>162561613.90000001</v>
      </c>
      <c r="CZ78" s="26">
        <f>SUM(CZ76:CZ77)</f>
        <v>171142420.05249998</v>
      </c>
      <c r="DA78" s="23">
        <f t="shared" si="175"/>
        <v>-8580806.1524999738</v>
      </c>
      <c r="DB78" s="76">
        <f t="shared" si="176"/>
        <v>-5.0138394384441343E-2</v>
      </c>
      <c r="DC78" s="24">
        <f>SUM(DC76:DC77)</f>
        <v>1048560490.3999999</v>
      </c>
      <c r="DD78" s="24">
        <f>SUM(DD76:DD77)</f>
        <v>1026854520.3150001</v>
      </c>
      <c r="DE78" s="23">
        <f t="shared" si="177"/>
        <v>21705970.0849998</v>
      </c>
      <c r="DF78" s="76">
        <f t="shared" si="178"/>
        <v>2.1138310885889799E-2</v>
      </c>
      <c r="DG78" s="24">
        <f>SUM(DG76:DG77)</f>
        <v>2062793962.8150001</v>
      </c>
      <c r="DH78" s="23">
        <f t="shared" si="179"/>
        <v>-1014233472.4150002</v>
      </c>
      <c r="DI78" s="75">
        <f t="shared" si="180"/>
        <v>-0.49167948457194555</v>
      </c>
    </row>
    <row r="79" spans="1:113" hidden="1" outlineLevel="3" x14ac:dyDescent="0.2">
      <c r="A79" s="54"/>
      <c r="B79" s="57" t="str">
        <f t="shared" si="120"/>
        <v>Резерв на отпуск</v>
      </c>
      <c r="C79" s="56" t="str">
        <f t="shared" si="120"/>
        <v>Accruals for unused vacations</v>
      </c>
      <c r="D79" s="41">
        <v>44272102.969999984</v>
      </c>
      <c r="E79" s="40">
        <f>I79/6</f>
        <v>41312893.95431418</v>
      </c>
      <c r="F79" s="32">
        <f t="shared" si="121"/>
        <v>2959209.0156858042</v>
      </c>
      <c r="G79" s="78">
        <f t="shared" si="122"/>
        <v>7.1629187220780155E-2</v>
      </c>
      <c r="H79" s="39">
        <v>419082278.12999994</v>
      </c>
      <c r="I79" s="39">
        <v>247877363.72588509</v>
      </c>
      <c r="J79" s="32">
        <f t="shared" si="123"/>
        <v>171204914.40411484</v>
      </c>
      <c r="K79" s="78">
        <f t="shared" si="124"/>
        <v>0.69068394076290729</v>
      </c>
      <c r="L79" s="39">
        <v>495733023.91900676</v>
      </c>
      <c r="M79" s="32">
        <f t="shared" si="125"/>
        <v>-76650745.789006829</v>
      </c>
      <c r="N79" s="77">
        <f t="shared" si="126"/>
        <v>-0.15462101996563796</v>
      </c>
      <c r="O79" s="41">
        <v>44272102.969999984</v>
      </c>
      <c r="P79" s="40">
        <f>T79/6</f>
        <v>41312893.95431418</v>
      </c>
      <c r="Q79" s="32">
        <f t="shared" si="127"/>
        <v>2959209.0156858042</v>
      </c>
      <c r="R79" s="78">
        <f t="shared" si="128"/>
        <v>7.1629187220780155E-2</v>
      </c>
      <c r="S79" s="39">
        <v>419082278.12999994</v>
      </c>
      <c r="T79" s="39">
        <v>247877363.72588509</v>
      </c>
      <c r="U79" s="32">
        <f t="shared" si="129"/>
        <v>171204914.40411484</v>
      </c>
      <c r="V79" s="78">
        <f t="shared" si="130"/>
        <v>0.69068394076290729</v>
      </c>
      <c r="W79" s="39">
        <v>495733023.91900676</v>
      </c>
      <c r="X79" s="32">
        <f t="shared" si="131"/>
        <v>-76650745.789006829</v>
      </c>
      <c r="Y79" s="77">
        <f t="shared" si="132"/>
        <v>-0.15462101996563796</v>
      </c>
      <c r="Z79" s="41">
        <v>44272102.969999984</v>
      </c>
      <c r="AA79" s="40">
        <f>AE79/6</f>
        <v>41312893.95431418</v>
      </c>
      <c r="AB79" s="32">
        <f t="shared" si="133"/>
        <v>2959209.0156858042</v>
      </c>
      <c r="AC79" s="78">
        <f t="shared" si="134"/>
        <v>7.1629187220780155E-2</v>
      </c>
      <c r="AD79" s="39">
        <v>419082278.12999994</v>
      </c>
      <c r="AE79" s="39">
        <v>247877363.72588509</v>
      </c>
      <c r="AF79" s="32">
        <f t="shared" si="135"/>
        <v>171204914.40411484</v>
      </c>
      <c r="AG79" s="78">
        <f t="shared" si="136"/>
        <v>0.69068394076290729</v>
      </c>
      <c r="AH79" s="39">
        <v>495733023.91900676</v>
      </c>
      <c r="AI79" s="32">
        <f t="shared" si="137"/>
        <v>-76650745.789006829</v>
      </c>
      <c r="AJ79" s="77">
        <f t="shared" si="138"/>
        <v>-0.15462101996563796</v>
      </c>
      <c r="AK79" s="41">
        <v>44272102.969999984</v>
      </c>
      <c r="AL79" s="40">
        <f>AP79/6</f>
        <v>41312893.95431418</v>
      </c>
      <c r="AM79" s="32">
        <f t="shared" si="139"/>
        <v>2959209.0156858042</v>
      </c>
      <c r="AN79" s="78">
        <f t="shared" si="140"/>
        <v>7.1629187220780155E-2</v>
      </c>
      <c r="AO79" s="39">
        <v>419082278.12999994</v>
      </c>
      <c r="AP79" s="39">
        <v>247877363.72588509</v>
      </c>
      <c r="AQ79" s="32">
        <f t="shared" si="141"/>
        <v>171204914.40411484</v>
      </c>
      <c r="AR79" s="78">
        <f t="shared" si="142"/>
        <v>0.69068394076290729</v>
      </c>
      <c r="AS79" s="39">
        <v>495733023.91900676</v>
      </c>
      <c r="AT79" s="32">
        <f t="shared" si="143"/>
        <v>-76650745.789006829</v>
      </c>
      <c r="AU79" s="77">
        <f t="shared" si="144"/>
        <v>-0.15462101996563796</v>
      </c>
      <c r="AV79" s="41">
        <v>44272102.969999984</v>
      </c>
      <c r="AW79" s="40">
        <f>BA79/6</f>
        <v>41312893.95431418</v>
      </c>
      <c r="AX79" s="32">
        <f t="shared" si="145"/>
        <v>2959209.0156858042</v>
      </c>
      <c r="AY79" s="78">
        <f t="shared" si="146"/>
        <v>7.1629187220780155E-2</v>
      </c>
      <c r="AZ79" s="39">
        <v>419082278.12999994</v>
      </c>
      <c r="BA79" s="39">
        <v>247877363.72588509</v>
      </c>
      <c r="BB79" s="32">
        <f t="shared" si="147"/>
        <v>171204914.40411484</v>
      </c>
      <c r="BC79" s="78">
        <f t="shared" si="148"/>
        <v>0.69068394076290729</v>
      </c>
      <c r="BD79" s="39">
        <v>495733023.91900676</v>
      </c>
      <c r="BE79" s="32">
        <f t="shared" si="149"/>
        <v>-76650745.789006829</v>
      </c>
      <c r="BF79" s="77">
        <f t="shared" si="150"/>
        <v>-0.15462101996563796</v>
      </c>
      <c r="BG79" s="41">
        <v>44272102.969999984</v>
      </c>
      <c r="BH79" s="40">
        <f>BL79/6</f>
        <v>41312893.95431418</v>
      </c>
      <c r="BI79" s="32">
        <f t="shared" si="151"/>
        <v>2959209.0156858042</v>
      </c>
      <c r="BJ79" s="78">
        <f t="shared" si="152"/>
        <v>7.1629187220780155E-2</v>
      </c>
      <c r="BK79" s="39">
        <v>419082278.12999994</v>
      </c>
      <c r="BL79" s="39">
        <v>247877363.72588509</v>
      </c>
      <c r="BM79" s="32">
        <f t="shared" si="153"/>
        <v>171204914.40411484</v>
      </c>
      <c r="BN79" s="78">
        <f t="shared" si="154"/>
        <v>0.69068394076290729</v>
      </c>
      <c r="BO79" s="39">
        <v>495733023.91900676</v>
      </c>
      <c r="BP79" s="32">
        <f t="shared" si="155"/>
        <v>-76650745.789006829</v>
      </c>
      <c r="BQ79" s="77">
        <f t="shared" si="156"/>
        <v>-0.15462101996563796</v>
      </c>
      <c r="BR79" s="41">
        <v>44272102.969999984</v>
      </c>
      <c r="BS79" s="40">
        <f>BW79/6</f>
        <v>41312893.95431418</v>
      </c>
      <c r="BT79" s="32">
        <f t="shared" si="157"/>
        <v>2959209.0156858042</v>
      </c>
      <c r="BU79" s="78">
        <f t="shared" si="158"/>
        <v>7.1629187220780155E-2</v>
      </c>
      <c r="BV79" s="39">
        <v>419082278.12999994</v>
      </c>
      <c r="BW79" s="39">
        <v>247877363.72588509</v>
      </c>
      <c r="BX79" s="32">
        <f t="shared" si="159"/>
        <v>171204914.40411484</v>
      </c>
      <c r="BY79" s="78">
        <f t="shared" si="160"/>
        <v>0.69068394076290729</v>
      </c>
      <c r="BZ79" s="39">
        <v>495733023.91900676</v>
      </c>
      <c r="CA79" s="32">
        <f t="shared" si="161"/>
        <v>-76650745.789006829</v>
      </c>
      <c r="CB79" s="77">
        <f t="shared" si="162"/>
        <v>-0.15462101996563796</v>
      </c>
      <c r="CC79" s="41">
        <v>44272102.969999984</v>
      </c>
      <c r="CD79" s="40">
        <f>CH79/6</f>
        <v>41312893.95431418</v>
      </c>
      <c r="CE79" s="32">
        <f t="shared" si="163"/>
        <v>2959209.0156858042</v>
      </c>
      <c r="CF79" s="78">
        <f t="shared" si="164"/>
        <v>7.1629187220780155E-2</v>
      </c>
      <c r="CG79" s="39">
        <v>419082278.12999994</v>
      </c>
      <c r="CH79" s="39">
        <v>247877363.72588509</v>
      </c>
      <c r="CI79" s="32">
        <f t="shared" si="165"/>
        <v>171204914.40411484</v>
      </c>
      <c r="CJ79" s="78">
        <f t="shared" si="166"/>
        <v>0.69068394076290729</v>
      </c>
      <c r="CK79" s="39">
        <v>495733023.91900676</v>
      </c>
      <c r="CL79" s="32">
        <f t="shared" si="167"/>
        <v>-76650745.789006829</v>
      </c>
      <c r="CM79" s="77">
        <f t="shared" si="168"/>
        <v>-0.15462101996563796</v>
      </c>
      <c r="CN79" s="41">
        <v>44272102.969999984</v>
      </c>
      <c r="CO79" s="40">
        <f>CS79/6</f>
        <v>41312893.95431418</v>
      </c>
      <c r="CP79" s="32">
        <f t="shared" si="169"/>
        <v>2959209.0156858042</v>
      </c>
      <c r="CQ79" s="78">
        <f t="shared" si="170"/>
        <v>7.1629187220780155E-2</v>
      </c>
      <c r="CR79" s="39">
        <v>419082278.12999994</v>
      </c>
      <c r="CS79" s="39">
        <v>247877363.72588509</v>
      </c>
      <c r="CT79" s="32">
        <f t="shared" si="171"/>
        <v>171204914.40411484</v>
      </c>
      <c r="CU79" s="78">
        <f t="shared" si="172"/>
        <v>0.69068394076290729</v>
      </c>
      <c r="CV79" s="39">
        <v>495733023.91900676</v>
      </c>
      <c r="CW79" s="32">
        <f t="shared" si="173"/>
        <v>-76650745.789006829</v>
      </c>
      <c r="CX79" s="77">
        <f t="shared" si="174"/>
        <v>-0.15462101996563796</v>
      </c>
      <c r="CY79" s="41">
        <v>44272102.969999984</v>
      </c>
      <c r="CZ79" s="40">
        <f>DD79/6</f>
        <v>41312893.95431418</v>
      </c>
      <c r="DA79" s="32">
        <f t="shared" si="175"/>
        <v>2959209.0156858042</v>
      </c>
      <c r="DB79" s="78">
        <f t="shared" si="176"/>
        <v>7.1629187220780155E-2</v>
      </c>
      <c r="DC79" s="39">
        <v>419082278.12999994</v>
      </c>
      <c r="DD79" s="39">
        <v>247877363.72588509</v>
      </c>
      <c r="DE79" s="32">
        <f t="shared" si="177"/>
        <v>171204914.40411484</v>
      </c>
      <c r="DF79" s="78">
        <f t="shared" si="178"/>
        <v>0.69068394076290729</v>
      </c>
      <c r="DG79" s="39">
        <v>495733023.91900676</v>
      </c>
      <c r="DH79" s="32">
        <f t="shared" si="179"/>
        <v>-76650745.789006829</v>
      </c>
      <c r="DI79" s="77">
        <f t="shared" si="180"/>
        <v>-0.15462101996563796</v>
      </c>
    </row>
    <row r="80" spans="1:113" hidden="1" outlineLevel="3" x14ac:dyDescent="0.2">
      <c r="A80" s="54"/>
      <c r="B80" s="38" t="str">
        <f t="shared" si="120"/>
        <v>Страховые взносы резерв на отпуск</v>
      </c>
      <c r="C80" s="56" t="str">
        <f t="shared" si="120"/>
        <v>Social Security on accruals for unused vacations</v>
      </c>
      <c r="D80" s="41">
        <v>6226136.4200000018</v>
      </c>
      <c r="E80" s="40">
        <f>I80/6</f>
        <v>7642885.3815481178</v>
      </c>
      <c r="F80" s="32">
        <f t="shared" si="121"/>
        <v>-1416748.9615481161</v>
      </c>
      <c r="G80" s="78">
        <f t="shared" si="122"/>
        <v>-0.1853683381106972</v>
      </c>
      <c r="H80" s="39">
        <v>69999585.459999993</v>
      </c>
      <c r="I80" s="39">
        <v>45857312.289288707</v>
      </c>
      <c r="J80" s="32">
        <f t="shared" si="123"/>
        <v>24142273.170711286</v>
      </c>
      <c r="K80" s="78">
        <f t="shared" si="124"/>
        <v>0.5264650710100689</v>
      </c>
      <c r="L80" s="39">
        <v>91710609.42501618</v>
      </c>
      <c r="M80" s="32">
        <f t="shared" si="125"/>
        <v>-21711023.965016186</v>
      </c>
      <c r="N80" s="77">
        <f t="shared" si="126"/>
        <v>-0.23673404964959271</v>
      </c>
      <c r="O80" s="41">
        <v>6226136.4200000018</v>
      </c>
      <c r="P80" s="40">
        <f>T80/6</f>
        <v>7642885.3815481178</v>
      </c>
      <c r="Q80" s="32">
        <f t="shared" si="127"/>
        <v>-1416748.9615481161</v>
      </c>
      <c r="R80" s="78">
        <f t="shared" si="128"/>
        <v>-0.1853683381106972</v>
      </c>
      <c r="S80" s="39">
        <v>69999585.459999993</v>
      </c>
      <c r="T80" s="39">
        <v>45857312.289288707</v>
      </c>
      <c r="U80" s="32">
        <f t="shared" si="129"/>
        <v>24142273.170711286</v>
      </c>
      <c r="V80" s="78">
        <f t="shared" si="130"/>
        <v>0.5264650710100689</v>
      </c>
      <c r="W80" s="39">
        <v>91710609.42501618</v>
      </c>
      <c r="X80" s="32">
        <f t="shared" si="131"/>
        <v>-21711023.965016186</v>
      </c>
      <c r="Y80" s="77">
        <f t="shared" si="132"/>
        <v>-0.23673404964959271</v>
      </c>
      <c r="Z80" s="41">
        <v>6226136.4200000018</v>
      </c>
      <c r="AA80" s="40">
        <f>AE80/6</f>
        <v>7642885.3815481178</v>
      </c>
      <c r="AB80" s="32">
        <f t="shared" si="133"/>
        <v>-1416748.9615481161</v>
      </c>
      <c r="AC80" s="78">
        <f t="shared" si="134"/>
        <v>-0.1853683381106972</v>
      </c>
      <c r="AD80" s="39">
        <v>69999585.459999993</v>
      </c>
      <c r="AE80" s="39">
        <v>45857312.289288707</v>
      </c>
      <c r="AF80" s="32">
        <f t="shared" si="135"/>
        <v>24142273.170711286</v>
      </c>
      <c r="AG80" s="78">
        <f t="shared" si="136"/>
        <v>0.5264650710100689</v>
      </c>
      <c r="AH80" s="39">
        <v>91710609.42501618</v>
      </c>
      <c r="AI80" s="32">
        <f t="shared" si="137"/>
        <v>-21711023.965016186</v>
      </c>
      <c r="AJ80" s="77">
        <f t="shared" si="138"/>
        <v>-0.23673404964959271</v>
      </c>
      <c r="AK80" s="41">
        <v>6226136.4200000018</v>
      </c>
      <c r="AL80" s="40">
        <f>AP80/6</f>
        <v>7642885.3815481178</v>
      </c>
      <c r="AM80" s="32">
        <f t="shared" si="139"/>
        <v>-1416748.9615481161</v>
      </c>
      <c r="AN80" s="78">
        <f t="shared" si="140"/>
        <v>-0.1853683381106972</v>
      </c>
      <c r="AO80" s="39">
        <v>69999585.459999993</v>
      </c>
      <c r="AP80" s="39">
        <v>45857312.289288707</v>
      </c>
      <c r="AQ80" s="32">
        <f t="shared" si="141"/>
        <v>24142273.170711286</v>
      </c>
      <c r="AR80" s="78">
        <f t="shared" si="142"/>
        <v>0.5264650710100689</v>
      </c>
      <c r="AS80" s="39">
        <v>91710609.42501618</v>
      </c>
      <c r="AT80" s="32">
        <f t="shared" si="143"/>
        <v>-21711023.965016186</v>
      </c>
      <c r="AU80" s="77">
        <f t="shared" si="144"/>
        <v>-0.23673404964959271</v>
      </c>
      <c r="AV80" s="41">
        <v>6226136.4200000018</v>
      </c>
      <c r="AW80" s="40">
        <f>BA80/6</f>
        <v>7642885.3815481178</v>
      </c>
      <c r="AX80" s="32">
        <f t="shared" si="145"/>
        <v>-1416748.9615481161</v>
      </c>
      <c r="AY80" s="78">
        <f t="shared" si="146"/>
        <v>-0.1853683381106972</v>
      </c>
      <c r="AZ80" s="39">
        <v>69999585.459999993</v>
      </c>
      <c r="BA80" s="39">
        <v>45857312.289288707</v>
      </c>
      <c r="BB80" s="32">
        <f t="shared" si="147"/>
        <v>24142273.170711286</v>
      </c>
      <c r="BC80" s="78">
        <f t="shared" si="148"/>
        <v>0.5264650710100689</v>
      </c>
      <c r="BD80" s="39">
        <v>91710609.42501618</v>
      </c>
      <c r="BE80" s="32">
        <f t="shared" si="149"/>
        <v>-21711023.965016186</v>
      </c>
      <c r="BF80" s="77">
        <f t="shared" si="150"/>
        <v>-0.23673404964959271</v>
      </c>
      <c r="BG80" s="41">
        <v>6226136.4200000018</v>
      </c>
      <c r="BH80" s="40">
        <f>BL80/6</f>
        <v>7642885.3815481178</v>
      </c>
      <c r="BI80" s="32">
        <f t="shared" si="151"/>
        <v>-1416748.9615481161</v>
      </c>
      <c r="BJ80" s="78">
        <f t="shared" si="152"/>
        <v>-0.1853683381106972</v>
      </c>
      <c r="BK80" s="39">
        <v>69999585.459999993</v>
      </c>
      <c r="BL80" s="39">
        <v>45857312.289288707</v>
      </c>
      <c r="BM80" s="32">
        <f t="shared" si="153"/>
        <v>24142273.170711286</v>
      </c>
      <c r="BN80" s="78">
        <f t="shared" si="154"/>
        <v>0.5264650710100689</v>
      </c>
      <c r="BO80" s="39">
        <v>91710609.42501618</v>
      </c>
      <c r="BP80" s="32">
        <f t="shared" si="155"/>
        <v>-21711023.965016186</v>
      </c>
      <c r="BQ80" s="77">
        <f t="shared" si="156"/>
        <v>-0.23673404964959271</v>
      </c>
      <c r="BR80" s="41">
        <v>6226136.4200000018</v>
      </c>
      <c r="BS80" s="40">
        <f>BW80/6</f>
        <v>7642885.3815481178</v>
      </c>
      <c r="BT80" s="32">
        <f t="shared" si="157"/>
        <v>-1416748.9615481161</v>
      </c>
      <c r="BU80" s="78">
        <f t="shared" si="158"/>
        <v>-0.1853683381106972</v>
      </c>
      <c r="BV80" s="39">
        <v>69999585.459999993</v>
      </c>
      <c r="BW80" s="39">
        <v>45857312.289288707</v>
      </c>
      <c r="BX80" s="32">
        <f t="shared" si="159"/>
        <v>24142273.170711286</v>
      </c>
      <c r="BY80" s="78">
        <f t="shared" si="160"/>
        <v>0.5264650710100689</v>
      </c>
      <c r="BZ80" s="39">
        <v>91710609.42501618</v>
      </c>
      <c r="CA80" s="32">
        <f t="shared" si="161"/>
        <v>-21711023.965016186</v>
      </c>
      <c r="CB80" s="77">
        <f t="shared" si="162"/>
        <v>-0.23673404964959271</v>
      </c>
      <c r="CC80" s="41">
        <v>6226136.4200000018</v>
      </c>
      <c r="CD80" s="40">
        <f>CH80/6</f>
        <v>7642885.3815481178</v>
      </c>
      <c r="CE80" s="32">
        <f t="shared" si="163"/>
        <v>-1416748.9615481161</v>
      </c>
      <c r="CF80" s="78">
        <f t="shared" si="164"/>
        <v>-0.1853683381106972</v>
      </c>
      <c r="CG80" s="39">
        <v>69999585.459999993</v>
      </c>
      <c r="CH80" s="39">
        <v>45857312.289288707</v>
      </c>
      <c r="CI80" s="32">
        <f t="shared" si="165"/>
        <v>24142273.170711286</v>
      </c>
      <c r="CJ80" s="78">
        <f t="shared" si="166"/>
        <v>0.5264650710100689</v>
      </c>
      <c r="CK80" s="39">
        <v>91710609.42501618</v>
      </c>
      <c r="CL80" s="32">
        <f t="shared" si="167"/>
        <v>-21711023.965016186</v>
      </c>
      <c r="CM80" s="77">
        <f t="shared" si="168"/>
        <v>-0.23673404964959271</v>
      </c>
      <c r="CN80" s="41">
        <v>6226136.4200000018</v>
      </c>
      <c r="CO80" s="40">
        <f>CS80/6</f>
        <v>7642885.3815481178</v>
      </c>
      <c r="CP80" s="32">
        <f t="shared" si="169"/>
        <v>-1416748.9615481161</v>
      </c>
      <c r="CQ80" s="78">
        <f t="shared" si="170"/>
        <v>-0.1853683381106972</v>
      </c>
      <c r="CR80" s="39">
        <v>69999585.459999993</v>
      </c>
      <c r="CS80" s="39">
        <v>45857312.289288707</v>
      </c>
      <c r="CT80" s="32">
        <f t="shared" si="171"/>
        <v>24142273.170711286</v>
      </c>
      <c r="CU80" s="78">
        <f t="shared" si="172"/>
        <v>0.5264650710100689</v>
      </c>
      <c r="CV80" s="39">
        <v>91710609.42501618</v>
      </c>
      <c r="CW80" s="32">
        <f t="shared" si="173"/>
        <v>-21711023.965016186</v>
      </c>
      <c r="CX80" s="77">
        <f t="shared" si="174"/>
        <v>-0.23673404964959271</v>
      </c>
      <c r="CY80" s="41">
        <v>6226136.4200000018</v>
      </c>
      <c r="CZ80" s="40">
        <f>DD80/6</f>
        <v>7642885.3815481178</v>
      </c>
      <c r="DA80" s="32">
        <f t="shared" si="175"/>
        <v>-1416748.9615481161</v>
      </c>
      <c r="DB80" s="78">
        <f t="shared" si="176"/>
        <v>-0.1853683381106972</v>
      </c>
      <c r="DC80" s="39">
        <v>69999585.459999993</v>
      </c>
      <c r="DD80" s="39">
        <v>45857312.289288707</v>
      </c>
      <c r="DE80" s="32">
        <f t="shared" si="177"/>
        <v>24142273.170711286</v>
      </c>
      <c r="DF80" s="78">
        <f t="shared" si="178"/>
        <v>0.5264650710100689</v>
      </c>
      <c r="DG80" s="39">
        <v>91710609.42501618</v>
      </c>
      <c r="DH80" s="32">
        <f t="shared" si="179"/>
        <v>-21711023.965016186</v>
      </c>
      <c r="DI80" s="77">
        <f t="shared" si="180"/>
        <v>-0.23673404964959271</v>
      </c>
    </row>
    <row r="81" spans="1:113" s="6" customFormat="1" hidden="1" outlineLevel="2" collapsed="1" x14ac:dyDescent="0.2">
      <c r="A81" s="30"/>
      <c r="B81" s="29" t="str">
        <f t="shared" si="120"/>
        <v>Итого резерв на отпуск</v>
      </c>
      <c r="C81" s="52" t="str">
        <f t="shared" si="120"/>
        <v>Total Accruals for unused vacations</v>
      </c>
      <c r="D81" s="27">
        <f>SUM(D79:D80)</f>
        <v>50498239.389999986</v>
      </c>
      <c r="E81" s="26">
        <f>SUM(E79:E80)</f>
        <v>48955779.335862294</v>
      </c>
      <c r="F81" s="23">
        <f t="shared" si="121"/>
        <v>1542460.0541376919</v>
      </c>
      <c r="G81" s="76">
        <f t="shared" si="122"/>
        <v>3.1507210692237386E-2</v>
      </c>
      <c r="H81" s="24">
        <f>SUM(H79:H80)</f>
        <v>489081863.58999991</v>
      </c>
      <c r="I81" s="24">
        <f>SUM(I79:I80)</f>
        <v>293734676.01517379</v>
      </c>
      <c r="J81" s="23">
        <f t="shared" si="123"/>
        <v>195347187.57482612</v>
      </c>
      <c r="K81" s="76">
        <f t="shared" si="124"/>
        <v>0.66504639569600843</v>
      </c>
      <c r="L81" s="24">
        <f>SUM(L79:L80)</f>
        <v>587443633.34402299</v>
      </c>
      <c r="M81" s="23">
        <f t="shared" si="125"/>
        <v>-98361769.754023075</v>
      </c>
      <c r="N81" s="75">
        <f t="shared" si="126"/>
        <v>-0.167440353713766</v>
      </c>
      <c r="O81" s="27">
        <f>SUM(O79:O80)</f>
        <v>50498239.389999986</v>
      </c>
      <c r="P81" s="26">
        <f>SUM(P79:P80)</f>
        <v>48955779.335862294</v>
      </c>
      <c r="Q81" s="23">
        <f t="shared" si="127"/>
        <v>1542460.0541376919</v>
      </c>
      <c r="R81" s="76">
        <f t="shared" si="128"/>
        <v>3.1507210692237386E-2</v>
      </c>
      <c r="S81" s="24">
        <f>SUM(S79:S80)</f>
        <v>489081863.58999991</v>
      </c>
      <c r="T81" s="24">
        <f>SUM(T79:T80)</f>
        <v>293734676.01517379</v>
      </c>
      <c r="U81" s="23">
        <f t="shared" si="129"/>
        <v>195347187.57482612</v>
      </c>
      <c r="V81" s="76">
        <f t="shared" si="130"/>
        <v>0.66504639569600843</v>
      </c>
      <c r="W81" s="24">
        <f>SUM(W79:W80)</f>
        <v>587443633.34402299</v>
      </c>
      <c r="X81" s="23">
        <f t="shared" si="131"/>
        <v>-98361769.754023075</v>
      </c>
      <c r="Y81" s="75">
        <f t="shared" si="132"/>
        <v>-0.167440353713766</v>
      </c>
      <c r="Z81" s="27">
        <f>SUM(Z79:Z80)</f>
        <v>50498239.389999986</v>
      </c>
      <c r="AA81" s="26">
        <f>SUM(AA79:AA80)</f>
        <v>48955779.335862294</v>
      </c>
      <c r="AB81" s="23">
        <f t="shared" si="133"/>
        <v>1542460.0541376919</v>
      </c>
      <c r="AC81" s="76">
        <f t="shared" si="134"/>
        <v>3.1507210692237386E-2</v>
      </c>
      <c r="AD81" s="24">
        <f>SUM(AD79:AD80)</f>
        <v>489081863.58999991</v>
      </c>
      <c r="AE81" s="24">
        <f>SUM(AE79:AE80)</f>
        <v>293734676.01517379</v>
      </c>
      <c r="AF81" s="23">
        <f t="shared" si="135"/>
        <v>195347187.57482612</v>
      </c>
      <c r="AG81" s="76">
        <f t="shared" si="136"/>
        <v>0.66504639569600843</v>
      </c>
      <c r="AH81" s="24">
        <f>SUM(AH79:AH80)</f>
        <v>587443633.34402299</v>
      </c>
      <c r="AI81" s="23">
        <f t="shared" si="137"/>
        <v>-98361769.754023075</v>
      </c>
      <c r="AJ81" s="75">
        <f t="shared" si="138"/>
        <v>-0.167440353713766</v>
      </c>
      <c r="AK81" s="27">
        <f>SUM(AK79:AK80)</f>
        <v>50498239.389999986</v>
      </c>
      <c r="AL81" s="26">
        <f>SUM(AL79:AL80)</f>
        <v>48955779.335862294</v>
      </c>
      <c r="AM81" s="23">
        <f t="shared" si="139"/>
        <v>1542460.0541376919</v>
      </c>
      <c r="AN81" s="76">
        <f t="shared" si="140"/>
        <v>3.1507210692237386E-2</v>
      </c>
      <c r="AO81" s="24">
        <f>SUM(AO79:AO80)</f>
        <v>489081863.58999991</v>
      </c>
      <c r="AP81" s="24">
        <f>SUM(AP79:AP80)</f>
        <v>293734676.01517379</v>
      </c>
      <c r="AQ81" s="23">
        <f t="shared" si="141"/>
        <v>195347187.57482612</v>
      </c>
      <c r="AR81" s="76">
        <f t="shared" si="142"/>
        <v>0.66504639569600843</v>
      </c>
      <c r="AS81" s="24">
        <f>SUM(AS79:AS80)</f>
        <v>587443633.34402299</v>
      </c>
      <c r="AT81" s="23">
        <f t="shared" si="143"/>
        <v>-98361769.754023075</v>
      </c>
      <c r="AU81" s="75">
        <f t="shared" si="144"/>
        <v>-0.167440353713766</v>
      </c>
      <c r="AV81" s="27">
        <f>SUM(AV79:AV80)</f>
        <v>50498239.389999986</v>
      </c>
      <c r="AW81" s="26">
        <f>SUM(AW79:AW80)</f>
        <v>48955779.335862294</v>
      </c>
      <c r="AX81" s="23">
        <f t="shared" si="145"/>
        <v>1542460.0541376919</v>
      </c>
      <c r="AY81" s="76">
        <f t="shared" si="146"/>
        <v>3.1507210692237386E-2</v>
      </c>
      <c r="AZ81" s="24">
        <f>SUM(AZ79:AZ80)</f>
        <v>489081863.58999991</v>
      </c>
      <c r="BA81" s="24">
        <f>SUM(BA79:BA80)</f>
        <v>293734676.01517379</v>
      </c>
      <c r="BB81" s="23">
        <f t="shared" si="147"/>
        <v>195347187.57482612</v>
      </c>
      <c r="BC81" s="76">
        <f t="shared" si="148"/>
        <v>0.66504639569600843</v>
      </c>
      <c r="BD81" s="24">
        <f>SUM(BD79:BD80)</f>
        <v>587443633.34402299</v>
      </c>
      <c r="BE81" s="23">
        <f t="shared" si="149"/>
        <v>-98361769.754023075</v>
      </c>
      <c r="BF81" s="75">
        <f t="shared" si="150"/>
        <v>-0.167440353713766</v>
      </c>
      <c r="BG81" s="27">
        <f>SUM(BG79:BG80)</f>
        <v>50498239.389999986</v>
      </c>
      <c r="BH81" s="26">
        <f>SUM(BH79:BH80)</f>
        <v>48955779.335862294</v>
      </c>
      <c r="BI81" s="23">
        <f t="shared" si="151"/>
        <v>1542460.0541376919</v>
      </c>
      <c r="BJ81" s="76">
        <f t="shared" si="152"/>
        <v>3.1507210692237386E-2</v>
      </c>
      <c r="BK81" s="24">
        <f>SUM(BK79:BK80)</f>
        <v>489081863.58999991</v>
      </c>
      <c r="BL81" s="24">
        <f>SUM(BL79:BL80)</f>
        <v>293734676.01517379</v>
      </c>
      <c r="BM81" s="23">
        <f t="shared" si="153"/>
        <v>195347187.57482612</v>
      </c>
      <c r="BN81" s="76">
        <f t="shared" si="154"/>
        <v>0.66504639569600843</v>
      </c>
      <c r="BO81" s="24">
        <f>SUM(BO79:BO80)</f>
        <v>587443633.34402299</v>
      </c>
      <c r="BP81" s="23">
        <f t="shared" si="155"/>
        <v>-98361769.754023075</v>
      </c>
      <c r="BQ81" s="75">
        <f t="shared" si="156"/>
        <v>-0.167440353713766</v>
      </c>
      <c r="BR81" s="27">
        <f>SUM(BR79:BR80)</f>
        <v>50498239.389999986</v>
      </c>
      <c r="BS81" s="26">
        <f>SUM(BS79:BS80)</f>
        <v>48955779.335862294</v>
      </c>
      <c r="BT81" s="23">
        <f t="shared" si="157"/>
        <v>1542460.0541376919</v>
      </c>
      <c r="BU81" s="76">
        <f t="shared" si="158"/>
        <v>3.1507210692237386E-2</v>
      </c>
      <c r="BV81" s="24">
        <f>SUM(BV79:BV80)</f>
        <v>489081863.58999991</v>
      </c>
      <c r="BW81" s="24">
        <f>SUM(BW79:BW80)</f>
        <v>293734676.01517379</v>
      </c>
      <c r="BX81" s="23">
        <f t="shared" si="159"/>
        <v>195347187.57482612</v>
      </c>
      <c r="BY81" s="76">
        <f t="shared" si="160"/>
        <v>0.66504639569600843</v>
      </c>
      <c r="BZ81" s="24">
        <f>SUM(BZ79:BZ80)</f>
        <v>587443633.34402299</v>
      </c>
      <c r="CA81" s="23">
        <f t="shared" si="161"/>
        <v>-98361769.754023075</v>
      </c>
      <c r="CB81" s="75">
        <f t="shared" si="162"/>
        <v>-0.167440353713766</v>
      </c>
      <c r="CC81" s="27">
        <f>SUM(CC79:CC80)</f>
        <v>50498239.389999986</v>
      </c>
      <c r="CD81" s="26">
        <f>SUM(CD79:CD80)</f>
        <v>48955779.335862294</v>
      </c>
      <c r="CE81" s="23">
        <f t="shared" si="163"/>
        <v>1542460.0541376919</v>
      </c>
      <c r="CF81" s="76">
        <f t="shared" si="164"/>
        <v>3.1507210692237386E-2</v>
      </c>
      <c r="CG81" s="24">
        <f>SUM(CG79:CG80)</f>
        <v>489081863.58999991</v>
      </c>
      <c r="CH81" s="24">
        <f>SUM(CH79:CH80)</f>
        <v>293734676.01517379</v>
      </c>
      <c r="CI81" s="23">
        <f t="shared" si="165"/>
        <v>195347187.57482612</v>
      </c>
      <c r="CJ81" s="76">
        <f t="shared" si="166"/>
        <v>0.66504639569600843</v>
      </c>
      <c r="CK81" s="24">
        <f>SUM(CK79:CK80)</f>
        <v>587443633.34402299</v>
      </c>
      <c r="CL81" s="23">
        <f t="shared" si="167"/>
        <v>-98361769.754023075</v>
      </c>
      <c r="CM81" s="75">
        <f t="shared" si="168"/>
        <v>-0.167440353713766</v>
      </c>
      <c r="CN81" s="27">
        <f>SUM(CN79:CN80)</f>
        <v>50498239.389999986</v>
      </c>
      <c r="CO81" s="26">
        <f>SUM(CO79:CO80)</f>
        <v>48955779.335862294</v>
      </c>
      <c r="CP81" s="23">
        <f t="shared" si="169"/>
        <v>1542460.0541376919</v>
      </c>
      <c r="CQ81" s="76">
        <f t="shared" si="170"/>
        <v>3.1507210692237386E-2</v>
      </c>
      <c r="CR81" s="24">
        <f>SUM(CR79:CR80)</f>
        <v>489081863.58999991</v>
      </c>
      <c r="CS81" s="24">
        <f>SUM(CS79:CS80)</f>
        <v>293734676.01517379</v>
      </c>
      <c r="CT81" s="23">
        <f t="shared" si="171"/>
        <v>195347187.57482612</v>
      </c>
      <c r="CU81" s="76">
        <f t="shared" si="172"/>
        <v>0.66504639569600843</v>
      </c>
      <c r="CV81" s="24">
        <f>SUM(CV79:CV80)</f>
        <v>587443633.34402299</v>
      </c>
      <c r="CW81" s="23">
        <f t="shared" si="173"/>
        <v>-98361769.754023075</v>
      </c>
      <c r="CX81" s="75">
        <f t="shared" si="174"/>
        <v>-0.167440353713766</v>
      </c>
      <c r="CY81" s="27">
        <f>SUM(CY79:CY80)</f>
        <v>50498239.389999986</v>
      </c>
      <c r="CZ81" s="26">
        <f>SUM(CZ79:CZ80)</f>
        <v>48955779.335862294</v>
      </c>
      <c r="DA81" s="23">
        <f t="shared" si="175"/>
        <v>1542460.0541376919</v>
      </c>
      <c r="DB81" s="76">
        <f t="shared" si="176"/>
        <v>3.1507210692237386E-2</v>
      </c>
      <c r="DC81" s="24">
        <f>SUM(DC79:DC80)</f>
        <v>489081863.58999991</v>
      </c>
      <c r="DD81" s="24">
        <f>SUM(DD79:DD80)</f>
        <v>293734676.01517379</v>
      </c>
      <c r="DE81" s="23">
        <f t="shared" si="177"/>
        <v>195347187.57482612</v>
      </c>
      <c r="DF81" s="76">
        <f t="shared" si="178"/>
        <v>0.66504639569600843</v>
      </c>
      <c r="DG81" s="24">
        <f>SUM(DG79:DG80)</f>
        <v>587443633.34402299</v>
      </c>
      <c r="DH81" s="23">
        <f t="shared" si="179"/>
        <v>-98361769.754023075</v>
      </c>
      <c r="DI81" s="75">
        <f t="shared" si="180"/>
        <v>-0.167440353713766</v>
      </c>
    </row>
    <row r="82" spans="1:113" hidden="1" outlineLevel="3" x14ac:dyDescent="0.2">
      <c r="A82" s="54"/>
      <c r="B82" s="38" t="str">
        <f t="shared" si="120"/>
        <v>Оплата больничных листов</v>
      </c>
      <c r="C82" s="49" t="str">
        <f t="shared" si="120"/>
        <v>Sick leave compensation</v>
      </c>
      <c r="D82" s="41">
        <v>502299.88</v>
      </c>
      <c r="E82" s="40">
        <v>0</v>
      </c>
      <c r="F82" s="32">
        <f t="shared" si="121"/>
        <v>502299.88</v>
      </c>
      <c r="G82" s="78" t="str">
        <f t="shared" si="122"/>
        <v>-</v>
      </c>
      <c r="H82" s="39">
        <v>2428673.09</v>
      </c>
      <c r="I82" s="39">
        <v>1108089.5900000001</v>
      </c>
      <c r="J82" s="32">
        <f t="shared" si="123"/>
        <v>1320583.4999999998</v>
      </c>
      <c r="K82" s="78">
        <f t="shared" si="124"/>
        <v>1.1917660015197864</v>
      </c>
      <c r="L82" s="39">
        <v>1108089.5900000001</v>
      </c>
      <c r="M82" s="32">
        <f t="shared" si="125"/>
        <v>1320583.4999999998</v>
      </c>
      <c r="N82" s="77">
        <f t="shared" si="126"/>
        <v>1.1917660015197866</v>
      </c>
      <c r="O82" s="41">
        <v>502299.88</v>
      </c>
      <c r="P82" s="40">
        <v>0</v>
      </c>
      <c r="Q82" s="32">
        <f t="shared" si="127"/>
        <v>502299.88</v>
      </c>
      <c r="R82" s="78" t="str">
        <f t="shared" si="128"/>
        <v>-</v>
      </c>
      <c r="S82" s="39">
        <v>2428673.09</v>
      </c>
      <c r="T82" s="39">
        <v>1108089.5900000001</v>
      </c>
      <c r="U82" s="32">
        <f t="shared" si="129"/>
        <v>1320583.4999999998</v>
      </c>
      <c r="V82" s="78">
        <f t="shared" si="130"/>
        <v>1.1917660015197864</v>
      </c>
      <c r="W82" s="39">
        <v>1108089.5900000001</v>
      </c>
      <c r="X82" s="32">
        <f t="shared" si="131"/>
        <v>1320583.4999999998</v>
      </c>
      <c r="Y82" s="77">
        <f t="shared" si="132"/>
        <v>1.1917660015197866</v>
      </c>
      <c r="Z82" s="41">
        <v>502299.88</v>
      </c>
      <c r="AA82" s="40">
        <v>0</v>
      </c>
      <c r="AB82" s="32">
        <f t="shared" si="133"/>
        <v>502299.88</v>
      </c>
      <c r="AC82" s="78" t="str">
        <f t="shared" si="134"/>
        <v>-</v>
      </c>
      <c r="AD82" s="39">
        <v>2428673.09</v>
      </c>
      <c r="AE82" s="39">
        <v>1108089.5900000001</v>
      </c>
      <c r="AF82" s="32">
        <f t="shared" si="135"/>
        <v>1320583.4999999998</v>
      </c>
      <c r="AG82" s="78">
        <f t="shared" si="136"/>
        <v>1.1917660015197864</v>
      </c>
      <c r="AH82" s="39">
        <v>1108089.5900000001</v>
      </c>
      <c r="AI82" s="32">
        <f t="shared" si="137"/>
        <v>1320583.4999999998</v>
      </c>
      <c r="AJ82" s="77">
        <f t="shared" si="138"/>
        <v>1.1917660015197866</v>
      </c>
      <c r="AK82" s="41">
        <v>502299.88</v>
      </c>
      <c r="AL82" s="40">
        <v>0</v>
      </c>
      <c r="AM82" s="32">
        <f t="shared" si="139"/>
        <v>502299.88</v>
      </c>
      <c r="AN82" s="78" t="str">
        <f t="shared" si="140"/>
        <v>-</v>
      </c>
      <c r="AO82" s="39">
        <v>2428673.09</v>
      </c>
      <c r="AP82" s="39">
        <v>1108089.5900000001</v>
      </c>
      <c r="AQ82" s="32">
        <f t="shared" si="141"/>
        <v>1320583.4999999998</v>
      </c>
      <c r="AR82" s="78">
        <f t="shared" si="142"/>
        <v>1.1917660015197864</v>
      </c>
      <c r="AS82" s="39">
        <v>1108089.5900000001</v>
      </c>
      <c r="AT82" s="32">
        <f t="shared" si="143"/>
        <v>1320583.4999999998</v>
      </c>
      <c r="AU82" s="77">
        <f t="shared" si="144"/>
        <v>1.1917660015197866</v>
      </c>
      <c r="AV82" s="41">
        <v>502299.88</v>
      </c>
      <c r="AW82" s="40">
        <v>0</v>
      </c>
      <c r="AX82" s="32">
        <f t="shared" si="145"/>
        <v>502299.88</v>
      </c>
      <c r="AY82" s="78" t="str">
        <f t="shared" si="146"/>
        <v>-</v>
      </c>
      <c r="AZ82" s="39">
        <v>2428673.09</v>
      </c>
      <c r="BA82" s="39">
        <v>1108089.5900000001</v>
      </c>
      <c r="BB82" s="32">
        <f t="shared" si="147"/>
        <v>1320583.4999999998</v>
      </c>
      <c r="BC82" s="78">
        <f t="shared" si="148"/>
        <v>1.1917660015197864</v>
      </c>
      <c r="BD82" s="39">
        <v>1108089.5900000001</v>
      </c>
      <c r="BE82" s="32">
        <f t="shared" si="149"/>
        <v>1320583.4999999998</v>
      </c>
      <c r="BF82" s="77">
        <f t="shared" si="150"/>
        <v>1.1917660015197866</v>
      </c>
      <c r="BG82" s="41">
        <v>502299.88</v>
      </c>
      <c r="BH82" s="40">
        <v>0</v>
      </c>
      <c r="BI82" s="32">
        <f t="shared" si="151"/>
        <v>502299.88</v>
      </c>
      <c r="BJ82" s="78" t="str">
        <f t="shared" si="152"/>
        <v>-</v>
      </c>
      <c r="BK82" s="39">
        <v>2428673.09</v>
      </c>
      <c r="BL82" s="39">
        <v>1108089.5900000001</v>
      </c>
      <c r="BM82" s="32">
        <f t="shared" si="153"/>
        <v>1320583.4999999998</v>
      </c>
      <c r="BN82" s="78">
        <f t="shared" si="154"/>
        <v>1.1917660015197864</v>
      </c>
      <c r="BO82" s="39">
        <v>1108089.5900000001</v>
      </c>
      <c r="BP82" s="32">
        <f t="shared" si="155"/>
        <v>1320583.4999999998</v>
      </c>
      <c r="BQ82" s="77">
        <f t="shared" si="156"/>
        <v>1.1917660015197866</v>
      </c>
      <c r="BR82" s="41">
        <v>502299.88</v>
      </c>
      <c r="BS82" s="40">
        <v>0</v>
      </c>
      <c r="BT82" s="32">
        <f t="shared" si="157"/>
        <v>502299.88</v>
      </c>
      <c r="BU82" s="78" t="str">
        <f t="shared" si="158"/>
        <v>-</v>
      </c>
      <c r="BV82" s="39">
        <v>2428673.09</v>
      </c>
      <c r="BW82" s="39">
        <v>1108089.5900000001</v>
      </c>
      <c r="BX82" s="32">
        <f t="shared" si="159"/>
        <v>1320583.4999999998</v>
      </c>
      <c r="BY82" s="78">
        <f t="shared" si="160"/>
        <v>1.1917660015197864</v>
      </c>
      <c r="BZ82" s="39">
        <v>1108089.5900000001</v>
      </c>
      <c r="CA82" s="32">
        <f t="shared" si="161"/>
        <v>1320583.4999999998</v>
      </c>
      <c r="CB82" s="77">
        <f t="shared" si="162"/>
        <v>1.1917660015197866</v>
      </c>
      <c r="CC82" s="41">
        <v>502299.88</v>
      </c>
      <c r="CD82" s="40">
        <v>0</v>
      </c>
      <c r="CE82" s="32">
        <f t="shared" si="163"/>
        <v>502299.88</v>
      </c>
      <c r="CF82" s="78" t="str">
        <f t="shared" si="164"/>
        <v>-</v>
      </c>
      <c r="CG82" s="39">
        <v>2428673.09</v>
      </c>
      <c r="CH82" s="39">
        <v>1108089.5900000001</v>
      </c>
      <c r="CI82" s="32">
        <f t="shared" si="165"/>
        <v>1320583.4999999998</v>
      </c>
      <c r="CJ82" s="78">
        <f t="shared" si="166"/>
        <v>1.1917660015197864</v>
      </c>
      <c r="CK82" s="39">
        <v>1108089.5900000001</v>
      </c>
      <c r="CL82" s="32">
        <f t="shared" si="167"/>
        <v>1320583.4999999998</v>
      </c>
      <c r="CM82" s="77">
        <f t="shared" si="168"/>
        <v>1.1917660015197866</v>
      </c>
      <c r="CN82" s="41">
        <v>502299.88</v>
      </c>
      <c r="CO82" s="40">
        <v>0</v>
      </c>
      <c r="CP82" s="32">
        <f t="shared" si="169"/>
        <v>502299.88</v>
      </c>
      <c r="CQ82" s="78" t="str">
        <f t="shared" si="170"/>
        <v>-</v>
      </c>
      <c r="CR82" s="39">
        <v>2428673.09</v>
      </c>
      <c r="CS82" s="39">
        <v>1108089.5900000001</v>
      </c>
      <c r="CT82" s="32">
        <f t="shared" si="171"/>
        <v>1320583.4999999998</v>
      </c>
      <c r="CU82" s="78">
        <f t="shared" si="172"/>
        <v>1.1917660015197864</v>
      </c>
      <c r="CV82" s="39">
        <v>1108089.5900000001</v>
      </c>
      <c r="CW82" s="32">
        <f t="shared" si="173"/>
        <v>1320583.4999999998</v>
      </c>
      <c r="CX82" s="77">
        <f t="shared" si="174"/>
        <v>1.1917660015197866</v>
      </c>
      <c r="CY82" s="41">
        <v>502299.88</v>
      </c>
      <c r="CZ82" s="40">
        <v>0</v>
      </c>
      <c r="DA82" s="32">
        <f t="shared" si="175"/>
        <v>502299.88</v>
      </c>
      <c r="DB82" s="78" t="str">
        <f t="shared" si="176"/>
        <v>-</v>
      </c>
      <c r="DC82" s="39">
        <v>2428673.09</v>
      </c>
      <c r="DD82" s="39">
        <v>1108089.5900000001</v>
      </c>
      <c r="DE82" s="32">
        <f t="shared" si="177"/>
        <v>1320583.4999999998</v>
      </c>
      <c r="DF82" s="78">
        <f t="shared" si="178"/>
        <v>1.1917660015197864</v>
      </c>
      <c r="DG82" s="39">
        <v>1108089.5900000001</v>
      </c>
      <c r="DH82" s="32">
        <f t="shared" si="179"/>
        <v>1320583.4999999998</v>
      </c>
      <c r="DI82" s="77">
        <f t="shared" si="180"/>
        <v>1.1917660015197866</v>
      </c>
    </row>
    <row r="83" spans="1:113" hidden="1" outlineLevel="3" x14ac:dyDescent="0.2">
      <c r="A83" s="54"/>
      <c r="B83" s="38" t="str">
        <f t="shared" si="120"/>
        <v>Страховые взносы оплата больничных листов</v>
      </c>
      <c r="C83" s="49" t="str">
        <f t="shared" si="120"/>
        <v>Social Security on Sick leave compensation</v>
      </c>
      <c r="D83" s="41">
        <v>81339.45</v>
      </c>
      <c r="E83" s="40">
        <v>0</v>
      </c>
      <c r="F83" s="32">
        <f t="shared" si="121"/>
        <v>81339.45</v>
      </c>
      <c r="G83" s="78" t="str">
        <f t="shared" si="122"/>
        <v>-</v>
      </c>
      <c r="H83" s="39">
        <v>429173.05</v>
      </c>
      <c r="I83" s="39">
        <v>244088.15</v>
      </c>
      <c r="J83" s="32">
        <f t="shared" si="123"/>
        <v>185084.9</v>
      </c>
      <c r="K83" s="78">
        <f t="shared" si="124"/>
        <v>0.75827073129113387</v>
      </c>
      <c r="L83" s="39">
        <v>244088.15</v>
      </c>
      <c r="M83" s="32">
        <f t="shared" si="125"/>
        <v>185084.9</v>
      </c>
      <c r="N83" s="77">
        <f t="shared" si="126"/>
        <v>0.75827073129113398</v>
      </c>
      <c r="O83" s="41">
        <v>81339.45</v>
      </c>
      <c r="P83" s="40">
        <v>0</v>
      </c>
      <c r="Q83" s="32">
        <f t="shared" si="127"/>
        <v>81339.45</v>
      </c>
      <c r="R83" s="78" t="str">
        <f t="shared" si="128"/>
        <v>-</v>
      </c>
      <c r="S83" s="39">
        <v>429173.05</v>
      </c>
      <c r="T83" s="39">
        <v>244088.15</v>
      </c>
      <c r="U83" s="32">
        <f t="shared" si="129"/>
        <v>185084.9</v>
      </c>
      <c r="V83" s="78">
        <f t="shared" si="130"/>
        <v>0.75827073129113387</v>
      </c>
      <c r="W83" s="39">
        <v>244088.15</v>
      </c>
      <c r="X83" s="32">
        <f t="shared" si="131"/>
        <v>185084.9</v>
      </c>
      <c r="Y83" s="77">
        <f t="shared" si="132"/>
        <v>0.75827073129113398</v>
      </c>
      <c r="Z83" s="41">
        <v>81339.45</v>
      </c>
      <c r="AA83" s="40">
        <v>0</v>
      </c>
      <c r="AB83" s="32">
        <f t="shared" si="133"/>
        <v>81339.45</v>
      </c>
      <c r="AC83" s="78" t="str">
        <f t="shared" si="134"/>
        <v>-</v>
      </c>
      <c r="AD83" s="39">
        <v>429173.05</v>
      </c>
      <c r="AE83" s="39">
        <v>244088.15</v>
      </c>
      <c r="AF83" s="32">
        <f t="shared" si="135"/>
        <v>185084.9</v>
      </c>
      <c r="AG83" s="78">
        <f t="shared" si="136"/>
        <v>0.75827073129113387</v>
      </c>
      <c r="AH83" s="39">
        <v>244088.15</v>
      </c>
      <c r="AI83" s="32">
        <f t="shared" si="137"/>
        <v>185084.9</v>
      </c>
      <c r="AJ83" s="77">
        <f t="shared" si="138"/>
        <v>0.75827073129113398</v>
      </c>
      <c r="AK83" s="41">
        <v>81339.45</v>
      </c>
      <c r="AL83" s="40">
        <v>0</v>
      </c>
      <c r="AM83" s="32">
        <f t="shared" si="139"/>
        <v>81339.45</v>
      </c>
      <c r="AN83" s="78" t="str">
        <f t="shared" si="140"/>
        <v>-</v>
      </c>
      <c r="AO83" s="39">
        <v>429173.05</v>
      </c>
      <c r="AP83" s="39">
        <v>244088.15</v>
      </c>
      <c r="AQ83" s="32">
        <f t="shared" si="141"/>
        <v>185084.9</v>
      </c>
      <c r="AR83" s="78">
        <f t="shared" si="142"/>
        <v>0.75827073129113387</v>
      </c>
      <c r="AS83" s="39">
        <v>244088.15</v>
      </c>
      <c r="AT83" s="32">
        <f t="shared" si="143"/>
        <v>185084.9</v>
      </c>
      <c r="AU83" s="77">
        <f t="shared" si="144"/>
        <v>0.75827073129113398</v>
      </c>
      <c r="AV83" s="41">
        <v>81339.45</v>
      </c>
      <c r="AW83" s="40">
        <v>0</v>
      </c>
      <c r="AX83" s="32">
        <f t="shared" si="145"/>
        <v>81339.45</v>
      </c>
      <c r="AY83" s="78" t="str">
        <f t="shared" si="146"/>
        <v>-</v>
      </c>
      <c r="AZ83" s="39">
        <v>429173.05</v>
      </c>
      <c r="BA83" s="39">
        <v>244088.15</v>
      </c>
      <c r="BB83" s="32">
        <f t="shared" si="147"/>
        <v>185084.9</v>
      </c>
      <c r="BC83" s="78">
        <f t="shared" si="148"/>
        <v>0.75827073129113387</v>
      </c>
      <c r="BD83" s="39">
        <v>244088.15</v>
      </c>
      <c r="BE83" s="32">
        <f t="shared" si="149"/>
        <v>185084.9</v>
      </c>
      <c r="BF83" s="77">
        <f t="shared" si="150"/>
        <v>0.75827073129113398</v>
      </c>
      <c r="BG83" s="41">
        <v>81339.45</v>
      </c>
      <c r="BH83" s="40">
        <v>0</v>
      </c>
      <c r="BI83" s="32">
        <f t="shared" si="151"/>
        <v>81339.45</v>
      </c>
      <c r="BJ83" s="78" t="str">
        <f t="shared" si="152"/>
        <v>-</v>
      </c>
      <c r="BK83" s="39">
        <v>429173.05</v>
      </c>
      <c r="BL83" s="39">
        <v>244088.15</v>
      </c>
      <c r="BM83" s="32">
        <f t="shared" si="153"/>
        <v>185084.9</v>
      </c>
      <c r="BN83" s="78">
        <f t="shared" si="154"/>
        <v>0.75827073129113387</v>
      </c>
      <c r="BO83" s="39">
        <v>244088.15</v>
      </c>
      <c r="BP83" s="32">
        <f t="shared" si="155"/>
        <v>185084.9</v>
      </c>
      <c r="BQ83" s="77">
        <f t="shared" si="156"/>
        <v>0.75827073129113398</v>
      </c>
      <c r="BR83" s="41">
        <v>81339.45</v>
      </c>
      <c r="BS83" s="40">
        <v>0</v>
      </c>
      <c r="BT83" s="32">
        <f t="shared" si="157"/>
        <v>81339.45</v>
      </c>
      <c r="BU83" s="78" t="str">
        <f t="shared" si="158"/>
        <v>-</v>
      </c>
      <c r="BV83" s="39">
        <v>429173.05</v>
      </c>
      <c r="BW83" s="39">
        <v>244088.15</v>
      </c>
      <c r="BX83" s="32">
        <f t="shared" si="159"/>
        <v>185084.9</v>
      </c>
      <c r="BY83" s="78">
        <f t="shared" si="160"/>
        <v>0.75827073129113387</v>
      </c>
      <c r="BZ83" s="39">
        <v>244088.15</v>
      </c>
      <c r="CA83" s="32">
        <f t="shared" si="161"/>
        <v>185084.9</v>
      </c>
      <c r="CB83" s="77">
        <f t="shared" si="162"/>
        <v>0.75827073129113398</v>
      </c>
      <c r="CC83" s="41">
        <v>81339.45</v>
      </c>
      <c r="CD83" s="40">
        <v>0</v>
      </c>
      <c r="CE83" s="32">
        <f t="shared" si="163"/>
        <v>81339.45</v>
      </c>
      <c r="CF83" s="78" t="str">
        <f t="shared" si="164"/>
        <v>-</v>
      </c>
      <c r="CG83" s="39">
        <v>429173.05</v>
      </c>
      <c r="CH83" s="39">
        <v>244088.15</v>
      </c>
      <c r="CI83" s="32">
        <f t="shared" si="165"/>
        <v>185084.9</v>
      </c>
      <c r="CJ83" s="78">
        <f t="shared" si="166"/>
        <v>0.75827073129113387</v>
      </c>
      <c r="CK83" s="39">
        <v>244088.15</v>
      </c>
      <c r="CL83" s="32">
        <f t="shared" si="167"/>
        <v>185084.9</v>
      </c>
      <c r="CM83" s="77">
        <f t="shared" si="168"/>
        <v>0.75827073129113398</v>
      </c>
      <c r="CN83" s="41">
        <v>81339.45</v>
      </c>
      <c r="CO83" s="40">
        <v>0</v>
      </c>
      <c r="CP83" s="32">
        <f t="shared" si="169"/>
        <v>81339.45</v>
      </c>
      <c r="CQ83" s="78" t="str">
        <f t="shared" si="170"/>
        <v>-</v>
      </c>
      <c r="CR83" s="39">
        <v>429173.05</v>
      </c>
      <c r="CS83" s="39">
        <v>244088.15</v>
      </c>
      <c r="CT83" s="32">
        <f t="shared" si="171"/>
        <v>185084.9</v>
      </c>
      <c r="CU83" s="78">
        <f t="shared" si="172"/>
        <v>0.75827073129113387</v>
      </c>
      <c r="CV83" s="39">
        <v>244088.15</v>
      </c>
      <c r="CW83" s="32">
        <f t="shared" si="173"/>
        <v>185084.9</v>
      </c>
      <c r="CX83" s="77">
        <f t="shared" si="174"/>
        <v>0.75827073129113398</v>
      </c>
      <c r="CY83" s="41">
        <v>81339.45</v>
      </c>
      <c r="CZ83" s="40">
        <v>0</v>
      </c>
      <c r="DA83" s="32">
        <f t="shared" si="175"/>
        <v>81339.45</v>
      </c>
      <c r="DB83" s="78" t="str">
        <f t="shared" si="176"/>
        <v>-</v>
      </c>
      <c r="DC83" s="39">
        <v>429173.05</v>
      </c>
      <c r="DD83" s="39">
        <v>244088.15</v>
      </c>
      <c r="DE83" s="32">
        <f t="shared" si="177"/>
        <v>185084.9</v>
      </c>
      <c r="DF83" s="78">
        <f t="shared" si="178"/>
        <v>0.75827073129113387</v>
      </c>
      <c r="DG83" s="39">
        <v>244088.15</v>
      </c>
      <c r="DH83" s="32">
        <f t="shared" si="179"/>
        <v>185084.9</v>
      </c>
      <c r="DI83" s="77">
        <f t="shared" si="180"/>
        <v>0.75827073129113398</v>
      </c>
    </row>
    <row r="84" spans="1:113" s="6" customFormat="1" hidden="1" outlineLevel="2" collapsed="1" x14ac:dyDescent="0.2">
      <c r="A84" s="30"/>
      <c r="B84" s="29" t="str">
        <f t="shared" si="120"/>
        <v>Итого оплата больничных листов</v>
      </c>
      <c r="C84" s="52" t="str">
        <f t="shared" si="120"/>
        <v>Total Sick leave compensation</v>
      </c>
      <c r="D84" s="27">
        <f>SUM(D82:D83)</f>
        <v>583639.32999999996</v>
      </c>
      <c r="E84" s="26">
        <f>SUM(E82:E83)</f>
        <v>0</v>
      </c>
      <c r="F84" s="23">
        <f t="shared" si="121"/>
        <v>583639.32999999996</v>
      </c>
      <c r="G84" s="76" t="str">
        <f t="shared" si="122"/>
        <v>-</v>
      </c>
      <c r="H84" s="24">
        <f>SUM(H82:H83)</f>
        <v>2857846.1399999997</v>
      </c>
      <c r="I84" s="24">
        <f>SUM(I82:I83)</f>
        <v>1352177.74</v>
      </c>
      <c r="J84" s="23">
        <f t="shared" si="123"/>
        <v>1505668.3999999997</v>
      </c>
      <c r="K84" s="76">
        <f t="shared" si="124"/>
        <v>1.1135136716568041</v>
      </c>
      <c r="L84" s="24">
        <f>SUM(L82:L83)</f>
        <v>1352177.74</v>
      </c>
      <c r="M84" s="23">
        <f t="shared" si="125"/>
        <v>1505668.3999999997</v>
      </c>
      <c r="N84" s="75">
        <f t="shared" si="126"/>
        <v>1.1135136716568044</v>
      </c>
      <c r="O84" s="27">
        <f>SUM(O82:O83)</f>
        <v>583639.32999999996</v>
      </c>
      <c r="P84" s="26">
        <f>SUM(P82:P83)</f>
        <v>0</v>
      </c>
      <c r="Q84" s="23">
        <f t="shared" si="127"/>
        <v>583639.32999999996</v>
      </c>
      <c r="R84" s="76" t="str">
        <f t="shared" si="128"/>
        <v>-</v>
      </c>
      <c r="S84" s="24">
        <f>SUM(S82:S83)</f>
        <v>2857846.1399999997</v>
      </c>
      <c r="T84" s="24">
        <f>SUM(T82:T83)</f>
        <v>1352177.74</v>
      </c>
      <c r="U84" s="23">
        <f t="shared" si="129"/>
        <v>1505668.3999999997</v>
      </c>
      <c r="V84" s="76">
        <f t="shared" si="130"/>
        <v>1.1135136716568041</v>
      </c>
      <c r="W84" s="24">
        <f>SUM(W82:W83)</f>
        <v>1352177.74</v>
      </c>
      <c r="X84" s="23">
        <f t="shared" si="131"/>
        <v>1505668.3999999997</v>
      </c>
      <c r="Y84" s="75">
        <f t="shared" si="132"/>
        <v>1.1135136716568044</v>
      </c>
      <c r="Z84" s="27">
        <f>SUM(Z82:Z83)</f>
        <v>583639.32999999996</v>
      </c>
      <c r="AA84" s="26">
        <f>SUM(AA82:AA83)</f>
        <v>0</v>
      </c>
      <c r="AB84" s="23">
        <f t="shared" si="133"/>
        <v>583639.32999999996</v>
      </c>
      <c r="AC84" s="76" t="str">
        <f t="shared" si="134"/>
        <v>-</v>
      </c>
      <c r="AD84" s="24">
        <f>SUM(AD82:AD83)</f>
        <v>2857846.1399999997</v>
      </c>
      <c r="AE84" s="24">
        <f>SUM(AE82:AE83)</f>
        <v>1352177.74</v>
      </c>
      <c r="AF84" s="23">
        <f t="shared" si="135"/>
        <v>1505668.3999999997</v>
      </c>
      <c r="AG84" s="76">
        <f t="shared" si="136"/>
        <v>1.1135136716568041</v>
      </c>
      <c r="AH84" s="24">
        <f>SUM(AH82:AH83)</f>
        <v>1352177.74</v>
      </c>
      <c r="AI84" s="23">
        <f t="shared" si="137"/>
        <v>1505668.3999999997</v>
      </c>
      <c r="AJ84" s="75">
        <f t="shared" si="138"/>
        <v>1.1135136716568044</v>
      </c>
      <c r="AK84" s="27">
        <f>SUM(AK82:AK83)</f>
        <v>583639.32999999996</v>
      </c>
      <c r="AL84" s="26">
        <f>SUM(AL82:AL83)</f>
        <v>0</v>
      </c>
      <c r="AM84" s="23">
        <f t="shared" si="139"/>
        <v>583639.32999999996</v>
      </c>
      <c r="AN84" s="76" t="str">
        <f t="shared" si="140"/>
        <v>-</v>
      </c>
      <c r="AO84" s="24">
        <f>SUM(AO82:AO83)</f>
        <v>2857846.1399999997</v>
      </c>
      <c r="AP84" s="24">
        <f>SUM(AP82:AP83)</f>
        <v>1352177.74</v>
      </c>
      <c r="AQ84" s="23">
        <f t="shared" si="141"/>
        <v>1505668.3999999997</v>
      </c>
      <c r="AR84" s="76">
        <f t="shared" si="142"/>
        <v>1.1135136716568041</v>
      </c>
      <c r="AS84" s="24">
        <f>SUM(AS82:AS83)</f>
        <v>1352177.74</v>
      </c>
      <c r="AT84" s="23">
        <f t="shared" si="143"/>
        <v>1505668.3999999997</v>
      </c>
      <c r="AU84" s="75">
        <f t="shared" si="144"/>
        <v>1.1135136716568044</v>
      </c>
      <c r="AV84" s="27">
        <f>SUM(AV82:AV83)</f>
        <v>583639.32999999996</v>
      </c>
      <c r="AW84" s="26">
        <f>SUM(AW82:AW83)</f>
        <v>0</v>
      </c>
      <c r="AX84" s="23">
        <f t="shared" si="145"/>
        <v>583639.32999999996</v>
      </c>
      <c r="AY84" s="76" t="str">
        <f t="shared" si="146"/>
        <v>-</v>
      </c>
      <c r="AZ84" s="24">
        <f>SUM(AZ82:AZ83)</f>
        <v>2857846.1399999997</v>
      </c>
      <c r="BA84" s="24">
        <f>SUM(BA82:BA83)</f>
        <v>1352177.74</v>
      </c>
      <c r="BB84" s="23">
        <f t="shared" si="147"/>
        <v>1505668.3999999997</v>
      </c>
      <c r="BC84" s="76">
        <f t="shared" si="148"/>
        <v>1.1135136716568041</v>
      </c>
      <c r="BD84" s="24">
        <f>SUM(BD82:BD83)</f>
        <v>1352177.74</v>
      </c>
      <c r="BE84" s="23">
        <f t="shared" si="149"/>
        <v>1505668.3999999997</v>
      </c>
      <c r="BF84" s="75">
        <f t="shared" si="150"/>
        <v>1.1135136716568044</v>
      </c>
      <c r="BG84" s="27">
        <f>SUM(BG82:BG83)</f>
        <v>583639.32999999996</v>
      </c>
      <c r="BH84" s="26">
        <f>SUM(BH82:BH83)</f>
        <v>0</v>
      </c>
      <c r="BI84" s="23">
        <f t="shared" si="151"/>
        <v>583639.32999999996</v>
      </c>
      <c r="BJ84" s="76" t="str">
        <f t="shared" si="152"/>
        <v>-</v>
      </c>
      <c r="BK84" s="24">
        <f>SUM(BK82:BK83)</f>
        <v>2857846.1399999997</v>
      </c>
      <c r="BL84" s="24">
        <f>SUM(BL82:BL83)</f>
        <v>1352177.74</v>
      </c>
      <c r="BM84" s="23">
        <f t="shared" si="153"/>
        <v>1505668.3999999997</v>
      </c>
      <c r="BN84" s="76">
        <f t="shared" si="154"/>
        <v>1.1135136716568041</v>
      </c>
      <c r="BO84" s="24">
        <f>SUM(BO82:BO83)</f>
        <v>1352177.74</v>
      </c>
      <c r="BP84" s="23">
        <f t="shared" si="155"/>
        <v>1505668.3999999997</v>
      </c>
      <c r="BQ84" s="75">
        <f t="shared" si="156"/>
        <v>1.1135136716568044</v>
      </c>
      <c r="BR84" s="27">
        <f>SUM(BR82:BR83)</f>
        <v>583639.32999999996</v>
      </c>
      <c r="BS84" s="26">
        <f>SUM(BS82:BS83)</f>
        <v>0</v>
      </c>
      <c r="BT84" s="23">
        <f t="shared" si="157"/>
        <v>583639.32999999996</v>
      </c>
      <c r="BU84" s="76" t="str">
        <f t="shared" si="158"/>
        <v>-</v>
      </c>
      <c r="BV84" s="24">
        <f>SUM(BV82:BV83)</f>
        <v>2857846.1399999997</v>
      </c>
      <c r="BW84" s="24">
        <f>SUM(BW82:BW83)</f>
        <v>1352177.74</v>
      </c>
      <c r="BX84" s="23">
        <f t="shared" si="159"/>
        <v>1505668.3999999997</v>
      </c>
      <c r="BY84" s="76">
        <f t="shared" si="160"/>
        <v>1.1135136716568041</v>
      </c>
      <c r="BZ84" s="24">
        <f>SUM(BZ82:BZ83)</f>
        <v>1352177.74</v>
      </c>
      <c r="CA84" s="23">
        <f t="shared" si="161"/>
        <v>1505668.3999999997</v>
      </c>
      <c r="CB84" s="75">
        <f t="shared" si="162"/>
        <v>1.1135136716568044</v>
      </c>
      <c r="CC84" s="27">
        <f>SUM(CC82:CC83)</f>
        <v>583639.32999999996</v>
      </c>
      <c r="CD84" s="26">
        <f>SUM(CD82:CD83)</f>
        <v>0</v>
      </c>
      <c r="CE84" s="23">
        <f t="shared" si="163"/>
        <v>583639.32999999996</v>
      </c>
      <c r="CF84" s="76" t="str">
        <f t="shared" si="164"/>
        <v>-</v>
      </c>
      <c r="CG84" s="24">
        <f>SUM(CG82:CG83)</f>
        <v>2857846.1399999997</v>
      </c>
      <c r="CH84" s="24">
        <f>SUM(CH82:CH83)</f>
        <v>1352177.74</v>
      </c>
      <c r="CI84" s="23">
        <f t="shared" si="165"/>
        <v>1505668.3999999997</v>
      </c>
      <c r="CJ84" s="76">
        <f t="shared" si="166"/>
        <v>1.1135136716568041</v>
      </c>
      <c r="CK84" s="24">
        <f>SUM(CK82:CK83)</f>
        <v>1352177.74</v>
      </c>
      <c r="CL84" s="23">
        <f t="shared" si="167"/>
        <v>1505668.3999999997</v>
      </c>
      <c r="CM84" s="75">
        <f t="shared" si="168"/>
        <v>1.1135136716568044</v>
      </c>
      <c r="CN84" s="27">
        <f>SUM(CN82:CN83)</f>
        <v>583639.32999999996</v>
      </c>
      <c r="CO84" s="26">
        <f>SUM(CO82:CO83)</f>
        <v>0</v>
      </c>
      <c r="CP84" s="23">
        <f t="shared" si="169"/>
        <v>583639.32999999996</v>
      </c>
      <c r="CQ84" s="76" t="str">
        <f t="shared" si="170"/>
        <v>-</v>
      </c>
      <c r="CR84" s="24">
        <f>SUM(CR82:CR83)</f>
        <v>2857846.1399999997</v>
      </c>
      <c r="CS84" s="24">
        <f>SUM(CS82:CS83)</f>
        <v>1352177.74</v>
      </c>
      <c r="CT84" s="23">
        <f t="shared" si="171"/>
        <v>1505668.3999999997</v>
      </c>
      <c r="CU84" s="76">
        <f t="shared" si="172"/>
        <v>1.1135136716568041</v>
      </c>
      <c r="CV84" s="24">
        <f>SUM(CV82:CV83)</f>
        <v>1352177.74</v>
      </c>
      <c r="CW84" s="23">
        <f t="shared" si="173"/>
        <v>1505668.3999999997</v>
      </c>
      <c r="CX84" s="75">
        <f t="shared" si="174"/>
        <v>1.1135136716568044</v>
      </c>
      <c r="CY84" s="27">
        <f>SUM(CY82:CY83)</f>
        <v>583639.32999999996</v>
      </c>
      <c r="CZ84" s="26">
        <f>SUM(CZ82:CZ83)</f>
        <v>0</v>
      </c>
      <c r="DA84" s="23">
        <f t="shared" si="175"/>
        <v>583639.32999999996</v>
      </c>
      <c r="DB84" s="76" t="str">
        <f t="shared" si="176"/>
        <v>-</v>
      </c>
      <c r="DC84" s="24">
        <f>SUM(DC82:DC83)</f>
        <v>2857846.1399999997</v>
      </c>
      <c r="DD84" s="24">
        <f>SUM(DD82:DD83)</f>
        <v>1352177.74</v>
      </c>
      <c r="DE84" s="23">
        <f t="shared" si="177"/>
        <v>1505668.3999999997</v>
      </c>
      <c r="DF84" s="76">
        <f t="shared" si="178"/>
        <v>1.1135136716568041</v>
      </c>
      <c r="DG84" s="24">
        <f>SUM(DG82:DG83)</f>
        <v>1352177.74</v>
      </c>
      <c r="DH84" s="23">
        <f t="shared" si="179"/>
        <v>1505668.3999999997</v>
      </c>
      <c r="DI84" s="75">
        <f t="shared" si="180"/>
        <v>1.1135136716568044</v>
      </c>
    </row>
    <row r="85" spans="1:113" hidden="1" outlineLevel="3" x14ac:dyDescent="0.2">
      <c r="A85" s="54"/>
      <c r="B85" s="38" t="str">
        <f t="shared" si="120"/>
        <v>Декрет</v>
      </c>
      <c r="C85" s="49" t="str">
        <f t="shared" si="120"/>
        <v>Maternity leave</v>
      </c>
      <c r="D85" s="41">
        <v>0</v>
      </c>
      <c r="E85" s="40">
        <v>0</v>
      </c>
      <c r="F85" s="32">
        <f t="shared" si="121"/>
        <v>0</v>
      </c>
      <c r="G85" s="78" t="str">
        <f t="shared" si="122"/>
        <v>-</v>
      </c>
      <c r="H85" s="39">
        <v>0</v>
      </c>
      <c r="I85" s="39">
        <v>0</v>
      </c>
      <c r="J85" s="32">
        <f t="shared" si="123"/>
        <v>0</v>
      </c>
      <c r="K85" s="78" t="str">
        <f t="shared" si="124"/>
        <v>-</v>
      </c>
      <c r="L85" s="39">
        <v>0</v>
      </c>
      <c r="M85" s="32">
        <f t="shared" si="125"/>
        <v>0</v>
      </c>
      <c r="N85" s="77" t="str">
        <f t="shared" si="126"/>
        <v>-</v>
      </c>
      <c r="O85" s="41">
        <v>0</v>
      </c>
      <c r="P85" s="40">
        <v>0</v>
      </c>
      <c r="Q85" s="32">
        <f t="shared" si="127"/>
        <v>0</v>
      </c>
      <c r="R85" s="78" t="str">
        <f t="shared" si="128"/>
        <v>-</v>
      </c>
      <c r="S85" s="39">
        <v>0</v>
      </c>
      <c r="T85" s="39">
        <v>0</v>
      </c>
      <c r="U85" s="32">
        <f t="shared" si="129"/>
        <v>0</v>
      </c>
      <c r="V85" s="78" t="str">
        <f t="shared" si="130"/>
        <v>-</v>
      </c>
      <c r="W85" s="39">
        <v>0</v>
      </c>
      <c r="X85" s="32">
        <f t="shared" si="131"/>
        <v>0</v>
      </c>
      <c r="Y85" s="77" t="str">
        <f t="shared" si="132"/>
        <v>-</v>
      </c>
      <c r="Z85" s="41">
        <v>0</v>
      </c>
      <c r="AA85" s="40">
        <v>0</v>
      </c>
      <c r="AB85" s="32">
        <f t="shared" si="133"/>
        <v>0</v>
      </c>
      <c r="AC85" s="78" t="str">
        <f t="shared" si="134"/>
        <v>-</v>
      </c>
      <c r="AD85" s="39">
        <v>0</v>
      </c>
      <c r="AE85" s="39">
        <v>0</v>
      </c>
      <c r="AF85" s="32">
        <f t="shared" si="135"/>
        <v>0</v>
      </c>
      <c r="AG85" s="78" t="str">
        <f t="shared" si="136"/>
        <v>-</v>
      </c>
      <c r="AH85" s="39">
        <v>0</v>
      </c>
      <c r="AI85" s="32">
        <f t="shared" si="137"/>
        <v>0</v>
      </c>
      <c r="AJ85" s="77" t="str">
        <f t="shared" si="138"/>
        <v>-</v>
      </c>
      <c r="AK85" s="41">
        <v>0</v>
      </c>
      <c r="AL85" s="40">
        <v>0</v>
      </c>
      <c r="AM85" s="32">
        <f t="shared" si="139"/>
        <v>0</v>
      </c>
      <c r="AN85" s="78" t="str">
        <f t="shared" si="140"/>
        <v>-</v>
      </c>
      <c r="AO85" s="39">
        <v>0</v>
      </c>
      <c r="AP85" s="39">
        <v>0</v>
      </c>
      <c r="AQ85" s="32">
        <f t="shared" si="141"/>
        <v>0</v>
      </c>
      <c r="AR85" s="78" t="str">
        <f t="shared" si="142"/>
        <v>-</v>
      </c>
      <c r="AS85" s="39">
        <v>0</v>
      </c>
      <c r="AT85" s="32">
        <f t="shared" si="143"/>
        <v>0</v>
      </c>
      <c r="AU85" s="77" t="str">
        <f t="shared" si="144"/>
        <v>-</v>
      </c>
      <c r="AV85" s="41">
        <v>0</v>
      </c>
      <c r="AW85" s="40">
        <v>0</v>
      </c>
      <c r="AX85" s="32">
        <f t="shared" si="145"/>
        <v>0</v>
      </c>
      <c r="AY85" s="78" t="str">
        <f t="shared" si="146"/>
        <v>-</v>
      </c>
      <c r="AZ85" s="39">
        <v>0</v>
      </c>
      <c r="BA85" s="39">
        <v>0</v>
      </c>
      <c r="BB85" s="32">
        <f t="shared" si="147"/>
        <v>0</v>
      </c>
      <c r="BC85" s="78" t="str">
        <f t="shared" si="148"/>
        <v>-</v>
      </c>
      <c r="BD85" s="39">
        <v>0</v>
      </c>
      <c r="BE85" s="32">
        <f t="shared" si="149"/>
        <v>0</v>
      </c>
      <c r="BF85" s="77" t="str">
        <f t="shared" si="150"/>
        <v>-</v>
      </c>
      <c r="BG85" s="41">
        <v>0</v>
      </c>
      <c r="BH85" s="40">
        <v>0</v>
      </c>
      <c r="BI85" s="32">
        <f t="shared" si="151"/>
        <v>0</v>
      </c>
      <c r="BJ85" s="78" t="str">
        <f t="shared" si="152"/>
        <v>-</v>
      </c>
      <c r="BK85" s="39">
        <v>0</v>
      </c>
      <c r="BL85" s="39">
        <v>0</v>
      </c>
      <c r="BM85" s="32">
        <f t="shared" si="153"/>
        <v>0</v>
      </c>
      <c r="BN85" s="78" t="str">
        <f t="shared" si="154"/>
        <v>-</v>
      </c>
      <c r="BO85" s="39">
        <v>0</v>
      </c>
      <c r="BP85" s="32">
        <f t="shared" si="155"/>
        <v>0</v>
      </c>
      <c r="BQ85" s="77" t="str">
        <f t="shared" si="156"/>
        <v>-</v>
      </c>
      <c r="BR85" s="41">
        <v>0</v>
      </c>
      <c r="BS85" s="40">
        <v>0</v>
      </c>
      <c r="BT85" s="32">
        <f t="shared" si="157"/>
        <v>0</v>
      </c>
      <c r="BU85" s="78" t="str">
        <f t="shared" si="158"/>
        <v>-</v>
      </c>
      <c r="BV85" s="39">
        <v>0</v>
      </c>
      <c r="BW85" s="39">
        <v>0</v>
      </c>
      <c r="BX85" s="32">
        <f t="shared" si="159"/>
        <v>0</v>
      </c>
      <c r="BY85" s="78" t="str">
        <f t="shared" si="160"/>
        <v>-</v>
      </c>
      <c r="BZ85" s="39">
        <v>0</v>
      </c>
      <c r="CA85" s="32">
        <f t="shared" si="161"/>
        <v>0</v>
      </c>
      <c r="CB85" s="77" t="str">
        <f t="shared" si="162"/>
        <v>-</v>
      </c>
      <c r="CC85" s="41">
        <v>0</v>
      </c>
      <c r="CD85" s="40">
        <v>0</v>
      </c>
      <c r="CE85" s="32">
        <f t="shared" si="163"/>
        <v>0</v>
      </c>
      <c r="CF85" s="78" t="str">
        <f t="shared" si="164"/>
        <v>-</v>
      </c>
      <c r="CG85" s="39">
        <v>0</v>
      </c>
      <c r="CH85" s="39">
        <v>0</v>
      </c>
      <c r="CI85" s="32">
        <f t="shared" si="165"/>
        <v>0</v>
      </c>
      <c r="CJ85" s="78" t="str">
        <f t="shared" si="166"/>
        <v>-</v>
      </c>
      <c r="CK85" s="39">
        <v>0</v>
      </c>
      <c r="CL85" s="32">
        <f t="shared" si="167"/>
        <v>0</v>
      </c>
      <c r="CM85" s="77" t="str">
        <f t="shared" si="168"/>
        <v>-</v>
      </c>
      <c r="CN85" s="41">
        <v>0</v>
      </c>
      <c r="CO85" s="40">
        <v>0</v>
      </c>
      <c r="CP85" s="32">
        <f t="shared" si="169"/>
        <v>0</v>
      </c>
      <c r="CQ85" s="78" t="str">
        <f t="shared" si="170"/>
        <v>-</v>
      </c>
      <c r="CR85" s="39">
        <v>0</v>
      </c>
      <c r="CS85" s="39">
        <v>0</v>
      </c>
      <c r="CT85" s="32">
        <f t="shared" si="171"/>
        <v>0</v>
      </c>
      <c r="CU85" s="78" t="str">
        <f t="shared" si="172"/>
        <v>-</v>
      </c>
      <c r="CV85" s="39">
        <v>0</v>
      </c>
      <c r="CW85" s="32">
        <f t="shared" si="173"/>
        <v>0</v>
      </c>
      <c r="CX85" s="77" t="str">
        <f t="shared" si="174"/>
        <v>-</v>
      </c>
      <c r="CY85" s="41">
        <v>0</v>
      </c>
      <c r="CZ85" s="40">
        <v>0</v>
      </c>
      <c r="DA85" s="32">
        <f t="shared" si="175"/>
        <v>0</v>
      </c>
      <c r="DB85" s="78" t="str">
        <f t="shared" si="176"/>
        <v>-</v>
      </c>
      <c r="DC85" s="39">
        <v>0</v>
      </c>
      <c r="DD85" s="39">
        <v>0</v>
      </c>
      <c r="DE85" s="32">
        <f t="shared" si="177"/>
        <v>0</v>
      </c>
      <c r="DF85" s="78" t="str">
        <f t="shared" si="178"/>
        <v>-</v>
      </c>
      <c r="DG85" s="39">
        <v>0</v>
      </c>
      <c r="DH85" s="32">
        <f t="shared" si="179"/>
        <v>0</v>
      </c>
      <c r="DI85" s="77" t="str">
        <f t="shared" si="180"/>
        <v>-</v>
      </c>
    </row>
    <row r="86" spans="1:113" hidden="1" outlineLevel="3" x14ac:dyDescent="0.2">
      <c r="A86" s="54"/>
      <c r="B86" s="38" t="str">
        <f t="shared" si="120"/>
        <v>Страховые взносы декрет</v>
      </c>
      <c r="C86" s="49" t="str">
        <f t="shared" si="120"/>
        <v>Social Security on Maternity leave</v>
      </c>
      <c r="D86" s="41">
        <v>0</v>
      </c>
      <c r="E86" s="40">
        <v>0</v>
      </c>
      <c r="F86" s="32">
        <f t="shared" si="121"/>
        <v>0</v>
      </c>
      <c r="G86" s="78" t="str">
        <f t="shared" si="122"/>
        <v>-</v>
      </c>
      <c r="H86" s="39">
        <v>0</v>
      </c>
      <c r="I86" s="39">
        <v>0</v>
      </c>
      <c r="J86" s="32">
        <f t="shared" si="123"/>
        <v>0</v>
      </c>
      <c r="K86" s="78" t="str">
        <f t="shared" si="124"/>
        <v>-</v>
      </c>
      <c r="L86" s="39">
        <v>0</v>
      </c>
      <c r="M86" s="32">
        <f t="shared" si="125"/>
        <v>0</v>
      </c>
      <c r="N86" s="77" t="str">
        <f t="shared" si="126"/>
        <v>-</v>
      </c>
      <c r="O86" s="41">
        <v>0</v>
      </c>
      <c r="P86" s="40">
        <v>0</v>
      </c>
      <c r="Q86" s="32">
        <f t="shared" si="127"/>
        <v>0</v>
      </c>
      <c r="R86" s="78" t="str">
        <f t="shared" si="128"/>
        <v>-</v>
      </c>
      <c r="S86" s="39">
        <v>0</v>
      </c>
      <c r="T86" s="39">
        <v>0</v>
      </c>
      <c r="U86" s="32">
        <f t="shared" si="129"/>
        <v>0</v>
      </c>
      <c r="V86" s="78" t="str">
        <f t="shared" si="130"/>
        <v>-</v>
      </c>
      <c r="W86" s="39">
        <v>0</v>
      </c>
      <c r="X86" s="32">
        <f t="shared" si="131"/>
        <v>0</v>
      </c>
      <c r="Y86" s="77" t="str">
        <f t="shared" si="132"/>
        <v>-</v>
      </c>
      <c r="Z86" s="41">
        <v>0</v>
      </c>
      <c r="AA86" s="40">
        <v>0</v>
      </c>
      <c r="AB86" s="32">
        <f t="shared" si="133"/>
        <v>0</v>
      </c>
      <c r="AC86" s="78" t="str">
        <f t="shared" si="134"/>
        <v>-</v>
      </c>
      <c r="AD86" s="39">
        <v>0</v>
      </c>
      <c r="AE86" s="39">
        <v>0</v>
      </c>
      <c r="AF86" s="32">
        <f t="shared" si="135"/>
        <v>0</v>
      </c>
      <c r="AG86" s="78" t="str">
        <f t="shared" si="136"/>
        <v>-</v>
      </c>
      <c r="AH86" s="39">
        <v>0</v>
      </c>
      <c r="AI86" s="32">
        <f t="shared" si="137"/>
        <v>0</v>
      </c>
      <c r="AJ86" s="77" t="str">
        <f t="shared" si="138"/>
        <v>-</v>
      </c>
      <c r="AK86" s="41">
        <v>0</v>
      </c>
      <c r="AL86" s="40">
        <v>0</v>
      </c>
      <c r="AM86" s="32">
        <f t="shared" si="139"/>
        <v>0</v>
      </c>
      <c r="AN86" s="78" t="str">
        <f t="shared" si="140"/>
        <v>-</v>
      </c>
      <c r="AO86" s="39">
        <v>0</v>
      </c>
      <c r="AP86" s="39">
        <v>0</v>
      </c>
      <c r="AQ86" s="32">
        <f t="shared" si="141"/>
        <v>0</v>
      </c>
      <c r="AR86" s="78" t="str">
        <f t="shared" si="142"/>
        <v>-</v>
      </c>
      <c r="AS86" s="39">
        <v>0</v>
      </c>
      <c r="AT86" s="32">
        <f t="shared" si="143"/>
        <v>0</v>
      </c>
      <c r="AU86" s="77" t="str">
        <f t="shared" si="144"/>
        <v>-</v>
      </c>
      <c r="AV86" s="41">
        <v>0</v>
      </c>
      <c r="AW86" s="40">
        <v>0</v>
      </c>
      <c r="AX86" s="32">
        <f t="shared" si="145"/>
        <v>0</v>
      </c>
      <c r="AY86" s="78" t="str">
        <f t="shared" si="146"/>
        <v>-</v>
      </c>
      <c r="AZ86" s="39">
        <v>0</v>
      </c>
      <c r="BA86" s="39">
        <v>0</v>
      </c>
      <c r="BB86" s="32">
        <f t="shared" si="147"/>
        <v>0</v>
      </c>
      <c r="BC86" s="78" t="str">
        <f t="shared" si="148"/>
        <v>-</v>
      </c>
      <c r="BD86" s="39">
        <v>0</v>
      </c>
      <c r="BE86" s="32">
        <f t="shared" si="149"/>
        <v>0</v>
      </c>
      <c r="BF86" s="77" t="str">
        <f t="shared" si="150"/>
        <v>-</v>
      </c>
      <c r="BG86" s="41">
        <v>0</v>
      </c>
      <c r="BH86" s="40">
        <v>0</v>
      </c>
      <c r="BI86" s="32">
        <f t="shared" si="151"/>
        <v>0</v>
      </c>
      <c r="BJ86" s="78" t="str">
        <f t="shared" si="152"/>
        <v>-</v>
      </c>
      <c r="BK86" s="39">
        <v>0</v>
      </c>
      <c r="BL86" s="39">
        <v>0</v>
      </c>
      <c r="BM86" s="32">
        <f t="shared" si="153"/>
        <v>0</v>
      </c>
      <c r="BN86" s="78" t="str">
        <f t="shared" si="154"/>
        <v>-</v>
      </c>
      <c r="BO86" s="39">
        <v>0</v>
      </c>
      <c r="BP86" s="32">
        <f t="shared" si="155"/>
        <v>0</v>
      </c>
      <c r="BQ86" s="77" t="str">
        <f t="shared" si="156"/>
        <v>-</v>
      </c>
      <c r="BR86" s="41">
        <v>0</v>
      </c>
      <c r="BS86" s="40">
        <v>0</v>
      </c>
      <c r="BT86" s="32">
        <f t="shared" si="157"/>
        <v>0</v>
      </c>
      <c r="BU86" s="78" t="str">
        <f t="shared" si="158"/>
        <v>-</v>
      </c>
      <c r="BV86" s="39">
        <v>0</v>
      </c>
      <c r="BW86" s="39">
        <v>0</v>
      </c>
      <c r="BX86" s="32">
        <f t="shared" si="159"/>
        <v>0</v>
      </c>
      <c r="BY86" s="78" t="str">
        <f t="shared" si="160"/>
        <v>-</v>
      </c>
      <c r="BZ86" s="39">
        <v>0</v>
      </c>
      <c r="CA86" s="32">
        <f t="shared" si="161"/>
        <v>0</v>
      </c>
      <c r="CB86" s="77" t="str">
        <f t="shared" si="162"/>
        <v>-</v>
      </c>
      <c r="CC86" s="41">
        <v>0</v>
      </c>
      <c r="CD86" s="40">
        <v>0</v>
      </c>
      <c r="CE86" s="32">
        <f t="shared" si="163"/>
        <v>0</v>
      </c>
      <c r="CF86" s="78" t="str">
        <f t="shared" si="164"/>
        <v>-</v>
      </c>
      <c r="CG86" s="39">
        <v>0</v>
      </c>
      <c r="CH86" s="39">
        <v>0</v>
      </c>
      <c r="CI86" s="32">
        <f t="shared" si="165"/>
        <v>0</v>
      </c>
      <c r="CJ86" s="78" t="str">
        <f t="shared" si="166"/>
        <v>-</v>
      </c>
      <c r="CK86" s="39">
        <v>0</v>
      </c>
      <c r="CL86" s="32">
        <f t="shared" si="167"/>
        <v>0</v>
      </c>
      <c r="CM86" s="77" t="str">
        <f t="shared" si="168"/>
        <v>-</v>
      </c>
      <c r="CN86" s="41">
        <v>0</v>
      </c>
      <c r="CO86" s="40">
        <v>0</v>
      </c>
      <c r="CP86" s="32">
        <f t="shared" si="169"/>
        <v>0</v>
      </c>
      <c r="CQ86" s="78" t="str">
        <f t="shared" si="170"/>
        <v>-</v>
      </c>
      <c r="CR86" s="39">
        <v>0</v>
      </c>
      <c r="CS86" s="39">
        <v>0</v>
      </c>
      <c r="CT86" s="32">
        <f t="shared" si="171"/>
        <v>0</v>
      </c>
      <c r="CU86" s="78" t="str">
        <f t="shared" si="172"/>
        <v>-</v>
      </c>
      <c r="CV86" s="39">
        <v>0</v>
      </c>
      <c r="CW86" s="32">
        <f t="shared" si="173"/>
        <v>0</v>
      </c>
      <c r="CX86" s="77" t="str">
        <f t="shared" si="174"/>
        <v>-</v>
      </c>
      <c r="CY86" s="41">
        <v>0</v>
      </c>
      <c r="CZ86" s="40">
        <v>0</v>
      </c>
      <c r="DA86" s="32">
        <f t="shared" si="175"/>
        <v>0</v>
      </c>
      <c r="DB86" s="78" t="str">
        <f t="shared" si="176"/>
        <v>-</v>
      </c>
      <c r="DC86" s="39">
        <v>0</v>
      </c>
      <c r="DD86" s="39">
        <v>0</v>
      </c>
      <c r="DE86" s="32">
        <f t="shared" si="177"/>
        <v>0</v>
      </c>
      <c r="DF86" s="78" t="str">
        <f t="shared" si="178"/>
        <v>-</v>
      </c>
      <c r="DG86" s="39">
        <v>0</v>
      </c>
      <c r="DH86" s="32">
        <f t="shared" si="179"/>
        <v>0</v>
      </c>
      <c r="DI86" s="77" t="str">
        <f t="shared" si="180"/>
        <v>-</v>
      </c>
    </row>
    <row r="87" spans="1:113" s="6" customFormat="1" hidden="1" outlineLevel="2" collapsed="1" x14ac:dyDescent="0.2">
      <c r="A87" s="30"/>
      <c r="B87" s="29" t="str">
        <f t="shared" si="120"/>
        <v>Итого декрет</v>
      </c>
      <c r="C87" s="52" t="str">
        <f t="shared" si="120"/>
        <v>Total Maternity leave</v>
      </c>
      <c r="D87" s="27">
        <f>SUM(D85:D86)</f>
        <v>0</v>
      </c>
      <c r="E87" s="26">
        <f>SUM(E85:E86)</f>
        <v>0</v>
      </c>
      <c r="F87" s="23">
        <f t="shared" si="121"/>
        <v>0</v>
      </c>
      <c r="G87" s="76" t="str">
        <f t="shared" si="122"/>
        <v>-</v>
      </c>
      <c r="H87" s="24">
        <f>SUM(H85:H86)</f>
        <v>0</v>
      </c>
      <c r="I87" s="24">
        <f>SUM(I85:I86)</f>
        <v>0</v>
      </c>
      <c r="J87" s="23">
        <f t="shared" si="123"/>
        <v>0</v>
      </c>
      <c r="K87" s="76" t="str">
        <f t="shared" si="124"/>
        <v>-</v>
      </c>
      <c r="L87" s="24">
        <f>SUM(L85:L86)</f>
        <v>0</v>
      </c>
      <c r="M87" s="23">
        <f t="shared" si="125"/>
        <v>0</v>
      </c>
      <c r="N87" s="75" t="str">
        <f t="shared" si="126"/>
        <v>-</v>
      </c>
      <c r="O87" s="27">
        <f>SUM(O85:O86)</f>
        <v>0</v>
      </c>
      <c r="P87" s="26">
        <f>SUM(P85:P86)</f>
        <v>0</v>
      </c>
      <c r="Q87" s="23">
        <f t="shared" si="127"/>
        <v>0</v>
      </c>
      <c r="R87" s="76" t="str">
        <f t="shared" si="128"/>
        <v>-</v>
      </c>
      <c r="S87" s="24">
        <f>SUM(S85:S86)</f>
        <v>0</v>
      </c>
      <c r="T87" s="24">
        <f>SUM(T85:T86)</f>
        <v>0</v>
      </c>
      <c r="U87" s="23">
        <f t="shared" si="129"/>
        <v>0</v>
      </c>
      <c r="V87" s="76" t="str">
        <f t="shared" si="130"/>
        <v>-</v>
      </c>
      <c r="W87" s="24">
        <f>SUM(W85:W86)</f>
        <v>0</v>
      </c>
      <c r="X87" s="23">
        <f t="shared" si="131"/>
        <v>0</v>
      </c>
      <c r="Y87" s="75" t="str">
        <f t="shared" si="132"/>
        <v>-</v>
      </c>
      <c r="Z87" s="27">
        <f>SUM(Z85:Z86)</f>
        <v>0</v>
      </c>
      <c r="AA87" s="26">
        <f>SUM(AA85:AA86)</f>
        <v>0</v>
      </c>
      <c r="AB87" s="23">
        <f t="shared" si="133"/>
        <v>0</v>
      </c>
      <c r="AC87" s="76" t="str">
        <f t="shared" si="134"/>
        <v>-</v>
      </c>
      <c r="AD87" s="24">
        <f>SUM(AD85:AD86)</f>
        <v>0</v>
      </c>
      <c r="AE87" s="24">
        <f>SUM(AE85:AE86)</f>
        <v>0</v>
      </c>
      <c r="AF87" s="23">
        <f t="shared" si="135"/>
        <v>0</v>
      </c>
      <c r="AG87" s="76" t="str">
        <f t="shared" si="136"/>
        <v>-</v>
      </c>
      <c r="AH87" s="24">
        <f>SUM(AH85:AH86)</f>
        <v>0</v>
      </c>
      <c r="AI87" s="23">
        <f t="shared" si="137"/>
        <v>0</v>
      </c>
      <c r="AJ87" s="75" t="str">
        <f t="shared" si="138"/>
        <v>-</v>
      </c>
      <c r="AK87" s="27">
        <f>SUM(AK85:AK86)</f>
        <v>0</v>
      </c>
      <c r="AL87" s="26">
        <f>SUM(AL85:AL86)</f>
        <v>0</v>
      </c>
      <c r="AM87" s="23">
        <f t="shared" si="139"/>
        <v>0</v>
      </c>
      <c r="AN87" s="76" t="str">
        <f t="shared" si="140"/>
        <v>-</v>
      </c>
      <c r="AO87" s="24">
        <f>SUM(AO85:AO86)</f>
        <v>0</v>
      </c>
      <c r="AP87" s="24">
        <f>SUM(AP85:AP86)</f>
        <v>0</v>
      </c>
      <c r="AQ87" s="23">
        <f t="shared" si="141"/>
        <v>0</v>
      </c>
      <c r="AR87" s="76" t="str">
        <f t="shared" si="142"/>
        <v>-</v>
      </c>
      <c r="AS87" s="24">
        <f>SUM(AS85:AS86)</f>
        <v>0</v>
      </c>
      <c r="AT87" s="23">
        <f t="shared" si="143"/>
        <v>0</v>
      </c>
      <c r="AU87" s="75" t="str">
        <f t="shared" si="144"/>
        <v>-</v>
      </c>
      <c r="AV87" s="27">
        <f>SUM(AV85:AV86)</f>
        <v>0</v>
      </c>
      <c r="AW87" s="26">
        <f>SUM(AW85:AW86)</f>
        <v>0</v>
      </c>
      <c r="AX87" s="23">
        <f t="shared" si="145"/>
        <v>0</v>
      </c>
      <c r="AY87" s="76" t="str">
        <f t="shared" si="146"/>
        <v>-</v>
      </c>
      <c r="AZ87" s="24">
        <f>SUM(AZ85:AZ86)</f>
        <v>0</v>
      </c>
      <c r="BA87" s="24">
        <f>SUM(BA85:BA86)</f>
        <v>0</v>
      </c>
      <c r="BB87" s="23">
        <f t="shared" si="147"/>
        <v>0</v>
      </c>
      <c r="BC87" s="76" t="str">
        <f t="shared" si="148"/>
        <v>-</v>
      </c>
      <c r="BD87" s="24">
        <f>SUM(BD85:BD86)</f>
        <v>0</v>
      </c>
      <c r="BE87" s="23">
        <f t="shared" si="149"/>
        <v>0</v>
      </c>
      <c r="BF87" s="75" t="str">
        <f t="shared" si="150"/>
        <v>-</v>
      </c>
      <c r="BG87" s="27">
        <f>SUM(BG85:BG86)</f>
        <v>0</v>
      </c>
      <c r="BH87" s="26">
        <f>SUM(BH85:BH86)</f>
        <v>0</v>
      </c>
      <c r="BI87" s="23">
        <f t="shared" si="151"/>
        <v>0</v>
      </c>
      <c r="BJ87" s="76" t="str">
        <f t="shared" si="152"/>
        <v>-</v>
      </c>
      <c r="BK87" s="24">
        <f>SUM(BK85:BK86)</f>
        <v>0</v>
      </c>
      <c r="BL87" s="24">
        <f>SUM(BL85:BL86)</f>
        <v>0</v>
      </c>
      <c r="BM87" s="23">
        <f t="shared" si="153"/>
        <v>0</v>
      </c>
      <c r="BN87" s="76" t="str">
        <f t="shared" si="154"/>
        <v>-</v>
      </c>
      <c r="BO87" s="24">
        <f>SUM(BO85:BO86)</f>
        <v>0</v>
      </c>
      <c r="BP87" s="23">
        <f t="shared" si="155"/>
        <v>0</v>
      </c>
      <c r="BQ87" s="75" t="str">
        <f t="shared" si="156"/>
        <v>-</v>
      </c>
      <c r="BR87" s="27">
        <f>SUM(BR85:BR86)</f>
        <v>0</v>
      </c>
      <c r="BS87" s="26">
        <f>SUM(BS85:BS86)</f>
        <v>0</v>
      </c>
      <c r="BT87" s="23">
        <f t="shared" si="157"/>
        <v>0</v>
      </c>
      <c r="BU87" s="76" t="str">
        <f t="shared" si="158"/>
        <v>-</v>
      </c>
      <c r="BV87" s="24">
        <f>SUM(BV85:BV86)</f>
        <v>0</v>
      </c>
      <c r="BW87" s="24">
        <f>SUM(BW85:BW86)</f>
        <v>0</v>
      </c>
      <c r="BX87" s="23">
        <f t="shared" si="159"/>
        <v>0</v>
      </c>
      <c r="BY87" s="76" t="str">
        <f t="shared" si="160"/>
        <v>-</v>
      </c>
      <c r="BZ87" s="24">
        <f>SUM(BZ85:BZ86)</f>
        <v>0</v>
      </c>
      <c r="CA87" s="23">
        <f t="shared" si="161"/>
        <v>0</v>
      </c>
      <c r="CB87" s="75" t="str">
        <f t="shared" si="162"/>
        <v>-</v>
      </c>
      <c r="CC87" s="27">
        <f>SUM(CC85:CC86)</f>
        <v>0</v>
      </c>
      <c r="CD87" s="26">
        <f>SUM(CD85:CD86)</f>
        <v>0</v>
      </c>
      <c r="CE87" s="23">
        <f t="shared" si="163"/>
        <v>0</v>
      </c>
      <c r="CF87" s="76" t="str">
        <f t="shared" si="164"/>
        <v>-</v>
      </c>
      <c r="CG87" s="24">
        <f>SUM(CG85:CG86)</f>
        <v>0</v>
      </c>
      <c r="CH87" s="24">
        <f>SUM(CH85:CH86)</f>
        <v>0</v>
      </c>
      <c r="CI87" s="23">
        <f t="shared" si="165"/>
        <v>0</v>
      </c>
      <c r="CJ87" s="76" t="str">
        <f t="shared" si="166"/>
        <v>-</v>
      </c>
      <c r="CK87" s="24">
        <f>SUM(CK85:CK86)</f>
        <v>0</v>
      </c>
      <c r="CL87" s="23">
        <f t="shared" si="167"/>
        <v>0</v>
      </c>
      <c r="CM87" s="75" t="str">
        <f t="shared" si="168"/>
        <v>-</v>
      </c>
      <c r="CN87" s="27">
        <f>SUM(CN85:CN86)</f>
        <v>0</v>
      </c>
      <c r="CO87" s="26">
        <f>SUM(CO85:CO86)</f>
        <v>0</v>
      </c>
      <c r="CP87" s="23">
        <f t="shared" si="169"/>
        <v>0</v>
      </c>
      <c r="CQ87" s="76" t="str">
        <f t="shared" si="170"/>
        <v>-</v>
      </c>
      <c r="CR87" s="24">
        <f>SUM(CR85:CR86)</f>
        <v>0</v>
      </c>
      <c r="CS87" s="24">
        <f>SUM(CS85:CS86)</f>
        <v>0</v>
      </c>
      <c r="CT87" s="23">
        <f t="shared" si="171"/>
        <v>0</v>
      </c>
      <c r="CU87" s="76" t="str">
        <f t="shared" si="172"/>
        <v>-</v>
      </c>
      <c r="CV87" s="24">
        <f>SUM(CV85:CV86)</f>
        <v>0</v>
      </c>
      <c r="CW87" s="23">
        <f t="shared" si="173"/>
        <v>0</v>
      </c>
      <c r="CX87" s="75" t="str">
        <f t="shared" si="174"/>
        <v>-</v>
      </c>
      <c r="CY87" s="27">
        <f>SUM(CY85:CY86)</f>
        <v>0</v>
      </c>
      <c r="CZ87" s="26">
        <f>SUM(CZ85:CZ86)</f>
        <v>0</v>
      </c>
      <c r="DA87" s="23">
        <f t="shared" si="175"/>
        <v>0</v>
      </c>
      <c r="DB87" s="76" t="str">
        <f t="shared" si="176"/>
        <v>-</v>
      </c>
      <c r="DC87" s="24">
        <f>SUM(DC85:DC86)</f>
        <v>0</v>
      </c>
      <c r="DD87" s="24">
        <f>SUM(DD85:DD86)</f>
        <v>0</v>
      </c>
      <c r="DE87" s="23">
        <f t="shared" si="177"/>
        <v>0</v>
      </c>
      <c r="DF87" s="76" t="str">
        <f t="shared" si="178"/>
        <v>-</v>
      </c>
      <c r="DG87" s="24">
        <f>SUM(DG85:DG86)</f>
        <v>0</v>
      </c>
      <c r="DH87" s="23">
        <f t="shared" si="179"/>
        <v>0</v>
      </c>
      <c r="DI87" s="75" t="str">
        <f t="shared" si="180"/>
        <v>-</v>
      </c>
    </row>
    <row r="88" spans="1:113" s="6" customFormat="1" ht="13.5" outlineLevel="1" collapsed="1" thickTop="1" x14ac:dyDescent="0.2">
      <c r="A88" s="30"/>
      <c r="B88" s="48" t="str">
        <f t="shared" si="120"/>
        <v>Фиксированное вознаграждение</v>
      </c>
      <c r="C88" s="55" t="str">
        <f t="shared" si="120"/>
        <v>FIX compensation</v>
      </c>
      <c r="D88" s="46">
        <f>D78+D81+D84+D87</f>
        <v>213643492.62</v>
      </c>
      <c r="E88" s="45">
        <f>E78+E81+E84+E87</f>
        <v>220098199.38836229</v>
      </c>
      <c r="F88" s="23">
        <f t="shared" si="121"/>
        <v>-6454706.7683622837</v>
      </c>
      <c r="G88" s="76">
        <f t="shared" si="122"/>
        <v>-2.9326486024417564E-2</v>
      </c>
      <c r="H88" s="44">
        <f>H78+H81+H84+H87</f>
        <v>1540500200.1299999</v>
      </c>
      <c r="I88" s="44">
        <f>I78+I81+I84+I87</f>
        <v>1321941374.070174</v>
      </c>
      <c r="J88" s="23">
        <f t="shared" si="123"/>
        <v>218558826.0598259</v>
      </c>
      <c r="K88" s="76">
        <f t="shared" si="124"/>
        <v>0.16533170861193125</v>
      </c>
      <c r="L88" s="44">
        <f>L78+L81+L84+L87</f>
        <v>2651589773.8990231</v>
      </c>
      <c r="M88" s="23">
        <f t="shared" si="125"/>
        <v>-1111089573.7690232</v>
      </c>
      <c r="N88" s="75">
        <f t="shared" si="126"/>
        <v>-0.41902770357091268</v>
      </c>
      <c r="O88" s="46">
        <f>O78+O81+O84+O87</f>
        <v>213643492.62</v>
      </c>
      <c r="P88" s="45">
        <f>P78+P81+P84+P87</f>
        <v>220098199.38836229</v>
      </c>
      <c r="Q88" s="23">
        <f t="shared" si="127"/>
        <v>-6454706.7683622837</v>
      </c>
      <c r="R88" s="76">
        <f t="shared" si="128"/>
        <v>-2.9326486024417564E-2</v>
      </c>
      <c r="S88" s="44">
        <f>S78+S81+S84+S87</f>
        <v>1540500200.1299999</v>
      </c>
      <c r="T88" s="44">
        <f>T78+T81+T84+T87</f>
        <v>1321941374.070174</v>
      </c>
      <c r="U88" s="23">
        <f t="shared" si="129"/>
        <v>218558826.0598259</v>
      </c>
      <c r="V88" s="76">
        <f t="shared" si="130"/>
        <v>0.16533170861193125</v>
      </c>
      <c r="W88" s="44">
        <f>W78+W81+W84+W87</f>
        <v>2651589773.8990231</v>
      </c>
      <c r="X88" s="23">
        <f t="shared" si="131"/>
        <v>-1111089573.7690232</v>
      </c>
      <c r="Y88" s="75">
        <f t="shared" si="132"/>
        <v>-0.41902770357091268</v>
      </c>
      <c r="Z88" s="46">
        <f>Z78+Z81+Z84+Z87</f>
        <v>213643492.62</v>
      </c>
      <c r="AA88" s="45">
        <f>AA78+AA81+AA84+AA87</f>
        <v>220098199.38836229</v>
      </c>
      <c r="AB88" s="23">
        <f t="shared" si="133"/>
        <v>-6454706.7683622837</v>
      </c>
      <c r="AC88" s="76">
        <f t="shared" si="134"/>
        <v>-2.9326486024417564E-2</v>
      </c>
      <c r="AD88" s="44">
        <f>AD78+AD81+AD84+AD87</f>
        <v>1540500200.1299999</v>
      </c>
      <c r="AE88" s="44">
        <f>AE78+AE81+AE84+AE87</f>
        <v>1321941374.070174</v>
      </c>
      <c r="AF88" s="23">
        <f t="shared" si="135"/>
        <v>218558826.0598259</v>
      </c>
      <c r="AG88" s="76">
        <f t="shared" si="136"/>
        <v>0.16533170861193125</v>
      </c>
      <c r="AH88" s="44">
        <f>AH78+AH81+AH84+AH87</f>
        <v>2651589773.8990231</v>
      </c>
      <c r="AI88" s="23">
        <f t="shared" si="137"/>
        <v>-1111089573.7690232</v>
      </c>
      <c r="AJ88" s="75">
        <f t="shared" si="138"/>
        <v>-0.41902770357091268</v>
      </c>
      <c r="AK88" s="46">
        <f>AK78+AK81+AK84+AK87</f>
        <v>213643492.62</v>
      </c>
      <c r="AL88" s="45">
        <f>AL78+AL81+AL84+AL87</f>
        <v>220098199.38836229</v>
      </c>
      <c r="AM88" s="23">
        <f t="shared" si="139"/>
        <v>-6454706.7683622837</v>
      </c>
      <c r="AN88" s="76">
        <f t="shared" si="140"/>
        <v>-2.9326486024417564E-2</v>
      </c>
      <c r="AO88" s="44">
        <f>AO78+AO81+AO84+AO87</f>
        <v>1540500200.1299999</v>
      </c>
      <c r="AP88" s="44">
        <f>AP78+AP81+AP84+AP87</f>
        <v>1321941374.070174</v>
      </c>
      <c r="AQ88" s="23">
        <f t="shared" si="141"/>
        <v>218558826.0598259</v>
      </c>
      <c r="AR88" s="76">
        <f t="shared" si="142"/>
        <v>0.16533170861193125</v>
      </c>
      <c r="AS88" s="44">
        <f>AS78+AS81+AS84+AS87</f>
        <v>2651589773.8990231</v>
      </c>
      <c r="AT88" s="23">
        <f t="shared" si="143"/>
        <v>-1111089573.7690232</v>
      </c>
      <c r="AU88" s="75">
        <f t="shared" si="144"/>
        <v>-0.41902770357091268</v>
      </c>
      <c r="AV88" s="46">
        <f>AV78+AV81+AV84+AV87</f>
        <v>213643492.62</v>
      </c>
      <c r="AW88" s="45">
        <f>AW78+AW81+AW84+AW87</f>
        <v>220098199.38836229</v>
      </c>
      <c r="AX88" s="23">
        <f t="shared" si="145"/>
        <v>-6454706.7683622837</v>
      </c>
      <c r="AY88" s="76">
        <f t="shared" si="146"/>
        <v>-2.9326486024417564E-2</v>
      </c>
      <c r="AZ88" s="44">
        <f>AZ78+AZ81+AZ84+AZ87</f>
        <v>1540500200.1299999</v>
      </c>
      <c r="BA88" s="44">
        <f>BA78+BA81+BA84+BA87</f>
        <v>1321941374.070174</v>
      </c>
      <c r="BB88" s="23">
        <f t="shared" si="147"/>
        <v>218558826.0598259</v>
      </c>
      <c r="BC88" s="76">
        <f t="shared" si="148"/>
        <v>0.16533170861193125</v>
      </c>
      <c r="BD88" s="44">
        <f>BD78+BD81+BD84+BD87</f>
        <v>2651589773.8990231</v>
      </c>
      <c r="BE88" s="23">
        <f t="shared" si="149"/>
        <v>-1111089573.7690232</v>
      </c>
      <c r="BF88" s="75">
        <f t="shared" si="150"/>
        <v>-0.41902770357091268</v>
      </c>
      <c r="BG88" s="46">
        <f>BG78+BG81+BG84+BG87</f>
        <v>213643492.62</v>
      </c>
      <c r="BH88" s="45">
        <f>BH78+BH81+BH84+BH87</f>
        <v>220098199.38836229</v>
      </c>
      <c r="BI88" s="23">
        <f t="shared" si="151"/>
        <v>-6454706.7683622837</v>
      </c>
      <c r="BJ88" s="76">
        <f t="shared" si="152"/>
        <v>-2.9326486024417564E-2</v>
      </c>
      <c r="BK88" s="44">
        <f>BK78+BK81+BK84+BK87</f>
        <v>1540500200.1299999</v>
      </c>
      <c r="BL88" s="44">
        <f>BL78+BL81+BL84+BL87</f>
        <v>1321941374.070174</v>
      </c>
      <c r="BM88" s="23">
        <f t="shared" si="153"/>
        <v>218558826.0598259</v>
      </c>
      <c r="BN88" s="76">
        <f t="shared" si="154"/>
        <v>0.16533170861193125</v>
      </c>
      <c r="BO88" s="44">
        <f>BO78+BO81+BO84+BO87</f>
        <v>2651589773.8990231</v>
      </c>
      <c r="BP88" s="23">
        <f t="shared" si="155"/>
        <v>-1111089573.7690232</v>
      </c>
      <c r="BQ88" s="75">
        <f t="shared" si="156"/>
        <v>-0.41902770357091268</v>
      </c>
      <c r="BR88" s="46">
        <f>BR78+BR81+BR84+BR87</f>
        <v>213643492.62</v>
      </c>
      <c r="BS88" s="45">
        <f>BS78+BS81+BS84+BS87</f>
        <v>220098199.38836229</v>
      </c>
      <c r="BT88" s="23">
        <f t="shared" si="157"/>
        <v>-6454706.7683622837</v>
      </c>
      <c r="BU88" s="76">
        <f t="shared" si="158"/>
        <v>-2.9326486024417564E-2</v>
      </c>
      <c r="BV88" s="44">
        <f>BV78+BV81+BV84+BV87</f>
        <v>1540500200.1299999</v>
      </c>
      <c r="BW88" s="44">
        <f>BW78+BW81+BW84+BW87</f>
        <v>1321941374.070174</v>
      </c>
      <c r="BX88" s="23">
        <f t="shared" si="159"/>
        <v>218558826.0598259</v>
      </c>
      <c r="BY88" s="76">
        <f t="shared" si="160"/>
        <v>0.16533170861193125</v>
      </c>
      <c r="BZ88" s="44">
        <f>BZ78+BZ81+BZ84+BZ87</f>
        <v>2651589773.8990231</v>
      </c>
      <c r="CA88" s="23">
        <f t="shared" si="161"/>
        <v>-1111089573.7690232</v>
      </c>
      <c r="CB88" s="75">
        <f t="shared" si="162"/>
        <v>-0.41902770357091268</v>
      </c>
      <c r="CC88" s="46">
        <f>CC78+CC81+CC84+CC87</f>
        <v>213643492.62</v>
      </c>
      <c r="CD88" s="45">
        <f>CD78+CD81+CD84+CD87</f>
        <v>220098199.38836229</v>
      </c>
      <c r="CE88" s="23">
        <f t="shared" si="163"/>
        <v>-6454706.7683622837</v>
      </c>
      <c r="CF88" s="76">
        <f t="shared" si="164"/>
        <v>-2.9326486024417564E-2</v>
      </c>
      <c r="CG88" s="44">
        <f>CG78+CG81+CG84+CG87</f>
        <v>1540500200.1299999</v>
      </c>
      <c r="CH88" s="44">
        <f>CH78+CH81+CH84+CH87</f>
        <v>1321941374.070174</v>
      </c>
      <c r="CI88" s="23">
        <f t="shared" si="165"/>
        <v>218558826.0598259</v>
      </c>
      <c r="CJ88" s="76">
        <f t="shared" si="166"/>
        <v>0.16533170861193125</v>
      </c>
      <c r="CK88" s="44">
        <f>CK78+CK81+CK84+CK87</f>
        <v>2651589773.8990231</v>
      </c>
      <c r="CL88" s="23">
        <f t="shared" si="167"/>
        <v>-1111089573.7690232</v>
      </c>
      <c r="CM88" s="75">
        <f t="shared" si="168"/>
        <v>-0.41902770357091268</v>
      </c>
      <c r="CN88" s="46">
        <f>CN78+CN81+CN84+CN87</f>
        <v>213643492.62</v>
      </c>
      <c r="CO88" s="45">
        <f>CO78+CO81+CO84+CO87</f>
        <v>220098199.38836229</v>
      </c>
      <c r="CP88" s="23">
        <f t="shared" si="169"/>
        <v>-6454706.7683622837</v>
      </c>
      <c r="CQ88" s="76">
        <f t="shared" si="170"/>
        <v>-2.9326486024417564E-2</v>
      </c>
      <c r="CR88" s="44">
        <f>CR78+CR81+CR84+CR87</f>
        <v>1540500200.1299999</v>
      </c>
      <c r="CS88" s="44">
        <f>CS78+CS81+CS84+CS87</f>
        <v>1321941374.070174</v>
      </c>
      <c r="CT88" s="23">
        <f t="shared" si="171"/>
        <v>218558826.0598259</v>
      </c>
      <c r="CU88" s="76">
        <f t="shared" si="172"/>
        <v>0.16533170861193125</v>
      </c>
      <c r="CV88" s="44">
        <f>CV78+CV81+CV84+CV87</f>
        <v>2651589773.8990231</v>
      </c>
      <c r="CW88" s="23">
        <f t="shared" si="173"/>
        <v>-1111089573.7690232</v>
      </c>
      <c r="CX88" s="75">
        <f t="shared" si="174"/>
        <v>-0.41902770357091268</v>
      </c>
      <c r="CY88" s="46">
        <f>CY78+CY81+CY84+CY87</f>
        <v>213643492.62</v>
      </c>
      <c r="CZ88" s="45">
        <f>CZ78+CZ81+CZ84+CZ87</f>
        <v>220098199.38836229</v>
      </c>
      <c r="DA88" s="23">
        <f t="shared" si="175"/>
        <v>-6454706.7683622837</v>
      </c>
      <c r="DB88" s="76">
        <f t="shared" si="176"/>
        <v>-2.9326486024417564E-2</v>
      </c>
      <c r="DC88" s="44">
        <f>DC78+DC81+DC84+DC87</f>
        <v>1540500200.1299999</v>
      </c>
      <c r="DD88" s="44">
        <f>DD78+DD81+DD84+DD87</f>
        <v>1321941374.070174</v>
      </c>
      <c r="DE88" s="23">
        <f t="shared" si="177"/>
        <v>218558826.0598259</v>
      </c>
      <c r="DF88" s="76">
        <f t="shared" si="178"/>
        <v>0.16533170861193125</v>
      </c>
      <c r="DG88" s="44">
        <f>DG78+DG81+DG84+DG87</f>
        <v>2651589773.8990231</v>
      </c>
      <c r="DH88" s="23">
        <f t="shared" si="179"/>
        <v>-1111089573.7690232</v>
      </c>
      <c r="DI88" s="75">
        <f t="shared" si="180"/>
        <v>-0.41902770357091268</v>
      </c>
    </row>
    <row r="89" spans="1:113" s="6" customFormat="1" hidden="1" outlineLevel="2" x14ac:dyDescent="0.2">
      <c r="B89" s="29" t="str">
        <f t="shared" si="120"/>
        <v>Расходы на страхование (ДМС, НС)</v>
      </c>
      <c r="C89" s="52" t="str">
        <f t="shared" si="120"/>
        <v>Health &amp; welfare</v>
      </c>
      <c r="D89" s="27">
        <v>4988341.6699999981</v>
      </c>
      <c r="E89" s="26">
        <f>I89/6</f>
        <v>5630886.0970102288</v>
      </c>
      <c r="F89" s="23">
        <f t="shared" si="121"/>
        <v>-642544.42701023072</v>
      </c>
      <c r="G89" s="76">
        <f t="shared" si="122"/>
        <v>-0.11411071293937125</v>
      </c>
      <c r="H89" s="24">
        <v>29346208.629999992</v>
      </c>
      <c r="I89" s="24">
        <v>33785316.582061373</v>
      </c>
      <c r="J89" s="23">
        <f t="shared" si="123"/>
        <v>-4439107.9520613812</v>
      </c>
      <c r="K89" s="76">
        <f t="shared" si="124"/>
        <v>-0.13139163403365495</v>
      </c>
      <c r="L89" s="24">
        <v>68305965.514753431</v>
      </c>
      <c r="M89" s="23">
        <f t="shared" si="125"/>
        <v>-38959756.884753436</v>
      </c>
      <c r="N89" s="75">
        <f t="shared" si="126"/>
        <v>-0.57037122001208673</v>
      </c>
      <c r="O89" s="27">
        <v>4988341.6699999981</v>
      </c>
      <c r="P89" s="26">
        <f>T89/6</f>
        <v>5630886.0970102288</v>
      </c>
      <c r="Q89" s="23">
        <f t="shared" si="127"/>
        <v>-642544.42701023072</v>
      </c>
      <c r="R89" s="76">
        <f t="shared" si="128"/>
        <v>-0.11411071293937125</v>
      </c>
      <c r="S89" s="24">
        <v>29346208.629999992</v>
      </c>
      <c r="T89" s="24">
        <v>33785316.582061373</v>
      </c>
      <c r="U89" s="23">
        <f t="shared" si="129"/>
        <v>-4439107.9520613812</v>
      </c>
      <c r="V89" s="76">
        <f t="shared" si="130"/>
        <v>-0.13139163403365495</v>
      </c>
      <c r="W89" s="24">
        <v>68305965.514753431</v>
      </c>
      <c r="X89" s="23">
        <f t="shared" si="131"/>
        <v>-38959756.884753436</v>
      </c>
      <c r="Y89" s="75">
        <f t="shared" si="132"/>
        <v>-0.57037122001208673</v>
      </c>
      <c r="Z89" s="27">
        <v>4988341.6699999981</v>
      </c>
      <c r="AA89" s="26">
        <f>AE89/6</f>
        <v>5630886.0970102288</v>
      </c>
      <c r="AB89" s="23">
        <f t="shared" si="133"/>
        <v>-642544.42701023072</v>
      </c>
      <c r="AC89" s="76">
        <f t="shared" si="134"/>
        <v>-0.11411071293937125</v>
      </c>
      <c r="AD89" s="24">
        <v>29346208.629999992</v>
      </c>
      <c r="AE89" s="24">
        <v>33785316.582061373</v>
      </c>
      <c r="AF89" s="23">
        <f t="shared" si="135"/>
        <v>-4439107.9520613812</v>
      </c>
      <c r="AG89" s="76">
        <f t="shared" si="136"/>
        <v>-0.13139163403365495</v>
      </c>
      <c r="AH89" s="24">
        <v>68305965.514753431</v>
      </c>
      <c r="AI89" s="23">
        <f t="shared" si="137"/>
        <v>-38959756.884753436</v>
      </c>
      <c r="AJ89" s="75">
        <f t="shared" si="138"/>
        <v>-0.57037122001208673</v>
      </c>
      <c r="AK89" s="27">
        <v>4988341.6699999981</v>
      </c>
      <c r="AL89" s="26">
        <f>AP89/6</f>
        <v>5630886.0970102288</v>
      </c>
      <c r="AM89" s="23">
        <f t="shared" si="139"/>
        <v>-642544.42701023072</v>
      </c>
      <c r="AN89" s="76">
        <f t="shared" si="140"/>
        <v>-0.11411071293937125</v>
      </c>
      <c r="AO89" s="24">
        <v>29346208.629999992</v>
      </c>
      <c r="AP89" s="24">
        <v>33785316.582061373</v>
      </c>
      <c r="AQ89" s="23">
        <f t="shared" si="141"/>
        <v>-4439107.9520613812</v>
      </c>
      <c r="AR89" s="76">
        <f t="shared" si="142"/>
        <v>-0.13139163403365495</v>
      </c>
      <c r="AS89" s="24">
        <v>68305965.514753431</v>
      </c>
      <c r="AT89" s="23">
        <f t="shared" si="143"/>
        <v>-38959756.884753436</v>
      </c>
      <c r="AU89" s="75">
        <f t="shared" si="144"/>
        <v>-0.57037122001208673</v>
      </c>
      <c r="AV89" s="27">
        <v>4988341.6699999981</v>
      </c>
      <c r="AW89" s="26">
        <f>BA89/6</f>
        <v>5630886.0970102288</v>
      </c>
      <c r="AX89" s="23">
        <f t="shared" si="145"/>
        <v>-642544.42701023072</v>
      </c>
      <c r="AY89" s="76">
        <f t="shared" si="146"/>
        <v>-0.11411071293937125</v>
      </c>
      <c r="AZ89" s="24">
        <v>29346208.629999992</v>
      </c>
      <c r="BA89" s="24">
        <v>33785316.582061373</v>
      </c>
      <c r="BB89" s="23">
        <f t="shared" si="147"/>
        <v>-4439107.9520613812</v>
      </c>
      <c r="BC89" s="76">
        <f t="shared" si="148"/>
        <v>-0.13139163403365495</v>
      </c>
      <c r="BD89" s="24">
        <v>68305965.514753431</v>
      </c>
      <c r="BE89" s="23">
        <f t="shared" si="149"/>
        <v>-38959756.884753436</v>
      </c>
      <c r="BF89" s="75">
        <f t="shared" si="150"/>
        <v>-0.57037122001208673</v>
      </c>
      <c r="BG89" s="27">
        <v>4988341.6699999981</v>
      </c>
      <c r="BH89" s="26">
        <f>BL89/6</f>
        <v>5630886.0970102288</v>
      </c>
      <c r="BI89" s="23">
        <f t="shared" si="151"/>
        <v>-642544.42701023072</v>
      </c>
      <c r="BJ89" s="76">
        <f t="shared" si="152"/>
        <v>-0.11411071293937125</v>
      </c>
      <c r="BK89" s="24">
        <v>29346208.629999992</v>
      </c>
      <c r="BL89" s="24">
        <v>33785316.582061373</v>
      </c>
      <c r="BM89" s="23">
        <f t="shared" si="153"/>
        <v>-4439107.9520613812</v>
      </c>
      <c r="BN89" s="76">
        <f t="shared" si="154"/>
        <v>-0.13139163403365495</v>
      </c>
      <c r="BO89" s="24">
        <v>68305965.514753431</v>
      </c>
      <c r="BP89" s="23">
        <f t="shared" si="155"/>
        <v>-38959756.884753436</v>
      </c>
      <c r="BQ89" s="75">
        <f t="shared" si="156"/>
        <v>-0.57037122001208673</v>
      </c>
      <c r="BR89" s="27">
        <v>4988341.6699999981</v>
      </c>
      <c r="BS89" s="26">
        <f>BW89/6</f>
        <v>5630886.0970102288</v>
      </c>
      <c r="BT89" s="23">
        <f t="shared" si="157"/>
        <v>-642544.42701023072</v>
      </c>
      <c r="BU89" s="76">
        <f t="shared" si="158"/>
        <v>-0.11411071293937125</v>
      </c>
      <c r="BV89" s="24">
        <v>29346208.629999992</v>
      </c>
      <c r="BW89" s="24">
        <v>33785316.582061373</v>
      </c>
      <c r="BX89" s="23">
        <f t="shared" si="159"/>
        <v>-4439107.9520613812</v>
      </c>
      <c r="BY89" s="76">
        <f t="shared" si="160"/>
        <v>-0.13139163403365495</v>
      </c>
      <c r="BZ89" s="24">
        <v>68305965.514753431</v>
      </c>
      <c r="CA89" s="23">
        <f t="shared" si="161"/>
        <v>-38959756.884753436</v>
      </c>
      <c r="CB89" s="75">
        <f t="shared" si="162"/>
        <v>-0.57037122001208673</v>
      </c>
      <c r="CC89" s="27">
        <v>4988341.6699999981</v>
      </c>
      <c r="CD89" s="26">
        <f>CH89/6</f>
        <v>5630886.0970102288</v>
      </c>
      <c r="CE89" s="23">
        <f t="shared" si="163"/>
        <v>-642544.42701023072</v>
      </c>
      <c r="CF89" s="76">
        <f t="shared" si="164"/>
        <v>-0.11411071293937125</v>
      </c>
      <c r="CG89" s="24">
        <v>29346208.629999992</v>
      </c>
      <c r="CH89" s="24">
        <v>33785316.582061373</v>
      </c>
      <c r="CI89" s="23">
        <f t="shared" si="165"/>
        <v>-4439107.9520613812</v>
      </c>
      <c r="CJ89" s="76">
        <f t="shared" si="166"/>
        <v>-0.13139163403365495</v>
      </c>
      <c r="CK89" s="24">
        <v>68305965.514753431</v>
      </c>
      <c r="CL89" s="23">
        <f t="shared" si="167"/>
        <v>-38959756.884753436</v>
      </c>
      <c r="CM89" s="75">
        <f t="shared" si="168"/>
        <v>-0.57037122001208673</v>
      </c>
      <c r="CN89" s="27">
        <v>4988341.6699999981</v>
      </c>
      <c r="CO89" s="26">
        <f>CS89/6</f>
        <v>5630886.0970102288</v>
      </c>
      <c r="CP89" s="23">
        <f t="shared" si="169"/>
        <v>-642544.42701023072</v>
      </c>
      <c r="CQ89" s="76">
        <f t="shared" si="170"/>
        <v>-0.11411071293937125</v>
      </c>
      <c r="CR89" s="24">
        <v>29346208.629999992</v>
      </c>
      <c r="CS89" s="24">
        <v>33785316.582061373</v>
      </c>
      <c r="CT89" s="23">
        <f t="shared" si="171"/>
        <v>-4439107.9520613812</v>
      </c>
      <c r="CU89" s="76">
        <f t="shared" si="172"/>
        <v>-0.13139163403365495</v>
      </c>
      <c r="CV89" s="24">
        <v>68305965.514753431</v>
      </c>
      <c r="CW89" s="23">
        <f t="shared" si="173"/>
        <v>-38959756.884753436</v>
      </c>
      <c r="CX89" s="75">
        <f t="shared" si="174"/>
        <v>-0.57037122001208673</v>
      </c>
      <c r="CY89" s="27">
        <v>4988341.6699999981</v>
      </c>
      <c r="CZ89" s="26">
        <f>DD89/6</f>
        <v>5630886.0970102288</v>
      </c>
      <c r="DA89" s="23">
        <f t="shared" si="175"/>
        <v>-642544.42701023072</v>
      </c>
      <c r="DB89" s="76">
        <f t="shared" si="176"/>
        <v>-0.11411071293937125</v>
      </c>
      <c r="DC89" s="24">
        <v>29346208.629999992</v>
      </c>
      <c r="DD89" s="24">
        <v>33785316.582061373</v>
      </c>
      <c r="DE89" s="23">
        <f t="shared" si="177"/>
        <v>-4439107.9520613812</v>
      </c>
      <c r="DF89" s="76">
        <f t="shared" si="178"/>
        <v>-0.13139163403365495</v>
      </c>
      <c r="DG89" s="24">
        <v>68305965.514753431</v>
      </c>
      <c r="DH89" s="23">
        <f t="shared" si="179"/>
        <v>-38959756.884753436</v>
      </c>
      <c r="DI89" s="75">
        <f t="shared" si="180"/>
        <v>-0.57037122001208673</v>
      </c>
    </row>
    <row r="90" spans="1:113" s="6" customFormat="1" hidden="1" outlineLevel="2" x14ac:dyDescent="0.2">
      <c r="B90" s="29" t="str">
        <f t="shared" si="120"/>
        <v>Прочие бенефиты</v>
      </c>
      <c r="C90" s="52" t="str">
        <f t="shared" si="120"/>
        <v>Other benefits - Non-state mandated</v>
      </c>
      <c r="D90" s="27">
        <v>614311.89000000013</v>
      </c>
      <c r="E90" s="26">
        <v>0</v>
      </c>
      <c r="F90" s="23">
        <f t="shared" si="121"/>
        <v>614311.89000000013</v>
      </c>
      <c r="G90" s="76" t="str">
        <f t="shared" si="122"/>
        <v>-</v>
      </c>
      <c r="H90" s="24">
        <v>1914075.8800000001</v>
      </c>
      <c r="I90" s="24">
        <v>996972.98</v>
      </c>
      <c r="J90" s="23">
        <f t="shared" si="123"/>
        <v>917102.90000000014</v>
      </c>
      <c r="K90" s="76">
        <f t="shared" si="124"/>
        <v>0.91988741761085646</v>
      </c>
      <c r="L90" s="24">
        <v>996972.98</v>
      </c>
      <c r="M90" s="23">
        <f t="shared" si="125"/>
        <v>917102.90000000014</v>
      </c>
      <c r="N90" s="75">
        <f t="shared" si="126"/>
        <v>0.91988741761085657</v>
      </c>
      <c r="O90" s="27">
        <v>614311.89000000013</v>
      </c>
      <c r="P90" s="26">
        <v>0</v>
      </c>
      <c r="Q90" s="23">
        <f t="shared" si="127"/>
        <v>614311.89000000013</v>
      </c>
      <c r="R90" s="76" t="str">
        <f t="shared" si="128"/>
        <v>-</v>
      </c>
      <c r="S90" s="24">
        <v>1914075.8800000001</v>
      </c>
      <c r="T90" s="24">
        <v>996972.98</v>
      </c>
      <c r="U90" s="23">
        <f t="shared" si="129"/>
        <v>917102.90000000014</v>
      </c>
      <c r="V90" s="76">
        <f t="shared" si="130"/>
        <v>0.91988741761085646</v>
      </c>
      <c r="W90" s="24">
        <v>996972.98</v>
      </c>
      <c r="X90" s="23">
        <f t="shared" si="131"/>
        <v>917102.90000000014</v>
      </c>
      <c r="Y90" s="75">
        <f t="shared" si="132"/>
        <v>0.91988741761085657</v>
      </c>
      <c r="Z90" s="27">
        <v>614311.89000000013</v>
      </c>
      <c r="AA90" s="26">
        <v>0</v>
      </c>
      <c r="AB90" s="23">
        <f t="shared" si="133"/>
        <v>614311.89000000013</v>
      </c>
      <c r="AC90" s="76" t="str">
        <f t="shared" si="134"/>
        <v>-</v>
      </c>
      <c r="AD90" s="24">
        <v>1914075.8800000001</v>
      </c>
      <c r="AE90" s="24">
        <v>996972.98</v>
      </c>
      <c r="AF90" s="23">
        <f t="shared" si="135"/>
        <v>917102.90000000014</v>
      </c>
      <c r="AG90" s="76">
        <f t="shared" si="136"/>
        <v>0.91988741761085646</v>
      </c>
      <c r="AH90" s="24">
        <v>996972.98</v>
      </c>
      <c r="AI90" s="23">
        <f t="shared" si="137"/>
        <v>917102.90000000014</v>
      </c>
      <c r="AJ90" s="75">
        <f t="shared" si="138"/>
        <v>0.91988741761085657</v>
      </c>
      <c r="AK90" s="27">
        <v>614311.89000000013</v>
      </c>
      <c r="AL90" s="26">
        <v>0</v>
      </c>
      <c r="AM90" s="23">
        <f t="shared" si="139"/>
        <v>614311.89000000013</v>
      </c>
      <c r="AN90" s="76" t="str">
        <f t="shared" si="140"/>
        <v>-</v>
      </c>
      <c r="AO90" s="24">
        <v>1914075.8800000001</v>
      </c>
      <c r="AP90" s="24">
        <v>996972.98</v>
      </c>
      <c r="AQ90" s="23">
        <f t="shared" si="141"/>
        <v>917102.90000000014</v>
      </c>
      <c r="AR90" s="76">
        <f t="shared" si="142"/>
        <v>0.91988741761085646</v>
      </c>
      <c r="AS90" s="24">
        <v>996972.98</v>
      </c>
      <c r="AT90" s="23">
        <f t="shared" si="143"/>
        <v>917102.90000000014</v>
      </c>
      <c r="AU90" s="75">
        <f t="shared" si="144"/>
        <v>0.91988741761085657</v>
      </c>
      <c r="AV90" s="27">
        <v>614311.89000000013</v>
      </c>
      <c r="AW90" s="26">
        <v>0</v>
      </c>
      <c r="AX90" s="23">
        <f t="shared" si="145"/>
        <v>614311.89000000013</v>
      </c>
      <c r="AY90" s="76" t="str">
        <f t="shared" si="146"/>
        <v>-</v>
      </c>
      <c r="AZ90" s="24">
        <v>1914075.8800000001</v>
      </c>
      <c r="BA90" s="24">
        <v>996972.98</v>
      </c>
      <c r="BB90" s="23">
        <f t="shared" si="147"/>
        <v>917102.90000000014</v>
      </c>
      <c r="BC90" s="76">
        <f t="shared" si="148"/>
        <v>0.91988741761085646</v>
      </c>
      <c r="BD90" s="24">
        <v>996972.98</v>
      </c>
      <c r="BE90" s="23">
        <f t="shared" si="149"/>
        <v>917102.90000000014</v>
      </c>
      <c r="BF90" s="75">
        <f t="shared" si="150"/>
        <v>0.91988741761085657</v>
      </c>
      <c r="BG90" s="27">
        <v>614311.89000000013</v>
      </c>
      <c r="BH90" s="26">
        <v>0</v>
      </c>
      <c r="BI90" s="23">
        <f t="shared" si="151"/>
        <v>614311.89000000013</v>
      </c>
      <c r="BJ90" s="76" t="str">
        <f t="shared" si="152"/>
        <v>-</v>
      </c>
      <c r="BK90" s="24">
        <v>1914075.8800000001</v>
      </c>
      <c r="BL90" s="24">
        <v>996972.98</v>
      </c>
      <c r="BM90" s="23">
        <f t="shared" si="153"/>
        <v>917102.90000000014</v>
      </c>
      <c r="BN90" s="76">
        <f t="shared" si="154"/>
        <v>0.91988741761085646</v>
      </c>
      <c r="BO90" s="24">
        <v>996972.98</v>
      </c>
      <c r="BP90" s="23">
        <f t="shared" si="155"/>
        <v>917102.90000000014</v>
      </c>
      <c r="BQ90" s="75">
        <f t="shared" si="156"/>
        <v>0.91988741761085657</v>
      </c>
      <c r="BR90" s="27">
        <v>614311.89000000013</v>
      </c>
      <c r="BS90" s="26">
        <v>0</v>
      </c>
      <c r="BT90" s="23">
        <f t="shared" si="157"/>
        <v>614311.89000000013</v>
      </c>
      <c r="BU90" s="76" t="str">
        <f t="shared" si="158"/>
        <v>-</v>
      </c>
      <c r="BV90" s="24">
        <v>1914075.8800000001</v>
      </c>
      <c r="BW90" s="24">
        <v>996972.98</v>
      </c>
      <c r="BX90" s="23">
        <f t="shared" si="159"/>
        <v>917102.90000000014</v>
      </c>
      <c r="BY90" s="76">
        <f t="shared" si="160"/>
        <v>0.91988741761085646</v>
      </c>
      <c r="BZ90" s="24">
        <v>996972.98</v>
      </c>
      <c r="CA90" s="23">
        <f t="shared" si="161"/>
        <v>917102.90000000014</v>
      </c>
      <c r="CB90" s="75">
        <f t="shared" si="162"/>
        <v>0.91988741761085657</v>
      </c>
      <c r="CC90" s="27">
        <v>614311.89000000013</v>
      </c>
      <c r="CD90" s="26">
        <v>0</v>
      </c>
      <c r="CE90" s="23">
        <f t="shared" si="163"/>
        <v>614311.89000000013</v>
      </c>
      <c r="CF90" s="76" t="str">
        <f t="shared" si="164"/>
        <v>-</v>
      </c>
      <c r="CG90" s="24">
        <v>1914075.8800000001</v>
      </c>
      <c r="CH90" s="24">
        <v>996972.98</v>
      </c>
      <c r="CI90" s="23">
        <f t="shared" si="165"/>
        <v>917102.90000000014</v>
      </c>
      <c r="CJ90" s="76">
        <f t="shared" si="166"/>
        <v>0.91988741761085646</v>
      </c>
      <c r="CK90" s="24">
        <v>996972.98</v>
      </c>
      <c r="CL90" s="23">
        <f t="shared" si="167"/>
        <v>917102.90000000014</v>
      </c>
      <c r="CM90" s="75">
        <f t="shared" si="168"/>
        <v>0.91988741761085657</v>
      </c>
      <c r="CN90" s="27">
        <v>614311.89000000013</v>
      </c>
      <c r="CO90" s="26">
        <v>0</v>
      </c>
      <c r="CP90" s="23">
        <f t="shared" si="169"/>
        <v>614311.89000000013</v>
      </c>
      <c r="CQ90" s="76" t="str">
        <f t="shared" si="170"/>
        <v>-</v>
      </c>
      <c r="CR90" s="24">
        <v>1914075.8800000001</v>
      </c>
      <c r="CS90" s="24">
        <v>996972.98</v>
      </c>
      <c r="CT90" s="23">
        <f t="shared" si="171"/>
        <v>917102.90000000014</v>
      </c>
      <c r="CU90" s="76">
        <f t="shared" si="172"/>
        <v>0.91988741761085646</v>
      </c>
      <c r="CV90" s="24">
        <v>996972.98</v>
      </c>
      <c r="CW90" s="23">
        <f t="shared" si="173"/>
        <v>917102.90000000014</v>
      </c>
      <c r="CX90" s="75">
        <f t="shared" si="174"/>
        <v>0.91988741761085657</v>
      </c>
      <c r="CY90" s="27">
        <v>614311.89000000013</v>
      </c>
      <c r="CZ90" s="26">
        <v>0</v>
      </c>
      <c r="DA90" s="23">
        <f t="shared" si="175"/>
        <v>614311.89000000013</v>
      </c>
      <c r="DB90" s="76" t="str">
        <f t="shared" si="176"/>
        <v>-</v>
      </c>
      <c r="DC90" s="24">
        <v>1914075.8800000001</v>
      </c>
      <c r="DD90" s="24">
        <v>996972.98</v>
      </c>
      <c r="DE90" s="23">
        <f t="shared" si="177"/>
        <v>917102.90000000014</v>
      </c>
      <c r="DF90" s="76">
        <f t="shared" si="178"/>
        <v>0.91988741761085646</v>
      </c>
      <c r="DG90" s="24">
        <v>996972.98</v>
      </c>
      <c r="DH90" s="23">
        <f t="shared" si="179"/>
        <v>917102.90000000014</v>
      </c>
      <c r="DI90" s="75">
        <f t="shared" si="180"/>
        <v>0.91988741761085657</v>
      </c>
    </row>
    <row r="91" spans="1:113" s="6" customFormat="1" outlineLevel="1" collapsed="1" x14ac:dyDescent="0.2">
      <c r="A91" s="30"/>
      <c r="B91" s="48" t="str">
        <f t="shared" si="120"/>
        <v>Бенефиты</v>
      </c>
      <c r="C91" s="55" t="str">
        <f t="shared" si="120"/>
        <v>Benefits</v>
      </c>
      <c r="D91" s="46">
        <f>SUM(D89:D90)</f>
        <v>5602653.5599999987</v>
      </c>
      <c r="E91" s="45">
        <f>SUM(E89:E90)</f>
        <v>5630886.0970102288</v>
      </c>
      <c r="F91" s="23">
        <f t="shared" si="121"/>
        <v>-28232.537010230124</v>
      </c>
      <c r="G91" s="76">
        <f t="shared" si="122"/>
        <v>-5.0138710895289984E-3</v>
      </c>
      <c r="H91" s="44">
        <f>SUM(H89:H90)</f>
        <v>31260284.50999999</v>
      </c>
      <c r="I91" s="44">
        <f>SUM(I89:I90)</f>
        <v>34782289.562061369</v>
      </c>
      <c r="J91" s="23">
        <f t="shared" si="123"/>
        <v>-3522005.052061379</v>
      </c>
      <c r="K91" s="76">
        <f t="shared" si="124"/>
        <v>-0.1012585743033716</v>
      </c>
      <c r="L91" s="44">
        <f>SUM(L89:L90)</f>
        <v>69302938.494753435</v>
      </c>
      <c r="M91" s="23">
        <f t="shared" si="125"/>
        <v>-38042653.984753445</v>
      </c>
      <c r="N91" s="75">
        <f t="shared" si="126"/>
        <v>-0.54893276982235695</v>
      </c>
      <c r="O91" s="46">
        <f>SUM(O89:O90)</f>
        <v>5602653.5599999987</v>
      </c>
      <c r="P91" s="45">
        <f>SUM(P89:P90)</f>
        <v>5630886.0970102288</v>
      </c>
      <c r="Q91" s="23">
        <f t="shared" si="127"/>
        <v>-28232.537010230124</v>
      </c>
      <c r="R91" s="76">
        <f t="shared" si="128"/>
        <v>-5.0138710895289984E-3</v>
      </c>
      <c r="S91" s="44">
        <f>SUM(S89:S90)</f>
        <v>31260284.50999999</v>
      </c>
      <c r="T91" s="44">
        <f>SUM(T89:T90)</f>
        <v>34782289.562061369</v>
      </c>
      <c r="U91" s="23">
        <f t="shared" si="129"/>
        <v>-3522005.052061379</v>
      </c>
      <c r="V91" s="76">
        <f t="shared" si="130"/>
        <v>-0.1012585743033716</v>
      </c>
      <c r="W91" s="44">
        <f>SUM(W89:W90)</f>
        <v>69302938.494753435</v>
      </c>
      <c r="X91" s="23">
        <f t="shared" si="131"/>
        <v>-38042653.984753445</v>
      </c>
      <c r="Y91" s="75">
        <f t="shared" si="132"/>
        <v>-0.54893276982235695</v>
      </c>
      <c r="Z91" s="46">
        <f>SUM(Z89:Z90)</f>
        <v>5602653.5599999987</v>
      </c>
      <c r="AA91" s="45">
        <f>SUM(AA89:AA90)</f>
        <v>5630886.0970102288</v>
      </c>
      <c r="AB91" s="23">
        <f t="shared" si="133"/>
        <v>-28232.537010230124</v>
      </c>
      <c r="AC91" s="76">
        <f t="shared" si="134"/>
        <v>-5.0138710895289984E-3</v>
      </c>
      <c r="AD91" s="44">
        <f>SUM(AD89:AD90)</f>
        <v>31260284.50999999</v>
      </c>
      <c r="AE91" s="44">
        <f>SUM(AE89:AE90)</f>
        <v>34782289.562061369</v>
      </c>
      <c r="AF91" s="23">
        <f t="shared" si="135"/>
        <v>-3522005.052061379</v>
      </c>
      <c r="AG91" s="76">
        <f t="shared" si="136"/>
        <v>-0.1012585743033716</v>
      </c>
      <c r="AH91" s="44">
        <f>SUM(AH89:AH90)</f>
        <v>69302938.494753435</v>
      </c>
      <c r="AI91" s="23">
        <f t="shared" si="137"/>
        <v>-38042653.984753445</v>
      </c>
      <c r="AJ91" s="75">
        <f t="shared" si="138"/>
        <v>-0.54893276982235695</v>
      </c>
      <c r="AK91" s="46">
        <f>SUM(AK89:AK90)</f>
        <v>5602653.5599999987</v>
      </c>
      <c r="AL91" s="45">
        <f>SUM(AL89:AL90)</f>
        <v>5630886.0970102288</v>
      </c>
      <c r="AM91" s="23">
        <f t="shared" si="139"/>
        <v>-28232.537010230124</v>
      </c>
      <c r="AN91" s="76">
        <f t="shared" si="140"/>
        <v>-5.0138710895289984E-3</v>
      </c>
      <c r="AO91" s="44">
        <f>SUM(AO89:AO90)</f>
        <v>31260284.50999999</v>
      </c>
      <c r="AP91" s="44">
        <f>SUM(AP89:AP90)</f>
        <v>34782289.562061369</v>
      </c>
      <c r="AQ91" s="23">
        <f t="shared" si="141"/>
        <v>-3522005.052061379</v>
      </c>
      <c r="AR91" s="76">
        <f t="shared" si="142"/>
        <v>-0.1012585743033716</v>
      </c>
      <c r="AS91" s="44">
        <f>SUM(AS89:AS90)</f>
        <v>69302938.494753435</v>
      </c>
      <c r="AT91" s="23">
        <f t="shared" si="143"/>
        <v>-38042653.984753445</v>
      </c>
      <c r="AU91" s="75">
        <f t="shared" si="144"/>
        <v>-0.54893276982235695</v>
      </c>
      <c r="AV91" s="46">
        <f>SUM(AV89:AV90)</f>
        <v>5602653.5599999987</v>
      </c>
      <c r="AW91" s="45">
        <f>SUM(AW89:AW90)</f>
        <v>5630886.0970102288</v>
      </c>
      <c r="AX91" s="23">
        <f t="shared" si="145"/>
        <v>-28232.537010230124</v>
      </c>
      <c r="AY91" s="76">
        <f t="shared" si="146"/>
        <v>-5.0138710895289984E-3</v>
      </c>
      <c r="AZ91" s="44">
        <f>SUM(AZ89:AZ90)</f>
        <v>31260284.50999999</v>
      </c>
      <c r="BA91" s="44">
        <f>SUM(BA89:BA90)</f>
        <v>34782289.562061369</v>
      </c>
      <c r="BB91" s="23">
        <f t="shared" si="147"/>
        <v>-3522005.052061379</v>
      </c>
      <c r="BC91" s="76">
        <f t="shared" si="148"/>
        <v>-0.1012585743033716</v>
      </c>
      <c r="BD91" s="44">
        <f>SUM(BD89:BD90)</f>
        <v>69302938.494753435</v>
      </c>
      <c r="BE91" s="23">
        <f t="shared" si="149"/>
        <v>-38042653.984753445</v>
      </c>
      <c r="BF91" s="75">
        <f t="shared" si="150"/>
        <v>-0.54893276982235695</v>
      </c>
      <c r="BG91" s="46">
        <f>SUM(BG89:BG90)</f>
        <v>5602653.5599999987</v>
      </c>
      <c r="BH91" s="45">
        <f>SUM(BH89:BH90)</f>
        <v>5630886.0970102288</v>
      </c>
      <c r="BI91" s="23">
        <f t="shared" si="151"/>
        <v>-28232.537010230124</v>
      </c>
      <c r="BJ91" s="76">
        <f t="shared" si="152"/>
        <v>-5.0138710895289984E-3</v>
      </c>
      <c r="BK91" s="44">
        <f>SUM(BK89:BK90)</f>
        <v>31260284.50999999</v>
      </c>
      <c r="BL91" s="44">
        <f>SUM(BL89:BL90)</f>
        <v>34782289.562061369</v>
      </c>
      <c r="BM91" s="23">
        <f t="shared" si="153"/>
        <v>-3522005.052061379</v>
      </c>
      <c r="BN91" s="76">
        <f t="shared" si="154"/>
        <v>-0.1012585743033716</v>
      </c>
      <c r="BO91" s="44">
        <f>SUM(BO89:BO90)</f>
        <v>69302938.494753435</v>
      </c>
      <c r="BP91" s="23">
        <f t="shared" si="155"/>
        <v>-38042653.984753445</v>
      </c>
      <c r="BQ91" s="75">
        <f t="shared" si="156"/>
        <v>-0.54893276982235695</v>
      </c>
      <c r="BR91" s="46">
        <f>SUM(BR89:BR90)</f>
        <v>5602653.5599999987</v>
      </c>
      <c r="BS91" s="45">
        <f>SUM(BS89:BS90)</f>
        <v>5630886.0970102288</v>
      </c>
      <c r="BT91" s="23">
        <f t="shared" si="157"/>
        <v>-28232.537010230124</v>
      </c>
      <c r="BU91" s="76">
        <f t="shared" si="158"/>
        <v>-5.0138710895289984E-3</v>
      </c>
      <c r="BV91" s="44">
        <f>SUM(BV89:BV90)</f>
        <v>31260284.50999999</v>
      </c>
      <c r="BW91" s="44">
        <f>SUM(BW89:BW90)</f>
        <v>34782289.562061369</v>
      </c>
      <c r="BX91" s="23">
        <f t="shared" si="159"/>
        <v>-3522005.052061379</v>
      </c>
      <c r="BY91" s="76">
        <f t="shared" si="160"/>
        <v>-0.1012585743033716</v>
      </c>
      <c r="BZ91" s="44">
        <f>SUM(BZ89:BZ90)</f>
        <v>69302938.494753435</v>
      </c>
      <c r="CA91" s="23">
        <f t="shared" si="161"/>
        <v>-38042653.984753445</v>
      </c>
      <c r="CB91" s="75">
        <f t="shared" si="162"/>
        <v>-0.54893276982235695</v>
      </c>
      <c r="CC91" s="46">
        <f>SUM(CC89:CC90)</f>
        <v>5602653.5599999987</v>
      </c>
      <c r="CD91" s="45">
        <f>SUM(CD89:CD90)</f>
        <v>5630886.0970102288</v>
      </c>
      <c r="CE91" s="23">
        <f t="shared" si="163"/>
        <v>-28232.537010230124</v>
      </c>
      <c r="CF91" s="76">
        <f t="shared" si="164"/>
        <v>-5.0138710895289984E-3</v>
      </c>
      <c r="CG91" s="44">
        <f>SUM(CG89:CG90)</f>
        <v>31260284.50999999</v>
      </c>
      <c r="CH91" s="44">
        <f>SUM(CH89:CH90)</f>
        <v>34782289.562061369</v>
      </c>
      <c r="CI91" s="23">
        <f t="shared" si="165"/>
        <v>-3522005.052061379</v>
      </c>
      <c r="CJ91" s="76">
        <f t="shared" si="166"/>
        <v>-0.1012585743033716</v>
      </c>
      <c r="CK91" s="44">
        <f>SUM(CK89:CK90)</f>
        <v>69302938.494753435</v>
      </c>
      <c r="CL91" s="23">
        <f t="shared" si="167"/>
        <v>-38042653.984753445</v>
      </c>
      <c r="CM91" s="75">
        <f t="shared" si="168"/>
        <v>-0.54893276982235695</v>
      </c>
      <c r="CN91" s="46">
        <f>SUM(CN89:CN90)</f>
        <v>5602653.5599999987</v>
      </c>
      <c r="CO91" s="45">
        <f>SUM(CO89:CO90)</f>
        <v>5630886.0970102288</v>
      </c>
      <c r="CP91" s="23">
        <f t="shared" si="169"/>
        <v>-28232.537010230124</v>
      </c>
      <c r="CQ91" s="76">
        <f t="shared" si="170"/>
        <v>-5.0138710895289984E-3</v>
      </c>
      <c r="CR91" s="44">
        <f>SUM(CR89:CR90)</f>
        <v>31260284.50999999</v>
      </c>
      <c r="CS91" s="44">
        <f>SUM(CS89:CS90)</f>
        <v>34782289.562061369</v>
      </c>
      <c r="CT91" s="23">
        <f t="shared" si="171"/>
        <v>-3522005.052061379</v>
      </c>
      <c r="CU91" s="76">
        <f t="shared" si="172"/>
        <v>-0.1012585743033716</v>
      </c>
      <c r="CV91" s="44">
        <f>SUM(CV89:CV90)</f>
        <v>69302938.494753435</v>
      </c>
      <c r="CW91" s="23">
        <f t="shared" si="173"/>
        <v>-38042653.984753445</v>
      </c>
      <c r="CX91" s="75">
        <f t="shared" si="174"/>
        <v>-0.54893276982235695</v>
      </c>
      <c r="CY91" s="46">
        <f>SUM(CY89:CY90)</f>
        <v>5602653.5599999987</v>
      </c>
      <c r="CZ91" s="45">
        <f>SUM(CZ89:CZ90)</f>
        <v>5630886.0970102288</v>
      </c>
      <c r="DA91" s="23">
        <f t="shared" si="175"/>
        <v>-28232.537010230124</v>
      </c>
      <c r="DB91" s="76">
        <f t="shared" si="176"/>
        <v>-5.0138710895289984E-3</v>
      </c>
      <c r="DC91" s="44">
        <f>SUM(DC89:DC90)</f>
        <v>31260284.50999999</v>
      </c>
      <c r="DD91" s="44">
        <f>SUM(DD89:DD90)</f>
        <v>34782289.562061369</v>
      </c>
      <c r="DE91" s="23">
        <f t="shared" si="177"/>
        <v>-3522005.052061379</v>
      </c>
      <c r="DF91" s="76">
        <f t="shared" si="178"/>
        <v>-0.1012585743033716</v>
      </c>
      <c r="DG91" s="44">
        <f>SUM(DG89:DG90)</f>
        <v>69302938.494753435</v>
      </c>
      <c r="DH91" s="23">
        <f t="shared" si="179"/>
        <v>-38042653.984753445</v>
      </c>
      <c r="DI91" s="75">
        <f t="shared" si="180"/>
        <v>-0.54893276982235695</v>
      </c>
    </row>
    <row r="92" spans="1:113" hidden="1" outlineLevel="3" x14ac:dyDescent="0.2">
      <c r="A92" s="54"/>
      <c r="B92" s="38" t="str">
        <f t="shared" si="120"/>
        <v>Прочие выплаты</v>
      </c>
      <c r="C92" s="49" t="str">
        <f t="shared" si="120"/>
        <v>Remaining Other Compensation</v>
      </c>
      <c r="D92" s="41">
        <v>-120000</v>
      </c>
      <c r="E92" s="40">
        <v>0</v>
      </c>
      <c r="F92" s="32">
        <f t="shared" si="121"/>
        <v>-120000</v>
      </c>
      <c r="G92" s="78" t="str">
        <f t="shared" si="122"/>
        <v>-</v>
      </c>
      <c r="H92" s="39">
        <v>240000</v>
      </c>
      <c r="I92" s="39">
        <v>240000</v>
      </c>
      <c r="J92" s="32">
        <f t="shared" si="123"/>
        <v>0</v>
      </c>
      <c r="K92" s="78">
        <f t="shared" si="124"/>
        <v>0</v>
      </c>
      <c r="L92" s="39">
        <v>240000</v>
      </c>
      <c r="M92" s="32">
        <f t="shared" si="125"/>
        <v>0</v>
      </c>
      <c r="N92" s="77">
        <f t="shared" si="126"/>
        <v>0</v>
      </c>
      <c r="O92" s="41">
        <v>-120000</v>
      </c>
      <c r="P92" s="40">
        <v>0</v>
      </c>
      <c r="Q92" s="32">
        <f t="shared" si="127"/>
        <v>-120000</v>
      </c>
      <c r="R92" s="78" t="str">
        <f t="shared" si="128"/>
        <v>-</v>
      </c>
      <c r="S92" s="39">
        <v>240000</v>
      </c>
      <c r="T92" s="39">
        <v>240000</v>
      </c>
      <c r="U92" s="32">
        <f t="shared" si="129"/>
        <v>0</v>
      </c>
      <c r="V92" s="78">
        <f t="shared" si="130"/>
        <v>0</v>
      </c>
      <c r="W92" s="39">
        <v>240000</v>
      </c>
      <c r="X92" s="32">
        <f t="shared" si="131"/>
        <v>0</v>
      </c>
      <c r="Y92" s="77">
        <f t="shared" si="132"/>
        <v>0</v>
      </c>
      <c r="Z92" s="41">
        <v>-120000</v>
      </c>
      <c r="AA92" s="40">
        <v>0</v>
      </c>
      <c r="AB92" s="32">
        <f t="shared" si="133"/>
        <v>-120000</v>
      </c>
      <c r="AC92" s="78" t="str">
        <f t="shared" si="134"/>
        <v>-</v>
      </c>
      <c r="AD92" s="39">
        <v>240000</v>
      </c>
      <c r="AE92" s="39">
        <v>240000</v>
      </c>
      <c r="AF92" s="32">
        <f t="shared" si="135"/>
        <v>0</v>
      </c>
      <c r="AG92" s="78">
        <f t="shared" si="136"/>
        <v>0</v>
      </c>
      <c r="AH92" s="39">
        <v>240000</v>
      </c>
      <c r="AI92" s="32">
        <f t="shared" si="137"/>
        <v>0</v>
      </c>
      <c r="AJ92" s="77">
        <f t="shared" si="138"/>
        <v>0</v>
      </c>
      <c r="AK92" s="41">
        <v>-120000</v>
      </c>
      <c r="AL92" s="40">
        <v>0</v>
      </c>
      <c r="AM92" s="32">
        <f t="shared" si="139"/>
        <v>-120000</v>
      </c>
      <c r="AN92" s="78" t="str">
        <f t="shared" si="140"/>
        <v>-</v>
      </c>
      <c r="AO92" s="39">
        <v>240000</v>
      </c>
      <c r="AP92" s="39">
        <v>240000</v>
      </c>
      <c r="AQ92" s="32">
        <f t="shared" si="141"/>
        <v>0</v>
      </c>
      <c r="AR92" s="78">
        <f t="shared" si="142"/>
        <v>0</v>
      </c>
      <c r="AS92" s="39">
        <v>240000</v>
      </c>
      <c r="AT92" s="32">
        <f t="shared" si="143"/>
        <v>0</v>
      </c>
      <c r="AU92" s="77">
        <f t="shared" si="144"/>
        <v>0</v>
      </c>
      <c r="AV92" s="41">
        <v>-120000</v>
      </c>
      <c r="AW92" s="40">
        <v>0</v>
      </c>
      <c r="AX92" s="32">
        <f t="shared" si="145"/>
        <v>-120000</v>
      </c>
      <c r="AY92" s="78" t="str">
        <f t="shared" si="146"/>
        <v>-</v>
      </c>
      <c r="AZ92" s="39">
        <v>240000</v>
      </c>
      <c r="BA92" s="39">
        <v>240000</v>
      </c>
      <c r="BB92" s="32">
        <f t="shared" si="147"/>
        <v>0</v>
      </c>
      <c r="BC92" s="78">
        <f t="shared" si="148"/>
        <v>0</v>
      </c>
      <c r="BD92" s="39">
        <v>240000</v>
      </c>
      <c r="BE92" s="32">
        <f t="shared" si="149"/>
        <v>0</v>
      </c>
      <c r="BF92" s="77">
        <f t="shared" si="150"/>
        <v>0</v>
      </c>
      <c r="BG92" s="41">
        <v>-120000</v>
      </c>
      <c r="BH92" s="40">
        <v>0</v>
      </c>
      <c r="BI92" s="32">
        <f t="shared" si="151"/>
        <v>-120000</v>
      </c>
      <c r="BJ92" s="78" t="str">
        <f t="shared" si="152"/>
        <v>-</v>
      </c>
      <c r="BK92" s="39">
        <v>240000</v>
      </c>
      <c r="BL92" s="39">
        <v>240000</v>
      </c>
      <c r="BM92" s="32">
        <f t="shared" si="153"/>
        <v>0</v>
      </c>
      <c r="BN92" s="78">
        <f t="shared" si="154"/>
        <v>0</v>
      </c>
      <c r="BO92" s="39">
        <v>240000</v>
      </c>
      <c r="BP92" s="32">
        <f t="shared" si="155"/>
        <v>0</v>
      </c>
      <c r="BQ92" s="77">
        <f t="shared" si="156"/>
        <v>0</v>
      </c>
      <c r="BR92" s="41">
        <v>-120000</v>
      </c>
      <c r="BS92" s="40">
        <v>0</v>
      </c>
      <c r="BT92" s="32">
        <f t="shared" si="157"/>
        <v>-120000</v>
      </c>
      <c r="BU92" s="78" t="str">
        <f t="shared" si="158"/>
        <v>-</v>
      </c>
      <c r="BV92" s="39">
        <v>240000</v>
      </c>
      <c r="BW92" s="39">
        <v>240000</v>
      </c>
      <c r="BX92" s="32">
        <f t="shared" si="159"/>
        <v>0</v>
      </c>
      <c r="BY92" s="78">
        <f t="shared" si="160"/>
        <v>0</v>
      </c>
      <c r="BZ92" s="39">
        <v>240000</v>
      </c>
      <c r="CA92" s="32">
        <f t="shared" si="161"/>
        <v>0</v>
      </c>
      <c r="CB92" s="77">
        <f t="shared" si="162"/>
        <v>0</v>
      </c>
      <c r="CC92" s="41">
        <v>-120000</v>
      </c>
      <c r="CD92" s="40">
        <v>0</v>
      </c>
      <c r="CE92" s="32">
        <f t="shared" si="163"/>
        <v>-120000</v>
      </c>
      <c r="CF92" s="78" t="str">
        <f t="shared" si="164"/>
        <v>-</v>
      </c>
      <c r="CG92" s="39">
        <v>240000</v>
      </c>
      <c r="CH92" s="39">
        <v>240000</v>
      </c>
      <c r="CI92" s="32">
        <f t="shared" si="165"/>
        <v>0</v>
      </c>
      <c r="CJ92" s="78">
        <f t="shared" si="166"/>
        <v>0</v>
      </c>
      <c r="CK92" s="39">
        <v>240000</v>
      </c>
      <c r="CL92" s="32">
        <f t="shared" si="167"/>
        <v>0</v>
      </c>
      <c r="CM92" s="77">
        <f t="shared" si="168"/>
        <v>0</v>
      </c>
      <c r="CN92" s="41">
        <v>-120000</v>
      </c>
      <c r="CO92" s="40">
        <v>0</v>
      </c>
      <c r="CP92" s="32">
        <f t="shared" si="169"/>
        <v>-120000</v>
      </c>
      <c r="CQ92" s="78" t="str">
        <f t="shared" si="170"/>
        <v>-</v>
      </c>
      <c r="CR92" s="39">
        <v>240000</v>
      </c>
      <c r="CS92" s="39">
        <v>240000</v>
      </c>
      <c r="CT92" s="32">
        <f t="shared" si="171"/>
        <v>0</v>
      </c>
      <c r="CU92" s="78">
        <f t="shared" si="172"/>
        <v>0</v>
      </c>
      <c r="CV92" s="39">
        <v>240000</v>
      </c>
      <c r="CW92" s="32">
        <f t="shared" si="173"/>
        <v>0</v>
      </c>
      <c r="CX92" s="77">
        <f t="shared" si="174"/>
        <v>0</v>
      </c>
      <c r="CY92" s="41">
        <v>-120000</v>
      </c>
      <c r="CZ92" s="40">
        <v>0</v>
      </c>
      <c r="DA92" s="32">
        <f t="shared" si="175"/>
        <v>-120000</v>
      </c>
      <c r="DB92" s="78" t="str">
        <f t="shared" si="176"/>
        <v>-</v>
      </c>
      <c r="DC92" s="39">
        <v>240000</v>
      </c>
      <c r="DD92" s="39">
        <v>240000</v>
      </c>
      <c r="DE92" s="32">
        <f t="shared" si="177"/>
        <v>0</v>
      </c>
      <c r="DF92" s="78">
        <f t="shared" si="178"/>
        <v>0</v>
      </c>
      <c r="DG92" s="39">
        <v>240000</v>
      </c>
      <c r="DH92" s="32">
        <f t="shared" si="179"/>
        <v>0</v>
      </c>
      <c r="DI92" s="77">
        <f t="shared" si="180"/>
        <v>0</v>
      </c>
    </row>
    <row r="93" spans="1:113" hidden="1" outlineLevel="3" x14ac:dyDescent="0.2">
      <c r="A93" s="54"/>
      <c r="B93" s="38" t="str">
        <f t="shared" si="120"/>
        <v>Страховые взносы прочие выплаты</v>
      </c>
      <c r="C93" s="49" t="str">
        <f t="shared" si="120"/>
        <v>Social Security on Remaining Other Compensation</v>
      </c>
      <c r="D93" s="41">
        <v>0</v>
      </c>
      <c r="E93" s="40">
        <v>0</v>
      </c>
      <c r="F93" s="32">
        <f t="shared" si="121"/>
        <v>0</v>
      </c>
      <c r="G93" s="78" t="str">
        <f t="shared" si="122"/>
        <v>-</v>
      </c>
      <c r="H93" s="39">
        <v>54600</v>
      </c>
      <c r="I93" s="39">
        <v>36240</v>
      </c>
      <c r="J93" s="32">
        <f t="shared" si="123"/>
        <v>18360</v>
      </c>
      <c r="K93" s="78">
        <f t="shared" si="124"/>
        <v>0.50662251655629142</v>
      </c>
      <c r="L93" s="39">
        <v>36240</v>
      </c>
      <c r="M93" s="32">
        <f t="shared" si="125"/>
        <v>18360</v>
      </c>
      <c r="N93" s="77">
        <f t="shared" si="126"/>
        <v>0.50662251655629142</v>
      </c>
      <c r="O93" s="41">
        <v>0</v>
      </c>
      <c r="P93" s="40">
        <v>0</v>
      </c>
      <c r="Q93" s="32">
        <f t="shared" si="127"/>
        <v>0</v>
      </c>
      <c r="R93" s="78" t="str">
        <f t="shared" si="128"/>
        <v>-</v>
      </c>
      <c r="S93" s="39">
        <v>54600</v>
      </c>
      <c r="T93" s="39">
        <v>36240</v>
      </c>
      <c r="U93" s="32">
        <f t="shared" si="129"/>
        <v>18360</v>
      </c>
      <c r="V93" s="78">
        <f t="shared" si="130"/>
        <v>0.50662251655629142</v>
      </c>
      <c r="W93" s="39">
        <v>36240</v>
      </c>
      <c r="X93" s="32">
        <f t="shared" si="131"/>
        <v>18360</v>
      </c>
      <c r="Y93" s="77">
        <f t="shared" si="132"/>
        <v>0.50662251655629142</v>
      </c>
      <c r="Z93" s="41">
        <v>0</v>
      </c>
      <c r="AA93" s="40">
        <v>0</v>
      </c>
      <c r="AB93" s="32">
        <f t="shared" si="133"/>
        <v>0</v>
      </c>
      <c r="AC93" s="78" t="str">
        <f t="shared" si="134"/>
        <v>-</v>
      </c>
      <c r="AD93" s="39">
        <v>54600</v>
      </c>
      <c r="AE93" s="39">
        <v>36240</v>
      </c>
      <c r="AF93" s="32">
        <f t="shared" si="135"/>
        <v>18360</v>
      </c>
      <c r="AG93" s="78">
        <f t="shared" si="136"/>
        <v>0.50662251655629142</v>
      </c>
      <c r="AH93" s="39">
        <v>36240</v>
      </c>
      <c r="AI93" s="32">
        <f t="shared" si="137"/>
        <v>18360</v>
      </c>
      <c r="AJ93" s="77">
        <f t="shared" si="138"/>
        <v>0.50662251655629142</v>
      </c>
      <c r="AK93" s="41">
        <v>0</v>
      </c>
      <c r="AL93" s="40">
        <v>0</v>
      </c>
      <c r="AM93" s="32">
        <f t="shared" si="139"/>
        <v>0</v>
      </c>
      <c r="AN93" s="78" t="str">
        <f t="shared" si="140"/>
        <v>-</v>
      </c>
      <c r="AO93" s="39">
        <v>54600</v>
      </c>
      <c r="AP93" s="39">
        <v>36240</v>
      </c>
      <c r="AQ93" s="32">
        <f t="shared" si="141"/>
        <v>18360</v>
      </c>
      <c r="AR93" s="78">
        <f t="shared" si="142"/>
        <v>0.50662251655629142</v>
      </c>
      <c r="AS93" s="39">
        <v>36240</v>
      </c>
      <c r="AT93" s="32">
        <f t="shared" si="143"/>
        <v>18360</v>
      </c>
      <c r="AU93" s="77">
        <f t="shared" si="144"/>
        <v>0.50662251655629142</v>
      </c>
      <c r="AV93" s="41">
        <v>0</v>
      </c>
      <c r="AW93" s="40">
        <v>0</v>
      </c>
      <c r="AX93" s="32">
        <f t="shared" si="145"/>
        <v>0</v>
      </c>
      <c r="AY93" s="78" t="str">
        <f t="shared" si="146"/>
        <v>-</v>
      </c>
      <c r="AZ93" s="39">
        <v>54600</v>
      </c>
      <c r="BA93" s="39">
        <v>36240</v>
      </c>
      <c r="BB93" s="32">
        <f t="shared" si="147"/>
        <v>18360</v>
      </c>
      <c r="BC93" s="78">
        <f t="shared" si="148"/>
        <v>0.50662251655629142</v>
      </c>
      <c r="BD93" s="39">
        <v>36240</v>
      </c>
      <c r="BE93" s="32">
        <f t="shared" si="149"/>
        <v>18360</v>
      </c>
      <c r="BF93" s="77">
        <f t="shared" si="150"/>
        <v>0.50662251655629142</v>
      </c>
      <c r="BG93" s="41">
        <v>0</v>
      </c>
      <c r="BH93" s="40">
        <v>0</v>
      </c>
      <c r="BI93" s="32">
        <f t="shared" si="151"/>
        <v>0</v>
      </c>
      <c r="BJ93" s="78" t="str">
        <f t="shared" si="152"/>
        <v>-</v>
      </c>
      <c r="BK93" s="39">
        <v>54600</v>
      </c>
      <c r="BL93" s="39">
        <v>36240</v>
      </c>
      <c r="BM93" s="32">
        <f t="shared" si="153"/>
        <v>18360</v>
      </c>
      <c r="BN93" s="78">
        <f t="shared" si="154"/>
        <v>0.50662251655629142</v>
      </c>
      <c r="BO93" s="39">
        <v>36240</v>
      </c>
      <c r="BP93" s="32">
        <f t="shared" si="155"/>
        <v>18360</v>
      </c>
      <c r="BQ93" s="77">
        <f t="shared" si="156"/>
        <v>0.50662251655629142</v>
      </c>
      <c r="BR93" s="41">
        <v>0</v>
      </c>
      <c r="BS93" s="40">
        <v>0</v>
      </c>
      <c r="BT93" s="32">
        <f t="shared" si="157"/>
        <v>0</v>
      </c>
      <c r="BU93" s="78" t="str">
        <f t="shared" si="158"/>
        <v>-</v>
      </c>
      <c r="BV93" s="39">
        <v>54600</v>
      </c>
      <c r="BW93" s="39">
        <v>36240</v>
      </c>
      <c r="BX93" s="32">
        <f t="shared" si="159"/>
        <v>18360</v>
      </c>
      <c r="BY93" s="78">
        <f t="shared" si="160"/>
        <v>0.50662251655629142</v>
      </c>
      <c r="BZ93" s="39">
        <v>36240</v>
      </c>
      <c r="CA93" s="32">
        <f t="shared" si="161"/>
        <v>18360</v>
      </c>
      <c r="CB93" s="77">
        <f t="shared" si="162"/>
        <v>0.50662251655629142</v>
      </c>
      <c r="CC93" s="41">
        <v>0</v>
      </c>
      <c r="CD93" s="40">
        <v>0</v>
      </c>
      <c r="CE93" s="32">
        <f t="shared" si="163"/>
        <v>0</v>
      </c>
      <c r="CF93" s="78" t="str">
        <f t="shared" si="164"/>
        <v>-</v>
      </c>
      <c r="CG93" s="39">
        <v>54600</v>
      </c>
      <c r="CH93" s="39">
        <v>36240</v>
      </c>
      <c r="CI93" s="32">
        <f t="shared" si="165"/>
        <v>18360</v>
      </c>
      <c r="CJ93" s="78">
        <f t="shared" si="166"/>
        <v>0.50662251655629142</v>
      </c>
      <c r="CK93" s="39">
        <v>36240</v>
      </c>
      <c r="CL93" s="32">
        <f t="shared" si="167"/>
        <v>18360</v>
      </c>
      <c r="CM93" s="77">
        <f t="shared" si="168"/>
        <v>0.50662251655629142</v>
      </c>
      <c r="CN93" s="41">
        <v>0</v>
      </c>
      <c r="CO93" s="40">
        <v>0</v>
      </c>
      <c r="CP93" s="32">
        <f t="shared" si="169"/>
        <v>0</v>
      </c>
      <c r="CQ93" s="78" t="str">
        <f t="shared" si="170"/>
        <v>-</v>
      </c>
      <c r="CR93" s="39">
        <v>54600</v>
      </c>
      <c r="CS93" s="39">
        <v>36240</v>
      </c>
      <c r="CT93" s="32">
        <f t="shared" si="171"/>
        <v>18360</v>
      </c>
      <c r="CU93" s="78">
        <f t="shared" si="172"/>
        <v>0.50662251655629142</v>
      </c>
      <c r="CV93" s="39">
        <v>36240</v>
      </c>
      <c r="CW93" s="32">
        <f t="shared" si="173"/>
        <v>18360</v>
      </c>
      <c r="CX93" s="77">
        <f t="shared" si="174"/>
        <v>0.50662251655629142</v>
      </c>
      <c r="CY93" s="41">
        <v>0</v>
      </c>
      <c r="CZ93" s="40">
        <v>0</v>
      </c>
      <c r="DA93" s="32">
        <f t="shared" si="175"/>
        <v>0</v>
      </c>
      <c r="DB93" s="78" t="str">
        <f t="shared" si="176"/>
        <v>-</v>
      </c>
      <c r="DC93" s="39">
        <v>54600</v>
      </c>
      <c r="DD93" s="39">
        <v>36240</v>
      </c>
      <c r="DE93" s="32">
        <f t="shared" si="177"/>
        <v>18360</v>
      </c>
      <c r="DF93" s="78">
        <f t="shared" si="178"/>
        <v>0.50662251655629142</v>
      </c>
      <c r="DG93" s="39">
        <v>36240</v>
      </c>
      <c r="DH93" s="32">
        <f t="shared" si="179"/>
        <v>18360</v>
      </c>
      <c r="DI93" s="77">
        <f t="shared" si="180"/>
        <v>0.50662251655629142</v>
      </c>
    </row>
    <row r="94" spans="1:113" s="6" customFormat="1" hidden="1" outlineLevel="2" collapsed="1" x14ac:dyDescent="0.2">
      <c r="A94" s="30"/>
      <c r="B94" s="29" t="str">
        <f t="shared" si="120"/>
        <v>Итого прочие выплаты</v>
      </c>
      <c r="C94" s="52" t="str">
        <f t="shared" si="120"/>
        <v>Total Remaining Other Compensation</v>
      </c>
      <c r="D94" s="27">
        <f>SUM(D92:D93)</f>
        <v>-120000</v>
      </c>
      <c r="E94" s="26">
        <f>SUM(E92:E93)</f>
        <v>0</v>
      </c>
      <c r="F94" s="23">
        <f t="shared" si="121"/>
        <v>-120000</v>
      </c>
      <c r="G94" s="76" t="str">
        <f t="shared" si="122"/>
        <v>-</v>
      </c>
      <c r="H94" s="24">
        <f>SUM(H92:H93)</f>
        <v>294600</v>
      </c>
      <c r="I94" s="24">
        <f>SUM(I92:I93)</f>
        <v>276240</v>
      </c>
      <c r="J94" s="23">
        <f t="shared" si="123"/>
        <v>18360</v>
      </c>
      <c r="K94" s="76">
        <f t="shared" si="124"/>
        <v>6.6463944396177199E-2</v>
      </c>
      <c r="L94" s="24">
        <f>SUM(L92:L93)</f>
        <v>276240</v>
      </c>
      <c r="M94" s="23">
        <f t="shared" si="125"/>
        <v>18360</v>
      </c>
      <c r="N94" s="75">
        <f t="shared" si="126"/>
        <v>6.6463944396177241E-2</v>
      </c>
      <c r="O94" s="27">
        <f>SUM(O92:O93)</f>
        <v>-120000</v>
      </c>
      <c r="P94" s="26">
        <f>SUM(P92:P93)</f>
        <v>0</v>
      </c>
      <c r="Q94" s="23">
        <f t="shared" si="127"/>
        <v>-120000</v>
      </c>
      <c r="R94" s="76" t="str">
        <f t="shared" si="128"/>
        <v>-</v>
      </c>
      <c r="S94" s="24">
        <f>SUM(S92:S93)</f>
        <v>294600</v>
      </c>
      <c r="T94" s="24">
        <f>SUM(T92:T93)</f>
        <v>276240</v>
      </c>
      <c r="U94" s="23">
        <f t="shared" si="129"/>
        <v>18360</v>
      </c>
      <c r="V94" s="76">
        <f t="shared" si="130"/>
        <v>6.6463944396177199E-2</v>
      </c>
      <c r="W94" s="24">
        <f>SUM(W92:W93)</f>
        <v>276240</v>
      </c>
      <c r="X94" s="23">
        <f t="shared" si="131"/>
        <v>18360</v>
      </c>
      <c r="Y94" s="75">
        <f t="shared" si="132"/>
        <v>6.6463944396177241E-2</v>
      </c>
      <c r="Z94" s="27">
        <f>SUM(Z92:Z93)</f>
        <v>-120000</v>
      </c>
      <c r="AA94" s="26">
        <f>SUM(AA92:AA93)</f>
        <v>0</v>
      </c>
      <c r="AB94" s="23">
        <f t="shared" si="133"/>
        <v>-120000</v>
      </c>
      <c r="AC94" s="76" t="str">
        <f t="shared" si="134"/>
        <v>-</v>
      </c>
      <c r="AD94" s="24">
        <f>SUM(AD92:AD93)</f>
        <v>294600</v>
      </c>
      <c r="AE94" s="24">
        <f>SUM(AE92:AE93)</f>
        <v>276240</v>
      </c>
      <c r="AF94" s="23">
        <f t="shared" si="135"/>
        <v>18360</v>
      </c>
      <c r="AG94" s="76">
        <f t="shared" si="136"/>
        <v>6.6463944396177199E-2</v>
      </c>
      <c r="AH94" s="24">
        <f>SUM(AH92:AH93)</f>
        <v>276240</v>
      </c>
      <c r="AI94" s="23">
        <f t="shared" si="137"/>
        <v>18360</v>
      </c>
      <c r="AJ94" s="75">
        <f t="shared" si="138"/>
        <v>6.6463944396177241E-2</v>
      </c>
      <c r="AK94" s="27">
        <f>SUM(AK92:AK93)</f>
        <v>-120000</v>
      </c>
      <c r="AL94" s="26">
        <f>SUM(AL92:AL93)</f>
        <v>0</v>
      </c>
      <c r="AM94" s="23">
        <f t="shared" si="139"/>
        <v>-120000</v>
      </c>
      <c r="AN94" s="76" t="str">
        <f t="shared" si="140"/>
        <v>-</v>
      </c>
      <c r="AO94" s="24">
        <f>SUM(AO92:AO93)</f>
        <v>294600</v>
      </c>
      <c r="AP94" s="24">
        <f>SUM(AP92:AP93)</f>
        <v>276240</v>
      </c>
      <c r="AQ94" s="23">
        <f t="shared" si="141"/>
        <v>18360</v>
      </c>
      <c r="AR94" s="76">
        <f t="shared" si="142"/>
        <v>6.6463944396177199E-2</v>
      </c>
      <c r="AS94" s="24">
        <f>SUM(AS92:AS93)</f>
        <v>276240</v>
      </c>
      <c r="AT94" s="23">
        <f t="shared" si="143"/>
        <v>18360</v>
      </c>
      <c r="AU94" s="75">
        <f t="shared" si="144"/>
        <v>6.6463944396177241E-2</v>
      </c>
      <c r="AV94" s="27">
        <f>SUM(AV92:AV93)</f>
        <v>-120000</v>
      </c>
      <c r="AW94" s="26">
        <f>SUM(AW92:AW93)</f>
        <v>0</v>
      </c>
      <c r="AX94" s="23">
        <f t="shared" si="145"/>
        <v>-120000</v>
      </c>
      <c r="AY94" s="76" t="str">
        <f t="shared" si="146"/>
        <v>-</v>
      </c>
      <c r="AZ94" s="24">
        <f>SUM(AZ92:AZ93)</f>
        <v>294600</v>
      </c>
      <c r="BA94" s="24">
        <f>SUM(BA92:BA93)</f>
        <v>276240</v>
      </c>
      <c r="BB94" s="23">
        <f t="shared" si="147"/>
        <v>18360</v>
      </c>
      <c r="BC94" s="76">
        <f t="shared" si="148"/>
        <v>6.6463944396177199E-2</v>
      </c>
      <c r="BD94" s="24">
        <f>SUM(BD92:BD93)</f>
        <v>276240</v>
      </c>
      <c r="BE94" s="23">
        <f t="shared" si="149"/>
        <v>18360</v>
      </c>
      <c r="BF94" s="75">
        <f t="shared" si="150"/>
        <v>6.6463944396177241E-2</v>
      </c>
      <c r="BG94" s="27">
        <f>SUM(BG92:BG93)</f>
        <v>-120000</v>
      </c>
      <c r="BH94" s="26">
        <f>SUM(BH92:BH93)</f>
        <v>0</v>
      </c>
      <c r="BI94" s="23">
        <f t="shared" si="151"/>
        <v>-120000</v>
      </c>
      <c r="BJ94" s="76" t="str">
        <f t="shared" si="152"/>
        <v>-</v>
      </c>
      <c r="BK94" s="24">
        <f>SUM(BK92:BK93)</f>
        <v>294600</v>
      </c>
      <c r="BL94" s="24">
        <f>SUM(BL92:BL93)</f>
        <v>276240</v>
      </c>
      <c r="BM94" s="23">
        <f t="shared" si="153"/>
        <v>18360</v>
      </c>
      <c r="BN94" s="76">
        <f t="shared" si="154"/>
        <v>6.6463944396177199E-2</v>
      </c>
      <c r="BO94" s="24">
        <f>SUM(BO92:BO93)</f>
        <v>276240</v>
      </c>
      <c r="BP94" s="23">
        <f t="shared" si="155"/>
        <v>18360</v>
      </c>
      <c r="BQ94" s="75">
        <f t="shared" si="156"/>
        <v>6.6463944396177241E-2</v>
      </c>
      <c r="BR94" s="27">
        <f>SUM(BR92:BR93)</f>
        <v>-120000</v>
      </c>
      <c r="BS94" s="26">
        <f>SUM(BS92:BS93)</f>
        <v>0</v>
      </c>
      <c r="BT94" s="23">
        <f t="shared" si="157"/>
        <v>-120000</v>
      </c>
      <c r="BU94" s="76" t="str">
        <f t="shared" si="158"/>
        <v>-</v>
      </c>
      <c r="BV94" s="24">
        <f>SUM(BV92:BV93)</f>
        <v>294600</v>
      </c>
      <c r="BW94" s="24">
        <f>SUM(BW92:BW93)</f>
        <v>276240</v>
      </c>
      <c r="BX94" s="23">
        <f t="shared" si="159"/>
        <v>18360</v>
      </c>
      <c r="BY94" s="76">
        <f t="shared" si="160"/>
        <v>6.6463944396177199E-2</v>
      </c>
      <c r="BZ94" s="24">
        <f>SUM(BZ92:BZ93)</f>
        <v>276240</v>
      </c>
      <c r="CA94" s="23">
        <f t="shared" si="161"/>
        <v>18360</v>
      </c>
      <c r="CB94" s="75">
        <f t="shared" si="162"/>
        <v>6.6463944396177241E-2</v>
      </c>
      <c r="CC94" s="27">
        <f>SUM(CC92:CC93)</f>
        <v>-120000</v>
      </c>
      <c r="CD94" s="26">
        <f>SUM(CD92:CD93)</f>
        <v>0</v>
      </c>
      <c r="CE94" s="23">
        <f t="shared" si="163"/>
        <v>-120000</v>
      </c>
      <c r="CF94" s="76" t="str">
        <f t="shared" si="164"/>
        <v>-</v>
      </c>
      <c r="CG94" s="24">
        <f>SUM(CG92:CG93)</f>
        <v>294600</v>
      </c>
      <c r="CH94" s="24">
        <f>SUM(CH92:CH93)</f>
        <v>276240</v>
      </c>
      <c r="CI94" s="23">
        <f t="shared" si="165"/>
        <v>18360</v>
      </c>
      <c r="CJ94" s="76">
        <f t="shared" si="166"/>
        <v>6.6463944396177199E-2</v>
      </c>
      <c r="CK94" s="24">
        <f>SUM(CK92:CK93)</f>
        <v>276240</v>
      </c>
      <c r="CL94" s="23">
        <f t="shared" si="167"/>
        <v>18360</v>
      </c>
      <c r="CM94" s="75">
        <f t="shared" si="168"/>
        <v>6.6463944396177241E-2</v>
      </c>
      <c r="CN94" s="27">
        <f>SUM(CN92:CN93)</f>
        <v>-120000</v>
      </c>
      <c r="CO94" s="26">
        <f>SUM(CO92:CO93)</f>
        <v>0</v>
      </c>
      <c r="CP94" s="23">
        <f t="shared" si="169"/>
        <v>-120000</v>
      </c>
      <c r="CQ94" s="76" t="str">
        <f t="shared" si="170"/>
        <v>-</v>
      </c>
      <c r="CR94" s="24">
        <f>SUM(CR92:CR93)</f>
        <v>294600</v>
      </c>
      <c r="CS94" s="24">
        <f>SUM(CS92:CS93)</f>
        <v>276240</v>
      </c>
      <c r="CT94" s="23">
        <f t="shared" si="171"/>
        <v>18360</v>
      </c>
      <c r="CU94" s="76">
        <f t="shared" si="172"/>
        <v>6.6463944396177199E-2</v>
      </c>
      <c r="CV94" s="24">
        <f>SUM(CV92:CV93)</f>
        <v>276240</v>
      </c>
      <c r="CW94" s="23">
        <f t="shared" si="173"/>
        <v>18360</v>
      </c>
      <c r="CX94" s="75">
        <f t="shared" si="174"/>
        <v>6.6463944396177241E-2</v>
      </c>
      <c r="CY94" s="27">
        <f>SUM(CY92:CY93)</f>
        <v>-120000</v>
      </c>
      <c r="CZ94" s="26">
        <f>SUM(CZ92:CZ93)</f>
        <v>0</v>
      </c>
      <c r="DA94" s="23">
        <f t="shared" si="175"/>
        <v>-120000</v>
      </c>
      <c r="DB94" s="76" t="str">
        <f t="shared" si="176"/>
        <v>-</v>
      </c>
      <c r="DC94" s="24">
        <f>SUM(DC92:DC93)</f>
        <v>294600</v>
      </c>
      <c r="DD94" s="24">
        <f>SUM(DD92:DD93)</f>
        <v>276240</v>
      </c>
      <c r="DE94" s="23">
        <f t="shared" si="177"/>
        <v>18360</v>
      </c>
      <c r="DF94" s="76">
        <f t="shared" si="178"/>
        <v>6.6463944396177199E-2</v>
      </c>
      <c r="DG94" s="24">
        <f>SUM(DG92:DG93)</f>
        <v>276240</v>
      </c>
      <c r="DH94" s="23">
        <f t="shared" si="179"/>
        <v>18360</v>
      </c>
      <c r="DI94" s="75">
        <f t="shared" si="180"/>
        <v>6.6463944396177241E-2</v>
      </c>
    </row>
    <row r="95" spans="1:113" ht="12.75" hidden="1" customHeight="1" outlineLevel="3" x14ac:dyDescent="0.2">
      <c r="A95" s="54"/>
      <c r="B95" s="38" t="str">
        <f t="shared" si="120"/>
        <v>Премия разовая</v>
      </c>
      <c r="C95" s="49" t="str">
        <f t="shared" si="120"/>
        <v>Sign-ons - cash</v>
      </c>
      <c r="D95" s="41">
        <v>19000000</v>
      </c>
      <c r="E95" s="40">
        <v>0</v>
      </c>
      <c r="F95" s="32">
        <f t="shared" si="121"/>
        <v>19000000</v>
      </c>
      <c r="G95" s="78" t="str">
        <f t="shared" si="122"/>
        <v>-</v>
      </c>
      <c r="H95" s="39">
        <v>19000000</v>
      </c>
      <c r="I95" s="39">
        <v>0</v>
      </c>
      <c r="J95" s="32">
        <f t="shared" si="123"/>
        <v>19000000</v>
      </c>
      <c r="K95" s="78" t="str">
        <f t="shared" si="124"/>
        <v>-</v>
      </c>
      <c r="L95" s="39">
        <v>0</v>
      </c>
      <c r="M95" s="32">
        <f t="shared" si="125"/>
        <v>19000000</v>
      </c>
      <c r="N95" s="77" t="str">
        <f t="shared" si="126"/>
        <v>-</v>
      </c>
      <c r="O95" s="41">
        <v>19000000</v>
      </c>
      <c r="P95" s="40">
        <v>0</v>
      </c>
      <c r="Q95" s="32">
        <f t="shared" si="127"/>
        <v>19000000</v>
      </c>
      <c r="R95" s="78" t="str">
        <f t="shared" si="128"/>
        <v>-</v>
      </c>
      <c r="S95" s="39">
        <v>19000000</v>
      </c>
      <c r="T95" s="39">
        <v>0</v>
      </c>
      <c r="U95" s="32">
        <f t="shared" si="129"/>
        <v>19000000</v>
      </c>
      <c r="V95" s="78" t="str">
        <f t="shared" si="130"/>
        <v>-</v>
      </c>
      <c r="W95" s="39">
        <v>0</v>
      </c>
      <c r="X95" s="32">
        <f t="shared" si="131"/>
        <v>19000000</v>
      </c>
      <c r="Y95" s="77" t="str">
        <f t="shared" si="132"/>
        <v>-</v>
      </c>
      <c r="Z95" s="41">
        <v>19000000</v>
      </c>
      <c r="AA95" s="40">
        <v>0</v>
      </c>
      <c r="AB95" s="32">
        <f t="shared" si="133"/>
        <v>19000000</v>
      </c>
      <c r="AC95" s="78" t="str">
        <f t="shared" si="134"/>
        <v>-</v>
      </c>
      <c r="AD95" s="39">
        <v>19000000</v>
      </c>
      <c r="AE95" s="39">
        <v>0</v>
      </c>
      <c r="AF95" s="32">
        <f t="shared" si="135"/>
        <v>19000000</v>
      </c>
      <c r="AG95" s="78" t="str">
        <f t="shared" si="136"/>
        <v>-</v>
      </c>
      <c r="AH95" s="39">
        <v>0</v>
      </c>
      <c r="AI95" s="32">
        <f t="shared" si="137"/>
        <v>19000000</v>
      </c>
      <c r="AJ95" s="77" t="str">
        <f t="shared" si="138"/>
        <v>-</v>
      </c>
      <c r="AK95" s="41">
        <v>19000000</v>
      </c>
      <c r="AL95" s="40">
        <v>0</v>
      </c>
      <c r="AM95" s="32">
        <f t="shared" si="139"/>
        <v>19000000</v>
      </c>
      <c r="AN95" s="78" t="str">
        <f t="shared" si="140"/>
        <v>-</v>
      </c>
      <c r="AO95" s="39">
        <v>19000000</v>
      </c>
      <c r="AP95" s="39">
        <v>0</v>
      </c>
      <c r="AQ95" s="32">
        <f t="shared" si="141"/>
        <v>19000000</v>
      </c>
      <c r="AR95" s="78" t="str">
        <f t="shared" si="142"/>
        <v>-</v>
      </c>
      <c r="AS95" s="39">
        <v>0</v>
      </c>
      <c r="AT95" s="32">
        <f t="shared" si="143"/>
        <v>19000000</v>
      </c>
      <c r="AU95" s="77" t="str">
        <f t="shared" si="144"/>
        <v>-</v>
      </c>
      <c r="AV95" s="41">
        <v>19000000</v>
      </c>
      <c r="AW95" s="40">
        <v>0</v>
      </c>
      <c r="AX95" s="32">
        <f t="shared" si="145"/>
        <v>19000000</v>
      </c>
      <c r="AY95" s="78" t="str">
        <f t="shared" si="146"/>
        <v>-</v>
      </c>
      <c r="AZ95" s="39">
        <v>19000000</v>
      </c>
      <c r="BA95" s="39">
        <v>0</v>
      </c>
      <c r="BB95" s="32">
        <f t="shared" si="147"/>
        <v>19000000</v>
      </c>
      <c r="BC95" s="78" t="str">
        <f t="shared" si="148"/>
        <v>-</v>
      </c>
      <c r="BD95" s="39">
        <v>0</v>
      </c>
      <c r="BE95" s="32">
        <f t="shared" si="149"/>
        <v>19000000</v>
      </c>
      <c r="BF95" s="77" t="str">
        <f t="shared" si="150"/>
        <v>-</v>
      </c>
      <c r="BG95" s="41">
        <v>19000000</v>
      </c>
      <c r="BH95" s="40">
        <v>0</v>
      </c>
      <c r="BI95" s="32">
        <f t="shared" si="151"/>
        <v>19000000</v>
      </c>
      <c r="BJ95" s="78" t="str">
        <f t="shared" si="152"/>
        <v>-</v>
      </c>
      <c r="BK95" s="39">
        <v>19000000</v>
      </c>
      <c r="BL95" s="39">
        <v>0</v>
      </c>
      <c r="BM95" s="32">
        <f t="shared" si="153"/>
        <v>19000000</v>
      </c>
      <c r="BN95" s="78" t="str">
        <f t="shared" si="154"/>
        <v>-</v>
      </c>
      <c r="BO95" s="39">
        <v>0</v>
      </c>
      <c r="BP95" s="32">
        <f t="shared" si="155"/>
        <v>19000000</v>
      </c>
      <c r="BQ95" s="77" t="str">
        <f t="shared" si="156"/>
        <v>-</v>
      </c>
      <c r="BR95" s="41">
        <v>19000000</v>
      </c>
      <c r="BS95" s="40">
        <v>0</v>
      </c>
      <c r="BT95" s="32">
        <f t="shared" si="157"/>
        <v>19000000</v>
      </c>
      <c r="BU95" s="78" t="str">
        <f t="shared" si="158"/>
        <v>-</v>
      </c>
      <c r="BV95" s="39">
        <v>19000000</v>
      </c>
      <c r="BW95" s="39">
        <v>0</v>
      </c>
      <c r="BX95" s="32">
        <f t="shared" si="159"/>
        <v>19000000</v>
      </c>
      <c r="BY95" s="78" t="str">
        <f t="shared" si="160"/>
        <v>-</v>
      </c>
      <c r="BZ95" s="39">
        <v>0</v>
      </c>
      <c r="CA95" s="32">
        <f t="shared" si="161"/>
        <v>19000000</v>
      </c>
      <c r="CB95" s="77" t="str">
        <f t="shared" si="162"/>
        <v>-</v>
      </c>
      <c r="CC95" s="41">
        <v>19000000</v>
      </c>
      <c r="CD95" s="40">
        <v>0</v>
      </c>
      <c r="CE95" s="32">
        <f t="shared" si="163"/>
        <v>19000000</v>
      </c>
      <c r="CF95" s="78" t="str">
        <f t="shared" si="164"/>
        <v>-</v>
      </c>
      <c r="CG95" s="39">
        <v>19000000</v>
      </c>
      <c r="CH95" s="39">
        <v>0</v>
      </c>
      <c r="CI95" s="32">
        <f t="shared" si="165"/>
        <v>19000000</v>
      </c>
      <c r="CJ95" s="78" t="str">
        <f t="shared" si="166"/>
        <v>-</v>
      </c>
      <c r="CK95" s="39">
        <v>0</v>
      </c>
      <c r="CL95" s="32">
        <f t="shared" si="167"/>
        <v>19000000</v>
      </c>
      <c r="CM95" s="77" t="str">
        <f t="shared" si="168"/>
        <v>-</v>
      </c>
      <c r="CN95" s="41">
        <v>19000000</v>
      </c>
      <c r="CO95" s="40">
        <v>0</v>
      </c>
      <c r="CP95" s="32">
        <f t="shared" si="169"/>
        <v>19000000</v>
      </c>
      <c r="CQ95" s="78" t="str">
        <f t="shared" si="170"/>
        <v>-</v>
      </c>
      <c r="CR95" s="39">
        <v>19000000</v>
      </c>
      <c r="CS95" s="39">
        <v>0</v>
      </c>
      <c r="CT95" s="32">
        <f t="shared" si="171"/>
        <v>19000000</v>
      </c>
      <c r="CU95" s="78" t="str">
        <f t="shared" si="172"/>
        <v>-</v>
      </c>
      <c r="CV95" s="39">
        <v>0</v>
      </c>
      <c r="CW95" s="32">
        <f t="shared" si="173"/>
        <v>19000000</v>
      </c>
      <c r="CX95" s="77" t="str">
        <f t="shared" si="174"/>
        <v>-</v>
      </c>
      <c r="CY95" s="41">
        <v>19000000</v>
      </c>
      <c r="CZ95" s="40">
        <v>0</v>
      </c>
      <c r="DA95" s="32">
        <f t="shared" si="175"/>
        <v>19000000</v>
      </c>
      <c r="DB95" s="78" t="str">
        <f t="shared" si="176"/>
        <v>-</v>
      </c>
      <c r="DC95" s="39">
        <v>19000000</v>
      </c>
      <c r="DD95" s="39">
        <v>0</v>
      </c>
      <c r="DE95" s="32">
        <f t="shared" si="177"/>
        <v>19000000</v>
      </c>
      <c r="DF95" s="78" t="str">
        <f t="shared" si="178"/>
        <v>-</v>
      </c>
      <c r="DG95" s="39">
        <v>0</v>
      </c>
      <c r="DH95" s="32">
        <f t="shared" si="179"/>
        <v>19000000</v>
      </c>
      <c r="DI95" s="77" t="str">
        <f t="shared" si="180"/>
        <v>-</v>
      </c>
    </row>
    <row r="96" spans="1:113" ht="12.75" hidden="1" customHeight="1" outlineLevel="3" x14ac:dyDescent="0.2">
      <c r="A96" s="54"/>
      <c r="B96" s="38" t="str">
        <f t="shared" ref="B96:C115" si="181">B33</f>
        <v>Страховые взносы премия разовая</v>
      </c>
      <c r="C96" s="49" t="str">
        <f t="shared" si="181"/>
        <v>Social Security on Sign-ons - cash</v>
      </c>
      <c r="D96" s="41">
        <v>3328677</v>
      </c>
      <c r="E96" s="40">
        <v>0</v>
      </c>
      <c r="F96" s="32">
        <f t="shared" si="121"/>
        <v>3328677</v>
      </c>
      <c r="G96" s="78" t="str">
        <f t="shared" si="122"/>
        <v>-</v>
      </c>
      <c r="H96" s="39">
        <v>3328677</v>
      </c>
      <c r="I96" s="39">
        <v>0</v>
      </c>
      <c r="J96" s="32">
        <f t="shared" si="123"/>
        <v>3328677</v>
      </c>
      <c r="K96" s="78" t="str">
        <f t="shared" si="124"/>
        <v>-</v>
      </c>
      <c r="L96" s="39">
        <v>0</v>
      </c>
      <c r="M96" s="32">
        <f t="shared" si="125"/>
        <v>3328677</v>
      </c>
      <c r="N96" s="77" t="str">
        <f t="shared" si="126"/>
        <v>-</v>
      </c>
      <c r="O96" s="41">
        <v>3328677</v>
      </c>
      <c r="P96" s="40">
        <v>0</v>
      </c>
      <c r="Q96" s="32">
        <f t="shared" si="127"/>
        <v>3328677</v>
      </c>
      <c r="R96" s="78" t="str">
        <f t="shared" si="128"/>
        <v>-</v>
      </c>
      <c r="S96" s="39">
        <v>3328677</v>
      </c>
      <c r="T96" s="39">
        <v>0</v>
      </c>
      <c r="U96" s="32">
        <f t="shared" si="129"/>
        <v>3328677</v>
      </c>
      <c r="V96" s="78" t="str">
        <f t="shared" si="130"/>
        <v>-</v>
      </c>
      <c r="W96" s="39">
        <v>0</v>
      </c>
      <c r="X96" s="32">
        <f t="shared" si="131"/>
        <v>3328677</v>
      </c>
      <c r="Y96" s="77" t="str">
        <f t="shared" si="132"/>
        <v>-</v>
      </c>
      <c r="Z96" s="41">
        <v>3328677</v>
      </c>
      <c r="AA96" s="40">
        <v>0</v>
      </c>
      <c r="AB96" s="32">
        <f t="shared" si="133"/>
        <v>3328677</v>
      </c>
      <c r="AC96" s="78" t="str">
        <f t="shared" si="134"/>
        <v>-</v>
      </c>
      <c r="AD96" s="39">
        <v>3328677</v>
      </c>
      <c r="AE96" s="39">
        <v>0</v>
      </c>
      <c r="AF96" s="32">
        <f t="shared" si="135"/>
        <v>3328677</v>
      </c>
      <c r="AG96" s="78" t="str">
        <f t="shared" si="136"/>
        <v>-</v>
      </c>
      <c r="AH96" s="39">
        <v>0</v>
      </c>
      <c r="AI96" s="32">
        <f t="shared" si="137"/>
        <v>3328677</v>
      </c>
      <c r="AJ96" s="77" t="str">
        <f t="shared" si="138"/>
        <v>-</v>
      </c>
      <c r="AK96" s="41">
        <v>3328677</v>
      </c>
      <c r="AL96" s="40">
        <v>0</v>
      </c>
      <c r="AM96" s="32">
        <f t="shared" si="139"/>
        <v>3328677</v>
      </c>
      <c r="AN96" s="78" t="str">
        <f t="shared" si="140"/>
        <v>-</v>
      </c>
      <c r="AO96" s="39">
        <v>3328677</v>
      </c>
      <c r="AP96" s="39">
        <v>0</v>
      </c>
      <c r="AQ96" s="32">
        <f t="shared" si="141"/>
        <v>3328677</v>
      </c>
      <c r="AR96" s="78" t="str">
        <f t="shared" si="142"/>
        <v>-</v>
      </c>
      <c r="AS96" s="39">
        <v>0</v>
      </c>
      <c r="AT96" s="32">
        <f t="shared" si="143"/>
        <v>3328677</v>
      </c>
      <c r="AU96" s="77" t="str">
        <f t="shared" si="144"/>
        <v>-</v>
      </c>
      <c r="AV96" s="41">
        <v>3328677</v>
      </c>
      <c r="AW96" s="40">
        <v>0</v>
      </c>
      <c r="AX96" s="32">
        <f t="shared" si="145"/>
        <v>3328677</v>
      </c>
      <c r="AY96" s="78" t="str">
        <f t="shared" si="146"/>
        <v>-</v>
      </c>
      <c r="AZ96" s="39">
        <v>3328677</v>
      </c>
      <c r="BA96" s="39">
        <v>0</v>
      </c>
      <c r="BB96" s="32">
        <f t="shared" si="147"/>
        <v>3328677</v>
      </c>
      <c r="BC96" s="78" t="str">
        <f t="shared" si="148"/>
        <v>-</v>
      </c>
      <c r="BD96" s="39">
        <v>0</v>
      </c>
      <c r="BE96" s="32">
        <f t="shared" si="149"/>
        <v>3328677</v>
      </c>
      <c r="BF96" s="77" t="str">
        <f t="shared" si="150"/>
        <v>-</v>
      </c>
      <c r="BG96" s="41">
        <v>3328677</v>
      </c>
      <c r="BH96" s="40">
        <v>0</v>
      </c>
      <c r="BI96" s="32">
        <f t="shared" si="151"/>
        <v>3328677</v>
      </c>
      <c r="BJ96" s="78" t="str">
        <f t="shared" si="152"/>
        <v>-</v>
      </c>
      <c r="BK96" s="39">
        <v>3328677</v>
      </c>
      <c r="BL96" s="39">
        <v>0</v>
      </c>
      <c r="BM96" s="32">
        <f t="shared" si="153"/>
        <v>3328677</v>
      </c>
      <c r="BN96" s="78" t="str">
        <f t="shared" si="154"/>
        <v>-</v>
      </c>
      <c r="BO96" s="39">
        <v>0</v>
      </c>
      <c r="BP96" s="32">
        <f t="shared" si="155"/>
        <v>3328677</v>
      </c>
      <c r="BQ96" s="77" t="str">
        <f t="shared" si="156"/>
        <v>-</v>
      </c>
      <c r="BR96" s="41">
        <v>3328677</v>
      </c>
      <c r="BS96" s="40">
        <v>0</v>
      </c>
      <c r="BT96" s="32">
        <f t="shared" si="157"/>
        <v>3328677</v>
      </c>
      <c r="BU96" s="78" t="str">
        <f t="shared" si="158"/>
        <v>-</v>
      </c>
      <c r="BV96" s="39">
        <v>3328677</v>
      </c>
      <c r="BW96" s="39">
        <v>0</v>
      </c>
      <c r="BX96" s="32">
        <f t="shared" si="159"/>
        <v>3328677</v>
      </c>
      <c r="BY96" s="78" t="str">
        <f t="shared" si="160"/>
        <v>-</v>
      </c>
      <c r="BZ96" s="39">
        <v>0</v>
      </c>
      <c r="CA96" s="32">
        <f t="shared" si="161"/>
        <v>3328677</v>
      </c>
      <c r="CB96" s="77" t="str">
        <f t="shared" si="162"/>
        <v>-</v>
      </c>
      <c r="CC96" s="41">
        <v>3328677</v>
      </c>
      <c r="CD96" s="40">
        <v>0</v>
      </c>
      <c r="CE96" s="32">
        <f t="shared" si="163"/>
        <v>3328677</v>
      </c>
      <c r="CF96" s="78" t="str">
        <f t="shared" si="164"/>
        <v>-</v>
      </c>
      <c r="CG96" s="39">
        <v>3328677</v>
      </c>
      <c r="CH96" s="39">
        <v>0</v>
      </c>
      <c r="CI96" s="32">
        <f t="shared" si="165"/>
        <v>3328677</v>
      </c>
      <c r="CJ96" s="78" t="str">
        <f t="shared" si="166"/>
        <v>-</v>
      </c>
      <c r="CK96" s="39">
        <v>0</v>
      </c>
      <c r="CL96" s="32">
        <f t="shared" si="167"/>
        <v>3328677</v>
      </c>
      <c r="CM96" s="77" t="str">
        <f t="shared" si="168"/>
        <v>-</v>
      </c>
      <c r="CN96" s="41">
        <v>3328677</v>
      </c>
      <c r="CO96" s="40">
        <v>0</v>
      </c>
      <c r="CP96" s="32">
        <f t="shared" si="169"/>
        <v>3328677</v>
      </c>
      <c r="CQ96" s="78" t="str">
        <f t="shared" si="170"/>
        <v>-</v>
      </c>
      <c r="CR96" s="39">
        <v>3328677</v>
      </c>
      <c r="CS96" s="39">
        <v>0</v>
      </c>
      <c r="CT96" s="32">
        <f t="shared" si="171"/>
        <v>3328677</v>
      </c>
      <c r="CU96" s="78" t="str">
        <f t="shared" si="172"/>
        <v>-</v>
      </c>
      <c r="CV96" s="39">
        <v>0</v>
      </c>
      <c r="CW96" s="32">
        <f t="shared" si="173"/>
        <v>3328677</v>
      </c>
      <c r="CX96" s="77" t="str">
        <f t="shared" si="174"/>
        <v>-</v>
      </c>
      <c r="CY96" s="41">
        <v>3328677</v>
      </c>
      <c r="CZ96" s="40">
        <v>0</v>
      </c>
      <c r="DA96" s="32">
        <f t="shared" si="175"/>
        <v>3328677</v>
      </c>
      <c r="DB96" s="78" t="str">
        <f t="shared" si="176"/>
        <v>-</v>
      </c>
      <c r="DC96" s="39">
        <v>3328677</v>
      </c>
      <c r="DD96" s="39">
        <v>0</v>
      </c>
      <c r="DE96" s="32">
        <f t="shared" si="177"/>
        <v>3328677</v>
      </c>
      <c r="DF96" s="78" t="str">
        <f t="shared" si="178"/>
        <v>-</v>
      </c>
      <c r="DG96" s="39">
        <v>0</v>
      </c>
      <c r="DH96" s="32">
        <f t="shared" si="179"/>
        <v>3328677</v>
      </c>
      <c r="DI96" s="77" t="str">
        <f t="shared" si="180"/>
        <v>-</v>
      </c>
    </row>
    <row r="97" spans="1:113" s="6" customFormat="1" hidden="1" outlineLevel="2" collapsed="1" x14ac:dyDescent="0.2">
      <c r="A97" s="30"/>
      <c r="B97" s="29" t="str">
        <f t="shared" si="181"/>
        <v>Итого премия разовая</v>
      </c>
      <c r="C97" s="52" t="str">
        <f t="shared" si="181"/>
        <v>Total Sign-ons - cash</v>
      </c>
      <c r="D97" s="27">
        <f>SUM(D95:D96)</f>
        <v>22328677</v>
      </c>
      <c r="E97" s="26">
        <f>SUM(E95:E96)</f>
        <v>0</v>
      </c>
      <c r="F97" s="23">
        <f t="shared" si="121"/>
        <v>22328677</v>
      </c>
      <c r="G97" s="76" t="str">
        <f t="shared" si="122"/>
        <v>-</v>
      </c>
      <c r="H97" s="24">
        <f>SUM(H95:H96)</f>
        <v>22328677</v>
      </c>
      <c r="I97" s="24">
        <f>SUM(I95:I96)</f>
        <v>0</v>
      </c>
      <c r="J97" s="23">
        <f t="shared" si="123"/>
        <v>22328677</v>
      </c>
      <c r="K97" s="76" t="str">
        <f t="shared" si="124"/>
        <v>-</v>
      </c>
      <c r="L97" s="24">
        <f>SUM(L95:L96)</f>
        <v>0</v>
      </c>
      <c r="M97" s="23">
        <f t="shared" si="125"/>
        <v>22328677</v>
      </c>
      <c r="N97" s="75" t="str">
        <f t="shared" si="126"/>
        <v>-</v>
      </c>
      <c r="O97" s="27">
        <f>SUM(O95:O96)</f>
        <v>22328677</v>
      </c>
      <c r="P97" s="26">
        <f>SUM(P95:P96)</f>
        <v>0</v>
      </c>
      <c r="Q97" s="23">
        <f t="shared" si="127"/>
        <v>22328677</v>
      </c>
      <c r="R97" s="76" t="str">
        <f t="shared" si="128"/>
        <v>-</v>
      </c>
      <c r="S97" s="24">
        <f>SUM(S95:S96)</f>
        <v>22328677</v>
      </c>
      <c r="T97" s="24">
        <f>SUM(T95:T96)</f>
        <v>0</v>
      </c>
      <c r="U97" s="23">
        <f t="shared" si="129"/>
        <v>22328677</v>
      </c>
      <c r="V97" s="76" t="str">
        <f t="shared" si="130"/>
        <v>-</v>
      </c>
      <c r="W97" s="24">
        <f>SUM(W95:W96)</f>
        <v>0</v>
      </c>
      <c r="X97" s="23">
        <f t="shared" si="131"/>
        <v>22328677</v>
      </c>
      <c r="Y97" s="75" t="str">
        <f t="shared" si="132"/>
        <v>-</v>
      </c>
      <c r="Z97" s="27">
        <f>SUM(Z95:Z96)</f>
        <v>22328677</v>
      </c>
      <c r="AA97" s="26">
        <f>SUM(AA95:AA96)</f>
        <v>0</v>
      </c>
      <c r="AB97" s="23">
        <f t="shared" si="133"/>
        <v>22328677</v>
      </c>
      <c r="AC97" s="76" t="str">
        <f t="shared" si="134"/>
        <v>-</v>
      </c>
      <c r="AD97" s="24">
        <f>SUM(AD95:AD96)</f>
        <v>22328677</v>
      </c>
      <c r="AE97" s="24">
        <f>SUM(AE95:AE96)</f>
        <v>0</v>
      </c>
      <c r="AF97" s="23">
        <f t="shared" si="135"/>
        <v>22328677</v>
      </c>
      <c r="AG97" s="76" t="str">
        <f t="shared" si="136"/>
        <v>-</v>
      </c>
      <c r="AH97" s="24">
        <f>SUM(AH95:AH96)</f>
        <v>0</v>
      </c>
      <c r="AI97" s="23">
        <f t="shared" si="137"/>
        <v>22328677</v>
      </c>
      <c r="AJ97" s="75" t="str">
        <f t="shared" si="138"/>
        <v>-</v>
      </c>
      <c r="AK97" s="27">
        <f>SUM(AK95:AK96)</f>
        <v>22328677</v>
      </c>
      <c r="AL97" s="26">
        <f>SUM(AL95:AL96)</f>
        <v>0</v>
      </c>
      <c r="AM97" s="23">
        <f t="shared" si="139"/>
        <v>22328677</v>
      </c>
      <c r="AN97" s="76" t="str">
        <f t="shared" si="140"/>
        <v>-</v>
      </c>
      <c r="AO97" s="24">
        <f>SUM(AO95:AO96)</f>
        <v>22328677</v>
      </c>
      <c r="AP97" s="24">
        <f>SUM(AP95:AP96)</f>
        <v>0</v>
      </c>
      <c r="AQ97" s="23">
        <f t="shared" si="141"/>
        <v>22328677</v>
      </c>
      <c r="AR97" s="76" t="str">
        <f t="shared" si="142"/>
        <v>-</v>
      </c>
      <c r="AS97" s="24">
        <f>SUM(AS95:AS96)</f>
        <v>0</v>
      </c>
      <c r="AT97" s="23">
        <f t="shared" si="143"/>
        <v>22328677</v>
      </c>
      <c r="AU97" s="75" t="str">
        <f t="shared" si="144"/>
        <v>-</v>
      </c>
      <c r="AV97" s="27">
        <f>SUM(AV95:AV96)</f>
        <v>22328677</v>
      </c>
      <c r="AW97" s="26">
        <f>SUM(AW95:AW96)</f>
        <v>0</v>
      </c>
      <c r="AX97" s="23">
        <f t="shared" si="145"/>
        <v>22328677</v>
      </c>
      <c r="AY97" s="76" t="str">
        <f t="shared" si="146"/>
        <v>-</v>
      </c>
      <c r="AZ97" s="24">
        <f>SUM(AZ95:AZ96)</f>
        <v>22328677</v>
      </c>
      <c r="BA97" s="24">
        <f>SUM(BA95:BA96)</f>
        <v>0</v>
      </c>
      <c r="BB97" s="23">
        <f t="shared" si="147"/>
        <v>22328677</v>
      </c>
      <c r="BC97" s="76" t="str">
        <f t="shared" si="148"/>
        <v>-</v>
      </c>
      <c r="BD97" s="24">
        <f>SUM(BD95:BD96)</f>
        <v>0</v>
      </c>
      <c r="BE97" s="23">
        <f t="shared" si="149"/>
        <v>22328677</v>
      </c>
      <c r="BF97" s="75" t="str">
        <f t="shared" si="150"/>
        <v>-</v>
      </c>
      <c r="BG97" s="27">
        <f>SUM(BG95:BG96)</f>
        <v>22328677</v>
      </c>
      <c r="BH97" s="26">
        <f>SUM(BH95:BH96)</f>
        <v>0</v>
      </c>
      <c r="BI97" s="23">
        <f t="shared" si="151"/>
        <v>22328677</v>
      </c>
      <c r="BJ97" s="76" t="str">
        <f t="shared" si="152"/>
        <v>-</v>
      </c>
      <c r="BK97" s="24">
        <f>SUM(BK95:BK96)</f>
        <v>22328677</v>
      </c>
      <c r="BL97" s="24">
        <f>SUM(BL95:BL96)</f>
        <v>0</v>
      </c>
      <c r="BM97" s="23">
        <f t="shared" si="153"/>
        <v>22328677</v>
      </c>
      <c r="BN97" s="76" t="str">
        <f t="shared" si="154"/>
        <v>-</v>
      </c>
      <c r="BO97" s="24">
        <f>SUM(BO95:BO96)</f>
        <v>0</v>
      </c>
      <c r="BP97" s="23">
        <f t="shared" si="155"/>
        <v>22328677</v>
      </c>
      <c r="BQ97" s="75" t="str">
        <f t="shared" si="156"/>
        <v>-</v>
      </c>
      <c r="BR97" s="27">
        <f>SUM(BR95:BR96)</f>
        <v>22328677</v>
      </c>
      <c r="BS97" s="26">
        <f>SUM(BS95:BS96)</f>
        <v>0</v>
      </c>
      <c r="BT97" s="23">
        <f t="shared" si="157"/>
        <v>22328677</v>
      </c>
      <c r="BU97" s="76" t="str">
        <f t="shared" si="158"/>
        <v>-</v>
      </c>
      <c r="BV97" s="24">
        <f>SUM(BV95:BV96)</f>
        <v>22328677</v>
      </c>
      <c r="BW97" s="24">
        <f>SUM(BW95:BW96)</f>
        <v>0</v>
      </c>
      <c r="BX97" s="23">
        <f t="shared" si="159"/>
        <v>22328677</v>
      </c>
      <c r="BY97" s="76" t="str">
        <f t="shared" si="160"/>
        <v>-</v>
      </c>
      <c r="BZ97" s="24">
        <f>SUM(BZ95:BZ96)</f>
        <v>0</v>
      </c>
      <c r="CA97" s="23">
        <f t="shared" si="161"/>
        <v>22328677</v>
      </c>
      <c r="CB97" s="75" t="str">
        <f t="shared" si="162"/>
        <v>-</v>
      </c>
      <c r="CC97" s="27">
        <f>SUM(CC95:CC96)</f>
        <v>22328677</v>
      </c>
      <c r="CD97" s="26">
        <f>SUM(CD95:CD96)</f>
        <v>0</v>
      </c>
      <c r="CE97" s="23">
        <f t="shared" si="163"/>
        <v>22328677</v>
      </c>
      <c r="CF97" s="76" t="str">
        <f t="shared" si="164"/>
        <v>-</v>
      </c>
      <c r="CG97" s="24">
        <f>SUM(CG95:CG96)</f>
        <v>22328677</v>
      </c>
      <c r="CH97" s="24">
        <f>SUM(CH95:CH96)</f>
        <v>0</v>
      </c>
      <c r="CI97" s="23">
        <f t="shared" si="165"/>
        <v>22328677</v>
      </c>
      <c r="CJ97" s="76" t="str">
        <f t="shared" si="166"/>
        <v>-</v>
      </c>
      <c r="CK97" s="24">
        <f>SUM(CK95:CK96)</f>
        <v>0</v>
      </c>
      <c r="CL97" s="23">
        <f t="shared" si="167"/>
        <v>22328677</v>
      </c>
      <c r="CM97" s="75" t="str">
        <f t="shared" si="168"/>
        <v>-</v>
      </c>
      <c r="CN97" s="27">
        <f>SUM(CN95:CN96)</f>
        <v>22328677</v>
      </c>
      <c r="CO97" s="26">
        <f>SUM(CO95:CO96)</f>
        <v>0</v>
      </c>
      <c r="CP97" s="23">
        <f t="shared" si="169"/>
        <v>22328677</v>
      </c>
      <c r="CQ97" s="76" t="str">
        <f t="shared" si="170"/>
        <v>-</v>
      </c>
      <c r="CR97" s="24">
        <f>SUM(CR95:CR96)</f>
        <v>22328677</v>
      </c>
      <c r="CS97" s="24">
        <f>SUM(CS95:CS96)</f>
        <v>0</v>
      </c>
      <c r="CT97" s="23">
        <f t="shared" si="171"/>
        <v>22328677</v>
      </c>
      <c r="CU97" s="76" t="str">
        <f t="shared" si="172"/>
        <v>-</v>
      </c>
      <c r="CV97" s="24">
        <f>SUM(CV95:CV96)</f>
        <v>0</v>
      </c>
      <c r="CW97" s="23">
        <f t="shared" si="173"/>
        <v>22328677</v>
      </c>
      <c r="CX97" s="75" t="str">
        <f t="shared" si="174"/>
        <v>-</v>
      </c>
      <c r="CY97" s="27">
        <f>SUM(CY95:CY96)</f>
        <v>22328677</v>
      </c>
      <c r="CZ97" s="26">
        <f>SUM(CZ95:CZ96)</f>
        <v>0</v>
      </c>
      <c r="DA97" s="23">
        <f t="shared" si="175"/>
        <v>22328677</v>
      </c>
      <c r="DB97" s="76" t="str">
        <f t="shared" si="176"/>
        <v>-</v>
      </c>
      <c r="DC97" s="24">
        <f>SUM(DC95:DC96)</f>
        <v>22328677</v>
      </c>
      <c r="DD97" s="24">
        <f>SUM(DD95:DD96)</f>
        <v>0</v>
      </c>
      <c r="DE97" s="23">
        <f t="shared" si="177"/>
        <v>22328677</v>
      </c>
      <c r="DF97" s="76" t="str">
        <f t="shared" si="178"/>
        <v>-</v>
      </c>
      <c r="DG97" s="24">
        <f>SUM(DG95:DG96)</f>
        <v>0</v>
      </c>
      <c r="DH97" s="23">
        <f t="shared" si="179"/>
        <v>22328677</v>
      </c>
      <c r="DI97" s="75" t="str">
        <f t="shared" si="180"/>
        <v>-</v>
      </c>
    </row>
    <row r="98" spans="1:113" ht="12.75" hidden="1" customHeight="1" outlineLevel="3" x14ac:dyDescent="0.2">
      <c r="A98" s="54"/>
      <c r="B98" s="38" t="str">
        <f t="shared" si="181"/>
        <v>Выплаты при увольнении</v>
      </c>
      <c r="C98" s="49" t="str">
        <f t="shared" si="181"/>
        <v>Direct severance payments - cash</v>
      </c>
      <c r="D98" s="41">
        <v>0</v>
      </c>
      <c r="E98" s="40">
        <v>0</v>
      </c>
      <c r="F98" s="32">
        <f t="shared" si="121"/>
        <v>0</v>
      </c>
      <c r="G98" s="78" t="str">
        <f t="shared" si="122"/>
        <v>-</v>
      </c>
      <c r="H98" s="39">
        <v>4443000</v>
      </c>
      <c r="I98" s="39">
        <v>0</v>
      </c>
      <c r="J98" s="32">
        <f t="shared" si="123"/>
        <v>4443000</v>
      </c>
      <c r="K98" s="78" t="str">
        <f t="shared" si="124"/>
        <v>-</v>
      </c>
      <c r="L98" s="39">
        <v>1320000</v>
      </c>
      <c r="M98" s="32">
        <f t="shared" si="125"/>
        <v>3123000</v>
      </c>
      <c r="N98" s="77">
        <f t="shared" si="126"/>
        <v>2.3659090909090907</v>
      </c>
      <c r="O98" s="41">
        <v>0</v>
      </c>
      <c r="P98" s="40">
        <v>0</v>
      </c>
      <c r="Q98" s="32">
        <f t="shared" si="127"/>
        <v>0</v>
      </c>
      <c r="R98" s="78" t="str">
        <f t="shared" si="128"/>
        <v>-</v>
      </c>
      <c r="S98" s="39">
        <v>4443000</v>
      </c>
      <c r="T98" s="39">
        <v>0</v>
      </c>
      <c r="U98" s="32">
        <f t="shared" si="129"/>
        <v>4443000</v>
      </c>
      <c r="V98" s="78" t="str">
        <f t="shared" si="130"/>
        <v>-</v>
      </c>
      <c r="W98" s="39">
        <v>1320000</v>
      </c>
      <c r="X98" s="32">
        <f t="shared" si="131"/>
        <v>3123000</v>
      </c>
      <c r="Y98" s="77">
        <f t="shared" si="132"/>
        <v>2.3659090909090907</v>
      </c>
      <c r="Z98" s="41">
        <v>0</v>
      </c>
      <c r="AA98" s="40">
        <v>0</v>
      </c>
      <c r="AB98" s="32">
        <f t="shared" si="133"/>
        <v>0</v>
      </c>
      <c r="AC98" s="78" t="str">
        <f t="shared" si="134"/>
        <v>-</v>
      </c>
      <c r="AD98" s="39">
        <v>4443000</v>
      </c>
      <c r="AE98" s="39">
        <v>0</v>
      </c>
      <c r="AF98" s="32">
        <f t="shared" si="135"/>
        <v>4443000</v>
      </c>
      <c r="AG98" s="78" t="str">
        <f t="shared" si="136"/>
        <v>-</v>
      </c>
      <c r="AH98" s="39">
        <v>1320000</v>
      </c>
      <c r="AI98" s="32">
        <f t="shared" si="137"/>
        <v>3123000</v>
      </c>
      <c r="AJ98" s="77">
        <f t="shared" si="138"/>
        <v>2.3659090909090907</v>
      </c>
      <c r="AK98" s="41">
        <v>0</v>
      </c>
      <c r="AL98" s="40">
        <v>0</v>
      </c>
      <c r="AM98" s="32">
        <f t="shared" si="139"/>
        <v>0</v>
      </c>
      <c r="AN98" s="78" t="str">
        <f t="shared" si="140"/>
        <v>-</v>
      </c>
      <c r="AO98" s="39">
        <v>4443000</v>
      </c>
      <c r="AP98" s="39">
        <v>0</v>
      </c>
      <c r="AQ98" s="32">
        <f t="shared" si="141"/>
        <v>4443000</v>
      </c>
      <c r="AR98" s="78" t="str">
        <f t="shared" si="142"/>
        <v>-</v>
      </c>
      <c r="AS98" s="39">
        <v>1320000</v>
      </c>
      <c r="AT98" s="32">
        <f t="shared" si="143"/>
        <v>3123000</v>
      </c>
      <c r="AU98" s="77">
        <f t="shared" si="144"/>
        <v>2.3659090909090907</v>
      </c>
      <c r="AV98" s="41">
        <v>0</v>
      </c>
      <c r="AW98" s="40">
        <v>0</v>
      </c>
      <c r="AX98" s="32">
        <f t="shared" si="145"/>
        <v>0</v>
      </c>
      <c r="AY98" s="78" t="str">
        <f t="shared" si="146"/>
        <v>-</v>
      </c>
      <c r="AZ98" s="39">
        <v>4443000</v>
      </c>
      <c r="BA98" s="39">
        <v>0</v>
      </c>
      <c r="BB98" s="32">
        <f t="shared" si="147"/>
        <v>4443000</v>
      </c>
      <c r="BC98" s="78" t="str">
        <f t="shared" si="148"/>
        <v>-</v>
      </c>
      <c r="BD98" s="39">
        <v>1320000</v>
      </c>
      <c r="BE98" s="32">
        <f t="shared" si="149"/>
        <v>3123000</v>
      </c>
      <c r="BF98" s="77">
        <f t="shared" si="150"/>
        <v>2.3659090909090907</v>
      </c>
      <c r="BG98" s="41">
        <v>0</v>
      </c>
      <c r="BH98" s="40">
        <v>0</v>
      </c>
      <c r="BI98" s="32">
        <f t="shared" si="151"/>
        <v>0</v>
      </c>
      <c r="BJ98" s="78" t="str">
        <f t="shared" si="152"/>
        <v>-</v>
      </c>
      <c r="BK98" s="39">
        <v>4443000</v>
      </c>
      <c r="BL98" s="39">
        <v>0</v>
      </c>
      <c r="BM98" s="32">
        <f t="shared" si="153"/>
        <v>4443000</v>
      </c>
      <c r="BN98" s="78" t="str">
        <f t="shared" si="154"/>
        <v>-</v>
      </c>
      <c r="BO98" s="39">
        <v>1320000</v>
      </c>
      <c r="BP98" s="32">
        <f t="shared" si="155"/>
        <v>3123000</v>
      </c>
      <c r="BQ98" s="77">
        <f t="shared" si="156"/>
        <v>2.3659090909090907</v>
      </c>
      <c r="BR98" s="41">
        <v>0</v>
      </c>
      <c r="BS98" s="40">
        <v>0</v>
      </c>
      <c r="BT98" s="32">
        <f t="shared" si="157"/>
        <v>0</v>
      </c>
      <c r="BU98" s="78" t="str">
        <f t="shared" si="158"/>
        <v>-</v>
      </c>
      <c r="BV98" s="39">
        <v>4443000</v>
      </c>
      <c r="BW98" s="39">
        <v>0</v>
      </c>
      <c r="BX98" s="32">
        <f t="shared" si="159"/>
        <v>4443000</v>
      </c>
      <c r="BY98" s="78" t="str">
        <f t="shared" si="160"/>
        <v>-</v>
      </c>
      <c r="BZ98" s="39">
        <v>1320000</v>
      </c>
      <c r="CA98" s="32">
        <f t="shared" si="161"/>
        <v>3123000</v>
      </c>
      <c r="CB98" s="77">
        <f t="shared" si="162"/>
        <v>2.3659090909090907</v>
      </c>
      <c r="CC98" s="41">
        <v>0</v>
      </c>
      <c r="CD98" s="40">
        <v>0</v>
      </c>
      <c r="CE98" s="32">
        <f t="shared" si="163"/>
        <v>0</v>
      </c>
      <c r="CF98" s="78" t="str">
        <f t="shared" si="164"/>
        <v>-</v>
      </c>
      <c r="CG98" s="39">
        <v>4443000</v>
      </c>
      <c r="CH98" s="39">
        <v>0</v>
      </c>
      <c r="CI98" s="32">
        <f t="shared" si="165"/>
        <v>4443000</v>
      </c>
      <c r="CJ98" s="78" t="str">
        <f t="shared" si="166"/>
        <v>-</v>
      </c>
      <c r="CK98" s="39">
        <v>1320000</v>
      </c>
      <c r="CL98" s="32">
        <f t="shared" si="167"/>
        <v>3123000</v>
      </c>
      <c r="CM98" s="77">
        <f t="shared" si="168"/>
        <v>2.3659090909090907</v>
      </c>
      <c r="CN98" s="41">
        <v>0</v>
      </c>
      <c r="CO98" s="40">
        <v>0</v>
      </c>
      <c r="CP98" s="32">
        <f t="shared" si="169"/>
        <v>0</v>
      </c>
      <c r="CQ98" s="78" t="str">
        <f t="shared" si="170"/>
        <v>-</v>
      </c>
      <c r="CR98" s="39">
        <v>4443000</v>
      </c>
      <c r="CS98" s="39">
        <v>0</v>
      </c>
      <c r="CT98" s="32">
        <f t="shared" si="171"/>
        <v>4443000</v>
      </c>
      <c r="CU98" s="78" t="str">
        <f t="shared" si="172"/>
        <v>-</v>
      </c>
      <c r="CV98" s="39">
        <v>1320000</v>
      </c>
      <c r="CW98" s="32">
        <f t="shared" si="173"/>
        <v>3123000</v>
      </c>
      <c r="CX98" s="77">
        <f t="shared" si="174"/>
        <v>2.3659090909090907</v>
      </c>
      <c r="CY98" s="41">
        <v>0</v>
      </c>
      <c r="CZ98" s="40">
        <v>0</v>
      </c>
      <c r="DA98" s="32">
        <f t="shared" si="175"/>
        <v>0</v>
      </c>
      <c r="DB98" s="78" t="str">
        <f t="shared" si="176"/>
        <v>-</v>
      </c>
      <c r="DC98" s="39">
        <v>4443000</v>
      </c>
      <c r="DD98" s="39">
        <v>0</v>
      </c>
      <c r="DE98" s="32">
        <f t="shared" si="177"/>
        <v>4443000</v>
      </c>
      <c r="DF98" s="78" t="str">
        <f t="shared" si="178"/>
        <v>-</v>
      </c>
      <c r="DG98" s="39">
        <v>1320000</v>
      </c>
      <c r="DH98" s="32">
        <f t="shared" si="179"/>
        <v>3123000</v>
      </c>
      <c r="DI98" s="77">
        <f t="shared" si="180"/>
        <v>2.3659090909090907</v>
      </c>
    </row>
    <row r="99" spans="1:113" ht="12.75" hidden="1" customHeight="1" outlineLevel="3" x14ac:dyDescent="0.2">
      <c r="A99" s="54"/>
      <c r="B99" s="38" t="str">
        <f t="shared" si="181"/>
        <v>Страховые взносы выплаты при увольнении</v>
      </c>
      <c r="C99" s="49" t="str">
        <f t="shared" si="181"/>
        <v>Social Security on Severance</v>
      </c>
      <c r="D99" s="41">
        <v>0</v>
      </c>
      <c r="E99" s="40">
        <v>0</v>
      </c>
      <c r="F99" s="32">
        <f t="shared" si="121"/>
        <v>0</v>
      </c>
      <c r="G99" s="78" t="str">
        <f t="shared" si="122"/>
        <v>-</v>
      </c>
      <c r="H99" s="39">
        <v>32028.32</v>
      </c>
      <c r="I99" s="39">
        <v>0</v>
      </c>
      <c r="J99" s="32">
        <f t="shared" si="123"/>
        <v>32028.32</v>
      </c>
      <c r="K99" s="78" t="str">
        <f t="shared" si="124"/>
        <v>-</v>
      </c>
      <c r="L99" s="39">
        <v>32028.32</v>
      </c>
      <c r="M99" s="32">
        <f t="shared" si="125"/>
        <v>0</v>
      </c>
      <c r="N99" s="77">
        <f t="shared" si="126"/>
        <v>0</v>
      </c>
      <c r="O99" s="41">
        <v>0</v>
      </c>
      <c r="P99" s="40">
        <v>0</v>
      </c>
      <c r="Q99" s="32">
        <f t="shared" si="127"/>
        <v>0</v>
      </c>
      <c r="R99" s="78" t="str">
        <f t="shared" si="128"/>
        <v>-</v>
      </c>
      <c r="S99" s="39">
        <v>32028.32</v>
      </c>
      <c r="T99" s="39">
        <v>0</v>
      </c>
      <c r="U99" s="32">
        <f t="shared" si="129"/>
        <v>32028.32</v>
      </c>
      <c r="V99" s="78" t="str">
        <f t="shared" si="130"/>
        <v>-</v>
      </c>
      <c r="W99" s="39">
        <v>32028.32</v>
      </c>
      <c r="X99" s="32">
        <f t="shared" si="131"/>
        <v>0</v>
      </c>
      <c r="Y99" s="77">
        <f t="shared" si="132"/>
        <v>0</v>
      </c>
      <c r="Z99" s="41">
        <v>0</v>
      </c>
      <c r="AA99" s="40">
        <v>0</v>
      </c>
      <c r="AB99" s="32">
        <f t="shared" si="133"/>
        <v>0</v>
      </c>
      <c r="AC99" s="78" t="str">
        <f t="shared" si="134"/>
        <v>-</v>
      </c>
      <c r="AD99" s="39">
        <v>32028.32</v>
      </c>
      <c r="AE99" s="39">
        <v>0</v>
      </c>
      <c r="AF99" s="32">
        <f t="shared" si="135"/>
        <v>32028.32</v>
      </c>
      <c r="AG99" s="78" t="str">
        <f t="shared" si="136"/>
        <v>-</v>
      </c>
      <c r="AH99" s="39">
        <v>32028.32</v>
      </c>
      <c r="AI99" s="32">
        <f t="shared" si="137"/>
        <v>0</v>
      </c>
      <c r="AJ99" s="77">
        <f t="shared" si="138"/>
        <v>0</v>
      </c>
      <c r="AK99" s="41">
        <v>0</v>
      </c>
      <c r="AL99" s="40">
        <v>0</v>
      </c>
      <c r="AM99" s="32">
        <f t="shared" si="139"/>
        <v>0</v>
      </c>
      <c r="AN99" s="78" t="str">
        <f t="shared" si="140"/>
        <v>-</v>
      </c>
      <c r="AO99" s="39">
        <v>32028.32</v>
      </c>
      <c r="AP99" s="39">
        <v>0</v>
      </c>
      <c r="AQ99" s="32">
        <f t="shared" si="141"/>
        <v>32028.32</v>
      </c>
      <c r="AR99" s="78" t="str">
        <f t="shared" si="142"/>
        <v>-</v>
      </c>
      <c r="AS99" s="39">
        <v>32028.32</v>
      </c>
      <c r="AT99" s="32">
        <f t="shared" si="143"/>
        <v>0</v>
      </c>
      <c r="AU99" s="77">
        <f t="shared" si="144"/>
        <v>0</v>
      </c>
      <c r="AV99" s="41">
        <v>0</v>
      </c>
      <c r="AW99" s="40">
        <v>0</v>
      </c>
      <c r="AX99" s="32">
        <f t="shared" si="145"/>
        <v>0</v>
      </c>
      <c r="AY99" s="78" t="str">
        <f t="shared" si="146"/>
        <v>-</v>
      </c>
      <c r="AZ99" s="39">
        <v>32028.32</v>
      </c>
      <c r="BA99" s="39">
        <v>0</v>
      </c>
      <c r="BB99" s="32">
        <f t="shared" si="147"/>
        <v>32028.32</v>
      </c>
      <c r="BC99" s="78" t="str">
        <f t="shared" si="148"/>
        <v>-</v>
      </c>
      <c r="BD99" s="39">
        <v>32028.32</v>
      </c>
      <c r="BE99" s="32">
        <f t="shared" si="149"/>
        <v>0</v>
      </c>
      <c r="BF99" s="77">
        <f t="shared" si="150"/>
        <v>0</v>
      </c>
      <c r="BG99" s="41">
        <v>0</v>
      </c>
      <c r="BH99" s="40">
        <v>0</v>
      </c>
      <c r="BI99" s="32">
        <f t="shared" si="151"/>
        <v>0</v>
      </c>
      <c r="BJ99" s="78" t="str">
        <f t="shared" si="152"/>
        <v>-</v>
      </c>
      <c r="BK99" s="39">
        <v>32028.32</v>
      </c>
      <c r="BL99" s="39">
        <v>0</v>
      </c>
      <c r="BM99" s="32">
        <f t="shared" si="153"/>
        <v>32028.32</v>
      </c>
      <c r="BN99" s="78" t="str">
        <f t="shared" si="154"/>
        <v>-</v>
      </c>
      <c r="BO99" s="39">
        <v>32028.32</v>
      </c>
      <c r="BP99" s="32">
        <f t="shared" si="155"/>
        <v>0</v>
      </c>
      <c r="BQ99" s="77">
        <f t="shared" si="156"/>
        <v>0</v>
      </c>
      <c r="BR99" s="41">
        <v>0</v>
      </c>
      <c r="BS99" s="40">
        <v>0</v>
      </c>
      <c r="BT99" s="32">
        <f t="shared" si="157"/>
        <v>0</v>
      </c>
      <c r="BU99" s="78" t="str">
        <f t="shared" si="158"/>
        <v>-</v>
      </c>
      <c r="BV99" s="39">
        <v>32028.32</v>
      </c>
      <c r="BW99" s="39">
        <v>0</v>
      </c>
      <c r="BX99" s="32">
        <f t="shared" si="159"/>
        <v>32028.32</v>
      </c>
      <c r="BY99" s="78" t="str">
        <f t="shared" si="160"/>
        <v>-</v>
      </c>
      <c r="BZ99" s="39">
        <v>32028.32</v>
      </c>
      <c r="CA99" s="32">
        <f t="shared" si="161"/>
        <v>0</v>
      </c>
      <c r="CB99" s="77">
        <f t="shared" si="162"/>
        <v>0</v>
      </c>
      <c r="CC99" s="41">
        <v>0</v>
      </c>
      <c r="CD99" s="40">
        <v>0</v>
      </c>
      <c r="CE99" s="32">
        <f t="shared" si="163"/>
        <v>0</v>
      </c>
      <c r="CF99" s="78" t="str">
        <f t="shared" si="164"/>
        <v>-</v>
      </c>
      <c r="CG99" s="39">
        <v>32028.32</v>
      </c>
      <c r="CH99" s="39">
        <v>0</v>
      </c>
      <c r="CI99" s="32">
        <f t="shared" si="165"/>
        <v>32028.32</v>
      </c>
      <c r="CJ99" s="78" t="str">
        <f t="shared" si="166"/>
        <v>-</v>
      </c>
      <c r="CK99" s="39">
        <v>32028.32</v>
      </c>
      <c r="CL99" s="32">
        <f t="shared" si="167"/>
        <v>0</v>
      </c>
      <c r="CM99" s="77">
        <f t="shared" si="168"/>
        <v>0</v>
      </c>
      <c r="CN99" s="41">
        <v>0</v>
      </c>
      <c r="CO99" s="40">
        <v>0</v>
      </c>
      <c r="CP99" s="32">
        <f t="shared" si="169"/>
        <v>0</v>
      </c>
      <c r="CQ99" s="78" t="str">
        <f t="shared" si="170"/>
        <v>-</v>
      </c>
      <c r="CR99" s="39">
        <v>32028.32</v>
      </c>
      <c r="CS99" s="39">
        <v>0</v>
      </c>
      <c r="CT99" s="32">
        <f t="shared" si="171"/>
        <v>32028.32</v>
      </c>
      <c r="CU99" s="78" t="str">
        <f t="shared" si="172"/>
        <v>-</v>
      </c>
      <c r="CV99" s="39">
        <v>32028.32</v>
      </c>
      <c r="CW99" s="32">
        <f t="shared" si="173"/>
        <v>0</v>
      </c>
      <c r="CX99" s="77">
        <f t="shared" si="174"/>
        <v>0</v>
      </c>
      <c r="CY99" s="41">
        <v>0</v>
      </c>
      <c r="CZ99" s="40">
        <v>0</v>
      </c>
      <c r="DA99" s="32">
        <f t="shared" si="175"/>
        <v>0</v>
      </c>
      <c r="DB99" s="78" t="str">
        <f t="shared" si="176"/>
        <v>-</v>
      </c>
      <c r="DC99" s="39">
        <v>32028.32</v>
      </c>
      <c r="DD99" s="39">
        <v>0</v>
      </c>
      <c r="DE99" s="32">
        <f t="shared" si="177"/>
        <v>32028.32</v>
      </c>
      <c r="DF99" s="78" t="str">
        <f t="shared" si="178"/>
        <v>-</v>
      </c>
      <c r="DG99" s="39">
        <v>32028.32</v>
      </c>
      <c r="DH99" s="32">
        <f t="shared" si="179"/>
        <v>0</v>
      </c>
      <c r="DI99" s="77">
        <f t="shared" si="180"/>
        <v>0</v>
      </c>
    </row>
    <row r="100" spans="1:113" s="6" customFormat="1" hidden="1" outlineLevel="2" collapsed="1" x14ac:dyDescent="0.2">
      <c r="A100" s="30"/>
      <c r="B100" s="29" t="str">
        <f t="shared" si="181"/>
        <v>Итого выплаты при увольнении</v>
      </c>
      <c r="C100" s="52" t="str">
        <f t="shared" si="181"/>
        <v>Total Direct severance payments - cash</v>
      </c>
      <c r="D100" s="27">
        <f>SUM(D98:D99)</f>
        <v>0</v>
      </c>
      <c r="E100" s="26">
        <f>SUM(E98:E99)</f>
        <v>0</v>
      </c>
      <c r="F100" s="23">
        <f t="shared" si="121"/>
        <v>0</v>
      </c>
      <c r="G100" s="76" t="str">
        <f t="shared" si="122"/>
        <v>-</v>
      </c>
      <c r="H100" s="24">
        <f>SUM(H98:H99)</f>
        <v>4475028.32</v>
      </c>
      <c r="I100" s="24">
        <f>SUM(I98:I99)</f>
        <v>0</v>
      </c>
      <c r="J100" s="23">
        <f t="shared" si="123"/>
        <v>4475028.32</v>
      </c>
      <c r="K100" s="76" t="str">
        <f t="shared" si="124"/>
        <v>-</v>
      </c>
      <c r="L100" s="24">
        <f>SUM(L98:L99)</f>
        <v>1352028.32</v>
      </c>
      <c r="M100" s="23">
        <f t="shared" si="125"/>
        <v>3123000</v>
      </c>
      <c r="N100" s="75">
        <f t="shared" si="126"/>
        <v>2.30986285849397</v>
      </c>
      <c r="O100" s="27">
        <f>SUM(O98:O99)</f>
        <v>0</v>
      </c>
      <c r="P100" s="26">
        <f>SUM(P98:P99)</f>
        <v>0</v>
      </c>
      <c r="Q100" s="23">
        <f t="shared" si="127"/>
        <v>0</v>
      </c>
      <c r="R100" s="76" t="str">
        <f t="shared" si="128"/>
        <v>-</v>
      </c>
      <c r="S100" s="24">
        <f>SUM(S98:S99)</f>
        <v>4475028.32</v>
      </c>
      <c r="T100" s="24">
        <f>SUM(T98:T99)</f>
        <v>0</v>
      </c>
      <c r="U100" s="23">
        <f t="shared" si="129"/>
        <v>4475028.32</v>
      </c>
      <c r="V100" s="76" t="str">
        <f t="shared" si="130"/>
        <v>-</v>
      </c>
      <c r="W100" s="24">
        <f>SUM(W98:W99)</f>
        <v>1352028.32</v>
      </c>
      <c r="X100" s="23">
        <f t="shared" si="131"/>
        <v>3123000</v>
      </c>
      <c r="Y100" s="75">
        <f t="shared" si="132"/>
        <v>2.30986285849397</v>
      </c>
      <c r="Z100" s="27">
        <f>SUM(Z98:Z99)</f>
        <v>0</v>
      </c>
      <c r="AA100" s="26">
        <f>SUM(AA98:AA99)</f>
        <v>0</v>
      </c>
      <c r="AB100" s="23">
        <f t="shared" si="133"/>
        <v>0</v>
      </c>
      <c r="AC100" s="76" t="str">
        <f t="shared" si="134"/>
        <v>-</v>
      </c>
      <c r="AD100" s="24">
        <f>SUM(AD98:AD99)</f>
        <v>4475028.32</v>
      </c>
      <c r="AE100" s="24">
        <f>SUM(AE98:AE99)</f>
        <v>0</v>
      </c>
      <c r="AF100" s="23">
        <f t="shared" si="135"/>
        <v>4475028.32</v>
      </c>
      <c r="AG100" s="76" t="str">
        <f t="shared" si="136"/>
        <v>-</v>
      </c>
      <c r="AH100" s="24">
        <f>SUM(AH98:AH99)</f>
        <v>1352028.32</v>
      </c>
      <c r="AI100" s="23">
        <f t="shared" si="137"/>
        <v>3123000</v>
      </c>
      <c r="AJ100" s="75">
        <f t="shared" si="138"/>
        <v>2.30986285849397</v>
      </c>
      <c r="AK100" s="27">
        <f>SUM(AK98:AK99)</f>
        <v>0</v>
      </c>
      <c r="AL100" s="26">
        <f>SUM(AL98:AL99)</f>
        <v>0</v>
      </c>
      <c r="AM100" s="23">
        <f t="shared" si="139"/>
        <v>0</v>
      </c>
      <c r="AN100" s="76" t="str">
        <f t="shared" si="140"/>
        <v>-</v>
      </c>
      <c r="AO100" s="24">
        <f>SUM(AO98:AO99)</f>
        <v>4475028.32</v>
      </c>
      <c r="AP100" s="24">
        <f>SUM(AP98:AP99)</f>
        <v>0</v>
      </c>
      <c r="AQ100" s="23">
        <f t="shared" si="141"/>
        <v>4475028.32</v>
      </c>
      <c r="AR100" s="76" t="str">
        <f t="shared" si="142"/>
        <v>-</v>
      </c>
      <c r="AS100" s="24">
        <f>SUM(AS98:AS99)</f>
        <v>1352028.32</v>
      </c>
      <c r="AT100" s="23">
        <f t="shared" si="143"/>
        <v>3123000</v>
      </c>
      <c r="AU100" s="75">
        <f t="shared" si="144"/>
        <v>2.30986285849397</v>
      </c>
      <c r="AV100" s="27">
        <f>SUM(AV98:AV99)</f>
        <v>0</v>
      </c>
      <c r="AW100" s="26">
        <f>SUM(AW98:AW99)</f>
        <v>0</v>
      </c>
      <c r="AX100" s="23">
        <f t="shared" si="145"/>
        <v>0</v>
      </c>
      <c r="AY100" s="76" t="str">
        <f t="shared" si="146"/>
        <v>-</v>
      </c>
      <c r="AZ100" s="24">
        <f>SUM(AZ98:AZ99)</f>
        <v>4475028.32</v>
      </c>
      <c r="BA100" s="24">
        <f>SUM(BA98:BA99)</f>
        <v>0</v>
      </c>
      <c r="BB100" s="23">
        <f t="shared" si="147"/>
        <v>4475028.32</v>
      </c>
      <c r="BC100" s="76" t="str">
        <f t="shared" si="148"/>
        <v>-</v>
      </c>
      <c r="BD100" s="24">
        <f>SUM(BD98:BD99)</f>
        <v>1352028.32</v>
      </c>
      <c r="BE100" s="23">
        <f t="shared" si="149"/>
        <v>3123000</v>
      </c>
      <c r="BF100" s="75">
        <f t="shared" si="150"/>
        <v>2.30986285849397</v>
      </c>
      <c r="BG100" s="27">
        <f>SUM(BG98:BG99)</f>
        <v>0</v>
      </c>
      <c r="BH100" s="26">
        <f>SUM(BH98:BH99)</f>
        <v>0</v>
      </c>
      <c r="BI100" s="23">
        <f t="shared" si="151"/>
        <v>0</v>
      </c>
      <c r="BJ100" s="76" t="str">
        <f t="shared" si="152"/>
        <v>-</v>
      </c>
      <c r="BK100" s="24">
        <f>SUM(BK98:BK99)</f>
        <v>4475028.32</v>
      </c>
      <c r="BL100" s="24">
        <f>SUM(BL98:BL99)</f>
        <v>0</v>
      </c>
      <c r="BM100" s="23">
        <f t="shared" si="153"/>
        <v>4475028.32</v>
      </c>
      <c r="BN100" s="76" t="str">
        <f t="shared" si="154"/>
        <v>-</v>
      </c>
      <c r="BO100" s="24">
        <f>SUM(BO98:BO99)</f>
        <v>1352028.32</v>
      </c>
      <c r="BP100" s="23">
        <f t="shared" si="155"/>
        <v>3123000</v>
      </c>
      <c r="BQ100" s="75">
        <f t="shared" si="156"/>
        <v>2.30986285849397</v>
      </c>
      <c r="BR100" s="27">
        <f>SUM(BR98:BR99)</f>
        <v>0</v>
      </c>
      <c r="BS100" s="26">
        <f>SUM(BS98:BS99)</f>
        <v>0</v>
      </c>
      <c r="BT100" s="23">
        <f t="shared" si="157"/>
        <v>0</v>
      </c>
      <c r="BU100" s="76" t="str">
        <f t="shared" si="158"/>
        <v>-</v>
      </c>
      <c r="BV100" s="24">
        <f>SUM(BV98:BV99)</f>
        <v>4475028.32</v>
      </c>
      <c r="BW100" s="24">
        <f>SUM(BW98:BW99)</f>
        <v>0</v>
      </c>
      <c r="BX100" s="23">
        <f t="shared" si="159"/>
        <v>4475028.32</v>
      </c>
      <c r="BY100" s="76" t="str">
        <f t="shared" si="160"/>
        <v>-</v>
      </c>
      <c r="BZ100" s="24">
        <f>SUM(BZ98:BZ99)</f>
        <v>1352028.32</v>
      </c>
      <c r="CA100" s="23">
        <f t="shared" si="161"/>
        <v>3123000</v>
      </c>
      <c r="CB100" s="75">
        <f t="shared" si="162"/>
        <v>2.30986285849397</v>
      </c>
      <c r="CC100" s="27">
        <f>SUM(CC98:CC99)</f>
        <v>0</v>
      </c>
      <c r="CD100" s="26">
        <f>SUM(CD98:CD99)</f>
        <v>0</v>
      </c>
      <c r="CE100" s="23">
        <f t="shared" si="163"/>
        <v>0</v>
      </c>
      <c r="CF100" s="76" t="str">
        <f t="shared" si="164"/>
        <v>-</v>
      </c>
      <c r="CG100" s="24">
        <f>SUM(CG98:CG99)</f>
        <v>4475028.32</v>
      </c>
      <c r="CH100" s="24">
        <f>SUM(CH98:CH99)</f>
        <v>0</v>
      </c>
      <c r="CI100" s="23">
        <f t="shared" si="165"/>
        <v>4475028.32</v>
      </c>
      <c r="CJ100" s="76" t="str">
        <f t="shared" si="166"/>
        <v>-</v>
      </c>
      <c r="CK100" s="24">
        <f>SUM(CK98:CK99)</f>
        <v>1352028.32</v>
      </c>
      <c r="CL100" s="23">
        <f t="shared" si="167"/>
        <v>3123000</v>
      </c>
      <c r="CM100" s="75">
        <f t="shared" si="168"/>
        <v>2.30986285849397</v>
      </c>
      <c r="CN100" s="27">
        <f>SUM(CN98:CN99)</f>
        <v>0</v>
      </c>
      <c r="CO100" s="26">
        <f>SUM(CO98:CO99)</f>
        <v>0</v>
      </c>
      <c r="CP100" s="23">
        <f t="shared" si="169"/>
        <v>0</v>
      </c>
      <c r="CQ100" s="76" t="str">
        <f t="shared" si="170"/>
        <v>-</v>
      </c>
      <c r="CR100" s="24">
        <f>SUM(CR98:CR99)</f>
        <v>4475028.32</v>
      </c>
      <c r="CS100" s="24">
        <f>SUM(CS98:CS99)</f>
        <v>0</v>
      </c>
      <c r="CT100" s="23">
        <f t="shared" si="171"/>
        <v>4475028.32</v>
      </c>
      <c r="CU100" s="76" t="str">
        <f t="shared" si="172"/>
        <v>-</v>
      </c>
      <c r="CV100" s="24">
        <f>SUM(CV98:CV99)</f>
        <v>1352028.32</v>
      </c>
      <c r="CW100" s="23">
        <f t="shared" si="173"/>
        <v>3123000</v>
      </c>
      <c r="CX100" s="75">
        <f t="shared" si="174"/>
        <v>2.30986285849397</v>
      </c>
      <c r="CY100" s="27">
        <f>SUM(CY98:CY99)</f>
        <v>0</v>
      </c>
      <c r="CZ100" s="26">
        <f>SUM(CZ98:CZ99)</f>
        <v>0</v>
      </c>
      <c r="DA100" s="23">
        <f t="shared" si="175"/>
        <v>0</v>
      </c>
      <c r="DB100" s="76" t="str">
        <f t="shared" si="176"/>
        <v>-</v>
      </c>
      <c r="DC100" s="24">
        <f>SUM(DC98:DC99)</f>
        <v>4475028.32</v>
      </c>
      <c r="DD100" s="24">
        <f>SUM(DD98:DD99)</f>
        <v>0</v>
      </c>
      <c r="DE100" s="23">
        <f t="shared" si="177"/>
        <v>4475028.32</v>
      </c>
      <c r="DF100" s="76" t="str">
        <f t="shared" si="178"/>
        <v>-</v>
      </c>
      <c r="DG100" s="24">
        <f>SUM(DG98:DG99)</f>
        <v>1352028.32</v>
      </c>
      <c r="DH100" s="23">
        <f t="shared" si="179"/>
        <v>3123000</v>
      </c>
      <c r="DI100" s="75">
        <f t="shared" si="180"/>
        <v>2.30986285849397</v>
      </c>
    </row>
    <row r="101" spans="1:113" ht="12.75" hidden="1" customHeight="1" outlineLevel="3" x14ac:dyDescent="0.2">
      <c r="B101" s="38" t="str">
        <f t="shared" si="181"/>
        <v>Отложенное вознаграждение</v>
      </c>
      <c r="C101" s="49" t="str">
        <f t="shared" si="181"/>
        <v>Deferred Compensation</v>
      </c>
      <c r="D101" s="41">
        <v>0</v>
      </c>
      <c r="E101" s="40">
        <v>0</v>
      </c>
      <c r="F101" s="32">
        <f t="shared" si="121"/>
        <v>0</v>
      </c>
      <c r="G101" s="78" t="str">
        <f t="shared" si="122"/>
        <v>-</v>
      </c>
      <c r="H101" s="39">
        <v>0</v>
      </c>
      <c r="I101" s="39">
        <v>1320000</v>
      </c>
      <c r="J101" s="32">
        <f t="shared" si="123"/>
        <v>-1320000</v>
      </c>
      <c r="K101" s="78">
        <f t="shared" si="124"/>
        <v>-1</v>
      </c>
      <c r="L101" s="39">
        <v>0</v>
      </c>
      <c r="M101" s="32">
        <f t="shared" si="125"/>
        <v>0</v>
      </c>
      <c r="N101" s="77" t="str">
        <f t="shared" si="126"/>
        <v>-</v>
      </c>
      <c r="O101" s="41">
        <v>0</v>
      </c>
      <c r="P101" s="40">
        <v>0</v>
      </c>
      <c r="Q101" s="32">
        <f t="shared" si="127"/>
        <v>0</v>
      </c>
      <c r="R101" s="78" t="str">
        <f t="shared" si="128"/>
        <v>-</v>
      </c>
      <c r="S101" s="39">
        <v>0</v>
      </c>
      <c r="T101" s="39">
        <v>1320000</v>
      </c>
      <c r="U101" s="32">
        <f t="shared" si="129"/>
        <v>-1320000</v>
      </c>
      <c r="V101" s="78">
        <f t="shared" si="130"/>
        <v>-1</v>
      </c>
      <c r="W101" s="39">
        <v>0</v>
      </c>
      <c r="X101" s="32">
        <f t="shared" si="131"/>
        <v>0</v>
      </c>
      <c r="Y101" s="77" t="str">
        <f t="shared" si="132"/>
        <v>-</v>
      </c>
      <c r="Z101" s="41">
        <v>0</v>
      </c>
      <c r="AA101" s="40">
        <v>0</v>
      </c>
      <c r="AB101" s="32">
        <f t="shared" si="133"/>
        <v>0</v>
      </c>
      <c r="AC101" s="78" t="str">
        <f t="shared" si="134"/>
        <v>-</v>
      </c>
      <c r="AD101" s="39">
        <v>0</v>
      </c>
      <c r="AE101" s="39">
        <v>1320000</v>
      </c>
      <c r="AF101" s="32">
        <f t="shared" si="135"/>
        <v>-1320000</v>
      </c>
      <c r="AG101" s="78">
        <f t="shared" si="136"/>
        <v>-1</v>
      </c>
      <c r="AH101" s="39">
        <v>0</v>
      </c>
      <c r="AI101" s="32">
        <f t="shared" si="137"/>
        <v>0</v>
      </c>
      <c r="AJ101" s="77" t="str">
        <f t="shared" si="138"/>
        <v>-</v>
      </c>
      <c r="AK101" s="41">
        <v>0</v>
      </c>
      <c r="AL101" s="40">
        <v>0</v>
      </c>
      <c r="AM101" s="32">
        <f t="shared" si="139"/>
        <v>0</v>
      </c>
      <c r="AN101" s="78" t="str">
        <f t="shared" si="140"/>
        <v>-</v>
      </c>
      <c r="AO101" s="39">
        <v>0</v>
      </c>
      <c r="AP101" s="39">
        <v>1320000</v>
      </c>
      <c r="AQ101" s="32">
        <f t="shared" si="141"/>
        <v>-1320000</v>
      </c>
      <c r="AR101" s="78">
        <f t="shared" si="142"/>
        <v>-1</v>
      </c>
      <c r="AS101" s="39">
        <v>0</v>
      </c>
      <c r="AT101" s="32">
        <f t="shared" si="143"/>
        <v>0</v>
      </c>
      <c r="AU101" s="77" t="str">
        <f t="shared" si="144"/>
        <v>-</v>
      </c>
      <c r="AV101" s="41">
        <v>0</v>
      </c>
      <c r="AW101" s="40">
        <v>0</v>
      </c>
      <c r="AX101" s="32">
        <f t="shared" si="145"/>
        <v>0</v>
      </c>
      <c r="AY101" s="78" t="str">
        <f t="shared" si="146"/>
        <v>-</v>
      </c>
      <c r="AZ101" s="39">
        <v>0</v>
      </c>
      <c r="BA101" s="39">
        <v>1320000</v>
      </c>
      <c r="BB101" s="32">
        <f t="shared" si="147"/>
        <v>-1320000</v>
      </c>
      <c r="BC101" s="78">
        <f t="shared" si="148"/>
        <v>-1</v>
      </c>
      <c r="BD101" s="39">
        <v>0</v>
      </c>
      <c r="BE101" s="32">
        <f t="shared" si="149"/>
        <v>0</v>
      </c>
      <c r="BF101" s="77" t="str">
        <f t="shared" si="150"/>
        <v>-</v>
      </c>
      <c r="BG101" s="41">
        <v>0</v>
      </c>
      <c r="BH101" s="40">
        <v>0</v>
      </c>
      <c r="BI101" s="32">
        <f t="shared" si="151"/>
        <v>0</v>
      </c>
      <c r="BJ101" s="78" t="str">
        <f t="shared" si="152"/>
        <v>-</v>
      </c>
      <c r="BK101" s="39">
        <v>0</v>
      </c>
      <c r="BL101" s="39">
        <v>1320000</v>
      </c>
      <c r="BM101" s="32">
        <f t="shared" si="153"/>
        <v>-1320000</v>
      </c>
      <c r="BN101" s="78">
        <f t="shared" si="154"/>
        <v>-1</v>
      </c>
      <c r="BO101" s="39">
        <v>0</v>
      </c>
      <c r="BP101" s="32">
        <f t="shared" si="155"/>
        <v>0</v>
      </c>
      <c r="BQ101" s="77" t="str">
        <f t="shared" si="156"/>
        <v>-</v>
      </c>
      <c r="BR101" s="41">
        <v>0</v>
      </c>
      <c r="BS101" s="40">
        <v>0</v>
      </c>
      <c r="BT101" s="32">
        <f t="shared" si="157"/>
        <v>0</v>
      </c>
      <c r="BU101" s="78" t="str">
        <f t="shared" si="158"/>
        <v>-</v>
      </c>
      <c r="BV101" s="39">
        <v>0</v>
      </c>
      <c r="BW101" s="39">
        <v>1320000</v>
      </c>
      <c r="BX101" s="32">
        <f t="shared" si="159"/>
        <v>-1320000</v>
      </c>
      <c r="BY101" s="78">
        <f t="shared" si="160"/>
        <v>-1</v>
      </c>
      <c r="BZ101" s="39">
        <v>0</v>
      </c>
      <c r="CA101" s="32">
        <f t="shared" si="161"/>
        <v>0</v>
      </c>
      <c r="CB101" s="77" t="str">
        <f t="shared" si="162"/>
        <v>-</v>
      </c>
      <c r="CC101" s="41">
        <v>0</v>
      </c>
      <c r="CD101" s="40">
        <v>0</v>
      </c>
      <c r="CE101" s="32">
        <f t="shared" si="163"/>
        <v>0</v>
      </c>
      <c r="CF101" s="78" t="str">
        <f t="shared" si="164"/>
        <v>-</v>
      </c>
      <c r="CG101" s="39">
        <v>0</v>
      </c>
      <c r="CH101" s="39">
        <v>1320000</v>
      </c>
      <c r="CI101" s="32">
        <f t="shared" si="165"/>
        <v>-1320000</v>
      </c>
      <c r="CJ101" s="78">
        <f t="shared" si="166"/>
        <v>-1</v>
      </c>
      <c r="CK101" s="39">
        <v>0</v>
      </c>
      <c r="CL101" s="32">
        <f t="shared" si="167"/>
        <v>0</v>
      </c>
      <c r="CM101" s="77" t="str">
        <f t="shared" si="168"/>
        <v>-</v>
      </c>
      <c r="CN101" s="41">
        <v>0</v>
      </c>
      <c r="CO101" s="40">
        <v>0</v>
      </c>
      <c r="CP101" s="32">
        <f t="shared" si="169"/>
        <v>0</v>
      </c>
      <c r="CQ101" s="78" t="str">
        <f t="shared" si="170"/>
        <v>-</v>
      </c>
      <c r="CR101" s="39">
        <v>0</v>
      </c>
      <c r="CS101" s="39">
        <v>1320000</v>
      </c>
      <c r="CT101" s="32">
        <f t="shared" si="171"/>
        <v>-1320000</v>
      </c>
      <c r="CU101" s="78">
        <f t="shared" si="172"/>
        <v>-1</v>
      </c>
      <c r="CV101" s="39">
        <v>0</v>
      </c>
      <c r="CW101" s="32">
        <f t="shared" si="173"/>
        <v>0</v>
      </c>
      <c r="CX101" s="77" t="str">
        <f t="shared" si="174"/>
        <v>-</v>
      </c>
      <c r="CY101" s="41">
        <v>0</v>
      </c>
      <c r="CZ101" s="40">
        <v>0</v>
      </c>
      <c r="DA101" s="32">
        <f t="shared" si="175"/>
        <v>0</v>
      </c>
      <c r="DB101" s="78" t="str">
        <f t="shared" si="176"/>
        <v>-</v>
      </c>
      <c r="DC101" s="39">
        <v>0</v>
      </c>
      <c r="DD101" s="39">
        <v>1320000</v>
      </c>
      <c r="DE101" s="32">
        <f t="shared" si="177"/>
        <v>-1320000</v>
      </c>
      <c r="DF101" s="78">
        <f t="shared" si="178"/>
        <v>-1</v>
      </c>
      <c r="DG101" s="39">
        <v>0</v>
      </c>
      <c r="DH101" s="32">
        <f t="shared" si="179"/>
        <v>0</v>
      </c>
      <c r="DI101" s="77" t="str">
        <f t="shared" si="180"/>
        <v>-</v>
      </c>
    </row>
    <row r="102" spans="1:113" ht="12.75" hidden="1" customHeight="1" outlineLevel="3" x14ac:dyDescent="0.2">
      <c r="B102" s="38" t="str">
        <f t="shared" si="181"/>
        <v>Страховые взносы отложенное вознаграждение</v>
      </c>
      <c r="C102" s="49" t="str">
        <f t="shared" si="181"/>
        <v>Social Security on Deferrals</v>
      </c>
      <c r="D102" s="41">
        <v>0</v>
      </c>
      <c r="E102" s="40">
        <v>0</v>
      </c>
      <c r="F102" s="32">
        <f t="shared" si="121"/>
        <v>0</v>
      </c>
      <c r="G102" s="78" t="str">
        <f t="shared" si="122"/>
        <v>-</v>
      </c>
      <c r="H102" s="39">
        <v>0</v>
      </c>
      <c r="I102" s="39">
        <v>32028.32</v>
      </c>
      <c r="J102" s="32">
        <f t="shared" si="123"/>
        <v>-32028.32</v>
      </c>
      <c r="K102" s="78">
        <f t="shared" si="124"/>
        <v>-1</v>
      </c>
      <c r="L102" s="39">
        <v>0</v>
      </c>
      <c r="M102" s="32">
        <f t="shared" si="125"/>
        <v>0</v>
      </c>
      <c r="N102" s="77" t="str">
        <f t="shared" si="126"/>
        <v>-</v>
      </c>
      <c r="O102" s="41">
        <v>0</v>
      </c>
      <c r="P102" s="40">
        <v>0</v>
      </c>
      <c r="Q102" s="32">
        <f t="shared" si="127"/>
        <v>0</v>
      </c>
      <c r="R102" s="78" t="str">
        <f t="shared" si="128"/>
        <v>-</v>
      </c>
      <c r="S102" s="39">
        <v>0</v>
      </c>
      <c r="T102" s="39">
        <v>32028.32</v>
      </c>
      <c r="U102" s="32">
        <f t="shared" si="129"/>
        <v>-32028.32</v>
      </c>
      <c r="V102" s="78">
        <f t="shared" si="130"/>
        <v>-1</v>
      </c>
      <c r="W102" s="39">
        <v>0</v>
      </c>
      <c r="X102" s="32">
        <f t="shared" si="131"/>
        <v>0</v>
      </c>
      <c r="Y102" s="77" t="str">
        <f t="shared" si="132"/>
        <v>-</v>
      </c>
      <c r="Z102" s="41">
        <v>0</v>
      </c>
      <c r="AA102" s="40">
        <v>0</v>
      </c>
      <c r="AB102" s="32">
        <f t="shared" si="133"/>
        <v>0</v>
      </c>
      <c r="AC102" s="78" t="str">
        <f t="shared" si="134"/>
        <v>-</v>
      </c>
      <c r="AD102" s="39">
        <v>0</v>
      </c>
      <c r="AE102" s="39">
        <v>32028.32</v>
      </c>
      <c r="AF102" s="32">
        <f t="shared" si="135"/>
        <v>-32028.32</v>
      </c>
      <c r="AG102" s="78">
        <f t="shared" si="136"/>
        <v>-1</v>
      </c>
      <c r="AH102" s="39">
        <v>0</v>
      </c>
      <c r="AI102" s="32">
        <f t="shared" si="137"/>
        <v>0</v>
      </c>
      <c r="AJ102" s="77" t="str">
        <f t="shared" si="138"/>
        <v>-</v>
      </c>
      <c r="AK102" s="41">
        <v>0</v>
      </c>
      <c r="AL102" s="40">
        <v>0</v>
      </c>
      <c r="AM102" s="32">
        <f t="shared" si="139"/>
        <v>0</v>
      </c>
      <c r="AN102" s="78" t="str">
        <f t="shared" si="140"/>
        <v>-</v>
      </c>
      <c r="AO102" s="39">
        <v>0</v>
      </c>
      <c r="AP102" s="39">
        <v>32028.32</v>
      </c>
      <c r="AQ102" s="32">
        <f t="shared" si="141"/>
        <v>-32028.32</v>
      </c>
      <c r="AR102" s="78">
        <f t="shared" si="142"/>
        <v>-1</v>
      </c>
      <c r="AS102" s="39">
        <v>0</v>
      </c>
      <c r="AT102" s="32">
        <f t="shared" si="143"/>
        <v>0</v>
      </c>
      <c r="AU102" s="77" t="str">
        <f t="shared" si="144"/>
        <v>-</v>
      </c>
      <c r="AV102" s="41">
        <v>0</v>
      </c>
      <c r="AW102" s="40">
        <v>0</v>
      </c>
      <c r="AX102" s="32">
        <f t="shared" si="145"/>
        <v>0</v>
      </c>
      <c r="AY102" s="78" t="str">
        <f t="shared" si="146"/>
        <v>-</v>
      </c>
      <c r="AZ102" s="39">
        <v>0</v>
      </c>
      <c r="BA102" s="39">
        <v>32028.32</v>
      </c>
      <c r="BB102" s="32">
        <f t="shared" si="147"/>
        <v>-32028.32</v>
      </c>
      <c r="BC102" s="78">
        <f t="shared" si="148"/>
        <v>-1</v>
      </c>
      <c r="BD102" s="39">
        <v>0</v>
      </c>
      <c r="BE102" s="32">
        <f t="shared" si="149"/>
        <v>0</v>
      </c>
      <c r="BF102" s="77" t="str">
        <f t="shared" si="150"/>
        <v>-</v>
      </c>
      <c r="BG102" s="41">
        <v>0</v>
      </c>
      <c r="BH102" s="40">
        <v>0</v>
      </c>
      <c r="BI102" s="32">
        <f t="shared" si="151"/>
        <v>0</v>
      </c>
      <c r="BJ102" s="78" t="str">
        <f t="shared" si="152"/>
        <v>-</v>
      </c>
      <c r="BK102" s="39">
        <v>0</v>
      </c>
      <c r="BL102" s="39">
        <v>32028.32</v>
      </c>
      <c r="BM102" s="32">
        <f t="shared" si="153"/>
        <v>-32028.32</v>
      </c>
      <c r="BN102" s="78">
        <f t="shared" si="154"/>
        <v>-1</v>
      </c>
      <c r="BO102" s="39">
        <v>0</v>
      </c>
      <c r="BP102" s="32">
        <f t="shared" si="155"/>
        <v>0</v>
      </c>
      <c r="BQ102" s="77" t="str">
        <f t="shared" si="156"/>
        <v>-</v>
      </c>
      <c r="BR102" s="41">
        <v>0</v>
      </c>
      <c r="BS102" s="40">
        <v>0</v>
      </c>
      <c r="BT102" s="32">
        <f t="shared" si="157"/>
        <v>0</v>
      </c>
      <c r="BU102" s="78" t="str">
        <f t="shared" si="158"/>
        <v>-</v>
      </c>
      <c r="BV102" s="39">
        <v>0</v>
      </c>
      <c r="BW102" s="39">
        <v>32028.32</v>
      </c>
      <c r="BX102" s="32">
        <f t="shared" si="159"/>
        <v>-32028.32</v>
      </c>
      <c r="BY102" s="78">
        <f t="shared" si="160"/>
        <v>-1</v>
      </c>
      <c r="BZ102" s="39">
        <v>0</v>
      </c>
      <c r="CA102" s="32">
        <f t="shared" si="161"/>
        <v>0</v>
      </c>
      <c r="CB102" s="77" t="str">
        <f t="shared" si="162"/>
        <v>-</v>
      </c>
      <c r="CC102" s="41">
        <v>0</v>
      </c>
      <c r="CD102" s="40">
        <v>0</v>
      </c>
      <c r="CE102" s="32">
        <f t="shared" si="163"/>
        <v>0</v>
      </c>
      <c r="CF102" s="78" t="str">
        <f t="shared" si="164"/>
        <v>-</v>
      </c>
      <c r="CG102" s="39">
        <v>0</v>
      </c>
      <c r="CH102" s="39">
        <v>32028.32</v>
      </c>
      <c r="CI102" s="32">
        <f t="shared" si="165"/>
        <v>-32028.32</v>
      </c>
      <c r="CJ102" s="78">
        <f t="shared" si="166"/>
        <v>-1</v>
      </c>
      <c r="CK102" s="39">
        <v>0</v>
      </c>
      <c r="CL102" s="32">
        <f t="shared" si="167"/>
        <v>0</v>
      </c>
      <c r="CM102" s="77" t="str">
        <f t="shared" si="168"/>
        <v>-</v>
      </c>
      <c r="CN102" s="41">
        <v>0</v>
      </c>
      <c r="CO102" s="40">
        <v>0</v>
      </c>
      <c r="CP102" s="32">
        <f t="shared" si="169"/>
        <v>0</v>
      </c>
      <c r="CQ102" s="78" t="str">
        <f t="shared" si="170"/>
        <v>-</v>
      </c>
      <c r="CR102" s="39">
        <v>0</v>
      </c>
      <c r="CS102" s="39">
        <v>32028.32</v>
      </c>
      <c r="CT102" s="32">
        <f t="shared" si="171"/>
        <v>-32028.32</v>
      </c>
      <c r="CU102" s="78">
        <f t="shared" si="172"/>
        <v>-1</v>
      </c>
      <c r="CV102" s="39">
        <v>0</v>
      </c>
      <c r="CW102" s="32">
        <f t="shared" si="173"/>
        <v>0</v>
      </c>
      <c r="CX102" s="77" t="str">
        <f t="shared" si="174"/>
        <v>-</v>
      </c>
      <c r="CY102" s="41">
        <v>0</v>
      </c>
      <c r="CZ102" s="40">
        <v>0</v>
      </c>
      <c r="DA102" s="32">
        <f t="shared" si="175"/>
        <v>0</v>
      </c>
      <c r="DB102" s="78" t="str">
        <f t="shared" si="176"/>
        <v>-</v>
      </c>
      <c r="DC102" s="39">
        <v>0</v>
      </c>
      <c r="DD102" s="39">
        <v>32028.32</v>
      </c>
      <c r="DE102" s="32">
        <f t="shared" si="177"/>
        <v>-32028.32</v>
      </c>
      <c r="DF102" s="78">
        <f t="shared" si="178"/>
        <v>-1</v>
      </c>
      <c r="DG102" s="39">
        <v>0</v>
      </c>
      <c r="DH102" s="32">
        <f t="shared" si="179"/>
        <v>0</v>
      </c>
      <c r="DI102" s="77" t="str">
        <f t="shared" si="180"/>
        <v>-</v>
      </c>
    </row>
    <row r="103" spans="1:113" s="6" customFormat="1" hidden="1" outlineLevel="2" collapsed="1" x14ac:dyDescent="0.2">
      <c r="B103" s="29" t="str">
        <f t="shared" si="181"/>
        <v>Итого отложенное вознаграждение</v>
      </c>
      <c r="C103" s="52" t="str">
        <f t="shared" si="181"/>
        <v>Deferred Compensation</v>
      </c>
      <c r="D103" s="27">
        <f>SUM(D101:D102)</f>
        <v>0</v>
      </c>
      <c r="E103" s="26">
        <f>SUM(E101:E102)</f>
        <v>0</v>
      </c>
      <c r="F103" s="23">
        <f t="shared" si="121"/>
        <v>0</v>
      </c>
      <c r="G103" s="76" t="str">
        <f t="shared" si="122"/>
        <v>-</v>
      </c>
      <c r="H103" s="24">
        <f>SUM(H101:H102)</f>
        <v>0</v>
      </c>
      <c r="I103" s="24">
        <f>SUM(I101:I102)</f>
        <v>1352028.32</v>
      </c>
      <c r="J103" s="23">
        <f t="shared" si="123"/>
        <v>-1352028.32</v>
      </c>
      <c r="K103" s="76">
        <f t="shared" si="124"/>
        <v>-1</v>
      </c>
      <c r="L103" s="24">
        <f>SUM(L101:L102)</f>
        <v>0</v>
      </c>
      <c r="M103" s="23">
        <f t="shared" si="125"/>
        <v>0</v>
      </c>
      <c r="N103" s="75" t="str">
        <f t="shared" si="126"/>
        <v>-</v>
      </c>
      <c r="O103" s="27">
        <f>SUM(O101:O102)</f>
        <v>0</v>
      </c>
      <c r="P103" s="26">
        <f>SUM(P101:P102)</f>
        <v>0</v>
      </c>
      <c r="Q103" s="23">
        <f t="shared" si="127"/>
        <v>0</v>
      </c>
      <c r="R103" s="76" t="str">
        <f t="shared" si="128"/>
        <v>-</v>
      </c>
      <c r="S103" s="24">
        <f>SUM(S101:S102)</f>
        <v>0</v>
      </c>
      <c r="T103" s="24">
        <f>SUM(T101:T102)</f>
        <v>1352028.32</v>
      </c>
      <c r="U103" s="23">
        <f t="shared" si="129"/>
        <v>-1352028.32</v>
      </c>
      <c r="V103" s="76">
        <f t="shared" si="130"/>
        <v>-1</v>
      </c>
      <c r="W103" s="24">
        <f>SUM(W101:W102)</f>
        <v>0</v>
      </c>
      <c r="X103" s="23">
        <f t="shared" si="131"/>
        <v>0</v>
      </c>
      <c r="Y103" s="75" t="str">
        <f t="shared" si="132"/>
        <v>-</v>
      </c>
      <c r="Z103" s="27">
        <f>SUM(Z101:Z102)</f>
        <v>0</v>
      </c>
      <c r="AA103" s="26">
        <f>SUM(AA101:AA102)</f>
        <v>0</v>
      </c>
      <c r="AB103" s="23">
        <f t="shared" si="133"/>
        <v>0</v>
      </c>
      <c r="AC103" s="76" t="str">
        <f t="shared" si="134"/>
        <v>-</v>
      </c>
      <c r="AD103" s="24">
        <f>SUM(AD101:AD102)</f>
        <v>0</v>
      </c>
      <c r="AE103" s="24">
        <f>SUM(AE101:AE102)</f>
        <v>1352028.32</v>
      </c>
      <c r="AF103" s="23">
        <f t="shared" si="135"/>
        <v>-1352028.32</v>
      </c>
      <c r="AG103" s="76">
        <f t="shared" si="136"/>
        <v>-1</v>
      </c>
      <c r="AH103" s="24">
        <f>SUM(AH101:AH102)</f>
        <v>0</v>
      </c>
      <c r="AI103" s="23">
        <f t="shared" si="137"/>
        <v>0</v>
      </c>
      <c r="AJ103" s="75" t="str">
        <f t="shared" si="138"/>
        <v>-</v>
      </c>
      <c r="AK103" s="27">
        <f>SUM(AK101:AK102)</f>
        <v>0</v>
      </c>
      <c r="AL103" s="26">
        <f>SUM(AL101:AL102)</f>
        <v>0</v>
      </c>
      <c r="AM103" s="23">
        <f t="shared" si="139"/>
        <v>0</v>
      </c>
      <c r="AN103" s="76" t="str">
        <f t="shared" si="140"/>
        <v>-</v>
      </c>
      <c r="AO103" s="24">
        <f>SUM(AO101:AO102)</f>
        <v>0</v>
      </c>
      <c r="AP103" s="24">
        <f>SUM(AP101:AP102)</f>
        <v>1352028.32</v>
      </c>
      <c r="AQ103" s="23">
        <f t="shared" si="141"/>
        <v>-1352028.32</v>
      </c>
      <c r="AR103" s="76">
        <f t="shared" si="142"/>
        <v>-1</v>
      </c>
      <c r="AS103" s="24">
        <f>SUM(AS101:AS102)</f>
        <v>0</v>
      </c>
      <c r="AT103" s="23">
        <f t="shared" si="143"/>
        <v>0</v>
      </c>
      <c r="AU103" s="75" t="str">
        <f t="shared" si="144"/>
        <v>-</v>
      </c>
      <c r="AV103" s="27">
        <f>SUM(AV101:AV102)</f>
        <v>0</v>
      </c>
      <c r="AW103" s="26">
        <f>SUM(AW101:AW102)</f>
        <v>0</v>
      </c>
      <c r="AX103" s="23">
        <f t="shared" si="145"/>
        <v>0</v>
      </c>
      <c r="AY103" s="76" t="str">
        <f t="shared" si="146"/>
        <v>-</v>
      </c>
      <c r="AZ103" s="24">
        <f>SUM(AZ101:AZ102)</f>
        <v>0</v>
      </c>
      <c r="BA103" s="24">
        <f>SUM(BA101:BA102)</f>
        <v>1352028.32</v>
      </c>
      <c r="BB103" s="23">
        <f t="shared" si="147"/>
        <v>-1352028.32</v>
      </c>
      <c r="BC103" s="76">
        <f t="shared" si="148"/>
        <v>-1</v>
      </c>
      <c r="BD103" s="24">
        <f>SUM(BD101:BD102)</f>
        <v>0</v>
      </c>
      <c r="BE103" s="23">
        <f t="shared" si="149"/>
        <v>0</v>
      </c>
      <c r="BF103" s="75" t="str">
        <f t="shared" si="150"/>
        <v>-</v>
      </c>
      <c r="BG103" s="27">
        <f>SUM(BG101:BG102)</f>
        <v>0</v>
      </c>
      <c r="BH103" s="26">
        <f>SUM(BH101:BH102)</f>
        <v>0</v>
      </c>
      <c r="BI103" s="23">
        <f t="shared" si="151"/>
        <v>0</v>
      </c>
      <c r="BJ103" s="76" t="str">
        <f t="shared" si="152"/>
        <v>-</v>
      </c>
      <c r="BK103" s="24">
        <f>SUM(BK101:BK102)</f>
        <v>0</v>
      </c>
      <c r="BL103" s="24">
        <f>SUM(BL101:BL102)</f>
        <v>1352028.32</v>
      </c>
      <c r="BM103" s="23">
        <f t="shared" si="153"/>
        <v>-1352028.32</v>
      </c>
      <c r="BN103" s="76">
        <f t="shared" si="154"/>
        <v>-1</v>
      </c>
      <c r="BO103" s="24">
        <f>SUM(BO101:BO102)</f>
        <v>0</v>
      </c>
      <c r="BP103" s="23">
        <f t="shared" si="155"/>
        <v>0</v>
      </c>
      <c r="BQ103" s="75" t="str">
        <f t="shared" si="156"/>
        <v>-</v>
      </c>
      <c r="BR103" s="27">
        <f>SUM(BR101:BR102)</f>
        <v>0</v>
      </c>
      <c r="BS103" s="26">
        <f>SUM(BS101:BS102)</f>
        <v>0</v>
      </c>
      <c r="BT103" s="23">
        <f t="shared" si="157"/>
        <v>0</v>
      </c>
      <c r="BU103" s="76" t="str">
        <f t="shared" si="158"/>
        <v>-</v>
      </c>
      <c r="BV103" s="24">
        <f>SUM(BV101:BV102)</f>
        <v>0</v>
      </c>
      <c r="BW103" s="24">
        <f>SUM(BW101:BW102)</f>
        <v>1352028.32</v>
      </c>
      <c r="BX103" s="23">
        <f t="shared" si="159"/>
        <v>-1352028.32</v>
      </c>
      <c r="BY103" s="76">
        <f t="shared" si="160"/>
        <v>-1</v>
      </c>
      <c r="BZ103" s="24">
        <f>SUM(BZ101:BZ102)</f>
        <v>0</v>
      </c>
      <c r="CA103" s="23">
        <f t="shared" si="161"/>
        <v>0</v>
      </c>
      <c r="CB103" s="75" t="str">
        <f t="shared" si="162"/>
        <v>-</v>
      </c>
      <c r="CC103" s="27">
        <f>SUM(CC101:CC102)</f>
        <v>0</v>
      </c>
      <c r="CD103" s="26">
        <f>SUM(CD101:CD102)</f>
        <v>0</v>
      </c>
      <c r="CE103" s="23">
        <f t="shared" si="163"/>
        <v>0</v>
      </c>
      <c r="CF103" s="76" t="str">
        <f t="shared" si="164"/>
        <v>-</v>
      </c>
      <c r="CG103" s="24">
        <f>SUM(CG101:CG102)</f>
        <v>0</v>
      </c>
      <c r="CH103" s="24">
        <f>SUM(CH101:CH102)</f>
        <v>1352028.32</v>
      </c>
      <c r="CI103" s="23">
        <f t="shared" si="165"/>
        <v>-1352028.32</v>
      </c>
      <c r="CJ103" s="76">
        <f t="shared" si="166"/>
        <v>-1</v>
      </c>
      <c r="CK103" s="24">
        <f>SUM(CK101:CK102)</f>
        <v>0</v>
      </c>
      <c r="CL103" s="23">
        <f t="shared" si="167"/>
        <v>0</v>
      </c>
      <c r="CM103" s="75" t="str">
        <f t="shared" si="168"/>
        <v>-</v>
      </c>
      <c r="CN103" s="27">
        <f>SUM(CN101:CN102)</f>
        <v>0</v>
      </c>
      <c r="CO103" s="26">
        <f>SUM(CO101:CO102)</f>
        <v>0</v>
      </c>
      <c r="CP103" s="23">
        <f t="shared" si="169"/>
        <v>0</v>
      </c>
      <c r="CQ103" s="76" t="str">
        <f t="shared" si="170"/>
        <v>-</v>
      </c>
      <c r="CR103" s="24">
        <f>SUM(CR101:CR102)</f>
        <v>0</v>
      </c>
      <c r="CS103" s="24">
        <f>SUM(CS101:CS102)</f>
        <v>1352028.32</v>
      </c>
      <c r="CT103" s="23">
        <f t="shared" si="171"/>
        <v>-1352028.32</v>
      </c>
      <c r="CU103" s="76">
        <f t="shared" si="172"/>
        <v>-1</v>
      </c>
      <c r="CV103" s="24">
        <f>SUM(CV101:CV102)</f>
        <v>0</v>
      </c>
      <c r="CW103" s="23">
        <f t="shared" si="173"/>
        <v>0</v>
      </c>
      <c r="CX103" s="75" t="str">
        <f t="shared" si="174"/>
        <v>-</v>
      </c>
      <c r="CY103" s="27">
        <f>SUM(CY101:CY102)</f>
        <v>0</v>
      </c>
      <c r="CZ103" s="26">
        <f>SUM(CZ101:CZ102)</f>
        <v>0</v>
      </c>
      <c r="DA103" s="23">
        <f t="shared" si="175"/>
        <v>0</v>
      </c>
      <c r="DB103" s="76" t="str">
        <f t="shared" si="176"/>
        <v>-</v>
      </c>
      <c r="DC103" s="24">
        <f>SUM(DC101:DC102)</f>
        <v>0</v>
      </c>
      <c r="DD103" s="24">
        <f>SUM(DD101:DD102)</f>
        <v>1352028.32</v>
      </c>
      <c r="DE103" s="23">
        <f t="shared" si="177"/>
        <v>-1352028.32</v>
      </c>
      <c r="DF103" s="76">
        <f t="shared" si="178"/>
        <v>-1</v>
      </c>
      <c r="DG103" s="24">
        <f>SUM(DG101:DG102)</f>
        <v>0</v>
      </c>
      <c r="DH103" s="23">
        <f t="shared" si="179"/>
        <v>0</v>
      </c>
      <c r="DI103" s="75" t="str">
        <f t="shared" si="180"/>
        <v>-</v>
      </c>
    </row>
    <row r="104" spans="1:113" s="6" customFormat="1" outlineLevel="1" collapsed="1" x14ac:dyDescent="0.2">
      <c r="A104" s="30"/>
      <c r="B104" s="51" t="str">
        <f t="shared" si="181"/>
        <v>Прочие компенсационные выплаты</v>
      </c>
      <c r="C104" s="50" t="str">
        <f t="shared" si="181"/>
        <v>Other Compensations</v>
      </c>
      <c r="D104" s="46">
        <f>D94+D97+D100+D103</f>
        <v>22208677</v>
      </c>
      <c r="E104" s="45">
        <f>E94+E97+E100+E103</f>
        <v>0</v>
      </c>
      <c r="F104" s="23">
        <f t="shared" si="121"/>
        <v>22208677</v>
      </c>
      <c r="G104" s="76" t="str">
        <f t="shared" si="122"/>
        <v>-</v>
      </c>
      <c r="H104" s="44">
        <f>H94+H97+H100+H103</f>
        <v>27098305.32</v>
      </c>
      <c r="I104" s="44">
        <f>I94+I97+I100+I103</f>
        <v>1628268.32</v>
      </c>
      <c r="J104" s="23">
        <f t="shared" si="123"/>
        <v>25470037</v>
      </c>
      <c r="K104" s="76">
        <f t="shared" si="124"/>
        <v>15.642407757463463</v>
      </c>
      <c r="L104" s="44">
        <f>L94+L97+L100+L103</f>
        <v>1628268.32</v>
      </c>
      <c r="M104" s="23">
        <f t="shared" si="125"/>
        <v>25470037</v>
      </c>
      <c r="N104" s="75">
        <f t="shared" si="126"/>
        <v>15.642407757463463</v>
      </c>
      <c r="O104" s="46">
        <f>O94+O97+O100+O103</f>
        <v>22208677</v>
      </c>
      <c r="P104" s="45">
        <f>P94+P97+P100+P103</f>
        <v>0</v>
      </c>
      <c r="Q104" s="23">
        <f t="shared" si="127"/>
        <v>22208677</v>
      </c>
      <c r="R104" s="76" t="str">
        <f t="shared" si="128"/>
        <v>-</v>
      </c>
      <c r="S104" s="44">
        <f>S94+S97+S100+S103</f>
        <v>27098305.32</v>
      </c>
      <c r="T104" s="44">
        <f>T94+T97+T100+T103</f>
        <v>1628268.32</v>
      </c>
      <c r="U104" s="23">
        <f t="shared" si="129"/>
        <v>25470037</v>
      </c>
      <c r="V104" s="76">
        <f t="shared" si="130"/>
        <v>15.642407757463463</v>
      </c>
      <c r="W104" s="44">
        <f>W94+W97+W100+W103</f>
        <v>1628268.32</v>
      </c>
      <c r="X104" s="23">
        <f t="shared" si="131"/>
        <v>25470037</v>
      </c>
      <c r="Y104" s="75">
        <f t="shared" si="132"/>
        <v>15.642407757463463</v>
      </c>
      <c r="Z104" s="46">
        <f>Z94+Z97+Z100+Z103</f>
        <v>22208677</v>
      </c>
      <c r="AA104" s="45">
        <f>AA94+AA97+AA100+AA103</f>
        <v>0</v>
      </c>
      <c r="AB104" s="23">
        <f t="shared" si="133"/>
        <v>22208677</v>
      </c>
      <c r="AC104" s="76" t="str">
        <f t="shared" si="134"/>
        <v>-</v>
      </c>
      <c r="AD104" s="44">
        <f>AD94+AD97+AD100+AD103</f>
        <v>27098305.32</v>
      </c>
      <c r="AE104" s="44">
        <f>AE94+AE97+AE100+AE103</f>
        <v>1628268.32</v>
      </c>
      <c r="AF104" s="23">
        <f t="shared" si="135"/>
        <v>25470037</v>
      </c>
      <c r="AG104" s="76">
        <f t="shared" si="136"/>
        <v>15.642407757463463</v>
      </c>
      <c r="AH104" s="44">
        <f>AH94+AH97+AH100+AH103</f>
        <v>1628268.32</v>
      </c>
      <c r="AI104" s="23">
        <f t="shared" si="137"/>
        <v>25470037</v>
      </c>
      <c r="AJ104" s="75">
        <f t="shared" si="138"/>
        <v>15.642407757463463</v>
      </c>
      <c r="AK104" s="46">
        <f>AK94+AK97+AK100+AK103</f>
        <v>22208677</v>
      </c>
      <c r="AL104" s="45">
        <f>AL94+AL97+AL100+AL103</f>
        <v>0</v>
      </c>
      <c r="AM104" s="23">
        <f t="shared" si="139"/>
        <v>22208677</v>
      </c>
      <c r="AN104" s="76" t="str">
        <f t="shared" si="140"/>
        <v>-</v>
      </c>
      <c r="AO104" s="44">
        <f>AO94+AO97+AO100+AO103</f>
        <v>27098305.32</v>
      </c>
      <c r="AP104" s="44">
        <f>AP94+AP97+AP100+AP103</f>
        <v>1628268.32</v>
      </c>
      <c r="AQ104" s="23">
        <f t="shared" si="141"/>
        <v>25470037</v>
      </c>
      <c r="AR104" s="76">
        <f t="shared" si="142"/>
        <v>15.642407757463463</v>
      </c>
      <c r="AS104" s="44">
        <f>AS94+AS97+AS100+AS103</f>
        <v>1628268.32</v>
      </c>
      <c r="AT104" s="23">
        <f t="shared" si="143"/>
        <v>25470037</v>
      </c>
      <c r="AU104" s="75">
        <f t="shared" si="144"/>
        <v>15.642407757463463</v>
      </c>
      <c r="AV104" s="46">
        <f>AV94+AV97+AV100+AV103</f>
        <v>22208677</v>
      </c>
      <c r="AW104" s="45">
        <f>AW94+AW97+AW100+AW103</f>
        <v>0</v>
      </c>
      <c r="AX104" s="23">
        <f t="shared" si="145"/>
        <v>22208677</v>
      </c>
      <c r="AY104" s="76" t="str">
        <f t="shared" si="146"/>
        <v>-</v>
      </c>
      <c r="AZ104" s="44">
        <f>AZ94+AZ97+AZ100+AZ103</f>
        <v>27098305.32</v>
      </c>
      <c r="BA104" s="44">
        <f>BA94+BA97+BA100+BA103</f>
        <v>1628268.32</v>
      </c>
      <c r="BB104" s="23">
        <f t="shared" si="147"/>
        <v>25470037</v>
      </c>
      <c r="BC104" s="76">
        <f t="shared" si="148"/>
        <v>15.642407757463463</v>
      </c>
      <c r="BD104" s="44">
        <f>BD94+BD97+BD100+BD103</f>
        <v>1628268.32</v>
      </c>
      <c r="BE104" s="23">
        <f t="shared" si="149"/>
        <v>25470037</v>
      </c>
      <c r="BF104" s="75">
        <f t="shared" si="150"/>
        <v>15.642407757463463</v>
      </c>
      <c r="BG104" s="46">
        <f>BG94+BG97+BG100+BG103</f>
        <v>22208677</v>
      </c>
      <c r="BH104" s="45">
        <f>BH94+BH97+BH100+BH103</f>
        <v>0</v>
      </c>
      <c r="BI104" s="23">
        <f t="shared" si="151"/>
        <v>22208677</v>
      </c>
      <c r="BJ104" s="76" t="str">
        <f t="shared" si="152"/>
        <v>-</v>
      </c>
      <c r="BK104" s="44">
        <f>BK94+BK97+BK100+BK103</f>
        <v>27098305.32</v>
      </c>
      <c r="BL104" s="44">
        <f>BL94+BL97+BL100+BL103</f>
        <v>1628268.32</v>
      </c>
      <c r="BM104" s="23">
        <f t="shared" si="153"/>
        <v>25470037</v>
      </c>
      <c r="BN104" s="76">
        <f t="shared" si="154"/>
        <v>15.642407757463463</v>
      </c>
      <c r="BO104" s="44">
        <f>BO94+BO97+BO100+BO103</f>
        <v>1628268.32</v>
      </c>
      <c r="BP104" s="23">
        <f t="shared" si="155"/>
        <v>25470037</v>
      </c>
      <c r="BQ104" s="75">
        <f t="shared" si="156"/>
        <v>15.642407757463463</v>
      </c>
      <c r="BR104" s="46">
        <f>BR94+BR97+BR100+BR103</f>
        <v>22208677</v>
      </c>
      <c r="BS104" s="45">
        <f>BS94+BS97+BS100+BS103</f>
        <v>0</v>
      </c>
      <c r="BT104" s="23">
        <f t="shared" si="157"/>
        <v>22208677</v>
      </c>
      <c r="BU104" s="76" t="str">
        <f t="shared" si="158"/>
        <v>-</v>
      </c>
      <c r="BV104" s="44">
        <f>BV94+BV97+BV100+BV103</f>
        <v>27098305.32</v>
      </c>
      <c r="BW104" s="44">
        <f>BW94+BW97+BW100+BW103</f>
        <v>1628268.32</v>
      </c>
      <c r="BX104" s="23">
        <f t="shared" si="159"/>
        <v>25470037</v>
      </c>
      <c r="BY104" s="76">
        <f t="shared" si="160"/>
        <v>15.642407757463463</v>
      </c>
      <c r="BZ104" s="44">
        <f>BZ94+BZ97+BZ100+BZ103</f>
        <v>1628268.32</v>
      </c>
      <c r="CA104" s="23">
        <f t="shared" si="161"/>
        <v>25470037</v>
      </c>
      <c r="CB104" s="75">
        <f t="shared" si="162"/>
        <v>15.642407757463463</v>
      </c>
      <c r="CC104" s="46">
        <f>CC94+CC97+CC100+CC103</f>
        <v>22208677</v>
      </c>
      <c r="CD104" s="45">
        <f>CD94+CD97+CD100+CD103</f>
        <v>0</v>
      </c>
      <c r="CE104" s="23">
        <f t="shared" si="163"/>
        <v>22208677</v>
      </c>
      <c r="CF104" s="76" t="str">
        <f t="shared" si="164"/>
        <v>-</v>
      </c>
      <c r="CG104" s="44">
        <f>CG94+CG97+CG100+CG103</f>
        <v>27098305.32</v>
      </c>
      <c r="CH104" s="44">
        <f>CH94+CH97+CH100+CH103</f>
        <v>1628268.32</v>
      </c>
      <c r="CI104" s="23">
        <f t="shared" si="165"/>
        <v>25470037</v>
      </c>
      <c r="CJ104" s="76">
        <f t="shared" si="166"/>
        <v>15.642407757463463</v>
      </c>
      <c r="CK104" s="44">
        <f>CK94+CK97+CK100+CK103</f>
        <v>1628268.32</v>
      </c>
      <c r="CL104" s="23">
        <f t="shared" si="167"/>
        <v>25470037</v>
      </c>
      <c r="CM104" s="75">
        <f t="shared" si="168"/>
        <v>15.642407757463463</v>
      </c>
      <c r="CN104" s="46">
        <f>CN94+CN97+CN100+CN103</f>
        <v>22208677</v>
      </c>
      <c r="CO104" s="45">
        <f>CO94+CO97+CO100+CO103</f>
        <v>0</v>
      </c>
      <c r="CP104" s="23">
        <f t="shared" si="169"/>
        <v>22208677</v>
      </c>
      <c r="CQ104" s="76" t="str">
        <f t="shared" si="170"/>
        <v>-</v>
      </c>
      <c r="CR104" s="44">
        <f>CR94+CR97+CR100+CR103</f>
        <v>27098305.32</v>
      </c>
      <c r="CS104" s="44">
        <f>CS94+CS97+CS100+CS103</f>
        <v>1628268.32</v>
      </c>
      <c r="CT104" s="23">
        <f t="shared" si="171"/>
        <v>25470037</v>
      </c>
      <c r="CU104" s="76">
        <f t="shared" si="172"/>
        <v>15.642407757463463</v>
      </c>
      <c r="CV104" s="44">
        <f>CV94+CV97+CV100+CV103</f>
        <v>1628268.32</v>
      </c>
      <c r="CW104" s="23">
        <f t="shared" si="173"/>
        <v>25470037</v>
      </c>
      <c r="CX104" s="75">
        <f t="shared" si="174"/>
        <v>15.642407757463463</v>
      </c>
      <c r="CY104" s="46">
        <f>CY94+CY97+CY100+CY103</f>
        <v>22208677</v>
      </c>
      <c r="CZ104" s="45">
        <f>CZ94+CZ97+CZ100+CZ103</f>
        <v>0</v>
      </c>
      <c r="DA104" s="23">
        <f t="shared" si="175"/>
        <v>22208677</v>
      </c>
      <c r="DB104" s="76" t="str">
        <f t="shared" si="176"/>
        <v>-</v>
      </c>
      <c r="DC104" s="44">
        <f>DC94+DC97+DC100+DC103</f>
        <v>27098305.32</v>
      </c>
      <c r="DD104" s="44">
        <f>DD94+DD97+DD100+DD103</f>
        <v>1628268.32</v>
      </c>
      <c r="DE104" s="23">
        <f t="shared" si="177"/>
        <v>25470037</v>
      </c>
      <c r="DF104" s="76">
        <f t="shared" si="178"/>
        <v>15.642407757463463</v>
      </c>
      <c r="DG104" s="44">
        <f>DG94+DG97+DG100+DG103</f>
        <v>1628268.32</v>
      </c>
      <c r="DH104" s="23">
        <f t="shared" si="179"/>
        <v>25470037</v>
      </c>
      <c r="DI104" s="75">
        <f t="shared" si="180"/>
        <v>15.642407757463463</v>
      </c>
    </row>
    <row r="105" spans="1:113" ht="12.75" hidden="1" customHeight="1" outlineLevel="3" x14ac:dyDescent="0.2">
      <c r="B105" s="38" t="str">
        <f t="shared" si="181"/>
        <v>Резерв квартальной премии</v>
      </c>
      <c r="C105" s="49" t="str">
        <f t="shared" si="181"/>
        <v>Accruals for Quarterly bonus</v>
      </c>
      <c r="D105" s="41">
        <v>0</v>
      </c>
      <c r="E105" s="40">
        <v>0</v>
      </c>
      <c r="F105" s="32">
        <f t="shared" si="121"/>
        <v>0</v>
      </c>
      <c r="G105" s="78" t="str">
        <f t="shared" si="122"/>
        <v>-</v>
      </c>
      <c r="H105" s="39">
        <v>0</v>
      </c>
      <c r="I105" s="39">
        <v>0</v>
      </c>
      <c r="J105" s="32">
        <f t="shared" si="123"/>
        <v>0</v>
      </c>
      <c r="K105" s="78" t="str">
        <f t="shared" si="124"/>
        <v>-</v>
      </c>
      <c r="L105" s="39">
        <v>0</v>
      </c>
      <c r="M105" s="32">
        <f t="shared" si="125"/>
        <v>0</v>
      </c>
      <c r="N105" s="77" t="str">
        <f t="shared" si="126"/>
        <v>-</v>
      </c>
      <c r="O105" s="41">
        <v>0</v>
      </c>
      <c r="P105" s="40">
        <v>0</v>
      </c>
      <c r="Q105" s="32">
        <f t="shared" si="127"/>
        <v>0</v>
      </c>
      <c r="R105" s="78" t="str">
        <f t="shared" si="128"/>
        <v>-</v>
      </c>
      <c r="S105" s="39">
        <v>0</v>
      </c>
      <c r="T105" s="39">
        <v>0</v>
      </c>
      <c r="U105" s="32">
        <f t="shared" si="129"/>
        <v>0</v>
      </c>
      <c r="V105" s="78" t="str">
        <f t="shared" si="130"/>
        <v>-</v>
      </c>
      <c r="W105" s="39">
        <v>0</v>
      </c>
      <c r="X105" s="32">
        <f t="shared" si="131"/>
        <v>0</v>
      </c>
      <c r="Y105" s="77" t="str">
        <f t="shared" si="132"/>
        <v>-</v>
      </c>
      <c r="Z105" s="41">
        <v>0</v>
      </c>
      <c r="AA105" s="40">
        <v>0</v>
      </c>
      <c r="AB105" s="32">
        <f t="shared" si="133"/>
        <v>0</v>
      </c>
      <c r="AC105" s="78" t="str">
        <f t="shared" si="134"/>
        <v>-</v>
      </c>
      <c r="AD105" s="39">
        <v>0</v>
      </c>
      <c r="AE105" s="39">
        <v>0</v>
      </c>
      <c r="AF105" s="32">
        <f t="shared" si="135"/>
        <v>0</v>
      </c>
      <c r="AG105" s="78" t="str">
        <f t="shared" si="136"/>
        <v>-</v>
      </c>
      <c r="AH105" s="39">
        <v>0</v>
      </c>
      <c r="AI105" s="32">
        <f t="shared" si="137"/>
        <v>0</v>
      </c>
      <c r="AJ105" s="77" t="str">
        <f t="shared" si="138"/>
        <v>-</v>
      </c>
      <c r="AK105" s="41">
        <v>0</v>
      </c>
      <c r="AL105" s="40">
        <v>0</v>
      </c>
      <c r="AM105" s="32">
        <f t="shared" si="139"/>
        <v>0</v>
      </c>
      <c r="AN105" s="78" t="str">
        <f t="shared" si="140"/>
        <v>-</v>
      </c>
      <c r="AO105" s="39">
        <v>0</v>
      </c>
      <c r="AP105" s="39">
        <v>0</v>
      </c>
      <c r="AQ105" s="32">
        <f t="shared" si="141"/>
        <v>0</v>
      </c>
      <c r="AR105" s="78" t="str">
        <f t="shared" si="142"/>
        <v>-</v>
      </c>
      <c r="AS105" s="39">
        <v>0</v>
      </c>
      <c r="AT105" s="32">
        <f t="shared" si="143"/>
        <v>0</v>
      </c>
      <c r="AU105" s="77" t="str">
        <f t="shared" si="144"/>
        <v>-</v>
      </c>
      <c r="AV105" s="41">
        <v>0</v>
      </c>
      <c r="AW105" s="40">
        <v>0</v>
      </c>
      <c r="AX105" s="32">
        <f t="shared" si="145"/>
        <v>0</v>
      </c>
      <c r="AY105" s="78" t="str">
        <f t="shared" si="146"/>
        <v>-</v>
      </c>
      <c r="AZ105" s="39">
        <v>0</v>
      </c>
      <c r="BA105" s="39">
        <v>0</v>
      </c>
      <c r="BB105" s="32">
        <f t="shared" si="147"/>
        <v>0</v>
      </c>
      <c r="BC105" s="78" t="str">
        <f t="shared" si="148"/>
        <v>-</v>
      </c>
      <c r="BD105" s="39">
        <v>0</v>
      </c>
      <c r="BE105" s="32">
        <f t="shared" si="149"/>
        <v>0</v>
      </c>
      <c r="BF105" s="77" t="str">
        <f t="shared" si="150"/>
        <v>-</v>
      </c>
      <c r="BG105" s="41">
        <v>0</v>
      </c>
      <c r="BH105" s="40">
        <v>0</v>
      </c>
      <c r="BI105" s="32">
        <f t="shared" si="151"/>
        <v>0</v>
      </c>
      <c r="BJ105" s="78" t="str">
        <f t="shared" si="152"/>
        <v>-</v>
      </c>
      <c r="BK105" s="39">
        <v>0</v>
      </c>
      <c r="BL105" s="39">
        <v>0</v>
      </c>
      <c r="BM105" s="32">
        <f t="shared" si="153"/>
        <v>0</v>
      </c>
      <c r="BN105" s="78" t="str">
        <f t="shared" si="154"/>
        <v>-</v>
      </c>
      <c r="BO105" s="39">
        <v>0</v>
      </c>
      <c r="BP105" s="32">
        <f t="shared" si="155"/>
        <v>0</v>
      </c>
      <c r="BQ105" s="77" t="str">
        <f t="shared" si="156"/>
        <v>-</v>
      </c>
      <c r="BR105" s="41">
        <v>0</v>
      </c>
      <c r="BS105" s="40">
        <v>0</v>
      </c>
      <c r="BT105" s="32">
        <f t="shared" si="157"/>
        <v>0</v>
      </c>
      <c r="BU105" s="78" t="str">
        <f t="shared" si="158"/>
        <v>-</v>
      </c>
      <c r="BV105" s="39">
        <v>0</v>
      </c>
      <c r="BW105" s="39">
        <v>0</v>
      </c>
      <c r="BX105" s="32">
        <f t="shared" si="159"/>
        <v>0</v>
      </c>
      <c r="BY105" s="78" t="str">
        <f t="shared" si="160"/>
        <v>-</v>
      </c>
      <c r="BZ105" s="39">
        <v>0</v>
      </c>
      <c r="CA105" s="32">
        <f t="shared" si="161"/>
        <v>0</v>
      </c>
      <c r="CB105" s="77" t="str">
        <f t="shared" si="162"/>
        <v>-</v>
      </c>
      <c r="CC105" s="41">
        <v>0</v>
      </c>
      <c r="CD105" s="40">
        <v>0</v>
      </c>
      <c r="CE105" s="32">
        <f t="shared" si="163"/>
        <v>0</v>
      </c>
      <c r="CF105" s="78" t="str">
        <f t="shared" si="164"/>
        <v>-</v>
      </c>
      <c r="CG105" s="39">
        <v>0</v>
      </c>
      <c r="CH105" s="39">
        <v>0</v>
      </c>
      <c r="CI105" s="32">
        <f t="shared" si="165"/>
        <v>0</v>
      </c>
      <c r="CJ105" s="78" t="str">
        <f t="shared" si="166"/>
        <v>-</v>
      </c>
      <c r="CK105" s="39">
        <v>0</v>
      </c>
      <c r="CL105" s="32">
        <f t="shared" si="167"/>
        <v>0</v>
      </c>
      <c r="CM105" s="77" t="str">
        <f t="shared" si="168"/>
        <v>-</v>
      </c>
      <c r="CN105" s="41">
        <v>0</v>
      </c>
      <c r="CO105" s="40">
        <v>0</v>
      </c>
      <c r="CP105" s="32">
        <f t="shared" si="169"/>
        <v>0</v>
      </c>
      <c r="CQ105" s="78" t="str">
        <f t="shared" si="170"/>
        <v>-</v>
      </c>
      <c r="CR105" s="39">
        <v>0</v>
      </c>
      <c r="CS105" s="39">
        <v>0</v>
      </c>
      <c r="CT105" s="32">
        <f t="shared" si="171"/>
        <v>0</v>
      </c>
      <c r="CU105" s="78" t="str">
        <f t="shared" si="172"/>
        <v>-</v>
      </c>
      <c r="CV105" s="39">
        <v>0</v>
      </c>
      <c r="CW105" s="32">
        <f t="shared" si="173"/>
        <v>0</v>
      </c>
      <c r="CX105" s="77" t="str">
        <f t="shared" si="174"/>
        <v>-</v>
      </c>
      <c r="CY105" s="41">
        <v>0</v>
      </c>
      <c r="CZ105" s="40">
        <v>0</v>
      </c>
      <c r="DA105" s="32">
        <f t="shared" si="175"/>
        <v>0</v>
      </c>
      <c r="DB105" s="78" t="str">
        <f t="shared" si="176"/>
        <v>-</v>
      </c>
      <c r="DC105" s="39">
        <v>0</v>
      </c>
      <c r="DD105" s="39">
        <v>0</v>
      </c>
      <c r="DE105" s="32">
        <f t="shared" si="177"/>
        <v>0</v>
      </c>
      <c r="DF105" s="78" t="str">
        <f t="shared" si="178"/>
        <v>-</v>
      </c>
      <c r="DG105" s="39">
        <v>0</v>
      </c>
      <c r="DH105" s="32">
        <f t="shared" si="179"/>
        <v>0</v>
      </c>
      <c r="DI105" s="77" t="str">
        <f t="shared" si="180"/>
        <v>-</v>
      </c>
    </row>
    <row r="106" spans="1:113" ht="12.75" hidden="1" customHeight="1" outlineLevel="3" x14ac:dyDescent="0.2">
      <c r="B106" s="38" t="str">
        <f t="shared" si="181"/>
        <v>Страховые взносы резерв квартальной премии</v>
      </c>
      <c r="C106" s="49" t="str">
        <f t="shared" si="181"/>
        <v>Social Security on Accruals for Quarterly bonus</v>
      </c>
      <c r="D106" s="41">
        <v>0</v>
      </c>
      <c r="E106" s="40">
        <v>0</v>
      </c>
      <c r="F106" s="32">
        <f t="shared" si="121"/>
        <v>0</v>
      </c>
      <c r="G106" s="78" t="str">
        <f t="shared" si="122"/>
        <v>-</v>
      </c>
      <c r="H106" s="39">
        <v>0</v>
      </c>
      <c r="I106" s="39">
        <v>0</v>
      </c>
      <c r="J106" s="32">
        <f t="shared" si="123"/>
        <v>0</v>
      </c>
      <c r="K106" s="78" t="str">
        <f t="shared" si="124"/>
        <v>-</v>
      </c>
      <c r="L106" s="39">
        <v>0</v>
      </c>
      <c r="M106" s="32">
        <f t="shared" si="125"/>
        <v>0</v>
      </c>
      <c r="N106" s="77" t="str">
        <f t="shared" si="126"/>
        <v>-</v>
      </c>
      <c r="O106" s="41">
        <v>0</v>
      </c>
      <c r="P106" s="40">
        <v>0</v>
      </c>
      <c r="Q106" s="32">
        <f t="shared" si="127"/>
        <v>0</v>
      </c>
      <c r="R106" s="78" t="str">
        <f t="shared" si="128"/>
        <v>-</v>
      </c>
      <c r="S106" s="39">
        <v>0</v>
      </c>
      <c r="T106" s="39">
        <v>0</v>
      </c>
      <c r="U106" s="32">
        <f t="shared" si="129"/>
        <v>0</v>
      </c>
      <c r="V106" s="78" t="str">
        <f t="shared" si="130"/>
        <v>-</v>
      </c>
      <c r="W106" s="39">
        <v>0</v>
      </c>
      <c r="X106" s="32">
        <f t="shared" si="131"/>
        <v>0</v>
      </c>
      <c r="Y106" s="77" t="str">
        <f t="shared" si="132"/>
        <v>-</v>
      </c>
      <c r="Z106" s="41">
        <v>0</v>
      </c>
      <c r="AA106" s="40">
        <v>0</v>
      </c>
      <c r="AB106" s="32">
        <f t="shared" si="133"/>
        <v>0</v>
      </c>
      <c r="AC106" s="78" t="str">
        <f t="shared" si="134"/>
        <v>-</v>
      </c>
      <c r="AD106" s="39">
        <v>0</v>
      </c>
      <c r="AE106" s="39">
        <v>0</v>
      </c>
      <c r="AF106" s="32">
        <f t="shared" si="135"/>
        <v>0</v>
      </c>
      <c r="AG106" s="78" t="str">
        <f t="shared" si="136"/>
        <v>-</v>
      </c>
      <c r="AH106" s="39">
        <v>0</v>
      </c>
      <c r="AI106" s="32">
        <f t="shared" si="137"/>
        <v>0</v>
      </c>
      <c r="AJ106" s="77" t="str">
        <f t="shared" si="138"/>
        <v>-</v>
      </c>
      <c r="AK106" s="41">
        <v>0</v>
      </c>
      <c r="AL106" s="40">
        <v>0</v>
      </c>
      <c r="AM106" s="32">
        <f t="shared" si="139"/>
        <v>0</v>
      </c>
      <c r="AN106" s="78" t="str">
        <f t="shared" si="140"/>
        <v>-</v>
      </c>
      <c r="AO106" s="39">
        <v>0</v>
      </c>
      <c r="AP106" s="39">
        <v>0</v>
      </c>
      <c r="AQ106" s="32">
        <f t="shared" si="141"/>
        <v>0</v>
      </c>
      <c r="AR106" s="78" t="str">
        <f t="shared" si="142"/>
        <v>-</v>
      </c>
      <c r="AS106" s="39">
        <v>0</v>
      </c>
      <c r="AT106" s="32">
        <f t="shared" si="143"/>
        <v>0</v>
      </c>
      <c r="AU106" s="77" t="str">
        <f t="shared" si="144"/>
        <v>-</v>
      </c>
      <c r="AV106" s="41">
        <v>0</v>
      </c>
      <c r="AW106" s="40">
        <v>0</v>
      </c>
      <c r="AX106" s="32">
        <f t="shared" si="145"/>
        <v>0</v>
      </c>
      <c r="AY106" s="78" t="str">
        <f t="shared" si="146"/>
        <v>-</v>
      </c>
      <c r="AZ106" s="39">
        <v>0</v>
      </c>
      <c r="BA106" s="39">
        <v>0</v>
      </c>
      <c r="BB106" s="32">
        <f t="shared" si="147"/>
        <v>0</v>
      </c>
      <c r="BC106" s="78" t="str">
        <f t="shared" si="148"/>
        <v>-</v>
      </c>
      <c r="BD106" s="39">
        <v>0</v>
      </c>
      <c r="BE106" s="32">
        <f t="shared" si="149"/>
        <v>0</v>
      </c>
      <c r="BF106" s="77" t="str">
        <f t="shared" si="150"/>
        <v>-</v>
      </c>
      <c r="BG106" s="41">
        <v>0</v>
      </c>
      <c r="BH106" s="40">
        <v>0</v>
      </c>
      <c r="BI106" s="32">
        <f t="shared" si="151"/>
        <v>0</v>
      </c>
      <c r="BJ106" s="78" t="str">
        <f t="shared" si="152"/>
        <v>-</v>
      </c>
      <c r="BK106" s="39">
        <v>0</v>
      </c>
      <c r="BL106" s="39">
        <v>0</v>
      </c>
      <c r="BM106" s="32">
        <f t="shared" si="153"/>
        <v>0</v>
      </c>
      <c r="BN106" s="78" t="str">
        <f t="shared" si="154"/>
        <v>-</v>
      </c>
      <c r="BO106" s="39">
        <v>0</v>
      </c>
      <c r="BP106" s="32">
        <f t="shared" si="155"/>
        <v>0</v>
      </c>
      <c r="BQ106" s="77" t="str">
        <f t="shared" si="156"/>
        <v>-</v>
      </c>
      <c r="BR106" s="41">
        <v>0</v>
      </c>
      <c r="BS106" s="40">
        <v>0</v>
      </c>
      <c r="BT106" s="32">
        <f t="shared" si="157"/>
        <v>0</v>
      </c>
      <c r="BU106" s="78" t="str">
        <f t="shared" si="158"/>
        <v>-</v>
      </c>
      <c r="BV106" s="39">
        <v>0</v>
      </c>
      <c r="BW106" s="39">
        <v>0</v>
      </c>
      <c r="BX106" s="32">
        <f t="shared" si="159"/>
        <v>0</v>
      </c>
      <c r="BY106" s="78" t="str">
        <f t="shared" si="160"/>
        <v>-</v>
      </c>
      <c r="BZ106" s="39">
        <v>0</v>
      </c>
      <c r="CA106" s="32">
        <f t="shared" si="161"/>
        <v>0</v>
      </c>
      <c r="CB106" s="77" t="str">
        <f t="shared" si="162"/>
        <v>-</v>
      </c>
      <c r="CC106" s="41">
        <v>0</v>
      </c>
      <c r="CD106" s="40">
        <v>0</v>
      </c>
      <c r="CE106" s="32">
        <f t="shared" si="163"/>
        <v>0</v>
      </c>
      <c r="CF106" s="78" t="str">
        <f t="shared" si="164"/>
        <v>-</v>
      </c>
      <c r="CG106" s="39">
        <v>0</v>
      </c>
      <c r="CH106" s="39">
        <v>0</v>
      </c>
      <c r="CI106" s="32">
        <f t="shared" si="165"/>
        <v>0</v>
      </c>
      <c r="CJ106" s="78" t="str">
        <f t="shared" si="166"/>
        <v>-</v>
      </c>
      <c r="CK106" s="39">
        <v>0</v>
      </c>
      <c r="CL106" s="32">
        <f t="shared" si="167"/>
        <v>0</v>
      </c>
      <c r="CM106" s="77" t="str">
        <f t="shared" si="168"/>
        <v>-</v>
      </c>
      <c r="CN106" s="41">
        <v>0</v>
      </c>
      <c r="CO106" s="40">
        <v>0</v>
      </c>
      <c r="CP106" s="32">
        <f t="shared" si="169"/>
        <v>0</v>
      </c>
      <c r="CQ106" s="78" t="str">
        <f t="shared" si="170"/>
        <v>-</v>
      </c>
      <c r="CR106" s="39">
        <v>0</v>
      </c>
      <c r="CS106" s="39">
        <v>0</v>
      </c>
      <c r="CT106" s="32">
        <f t="shared" si="171"/>
        <v>0</v>
      </c>
      <c r="CU106" s="78" t="str">
        <f t="shared" si="172"/>
        <v>-</v>
      </c>
      <c r="CV106" s="39">
        <v>0</v>
      </c>
      <c r="CW106" s="32">
        <f t="shared" si="173"/>
        <v>0</v>
      </c>
      <c r="CX106" s="77" t="str">
        <f t="shared" si="174"/>
        <v>-</v>
      </c>
      <c r="CY106" s="41">
        <v>0</v>
      </c>
      <c r="CZ106" s="40">
        <v>0</v>
      </c>
      <c r="DA106" s="32">
        <f t="shared" si="175"/>
        <v>0</v>
      </c>
      <c r="DB106" s="78" t="str">
        <f t="shared" si="176"/>
        <v>-</v>
      </c>
      <c r="DC106" s="39">
        <v>0</v>
      </c>
      <c r="DD106" s="39">
        <v>0</v>
      </c>
      <c r="DE106" s="32">
        <f t="shared" si="177"/>
        <v>0</v>
      </c>
      <c r="DF106" s="78" t="str">
        <f t="shared" si="178"/>
        <v>-</v>
      </c>
      <c r="DG106" s="39">
        <v>0</v>
      </c>
      <c r="DH106" s="32">
        <f t="shared" si="179"/>
        <v>0</v>
      </c>
      <c r="DI106" s="77" t="str">
        <f t="shared" si="180"/>
        <v>-</v>
      </c>
    </row>
    <row r="107" spans="1:113" s="6" customFormat="1" hidden="1" outlineLevel="2" collapsed="1" x14ac:dyDescent="0.2">
      <c r="A107" s="30"/>
      <c r="B107" s="29" t="str">
        <f t="shared" si="181"/>
        <v>Итого резерв квартальной премии</v>
      </c>
      <c r="C107" s="42" t="str">
        <f t="shared" si="181"/>
        <v>Total Accruals for Quarterly bonus</v>
      </c>
      <c r="D107" s="27">
        <f>SUM(D105:D106)</f>
        <v>0</v>
      </c>
      <c r="E107" s="26">
        <f>SUM(E105:E106)</f>
        <v>0</v>
      </c>
      <c r="F107" s="23">
        <f t="shared" si="121"/>
        <v>0</v>
      </c>
      <c r="G107" s="76" t="str">
        <f t="shared" si="122"/>
        <v>-</v>
      </c>
      <c r="H107" s="24">
        <f>SUM(H105:H106)</f>
        <v>0</v>
      </c>
      <c r="I107" s="24">
        <f>SUM(I105:I106)</f>
        <v>0</v>
      </c>
      <c r="J107" s="23">
        <f t="shared" si="123"/>
        <v>0</v>
      </c>
      <c r="K107" s="76" t="str">
        <f t="shared" si="124"/>
        <v>-</v>
      </c>
      <c r="L107" s="24">
        <f>SUM(L105:L106)</f>
        <v>0</v>
      </c>
      <c r="M107" s="23">
        <f t="shared" si="125"/>
        <v>0</v>
      </c>
      <c r="N107" s="75" t="str">
        <f t="shared" si="126"/>
        <v>-</v>
      </c>
      <c r="O107" s="27">
        <f>SUM(O105:O106)</f>
        <v>0</v>
      </c>
      <c r="P107" s="26">
        <f>SUM(P105:P106)</f>
        <v>0</v>
      </c>
      <c r="Q107" s="23">
        <f t="shared" si="127"/>
        <v>0</v>
      </c>
      <c r="R107" s="76" t="str">
        <f t="shared" si="128"/>
        <v>-</v>
      </c>
      <c r="S107" s="24">
        <f>SUM(S105:S106)</f>
        <v>0</v>
      </c>
      <c r="T107" s="24">
        <f>SUM(T105:T106)</f>
        <v>0</v>
      </c>
      <c r="U107" s="23">
        <f t="shared" si="129"/>
        <v>0</v>
      </c>
      <c r="V107" s="76" t="str">
        <f t="shared" si="130"/>
        <v>-</v>
      </c>
      <c r="W107" s="24">
        <f>SUM(W105:W106)</f>
        <v>0</v>
      </c>
      <c r="X107" s="23">
        <f t="shared" si="131"/>
        <v>0</v>
      </c>
      <c r="Y107" s="75" t="str">
        <f t="shared" si="132"/>
        <v>-</v>
      </c>
      <c r="Z107" s="27">
        <f>SUM(Z105:Z106)</f>
        <v>0</v>
      </c>
      <c r="AA107" s="26">
        <f>SUM(AA105:AA106)</f>
        <v>0</v>
      </c>
      <c r="AB107" s="23">
        <f t="shared" si="133"/>
        <v>0</v>
      </c>
      <c r="AC107" s="76" t="str">
        <f t="shared" si="134"/>
        <v>-</v>
      </c>
      <c r="AD107" s="24">
        <f>SUM(AD105:AD106)</f>
        <v>0</v>
      </c>
      <c r="AE107" s="24">
        <f>SUM(AE105:AE106)</f>
        <v>0</v>
      </c>
      <c r="AF107" s="23">
        <f t="shared" si="135"/>
        <v>0</v>
      </c>
      <c r="AG107" s="76" t="str">
        <f t="shared" si="136"/>
        <v>-</v>
      </c>
      <c r="AH107" s="24">
        <f>SUM(AH105:AH106)</f>
        <v>0</v>
      </c>
      <c r="AI107" s="23">
        <f t="shared" si="137"/>
        <v>0</v>
      </c>
      <c r="AJ107" s="75" t="str">
        <f t="shared" si="138"/>
        <v>-</v>
      </c>
      <c r="AK107" s="27">
        <f>SUM(AK105:AK106)</f>
        <v>0</v>
      </c>
      <c r="AL107" s="26">
        <f>SUM(AL105:AL106)</f>
        <v>0</v>
      </c>
      <c r="AM107" s="23">
        <f t="shared" si="139"/>
        <v>0</v>
      </c>
      <c r="AN107" s="76" t="str">
        <f t="shared" si="140"/>
        <v>-</v>
      </c>
      <c r="AO107" s="24">
        <f>SUM(AO105:AO106)</f>
        <v>0</v>
      </c>
      <c r="AP107" s="24">
        <f>SUM(AP105:AP106)</f>
        <v>0</v>
      </c>
      <c r="AQ107" s="23">
        <f t="shared" si="141"/>
        <v>0</v>
      </c>
      <c r="AR107" s="76" t="str">
        <f t="shared" si="142"/>
        <v>-</v>
      </c>
      <c r="AS107" s="24">
        <f>SUM(AS105:AS106)</f>
        <v>0</v>
      </c>
      <c r="AT107" s="23">
        <f t="shared" si="143"/>
        <v>0</v>
      </c>
      <c r="AU107" s="75" t="str">
        <f t="shared" si="144"/>
        <v>-</v>
      </c>
      <c r="AV107" s="27">
        <f>SUM(AV105:AV106)</f>
        <v>0</v>
      </c>
      <c r="AW107" s="26">
        <f>SUM(AW105:AW106)</f>
        <v>0</v>
      </c>
      <c r="AX107" s="23">
        <f t="shared" si="145"/>
        <v>0</v>
      </c>
      <c r="AY107" s="76" t="str">
        <f t="shared" si="146"/>
        <v>-</v>
      </c>
      <c r="AZ107" s="24">
        <f>SUM(AZ105:AZ106)</f>
        <v>0</v>
      </c>
      <c r="BA107" s="24">
        <f>SUM(BA105:BA106)</f>
        <v>0</v>
      </c>
      <c r="BB107" s="23">
        <f t="shared" si="147"/>
        <v>0</v>
      </c>
      <c r="BC107" s="76" t="str">
        <f t="shared" si="148"/>
        <v>-</v>
      </c>
      <c r="BD107" s="24">
        <f>SUM(BD105:BD106)</f>
        <v>0</v>
      </c>
      <c r="BE107" s="23">
        <f t="shared" si="149"/>
        <v>0</v>
      </c>
      <c r="BF107" s="75" t="str">
        <f t="shared" si="150"/>
        <v>-</v>
      </c>
      <c r="BG107" s="27">
        <f>SUM(BG105:BG106)</f>
        <v>0</v>
      </c>
      <c r="BH107" s="26">
        <f>SUM(BH105:BH106)</f>
        <v>0</v>
      </c>
      <c r="BI107" s="23">
        <f t="shared" si="151"/>
        <v>0</v>
      </c>
      <c r="BJ107" s="76" t="str">
        <f t="shared" si="152"/>
        <v>-</v>
      </c>
      <c r="BK107" s="24">
        <f>SUM(BK105:BK106)</f>
        <v>0</v>
      </c>
      <c r="BL107" s="24">
        <f>SUM(BL105:BL106)</f>
        <v>0</v>
      </c>
      <c r="BM107" s="23">
        <f t="shared" si="153"/>
        <v>0</v>
      </c>
      <c r="BN107" s="76" t="str">
        <f t="shared" si="154"/>
        <v>-</v>
      </c>
      <c r="BO107" s="24">
        <f>SUM(BO105:BO106)</f>
        <v>0</v>
      </c>
      <c r="BP107" s="23">
        <f t="shared" si="155"/>
        <v>0</v>
      </c>
      <c r="BQ107" s="75" t="str">
        <f t="shared" si="156"/>
        <v>-</v>
      </c>
      <c r="BR107" s="27">
        <f>SUM(BR105:BR106)</f>
        <v>0</v>
      </c>
      <c r="BS107" s="26">
        <f>SUM(BS105:BS106)</f>
        <v>0</v>
      </c>
      <c r="BT107" s="23">
        <f t="shared" si="157"/>
        <v>0</v>
      </c>
      <c r="BU107" s="76" t="str">
        <f t="shared" si="158"/>
        <v>-</v>
      </c>
      <c r="BV107" s="24">
        <f>SUM(BV105:BV106)</f>
        <v>0</v>
      </c>
      <c r="BW107" s="24">
        <f>SUM(BW105:BW106)</f>
        <v>0</v>
      </c>
      <c r="BX107" s="23">
        <f t="shared" si="159"/>
        <v>0</v>
      </c>
      <c r="BY107" s="76" t="str">
        <f t="shared" si="160"/>
        <v>-</v>
      </c>
      <c r="BZ107" s="24">
        <f>SUM(BZ105:BZ106)</f>
        <v>0</v>
      </c>
      <c r="CA107" s="23">
        <f t="shared" si="161"/>
        <v>0</v>
      </c>
      <c r="CB107" s="75" t="str">
        <f t="shared" si="162"/>
        <v>-</v>
      </c>
      <c r="CC107" s="27">
        <f>SUM(CC105:CC106)</f>
        <v>0</v>
      </c>
      <c r="CD107" s="26">
        <f>SUM(CD105:CD106)</f>
        <v>0</v>
      </c>
      <c r="CE107" s="23">
        <f t="shared" si="163"/>
        <v>0</v>
      </c>
      <c r="CF107" s="76" t="str">
        <f t="shared" si="164"/>
        <v>-</v>
      </c>
      <c r="CG107" s="24">
        <f>SUM(CG105:CG106)</f>
        <v>0</v>
      </c>
      <c r="CH107" s="24">
        <f>SUM(CH105:CH106)</f>
        <v>0</v>
      </c>
      <c r="CI107" s="23">
        <f t="shared" si="165"/>
        <v>0</v>
      </c>
      <c r="CJ107" s="76" t="str">
        <f t="shared" si="166"/>
        <v>-</v>
      </c>
      <c r="CK107" s="24">
        <f>SUM(CK105:CK106)</f>
        <v>0</v>
      </c>
      <c r="CL107" s="23">
        <f t="shared" si="167"/>
        <v>0</v>
      </c>
      <c r="CM107" s="75" t="str">
        <f t="shared" si="168"/>
        <v>-</v>
      </c>
      <c r="CN107" s="27">
        <f>SUM(CN105:CN106)</f>
        <v>0</v>
      </c>
      <c r="CO107" s="26">
        <f>SUM(CO105:CO106)</f>
        <v>0</v>
      </c>
      <c r="CP107" s="23">
        <f t="shared" si="169"/>
        <v>0</v>
      </c>
      <c r="CQ107" s="76" t="str">
        <f t="shared" si="170"/>
        <v>-</v>
      </c>
      <c r="CR107" s="24">
        <f>SUM(CR105:CR106)</f>
        <v>0</v>
      </c>
      <c r="CS107" s="24">
        <f>SUM(CS105:CS106)</f>
        <v>0</v>
      </c>
      <c r="CT107" s="23">
        <f t="shared" si="171"/>
        <v>0</v>
      </c>
      <c r="CU107" s="76" t="str">
        <f t="shared" si="172"/>
        <v>-</v>
      </c>
      <c r="CV107" s="24">
        <f>SUM(CV105:CV106)</f>
        <v>0</v>
      </c>
      <c r="CW107" s="23">
        <f t="shared" si="173"/>
        <v>0</v>
      </c>
      <c r="CX107" s="75" t="str">
        <f t="shared" si="174"/>
        <v>-</v>
      </c>
      <c r="CY107" s="27">
        <f>SUM(CY105:CY106)</f>
        <v>0</v>
      </c>
      <c r="CZ107" s="26">
        <f>SUM(CZ105:CZ106)</f>
        <v>0</v>
      </c>
      <c r="DA107" s="23">
        <f t="shared" si="175"/>
        <v>0</v>
      </c>
      <c r="DB107" s="76" t="str">
        <f t="shared" si="176"/>
        <v>-</v>
      </c>
      <c r="DC107" s="24">
        <f>SUM(DC105:DC106)</f>
        <v>0</v>
      </c>
      <c r="DD107" s="24">
        <f>SUM(DD105:DD106)</f>
        <v>0</v>
      </c>
      <c r="DE107" s="23">
        <f t="shared" si="177"/>
        <v>0</v>
      </c>
      <c r="DF107" s="76" t="str">
        <f t="shared" si="178"/>
        <v>-</v>
      </c>
      <c r="DG107" s="24">
        <f>SUM(DG105:DG106)</f>
        <v>0</v>
      </c>
      <c r="DH107" s="23">
        <f t="shared" si="179"/>
        <v>0</v>
      </c>
      <c r="DI107" s="75" t="str">
        <f t="shared" si="180"/>
        <v>-</v>
      </c>
    </row>
    <row r="108" spans="1:113" ht="12.75" hidden="1" customHeight="1" outlineLevel="3" x14ac:dyDescent="0.2">
      <c r="B108" s="38" t="str">
        <f t="shared" si="181"/>
        <v>Сторно резерва квартальной премии</v>
      </c>
      <c r="C108" s="37" t="str">
        <f t="shared" si="181"/>
        <v>Reverse Accruals for Quarterly bonus</v>
      </c>
      <c r="D108" s="41">
        <v>0</v>
      </c>
      <c r="E108" s="40">
        <v>0</v>
      </c>
      <c r="F108" s="32">
        <f t="shared" ref="F108:F130" si="182">D108-E108</f>
        <v>0</v>
      </c>
      <c r="G108" s="78" t="str">
        <f t="shared" ref="G108:G130" si="183">IFERROR(D108/E108-1,"-")</f>
        <v>-</v>
      </c>
      <c r="H108" s="39">
        <v>0</v>
      </c>
      <c r="I108" s="39">
        <v>0</v>
      </c>
      <c r="J108" s="32">
        <f t="shared" ref="J108:J130" si="184">H108-I108</f>
        <v>0</v>
      </c>
      <c r="K108" s="78" t="str">
        <f t="shared" ref="K108:K130" si="185">IFERROR(H108/I108-1,"-")</f>
        <v>-</v>
      </c>
      <c r="L108" s="39">
        <v>0</v>
      </c>
      <c r="M108" s="32">
        <f t="shared" ref="M108:M130" si="186">H108-L108</f>
        <v>0</v>
      </c>
      <c r="N108" s="77" t="str">
        <f t="shared" ref="N108:N130" si="187">IFERROR(M108/L108,"-")</f>
        <v>-</v>
      </c>
      <c r="O108" s="41">
        <v>0</v>
      </c>
      <c r="P108" s="40">
        <v>0</v>
      </c>
      <c r="Q108" s="32">
        <f t="shared" ref="Q108:Q130" si="188">O108-P108</f>
        <v>0</v>
      </c>
      <c r="R108" s="78" t="str">
        <f t="shared" ref="R108:R130" si="189">IFERROR(O108/P108-1,"-")</f>
        <v>-</v>
      </c>
      <c r="S108" s="39">
        <v>0</v>
      </c>
      <c r="T108" s="39">
        <v>0</v>
      </c>
      <c r="U108" s="32">
        <f t="shared" ref="U108:U130" si="190">S108-T108</f>
        <v>0</v>
      </c>
      <c r="V108" s="78" t="str">
        <f t="shared" ref="V108:V130" si="191">IFERROR(S108/T108-1,"-")</f>
        <v>-</v>
      </c>
      <c r="W108" s="39">
        <v>0</v>
      </c>
      <c r="X108" s="32">
        <f t="shared" ref="X108:X130" si="192">S108-W108</f>
        <v>0</v>
      </c>
      <c r="Y108" s="77" t="str">
        <f t="shared" ref="Y108:Y130" si="193">IFERROR(X108/W108,"-")</f>
        <v>-</v>
      </c>
      <c r="Z108" s="41">
        <v>0</v>
      </c>
      <c r="AA108" s="40">
        <v>0</v>
      </c>
      <c r="AB108" s="32">
        <f t="shared" ref="AB108:AB130" si="194">Z108-AA108</f>
        <v>0</v>
      </c>
      <c r="AC108" s="78" t="str">
        <f t="shared" ref="AC108:AC130" si="195">IFERROR(Z108/AA108-1,"-")</f>
        <v>-</v>
      </c>
      <c r="AD108" s="39">
        <v>0</v>
      </c>
      <c r="AE108" s="39">
        <v>0</v>
      </c>
      <c r="AF108" s="32">
        <f t="shared" ref="AF108:AF130" si="196">AD108-AE108</f>
        <v>0</v>
      </c>
      <c r="AG108" s="78" t="str">
        <f t="shared" ref="AG108:AG130" si="197">IFERROR(AD108/AE108-1,"-")</f>
        <v>-</v>
      </c>
      <c r="AH108" s="39">
        <v>0</v>
      </c>
      <c r="AI108" s="32">
        <f t="shared" ref="AI108:AI130" si="198">AD108-AH108</f>
        <v>0</v>
      </c>
      <c r="AJ108" s="77" t="str">
        <f t="shared" ref="AJ108:AJ130" si="199">IFERROR(AI108/AH108,"-")</f>
        <v>-</v>
      </c>
      <c r="AK108" s="41">
        <v>0</v>
      </c>
      <c r="AL108" s="40">
        <v>0</v>
      </c>
      <c r="AM108" s="32">
        <f t="shared" ref="AM108:AM130" si="200">AK108-AL108</f>
        <v>0</v>
      </c>
      <c r="AN108" s="78" t="str">
        <f t="shared" ref="AN108:AN130" si="201">IFERROR(AK108/AL108-1,"-")</f>
        <v>-</v>
      </c>
      <c r="AO108" s="39">
        <v>0</v>
      </c>
      <c r="AP108" s="39">
        <v>0</v>
      </c>
      <c r="AQ108" s="32">
        <f t="shared" ref="AQ108:AQ130" si="202">AO108-AP108</f>
        <v>0</v>
      </c>
      <c r="AR108" s="78" t="str">
        <f t="shared" ref="AR108:AR130" si="203">IFERROR(AO108/AP108-1,"-")</f>
        <v>-</v>
      </c>
      <c r="AS108" s="39">
        <v>0</v>
      </c>
      <c r="AT108" s="32">
        <f t="shared" ref="AT108:AT130" si="204">AO108-AS108</f>
        <v>0</v>
      </c>
      <c r="AU108" s="77" t="str">
        <f t="shared" ref="AU108:AU130" si="205">IFERROR(AT108/AS108,"-")</f>
        <v>-</v>
      </c>
      <c r="AV108" s="41">
        <v>0</v>
      </c>
      <c r="AW108" s="40">
        <v>0</v>
      </c>
      <c r="AX108" s="32">
        <f t="shared" ref="AX108:AX130" si="206">AV108-AW108</f>
        <v>0</v>
      </c>
      <c r="AY108" s="78" t="str">
        <f t="shared" ref="AY108:AY130" si="207">IFERROR(AV108/AW108-1,"-")</f>
        <v>-</v>
      </c>
      <c r="AZ108" s="39">
        <v>0</v>
      </c>
      <c r="BA108" s="39">
        <v>0</v>
      </c>
      <c r="BB108" s="32">
        <f t="shared" ref="BB108:BB130" si="208">AZ108-BA108</f>
        <v>0</v>
      </c>
      <c r="BC108" s="78" t="str">
        <f t="shared" ref="BC108:BC130" si="209">IFERROR(AZ108/BA108-1,"-")</f>
        <v>-</v>
      </c>
      <c r="BD108" s="39">
        <v>0</v>
      </c>
      <c r="BE108" s="32">
        <f t="shared" ref="BE108:BE130" si="210">AZ108-BD108</f>
        <v>0</v>
      </c>
      <c r="BF108" s="77" t="str">
        <f t="shared" ref="BF108:BF130" si="211">IFERROR(BE108/BD108,"-")</f>
        <v>-</v>
      </c>
      <c r="BG108" s="41">
        <v>0</v>
      </c>
      <c r="BH108" s="40">
        <v>0</v>
      </c>
      <c r="BI108" s="32">
        <f t="shared" ref="BI108:BI130" si="212">BG108-BH108</f>
        <v>0</v>
      </c>
      <c r="BJ108" s="78" t="str">
        <f t="shared" ref="BJ108:BJ130" si="213">IFERROR(BG108/BH108-1,"-")</f>
        <v>-</v>
      </c>
      <c r="BK108" s="39">
        <v>0</v>
      </c>
      <c r="BL108" s="39">
        <v>0</v>
      </c>
      <c r="BM108" s="32">
        <f t="shared" ref="BM108:BM130" si="214">BK108-BL108</f>
        <v>0</v>
      </c>
      <c r="BN108" s="78" t="str">
        <f t="shared" ref="BN108:BN130" si="215">IFERROR(BK108/BL108-1,"-")</f>
        <v>-</v>
      </c>
      <c r="BO108" s="39">
        <v>0</v>
      </c>
      <c r="BP108" s="32">
        <f t="shared" ref="BP108:BP130" si="216">BK108-BO108</f>
        <v>0</v>
      </c>
      <c r="BQ108" s="77" t="str">
        <f t="shared" ref="BQ108:BQ130" si="217">IFERROR(BP108/BO108,"-")</f>
        <v>-</v>
      </c>
      <c r="BR108" s="41">
        <v>0</v>
      </c>
      <c r="BS108" s="40">
        <v>0</v>
      </c>
      <c r="BT108" s="32">
        <f t="shared" ref="BT108:BT130" si="218">BR108-BS108</f>
        <v>0</v>
      </c>
      <c r="BU108" s="78" t="str">
        <f t="shared" ref="BU108:BU130" si="219">IFERROR(BR108/BS108-1,"-")</f>
        <v>-</v>
      </c>
      <c r="BV108" s="39">
        <v>0</v>
      </c>
      <c r="BW108" s="39">
        <v>0</v>
      </c>
      <c r="BX108" s="32">
        <f t="shared" ref="BX108:BX130" si="220">BV108-BW108</f>
        <v>0</v>
      </c>
      <c r="BY108" s="78" t="str">
        <f t="shared" ref="BY108:BY130" si="221">IFERROR(BV108/BW108-1,"-")</f>
        <v>-</v>
      </c>
      <c r="BZ108" s="39">
        <v>0</v>
      </c>
      <c r="CA108" s="32">
        <f t="shared" ref="CA108:CA130" si="222">BV108-BZ108</f>
        <v>0</v>
      </c>
      <c r="CB108" s="77" t="str">
        <f t="shared" ref="CB108:CB130" si="223">IFERROR(CA108/BZ108,"-")</f>
        <v>-</v>
      </c>
      <c r="CC108" s="41">
        <v>0</v>
      </c>
      <c r="CD108" s="40">
        <v>0</v>
      </c>
      <c r="CE108" s="32">
        <f t="shared" ref="CE108:CE130" si="224">CC108-CD108</f>
        <v>0</v>
      </c>
      <c r="CF108" s="78" t="str">
        <f t="shared" ref="CF108:CF130" si="225">IFERROR(CC108/CD108-1,"-")</f>
        <v>-</v>
      </c>
      <c r="CG108" s="39">
        <v>0</v>
      </c>
      <c r="CH108" s="39">
        <v>0</v>
      </c>
      <c r="CI108" s="32">
        <f t="shared" ref="CI108:CI130" si="226">CG108-CH108</f>
        <v>0</v>
      </c>
      <c r="CJ108" s="78" t="str">
        <f t="shared" ref="CJ108:CJ130" si="227">IFERROR(CG108/CH108-1,"-")</f>
        <v>-</v>
      </c>
      <c r="CK108" s="39">
        <v>0</v>
      </c>
      <c r="CL108" s="32">
        <f t="shared" ref="CL108:CL130" si="228">CG108-CK108</f>
        <v>0</v>
      </c>
      <c r="CM108" s="77" t="str">
        <f t="shared" ref="CM108:CM130" si="229">IFERROR(CL108/CK108,"-")</f>
        <v>-</v>
      </c>
      <c r="CN108" s="41">
        <v>0</v>
      </c>
      <c r="CO108" s="40">
        <v>0</v>
      </c>
      <c r="CP108" s="32">
        <f t="shared" ref="CP108:CP130" si="230">CN108-CO108</f>
        <v>0</v>
      </c>
      <c r="CQ108" s="78" t="str">
        <f t="shared" ref="CQ108:CQ130" si="231">IFERROR(CN108/CO108-1,"-")</f>
        <v>-</v>
      </c>
      <c r="CR108" s="39">
        <v>0</v>
      </c>
      <c r="CS108" s="39">
        <v>0</v>
      </c>
      <c r="CT108" s="32">
        <f t="shared" ref="CT108:CT130" si="232">CR108-CS108</f>
        <v>0</v>
      </c>
      <c r="CU108" s="78" t="str">
        <f t="shared" ref="CU108:CU130" si="233">IFERROR(CR108/CS108-1,"-")</f>
        <v>-</v>
      </c>
      <c r="CV108" s="39">
        <v>0</v>
      </c>
      <c r="CW108" s="32">
        <f t="shared" ref="CW108:CW130" si="234">CR108-CV108</f>
        <v>0</v>
      </c>
      <c r="CX108" s="77" t="str">
        <f t="shared" ref="CX108:CX130" si="235">IFERROR(CW108/CV108,"-")</f>
        <v>-</v>
      </c>
      <c r="CY108" s="41">
        <v>0</v>
      </c>
      <c r="CZ108" s="40">
        <v>0</v>
      </c>
      <c r="DA108" s="32">
        <f t="shared" ref="DA108:DA130" si="236">CY108-CZ108</f>
        <v>0</v>
      </c>
      <c r="DB108" s="78" t="str">
        <f t="shared" ref="DB108:DB130" si="237">IFERROR(CY108/CZ108-1,"-")</f>
        <v>-</v>
      </c>
      <c r="DC108" s="39">
        <v>0</v>
      </c>
      <c r="DD108" s="39">
        <v>0</v>
      </c>
      <c r="DE108" s="32">
        <f t="shared" ref="DE108:DE130" si="238">DC108-DD108</f>
        <v>0</v>
      </c>
      <c r="DF108" s="78" t="str">
        <f t="shared" ref="DF108:DF130" si="239">IFERROR(DC108/DD108-1,"-")</f>
        <v>-</v>
      </c>
      <c r="DG108" s="39">
        <v>0</v>
      </c>
      <c r="DH108" s="32">
        <f t="shared" ref="DH108:DH130" si="240">DC108-DG108</f>
        <v>0</v>
      </c>
      <c r="DI108" s="77" t="str">
        <f t="shared" ref="DI108:DI130" si="241">IFERROR(DH108/DG108,"-")</f>
        <v>-</v>
      </c>
    </row>
    <row r="109" spans="1:113" ht="12.75" hidden="1" customHeight="1" outlineLevel="3" x14ac:dyDescent="0.2">
      <c r="B109" s="38" t="str">
        <f t="shared" si="181"/>
        <v>Страховые взносы, сторно резерва квартальной премии</v>
      </c>
      <c r="C109" s="37" t="str">
        <f t="shared" si="181"/>
        <v>Social Security on Reverse Accruals for Quarterly bonus</v>
      </c>
      <c r="D109" s="41">
        <v>0</v>
      </c>
      <c r="E109" s="40">
        <v>0</v>
      </c>
      <c r="F109" s="32">
        <f t="shared" si="182"/>
        <v>0</v>
      </c>
      <c r="G109" s="78" t="str">
        <f t="shared" si="183"/>
        <v>-</v>
      </c>
      <c r="H109" s="39">
        <v>0</v>
      </c>
      <c r="I109" s="39">
        <v>0</v>
      </c>
      <c r="J109" s="32">
        <f t="shared" si="184"/>
        <v>0</v>
      </c>
      <c r="K109" s="78" t="str">
        <f t="shared" si="185"/>
        <v>-</v>
      </c>
      <c r="L109" s="39">
        <v>0</v>
      </c>
      <c r="M109" s="32">
        <f t="shared" si="186"/>
        <v>0</v>
      </c>
      <c r="N109" s="77" t="str">
        <f t="shared" si="187"/>
        <v>-</v>
      </c>
      <c r="O109" s="41">
        <v>0</v>
      </c>
      <c r="P109" s="40">
        <v>0</v>
      </c>
      <c r="Q109" s="32">
        <f t="shared" si="188"/>
        <v>0</v>
      </c>
      <c r="R109" s="78" t="str">
        <f t="shared" si="189"/>
        <v>-</v>
      </c>
      <c r="S109" s="39">
        <v>0</v>
      </c>
      <c r="T109" s="39">
        <v>0</v>
      </c>
      <c r="U109" s="32">
        <f t="shared" si="190"/>
        <v>0</v>
      </c>
      <c r="V109" s="78" t="str">
        <f t="shared" si="191"/>
        <v>-</v>
      </c>
      <c r="W109" s="39">
        <v>0</v>
      </c>
      <c r="X109" s="32">
        <f t="shared" si="192"/>
        <v>0</v>
      </c>
      <c r="Y109" s="77" t="str">
        <f t="shared" si="193"/>
        <v>-</v>
      </c>
      <c r="Z109" s="41">
        <v>0</v>
      </c>
      <c r="AA109" s="40">
        <v>0</v>
      </c>
      <c r="AB109" s="32">
        <f t="shared" si="194"/>
        <v>0</v>
      </c>
      <c r="AC109" s="78" t="str">
        <f t="shared" si="195"/>
        <v>-</v>
      </c>
      <c r="AD109" s="39">
        <v>0</v>
      </c>
      <c r="AE109" s="39">
        <v>0</v>
      </c>
      <c r="AF109" s="32">
        <f t="shared" si="196"/>
        <v>0</v>
      </c>
      <c r="AG109" s="78" t="str">
        <f t="shared" si="197"/>
        <v>-</v>
      </c>
      <c r="AH109" s="39">
        <v>0</v>
      </c>
      <c r="AI109" s="32">
        <f t="shared" si="198"/>
        <v>0</v>
      </c>
      <c r="AJ109" s="77" t="str">
        <f t="shared" si="199"/>
        <v>-</v>
      </c>
      <c r="AK109" s="41">
        <v>0</v>
      </c>
      <c r="AL109" s="40">
        <v>0</v>
      </c>
      <c r="AM109" s="32">
        <f t="shared" si="200"/>
        <v>0</v>
      </c>
      <c r="AN109" s="78" t="str">
        <f t="shared" si="201"/>
        <v>-</v>
      </c>
      <c r="AO109" s="39">
        <v>0</v>
      </c>
      <c r="AP109" s="39">
        <v>0</v>
      </c>
      <c r="AQ109" s="32">
        <f t="shared" si="202"/>
        <v>0</v>
      </c>
      <c r="AR109" s="78" t="str">
        <f t="shared" si="203"/>
        <v>-</v>
      </c>
      <c r="AS109" s="39">
        <v>0</v>
      </c>
      <c r="AT109" s="32">
        <f t="shared" si="204"/>
        <v>0</v>
      </c>
      <c r="AU109" s="77" t="str">
        <f t="shared" si="205"/>
        <v>-</v>
      </c>
      <c r="AV109" s="41">
        <v>0</v>
      </c>
      <c r="AW109" s="40">
        <v>0</v>
      </c>
      <c r="AX109" s="32">
        <f t="shared" si="206"/>
        <v>0</v>
      </c>
      <c r="AY109" s="78" t="str">
        <f t="shared" si="207"/>
        <v>-</v>
      </c>
      <c r="AZ109" s="39">
        <v>0</v>
      </c>
      <c r="BA109" s="39">
        <v>0</v>
      </c>
      <c r="BB109" s="32">
        <f t="shared" si="208"/>
        <v>0</v>
      </c>
      <c r="BC109" s="78" t="str">
        <f t="shared" si="209"/>
        <v>-</v>
      </c>
      <c r="BD109" s="39">
        <v>0</v>
      </c>
      <c r="BE109" s="32">
        <f t="shared" si="210"/>
        <v>0</v>
      </c>
      <c r="BF109" s="77" t="str">
        <f t="shared" si="211"/>
        <v>-</v>
      </c>
      <c r="BG109" s="41">
        <v>0</v>
      </c>
      <c r="BH109" s="40">
        <v>0</v>
      </c>
      <c r="BI109" s="32">
        <f t="shared" si="212"/>
        <v>0</v>
      </c>
      <c r="BJ109" s="78" t="str">
        <f t="shared" si="213"/>
        <v>-</v>
      </c>
      <c r="BK109" s="39">
        <v>0</v>
      </c>
      <c r="BL109" s="39">
        <v>0</v>
      </c>
      <c r="BM109" s="32">
        <f t="shared" si="214"/>
        <v>0</v>
      </c>
      <c r="BN109" s="78" t="str">
        <f t="shared" si="215"/>
        <v>-</v>
      </c>
      <c r="BO109" s="39">
        <v>0</v>
      </c>
      <c r="BP109" s="32">
        <f t="shared" si="216"/>
        <v>0</v>
      </c>
      <c r="BQ109" s="77" t="str">
        <f t="shared" si="217"/>
        <v>-</v>
      </c>
      <c r="BR109" s="41">
        <v>0</v>
      </c>
      <c r="BS109" s="40">
        <v>0</v>
      </c>
      <c r="BT109" s="32">
        <f t="shared" si="218"/>
        <v>0</v>
      </c>
      <c r="BU109" s="78" t="str">
        <f t="shared" si="219"/>
        <v>-</v>
      </c>
      <c r="BV109" s="39">
        <v>0</v>
      </c>
      <c r="BW109" s="39">
        <v>0</v>
      </c>
      <c r="BX109" s="32">
        <f t="shared" si="220"/>
        <v>0</v>
      </c>
      <c r="BY109" s="78" t="str">
        <f t="shared" si="221"/>
        <v>-</v>
      </c>
      <c r="BZ109" s="39">
        <v>0</v>
      </c>
      <c r="CA109" s="32">
        <f t="shared" si="222"/>
        <v>0</v>
      </c>
      <c r="CB109" s="77" t="str">
        <f t="shared" si="223"/>
        <v>-</v>
      </c>
      <c r="CC109" s="41">
        <v>0</v>
      </c>
      <c r="CD109" s="40">
        <v>0</v>
      </c>
      <c r="CE109" s="32">
        <f t="shared" si="224"/>
        <v>0</v>
      </c>
      <c r="CF109" s="78" t="str">
        <f t="shared" si="225"/>
        <v>-</v>
      </c>
      <c r="CG109" s="39">
        <v>0</v>
      </c>
      <c r="CH109" s="39">
        <v>0</v>
      </c>
      <c r="CI109" s="32">
        <f t="shared" si="226"/>
        <v>0</v>
      </c>
      <c r="CJ109" s="78" t="str">
        <f t="shared" si="227"/>
        <v>-</v>
      </c>
      <c r="CK109" s="39">
        <v>0</v>
      </c>
      <c r="CL109" s="32">
        <f t="shared" si="228"/>
        <v>0</v>
      </c>
      <c r="CM109" s="77" t="str">
        <f t="shared" si="229"/>
        <v>-</v>
      </c>
      <c r="CN109" s="41">
        <v>0</v>
      </c>
      <c r="CO109" s="40">
        <v>0</v>
      </c>
      <c r="CP109" s="32">
        <f t="shared" si="230"/>
        <v>0</v>
      </c>
      <c r="CQ109" s="78" t="str">
        <f t="shared" si="231"/>
        <v>-</v>
      </c>
      <c r="CR109" s="39">
        <v>0</v>
      </c>
      <c r="CS109" s="39">
        <v>0</v>
      </c>
      <c r="CT109" s="32">
        <f t="shared" si="232"/>
        <v>0</v>
      </c>
      <c r="CU109" s="78" t="str">
        <f t="shared" si="233"/>
        <v>-</v>
      </c>
      <c r="CV109" s="39">
        <v>0</v>
      </c>
      <c r="CW109" s="32">
        <f t="shared" si="234"/>
        <v>0</v>
      </c>
      <c r="CX109" s="77" t="str">
        <f t="shared" si="235"/>
        <v>-</v>
      </c>
      <c r="CY109" s="41">
        <v>0</v>
      </c>
      <c r="CZ109" s="40">
        <v>0</v>
      </c>
      <c r="DA109" s="32">
        <f t="shared" si="236"/>
        <v>0</v>
      </c>
      <c r="DB109" s="78" t="str">
        <f t="shared" si="237"/>
        <v>-</v>
      </c>
      <c r="DC109" s="39">
        <v>0</v>
      </c>
      <c r="DD109" s="39">
        <v>0</v>
      </c>
      <c r="DE109" s="32">
        <f t="shared" si="238"/>
        <v>0</v>
      </c>
      <c r="DF109" s="78" t="str">
        <f t="shared" si="239"/>
        <v>-</v>
      </c>
      <c r="DG109" s="39">
        <v>0</v>
      </c>
      <c r="DH109" s="32">
        <f t="shared" si="240"/>
        <v>0</v>
      </c>
      <c r="DI109" s="77" t="str">
        <f t="shared" si="241"/>
        <v>-</v>
      </c>
    </row>
    <row r="110" spans="1:113" s="6" customFormat="1" hidden="1" outlineLevel="2" collapsed="1" x14ac:dyDescent="0.2">
      <c r="A110" s="30"/>
      <c r="B110" s="29" t="str">
        <f t="shared" si="181"/>
        <v>Итого сторно резерва квартальной премии</v>
      </c>
      <c r="C110" s="42" t="str">
        <f t="shared" si="181"/>
        <v>Total Reverse Accruals for Quarterly bonus</v>
      </c>
      <c r="D110" s="27">
        <f>SUM(D108:D109)</f>
        <v>0</v>
      </c>
      <c r="E110" s="26">
        <f>SUM(E108:E109)</f>
        <v>0</v>
      </c>
      <c r="F110" s="23">
        <f t="shared" si="182"/>
        <v>0</v>
      </c>
      <c r="G110" s="76" t="str">
        <f t="shared" si="183"/>
        <v>-</v>
      </c>
      <c r="H110" s="24">
        <f>SUM(H108:H109)</f>
        <v>0</v>
      </c>
      <c r="I110" s="24">
        <f>SUM(I108:I109)</f>
        <v>0</v>
      </c>
      <c r="J110" s="23">
        <f t="shared" si="184"/>
        <v>0</v>
      </c>
      <c r="K110" s="76" t="str">
        <f t="shared" si="185"/>
        <v>-</v>
      </c>
      <c r="L110" s="24">
        <f>SUM(L108:L109)</f>
        <v>0</v>
      </c>
      <c r="M110" s="23">
        <f t="shared" si="186"/>
        <v>0</v>
      </c>
      <c r="N110" s="75" t="str">
        <f t="shared" si="187"/>
        <v>-</v>
      </c>
      <c r="O110" s="27">
        <f>SUM(O108:O109)</f>
        <v>0</v>
      </c>
      <c r="P110" s="26">
        <f>SUM(P108:P109)</f>
        <v>0</v>
      </c>
      <c r="Q110" s="23">
        <f t="shared" si="188"/>
        <v>0</v>
      </c>
      <c r="R110" s="76" t="str">
        <f t="shared" si="189"/>
        <v>-</v>
      </c>
      <c r="S110" s="24">
        <f>SUM(S108:S109)</f>
        <v>0</v>
      </c>
      <c r="T110" s="24">
        <f>SUM(T108:T109)</f>
        <v>0</v>
      </c>
      <c r="U110" s="23">
        <f t="shared" si="190"/>
        <v>0</v>
      </c>
      <c r="V110" s="76" t="str">
        <f t="shared" si="191"/>
        <v>-</v>
      </c>
      <c r="W110" s="24">
        <f>SUM(W108:W109)</f>
        <v>0</v>
      </c>
      <c r="X110" s="23">
        <f t="shared" si="192"/>
        <v>0</v>
      </c>
      <c r="Y110" s="75" t="str">
        <f t="shared" si="193"/>
        <v>-</v>
      </c>
      <c r="Z110" s="27">
        <f>SUM(Z108:Z109)</f>
        <v>0</v>
      </c>
      <c r="AA110" s="26">
        <f>SUM(AA108:AA109)</f>
        <v>0</v>
      </c>
      <c r="AB110" s="23">
        <f t="shared" si="194"/>
        <v>0</v>
      </c>
      <c r="AC110" s="76" t="str">
        <f t="shared" si="195"/>
        <v>-</v>
      </c>
      <c r="AD110" s="24">
        <f>SUM(AD108:AD109)</f>
        <v>0</v>
      </c>
      <c r="AE110" s="24">
        <f>SUM(AE108:AE109)</f>
        <v>0</v>
      </c>
      <c r="AF110" s="23">
        <f t="shared" si="196"/>
        <v>0</v>
      </c>
      <c r="AG110" s="76" t="str">
        <f t="shared" si="197"/>
        <v>-</v>
      </c>
      <c r="AH110" s="24">
        <f>SUM(AH108:AH109)</f>
        <v>0</v>
      </c>
      <c r="AI110" s="23">
        <f t="shared" si="198"/>
        <v>0</v>
      </c>
      <c r="AJ110" s="75" t="str">
        <f t="shared" si="199"/>
        <v>-</v>
      </c>
      <c r="AK110" s="27">
        <f>SUM(AK108:AK109)</f>
        <v>0</v>
      </c>
      <c r="AL110" s="26">
        <f>SUM(AL108:AL109)</f>
        <v>0</v>
      </c>
      <c r="AM110" s="23">
        <f t="shared" si="200"/>
        <v>0</v>
      </c>
      <c r="AN110" s="76" t="str">
        <f t="shared" si="201"/>
        <v>-</v>
      </c>
      <c r="AO110" s="24">
        <f>SUM(AO108:AO109)</f>
        <v>0</v>
      </c>
      <c r="AP110" s="24">
        <f>SUM(AP108:AP109)</f>
        <v>0</v>
      </c>
      <c r="AQ110" s="23">
        <f t="shared" si="202"/>
        <v>0</v>
      </c>
      <c r="AR110" s="76" t="str">
        <f t="shared" si="203"/>
        <v>-</v>
      </c>
      <c r="AS110" s="24">
        <f>SUM(AS108:AS109)</f>
        <v>0</v>
      </c>
      <c r="AT110" s="23">
        <f t="shared" si="204"/>
        <v>0</v>
      </c>
      <c r="AU110" s="75" t="str">
        <f t="shared" si="205"/>
        <v>-</v>
      </c>
      <c r="AV110" s="27">
        <f>SUM(AV108:AV109)</f>
        <v>0</v>
      </c>
      <c r="AW110" s="26">
        <f>SUM(AW108:AW109)</f>
        <v>0</v>
      </c>
      <c r="AX110" s="23">
        <f t="shared" si="206"/>
        <v>0</v>
      </c>
      <c r="AY110" s="76" t="str">
        <f t="shared" si="207"/>
        <v>-</v>
      </c>
      <c r="AZ110" s="24">
        <f>SUM(AZ108:AZ109)</f>
        <v>0</v>
      </c>
      <c r="BA110" s="24">
        <f>SUM(BA108:BA109)</f>
        <v>0</v>
      </c>
      <c r="BB110" s="23">
        <f t="shared" si="208"/>
        <v>0</v>
      </c>
      <c r="BC110" s="76" t="str">
        <f t="shared" si="209"/>
        <v>-</v>
      </c>
      <c r="BD110" s="24">
        <f>SUM(BD108:BD109)</f>
        <v>0</v>
      </c>
      <c r="BE110" s="23">
        <f t="shared" si="210"/>
        <v>0</v>
      </c>
      <c r="BF110" s="75" t="str">
        <f t="shared" si="211"/>
        <v>-</v>
      </c>
      <c r="BG110" s="27">
        <f>SUM(BG108:BG109)</f>
        <v>0</v>
      </c>
      <c r="BH110" s="26">
        <f>SUM(BH108:BH109)</f>
        <v>0</v>
      </c>
      <c r="BI110" s="23">
        <f t="shared" si="212"/>
        <v>0</v>
      </c>
      <c r="BJ110" s="76" t="str">
        <f t="shared" si="213"/>
        <v>-</v>
      </c>
      <c r="BK110" s="24">
        <f>SUM(BK108:BK109)</f>
        <v>0</v>
      </c>
      <c r="BL110" s="24">
        <f>SUM(BL108:BL109)</f>
        <v>0</v>
      </c>
      <c r="BM110" s="23">
        <f t="shared" si="214"/>
        <v>0</v>
      </c>
      <c r="BN110" s="76" t="str">
        <f t="shared" si="215"/>
        <v>-</v>
      </c>
      <c r="BO110" s="24">
        <f>SUM(BO108:BO109)</f>
        <v>0</v>
      </c>
      <c r="BP110" s="23">
        <f t="shared" si="216"/>
        <v>0</v>
      </c>
      <c r="BQ110" s="75" t="str">
        <f t="shared" si="217"/>
        <v>-</v>
      </c>
      <c r="BR110" s="27">
        <f>SUM(BR108:BR109)</f>
        <v>0</v>
      </c>
      <c r="BS110" s="26">
        <f>SUM(BS108:BS109)</f>
        <v>0</v>
      </c>
      <c r="BT110" s="23">
        <f t="shared" si="218"/>
        <v>0</v>
      </c>
      <c r="BU110" s="76" t="str">
        <f t="shared" si="219"/>
        <v>-</v>
      </c>
      <c r="BV110" s="24">
        <f>SUM(BV108:BV109)</f>
        <v>0</v>
      </c>
      <c r="BW110" s="24">
        <f>SUM(BW108:BW109)</f>
        <v>0</v>
      </c>
      <c r="BX110" s="23">
        <f t="shared" si="220"/>
        <v>0</v>
      </c>
      <c r="BY110" s="76" t="str">
        <f t="shared" si="221"/>
        <v>-</v>
      </c>
      <c r="BZ110" s="24">
        <f>SUM(BZ108:BZ109)</f>
        <v>0</v>
      </c>
      <c r="CA110" s="23">
        <f t="shared" si="222"/>
        <v>0</v>
      </c>
      <c r="CB110" s="75" t="str">
        <f t="shared" si="223"/>
        <v>-</v>
      </c>
      <c r="CC110" s="27">
        <f>SUM(CC108:CC109)</f>
        <v>0</v>
      </c>
      <c r="CD110" s="26">
        <f>SUM(CD108:CD109)</f>
        <v>0</v>
      </c>
      <c r="CE110" s="23">
        <f t="shared" si="224"/>
        <v>0</v>
      </c>
      <c r="CF110" s="76" t="str">
        <f t="shared" si="225"/>
        <v>-</v>
      </c>
      <c r="CG110" s="24">
        <f>SUM(CG108:CG109)</f>
        <v>0</v>
      </c>
      <c r="CH110" s="24">
        <f>SUM(CH108:CH109)</f>
        <v>0</v>
      </c>
      <c r="CI110" s="23">
        <f t="shared" si="226"/>
        <v>0</v>
      </c>
      <c r="CJ110" s="76" t="str">
        <f t="shared" si="227"/>
        <v>-</v>
      </c>
      <c r="CK110" s="24">
        <f>SUM(CK108:CK109)</f>
        <v>0</v>
      </c>
      <c r="CL110" s="23">
        <f t="shared" si="228"/>
        <v>0</v>
      </c>
      <c r="CM110" s="75" t="str">
        <f t="shared" si="229"/>
        <v>-</v>
      </c>
      <c r="CN110" s="27">
        <f>SUM(CN108:CN109)</f>
        <v>0</v>
      </c>
      <c r="CO110" s="26">
        <f>SUM(CO108:CO109)</f>
        <v>0</v>
      </c>
      <c r="CP110" s="23">
        <f t="shared" si="230"/>
        <v>0</v>
      </c>
      <c r="CQ110" s="76" t="str">
        <f t="shared" si="231"/>
        <v>-</v>
      </c>
      <c r="CR110" s="24">
        <f>SUM(CR108:CR109)</f>
        <v>0</v>
      </c>
      <c r="CS110" s="24">
        <f>SUM(CS108:CS109)</f>
        <v>0</v>
      </c>
      <c r="CT110" s="23">
        <f t="shared" si="232"/>
        <v>0</v>
      </c>
      <c r="CU110" s="76" t="str">
        <f t="shared" si="233"/>
        <v>-</v>
      </c>
      <c r="CV110" s="24">
        <f>SUM(CV108:CV109)</f>
        <v>0</v>
      </c>
      <c r="CW110" s="23">
        <f t="shared" si="234"/>
        <v>0</v>
      </c>
      <c r="CX110" s="75" t="str">
        <f t="shared" si="235"/>
        <v>-</v>
      </c>
      <c r="CY110" s="27">
        <f>SUM(CY108:CY109)</f>
        <v>0</v>
      </c>
      <c r="CZ110" s="26">
        <f>SUM(CZ108:CZ109)</f>
        <v>0</v>
      </c>
      <c r="DA110" s="23">
        <f t="shared" si="236"/>
        <v>0</v>
      </c>
      <c r="DB110" s="76" t="str">
        <f t="shared" si="237"/>
        <v>-</v>
      </c>
      <c r="DC110" s="24">
        <f>SUM(DC108:DC109)</f>
        <v>0</v>
      </c>
      <c r="DD110" s="24">
        <f>SUM(DD108:DD109)</f>
        <v>0</v>
      </c>
      <c r="DE110" s="23">
        <f t="shared" si="238"/>
        <v>0</v>
      </c>
      <c r="DF110" s="76" t="str">
        <f t="shared" si="239"/>
        <v>-</v>
      </c>
      <c r="DG110" s="24">
        <f>SUM(DG108:DG109)</f>
        <v>0</v>
      </c>
      <c r="DH110" s="23">
        <f t="shared" si="240"/>
        <v>0</v>
      </c>
      <c r="DI110" s="75" t="str">
        <f t="shared" si="241"/>
        <v>-</v>
      </c>
    </row>
    <row r="111" spans="1:113" ht="12.75" hidden="1" customHeight="1" outlineLevel="3" x14ac:dyDescent="0.2">
      <c r="B111" s="38" t="str">
        <f t="shared" si="181"/>
        <v>Квартальная премия, выплата</v>
      </c>
      <c r="C111" s="37" t="str">
        <f t="shared" si="181"/>
        <v>Quarterly bonus cash</v>
      </c>
      <c r="D111" s="41">
        <v>10571699.000000002</v>
      </c>
      <c r="E111" s="40">
        <f>I111/6</f>
        <v>11205664.548888899</v>
      </c>
      <c r="F111" s="32">
        <f t="shared" si="182"/>
        <v>-633965.54888889752</v>
      </c>
      <c r="G111" s="78">
        <f t="shared" si="183"/>
        <v>-5.657545307759182E-2</v>
      </c>
      <c r="H111" s="39">
        <v>66996249.940000072</v>
      </c>
      <c r="I111" s="39">
        <v>67233987.293333396</v>
      </c>
      <c r="J111" s="32">
        <f t="shared" si="184"/>
        <v>-237737.35333332419</v>
      </c>
      <c r="K111" s="78">
        <f t="shared" si="185"/>
        <v>-3.5359698703589793E-3</v>
      </c>
      <c r="L111" s="39">
        <v>133992500</v>
      </c>
      <c r="M111" s="32">
        <f t="shared" si="186"/>
        <v>-66996250.059999928</v>
      </c>
      <c r="N111" s="77">
        <f t="shared" si="187"/>
        <v>-0.5000000004477857</v>
      </c>
      <c r="O111" s="41">
        <v>10571699.000000002</v>
      </c>
      <c r="P111" s="40">
        <f>T111/6</f>
        <v>11205664.548888899</v>
      </c>
      <c r="Q111" s="32">
        <f t="shared" si="188"/>
        <v>-633965.54888889752</v>
      </c>
      <c r="R111" s="78">
        <f t="shared" si="189"/>
        <v>-5.657545307759182E-2</v>
      </c>
      <c r="S111" s="39">
        <v>66996249.940000072</v>
      </c>
      <c r="T111" s="39">
        <v>67233987.293333396</v>
      </c>
      <c r="U111" s="32">
        <f t="shared" si="190"/>
        <v>-237737.35333332419</v>
      </c>
      <c r="V111" s="78">
        <f t="shared" si="191"/>
        <v>-3.5359698703589793E-3</v>
      </c>
      <c r="W111" s="39">
        <v>133992500</v>
      </c>
      <c r="X111" s="32">
        <f t="shared" si="192"/>
        <v>-66996250.059999928</v>
      </c>
      <c r="Y111" s="77">
        <f t="shared" si="193"/>
        <v>-0.5000000004477857</v>
      </c>
      <c r="Z111" s="41">
        <v>10571699.000000002</v>
      </c>
      <c r="AA111" s="40">
        <f>AE111/6</f>
        <v>11205664.548888899</v>
      </c>
      <c r="AB111" s="32">
        <f t="shared" si="194"/>
        <v>-633965.54888889752</v>
      </c>
      <c r="AC111" s="78">
        <f t="shared" si="195"/>
        <v>-5.657545307759182E-2</v>
      </c>
      <c r="AD111" s="39">
        <v>66996249.940000072</v>
      </c>
      <c r="AE111" s="39">
        <v>67233987.293333396</v>
      </c>
      <c r="AF111" s="32">
        <f t="shared" si="196"/>
        <v>-237737.35333332419</v>
      </c>
      <c r="AG111" s="78">
        <f t="shared" si="197"/>
        <v>-3.5359698703589793E-3</v>
      </c>
      <c r="AH111" s="39">
        <v>133992500</v>
      </c>
      <c r="AI111" s="32">
        <f t="shared" si="198"/>
        <v>-66996250.059999928</v>
      </c>
      <c r="AJ111" s="77">
        <f t="shared" si="199"/>
        <v>-0.5000000004477857</v>
      </c>
      <c r="AK111" s="41">
        <v>10571699.000000002</v>
      </c>
      <c r="AL111" s="40">
        <f>AP111/6</f>
        <v>11205664.548888899</v>
      </c>
      <c r="AM111" s="32">
        <f t="shared" si="200"/>
        <v>-633965.54888889752</v>
      </c>
      <c r="AN111" s="78">
        <f t="shared" si="201"/>
        <v>-5.657545307759182E-2</v>
      </c>
      <c r="AO111" s="39">
        <v>66996249.940000072</v>
      </c>
      <c r="AP111" s="39">
        <v>67233987.293333396</v>
      </c>
      <c r="AQ111" s="32">
        <f t="shared" si="202"/>
        <v>-237737.35333332419</v>
      </c>
      <c r="AR111" s="78">
        <f t="shared" si="203"/>
        <v>-3.5359698703589793E-3</v>
      </c>
      <c r="AS111" s="39">
        <v>133992500</v>
      </c>
      <c r="AT111" s="32">
        <f t="shared" si="204"/>
        <v>-66996250.059999928</v>
      </c>
      <c r="AU111" s="77">
        <f t="shared" si="205"/>
        <v>-0.5000000004477857</v>
      </c>
      <c r="AV111" s="41">
        <v>10571699.000000002</v>
      </c>
      <c r="AW111" s="40">
        <f>BA111/6</f>
        <v>11205664.548888899</v>
      </c>
      <c r="AX111" s="32">
        <f t="shared" si="206"/>
        <v>-633965.54888889752</v>
      </c>
      <c r="AY111" s="78">
        <f t="shared" si="207"/>
        <v>-5.657545307759182E-2</v>
      </c>
      <c r="AZ111" s="39">
        <v>66996249.940000072</v>
      </c>
      <c r="BA111" s="39">
        <v>67233987.293333396</v>
      </c>
      <c r="BB111" s="32">
        <f t="shared" si="208"/>
        <v>-237737.35333332419</v>
      </c>
      <c r="BC111" s="78">
        <f t="shared" si="209"/>
        <v>-3.5359698703589793E-3</v>
      </c>
      <c r="BD111" s="39">
        <v>133992500</v>
      </c>
      <c r="BE111" s="32">
        <f t="shared" si="210"/>
        <v>-66996250.059999928</v>
      </c>
      <c r="BF111" s="77">
        <f t="shared" si="211"/>
        <v>-0.5000000004477857</v>
      </c>
      <c r="BG111" s="41">
        <v>10571699.000000002</v>
      </c>
      <c r="BH111" s="40">
        <f>BL111/6</f>
        <v>11205664.548888899</v>
      </c>
      <c r="BI111" s="32">
        <f t="shared" si="212"/>
        <v>-633965.54888889752</v>
      </c>
      <c r="BJ111" s="78">
        <f t="shared" si="213"/>
        <v>-5.657545307759182E-2</v>
      </c>
      <c r="BK111" s="39">
        <v>66996249.940000072</v>
      </c>
      <c r="BL111" s="39">
        <v>67233987.293333396</v>
      </c>
      <c r="BM111" s="32">
        <f t="shared" si="214"/>
        <v>-237737.35333332419</v>
      </c>
      <c r="BN111" s="78">
        <f t="shared" si="215"/>
        <v>-3.5359698703589793E-3</v>
      </c>
      <c r="BO111" s="39">
        <v>133992500</v>
      </c>
      <c r="BP111" s="32">
        <f t="shared" si="216"/>
        <v>-66996250.059999928</v>
      </c>
      <c r="BQ111" s="77">
        <f t="shared" si="217"/>
        <v>-0.5000000004477857</v>
      </c>
      <c r="BR111" s="41">
        <v>10571699.000000002</v>
      </c>
      <c r="BS111" s="40">
        <f>BW111/6</f>
        <v>11205664.548888899</v>
      </c>
      <c r="BT111" s="32">
        <f t="shared" si="218"/>
        <v>-633965.54888889752</v>
      </c>
      <c r="BU111" s="78">
        <f t="shared" si="219"/>
        <v>-5.657545307759182E-2</v>
      </c>
      <c r="BV111" s="39">
        <v>66996249.940000072</v>
      </c>
      <c r="BW111" s="39">
        <v>67233987.293333396</v>
      </c>
      <c r="BX111" s="32">
        <f t="shared" si="220"/>
        <v>-237737.35333332419</v>
      </c>
      <c r="BY111" s="78">
        <f t="shared" si="221"/>
        <v>-3.5359698703589793E-3</v>
      </c>
      <c r="BZ111" s="39">
        <v>133992500</v>
      </c>
      <c r="CA111" s="32">
        <f t="shared" si="222"/>
        <v>-66996250.059999928</v>
      </c>
      <c r="CB111" s="77">
        <f t="shared" si="223"/>
        <v>-0.5000000004477857</v>
      </c>
      <c r="CC111" s="41">
        <v>10571699.000000002</v>
      </c>
      <c r="CD111" s="40">
        <f>CH111/6</f>
        <v>11205664.548888899</v>
      </c>
      <c r="CE111" s="32">
        <f t="shared" si="224"/>
        <v>-633965.54888889752</v>
      </c>
      <c r="CF111" s="78">
        <f t="shared" si="225"/>
        <v>-5.657545307759182E-2</v>
      </c>
      <c r="CG111" s="39">
        <v>66996249.940000072</v>
      </c>
      <c r="CH111" s="39">
        <v>67233987.293333396</v>
      </c>
      <c r="CI111" s="32">
        <f t="shared" si="226"/>
        <v>-237737.35333332419</v>
      </c>
      <c r="CJ111" s="78">
        <f t="shared" si="227"/>
        <v>-3.5359698703589793E-3</v>
      </c>
      <c r="CK111" s="39">
        <v>133992500</v>
      </c>
      <c r="CL111" s="32">
        <f t="shared" si="228"/>
        <v>-66996250.059999928</v>
      </c>
      <c r="CM111" s="77">
        <f t="shared" si="229"/>
        <v>-0.5000000004477857</v>
      </c>
      <c r="CN111" s="41">
        <v>10571699.000000002</v>
      </c>
      <c r="CO111" s="40">
        <f>CS111/6</f>
        <v>11205664.548888899</v>
      </c>
      <c r="CP111" s="32">
        <f t="shared" si="230"/>
        <v>-633965.54888889752</v>
      </c>
      <c r="CQ111" s="78">
        <f t="shared" si="231"/>
        <v>-5.657545307759182E-2</v>
      </c>
      <c r="CR111" s="39">
        <v>66996249.940000072</v>
      </c>
      <c r="CS111" s="39">
        <v>67233987.293333396</v>
      </c>
      <c r="CT111" s="32">
        <f t="shared" si="232"/>
        <v>-237737.35333332419</v>
      </c>
      <c r="CU111" s="78">
        <f t="shared" si="233"/>
        <v>-3.5359698703589793E-3</v>
      </c>
      <c r="CV111" s="39">
        <v>133992500</v>
      </c>
      <c r="CW111" s="32">
        <f t="shared" si="234"/>
        <v>-66996250.059999928</v>
      </c>
      <c r="CX111" s="77">
        <f t="shared" si="235"/>
        <v>-0.5000000004477857</v>
      </c>
      <c r="CY111" s="41">
        <v>10571699.000000002</v>
      </c>
      <c r="CZ111" s="40">
        <f>DD111/6</f>
        <v>11205664.548888899</v>
      </c>
      <c r="DA111" s="32">
        <f t="shared" si="236"/>
        <v>-633965.54888889752</v>
      </c>
      <c r="DB111" s="78">
        <f t="shared" si="237"/>
        <v>-5.657545307759182E-2</v>
      </c>
      <c r="DC111" s="39">
        <v>66996249.940000072</v>
      </c>
      <c r="DD111" s="39">
        <v>67233987.293333396</v>
      </c>
      <c r="DE111" s="32">
        <f t="shared" si="238"/>
        <v>-237737.35333332419</v>
      </c>
      <c r="DF111" s="78">
        <f t="shared" si="239"/>
        <v>-3.5359698703589793E-3</v>
      </c>
      <c r="DG111" s="39">
        <v>133992500</v>
      </c>
      <c r="DH111" s="32">
        <f t="shared" si="240"/>
        <v>-66996250.059999928</v>
      </c>
      <c r="DI111" s="77">
        <f t="shared" si="241"/>
        <v>-0.5000000004477857</v>
      </c>
    </row>
    <row r="112" spans="1:113" ht="12.75" hidden="1" customHeight="1" outlineLevel="3" x14ac:dyDescent="0.2">
      <c r="B112" s="38" t="str">
        <f t="shared" si="181"/>
        <v>Страховые взносы, квартальная премия выплата</v>
      </c>
      <c r="C112" s="37" t="str">
        <f t="shared" si="181"/>
        <v>Social Security on quarterly cash</v>
      </c>
      <c r="D112" s="36">
        <v>268624.99999999907</v>
      </c>
      <c r="E112" s="35">
        <f>I112/6</f>
        <v>2185523.9722222169</v>
      </c>
      <c r="F112" s="32">
        <f t="shared" si="182"/>
        <v>-1916898.9722222178</v>
      </c>
      <c r="G112" s="78">
        <f t="shared" si="183"/>
        <v>-0.87708897115099405</v>
      </c>
      <c r="H112" s="33">
        <v>12394306.500000004</v>
      </c>
      <c r="I112" s="33">
        <v>13113143.8333333</v>
      </c>
      <c r="J112" s="32">
        <f t="shared" si="184"/>
        <v>-718837.3333332967</v>
      </c>
      <c r="K112" s="78">
        <f t="shared" si="185"/>
        <v>-5.4818077378670171E-2</v>
      </c>
      <c r="L112" s="33">
        <v>24788612.5</v>
      </c>
      <c r="M112" s="32">
        <f t="shared" si="186"/>
        <v>-12394305.999999996</v>
      </c>
      <c r="N112" s="77">
        <f t="shared" si="187"/>
        <v>-0.49999998991472377</v>
      </c>
      <c r="O112" s="36">
        <v>268624.99999999907</v>
      </c>
      <c r="P112" s="35">
        <f>T112/6</f>
        <v>2185523.9722222169</v>
      </c>
      <c r="Q112" s="32">
        <f t="shared" si="188"/>
        <v>-1916898.9722222178</v>
      </c>
      <c r="R112" s="78">
        <f t="shared" si="189"/>
        <v>-0.87708897115099405</v>
      </c>
      <c r="S112" s="33">
        <v>12394306.500000004</v>
      </c>
      <c r="T112" s="33">
        <v>13113143.8333333</v>
      </c>
      <c r="U112" s="32">
        <f t="shared" si="190"/>
        <v>-718837.3333332967</v>
      </c>
      <c r="V112" s="78">
        <f t="shared" si="191"/>
        <v>-5.4818077378670171E-2</v>
      </c>
      <c r="W112" s="33">
        <v>24788612.5</v>
      </c>
      <c r="X112" s="32">
        <f t="shared" si="192"/>
        <v>-12394305.999999996</v>
      </c>
      <c r="Y112" s="77">
        <f t="shared" si="193"/>
        <v>-0.49999998991472377</v>
      </c>
      <c r="Z112" s="36">
        <v>268624.99999999907</v>
      </c>
      <c r="AA112" s="35">
        <f>AE112/6</f>
        <v>2185523.9722222169</v>
      </c>
      <c r="AB112" s="32">
        <f t="shared" si="194"/>
        <v>-1916898.9722222178</v>
      </c>
      <c r="AC112" s="78">
        <f t="shared" si="195"/>
        <v>-0.87708897115099405</v>
      </c>
      <c r="AD112" s="33">
        <v>12394306.500000004</v>
      </c>
      <c r="AE112" s="33">
        <v>13113143.8333333</v>
      </c>
      <c r="AF112" s="32">
        <f t="shared" si="196"/>
        <v>-718837.3333332967</v>
      </c>
      <c r="AG112" s="78">
        <f t="shared" si="197"/>
        <v>-5.4818077378670171E-2</v>
      </c>
      <c r="AH112" s="33">
        <v>24788612.5</v>
      </c>
      <c r="AI112" s="32">
        <f t="shared" si="198"/>
        <v>-12394305.999999996</v>
      </c>
      <c r="AJ112" s="77">
        <f t="shared" si="199"/>
        <v>-0.49999998991472377</v>
      </c>
      <c r="AK112" s="36">
        <v>268624.99999999907</v>
      </c>
      <c r="AL112" s="35">
        <f>AP112/6</f>
        <v>2185523.9722222169</v>
      </c>
      <c r="AM112" s="32">
        <f t="shared" si="200"/>
        <v>-1916898.9722222178</v>
      </c>
      <c r="AN112" s="78">
        <f t="shared" si="201"/>
        <v>-0.87708897115099405</v>
      </c>
      <c r="AO112" s="33">
        <v>12394306.500000004</v>
      </c>
      <c r="AP112" s="33">
        <v>13113143.8333333</v>
      </c>
      <c r="AQ112" s="32">
        <f t="shared" si="202"/>
        <v>-718837.3333332967</v>
      </c>
      <c r="AR112" s="78">
        <f t="shared" si="203"/>
        <v>-5.4818077378670171E-2</v>
      </c>
      <c r="AS112" s="33">
        <v>24788612.5</v>
      </c>
      <c r="AT112" s="32">
        <f t="shared" si="204"/>
        <v>-12394305.999999996</v>
      </c>
      <c r="AU112" s="77">
        <f t="shared" si="205"/>
        <v>-0.49999998991472377</v>
      </c>
      <c r="AV112" s="36">
        <v>268624.99999999907</v>
      </c>
      <c r="AW112" s="35">
        <f>BA112/6</f>
        <v>2185523.9722222169</v>
      </c>
      <c r="AX112" s="32">
        <f t="shared" si="206"/>
        <v>-1916898.9722222178</v>
      </c>
      <c r="AY112" s="78">
        <f t="shared" si="207"/>
        <v>-0.87708897115099405</v>
      </c>
      <c r="AZ112" s="33">
        <v>12394306.500000004</v>
      </c>
      <c r="BA112" s="33">
        <v>13113143.8333333</v>
      </c>
      <c r="BB112" s="32">
        <f t="shared" si="208"/>
        <v>-718837.3333332967</v>
      </c>
      <c r="BC112" s="78">
        <f t="shared" si="209"/>
        <v>-5.4818077378670171E-2</v>
      </c>
      <c r="BD112" s="33">
        <v>24788612.5</v>
      </c>
      <c r="BE112" s="32">
        <f t="shared" si="210"/>
        <v>-12394305.999999996</v>
      </c>
      <c r="BF112" s="77">
        <f t="shared" si="211"/>
        <v>-0.49999998991472377</v>
      </c>
      <c r="BG112" s="36">
        <v>268624.99999999907</v>
      </c>
      <c r="BH112" s="35">
        <f>BL112/6</f>
        <v>2185523.9722222169</v>
      </c>
      <c r="BI112" s="32">
        <f t="shared" si="212"/>
        <v>-1916898.9722222178</v>
      </c>
      <c r="BJ112" s="78">
        <f t="shared" si="213"/>
        <v>-0.87708897115099405</v>
      </c>
      <c r="BK112" s="33">
        <v>12394306.500000004</v>
      </c>
      <c r="BL112" s="33">
        <v>13113143.8333333</v>
      </c>
      <c r="BM112" s="32">
        <f t="shared" si="214"/>
        <v>-718837.3333332967</v>
      </c>
      <c r="BN112" s="78">
        <f t="shared" si="215"/>
        <v>-5.4818077378670171E-2</v>
      </c>
      <c r="BO112" s="33">
        <v>24788612.5</v>
      </c>
      <c r="BP112" s="32">
        <f t="shared" si="216"/>
        <v>-12394305.999999996</v>
      </c>
      <c r="BQ112" s="77">
        <f t="shared" si="217"/>
        <v>-0.49999998991472377</v>
      </c>
      <c r="BR112" s="36">
        <v>268624.99999999907</v>
      </c>
      <c r="BS112" s="35">
        <f>BW112/6</f>
        <v>2185523.9722222169</v>
      </c>
      <c r="BT112" s="32">
        <f t="shared" si="218"/>
        <v>-1916898.9722222178</v>
      </c>
      <c r="BU112" s="78">
        <f t="shared" si="219"/>
        <v>-0.87708897115099405</v>
      </c>
      <c r="BV112" s="33">
        <v>12394306.500000004</v>
      </c>
      <c r="BW112" s="33">
        <v>13113143.8333333</v>
      </c>
      <c r="BX112" s="32">
        <f t="shared" si="220"/>
        <v>-718837.3333332967</v>
      </c>
      <c r="BY112" s="78">
        <f t="shared" si="221"/>
        <v>-5.4818077378670171E-2</v>
      </c>
      <c r="BZ112" s="33">
        <v>24788612.5</v>
      </c>
      <c r="CA112" s="32">
        <f t="shared" si="222"/>
        <v>-12394305.999999996</v>
      </c>
      <c r="CB112" s="77">
        <f t="shared" si="223"/>
        <v>-0.49999998991472377</v>
      </c>
      <c r="CC112" s="36">
        <v>268624.99999999907</v>
      </c>
      <c r="CD112" s="35">
        <f>CH112/6</f>
        <v>2185523.9722222169</v>
      </c>
      <c r="CE112" s="32">
        <f t="shared" si="224"/>
        <v>-1916898.9722222178</v>
      </c>
      <c r="CF112" s="78">
        <f t="shared" si="225"/>
        <v>-0.87708897115099405</v>
      </c>
      <c r="CG112" s="33">
        <v>12394306.500000004</v>
      </c>
      <c r="CH112" s="33">
        <v>13113143.8333333</v>
      </c>
      <c r="CI112" s="32">
        <f t="shared" si="226"/>
        <v>-718837.3333332967</v>
      </c>
      <c r="CJ112" s="78">
        <f t="shared" si="227"/>
        <v>-5.4818077378670171E-2</v>
      </c>
      <c r="CK112" s="33">
        <v>24788612.5</v>
      </c>
      <c r="CL112" s="32">
        <f t="shared" si="228"/>
        <v>-12394305.999999996</v>
      </c>
      <c r="CM112" s="77">
        <f t="shared" si="229"/>
        <v>-0.49999998991472377</v>
      </c>
      <c r="CN112" s="36">
        <v>268624.99999999907</v>
      </c>
      <c r="CO112" s="35">
        <f>CS112/6</f>
        <v>2185523.9722222169</v>
      </c>
      <c r="CP112" s="32">
        <f t="shared" si="230"/>
        <v>-1916898.9722222178</v>
      </c>
      <c r="CQ112" s="78">
        <f t="shared" si="231"/>
        <v>-0.87708897115099405</v>
      </c>
      <c r="CR112" s="33">
        <v>12394306.500000004</v>
      </c>
      <c r="CS112" s="33">
        <v>13113143.8333333</v>
      </c>
      <c r="CT112" s="32">
        <f t="shared" si="232"/>
        <v>-718837.3333332967</v>
      </c>
      <c r="CU112" s="78">
        <f t="shared" si="233"/>
        <v>-5.4818077378670171E-2</v>
      </c>
      <c r="CV112" s="33">
        <v>24788612.5</v>
      </c>
      <c r="CW112" s="32">
        <f t="shared" si="234"/>
        <v>-12394305.999999996</v>
      </c>
      <c r="CX112" s="77">
        <f t="shared" si="235"/>
        <v>-0.49999998991472377</v>
      </c>
      <c r="CY112" s="36">
        <v>268624.99999999907</v>
      </c>
      <c r="CZ112" s="35">
        <f>DD112/6</f>
        <v>2185523.9722222169</v>
      </c>
      <c r="DA112" s="32">
        <f t="shared" si="236"/>
        <v>-1916898.9722222178</v>
      </c>
      <c r="DB112" s="78">
        <f t="shared" si="237"/>
        <v>-0.87708897115099405</v>
      </c>
      <c r="DC112" s="33">
        <v>12394306.500000004</v>
      </c>
      <c r="DD112" s="33">
        <v>13113143.8333333</v>
      </c>
      <c r="DE112" s="32">
        <f t="shared" si="238"/>
        <v>-718837.3333332967</v>
      </c>
      <c r="DF112" s="78">
        <f t="shared" si="239"/>
        <v>-5.4818077378670171E-2</v>
      </c>
      <c r="DG112" s="33">
        <v>24788612.5</v>
      </c>
      <c r="DH112" s="32">
        <f t="shared" si="240"/>
        <v>-12394305.999999996</v>
      </c>
      <c r="DI112" s="77">
        <f t="shared" si="241"/>
        <v>-0.49999998991472377</v>
      </c>
    </row>
    <row r="113" spans="1:113" s="6" customFormat="1" hidden="1" outlineLevel="2" collapsed="1" x14ac:dyDescent="0.2">
      <c r="A113" s="30"/>
      <c r="B113" s="29" t="str">
        <f t="shared" si="181"/>
        <v>Итого квртальная премия, выплата</v>
      </c>
      <c r="C113" s="42" t="str">
        <f t="shared" si="181"/>
        <v>Total Quarterly bonus cash</v>
      </c>
      <c r="D113" s="27">
        <f>SUM(D111:D112)</f>
        <v>10840324</v>
      </c>
      <c r="E113" s="26">
        <f>SUM(E111:E112)</f>
        <v>13391188.521111116</v>
      </c>
      <c r="F113" s="23">
        <f t="shared" si="182"/>
        <v>-2550864.5211111158</v>
      </c>
      <c r="G113" s="76">
        <f t="shared" si="183"/>
        <v>-0.19048828392563477</v>
      </c>
      <c r="H113" s="24">
        <f>SUM(H111:H112)</f>
        <v>79390556.440000072</v>
      </c>
      <c r="I113" s="24">
        <f>SUM(I111:I112)</f>
        <v>80347131.126666695</v>
      </c>
      <c r="J113" s="23">
        <f t="shared" si="184"/>
        <v>-956574.68666662276</v>
      </c>
      <c r="K113" s="76">
        <f t="shared" si="185"/>
        <v>-1.1905523859446654E-2</v>
      </c>
      <c r="L113" s="24">
        <f>SUM(L111:L112)</f>
        <v>158781112.5</v>
      </c>
      <c r="M113" s="23">
        <f t="shared" si="186"/>
        <v>-79390556.059999928</v>
      </c>
      <c r="N113" s="75">
        <f t="shared" si="187"/>
        <v>-0.49999999880338369</v>
      </c>
      <c r="O113" s="27">
        <f>SUM(O111:O112)</f>
        <v>10840324</v>
      </c>
      <c r="P113" s="26">
        <f>SUM(P111:P112)</f>
        <v>13391188.521111116</v>
      </c>
      <c r="Q113" s="23">
        <f t="shared" si="188"/>
        <v>-2550864.5211111158</v>
      </c>
      <c r="R113" s="76">
        <f t="shared" si="189"/>
        <v>-0.19048828392563477</v>
      </c>
      <c r="S113" s="24">
        <f>SUM(S111:S112)</f>
        <v>79390556.440000072</v>
      </c>
      <c r="T113" s="24">
        <f>SUM(T111:T112)</f>
        <v>80347131.126666695</v>
      </c>
      <c r="U113" s="23">
        <f t="shared" si="190"/>
        <v>-956574.68666662276</v>
      </c>
      <c r="V113" s="76">
        <f t="shared" si="191"/>
        <v>-1.1905523859446654E-2</v>
      </c>
      <c r="W113" s="24">
        <f>SUM(W111:W112)</f>
        <v>158781112.5</v>
      </c>
      <c r="X113" s="23">
        <f t="shared" si="192"/>
        <v>-79390556.059999928</v>
      </c>
      <c r="Y113" s="75">
        <f t="shared" si="193"/>
        <v>-0.49999999880338369</v>
      </c>
      <c r="Z113" s="27">
        <f>SUM(Z111:Z112)</f>
        <v>10840324</v>
      </c>
      <c r="AA113" s="26">
        <f>SUM(AA111:AA112)</f>
        <v>13391188.521111116</v>
      </c>
      <c r="AB113" s="23">
        <f t="shared" si="194"/>
        <v>-2550864.5211111158</v>
      </c>
      <c r="AC113" s="76">
        <f t="shared" si="195"/>
        <v>-0.19048828392563477</v>
      </c>
      <c r="AD113" s="24">
        <f>SUM(AD111:AD112)</f>
        <v>79390556.440000072</v>
      </c>
      <c r="AE113" s="24">
        <f>SUM(AE111:AE112)</f>
        <v>80347131.126666695</v>
      </c>
      <c r="AF113" s="23">
        <f t="shared" si="196"/>
        <v>-956574.68666662276</v>
      </c>
      <c r="AG113" s="76">
        <f t="shared" si="197"/>
        <v>-1.1905523859446654E-2</v>
      </c>
      <c r="AH113" s="24">
        <f>SUM(AH111:AH112)</f>
        <v>158781112.5</v>
      </c>
      <c r="AI113" s="23">
        <f t="shared" si="198"/>
        <v>-79390556.059999928</v>
      </c>
      <c r="AJ113" s="75">
        <f t="shared" si="199"/>
        <v>-0.49999999880338369</v>
      </c>
      <c r="AK113" s="27">
        <f>SUM(AK111:AK112)</f>
        <v>10840324</v>
      </c>
      <c r="AL113" s="26">
        <f>SUM(AL111:AL112)</f>
        <v>13391188.521111116</v>
      </c>
      <c r="AM113" s="23">
        <f t="shared" si="200"/>
        <v>-2550864.5211111158</v>
      </c>
      <c r="AN113" s="76">
        <f t="shared" si="201"/>
        <v>-0.19048828392563477</v>
      </c>
      <c r="AO113" s="24">
        <f>SUM(AO111:AO112)</f>
        <v>79390556.440000072</v>
      </c>
      <c r="AP113" s="24">
        <f>SUM(AP111:AP112)</f>
        <v>80347131.126666695</v>
      </c>
      <c r="AQ113" s="23">
        <f t="shared" si="202"/>
        <v>-956574.68666662276</v>
      </c>
      <c r="AR113" s="76">
        <f t="shared" si="203"/>
        <v>-1.1905523859446654E-2</v>
      </c>
      <c r="AS113" s="24">
        <f>SUM(AS111:AS112)</f>
        <v>158781112.5</v>
      </c>
      <c r="AT113" s="23">
        <f t="shared" si="204"/>
        <v>-79390556.059999928</v>
      </c>
      <c r="AU113" s="75">
        <f t="shared" si="205"/>
        <v>-0.49999999880338369</v>
      </c>
      <c r="AV113" s="27">
        <f>SUM(AV111:AV112)</f>
        <v>10840324</v>
      </c>
      <c r="AW113" s="26">
        <f>SUM(AW111:AW112)</f>
        <v>13391188.521111116</v>
      </c>
      <c r="AX113" s="23">
        <f t="shared" si="206"/>
        <v>-2550864.5211111158</v>
      </c>
      <c r="AY113" s="76">
        <f t="shared" si="207"/>
        <v>-0.19048828392563477</v>
      </c>
      <c r="AZ113" s="24">
        <f>SUM(AZ111:AZ112)</f>
        <v>79390556.440000072</v>
      </c>
      <c r="BA113" s="24">
        <f>SUM(BA111:BA112)</f>
        <v>80347131.126666695</v>
      </c>
      <c r="BB113" s="23">
        <f t="shared" si="208"/>
        <v>-956574.68666662276</v>
      </c>
      <c r="BC113" s="76">
        <f t="shared" si="209"/>
        <v>-1.1905523859446654E-2</v>
      </c>
      <c r="BD113" s="24">
        <f>SUM(BD111:BD112)</f>
        <v>158781112.5</v>
      </c>
      <c r="BE113" s="23">
        <f t="shared" si="210"/>
        <v>-79390556.059999928</v>
      </c>
      <c r="BF113" s="75">
        <f t="shared" si="211"/>
        <v>-0.49999999880338369</v>
      </c>
      <c r="BG113" s="27">
        <f>SUM(BG111:BG112)</f>
        <v>10840324</v>
      </c>
      <c r="BH113" s="26">
        <f>SUM(BH111:BH112)</f>
        <v>13391188.521111116</v>
      </c>
      <c r="BI113" s="23">
        <f t="shared" si="212"/>
        <v>-2550864.5211111158</v>
      </c>
      <c r="BJ113" s="76">
        <f t="shared" si="213"/>
        <v>-0.19048828392563477</v>
      </c>
      <c r="BK113" s="24">
        <f>SUM(BK111:BK112)</f>
        <v>79390556.440000072</v>
      </c>
      <c r="BL113" s="24">
        <f>SUM(BL111:BL112)</f>
        <v>80347131.126666695</v>
      </c>
      <c r="BM113" s="23">
        <f t="shared" si="214"/>
        <v>-956574.68666662276</v>
      </c>
      <c r="BN113" s="76">
        <f t="shared" si="215"/>
        <v>-1.1905523859446654E-2</v>
      </c>
      <c r="BO113" s="24">
        <f>SUM(BO111:BO112)</f>
        <v>158781112.5</v>
      </c>
      <c r="BP113" s="23">
        <f t="shared" si="216"/>
        <v>-79390556.059999928</v>
      </c>
      <c r="BQ113" s="75">
        <f t="shared" si="217"/>
        <v>-0.49999999880338369</v>
      </c>
      <c r="BR113" s="27">
        <f>SUM(BR111:BR112)</f>
        <v>10840324</v>
      </c>
      <c r="BS113" s="26">
        <f>SUM(BS111:BS112)</f>
        <v>13391188.521111116</v>
      </c>
      <c r="BT113" s="23">
        <f t="shared" si="218"/>
        <v>-2550864.5211111158</v>
      </c>
      <c r="BU113" s="76">
        <f t="shared" si="219"/>
        <v>-0.19048828392563477</v>
      </c>
      <c r="BV113" s="24">
        <f>SUM(BV111:BV112)</f>
        <v>79390556.440000072</v>
      </c>
      <c r="BW113" s="24">
        <f>SUM(BW111:BW112)</f>
        <v>80347131.126666695</v>
      </c>
      <c r="BX113" s="23">
        <f t="shared" si="220"/>
        <v>-956574.68666662276</v>
      </c>
      <c r="BY113" s="76">
        <f t="shared" si="221"/>
        <v>-1.1905523859446654E-2</v>
      </c>
      <c r="BZ113" s="24">
        <f>SUM(BZ111:BZ112)</f>
        <v>158781112.5</v>
      </c>
      <c r="CA113" s="23">
        <f t="shared" si="222"/>
        <v>-79390556.059999928</v>
      </c>
      <c r="CB113" s="75">
        <f t="shared" si="223"/>
        <v>-0.49999999880338369</v>
      </c>
      <c r="CC113" s="27">
        <f>SUM(CC111:CC112)</f>
        <v>10840324</v>
      </c>
      <c r="CD113" s="26">
        <f>SUM(CD111:CD112)</f>
        <v>13391188.521111116</v>
      </c>
      <c r="CE113" s="23">
        <f t="shared" si="224"/>
        <v>-2550864.5211111158</v>
      </c>
      <c r="CF113" s="76">
        <f t="shared" si="225"/>
        <v>-0.19048828392563477</v>
      </c>
      <c r="CG113" s="24">
        <f>SUM(CG111:CG112)</f>
        <v>79390556.440000072</v>
      </c>
      <c r="CH113" s="24">
        <f>SUM(CH111:CH112)</f>
        <v>80347131.126666695</v>
      </c>
      <c r="CI113" s="23">
        <f t="shared" si="226"/>
        <v>-956574.68666662276</v>
      </c>
      <c r="CJ113" s="76">
        <f t="shared" si="227"/>
        <v>-1.1905523859446654E-2</v>
      </c>
      <c r="CK113" s="24">
        <f>SUM(CK111:CK112)</f>
        <v>158781112.5</v>
      </c>
      <c r="CL113" s="23">
        <f t="shared" si="228"/>
        <v>-79390556.059999928</v>
      </c>
      <c r="CM113" s="75">
        <f t="shared" si="229"/>
        <v>-0.49999999880338369</v>
      </c>
      <c r="CN113" s="27">
        <f>SUM(CN111:CN112)</f>
        <v>10840324</v>
      </c>
      <c r="CO113" s="26">
        <f>SUM(CO111:CO112)</f>
        <v>13391188.521111116</v>
      </c>
      <c r="CP113" s="23">
        <f t="shared" si="230"/>
        <v>-2550864.5211111158</v>
      </c>
      <c r="CQ113" s="76">
        <f t="shared" si="231"/>
        <v>-0.19048828392563477</v>
      </c>
      <c r="CR113" s="24">
        <f>SUM(CR111:CR112)</f>
        <v>79390556.440000072</v>
      </c>
      <c r="CS113" s="24">
        <f>SUM(CS111:CS112)</f>
        <v>80347131.126666695</v>
      </c>
      <c r="CT113" s="23">
        <f t="shared" si="232"/>
        <v>-956574.68666662276</v>
      </c>
      <c r="CU113" s="76">
        <f t="shared" si="233"/>
        <v>-1.1905523859446654E-2</v>
      </c>
      <c r="CV113" s="24">
        <f>SUM(CV111:CV112)</f>
        <v>158781112.5</v>
      </c>
      <c r="CW113" s="23">
        <f t="shared" si="234"/>
        <v>-79390556.059999928</v>
      </c>
      <c r="CX113" s="75">
        <f t="shared" si="235"/>
        <v>-0.49999999880338369</v>
      </c>
      <c r="CY113" s="27">
        <f>SUM(CY111:CY112)</f>
        <v>10840324</v>
      </c>
      <c r="CZ113" s="26">
        <f>SUM(CZ111:CZ112)</f>
        <v>13391188.521111116</v>
      </c>
      <c r="DA113" s="23">
        <f t="shared" si="236"/>
        <v>-2550864.5211111158</v>
      </c>
      <c r="DB113" s="76">
        <f t="shared" si="237"/>
        <v>-0.19048828392563477</v>
      </c>
      <c r="DC113" s="24">
        <f>SUM(DC111:DC112)</f>
        <v>79390556.440000072</v>
      </c>
      <c r="DD113" s="24">
        <f>SUM(DD111:DD112)</f>
        <v>80347131.126666695</v>
      </c>
      <c r="DE113" s="23">
        <f t="shared" si="238"/>
        <v>-956574.68666662276</v>
      </c>
      <c r="DF113" s="76">
        <f t="shared" si="239"/>
        <v>-1.1905523859446654E-2</v>
      </c>
      <c r="DG113" s="24">
        <f>SUM(DG111:DG112)</f>
        <v>158781112.5</v>
      </c>
      <c r="DH113" s="23">
        <f t="shared" si="240"/>
        <v>-79390556.059999928</v>
      </c>
      <c r="DI113" s="75">
        <f t="shared" si="241"/>
        <v>-0.49999999880338369</v>
      </c>
    </row>
    <row r="114" spans="1:113" s="6" customFormat="1" outlineLevel="1" collapsed="1" x14ac:dyDescent="0.2">
      <c r="A114" s="30"/>
      <c r="B114" s="48" t="str">
        <f t="shared" si="181"/>
        <v>Квартальная премия</v>
      </c>
      <c r="C114" s="47" t="str">
        <f t="shared" si="181"/>
        <v>Quarterly bonus</v>
      </c>
      <c r="D114" s="46">
        <f>D113+D110+D107</f>
        <v>10840324</v>
      </c>
      <c r="E114" s="45">
        <f>E113+E110+E107</f>
        <v>13391188.521111116</v>
      </c>
      <c r="F114" s="23">
        <f t="shared" si="182"/>
        <v>-2550864.5211111158</v>
      </c>
      <c r="G114" s="76">
        <f t="shared" si="183"/>
        <v>-0.19048828392563477</v>
      </c>
      <c r="H114" s="44">
        <f>H113+H110+H107</f>
        <v>79390556.440000072</v>
      </c>
      <c r="I114" s="44">
        <f>I113+I110+I107</f>
        <v>80347131.126666695</v>
      </c>
      <c r="J114" s="23">
        <f t="shared" si="184"/>
        <v>-956574.68666662276</v>
      </c>
      <c r="K114" s="76">
        <f t="shared" si="185"/>
        <v>-1.1905523859446654E-2</v>
      </c>
      <c r="L114" s="44">
        <f>L113+L110+L107</f>
        <v>158781112.5</v>
      </c>
      <c r="M114" s="23">
        <f t="shared" si="186"/>
        <v>-79390556.059999928</v>
      </c>
      <c r="N114" s="75">
        <f t="shared" si="187"/>
        <v>-0.49999999880338369</v>
      </c>
      <c r="O114" s="46">
        <f>O113+O110+O107</f>
        <v>10840324</v>
      </c>
      <c r="P114" s="45">
        <f>P113+P110+P107</f>
        <v>13391188.521111116</v>
      </c>
      <c r="Q114" s="23">
        <f t="shared" si="188"/>
        <v>-2550864.5211111158</v>
      </c>
      <c r="R114" s="76">
        <f t="shared" si="189"/>
        <v>-0.19048828392563477</v>
      </c>
      <c r="S114" s="44">
        <f>S113+S110+S107</f>
        <v>79390556.440000072</v>
      </c>
      <c r="T114" s="44">
        <f>T113+T110+T107</f>
        <v>80347131.126666695</v>
      </c>
      <c r="U114" s="23">
        <f t="shared" si="190"/>
        <v>-956574.68666662276</v>
      </c>
      <c r="V114" s="76">
        <f t="shared" si="191"/>
        <v>-1.1905523859446654E-2</v>
      </c>
      <c r="W114" s="44">
        <f>W113+W110+W107</f>
        <v>158781112.5</v>
      </c>
      <c r="X114" s="23">
        <f t="shared" si="192"/>
        <v>-79390556.059999928</v>
      </c>
      <c r="Y114" s="75">
        <f t="shared" si="193"/>
        <v>-0.49999999880338369</v>
      </c>
      <c r="Z114" s="46">
        <f>Z113+Z110+Z107</f>
        <v>10840324</v>
      </c>
      <c r="AA114" s="45">
        <f>AA113+AA110+AA107</f>
        <v>13391188.521111116</v>
      </c>
      <c r="AB114" s="23">
        <f t="shared" si="194"/>
        <v>-2550864.5211111158</v>
      </c>
      <c r="AC114" s="76">
        <f t="shared" si="195"/>
        <v>-0.19048828392563477</v>
      </c>
      <c r="AD114" s="44">
        <f>AD113+AD110+AD107</f>
        <v>79390556.440000072</v>
      </c>
      <c r="AE114" s="44">
        <f>AE113+AE110+AE107</f>
        <v>80347131.126666695</v>
      </c>
      <c r="AF114" s="23">
        <f t="shared" si="196"/>
        <v>-956574.68666662276</v>
      </c>
      <c r="AG114" s="76">
        <f t="shared" si="197"/>
        <v>-1.1905523859446654E-2</v>
      </c>
      <c r="AH114" s="44">
        <f>AH113+AH110+AH107</f>
        <v>158781112.5</v>
      </c>
      <c r="AI114" s="23">
        <f t="shared" si="198"/>
        <v>-79390556.059999928</v>
      </c>
      <c r="AJ114" s="75">
        <f t="shared" si="199"/>
        <v>-0.49999999880338369</v>
      </c>
      <c r="AK114" s="46">
        <f>AK113+AK110+AK107</f>
        <v>10840324</v>
      </c>
      <c r="AL114" s="45">
        <f>AL113+AL110+AL107</f>
        <v>13391188.521111116</v>
      </c>
      <c r="AM114" s="23">
        <f t="shared" si="200"/>
        <v>-2550864.5211111158</v>
      </c>
      <c r="AN114" s="76">
        <f t="shared" si="201"/>
        <v>-0.19048828392563477</v>
      </c>
      <c r="AO114" s="44">
        <f>AO113+AO110+AO107</f>
        <v>79390556.440000072</v>
      </c>
      <c r="AP114" s="44">
        <f>AP113+AP110+AP107</f>
        <v>80347131.126666695</v>
      </c>
      <c r="AQ114" s="23">
        <f t="shared" si="202"/>
        <v>-956574.68666662276</v>
      </c>
      <c r="AR114" s="76">
        <f t="shared" si="203"/>
        <v>-1.1905523859446654E-2</v>
      </c>
      <c r="AS114" s="44">
        <f>AS113+AS110+AS107</f>
        <v>158781112.5</v>
      </c>
      <c r="AT114" s="23">
        <f t="shared" si="204"/>
        <v>-79390556.059999928</v>
      </c>
      <c r="AU114" s="75">
        <f t="shared" si="205"/>
        <v>-0.49999999880338369</v>
      </c>
      <c r="AV114" s="46">
        <f>AV113+AV110+AV107</f>
        <v>10840324</v>
      </c>
      <c r="AW114" s="45">
        <f>AW113+AW110+AW107</f>
        <v>13391188.521111116</v>
      </c>
      <c r="AX114" s="23">
        <f t="shared" si="206"/>
        <v>-2550864.5211111158</v>
      </c>
      <c r="AY114" s="76">
        <f t="shared" si="207"/>
        <v>-0.19048828392563477</v>
      </c>
      <c r="AZ114" s="44">
        <f>AZ113+AZ110+AZ107</f>
        <v>79390556.440000072</v>
      </c>
      <c r="BA114" s="44">
        <f>BA113+BA110+BA107</f>
        <v>80347131.126666695</v>
      </c>
      <c r="BB114" s="23">
        <f t="shared" si="208"/>
        <v>-956574.68666662276</v>
      </c>
      <c r="BC114" s="76">
        <f t="shared" si="209"/>
        <v>-1.1905523859446654E-2</v>
      </c>
      <c r="BD114" s="44">
        <f>BD113+BD110+BD107</f>
        <v>158781112.5</v>
      </c>
      <c r="BE114" s="23">
        <f t="shared" si="210"/>
        <v>-79390556.059999928</v>
      </c>
      <c r="BF114" s="75">
        <f t="shared" si="211"/>
        <v>-0.49999999880338369</v>
      </c>
      <c r="BG114" s="46">
        <f>BG113+BG110+BG107</f>
        <v>10840324</v>
      </c>
      <c r="BH114" s="45">
        <f>BH113+BH110+BH107</f>
        <v>13391188.521111116</v>
      </c>
      <c r="BI114" s="23">
        <f t="shared" si="212"/>
        <v>-2550864.5211111158</v>
      </c>
      <c r="BJ114" s="76">
        <f t="shared" si="213"/>
        <v>-0.19048828392563477</v>
      </c>
      <c r="BK114" s="44">
        <f>BK113+BK110+BK107</f>
        <v>79390556.440000072</v>
      </c>
      <c r="BL114" s="44">
        <f>BL113+BL110+BL107</f>
        <v>80347131.126666695</v>
      </c>
      <c r="BM114" s="23">
        <f t="shared" si="214"/>
        <v>-956574.68666662276</v>
      </c>
      <c r="BN114" s="76">
        <f t="shared" si="215"/>
        <v>-1.1905523859446654E-2</v>
      </c>
      <c r="BO114" s="44">
        <f>BO113+BO110+BO107</f>
        <v>158781112.5</v>
      </c>
      <c r="BP114" s="23">
        <f t="shared" si="216"/>
        <v>-79390556.059999928</v>
      </c>
      <c r="BQ114" s="75">
        <f t="shared" si="217"/>
        <v>-0.49999999880338369</v>
      </c>
      <c r="BR114" s="46">
        <f>BR113+BR110+BR107</f>
        <v>10840324</v>
      </c>
      <c r="BS114" s="45">
        <f>BS113+BS110+BS107</f>
        <v>13391188.521111116</v>
      </c>
      <c r="BT114" s="23">
        <f t="shared" si="218"/>
        <v>-2550864.5211111158</v>
      </c>
      <c r="BU114" s="76">
        <f t="shared" si="219"/>
        <v>-0.19048828392563477</v>
      </c>
      <c r="BV114" s="44">
        <f>BV113+BV110+BV107</f>
        <v>79390556.440000072</v>
      </c>
      <c r="BW114" s="44">
        <f>BW113+BW110+BW107</f>
        <v>80347131.126666695</v>
      </c>
      <c r="BX114" s="23">
        <f t="shared" si="220"/>
        <v>-956574.68666662276</v>
      </c>
      <c r="BY114" s="76">
        <f t="shared" si="221"/>
        <v>-1.1905523859446654E-2</v>
      </c>
      <c r="BZ114" s="44">
        <f>BZ113+BZ110+BZ107</f>
        <v>158781112.5</v>
      </c>
      <c r="CA114" s="23">
        <f t="shared" si="222"/>
        <v>-79390556.059999928</v>
      </c>
      <c r="CB114" s="75">
        <f t="shared" si="223"/>
        <v>-0.49999999880338369</v>
      </c>
      <c r="CC114" s="46">
        <f>CC113+CC110+CC107</f>
        <v>10840324</v>
      </c>
      <c r="CD114" s="45">
        <f>CD113+CD110+CD107</f>
        <v>13391188.521111116</v>
      </c>
      <c r="CE114" s="23">
        <f t="shared" si="224"/>
        <v>-2550864.5211111158</v>
      </c>
      <c r="CF114" s="76">
        <f t="shared" si="225"/>
        <v>-0.19048828392563477</v>
      </c>
      <c r="CG114" s="44">
        <f>CG113+CG110+CG107</f>
        <v>79390556.440000072</v>
      </c>
      <c r="CH114" s="44">
        <f>CH113+CH110+CH107</f>
        <v>80347131.126666695</v>
      </c>
      <c r="CI114" s="23">
        <f t="shared" si="226"/>
        <v>-956574.68666662276</v>
      </c>
      <c r="CJ114" s="76">
        <f t="shared" si="227"/>
        <v>-1.1905523859446654E-2</v>
      </c>
      <c r="CK114" s="44">
        <f>CK113+CK110+CK107</f>
        <v>158781112.5</v>
      </c>
      <c r="CL114" s="23">
        <f t="shared" si="228"/>
        <v>-79390556.059999928</v>
      </c>
      <c r="CM114" s="75">
        <f t="shared" si="229"/>
        <v>-0.49999999880338369</v>
      </c>
      <c r="CN114" s="46">
        <f>CN113+CN110+CN107</f>
        <v>10840324</v>
      </c>
      <c r="CO114" s="45">
        <f>CO113+CO110+CO107</f>
        <v>13391188.521111116</v>
      </c>
      <c r="CP114" s="23">
        <f t="shared" si="230"/>
        <v>-2550864.5211111158</v>
      </c>
      <c r="CQ114" s="76">
        <f t="shared" si="231"/>
        <v>-0.19048828392563477</v>
      </c>
      <c r="CR114" s="44">
        <f>CR113+CR110+CR107</f>
        <v>79390556.440000072</v>
      </c>
      <c r="CS114" s="44">
        <f>CS113+CS110+CS107</f>
        <v>80347131.126666695</v>
      </c>
      <c r="CT114" s="23">
        <f t="shared" si="232"/>
        <v>-956574.68666662276</v>
      </c>
      <c r="CU114" s="76">
        <f t="shared" si="233"/>
        <v>-1.1905523859446654E-2</v>
      </c>
      <c r="CV114" s="44">
        <f>CV113+CV110+CV107</f>
        <v>158781112.5</v>
      </c>
      <c r="CW114" s="23">
        <f t="shared" si="234"/>
        <v>-79390556.059999928</v>
      </c>
      <c r="CX114" s="75">
        <f t="shared" si="235"/>
        <v>-0.49999999880338369</v>
      </c>
      <c r="CY114" s="46">
        <f>CY113+CY110+CY107</f>
        <v>10840324</v>
      </c>
      <c r="CZ114" s="45">
        <f>CZ113+CZ110+CZ107</f>
        <v>13391188.521111116</v>
      </c>
      <c r="DA114" s="23">
        <f t="shared" si="236"/>
        <v>-2550864.5211111158</v>
      </c>
      <c r="DB114" s="76">
        <f t="shared" si="237"/>
        <v>-0.19048828392563477</v>
      </c>
      <c r="DC114" s="44">
        <f>DC113+DC110+DC107</f>
        <v>79390556.440000072</v>
      </c>
      <c r="DD114" s="44">
        <f>DD113+DD110+DD107</f>
        <v>80347131.126666695</v>
      </c>
      <c r="DE114" s="23">
        <f t="shared" si="238"/>
        <v>-956574.68666662276</v>
      </c>
      <c r="DF114" s="76">
        <f t="shared" si="239"/>
        <v>-1.1905523859446654E-2</v>
      </c>
      <c r="DG114" s="44">
        <f>DG113+DG110+DG107</f>
        <v>158781112.5</v>
      </c>
      <c r="DH114" s="23">
        <f t="shared" si="240"/>
        <v>-79390556.059999928</v>
      </c>
      <c r="DI114" s="75">
        <f t="shared" si="241"/>
        <v>-0.49999999880338369</v>
      </c>
    </row>
    <row r="115" spans="1:113" s="6" customFormat="1" x14ac:dyDescent="0.2">
      <c r="B115" s="21" t="str">
        <f t="shared" si="181"/>
        <v>ФОТ до бонуса</v>
      </c>
      <c r="C115" s="20" t="str">
        <f t="shared" si="181"/>
        <v>FIX compensation before Bonus</v>
      </c>
      <c r="D115" s="19">
        <f>D114+D104+D91+D88</f>
        <v>252295147.18000001</v>
      </c>
      <c r="E115" s="18">
        <f>E114+E104+E91+E88</f>
        <v>239120274.00648364</v>
      </c>
      <c r="F115" s="15">
        <f t="shared" si="182"/>
        <v>13174873.173516363</v>
      </c>
      <c r="G115" s="74">
        <f t="shared" si="183"/>
        <v>5.5097265291520703E-2</v>
      </c>
      <c r="H115" s="16">
        <f>H114+H104+H91+H88</f>
        <v>1678249346.3999999</v>
      </c>
      <c r="I115" s="18">
        <f>I114+I104+I91+I88</f>
        <v>1438699063.078902</v>
      </c>
      <c r="J115" s="15">
        <f t="shared" si="184"/>
        <v>239550283.32109785</v>
      </c>
      <c r="K115" s="74">
        <f t="shared" si="185"/>
        <v>0.1665047885750659</v>
      </c>
      <c r="L115" s="16">
        <f>L114+L104+L91+L88</f>
        <v>2881302093.2137766</v>
      </c>
      <c r="M115" s="15">
        <f t="shared" si="186"/>
        <v>-1203052746.8137767</v>
      </c>
      <c r="N115" s="73">
        <f t="shared" si="187"/>
        <v>-0.41753787277192561</v>
      </c>
      <c r="O115" s="19">
        <f>O114+O104+O91+O88</f>
        <v>252295147.18000001</v>
      </c>
      <c r="P115" s="18">
        <f>P114+P104+P91+P88</f>
        <v>239120274.00648364</v>
      </c>
      <c r="Q115" s="15">
        <f t="shared" si="188"/>
        <v>13174873.173516363</v>
      </c>
      <c r="R115" s="74">
        <f t="shared" si="189"/>
        <v>5.5097265291520703E-2</v>
      </c>
      <c r="S115" s="16">
        <f>S114+S104+S91+S88</f>
        <v>1678249346.3999999</v>
      </c>
      <c r="T115" s="18">
        <f>T114+T104+T91+T88</f>
        <v>1438699063.078902</v>
      </c>
      <c r="U115" s="15">
        <f t="shared" si="190"/>
        <v>239550283.32109785</v>
      </c>
      <c r="V115" s="74">
        <f t="shared" si="191"/>
        <v>0.1665047885750659</v>
      </c>
      <c r="W115" s="16">
        <f>W114+W104+W91+W88</f>
        <v>2881302093.2137766</v>
      </c>
      <c r="X115" s="15">
        <f t="shared" si="192"/>
        <v>-1203052746.8137767</v>
      </c>
      <c r="Y115" s="73">
        <f t="shared" si="193"/>
        <v>-0.41753787277192561</v>
      </c>
      <c r="Z115" s="19">
        <f>Z114+Z104+Z91+Z88</f>
        <v>252295147.18000001</v>
      </c>
      <c r="AA115" s="18">
        <f>AA114+AA104+AA91+AA88</f>
        <v>239120274.00648364</v>
      </c>
      <c r="AB115" s="15">
        <f t="shared" si="194"/>
        <v>13174873.173516363</v>
      </c>
      <c r="AC115" s="74">
        <f t="shared" si="195"/>
        <v>5.5097265291520703E-2</v>
      </c>
      <c r="AD115" s="16">
        <f>AD114+AD104+AD91+AD88</f>
        <v>1678249346.3999999</v>
      </c>
      <c r="AE115" s="18">
        <f>AE114+AE104+AE91+AE88</f>
        <v>1438699063.078902</v>
      </c>
      <c r="AF115" s="15">
        <f t="shared" si="196"/>
        <v>239550283.32109785</v>
      </c>
      <c r="AG115" s="74">
        <f t="shared" si="197"/>
        <v>0.1665047885750659</v>
      </c>
      <c r="AH115" s="16">
        <f>AH114+AH104+AH91+AH88</f>
        <v>2881302093.2137766</v>
      </c>
      <c r="AI115" s="15">
        <f t="shared" si="198"/>
        <v>-1203052746.8137767</v>
      </c>
      <c r="AJ115" s="73">
        <f t="shared" si="199"/>
        <v>-0.41753787277192561</v>
      </c>
      <c r="AK115" s="19">
        <f>AK114+AK104+AK91+AK88</f>
        <v>252295147.18000001</v>
      </c>
      <c r="AL115" s="18">
        <f>AL114+AL104+AL91+AL88</f>
        <v>239120274.00648364</v>
      </c>
      <c r="AM115" s="15">
        <f t="shared" si="200"/>
        <v>13174873.173516363</v>
      </c>
      <c r="AN115" s="74">
        <f t="shared" si="201"/>
        <v>5.5097265291520703E-2</v>
      </c>
      <c r="AO115" s="16">
        <f>AO114+AO104+AO91+AO88</f>
        <v>1678249346.3999999</v>
      </c>
      <c r="AP115" s="18">
        <f>AP114+AP104+AP91+AP88</f>
        <v>1438699063.078902</v>
      </c>
      <c r="AQ115" s="15">
        <f t="shared" si="202"/>
        <v>239550283.32109785</v>
      </c>
      <c r="AR115" s="74">
        <f t="shared" si="203"/>
        <v>0.1665047885750659</v>
      </c>
      <c r="AS115" s="16">
        <f>AS114+AS104+AS91+AS88</f>
        <v>2881302093.2137766</v>
      </c>
      <c r="AT115" s="15">
        <f t="shared" si="204"/>
        <v>-1203052746.8137767</v>
      </c>
      <c r="AU115" s="73">
        <f t="shared" si="205"/>
        <v>-0.41753787277192561</v>
      </c>
      <c r="AV115" s="19">
        <f>AV114+AV104+AV91+AV88</f>
        <v>252295147.18000001</v>
      </c>
      <c r="AW115" s="18">
        <f>AW114+AW104+AW91+AW88</f>
        <v>239120274.00648364</v>
      </c>
      <c r="AX115" s="15">
        <f t="shared" si="206"/>
        <v>13174873.173516363</v>
      </c>
      <c r="AY115" s="74">
        <f t="shared" si="207"/>
        <v>5.5097265291520703E-2</v>
      </c>
      <c r="AZ115" s="16">
        <f>AZ114+AZ104+AZ91+AZ88</f>
        <v>1678249346.3999999</v>
      </c>
      <c r="BA115" s="18">
        <f>BA114+BA104+BA91+BA88</f>
        <v>1438699063.078902</v>
      </c>
      <c r="BB115" s="15">
        <f t="shared" si="208"/>
        <v>239550283.32109785</v>
      </c>
      <c r="BC115" s="74">
        <f t="shared" si="209"/>
        <v>0.1665047885750659</v>
      </c>
      <c r="BD115" s="16">
        <f>BD114+BD104+BD91+BD88</f>
        <v>2881302093.2137766</v>
      </c>
      <c r="BE115" s="15">
        <f t="shared" si="210"/>
        <v>-1203052746.8137767</v>
      </c>
      <c r="BF115" s="73">
        <f t="shared" si="211"/>
        <v>-0.41753787277192561</v>
      </c>
      <c r="BG115" s="19">
        <f>BG114+BG104+BG91+BG88</f>
        <v>252295147.18000001</v>
      </c>
      <c r="BH115" s="18">
        <f>BH114+BH104+BH91+BH88</f>
        <v>239120274.00648364</v>
      </c>
      <c r="BI115" s="15">
        <f t="shared" si="212"/>
        <v>13174873.173516363</v>
      </c>
      <c r="BJ115" s="74">
        <f t="shared" si="213"/>
        <v>5.5097265291520703E-2</v>
      </c>
      <c r="BK115" s="16">
        <f>BK114+BK104+BK91+BK88</f>
        <v>1678249346.3999999</v>
      </c>
      <c r="BL115" s="18">
        <f>BL114+BL104+BL91+BL88</f>
        <v>1438699063.078902</v>
      </c>
      <c r="BM115" s="15">
        <f t="shared" si="214"/>
        <v>239550283.32109785</v>
      </c>
      <c r="BN115" s="74">
        <f t="shared" si="215"/>
        <v>0.1665047885750659</v>
      </c>
      <c r="BO115" s="16">
        <f>BO114+BO104+BO91+BO88</f>
        <v>2881302093.2137766</v>
      </c>
      <c r="BP115" s="15">
        <f t="shared" si="216"/>
        <v>-1203052746.8137767</v>
      </c>
      <c r="BQ115" s="73">
        <f t="shared" si="217"/>
        <v>-0.41753787277192561</v>
      </c>
      <c r="BR115" s="19">
        <f>BR114+BR104+BR91+BR88</f>
        <v>252295147.18000001</v>
      </c>
      <c r="BS115" s="18">
        <f>BS114+BS104+BS91+BS88</f>
        <v>239120274.00648364</v>
      </c>
      <c r="BT115" s="15">
        <f t="shared" si="218"/>
        <v>13174873.173516363</v>
      </c>
      <c r="BU115" s="74">
        <f t="shared" si="219"/>
        <v>5.5097265291520703E-2</v>
      </c>
      <c r="BV115" s="16">
        <f>BV114+BV104+BV91+BV88</f>
        <v>1678249346.3999999</v>
      </c>
      <c r="BW115" s="18">
        <f>BW114+BW104+BW91+BW88</f>
        <v>1438699063.078902</v>
      </c>
      <c r="BX115" s="15">
        <f t="shared" si="220"/>
        <v>239550283.32109785</v>
      </c>
      <c r="BY115" s="74">
        <f t="shared" si="221"/>
        <v>0.1665047885750659</v>
      </c>
      <c r="BZ115" s="16">
        <f>BZ114+BZ104+BZ91+BZ88</f>
        <v>2881302093.2137766</v>
      </c>
      <c r="CA115" s="15">
        <f t="shared" si="222"/>
        <v>-1203052746.8137767</v>
      </c>
      <c r="CB115" s="73">
        <f t="shared" si="223"/>
        <v>-0.41753787277192561</v>
      </c>
      <c r="CC115" s="19">
        <f>CC114+CC104+CC91+CC88</f>
        <v>252295147.18000001</v>
      </c>
      <c r="CD115" s="18">
        <f>CD114+CD104+CD91+CD88</f>
        <v>239120274.00648364</v>
      </c>
      <c r="CE115" s="15">
        <f t="shared" si="224"/>
        <v>13174873.173516363</v>
      </c>
      <c r="CF115" s="74">
        <f t="shared" si="225"/>
        <v>5.5097265291520703E-2</v>
      </c>
      <c r="CG115" s="16">
        <f>CG114+CG104+CG91+CG88</f>
        <v>1678249346.3999999</v>
      </c>
      <c r="CH115" s="18">
        <f>CH114+CH104+CH91+CH88</f>
        <v>1438699063.078902</v>
      </c>
      <c r="CI115" s="15">
        <f t="shared" si="226"/>
        <v>239550283.32109785</v>
      </c>
      <c r="CJ115" s="74">
        <f t="shared" si="227"/>
        <v>0.1665047885750659</v>
      </c>
      <c r="CK115" s="16">
        <f>CK114+CK104+CK91+CK88</f>
        <v>2881302093.2137766</v>
      </c>
      <c r="CL115" s="15">
        <f t="shared" si="228"/>
        <v>-1203052746.8137767</v>
      </c>
      <c r="CM115" s="73">
        <f t="shared" si="229"/>
        <v>-0.41753787277192561</v>
      </c>
      <c r="CN115" s="19">
        <f>CN114+CN104+CN91+CN88</f>
        <v>252295147.18000001</v>
      </c>
      <c r="CO115" s="18">
        <f>CO114+CO104+CO91+CO88</f>
        <v>239120274.00648364</v>
      </c>
      <c r="CP115" s="15">
        <f t="shared" si="230"/>
        <v>13174873.173516363</v>
      </c>
      <c r="CQ115" s="74">
        <f t="shared" si="231"/>
        <v>5.5097265291520703E-2</v>
      </c>
      <c r="CR115" s="16">
        <f>CR114+CR104+CR91+CR88</f>
        <v>1678249346.3999999</v>
      </c>
      <c r="CS115" s="18">
        <f>CS114+CS104+CS91+CS88</f>
        <v>1438699063.078902</v>
      </c>
      <c r="CT115" s="15">
        <f t="shared" si="232"/>
        <v>239550283.32109785</v>
      </c>
      <c r="CU115" s="74">
        <f t="shared" si="233"/>
        <v>0.1665047885750659</v>
      </c>
      <c r="CV115" s="16">
        <f>CV114+CV104+CV91+CV88</f>
        <v>2881302093.2137766</v>
      </c>
      <c r="CW115" s="15">
        <f t="shared" si="234"/>
        <v>-1203052746.8137767</v>
      </c>
      <c r="CX115" s="73">
        <f t="shared" si="235"/>
        <v>-0.41753787277192561</v>
      </c>
      <c r="CY115" s="19">
        <f>CY114+CY104+CY91+CY88</f>
        <v>252295147.18000001</v>
      </c>
      <c r="CZ115" s="18">
        <f>CZ114+CZ104+CZ91+CZ88</f>
        <v>239120274.00648364</v>
      </c>
      <c r="DA115" s="15">
        <f t="shared" si="236"/>
        <v>13174873.173516363</v>
      </c>
      <c r="DB115" s="74">
        <f t="shared" si="237"/>
        <v>5.5097265291520703E-2</v>
      </c>
      <c r="DC115" s="16">
        <f>DC114+DC104+DC91+DC88</f>
        <v>1678249346.3999999</v>
      </c>
      <c r="DD115" s="18">
        <f>DD114+DD104+DD91+DD88</f>
        <v>1438699063.078902</v>
      </c>
      <c r="DE115" s="15">
        <f t="shared" si="238"/>
        <v>239550283.32109785</v>
      </c>
      <c r="DF115" s="74">
        <f t="shared" si="239"/>
        <v>0.1665047885750659</v>
      </c>
      <c r="DG115" s="16">
        <f>DG114+DG104+DG91+DG88</f>
        <v>2881302093.2137766</v>
      </c>
      <c r="DH115" s="15">
        <f t="shared" si="240"/>
        <v>-1203052746.8137767</v>
      </c>
      <c r="DI115" s="73">
        <f t="shared" si="241"/>
        <v>-0.41753787277192561</v>
      </c>
    </row>
    <row r="116" spans="1:113" ht="12.75" hidden="1" customHeight="1" outlineLevel="3" x14ac:dyDescent="0.2">
      <c r="B116" s="38" t="str">
        <f t="shared" ref="B116:C130" si="242">B53</f>
        <v>Резерв бонуса прошлых лет</v>
      </c>
      <c r="C116" s="37" t="str">
        <f t="shared" si="242"/>
        <v>Under-/overaccruals - cash</v>
      </c>
      <c r="D116" s="36">
        <v>0</v>
      </c>
      <c r="E116" s="40">
        <v>0</v>
      </c>
      <c r="F116" s="32">
        <f t="shared" si="182"/>
        <v>0</v>
      </c>
      <c r="G116" s="78" t="str">
        <f t="shared" si="183"/>
        <v>-</v>
      </c>
      <c r="H116" s="33">
        <v>-1030559766.46</v>
      </c>
      <c r="I116" s="33">
        <v>-1030559766.46</v>
      </c>
      <c r="J116" s="32">
        <f t="shared" si="184"/>
        <v>0</v>
      </c>
      <c r="K116" s="78">
        <f t="shared" si="185"/>
        <v>0</v>
      </c>
      <c r="L116" s="33">
        <v>-1030559766.46</v>
      </c>
      <c r="M116" s="32">
        <f t="shared" si="186"/>
        <v>0</v>
      </c>
      <c r="N116" s="77">
        <f t="shared" si="187"/>
        <v>0</v>
      </c>
      <c r="O116" s="36">
        <v>0</v>
      </c>
      <c r="P116" s="40">
        <v>0</v>
      </c>
      <c r="Q116" s="32">
        <f t="shared" si="188"/>
        <v>0</v>
      </c>
      <c r="R116" s="78" t="str">
        <f t="shared" si="189"/>
        <v>-</v>
      </c>
      <c r="S116" s="33">
        <v>-1030559766.46</v>
      </c>
      <c r="T116" s="33">
        <v>-1030559766.46</v>
      </c>
      <c r="U116" s="32">
        <f t="shared" si="190"/>
        <v>0</v>
      </c>
      <c r="V116" s="78">
        <f t="shared" si="191"/>
        <v>0</v>
      </c>
      <c r="W116" s="33">
        <v>-1030559766.46</v>
      </c>
      <c r="X116" s="32">
        <f t="shared" si="192"/>
        <v>0</v>
      </c>
      <c r="Y116" s="77">
        <f t="shared" si="193"/>
        <v>0</v>
      </c>
      <c r="Z116" s="36">
        <v>0</v>
      </c>
      <c r="AA116" s="40">
        <v>0</v>
      </c>
      <c r="AB116" s="32">
        <f t="shared" si="194"/>
        <v>0</v>
      </c>
      <c r="AC116" s="78" t="str">
        <f t="shared" si="195"/>
        <v>-</v>
      </c>
      <c r="AD116" s="33">
        <v>-1030559766.46</v>
      </c>
      <c r="AE116" s="33">
        <v>-1030559766.46</v>
      </c>
      <c r="AF116" s="32">
        <f t="shared" si="196"/>
        <v>0</v>
      </c>
      <c r="AG116" s="78">
        <f t="shared" si="197"/>
        <v>0</v>
      </c>
      <c r="AH116" s="33">
        <v>-1030559766.46</v>
      </c>
      <c r="AI116" s="32">
        <f t="shared" si="198"/>
        <v>0</v>
      </c>
      <c r="AJ116" s="77">
        <f t="shared" si="199"/>
        <v>0</v>
      </c>
      <c r="AK116" s="36">
        <v>0</v>
      </c>
      <c r="AL116" s="40">
        <v>0</v>
      </c>
      <c r="AM116" s="32">
        <f t="shared" si="200"/>
        <v>0</v>
      </c>
      <c r="AN116" s="78" t="str">
        <f t="shared" si="201"/>
        <v>-</v>
      </c>
      <c r="AO116" s="33">
        <v>-1030559766.46</v>
      </c>
      <c r="AP116" s="33">
        <v>-1030559766.46</v>
      </c>
      <c r="AQ116" s="32">
        <f t="shared" si="202"/>
        <v>0</v>
      </c>
      <c r="AR116" s="78">
        <f t="shared" si="203"/>
        <v>0</v>
      </c>
      <c r="AS116" s="33">
        <v>-1030559766.46</v>
      </c>
      <c r="AT116" s="32">
        <f t="shared" si="204"/>
        <v>0</v>
      </c>
      <c r="AU116" s="77">
        <f t="shared" si="205"/>
        <v>0</v>
      </c>
      <c r="AV116" s="36">
        <v>0</v>
      </c>
      <c r="AW116" s="40">
        <v>0</v>
      </c>
      <c r="AX116" s="32">
        <f t="shared" si="206"/>
        <v>0</v>
      </c>
      <c r="AY116" s="78" t="str">
        <f t="shared" si="207"/>
        <v>-</v>
      </c>
      <c r="AZ116" s="33">
        <v>-1030559766.46</v>
      </c>
      <c r="BA116" s="33">
        <v>-1030559766.46</v>
      </c>
      <c r="BB116" s="32">
        <f t="shared" si="208"/>
        <v>0</v>
      </c>
      <c r="BC116" s="78">
        <f t="shared" si="209"/>
        <v>0</v>
      </c>
      <c r="BD116" s="33">
        <v>-1030559766.46</v>
      </c>
      <c r="BE116" s="32">
        <f t="shared" si="210"/>
        <v>0</v>
      </c>
      <c r="BF116" s="77">
        <f t="shared" si="211"/>
        <v>0</v>
      </c>
      <c r="BG116" s="36">
        <v>0</v>
      </c>
      <c r="BH116" s="40">
        <v>0</v>
      </c>
      <c r="BI116" s="32">
        <f t="shared" si="212"/>
        <v>0</v>
      </c>
      <c r="BJ116" s="78" t="str">
        <f t="shared" si="213"/>
        <v>-</v>
      </c>
      <c r="BK116" s="33">
        <v>-1030559766.46</v>
      </c>
      <c r="BL116" s="33">
        <v>-1030559766.46</v>
      </c>
      <c r="BM116" s="32">
        <f t="shared" si="214"/>
        <v>0</v>
      </c>
      <c r="BN116" s="78">
        <f t="shared" si="215"/>
        <v>0</v>
      </c>
      <c r="BO116" s="33">
        <v>-1030559766.46</v>
      </c>
      <c r="BP116" s="32">
        <f t="shared" si="216"/>
        <v>0</v>
      </c>
      <c r="BQ116" s="77">
        <f t="shared" si="217"/>
        <v>0</v>
      </c>
      <c r="BR116" s="36">
        <v>0</v>
      </c>
      <c r="BS116" s="40">
        <v>0</v>
      </c>
      <c r="BT116" s="32">
        <f t="shared" si="218"/>
        <v>0</v>
      </c>
      <c r="BU116" s="78" t="str">
        <f t="shared" si="219"/>
        <v>-</v>
      </c>
      <c r="BV116" s="33">
        <v>-1030559766.46</v>
      </c>
      <c r="BW116" s="33">
        <v>-1030559766.46</v>
      </c>
      <c r="BX116" s="32">
        <f t="shared" si="220"/>
        <v>0</v>
      </c>
      <c r="BY116" s="78">
        <f t="shared" si="221"/>
        <v>0</v>
      </c>
      <c r="BZ116" s="33">
        <v>-1030559766.46</v>
      </c>
      <c r="CA116" s="32">
        <f t="shared" si="222"/>
        <v>0</v>
      </c>
      <c r="CB116" s="77">
        <f t="shared" si="223"/>
        <v>0</v>
      </c>
      <c r="CC116" s="36">
        <v>0</v>
      </c>
      <c r="CD116" s="40">
        <v>0</v>
      </c>
      <c r="CE116" s="32">
        <f t="shared" si="224"/>
        <v>0</v>
      </c>
      <c r="CF116" s="78" t="str">
        <f t="shared" si="225"/>
        <v>-</v>
      </c>
      <c r="CG116" s="33">
        <v>-1030559766.46</v>
      </c>
      <c r="CH116" s="33">
        <v>-1030559766.46</v>
      </c>
      <c r="CI116" s="32">
        <f t="shared" si="226"/>
        <v>0</v>
      </c>
      <c r="CJ116" s="78">
        <f t="shared" si="227"/>
        <v>0</v>
      </c>
      <c r="CK116" s="33">
        <v>-1030559766.46</v>
      </c>
      <c r="CL116" s="32">
        <f t="shared" si="228"/>
        <v>0</v>
      </c>
      <c r="CM116" s="77">
        <f t="shared" si="229"/>
        <v>0</v>
      </c>
      <c r="CN116" s="36">
        <v>0</v>
      </c>
      <c r="CO116" s="40">
        <v>0</v>
      </c>
      <c r="CP116" s="32">
        <f t="shared" si="230"/>
        <v>0</v>
      </c>
      <c r="CQ116" s="78" t="str">
        <f t="shared" si="231"/>
        <v>-</v>
      </c>
      <c r="CR116" s="33">
        <v>-1030559766.46</v>
      </c>
      <c r="CS116" s="33">
        <v>-1030559766.46</v>
      </c>
      <c r="CT116" s="32">
        <f t="shared" si="232"/>
        <v>0</v>
      </c>
      <c r="CU116" s="78">
        <f t="shared" si="233"/>
        <v>0</v>
      </c>
      <c r="CV116" s="33">
        <v>-1030559766.46</v>
      </c>
      <c r="CW116" s="32">
        <f t="shared" si="234"/>
        <v>0</v>
      </c>
      <c r="CX116" s="77">
        <f t="shared" si="235"/>
        <v>0</v>
      </c>
      <c r="CY116" s="36">
        <v>0</v>
      </c>
      <c r="CZ116" s="40">
        <v>0</v>
      </c>
      <c r="DA116" s="32">
        <f t="shared" si="236"/>
        <v>0</v>
      </c>
      <c r="DB116" s="78" t="str">
        <f t="shared" si="237"/>
        <v>-</v>
      </c>
      <c r="DC116" s="33">
        <v>-1030559766.46</v>
      </c>
      <c r="DD116" s="33">
        <v>-1030559766.46</v>
      </c>
      <c r="DE116" s="32">
        <f t="shared" si="238"/>
        <v>0</v>
      </c>
      <c r="DF116" s="78">
        <f t="shared" si="239"/>
        <v>0</v>
      </c>
      <c r="DG116" s="33">
        <v>-1030559766.46</v>
      </c>
      <c r="DH116" s="32">
        <f t="shared" si="240"/>
        <v>0</v>
      </c>
      <c r="DI116" s="77">
        <f t="shared" si="241"/>
        <v>0</v>
      </c>
    </row>
    <row r="117" spans="1:113" ht="12.75" hidden="1" customHeight="1" outlineLevel="3" x14ac:dyDescent="0.2">
      <c r="B117" s="38" t="str">
        <f t="shared" si="242"/>
        <v>Страховые взносы, резерв бонуса прошлых лет</v>
      </c>
      <c r="C117" s="37" t="str">
        <f t="shared" si="242"/>
        <v>Under-/overaccruals - contribution to social secur</v>
      </c>
      <c r="D117" s="36">
        <v>0</v>
      </c>
      <c r="E117" s="40">
        <v>0</v>
      </c>
      <c r="F117" s="32">
        <f t="shared" si="182"/>
        <v>0</v>
      </c>
      <c r="G117" s="78" t="str">
        <f t="shared" si="183"/>
        <v>-</v>
      </c>
      <c r="H117" s="33">
        <v>-305311883.32000005</v>
      </c>
      <c r="I117" s="33">
        <v>-281392275.22000003</v>
      </c>
      <c r="J117" s="32">
        <f t="shared" si="184"/>
        <v>-23919608.100000024</v>
      </c>
      <c r="K117" s="78">
        <f t="shared" si="185"/>
        <v>8.5004494459910207E-2</v>
      </c>
      <c r="L117" s="33">
        <v>-281392275.22000003</v>
      </c>
      <c r="M117" s="32">
        <f t="shared" si="186"/>
        <v>-23919608.100000024</v>
      </c>
      <c r="N117" s="77">
        <f t="shared" si="187"/>
        <v>8.5004494459910221E-2</v>
      </c>
      <c r="O117" s="36">
        <v>0</v>
      </c>
      <c r="P117" s="40">
        <v>0</v>
      </c>
      <c r="Q117" s="32">
        <f t="shared" si="188"/>
        <v>0</v>
      </c>
      <c r="R117" s="78" t="str">
        <f t="shared" si="189"/>
        <v>-</v>
      </c>
      <c r="S117" s="33">
        <v>-305311883.32000005</v>
      </c>
      <c r="T117" s="33">
        <v>-281392275.22000003</v>
      </c>
      <c r="U117" s="32">
        <f t="shared" si="190"/>
        <v>-23919608.100000024</v>
      </c>
      <c r="V117" s="78">
        <f t="shared" si="191"/>
        <v>8.5004494459910207E-2</v>
      </c>
      <c r="W117" s="33">
        <v>-281392275.22000003</v>
      </c>
      <c r="X117" s="32">
        <f t="shared" si="192"/>
        <v>-23919608.100000024</v>
      </c>
      <c r="Y117" s="77">
        <f t="shared" si="193"/>
        <v>8.5004494459910221E-2</v>
      </c>
      <c r="Z117" s="36">
        <v>0</v>
      </c>
      <c r="AA117" s="40">
        <v>0</v>
      </c>
      <c r="AB117" s="32">
        <f t="shared" si="194"/>
        <v>0</v>
      </c>
      <c r="AC117" s="78" t="str">
        <f t="shared" si="195"/>
        <v>-</v>
      </c>
      <c r="AD117" s="33">
        <v>-305311883.32000005</v>
      </c>
      <c r="AE117" s="33">
        <v>-281392275.22000003</v>
      </c>
      <c r="AF117" s="32">
        <f t="shared" si="196"/>
        <v>-23919608.100000024</v>
      </c>
      <c r="AG117" s="78">
        <f t="shared" si="197"/>
        <v>8.5004494459910207E-2</v>
      </c>
      <c r="AH117" s="33">
        <v>-281392275.22000003</v>
      </c>
      <c r="AI117" s="32">
        <f t="shared" si="198"/>
        <v>-23919608.100000024</v>
      </c>
      <c r="AJ117" s="77">
        <f t="shared" si="199"/>
        <v>8.5004494459910221E-2</v>
      </c>
      <c r="AK117" s="36">
        <v>0</v>
      </c>
      <c r="AL117" s="40">
        <v>0</v>
      </c>
      <c r="AM117" s="32">
        <f t="shared" si="200"/>
        <v>0</v>
      </c>
      <c r="AN117" s="78" t="str">
        <f t="shared" si="201"/>
        <v>-</v>
      </c>
      <c r="AO117" s="33">
        <v>-305311883.32000005</v>
      </c>
      <c r="AP117" s="33">
        <v>-281392275.22000003</v>
      </c>
      <c r="AQ117" s="32">
        <f t="shared" si="202"/>
        <v>-23919608.100000024</v>
      </c>
      <c r="AR117" s="78">
        <f t="shared" si="203"/>
        <v>8.5004494459910207E-2</v>
      </c>
      <c r="AS117" s="33">
        <v>-281392275.22000003</v>
      </c>
      <c r="AT117" s="32">
        <f t="shared" si="204"/>
        <v>-23919608.100000024</v>
      </c>
      <c r="AU117" s="77">
        <f t="shared" si="205"/>
        <v>8.5004494459910221E-2</v>
      </c>
      <c r="AV117" s="36">
        <v>0</v>
      </c>
      <c r="AW117" s="40">
        <v>0</v>
      </c>
      <c r="AX117" s="32">
        <f t="shared" si="206"/>
        <v>0</v>
      </c>
      <c r="AY117" s="78" t="str">
        <f t="shared" si="207"/>
        <v>-</v>
      </c>
      <c r="AZ117" s="33">
        <v>-305311883.32000005</v>
      </c>
      <c r="BA117" s="33">
        <v>-281392275.22000003</v>
      </c>
      <c r="BB117" s="32">
        <f t="shared" si="208"/>
        <v>-23919608.100000024</v>
      </c>
      <c r="BC117" s="78">
        <f t="shared" si="209"/>
        <v>8.5004494459910207E-2</v>
      </c>
      <c r="BD117" s="33">
        <v>-281392275.22000003</v>
      </c>
      <c r="BE117" s="32">
        <f t="shared" si="210"/>
        <v>-23919608.100000024</v>
      </c>
      <c r="BF117" s="77">
        <f t="shared" si="211"/>
        <v>8.5004494459910221E-2</v>
      </c>
      <c r="BG117" s="36">
        <v>0</v>
      </c>
      <c r="BH117" s="40">
        <v>0</v>
      </c>
      <c r="BI117" s="32">
        <f t="shared" si="212"/>
        <v>0</v>
      </c>
      <c r="BJ117" s="78" t="str">
        <f t="shared" si="213"/>
        <v>-</v>
      </c>
      <c r="BK117" s="33">
        <v>-305311883.32000005</v>
      </c>
      <c r="BL117" s="33">
        <v>-281392275.22000003</v>
      </c>
      <c r="BM117" s="32">
        <f t="shared" si="214"/>
        <v>-23919608.100000024</v>
      </c>
      <c r="BN117" s="78">
        <f t="shared" si="215"/>
        <v>8.5004494459910207E-2</v>
      </c>
      <c r="BO117" s="33">
        <v>-281392275.22000003</v>
      </c>
      <c r="BP117" s="32">
        <f t="shared" si="216"/>
        <v>-23919608.100000024</v>
      </c>
      <c r="BQ117" s="77">
        <f t="shared" si="217"/>
        <v>8.5004494459910221E-2</v>
      </c>
      <c r="BR117" s="36">
        <v>0</v>
      </c>
      <c r="BS117" s="40">
        <v>0</v>
      </c>
      <c r="BT117" s="32">
        <f t="shared" si="218"/>
        <v>0</v>
      </c>
      <c r="BU117" s="78" t="str">
        <f t="shared" si="219"/>
        <v>-</v>
      </c>
      <c r="BV117" s="33">
        <v>-305311883.32000005</v>
      </c>
      <c r="BW117" s="33">
        <v>-281392275.22000003</v>
      </c>
      <c r="BX117" s="32">
        <f t="shared" si="220"/>
        <v>-23919608.100000024</v>
      </c>
      <c r="BY117" s="78">
        <f t="shared" si="221"/>
        <v>8.5004494459910207E-2</v>
      </c>
      <c r="BZ117" s="33">
        <v>-281392275.22000003</v>
      </c>
      <c r="CA117" s="32">
        <f t="shared" si="222"/>
        <v>-23919608.100000024</v>
      </c>
      <c r="CB117" s="77">
        <f t="shared" si="223"/>
        <v>8.5004494459910221E-2</v>
      </c>
      <c r="CC117" s="36">
        <v>0</v>
      </c>
      <c r="CD117" s="40">
        <v>0</v>
      </c>
      <c r="CE117" s="32">
        <f t="shared" si="224"/>
        <v>0</v>
      </c>
      <c r="CF117" s="78" t="str">
        <f t="shared" si="225"/>
        <v>-</v>
      </c>
      <c r="CG117" s="33">
        <v>-305311883.32000005</v>
      </c>
      <c r="CH117" s="33">
        <v>-281392275.22000003</v>
      </c>
      <c r="CI117" s="32">
        <f t="shared" si="226"/>
        <v>-23919608.100000024</v>
      </c>
      <c r="CJ117" s="78">
        <f t="shared" si="227"/>
        <v>8.5004494459910207E-2</v>
      </c>
      <c r="CK117" s="33">
        <v>-281392275.22000003</v>
      </c>
      <c r="CL117" s="32">
        <f t="shared" si="228"/>
        <v>-23919608.100000024</v>
      </c>
      <c r="CM117" s="77">
        <f t="shared" si="229"/>
        <v>8.5004494459910221E-2</v>
      </c>
      <c r="CN117" s="36">
        <v>0</v>
      </c>
      <c r="CO117" s="40">
        <v>0</v>
      </c>
      <c r="CP117" s="32">
        <f t="shared" si="230"/>
        <v>0</v>
      </c>
      <c r="CQ117" s="78" t="str">
        <f t="shared" si="231"/>
        <v>-</v>
      </c>
      <c r="CR117" s="33">
        <v>-305311883.32000005</v>
      </c>
      <c r="CS117" s="33">
        <v>-281392275.22000003</v>
      </c>
      <c r="CT117" s="32">
        <f t="shared" si="232"/>
        <v>-23919608.100000024</v>
      </c>
      <c r="CU117" s="78">
        <f t="shared" si="233"/>
        <v>8.5004494459910207E-2</v>
      </c>
      <c r="CV117" s="33">
        <v>-281392275.22000003</v>
      </c>
      <c r="CW117" s="32">
        <f t="shared" si="234"/>
        <v>-23919608.100000024</v>
      </c>
      <c r="CX117" s="77">
        <f t="shared" si="235"/>
        <v>8.5004494459910221E-2</v>
      </c>
      <c r="CY117" s="36">
        <v>0</v>
      </c>
      <c r="CZ117" s="40">
        <v>0</v>
      </c>
      <c r="DA117" s="32">
        <f t="shared" si="236"/>
        <v>0</v>
      </c>
      <c r="DB117" s="78" t="str">
        <f t="shared" si="237"/>
        <v>-</v>
      </c>
      <c r="DC117" s="33">
        <v>-305311883.32000005</v>
      </c>
      <c r="DD117" s="33">
        <v>-281392275.22000003</v>
      </c>
      <c r="DE117" s="32">
        <f t="shared" si="238"/>
        <v>-23919608.100000024</v>
      </c>
      <c r="DF117" s="78">
        <f t="shared" si="239"/>
        <v>8.5004494459910207E-2</v>
      </c>
      <c r="DG117" s="33">
        <v>-281392275.22000003</v>
      </c>
      <c r="DH117" s="32">
        <f t="shared" si="240"/>
        <v>-23919608.100000024</v>
      </c>
      <c r="DI117" s="77">
        <f t="shared" si="241"/>
        <v>8.5004494459910221E-2</v>
      </c>
    </row>
    <row r="118" spans="1:113" s="6" customFormat="1" ht="14.45" customHeight="1" outlineLevel="1" collapsed="1" x14ac:dyDescent="0.2">
      <c r="A118" s="30"/>
      <c r="B118" s="48" t="str">
        <f t="shared" si="242"/>
        <v>Итого Резерв бонуса прошлых лет</v>
      </c>
      <c r="C118" s="47" t="str">
        <f t="shared" si="242"/>
        <v>Total Under-/overaccruals - cash</v>
      </c>
      <c r="D118" s="46">
        <f>SUM(D116:D117)</f>
        <v>0</v>
      </c>
      <c r="E118" s="45">
        <f>SUM(E116:E117)</f>
        <v>0</v>
      </c>
      <c r="F118" s="23">
        <f t="shared" si="182"/>
        <v>0</v>
      </c>
      <c r="G118" s="76" t="str">
        <f t="shared" si="183"/>
        <v>-</v>
      </c>
      <c r="H118" s="44">
        <f>SUM(H116:H117)</f>
        <v>-1335871649.7800002</v>
      </c>
      <c r="I118" s="44">
        <f>SUM(I116:I117)</f>
        <v>-1311952041.6800001</v>
      </c>
      <c r="J118" s="23">
        <f t="shared" si="184"/>
        <v>-23919608.100000143</v>
      </c>
      <c r="K118" s="76">
        <f t="shared" si="185"/>
        <v>1.8232075060739428E-2</v>
      </c>
      <c r="L118" s="44">
        <f>SUM(L116:L117)</f>
        <v>-1311952041.6800001</v>
      </c>
      <c r="M118" s="23">
        <f t="shared" si="186"/>
        <v>-23919608.100000143</v>
      </c>
      <c r="N118" s="75">
        <f t="shared" si="187"/>
        <v>1.8232075060739459E-2</v>
      </c>
      <c r="O118" s="46">
        <f>SUM(O116:O117)</f>
        <v>0</v>
      </c>
      <c r="P118" s="45">
        <f>SUM(P116:P117)</f>
        <v>0</v>
      </c>
      <c r="Q118" s="23">
        <f t="shared" si="188"/>
        <v>0</v>
      </c>
      <c r="R118" s="76" t="str">
        <f t="shared" si="189"/>
        <v>-</v>
      </c>
      <c r="S118" s="44">
        <f>SUM(S116:S117)</f>
        <v>-1335871649.7800002</v>
      </c>
      <c r="T118" s="44">
        <f>SUM(T116:T117)</f>
        <v>-1311952041.6800001</v>
      </c>
      <c r="U118" s="23">
        <f t="shared" si="190"/>
        <v>-23919608.100000143</v>
      </c>
      <c r="V118" s="76">
        <f t="shared" si="191"/>
        <v>1.8232075060739428E-2</v>
      </c>
      <c r="W118" s="44">
        <f>SUM(W116:W117)</f>
        <v>-1311952041.6800001</v>
      </c>
      <c r="X118" s="23">
        <f t="shared" si="192"/>
        <v>-23919608.100000143</v>
      </c>
      <c r="Y118" s="75">
        <f t="shared" si="193"/>
        <v>1.8232075060739459E-2</v>
      </c>
      <c r="Z118" s="46">
        <f>SUM(Z116:Z117)</f>
        <v>0</v>
      </c>
      <c r="AA118" s="45">
        <f>SUM(AA116:AA117)</f>
        <v>0</v>
      </c>
      <c r="AB118" s="23">
        <f t="shared" si="194"/>
        <v>0</v>
      </c>
      <c r="AC118" s="76" t="str">
        <f t="shared" si="195"/>
        <v>-</v>
      </c>
      <c r="AD118" s="44">
        <f>SUM(AD116:AD117)</f>
        <v>-1335871649.7800002</v>
      </c>
      <c r="AE118" s="44">
        <f>SUM(AE116:AE117)</f>
        <v>-1311952041.6800001</v>
      </c>
      <c r="AF118" s="23">
        <f t="shared" si="196"/>
        <v>-23919608.100000143</v>
      </c>
      <c r="AG118" s="76">
        <f t="shared" si="197"/>
        <v>1.8232075060739428E-2</v>
      </c>
      <c r="AH118" s="44">
        <f>SUM(AH116:AH117)</f>
        <v>-1311952041.6800001</v>
      </c>
      <c r="AI118" s="23">
        <f t="shared" si="198"/>
        <v>-23919608.100000143</v>
      </c>
      <c r="AJ118" s="75">
        <f t="shared" si="199"/>
        <v>1.8232075060739459E-2</v>
      </c>
      <c r="AK118" s="46">
        <f>SUM(AK116:AK117)</f>
        <v>0</v>
      </c>
      <c r="AL118" s="45">
        <f>SUM(AL116:AL117)</f>
        <v>0</v>
      </c>
      <c r="AM118" s="23">
        <f t="shared" si="200"/>
        <v>0</v>
      </c>
      <c r="AN118" s="76" t="str">
        <f t="shared" si="201"/>
        <v>-</v>
      </c>
      <c r="AO118" s="44">
        <f>SUM(AO116:AO117)</f>
        <v>-1335871649.7800002</v>
      </c>
      <c r="AP118" s="44">
        <f>SUM(AP116:AP117)</f>
        <v>-1311952041.6800001</v>
      </c>
      <c r="AQ118" s="23">
        <f t="shared" si="202"/>
        <v>-23919608.100000143</v>
      </c>
      <c r="AR118" s="76">
        <f t="shared" si="203"/>
        <v>1.8232075060739428E-2</v>
      </c>
      <c r="AS118" s="44">
        <f>SUM(AS116:AS117)</f>
        <v>-1311952041.6800001</v>
      </c>
      <c r="AT118" s="23">
        <f t="shared" si="204"/>
        <v>-23919608.100000143</v>
      </c>
      <c r="AU118" s="75">
        <f t="shared" si="205"/>
        <v>1.8232075060739459E-2</v>
      </c>
      <c r="AV118" s="46">
        <f>SUM(AV116:AV117)</f>
        <v>0</v>
      </c>
      <c r="AW118" s="45">
        <f>SUM(AW116:AW117)</f>
        <v>0</v>
      </c>
      <c r="AX118" s="23">
        <f t="shared" si="206"/>
        <v>0</v>
      </c>
      <c r="AY118" s="76" t="str">
        <f t="shared" si="207"/>
        <v>-</v>
      </c>
      <c r="AZ118" s="44">
        <f>SUM(AZ116:AZ117)</f>
        <v>-1335871649.7800002</v>
      </c>
      <c r="BA118" s="44">
        <f>SUM(BA116:BA117)</f>
        <v>-1311952041.6800001</v>
      </c>
      <c r="BB118" s="23">
        <f t="shared" si="208"/>
        <v>-23919608.100000143</v>
      </c>
      <c r="BC118" s="76">
        <f t="shared" si="209"/>
        <v>1.8232075060739428E-2</v>
      </c>
      <c r="BD118" s="44">
        <f>SUM(BD116:BD117)</f>
        <v>-1311952041.6800001</v>
      </c>
      <c r="BE118" s="23">
        <f t="shared" si="210"/>
        <v>-23919608.100000143</v>
      </c>
      <c r="BF118" s="75">
        <f t="shared" si="211"/>
        <v>1.8232075060739459E-2</v>
      </c>
      <c r="BG118" s="46">
        <f>SUM(BG116:BG117)</f>
        <v>0</v>
      </c>
      <c r="BH118" s="45">
        <f>SUM(BH116:BH117)</f>
        <v>0</v>
      </c>
      <c r="BI118" s="23">
        <f t="shared" si="212"/>
        <v>0</v>
      </c>
      <c r="BJ118" s="76" t="str">
        <f t="shared" si="213"/>
        <v>-</v>
      </c>
      <c r="BK118" s="44">
        <f>SUM(BK116:BK117)</f>
        <v>-1335871649.7800002</v>
      </c>
      <c r="BL118" s="44">
        <f>SUM(BL116:BL117)</f>
        <v>-1311952041.6800001</v>
      </c>
      <c r="BM118" s="23">
        <f t="shared" si="214"/>
        <v>-23919608.100000143</v>
      </c>
      <c r="BN118" s="76">
        <f t="shared" si="215"/>
        <v>1.8232075060739428E-2</v>
      </c>
      <c r="BO118" s="44">
        <f>SUM(BO116:BO117)</f>
        <v>-1311952041.6800001</v>
      </c>
      <c r="BP118" s="23">
        <f t="shared" si="216"/>
        <v>-23919608.100000143</v>
      </c>
      <c r="BQ118" s="75">
        <f t="shared" si="217"/>
        <v>1.8232075060739459E-2</v>
      </c>
      <c r="BR118" s="46">
        <f>SUM(BR116:BR117)</f>
        <v>0</v>
      </c>
      <c r="BS118" s="45">
        <f>SUM(BS116:BS117)</f>
        <v>0</v>
      </c>
      <c r="BT118" s="23">
        <f t="shared" si="218"/>
        <v>0</v>
      </c>
      <c r="BU118" s="76" t="str">
        <f t="shared" si="219"/>
        <v>-</v>
      </c>
      <c r="BV118" s="44">
        <f>SUM(BV116:BV117)</f>
        <v>-1335871649.7800002</v>
      </c>
      <c r="BW118" s="44">
        <f>SUM(BW116:BW117)</f>
        <v>-1311952041.6800001</v>
      </c>
      <c r="BX118" s="23">
        <f t="shared" si="220"/>
        <v>-23919608.100000143</v>
      </c>
      <c r="BY118" s="76">
        <f t="shared" si="221"/>
        <v>1.8232075060739428E-2</v>
      </c>
      <c r="BZ118" s="44">
        <f>SUM(BZ116:BZ117)</f>
        <v>-1311952041.6800001</v>
      </c>
      <c r="CA118" s="23">
        <f t="shared" si="222"/>
        <v>-23919608.100000143</v>
      </c>
      <c r="CB118" s="75">
        <f t="shared" si="223"/>
        <v>1.8232075060739459E-2</v>
      </c>
      <c r="CC118" s="46">
        <f>SUM(CC116:CC117)</f>
        <v>0</v>
      </c>
      <c r="CD118" s="45">
        <f>SUM(CD116:CD117)</f>
        <v>0</v>
      </c>
      <c r="CE118" s="23">
        <f t="shared" si="224"/>
        <v>0</v>
      </c>
      <c r="CF118" s="76" t="str">
        <f t="shared" si="225"/>
        <v>-</v>
      </c>
      <c r="CG118" s="44">
        <f>SUM(CG116:CG117)</f>
        <v>-1335871649.7800002</v>
      </c>
      <c r="CH118" s="44">
        <f>SUM(CH116:CH117)</f>
        <v>-1311952041.6800001</v>
      </c>
      <c r="CI118" s="23">
        <f t="shared" si="226"/>
        <v>-23919608.100000143</v>
      </c>
      <c r="CJ118" s="76">
        <f t="shared" si="227"/>
        <v>1.8232075060739428E-2</v>
      </c>
      <c r="CK118" s="44">
        <f>SUM(CK116:CK117)</f>
        <v>-1311952041.6800001</v>
      </c>
      <c r="CL118" s="23">
        <f t="shared" si="228"/>
        <v>-23919608.100000143</v>
      </c>
      <c r="CM118" s="75">
        <f t="shared" si="229"/>
        <v>1.8232075060739459E-2</v>
      </c>
      <c r="CN118" s="46">
        <f>SUM(CN116:CN117)</f>
        <v>0</v>
      </c>
      <c r="CO118" s="45">
        <f>SUM(CO116:CO117)</f>
        <v>0</v>
      </c>
      <c r="CP118" s="23">
        <f t="shared" si="230"/>
        <v>0</v>
      </c>
      <c r="CQ118" s="76" t="str">
        <f t="shared" si="231"/>
        <v>-</v>
      </c>
      <c r="CR118" s="44">
        <f>SUM(CR116:CR117)</f>
        <v>-1335871649.7800002</v>
      </c>
      <c r="CS118" s="44">
        <f>SUM(CS116:CS117)</f>
        <v>-1311952041.6800001</v>
      </c>
      <c r="CT118" s="23">
        <f t="shared" si="232"/>
        <v>-23919608.100000143</v>
      </c>
      <c r="CU118" s="76">
        <f t="shared" si="233"/>
        <v>1.8232075060739428E-2</v>
      </c>
      <c r="CV118" s="44">
        <f>SUM(CV116:CV117)</f>
        <v>-1311952041.6800001</v>
      </c>
      <c r="CW118" s="23">
        <f t="shared" si="234"/>
        <v>-23919608.100000143</v>
      </c>
      <c r="CX118" s="75">
        <f t="shared" si="235"/>
        <v>1.8232075060739459E-2</v>
      </c>
      <c r="CY118" s="46">
        <f>SUM(CY116:CY117)</f>
        <v>0</v>
      </c>
      <c r="CZ118" s="45">
        <f>SUM(CZ116:CZ117)</f>
        <v>0</v>
      </c>
      <c r="DA118" s="23">
        <f t="shared" si="236"/>
        <v>0</v>
      </c>
      <c r="DB118" s="76" t="str">
        <f t="shared" si="237"/>
        <v>-</v>
      </c>
      <c r="DC118" s="44">
        <f>SUM(DC116:DC117)</f>
        <v>-1335871649.7800002</v>
      </c>
      <c r="DD118" s="44">
        <f>SUM(DD116:DD117)</f>
        <v>-1311952041.6800001</v>
      </c>
      <c r="DE118" s="23">
        <f t="shared" si="238"/>
        <v>-23919608.100000143</v>
      </c>
      <c r="DF118" s="76">
        <f t="shared" si="239"/>
        <v>1.8232075060739428E-2</v>
      </c>
      <c r="DG118" s="44">
        <f>SUM(DG116:DG117)</f>
        <v>-1311952041.6800001</v>
      </c>
      <c r="DH118" s="23">
        <f t="shared" si="240"/>
        <v>-23919608.100000143</v>
      </c>
      <c r="DI118" s="75">
        <f t="shared" si="241"/>
        <v>1.8232075060739459E-2</v>
      </c>
    </row>
    <row r="119" spans="1:113" s="6" customFormat="1" x14ac:dyDescent="0.2">
      <c r="B119" s="21" t="str">
        <f t="shared" si="242"/>
        <v>Резерв бонуса прошлых лет</v>
      </c>
      <c r="C119" s="20" t="str">
        <f t="shared" si="242"/>
        <v>Under-/overaccruals - cash</v>
      </c>
      <c r="D119" s="19">
        <f>D118</f>
        <v>0</v>
      </c>
      <c r="E119" s="18">
        <f>E118</f>
        <v>0</v>
      </c>
      <c r="F119" s="15">
        <f t="shared" si="182"/>
        <v>0</v>
      </c>
      <c r="G119" s="74" t="str">
        <f t="shared" si="183"/>
        <v>-</v>
      </c>
      <c r="H119" s="16">
        <f>H118</f>
        <v>-1335871649.7800002</v>
      </c>
      <c r="I119" s="18">
        <f>I118</f>
        <v>-1311952041.6800001</v>
      </c>
      <c r="J119" s="15">
        <f t="shared" si="184"/>
        <v>-23919608.100000143</v>
      </c>
      <c r="K119" s="74">
        <f t="shared" si="185"/>
        <v>1.8232075060739428E-2</v>
      </c>
      <c r="L119" s="16">
        <f>L118</f>
        <v>-1311952041.6800001</v>
      </c>
      <c r="M119" s="15">
        <f t="shared" si="186"/>
        <v>-23919608.100000143</v>
      </c>
      <c r="N119" s="73">
        <f t="shared" si="187"/>
        <v>1.8232075060739459E-2</v>
      </c>
      <c r="O119" s="19">
        <f>O118</f>
        <v>0</v>
      </c>
      <c r="P119" s="18">
        <f>P118</f>
        <v>0</v>
      </c>
      <c r="Q119" s="15">
        <f t="shared" si="188"/>
        <v>0</v>
      </c>
      <c r="R119" s="74" t="str">
        <f t="shared" si="189"/>
        <v>-</v>
      </c>
      <c r="S119" s="16">
        <f>S118</f>
        <v>-1335871649.7800002</v>
      </c>
      <c r="T119" s="18">
        <f>T118</f>
        <v>-1311952041.6800001</v>
      </c>
      <c r="U119" s="15">
        <f t="shared" si="190"/>
        <v>-23919608.100000143</v>
      </c>
      <c r="V119" s="74">
        <f t="shared" si="191"/>
        <v>1.8232075060739428E-2</v>
      </c>
      <c r="W119" s="16">
        <f>W118</f>
        <v>-1311952041.6800001</v>
      </c>
      <c r="X119" s="15">
        <f t="shared" si="192"/>
        <v>-23919608.100000143</v>
      </c>
      <c r="Y119" s="73">
        <f t="shared" si="193"/>
        <v>1.8232075060739459E-2</v>
      </c>
      <c r="Z119" s="19">
        <f>Z118</f>
        <v>0</v>
      </c>
      <c r="AA119" s="18">
        <f>AA118</f>
        <v>0</v>
      </c>
      <c r="AB119" s="15">
        <f t="shared" si="194"/>
        <v>0</v>
      </c>
      <c r="AC119" s="74" t="str">
        <f t="shared" si="195"/>
        <v>-</v>
      </c>
      <c r="AD119" s="16">
        <f>AD118</f>
        <v>-1335871649.7800002</v>
      </c>
      <c r="AE119" s="18">
        <f>AE118</f>
        <v>-1311952041.6800001</v>
      </c>
      <c r="AF119" s="15">
        <f t="shared" si="196"/>
        <v>-23919608.100000143</v>
      </c>
      <c r="AG119" s="74">
        <f t="shared" si="197"/>
        <v>1.8232075060739428E-2</v>
      </c>
      <c r="AH119" s="16">
        <f>AH118</f>
        <v>-1311952041.6800001</v>
      </c>
      <c r="AI119" s="15">
        <f t="shared" si="198"/>
        <v>-23919608.100000143</v>
      </c>
      <c r="AJ119" s="73">
        <f t="shared" si="199"/>
        <v>1.8232075060739459E-2</v>
      </c>
      <c r="AK119" s="19">
        <f>AK118</f>
        <v>0</v>
      </c>
      <c r="AL119" s="18">
        <f>AL118</f>
        <v>0</v>
      </c>
      <c r="AM119" s="15">
        <f t="shared" si="200"/>
        <v>0</v>
      </c>
      <c r="AN119" s="74" t="str">
        <f t="shared" si="201"/>
        <v>-</v>
      </c>
      <c r="AO119" s="16">
        <f>AO118</f>
        <v>-1335871649.7800002</v>
      </c>
      <c r="AP119" s="18">
        <f>AP118</f>
        <v>-1311952041.6800001</v>
      </c>
      <c r="AQ119" s="15">
        <f t="shared" si="202"/>
        <v>-23919608.100000143</v>
      </c>
      <c r="AR119" s="74">
        <f t="shared" si="203"/>
        <v>1.8232075060739428E-2</v>
      </c>
      <c r="AS119" s="16">
        <f>AS118</f>
        <v>-1311952041.6800001</v>
      </c>
      <c r="AT119" s="15">
        <f t="shared" si="204"/>
        <v>-23919608.100000143</v>
      </c>
      <c r="AU119" s="73">
        <f t="shared" si="205"/>
        <v>1.8232075060739459E-2</v>
      </c>
      <c r="AV119" s="19">
        <f>AV118</f>
        <v>0</v>
      </c>
      <c r="AW119" s="18">
        <f>AW118</f>
        <v>0</v>
      </c>
      <c r="AX119" s="15">
        <f t="shared" si="206"/>
        <v>0</v>
      </c>
      <c r="AY119" s="74" t="str">
        <f t="shared" si="207"/>
        <v>-</v>
      </c>
      <c r="AZ119" s="16">
        <f>AZ118</f>
        <v>-1335871649.7800002</v>
      </c>
      <c r="BA119" s="18">
        <f>BA118</f>
        <v>-1311952041.6800001</v>
      </c>
      <c r="BB119" s="15">
        <f t="shared" si="208"/>
        <v>-23919608.100000143</v>
      </c>
      <c r="BC119" s="74">
        <f t="shared" si="209"/>
        <v>1.8232075060739428E-2</v>
      </c>
      <c r="BD119" s="16">
        <f>BD118</f>
        <v>-1311952041.6800001</v>
      </c>
      <c r="BE119" s="15">
        <f t="shared" si="210"/>
        <v>-23919608.100000143</v>
      </c>
      <c r="BF119" s="73">
        <f t="shared" si="211"/>
        <v>1.8232075060739459E-2</v>
      </c>
      <c r="BG119" s="19">
        <f>BG118</f>
        <v>0</v>
      </c>
      <c r="BH119" s="18">
        <f>BH118</f>
        <v>0</v>
      </c>
      <c r="BI119" s="15">
        <f t="shared" si="212"/>
        <v>0</v>
      </c>
      <c r="BJ119" s="74" t="str">
        <f t="shared" si="213"/>
        <v>-</v>
      </c>
      <c r="BK119" s="16">
        <f>BK118</f>
        <v>-1335871649.7800002</v>
      </c>
      <c r="BL119" s="18">
        <f>BL118</f>
        <v>-1311952041.6800001</v>
      </c>
      <c r="BM119" s="15">
        <f t="shared" si="214"/>
        <v>-23919608.100000143</v>
      </c>
      <c r="BN119" s="74">
        <f t="shared" si="215"/>
        <v>1.8232075060739428E-2</v>
      </c>
      <c r="BO119" s="16">
        <f>BO118</f>
        <v>-1311952041.6800001</v>
      </c>
      <c r="BP119" s="15">
        <f t="shared" si="216"/>
        <v>-23919608.100000143</v>
      </c>
      <c r="BQ119" s="73">
        <f t="shared" si="217"/>
        <v>1.8232075060739459E-2</v>
      </c>
      <c r="BR119" s="19">
        <f>BR118</f>
        <v>0</v>
      </c>
      <c r="BS119" s="18">
        <f>BS118</f>
        <v>0</v>
      </c>
      <c r="BT119" s="15">
        <f t="shared" si="218"/>
        <v>0</v>
      </c>
      <c r="BU119" s="74" t="str">
        <f t="shared" si="219"/>
        <v>-</v>
      </c>
      <c r="BV119" s="16">
        <f>BV118</f>
        <v>-1335871649.7800002</v>
      </c>
      <c r="BW119" s="18">
        <f>BW118</f>
        <v>-1311952041.6800001</v>
      </c>
      <c r="BX119" s="15">
        <f t="shared" si="220"/>
        <v>-23919608.100000143</v>
      </c>
      <c r="BY119" s="74">
        <f t="shared" si="221"/>
        <v>1.8232075060739428E-2</v>
      </c>
      <c r="BZ119" s="16">
        <f>BZ118</f>
        <v>-1311952041.6800001</v>
      </c>
      <c r="CA119" s="15">
        <f t="shared" si="222"/>
        <v>-23919608.100000143</v>
      </c>
      <c r="CB119" s="73">
        <f t="shared" si="223"/>
        <v>1.8232075060739459E-2</v>
      </c>
      <c r="CC119" s="19">
        <f>CC118</f>
        <v>0</v>
      </c>
      <c r="CD119" s="18">
        <f>CD118</f>
        <v>0</v>
      </c>
      <c r="CE119" s="15">
        <f t="shared" si="224"/>
        <v>0</v>
      </c>
      <c r="CF119" s="74" t="str">
        <f t="shared" si="225"/>
        <v>-</v>
      </c>
      <c r="CG119" s="16">
        <f>CG118</f>
        <v>-1335871649.7800002</v>
      </c>
      <c r="CH119" s="18">
        <f>CH118</f>
        <v>-1311952041.6800001</v>
      </c>
      <c r="CI119" s="15">
        <f t="shared" si="226"/>
        <v>-23919608.100000143</v>
      </c>
      <c r="CJ119" s="74">
        <f t="shared" si="227"/>
        <v>1.8232075060739428E-2</v>
      </c>
      <c r="CK119" s="16">
        <f>CK118</f>
        <v>-1311952041.6800001</v>
      </c>
      <c r="CL119" s="15">
        <f t="shared" si="228"/>
        <v>-23919608.100000143</v>
      </c>
      <c r="CM119" s="73">
        <f t="shared" si="229"/>
        <v>1.8232075060739459E-2</v>
      </c>
      <c r="CN119" s="19">
        <f>CN118</f>
        <v>0</v>
      </c>
      <c r="CO119" s="18">
        <f>CO118</f>
        <v>0</v>
      </c>
      <c r="CP119" s="15">
        <f t="shared" si="230"/>
        <v>0</v>
      </c>
      <c r="CQ119" s="74" t="str">
        <f t="shared" si="231"/>
        <v>-</v>
      </c>
      <c r="CR119" s="16">
        <f>CR118</f>
        <v>-1335871649.7800002</v>
      </c>
      <c r="CS119" s="18">
        <f>CS118</f>
        <v>-1311952041.6800001</v>
      </c>
      <c r="CT119" s="15">
        <f t="shared" si="232"/>
        <v>-23919608.100000143</v>
      </c>
      <c r="CU119" s="74">
        <f t="shared" si="233"/>
        <v>1.8232075060739428E-2</v>
      </c>
      <c r="CV119" s="16">
        <f>CV118</f>
        <v>-1311952041.6800001</v>
      </c>
      <c r="CW119" s="15">
        <f t="shared" si="234"/>
        <v>-23919608.100000143</v>
      </c>
      <c r="CX119" s="73">
        <f t="shared" si="235"/>
        <v>1.8232075060739459E-2</v>
      </c>
      <c r="CY119" s="19">
        <f>CY118</f>
        <v>0</v>
      </c>
      <c r="CZ119" s="18">
        <f>CZ118</f>
        <v>0</v>
      </c>
      <c r="DA119" s="15">
        <f t="shared" si="236"/>
        <v>0</v>
      </c>
      <c r="DB119" s="74" t="str">
        <f t="shared" si="237"/>
        <v>-</v>
      </c>
      <c r="DC119" s="16">
        <f>DC118</f>
        <v>-1335871649.7800002</v>
      </c>
      <c r="DD119" s="18">
        <f>DD118</f>
        <v>-1311952041.6800001</v>
      </c>
      <c r="DE119" s="15">
        <f t="shared" si="238"/>
        <v>-23919608.100000143</v>
      </c>
      <c r="DF119" s="74">
        <f t="shared" si="239"/>
        <v>1.8232075060739428E-2</v>
      </c>
      <c r="DG119" s="16">
        <f>DG118</f>
        <v>-1311952041.6800001</v>
      </c>
      <c r="DH119" s="15">
        <f t="shared" si="240"/>
        <v>-23919608.100000143</v>
      </c>
      <c r="DI119" s="73">
        <f t="shared" si="241"/>
        <v>1.8232075060739459E-2</v>
      </c>
    </row>
    <row r="120" spans="1:113" ht="12.75" hidden="1" customHeight="1" outlineLevel="3" x14ac:dyDescent="0.2">
      <c r="B120" s="38" t="str">
        <f t="shared" si="242"/>
        <v>Резерв годового бонуса</v>
      </c>
      <c r="C120" s="37" t="str">
        <f t="shared" si="242"/>
        <v>Bonus discretionary Accrual</v>
      </c>
      <c r="D120" s="36">
        <v>0</v>
      </c>
      <c r="E120" s="40">
        <v>0</v>
      </c>
      <c r="F120" s="32">
        <f t="shared" si="182"/>
        <v>0</v>
      </c>
      <c r="G120" s="78" t="str">
        <f t="shared" si="183"/>
        <v>-</v>
      </c>
      <c r="H120" s="33">
        <v>0</v>
      </c>
      <c r="I120" s="33">
        <v>0</v>
      </c>
      <c r="J120" s="32">
        <f t="shared" si="184"/>
        <v>0</v>
      </c>
      <c r="K120" s="78" t="str">
        <f t="shared" si="185"/>
        <v>-</v>
      </c>
      <c r="L120" s="33">
        <v>0</v>
      </c>
      <c r="M120" s="32">
        <f t="shared" si="186"/>
        <v>0</v>
      </c>
      <c r="N120" s="77" t="str">
        <f t="shared" si="187"/>
        <v>-</v>
      </c>
      <c r="O120" s="36">
        <v>0</v>
      </c>
      <c r="P120" s="40">
        <v>0</v>
      </c>
      <c r="Q120" s="32">
        <f t="shared" si="188"/>
        <v>0</v>
      </c>
      <c r="R120" s="78" t="str">
        <f t="shared" si="189"/>
        <v>-</v>
      </c>
      <c r="S120" s="33">
        <v>0</v>
      </c>
      <c r="T120" s="33">
        <v>0</v>
      </c>
      <c r="U120" s="32">
        <f t="shared" si="190"/>
        <v>0</v>
      </c>
      <c r="V120" s="78" t="str">
        <f t="shared" si="191"/>
        <v>-</v>
      </c>
      <c r="W120" s="33">
        <v>0</v>
      </c>
      <c r="X120" s="32">
        <f t="shared" si="192"/>
        <v>0</v>
      </c>
      <c r="Y120" s="77" t="str">
        <f t="shared" si="193"/>
        <v>-</v>
      </c>
      <c r="Z120" s="36">
        <v>0</v>
      </c>
      <c r="AA120" s="40">
        <v>0</v>
      </c>
      <c r="AB120" s="32">
        <f t="shared" si="194"/>
        <v>0</v>
      </c>
      <c r="AC120" s="78" t="str">
        <f t="shared" si="195"/>
        <v>-</v>
      </c>
      <c r="AD120" s="33">
        <v>0</v>
      </c>
      <c r="AE120" s="33">
        <v>0</v>
      </c>
      <c r="AF120" s="32">
        <f t="shared" si="196"/>
        <v>0</v>
      </c>
      <c r="AG120" s="78" t="str">
        <f t="shared" si="197"/>
        <v>-</v>
      </c>
      <c r="AH120" s="33">
        <v>0</v>
      </c>
      <c r="AI120" s="32">
        <f t="shared" si="198"/>
        <v>0</v>
      </c>
      <c r="AJ120" s="77" t="str">
        <f t="shared" si="199"/>
        <v>-</v>
      </c>
      <c r="AK120" s="36">
        <v>0</v>
      </c>
      <c r="AL120" s="40">
        <v>0</v>
      </c>
      <c r="AM120" s="32">
        <f t="shared" si="200"/>
        <v>0</v>
      </c>
      <c r="AN120" s="78" t="str">
        <f t="shared" si="201"/>
        <v>-</v>
      </c>
      <c r="AO120" s="33">
        <v>0</v>
      </c>
      <c r="AP120" s="33">
        <v>0</v>
      </c>
      <c r="AQ120" s="32">
        <f t="shared" si="202"/>
        <v>0</v>
      </c>
      <c r="AR120" s="78" t="str">
        <f t="shared" si="203"/>
        <v>-</v>
      </c>
      <c r="AS120" s="33">
        <v>0</v>
      </c>
      <c r="AT120" s="32">
        <f t="shared" si="204"/>
        <v>0</v>
      </c>
      <c r="AU120" s="77" t="str">
        <f t="shared" si="205"/>
        <v>-</v>
      </c>
      <c r="AV120" s="36">
        <v>0</v>
      </c>
      <c r="AW120" s="40">
        <v>0</v>
      </c>
      <c r="AX120" s="32">
        <f t="shared" si="206"/>
        <v>0</v>
      </c>
      <c r="AY120" s="78" t="str">
        <f t="shared" si="207"/>
        <v>-</v>
      </c>
      <c r="AZ120" s="33">
        <v>0</v>
      </c>
      <c r="BA120" s="33">
        <v>0</v>
      </c>
      <c r="BB120" s="32">
        <f t="shared" si="208"/>
        <v>0</v>
      </c>
      <c r="BC120" s="78" t="str">
        <f t="shared" si="209"/>
        <v>-</v>
      </c>
      <c r="BD120" s="33">
        <v>0</v>
      </c>
      <c r="BE120" s="32">
        <f t="shared" si="210"/>
        <v>0</v>
      </c>
      <c r="BF120" s="77" t="str">
        <f t="shared" si="211"/>
        <v>-</v>
      </c>
      <c r="BG120" s="36">
        <v>0</v>
      </c>
      <c r="BH120" s="40">
        <v>0</v>
      </c>
      <c r="BI120" s="32">
        <f t="shared" si="212"/>
        <v>0</v>
      </c>
      <c r="BJ120" s="78" t="str">
        <f t="shared" si="213"/>
        <v>-</v>
      </c>
      <c r="BK120" s="33">
        <v>0</v>
      </c>
      <c r="BL120" s="33">
        <v>0</v>
      </c>
      <c r="BM120" s="32">
        <f t="shared" si="214"/>
        <v>0</v>
      </c>
      <c r="BN120" s="78" t="str">
        <f t="shared" si="215"/>
        <v>-</v>
      </c>
      <c r="BO120" s="33">
        <v>0</v>
      </c>
      <c r="BP120" s="32">
        <f t="shared" si="216"/>
        <v>0</v>
      </c>
      <c r="BQ120" s="77" t="str">
        <f t="shared" si="217"/>
        <v>-</v>
      </c>
      <c r="BR120" s="36">
        <v>0</v>
      </c>
      <c r="BS120" s="40">
        <v>0</v>
      </c>
      <c r="BT120" s="32">
        <f t="shared" si="218"/>
        <v>0</v>
      </c>
      <c r="BU120" s="78" t="str">
        <f t="shared" si="219"/>
        <v>-</v>
      </c>
      <c r="BV120" s="33">
        <v>0</v>
      </c>
      <c r="BW120" s="33">
        <v>0</v>
      </c>
      <c r="BX120" s="32">
        <f t="shared" si="220"/>
        <v>0</v>
      </c>
      <c r="BY120" s="78" t="str">
        <f t="shared" si="221"/>
        <v>-</v>
      </c>
      <c r="BZ120" s="33">
        <v>0</v>
      </c>
      <c r="CA120" s="32">
        <f t="shared" si="222"/>
        <v>0</v>
      </c>
      <c r="CB120" s="77" t="str">
        <f t="shared" si="223"/>
        <v>-</v>
      </c>
      <c r="CC120" s="36">
        <v>0</v>
      </c>
      <c r="CD120" s="40">
        <v>0</v>
      </c>
      <c r="CE120" s="32">
        <f t="shared" si="224"/>
        <v>0</v>
      </c>
      <c r="CF120" s="78" t="str">
        <f t="shared" si="225"/>
        <v>-</v>
      </c>
      <c r="CG120" s="33">
        <v>0</v>
      </c>
      <c r="CH120" s="33">
        <v>0</v>
      </c>
      <c r="CI120" s="32">
        <f t="shared" si="226"/>
        <v>0</v>
      </c>
      <c r="CJ120" s="78" t="str">
        <f t="shared" si="227"/>
        <v>-</v>
      </c>
      <c r="CK120" s="33">
        <v>0</v>
      </c>
      <c r="CL120" s="32">
        <f t="shared" si="228"/>
        <v>0</v>
      </c>
      <c r="CM120" s="77" t="str">
        <f t="shared" si="229"/>
        <v>-</v>
      </c>
      <c r="CN120" s="36">
        <v>0</v>
      </c>
      <c r="CO120" s="40">
        <v>0</v>
      </c>
      <c r="CP120" s="32">
        <f t="shared" si="230"/>
        <v>0</v>
      </c>
      <c r="CQ120" s="78" t="str">
        <f t="shared" si="231"/>
        <v>-</v>
      </c>
      <c r="CR120" s="33">
        <v>0</v>
      </c>
      <c r="CS120" s="33">
        <v>0</v>
      </c>
      <c r="CT120" s="32">
        <f t="shared" si="232"/>
        <v>0</v>
      </c>
      <c r="CU120" s="78" t="str">
        <f t="shared" si="233"/>
        <v>-</v>
      </c>
      <c r="CV120" s="33">
        <v>0</v>
      </c>
      <c r="CW120" s="32">
        <f t="shared" si="234"/>
        <v>0</v>
      </c>
      <c r="CX120" s="77" t="str">
        <f t="shared" si="235"/>
        <v>-</v>
      </c>
      <c r="CY120" s="36">
        <v>0</v>
      </c>
      <c r="CZ120" s="40">
        <v>0</v>
      </c>
      <c r="DA120" s="32">
        <f t="shared" si="236"/>
        <v>0</v>
      </c>
      <c r="DB120" s="78" t="str">
        <f t="shared" si="237"/>
        <v>-</v>
      </c>
      <c r="DC120" s="33">
        <v>0</v>
      </c>
      <c r="DD120" s="33">
        <v>0</v>
      </c>
      <c r="DE120" s="32">
        <f t="shared" si="238"/>
        <v>0</v>
      </c>
      <c r="DF120" s="78" t="str">
        <f t="shared" si="239"/>
        <v>-</v>
      </c>
      <c r="DG120" s="33">
        <v>0</v>
      </c>
      <c r="DH120" s="32">
        <f t="shared" si="240"/>
        <v>0</v>
      </c>
      <c r="DI120" s="77" t="str">
        <f t="shared" si="241"/>
        <v>-</v>
      </c>
    </row>
    <row r="121" spans="1:113" ht="12.75" hidden="1" customHeight="1" outlineLevel="3" x14ac:dyDescent="0.2">
      <c r="B121" s="38" t="str">
        <f t="shared" si="242"/>
        <v>Страховые взносы, резерв годового бонуса</v>
      </c>
      <c r="C121" s="37" t="str">
        <f t="shared" si="242"/>
        <v>Social Security on discretionary Bonus Accrual</v>
      </c>
      <c r="D121" s="41">
        <v>0</v>
      </c>
      <c r="E121" s="40">
        <v>0</v>
      </c>
      <c r="F121" s="32">
        <f t="shared" si="182"/>
        <v>0</v>
      </c>
      <c r="G121" s="78" t="str">
        <f t="shared" si="183"/>
        <v>-</v>
      </c>
      <c r="H121" s="39">
        <v>0</v>
      </c>
      <c r="I121" s="39">
        <v>0</v>
      </c>
      <c r="J121" s="32">
        <f t="shared" si="184"/>
        <v>0</v>
      </c>
      <c r="K121" s="78" t="str">
        <f t="shared" si="185"/>
        <v>-</v>
      </c>
      <c r="L121" s="39">
        <v>0</v>
      </c>
      <c r="M121" s="32">
        <f t="shared" si="186"/>
        <v>0</v>
      </c>
      <c r="N121" s="77" t="str">
        <f t="shared" si="187"/>
        <v>-</v>
      </c>
      <c r="O121" s="41">
        <v>0</v>
      </c>
      <c r="P121" s="40">
        <v>0</v>
      </c>
      <c r="Q121" s="32">
        <f t="shared" si="188"/>
        <v>0</v>
      </c>
      <c r="R121" s="78" t="str">
        <f t="shared" si="189"/>
        <v>-</v>
      </c>
      <c r="S121" s="39">
        <v>0</v>
      </c>
      <c r="T121" s="39">
        <v>0</v>
      </c>
      <c r="U121" s="32">
        <f t="shared" si="190"/>
        <v>0</v>
      </c>
      <c r="V121" s="78" t="str">
        <f t="shared" si="191"/>
        <v>-</v>
      </c>
      <c r="W121" s="39">
        <v>0</v>
      </c>
      <c r="X121" s="32">
        <f t="shared" si="192"/>
        <v>0</v>
      </c>
      <c r="Y121" s="77" t="str">
        <f t="shared" si="193"/>
        <v>-</v>
      </c>
      <c r="Z121" s="41">
        <v>0</v>
      </c>
      <c r="AA121" s="40">
        <v>0</v>
      </c>
      <c r="AB121" s="32">
        <f t="shared" si="194"/>
        <v>0</v>
      </c>
      <c r="AC121" s="78" t="str">
        <f t="shared" si="195"/>
        <v>-</v>
      </c>
      <c r="AD121" s="39">
        <v>0</v>
      </c>
      <c r="AE121" s="39">
        <v>0</v>
      </c>
      <c r="AF121" s="32">
        <f t="shared" si="196"/>
        <v>0</v>
      </c>
      <c r="AG121" s="78" t="str">
        <f t="shared" si="197"/>
        <v>-</v>
      </c>
      <c r="AH121" s="39">
        <v>0</v>
      </c>
      <c r="AI121" s="32">
        <f t="shared" si="198"/>
        <v>0</v>
      </c>
      <c r="AJ121" s="77" t="str">
        <f t="shared" si="199"/>
        <v>-</v>
      </c>
      <c r="AK121" s="41">
        <v>0</v>
      </c>
      <c r="AL121" s="40">
        <v>0</v>
      </c>
      <c r="AM121" s="32">
        <f t="shared" si="200"/>
        <v>0</v>
      </c>
      <c r="AN121" s="78" t="str">
        <f t="shared" si="201"/>
        <v>-</v>
      </c>
      <c r="AO121" s="39">
        <v>0</v>
      </c>
      <c r="AP121" s="39">
        <v>0</v>
      </c>
      <c r="AQ121" s="32">
        <f t="shared" si="202"/>
        <v>0</v>
      </c>
      <c r="AR121" s="78" t="str">
        <f t="shared" si="203"/>
        <v>-</v>
      </c>
      <c r="AS121" s="39">
        <v>0</v>
      </c>
      <c r="AT121" s="32">
        <f t="shared" si="204"/>
        <v>0</v>
      </c>
      <c r="AU121" s="77" t="str">
        <f t="shared" si="205"/>
        <v>-</v>
      </c>
      <c r="AV121" s="41">
        <v>0</v>
      </c>
      <c r="AW121" s="40">
        <v>0</v>
      </c>
      <c r="AX121" s="32">
        <f t="shared" si="206"/>
        <v>0</v>
      </c>
      <c r="AY121" s="78" t="str">
        <f t="shared" si="207"/>
        <v>-</v>
      </c>
      <c r="AZ121" s="39">
        <v>0</v>
      </c>
      <c r="BA121" s="39">
        <v>0</v>
      </c>
      <c r="BB121" s="32">
        <f t="shared" si="208"/>
        <v>0</v>
      </c>
      <c r="BC121" s="78" t="str">
        <f t="shared" si="209"/>
        <v>-</v>
      </c>
      <c r="BD121" s="39">
        <v>0</v>
      </c>
      <c r="BE121" s="32">
        <f t="shared" si="210"/>
        <v>0</v>
      </c>
      <c r="BF121" s="77" t="str">
        <f t="shared" si="211"/>
        <v>-</v>
      </c>
      <c r="BG121" s="41">
        <v>0</v>
      </c>
      <c r="BH121" s="40">
        <v>0</v>
      </c>
      <c r="BI121" s="32">
        <f t="shared" si="212"/>
        <v>0</v>
      </c>
      <c r="BJ121" s="78" t="str">
        <f t="shared" si="213"/>
        <v>-</v>
      </c>
      <c r="BK121" s="39">
        <v>0</v>
      </c>
      <c r="BL121" s="39">
        <v>0</v>
      </c>
      <c r="BM121" s="32">
        <f t="shared" si="214"/>
        <v>0</v>
      </c>
      <c r="BN121" s="78" t="str">
        <f t="shared" si="215"/>
        <v>-</v>
      </c>
      <c r="BO121" s="39">
        <v>0</v>
      </c>
      <c r="BP121" s="32">
        <f t="shared" si="216"/>
        <v>0</v>
      </c>
      <c r="BQ121" s="77" t="str">
        <f t="shared" si="217"/>
        <v>-</v>
      </c>
      <c r="BR121" s="41">
        <v>0</v>
      </c>
      <c r="BS121" s="40">
        <v>0</v>
      </c>
      <c r="BT121" s="32">
        <f t="shared" si="218"/>
        <v>0</v>
      </c>
      <c r="BU121" s="78" t="str">
        <f t="shared" si="219"/>
        <v>-</v>
      </c>
      <c r="BV121" s="39">
        <v>0</v>
      </c>
      <c r="BW121" s="39">
        <v>0</v>
      </c>
      <c r="BX121" s="32">
        <f t="shared" si="220"/>
        <v>0</v>
      </c>
      <c r="BY121" s="78" t="str">
        <f t="shared" si="221"/>
        <v>-</v>
      </c>
      <c r="BZ121" s="39">
        <v>0</v>
      </c>
      <c r="CA121" s="32">
        <f t="shared" si="222"/>
        <v>0</v>
      </c>
      <c r="CB121" s="77" t="str">
        <f t="shared" si="223"/>
        <v>-</v>
      </c>
      <c r="CC121" s="41">
        <v>0</v>
      </c>
      <c r="CD121" s="40">
        <v>0</v>
      </c>
      <c r="CE121" s="32">
        <f t="shared" si="224"/>
        <v>0</v>
      </c>
      <c r="CF121" s="78" t="str">
        <f t="shared" si="225"/>
        <v>-</v>
      </c>
      <c r="CG121" s="39">
        <v>0</v>
      </c>
      <c r="CH121" s="39">
        <v>0</v>
      </c>
      <c r="CI121" s="32">
        <f t="shared" si="226"/>
        <v>0</v>
      </c>
      <c r="CJ121" s="78" t="str">
        <f t="shared" si="227"/>
        <v>-</v>
      </c>
      <c r="CK121" s="39">
        <v>0</v>
      </c>
      <c r="CL121" s="32">
        <f t="shared" si="228"/>
        <v>0</v>
      </c>
      <c r="CM121" s="77" t="str">
        <f t="shared" si="229"/>
        <v>-</v>
      </c>
      <c r="CN121" s="41">
        <v>0</v>
      </c>
      <c r="CO121" s="40">
        <v>0</v>
      </c>
      <c r="CP121" s="32">
        <f t="shared" si="230"/>
        <v>0</v>
      </c>
      <c r="CQ121" s="78" t="str">
        <f t="shared" si="231"/>
        <v>-</v>
      </c>
      <c r="CR121" s="39">
        <v>0</v>
      </c>
      <c r="CS121" s="39">
        <v>0</v>
      </c>
      <c r="CT121" s="32">
        <f t="shared" si="232"/>
        <v>0</v>
      </c>
      <c r="CU121" s="78" t="str">
        <f t="shared" si="233"/>
        <v>-</v>
      </c>
      <c r="CV121" s="39">
        <v>0</v>
      </c>
      <c r="CW121" s="32">
        <f t="shared" si="234"/>
        <v>0</v>
      </c>
      <c r="CX121" s="77" t="str">
        <f t="shared" si="235"/>
        <v>-</v>
      </c>
      <c r="CY121" s="41">
        <v>0</v>
      </c>
      <c r="CZ121" s="40">
        <v>0</v>
      </c>
      <c r="DA121" s="32">
        <f t="shared" si="236"/>
        <v>0</v>
      </c>
      <c r="DB121" s="78" t="str">
        <f t="shared" si="237"/>
        <v>-</v>
      </c>
      <c r="DC121" s="39">
        <v>0</v>
      </c>
      <c r="DD121" s="39">
        <v>0</v>
      </c>
      <c r="DE121" s="32">
        <f t="shared" si="238"/>
        <v>0</v>
      </c>
      <c r="DF121" s="78" t="str">
        <f t="shared" si="239"/>
        <v>-</v>
      </c>
      <c r="DG121" s="39">
        <v>0</v>
      </c>
      <c r="DH121" s="32">
        <f t="shared" si="240"/>
        <v>0</v>
      </c>
      <c r="DI121" s="77" t="str">
        <f t="shared" si="241"/>
        <v>-</v>
      </c>
    </row>
    <row r="122" spans="1:113" s="6" customFormat="1" hidden="1" outlineLevel="2" collapsed="1" x14ac:dyDescent="0.2">
      <c r="A122" s="30"/>
      <c r="B122" s="29" t="str">
        <f t="shared" si="242"/>
        <v>Итого резерв годового бонуса</v>
      </c>
      <c r="C122" s="42" t="str">
        <f t="shared" si="242"/>
        <v>Total Bonus discretionary Accrual</v>
      </c>
      <c r="D122" s="27">
        <f>SUM(D120:D121)</f>
        <v>0</v>
      </c>
      <c r="E122" s="26">
        <f>SUM(E120:E121)</f>
        <v>0</v>
      </c>
      <c r="F122" s="23">
        <f t="shared" si="182"/>
        <v>0</v>
      </c>
      <c r="G122" s="76" t="str">
        <f t="shared" si="183"/>
        <v>-</v>
      </c>
      <c r="H122" s="24">
        <f>SUM(H120:H121)</f>
        <v>0</v>
      </c>
      <c r="I122" s="24">
        <f>SUM(I120:I121)</f>
        <v>0</v>
      </c>
      <c r="J122" s="23">
        <f t="shared" si="184"/>
        <v>0</v>
      </c>
      <c r="K122" s="76" t="str">
        <f t="shared" si="185"/>
        <v>-</v>
      </c>
      <c r="L122" s="24">
        <f>SUM(L120:L121)</f>
        <v>0</v>
      </c>
      <c r="M122" s="23">
        <f t="shared" si="186"/>
        <v>0</v>
      </c>
      <c r="N122" s="75" t="str">
        <f t="shared" si="187"/>
        <v>-</v>
      </c>
      <c r="O122" s="27">
        <f>SUM(O120:O121)</f>
        <v>0</v>
      </c>
      <c r="P122" s="26">
        <f>SUM(P120:P121)</f>
        <v>0</v>
      </c>
      <c r="Q122" s="23">
        <f t="shared" si="188"/>
        <v>0</v>
      </c>
      <c r="R122" s="76" t="str">
        <f t="shared" si="189"/>
        <v>-</v>
      </c>
      <c r="S122" s="24">
        <f>SUM(S120:S121)</f>
        <v>0</v>
      </c>
      <c r="T122" s="24">
        <f>SUM(T120:T121)</f>
        <v>0</v>
      </c>
      <c r="U122" s="23">
        <f t="shared" si="190"/>
        <v>0</v>
      </c>
      <c r="V122" s="76" t="str">
        <f t="shared" si="191"/>
        <v>-</v>
      </c>
      <c r="W122" s="24">
        <f>SUM(W120:W121)</f>
        <v>0</v>
      </c>
      <c r="X122" s="23">
        <f t="shared" si="192"/>
        <v>0</v>
      </c>
      <c r="Y122" s="75" t="str">
        <f t="shared" si="193"/>
        <v>-</v>
      </c>
      <c r="Z122" s="27">
        <f>SUM(Z120:Z121)</f>
        <v>0</v>
      </c>
      <c r="AA122" s="26">
        <f>SUM(AA120:AA121)</f>
        <v>0</v>
      </c>
      <c r="AB122" s="23">
        <f t="shared" si="194"/>
        <v>0</v>
      </c>
      <c r="AC122" s="76" t="str">
        <f t="shared" si="195"/>
        <v>-</v>
      </c>
      <c r="AD122" s="24">
        <f>SUM(AD120:AD121)</f>
        <v>0</v>
      </c>
      <c r="AE122" s="24">
        <f>SUM(AE120:AE121)</f>
        <v>0</v>
      </c>
      <c r="AF122" s="23">
        <f t="shared" si="196"/>
        <v>0</v>
      </c>
      <c r="AG122" s="76" t="str">
        <f t="shared" si="197"/>
        <v>-</v>
      </c>
      <c r="AH122" s="24">
        <f>SUM(AH120:AH121)</f>
        <v>0</v>
      </c>
      <c r="AI122" s="23">
        <f t="shared" si="198"/>
        <v>0</v>
      </c>
      <c r="AJ122" s="75" t="str">
        <f t="shared" si="199"/>
        <v>-</v>
      </c>
      <c r="AK122" s="27">
        <f>SUM(AK120:AK121)</f>
        <v>0</v>
      </c>
      <c r="AL122" s="26">
        <f>SUM(AL120:AL121)</f>
        <v>0</v>
      </c>
      <c r="AM122" s="23">
        <f t="shared" si="200"/>
        <v>0</v>
      </c>
      <c r="AN122" s="76" t="str">
        <f t="shared" si="201"/>
        <v>-</v>
      </c>
      <c r="AO122" s="24">
        <f>SUM(AO120:AO121)</f>
        <v>0</v>
      </c>
      <c r="AP122" s="24">
        <f>SUM(AP120:AP121)</f>
        <v>0</v>
      </c>
      <c r="AQ122" s="23">
        <f t="shared" si="202"/>
        <v>0</v>
      </c>
      <c r="AR122" s="76" t="str">
        <f t="shared" si="203"/>
        <v>-</v>
      </c>
      <c r="AS122" s="24">
        <f>SUM(AS120:AS121)</f>
        <v>0</v>
      </c>
      <c r="AT122" s="23">
        <f t="shared" si="204"/>
        <v>0</v>
      </c>
      <c r="AU122" s="75" t="str">
        <f t="shared" si="205"/>
        <v>-</v>
      </c>
      <c r="AV122" s="27">
        <f>SUM(AV120:AV121)</f>
        <v>0</v>
      </c>
      <c r="AW122" s="26">
        <f>SUM(AW120:AW121)</f>
        <v>0</v>
      </c>
      <c r="AX122" s="23">
        <f t="shared" si="206"/>
        <v>0</v>
      </c>
      <c r="AY122" s="76" t="str">
        <f t="shared" si="207"/>
        <v>-</v>
      </c>
      <c r="AZ122" s="24">
        <f>SUM(AZ120:AZ121)</f>
        <v>0</v>
      </c>
      <c r="BA122" s="24">
        <f>SUM(BA120:BA121)</f>
        <v>0</v>
      </c>
      <c r="BB122" s="23">
        <f t="shared" si="208"/>
        <v>0</v>
      </c>
      <c r="BC122" s="76" t="str">
        <f t="shared" si="209"/>
        <v>-</v>
      </c>
      <c r="BD122" s="24">
        <f>SUM(BD120:BD121)</f>
        <v>0</v>
      </c>
      <c r="BE122" s="23">
        <f t="shared" si="210"/>
        <v>0</v>
      </c>
      <c r="BF122" s="75" t="str">
        <f t="shared" si="211"/>
        <v>-</v>
      </c>
      <c r="BG122" s="27">
        <f>SUM(BG120:BG121)</f>
        <v>0</v>
      </c>
      <c r="BH122" s="26">
        <f>SUM(BH120:BH121)</f>
        <v>0</v>
      </c>
      <c r="BI122" s="23">
        <f t="shared" si="212"/>
        <v>0</v>
      </c>
      <c r="BJ122" s="76" t="str">
        <f t="shared" si="213"/>
        <v>-</v>
      </c>
      <c r="BK122" s="24">
        <f>SUM(BK120:BK121)</f>
        <v>0</v>
      </c>
      <c r="BL122" s="24">
        <f>SUM(BL120:BL121)</f>
        <v>0</v>
      </c>
      <c r="BM122" s="23">
        <f t="shared" si="214"/>
        <v>0</v>
      </c>
      <c r="BN122" s="76" t="str">
        <f t="shared" si="215"/>
        <v>-</v>
      </c>
      <c r="BO122" s="24">
        <f>SUM(BO120:BO121)</f>
        <v>0</v>
      </c>
      <c r="BP122" s="23">
        <f t="shared" si="216"/>
        <v>0</v>
      </c>
      <c r="BQ122" s="75" t="str">
        <f t="shared" si="217"/>
        <v>-</v>
      </c>
      <c r="BR122" s="27">
        <f>SUM(BR120:BR121)</f>
        <v>0</v>
      </c>
      <c r="BS122" s="26">
        <f>SUM(BS120:BS121)</f>
        <v>0</v>
      </c>
      <c r="BT122" s="23">
        <f t="shared" si="218"/>
        <v>0</v>
      </c>
      <c r="BU122" s="76" t="str">
        <f t="shared" si="219"/>
        <v>-</v>
      </c>
      <c r="BV122" s="24">
        <f>SUM(BV120:BV121)</f>
        <v>0</v>
      </c>
      <c r="BW122" s="24">
        <f>SUM(BW120:BW121)</f>
        <v>0</v>
      </c>
      <c r="BX122" s="23">
        <f t="shared" si="220"/>
        <v>0</v>
      </c>
      <c r="BY122" s="76" t="str">
        <f t="shared" si="221"/>
        <v>-</v>
      </c>
      <c r="BZ122" s="24">
        <f>SUM(BZ120:BZ121)</f>
        <v>0</v>
      </c>
      <c r="CA122" s="23">
        <f t="shared" si="222"/>
        <v>0</v>
      </c>
      <c r="CB122" s="75" t="str">
        <f t="shared" si="223"/>
        <v>-</v>
      </c>
      <c r="CC122" s="27">
        <f>SUM(CC120:CC121)</f>
        <v>0</v>
      </c>
      <c r="CD122" s="26">
        <f>SUM(CD120:CD121)</f>
        <v>0</v>
      </c>
      <c r="CE122" s="23">
        <f t="shared" si="224"/>
        <v>0</v>
      </c>
      <c r="CF122" s="76" t="str">
        <f t="shared" si="225"/>
        <v>-</v>
      </c>
      <c r="CG122" s="24">
        <f>SUM(CG120:CG121)</f>
        <v>0</v>
      </c>
      <c r="CH122" s="24">
        <f>SUM(CH120:CH121)</f>
        <v>0</v>
      </c>
      <c r="CI122" s="23">
        <f t="shared" si="226"/>
        <v>0</v>
      </c>
      <c r="CJ122" s="76" t="str">
        <f t="shared" si="227"/>
        <v>-</v>
      </c>
      <c r="CK122" s="24">
        <f>SUM(CK120:CK121)</f>
        <v>0</v>
      </c>
      <c r="CL122" s="23">
        <f t="shared" si="228"/>
        <v>0</v>
      </c>
      <c r="CM122" s="75" t="str">
        <f t="shared" si="229"/>
        <v>-</v>
      </c>
      <c r="CN122" s="27">
        <f>SUM(CN120:CN121)</f>
        <v>0</v>
      </c>
      <c r="CO122" s="26">
        <f>SUM(CO120:CO121)</f>
        <v>0</v>
      </c>
      <c r="CP122" s="23">
        <f t="shared" si="230"/>
        <v>0</v>
      </c>
      <c r="CQ122" s="76" t="str">
        <f t="shared" si="231"/>
        <v>-</v>
      </c>
      <c r="CR122" s="24">
        <f>SUM(CR120:CR121)</f>
        <v>0</v>
      </c>
      <c r="CS122" s="24">
        <f>SUM(CS120:CS121)</f>
        <v>0</v>
      </c>
      <c r="CT122" s="23">
        <f t="shared" si="232"/>
        <v>0</v>
      </c>
      <c r="CU122" s="76" t="str">
        <f t="shared" si="233"/>
        <v>-</v>
      </c>
      <c r="CV122" s="24">
        <f>SUM(CV120:CV121)</f>
        <v>0</v>
      </c>
      <c r="CW122" s="23">
        <f t="shared" si="234"/>
        <v>0</v>
      </c>
      <c r="CX122" s="75" t="str">
        <f t="shared" si="235"/>
        <v>-</v>
      </c>
      <c r="CY122" s="27">
        <f>SUM(CY120:CY121)</f>
        <v>0</v>
      </c>
      <c r="CZ122" s="26">
        <f>SUM(CZ120:CZ121)</f>
        <v>0</v>
      </c>
      <c r="DA122" s="23">
        <f t="shared" si="236"/>
        <v>0</v>
      </c>
      <c r="DB122" s="76" t="str">
        <f t="shared" si="237"/>
        <v>-</v>
      </c>
      <c r="DC122" s="24">
        <f>SUM(DC120:DC121)</f>
        <v>0</v>
      </c>
      <c r="DD122" s="24">
        <f>SUM(DD120:DD121)</f>
        <v>0</v>
      </c>
      <c r="DE122" s="23">
        <f t="shared" si="238"/>
        <v>0</v>
      </c>
      <c r="DF122" s="76" t="str">
        <f t="shared" si="239"/>
        <v>-</v>
      </c>
      <c r="DG122" s="24">
        <f>SUM(DG120:DG121)</f>
        <v>0</v>
      </c>
      <c r="DH122" s="23">
        <f t="shared" si="240"/>
        <v>0</v>
      </c>
      <c r="DI122" s="75" t="str">
        <f t="shared" si="241"/>
        <v>-</v>
      </c>
    </row>
    <row r="123" spans="1:113" ht="12.75" hidden="1" customHeight="1" outlineLevel="3" x14ac:dyDescent="0.2">
      <c r="B123" s="38" t="str">
        <f t="shared" si="242"/>
        <v>Сторно резерва годового бонуса бонуса</v>
      </c>
      <c r="C123" s="37" t="str">
        <f t="shared" si="242"/>
        <v>Reverse Bonus discretionary Accrual</v>
      </c>
      <c r="D123" s="41">
        <v>0</v>
      </c>
      <c r="E123" s="40">
        <v>0</v>
      </c>
      <c r="F123" s="32">
        <f t="shared" si="182"/>
        <v>0</v>
      </c>
      <c r="G123" s="78" t="str">
        <f t="shared" si="183"/>
        <v>-</v>
      </c>
      <c r="H123" s="39">
        <v>0</v>
      </c>
      <c r="I123" s="39">
        <v>0</v>
      </c>
      <c r="J123" s="32">
        <f t="shared" si="184"/>
        <v>0</v>
      </c>
      <c r="K123" s="78" t="str">
        <f t="shared" si="185"/>
        <v>-</v>
      </c>
      <c r="L123" s="39">
        <v>0</v>
      </c>
      <c r="M123" s="32">
        <f t="shared" si="186"/>
        <v>0</v>
      </c>
      <c r="N123" s="77" t="str">
        <f t="shared" si="187"/>
        <v>-</v>
      </c>
      <c r="O123" s="41">
        <v>0</v>
      </c>
      <c r="P123" s="40">
        <v>0</v>
      </c>
      <c r="Q123" s="32">
        <f t="shared" si="188"/>
        <v>0</v>
      </c>
      <c r="R123" s="78" t="str">
        <f t="shared" si="189"/>
        <v>-</v>
      </c>
      <c r="S123" s="39">
        <v>0</v>
      </c>
      <c r="T123" s="39">
        <v>0</v>
      </c>
      <c r="U123" s="32">
        <f t="shared" si="190"/>
        <v>0</v>
      </c>
      <c r="V123" s="78" t="str">
        <f t="shared" si="191"/>
        <v>-</v>
      </c>
      <c r="W123" s="39">
        <v>0</v>
      </c>
      <c r="X123" s="32">
        <f t="shared" si="192"/>
        <v>0</v>
      </c>
      <c r="Y123" s="77" t="str">
        <f t="shared" si="193"/>
        <v>-</v>
      </c>
      <c r="Z123" s="41">
        <v>0</v>
      </c>
      <c r="AA123" s="40">
        <v>0</v>
      </c>
      <c r="AB123" s="32">
        <f t="shared" si="194"/>
        <v>0</v>
      </c>
      <c r="AC123" s="78" t="str">
        <f t="shared" si="195"/>
        <v>-</v>
      </c>
      <c r="AD123" s="39">
        <v>0</v>
      </c>
      <c r="AE123" s="39">
        <v>0</v>
      </c>
      <c r="AF123" s="32">
        <f t="shared" si="196"/>
        <v>0</v>
      </c>
      <c r="AG123" s="78" t="str">
        <f t="shared" si="197"/>
        <v>-</v>
      </c>
      <c r="AH123" s="39">
        <v>0</v>
      </c>
      <c r="AI123" s="32">
        <f t="shared" si="198"/>
        <v>0</v>
      </c>
      <c r="AJ123" s="77" t="str">
        <f t="shared" si="199"/>
        <v>-</v>
      </c>
      <c r="AK123" s="41">
        <v>0</v>
      </c>
      <c r="AL123" s="40">
        <v>0</v>
      </c>
      <c r="AM123" s="32">
        <f t="shared" si="200"/>
        <v>0</v>
      </c>
      <c r="AN123" s="78" t="str">
        <f t="shared" si="201"/>
        <v>-</v>
      </c>
      <c r="AO123" s="39">
        <v>0</v>
      </c>
      <c r="AP123" s="39">
        <v>0</v>
      </c>
      <c r="AQ123" s="32">
        <f t="shared" si="202"/>
        <v>0</v>
      </c>
      <c r="AR123" s="78" t="str">
        <f t="shared" si="203"/>
        <v>-</v>
      </c>
      <c r="AS123" s="39">
        <v>0</v>
      </c>
      <c r="AT123" s="32">
        <f t="shared" si="204"/>
        <v>0</v>
      </c>
      <c r="AU123" s="77" t="str">
        <f t="shared" si="205"/>
        <v>-</v>
      </c>
      <c r="AV123" s="41">
        <v>0</v>
      </c>
      <c r="AW123" s="40">
        <v>0</v>
      </c>
      <c r="AX123" s="32">
        <f t="shared" si="206"/>
        <v>0</v>
      </c>
      <c r="AY123" s="78" t="str">
        <f t="shared" si="207"/>
        <v>-</v>
      </c>
      <c r="AZ123" s="39">
        <v>0</v>
      </c>
      <c r="BA123" s="39">
        <v>0</v>
      </c>
      <c r="BB123" s="32">
        <f t="shared" si="208"/>
        <v>0</v>
      </c>
      <c r="BC123" s="78" t="str">
        <f t="shared" si="209"/>
        <v>-</v>
      </c>
      <c r="BD123" s="39">
        <v>0</v>
      </c>
      <c r="BE123" s="32">
        <f t="shared" si="210"/>
        <v>0</v>
      </c>
      <c r="BF123" s="77" t="str">
        <f t="shared" si="211"/>
        <v>-</v>
      </c>
      <c r="BG123" s="41">
        <v>0</v>
      </c>
      <c r="BH123" s="40">
        <v>0</v>
      </c>
      <c r="BI123" s="32">
        <f t="shared" si="212"/>
        <v>0</v>
      </c>
      <c r="BJ123" s="78" t="str">
        <f t="shared" si="213"/>
        <v>-</v>
      </c>
      <c r="BK123" s="39">
        <v>0</v>
      </c>
      <c r="BL123" s="39">
        <v>0</v>
      </c>
      <c r="BM123" s="32">
        <f t="shared" si="214"/>
        <v>0</v>
      </c>
      <c r="BN123" s="78" t="str">
        <f t="shared" si="215"/>
        <v>-</v>
      </c>
      <c r="BO123" s="39">
        <v>0</v>
      </c>
      <c r="BP123" s="32">
        <f t="shared" si="216"/>
        <v>0</v>
      </c>
      <c r="BQ123" s="77" t="str">
        <f t="shared" si="217"/>
        <v>-</v>
      </c>
      <c r="BR123" s="41">
        <v>0</v>
      </c>
      <c r="BS123" s="40">
        <v>0</v>
      </c>
      <c r="BT123" s="32">
        <f t="shared" si="218"/>
        <v>0</v>
      </c>
      <c r="BU123" s="78" t="str">
        <f t="shared" si="219"/>
        <v>-</v>
      </c>
      <c r="BV123" s="39">
        <v>0</v>
      </c>
      <c r="BW123" s="39">
        <v>0</v>
      </c>
      <c r="BX123" s="32">
        <f t="shared" si="220"/>
        <v>0</v>
      </c>
      <c r="BY123" s="78" t="str">
        <f t="shared" si="221"/>
        <v>-</v>
      </c>
      <c r="BZ123" s="39">
        <v>0</v>
      </c>
      <c r="CA123" s="32">
        <f t="shared" si="222"/>
        <v>0</v>
      </c>
      <c r="CB123" s="77" t="str">
        <f t="shared" si="223"/>
        <v>-</v>
      </c>
      <c r="CC123" s="41">
        <v>0</v>
      </c>
      <c r="CD123" s="40">
        <v>0</v>
      </c>
      <c r="CE123" s="32">
        <f t="shared" si="224"/>
        <v>0</v>
      </c>
      <c r="CF123" s="78" t="str">
        <f t="shared" si="225"/>
        <v>-</v>
      </c>
      <c r="CG123" s="39">
        <v>0</v>
      </c>
      <c r="CH123" s="39">
        <v>0</v>
      </c>
      <c r="CI123" s="32">
        <f t="shared" si="226"/>
        <v>0</v>
      </c>
      <c r="CJ123" s="78" t="str">
        <f t="shared" si="227"/>
        <v>-</v>
      </c>
      <c r="CK123" s="39">
        <v>0</v>
      </c>
      <c r="CL123" s="32">
        <f t="shared" si="228"/>
        <v>0</v>
      </c>
      <c r="CM123" s="77" t="str">
        <f t="shared" si="229"/>
        <v>-</v>
      </c>
      <c r="CN123" s="41">
        <v>0</v>
      </c>
      <c r="CO123" s="40">
        <v>0</v>
      </c>
      <c r="CP123" s="32">
        <f t="shared" si="230"/>
        <v>0</v>
      </c>
      <c r="CQ123" s="78" t="str">
        <f t="shared" si="231"/>
        <v>-</v>
      </c>
      <c r="CR123" s="39">
        <v>0</v>
      </c>
      <c r="CS123" s="39">
        <v>0</v>
      </c>
      <c r="CT123" s="32">
        <f t="shared" si="232"/>
        <v>0</v>
      </c>
      <c r="CU123" s="78" t="str">
        <f t="shared" si="233"/>
        <v>-</v>
      </c>
      <c r="CV123" s="39">
        <v>0</v>
      </c>
      <c r="CW123" s="32">
        <f t="shared" si="234"/>
        <v>0</v>
      </c>
      <c r="CX123" s="77" t="str">
        <f t="shared" si="235"/>
        <v>-</v>
      </c>
      <c r="CY123" s="41">
        <v>0</v>
      </c>
      <c r="CZ123" s="40">
        <v>0</v>
      </c>
      <c r="DA123" s="32">
        <f t="shared" si="236"/>
        <v>0</v>
      </c>
      <c r="DB123" s="78" t="str">
        <f t="shared" si="237"/>
        <v>-</v>
      </c>
      <c r="DC123" s="39">
        <v>0</v>
      </c>
      <c r="DD123" s="39">
        <v>0</v>
      </c>
      <c r="DE123" s="32">
        <f t="shared" si="238"/>
        <v>0</v>
      </c>
      <c r="DF123" s="78" t="str">
        <f t="shared" si="239"/>
        <v>-</v>
      </c>
      <c r="DG123" s="39">
        <v>0</v>
      </c>
      <c r="DH123" s="32">
        <f t="shared" si="240"/>
        <v>0</v>
      </c>
      <c r="DI123" s="77" t="str">
        <f t="shared" si="241"/>
        <v>-</v>
      </c>
    </row>
    <row r="124" spans="1:113" ht="12.75" hidden="1" customHeight="1" outlineLevel="3" x14ac:dyDescent="0.2">
      <c r="B124" s="38" t="str">
        <f t="shared" si="242"/>
        <v>Страховые взносы, сторно резерва годового бонуса</v>
      </c>
      <c r="C124" s="37" t="str">
        <f t="shared" si="242"/>
        <v>Social Security on Bonus discretionary Accrual</v>
      </c>
      <c r="D124" s="41">
        <v>0</v>
      </c>
      <c r="E124" s="40">
        <v>0</v>
      </c>
      <c r="F124" s="32">
        <f t="shared" si="182"/>
        <v>0</v>
      </c>
      <c r="G124" s="78" t="str">
        <f t="shared" si="183"/>
        <v>-</v>
      </c>
      <c r="H124" s="39">
        <v>0</v>
      </c>
      <c r="I124" s="39">
        <v>0</v>
      </c>
      <c r="J124" s="32">
        <f t="shared" si="184"/>
        <v>0</v>
      </c>
      <c r="K124" s="78" t="str">
        <f t="shared" si="185"/>
        <v>-</v>
      </c>
      <c r="L124" s="39">
        <v>0</v>
      </c>
      <c r="M124" s="32">
        <f t="shared" si="186"/>
        <v>0</v>
      </c>
      <c r="N124" s="77" t="str">
        <f t="shared" si="187"/>
        <v>-</v>
      </c>
      <c r="O124" s="41">
        <v>0</v>
      </c>
      <c r="P124" s="40">
        <v>0</v>
      </c>
      <c r="Q124" s="32">
        <f t="shared" si="188"/>
        <v>0</v>
      </c>
      <c r="R124" s="78" t="str">
        <f t="shared" si="189"/>
        <v>-</v>
      </c>
      <c r="S124" s="39">
        <v>0</v>
      </c>
      <c r="T124" s="39">
        <v>0</v>
      </c>
      <c r="U124" s="32">
        <f t="shared" si="190"/>
        <v>0</v>
      </c>
      <c r="V124" s="78" t="str">
        <f t="shared" si="191"/>
        <v>-</v>
      </c>
      <c r="W124" s="39">
        <v>0</v>
      </c>
      <c r="X124" s="32">
        <f t="shared" si="192"/>
        <v>0</v>
      </c>
      <c r="Y124" s="77" t="str">
        <f t="shared" si="193"/>
        <v>-</v>
      </c>
      <c r="Z124" s="41">
        <v>0</v>
      </c>
      <c r="AA124" s="40">
        <v>0</v>
      </c>
      <c r="AB124" s="32">
        <f t="shared" si="194"/>
        <v>0</v>
      </c>
      <c r="AC124" s="78" t="str">
        <f t="shared" si="195"/>
        <v>-</v>
      </c>
      <c r="AD124" s="39">
        <v>0</v>
      </c>
      <c r="AE124" s="39">
        <v>0</v>
      </c>
      <c r="AF124" s="32">
        <f t="shared" si="196"/>
        <v>0</v>
      </c>
      <c r="AG124" s="78" t="str">
        <f t="shared" si="197"/>
        <v>-</v>
      </c>
      <c r="AH124" s="39">
        <v>0</v>
      </c>
      <c r="AI124" s="32">
        <f t="shared" si="198"/>
        <v>0</v>
      </c>
      <c r="AJ124" s="77" t="str">
        <f t="shared" si="199"/>
        <v>-</v>
      </c>
      <c r="AK124" s="41">
        <v>0</v>
      </c>
      <c r="AL124" s="40">
        <v>0</v>
      </c>
      <c r="AM124" s="32">
        <f t="shared" si="200"/>
        <v>0</v>
      </c>
      <c r="AN124" s="78" t="str">
        <f t="shared" si="201"/>
        <v>-</v>
      </c>
      <c r="AO124" s="39">
        <v>0</v>
      </c>
      <c r="AP124" s="39">
        <v>0</v>
      </c>
      <c r="AQ124" s="32">
        <f t="shared" si="202"/>
        <v>0</v>
      </c>
      <c r="AR124" s="78" t="str">
        <f t="shared" si="203"/>
        <v>-</v>
      </c>
      <c r="AS124" s="39">
        <v>0</v>
      </c>
      <c r="AT124" s="32">
        <f t="shared" si="204"/>
        <v>0</v>
      </c>
      <c r="AU124" s="77" t="str">
        <f t="shared" si="205"/>
        <v>-</v>
      </c>
      <c r="AV124" s="41">
        <v>0</v>
      </c>
      <c r="AW124" s="40">
        <v>0</v>
      </c>
      <c r="AX124" s="32">
        <f t="shared" si="206"/>
        <v>0</v>
      </c>
      <c r="AY124" s="78" t="str">
        <f t="shared" si="207"/>
        <v>-</v>
      </c>
      <c r="AZ124" s="39">
        <v>0</v>
      </c>
      <c r="BA124" s="39">
        <v>0</v>
      </c>
      <c r="BB124" s="32">
        <f t="shared" si="208"/>
        <v>0</v>
      </c>
      <c r="BC124" s="78" t="str">
        <f t="shared" si="209"/>
        <v>-</v>
      </c>
      <c r="BD124" s="39">
        <v>0</v>
      </c>
      <c r="BE124" s="32">
        <f t="shared" si="210"/>
        <v>0</v>
      </c>
      <c r="BF124" s="77" t="str">
        <f t="shared" si="211"/>
        <v>-</v>
      </c>
      <c r="BG124" s="41">
        <v>0</v>
      </c>
      <c r="BH124" s="40">
        <v>0</v>
      </c>
      <c r="BI124" s="32">
        <f t="shared" si="212"/>
        <v>0</v>
      </c>
      <c r="BJ124" s="78" t="str">
        <f t="shared" si="213"/>
        <v>-</v>
      </c>
      <c r="BK124" s="39">
        <v>0</v>
      </c>
      <c r="BL124" s="39">
        <v>0</v>
      </c>
      <c r="BM124" s="32">
        <f t="shared" si="214"/>
        <v>0</v>
      </c>
      <c r="BN124" s="78" t="str">
        <f t="shared" si="215"/>
        <v>-</v>
      </c>
      <c r="BO124" s="39">
        <v>0</v>
      </c>
      <c r="BP124" s="32">
        <f t="shared" si="216"/>
        <v>0</v>
      </c>
      <c r="BQ124" s="77" t="str">
        <f t="shared" si="217"/>
        <v>-</v>
      </c>
      <c r="BR124" s="41">
        <v>0</v>
      </c>
      <c r="BS124" s="40">
        <v>0</v>
      </c>
      <c r="BT124" s="32">
        <f t="shared" si="218"/>
        <v>0</v>
      </c>
      <c r="BU124" s="78" t="str">
        <f t="shared" si="219"/>
        <v>-</v>
      </c>
      <c r="BV124" s="39">
        <v>0</v>
      </c>
      <c r="BW124" s="39">
        <v>0</v>
      </c>
      <c r="BX124" s="32">
        <f t="shared" si="220"/>
        <v>0</v>
      </c>
      <c r="BY124" s="78" t="str">
        <f t="shared" si="221"/>
        <v>-</v>
      </c>
      <c r="BZ124" s="39">
        <v>0</v>
      </c>
      <c r="CA124" s="32">
        <f t="shared" si="222"/>
        <v>0</v>
      </c>
      <c r="CB124" s="77" t="str">
        <f t="shared" si="223"/>
        <v>-</v>
      </c>
      <c r="CC124" s="41">
        <v>0</v>
      </c>
      <c r="CD124" s="40">
        <v>0</v>
      </c>
      <c r="CE124" s="32">
        <f t="shared" si="224"/>
        <v>0</v>
      </c>
      <c r="CF124" s="78" t="str">
        <f t="shared" si="225"/>
        <v>-</v>
      </c>
      <c r="CG124" s="39">
        <v>0</v>
      </c>
      <c r="CH124" s="39">
        <v>0</v>
      </c>
      <c r="CI124" s="32">
        <f t="shared" si="226"/>
        <v>0</v>
      </c>
      <c r="CJ124" s="78" t="str">
        <f t="shared" si="227"/>
        <v>-</v>
      </c>
      <c r="CK124" s="39">
        <v>0</v>
      </c>
      <c r="CL124" s="32">
        <f t="shared" si="228"/>
        <v>0</v>
      </c>
      <c r="CM124" s="77" t="str">
        <f t="shared" si="229"/>
        <v>-</v>
      </c>
      <c r="CN124" s="41">
        <v>0</v>
      </c>
      <c r="CO124" s="40">
        <v>0</v>
      </c>
      <c r="CP124" s="32">
        <f t="shared" si="230"/>
        <v>0</v>
      </c>
      <c r="CQ124" s="78" t="str">
        <f t="shared" si="231"/>
        <v>-</v>
      </c>
      <c r="CR124" s="39">
        <v>0</v>
      </c>
      <c r="CS124" s="39">
        <v>0</v>
      </c>
      <c r="CT124" s="32">
        <f t="shared" si="232"/>
        <v>0</v>
      </c>
      <c r="CU124" s="78" t="str">
        <f t="shared" si="233"/>
        <v>-</v>
      </c>
      <c r="CV124" s="39">
        <v>0</v>
      </c>
      <c r="CW124" s="32">
        <f t="shared" si="234"/>
        <v>0</v>
      </c>
      <c r="CX124" s="77" t="str">
        <f t="shared" si="235"/>
        <v>-</v>
      </c>
      <c r="CY124" s="41">
        <v>0</v>
      </c>
      <c r="CZ124" s="40">
        <v>0</v>
      </c>
      <c r="DA124" s="32">
        <f t="shared" si="236"/>
        <v>0</v>
      </c>
      <c r="DB124" s="78" t="str">
        <f t="shared" si="237"/>
        <v>-</v>
      </c>
      <c r="DC124" s="39">
        <v>0</v>
      </c>
      <c r="DD124" s="39">
        <v>0</v>
      </c>
      <c r="DE124" s="32">
        <f t="shared" si="238"/>
        <v>0</v>
      </c>
      <c r="DF124" s="78" t="str">
        <f t="shared" si="239"/>
        <v>-</v>
      </c>
      <c r="DG124" s="39">
        <v>0</v>
      </c>
      <c r="DH124" s="32">
        <f t="shared" si="240"/>
        <v>0</v>
      </c>
      <c r="DI124" s="77" t="str">
        <f t="shared" si="241"/>
        <v>-</v>
      </c>
    </row>
    <row r="125" spans="1:113" s="6" customFormat="1" hidden="1" outlineLevel="2" collapsed="1" x14ac:dyDescent="0.2">
      <c r="A125" s="30"/>
      <c r="B125" s="29" t="str">
        <f t="shared" si="242"/>
        <v>Итого сторно резерва годового бонуса</v>
      </c>
      <c r="C125" s="42" t="str">
        <f t="shared" si="242"/>
        <v>Total  Reverse Bonus discretionary Accrual</v>
      </c>
      <c r="D125" s="27">
        <f>SUM(D123:D124)</f>
        <v>0</v>
      </c>
      <c r="E125" s="26">
        <f>SUM(E123:E124)</f>
        <v>0</v>
      </c>
      <c r="F125" s="23">
        <f t="shared" si="182"/>
        <v>0</v>
      </c>
      <c r="G125" s="76" t="str">
        <f t="shared" si="183"/>
        <v>-</v>
      </c>
      <c r="H125" s="24">
        <f>SUM(H123:H124)</f>
        <v>0</v>
      </c>
      <c r="I125" s="24">
        <f>SUM(I123:I124)</f>
        <v>0</v>
      </c>
      <c r="J125" s="23">
        <f t="shared" si="184"/>
        <v>0</v>
      </c>
      <c r="K125" s="76" t="str">
        <f t="shared" si="185"/>
        <v>-</v>
      </c>
      <c r="L125" s="24">
        <f>SUM(L123:L124)</f>
        <v>0</v>
      </c>
      <c r="M125" s="23">
        <f t="shared" si="186"/>
        <v>0</v>
      </c>
      <c r="N125" s="75" t="str">
        <f t="shared" si="187"/>
        <v>-</v>
      </c>
      <c r="O125" s="27">
        <f>SUM(O123:O124)</f>
        <v>0</v>
      </c>
      <c r="P125" s="26">
        <f>SUM(P123:P124)</f>
        <v>0</v>
      </c>
      <c r="Q125" s="23">
        <f t="shared" si="188"/>
        <v>0</v>
      </c>
      <c r="R125" s="76" t="str">
        <f t="shared" si="189"/>
        <v>-</v>
      </c>
      <c r="S125" s="24">
        <f>SUM(S123:S124)</f>
        <v>0</v>
      </c>
      <c r="T125" s="24">
        <f>SUM(T123:T124)</f>
        <v>0</v>
      </c>
      <c r="U125" s="23">
        <f t="shared" si="190"/>
        <v>0</v>
      </c>
      <c r="V125" s="76" t="str">
        <f t="shared" si="191"/>
        <v>-</v>
      </c>
      <c r="W125" s="24">
        <f>SUM(W123:W124)</f>
        <v>0</v>
      </c>
      <c r="X125" s="23">
        <f t="shared" si="192"/>
        <v>0</v>
      </c>
      <c r="Y125" s="75" t="str">
        <f t="shared" si="193"/>
        <v>-</v>
      </c>
      <c r="Z125" s="27">
        <f>SUM(Z123:Z124)</f>
        <v>0</v>
      </c>
      <c r="AA125" s="26">
        <f>SUM(AA123:AA124)</f>
        <v>0</v>
      </c>
      <c r="AB125" s="23">
        <f t="shared" si="194"/>
        <v>0</v>
      </c>
      <c r="AC125" s="76" t="str">
        <f t="shared" si="195"/>
        <v>-</v>
      </c>
      <c r="AD125" s="24">
        <f>SUM(AD123:AD124)</f>
        <v>0</v>
      </c>
      <c r="AE125" s="24">
        <f>SUM(AE123:AE124)</f>
        <v>0</v>
      </c>
      <c r="AF125" s="23">
        <f t="shared" si="196"/>
        <v>0</v>
      </c>
      <c r="AG125" s="76" t="str">
        <f t="shared" si="197"/>
        <v>-</v>
      </c>
      <c r="AH125" s="24">
        <f>SUM(AH123:AH124)</f>
        <v>0</v>
      </c>
      <c r="AI125" s="23">
        <f t="shared" si="198"/>
        <v>0</v>
      </c>
      <c r="AJ125" s="75" t="str">
        <f t="shared" si="199"/>
        <v>-</v>
      </c>
      <c r="AK125" s="27">
        <f>SUM(AK123:AK124)</f>
        <v>0</v>
      </c>
      <c r="AL125" s="26">
        <f>SUM(AL123:AL124)</f>
        <v>0</v>
      </c>
      <c r="AM125" s="23">
        <f t="shared" si="200"/>
        <v>0</v>
      </c>
      <c r="AN125" s="76" t="str">
        <f t="shared" si="201"/>
        <v>-</v>
      </c>
      <c r="AO125" s="24">
        <f>SUM(AO123:AO124)</f>
        <v>0</v>
      </c>
      <c r="AP125" s="24">
        <f>SUM(AP123:AP124)</f>
        <v>0</v>
      </c>
      <c r="AQ125" s="23">
        <f t="shared" si="202"/>
        <v>0</v>
      </c>
      <c r="AR125" s="76" t="str">
        <f t="shared" si="203"/>
        <v>-</v>
      </c>
      <c r="AS125" s="24">
        <f>SUM(AS123:AS124)</f>
        <v>0</v>
      </c>
      <c r="AT125" s="23">
        <f t="shared" si="204"/>
        <v>0</v>
      </c>
      <c r="AU125" s="75" t="str">
        <f t="shared" si="205"/>
        <v>-</v>
      </c>
      <c r="AV125" s="27">
        <f>SUM(AV123:AV124)</f>
        <v>0</v>
      </c>
      <c r="AW125" s="26">
        <f>SUM(AW123:AW124)</f>
        <v>0</v>
      </c>
      <c r="AX125" s="23">
        <f t="shared" si="206"/>
        <v>0</v>
      </c>
      <c r="AY125" s="76" t="str">
        <f t="shared" si="207"/>
        <v>-</v>
      </c>
      <c r="AZ125" s="24">
        <f>SUM(AZ123:AZ124)</f>
        <v>0</v>
      </c>
      <c r="BA125" s="24">
        <f>SUM(BA123:BA124)</f>
        <v>0</v>
      </c>
      <c r="BB125" s="23">
        <f t="shared" si="208"/>
        <v>0</v>
      </c>
      <c r="BC125" s="76" t="str">
        <f t="shared" si="209"/>
        <v>-</v>
      </c>
      <c r="BD125" s="24">
        <f>SUM(BD123:BD124)</f>
        <v>0</v>
      </c>
      <c r="BE125" s="23">
        <f t="shared" si="210"/>
        <v>0</v>
      </c>
      <c r="BF125" s="75" t="str">
        <f t="shared" si="211"/>
        <v>-</v>
      </c>
      <c r="BG125" s="27">
        <f>SUM(BG123:BG124)</f>
        <v>0</v>
      </c>
      <c r="BH125" s="26">
        <f>SUM(BH123:BH124)</f>
        <v>0</v>
      </c>
      <c r="BI125" s="23">
        <f t="shared" si="212"/>
        <v>0</v>
      </c>
      <c r="BJ125" s="76" t="str">
        <f t="shared" si="213"/>
        <v>-</v>
      </c>
      <c r="BK125" s="24">
        <f>SUM(BK123:BK124)</f>
        <v>0</v>
      </c>
      <c r="BL125" s="24">
        <f>SUM(BL123:BL124)</f>
        <v>0</v>
      </c>
      <c r="BM125" s="23">
        <f t="shared" si="214"/>
        <v>0</v>
      </c>
      <c r="BN125" s="76" t="str">
        <f t="shared" si="215"/>
        <v>-</v>
      </c>
      <c r="BO125" s="24">
        <f>SUM(BO123:BO124)</f>
        <v>0</v>
      </c>
      <c r="BP125" s="23">
        <f t="shared" si="216"/>
        <v>0</v>
      </c>
      <c r="BQ125" s="75" t="str">
        <f t="shared" si="217"/>
        <v>-</v>
      </c>
      <c r="BR125" s="27">
        <f>SUM(BR123:BR124)</f>
        <v>0</v>
      </c>
      <c r="BS125" s="26">
        <f>SUM(BS123:BS124)</f>
        <v>0</v>
      </c>
      <c r="BT125" s="23">
        <f t="shared" si="218"/>
        <v>0</v>
      </c>
      <c r="BU125" s="76" t="str">
        <f t="shared" si="219"/>
        <v>-</v>
      </c>
      <c r="BV125" s="24">
        <f>SUM(BV123:BV124)</f>
        <v>0</v>
      </c>
      <c r="BW125" s="24">
        <f>SUM(BW123:BW124)</f>
        <v>0</v>
      </c>
      <c r="BX125" s="23">
        <f t="shared" si="220"/>
        <v>0</v>
      </c>
      <c r="BY125" s="76" t="str">
        <f t="shared" si="221"/>
        <v>-</v>
      </c>
      <c r="BZ125" s="24">
        <f>SUM(BZ123:BZ124)</f>
        <v>0</v>
      </c>
      <c r="CA125" s="23">
        <f t="shared" si="222"/>
        <v>0</v>
      </c>
      <c r="CB125" s="75" t="str">
        <f t="shared" si="223"/>
        <v>-</v>
      </c>
      <c r="CC125" s="27">
        <f>SUM(CC123:CC124)</f>
        <v>0</v>
      </c>
      <c r="CD125" s="26">
        <f>SUM(CD123:CD124)</f>
        <v>0</v>
      </c>
      <c r="CE125" s="23">
        <f t="shared" si="224"/>
        <v>0</v>
      </c>
      <c r="CF125" s="76" t="str">
        <f t="shared" si="225"/>
        <v>-</v>
      </c>
      <c r="CG125" s="24">
        <f>SUM(CG123:CG124)</f>
        <v>0</v>
      </c>
      <c r="CH125" s="24">
        <f>SUM(CH123:CH124)</f>
        <v>0</v>
      </c>
      <c r="CI125" s="23">
        <f t="shared" si="226"/>
        <v>0</v>
      </c>
      <c r="CJ125" s="76" t="str">
        <f t="shared" si="227"/>
        <v>-</v>
      </c>
      <c r="CK125" s="24">
        <f>SUM(CK123:CK124)</f>
        <v>0</v>
      </c>
      <c r="CL125" s="23">
        <f t="shared" si="228"/>
        <v>0</v>
      </c>
      <c r="CM125" s="75" t="str">
        <f t="shared" si="229"/>
        <v>-</v>
      </c>
      <c r="CN125" s="27">
        <f>SUM(CN123:CN124)</f>
        <v>0</v>
      </c>
      <c r="CO125" s="26">
        <f>SUM(CO123:CO124)</f>
        <v>0</v>
      </c>
      <c r="CP125" s="23">
        <f t="shared" si="230"/>
        <v>0</v>
      </c>
      <c r="CQ125" s="76" t="str">
        <f t="shared" si="231"/>
        <v>-</v>
      </c>
      <c r="CR125" s="24">
        <f>SUM(CR123:CR124)</f>
        <v>0</v>
      </c>
      <c r="CS125" s="24">
        <f>SUM(CS123:CS124)</f>
        <v>0</v>
      </c>
      <c r="CT125" s="23">
        <f t="shared" si="232"/>
        <v>0</v>
      </c>
      <c r="CU125" s="76" t="str">
        <f t="shared" si="233"/>
        <v>-</v>
      </c>
      <c r="CV125" s="24">
        <f>SUM(CV123:CV124)</f>
        <v>0</v>
      </c>
      <c r="CW125" s="23">
        <f t="shared" si="234"/>
        <v>0</v>
      </c>
      <c r="CX125" s="75" t="str">
        <f t="shared" si="235"/>
        <v>-</v>
      </c>
      <c r="CY125" s="27">
        <f>SUM(CY123:CY124)</f>
        <v>0</v>
      </c>
      <c r="CZ125" s="26">
        <f>SUM(CZ123:CZ124)</f>
        <v>0</v>
      </c>
      <c r="DA125" s="23">
        <f t="shared" si="236"/>
        <v>0</v>
      </c>
      <c r="DB125" s="76" t="str">
        <f t="shared" si="237"/>
        <v>-</v>
      </c>
      <c r="DC125" s="24">
        <f>SUM(DC123:DC124)</f>
        <v>0</v>
      </c>
      <c r="DD125" s="24">
        <f>SUM(DD123:DD124)</f>
        <v>0</v>
      </c>
      <c r="DE125" s="23">
        <f t="shared" si="238"/>
        <v>0</v>
      </c>
      <c r="DF125" s="76" t="str">
        <f t="shared" si="239"/>
        <v>-</v>
      </c>
      <c r="DG125" s="24">
        <f>SUM(DG123:DG124)</f>
        <v>0</v>
      </c>
      <c r="DH125" s="23">
        <f t="shared" si="240"/>
        <v>0</v>
      </c>
      <c r="DI125" s="75" t="str">
        <f t="shared" si="241"/>
        <v>-</v>
      </c>
    </row>
    <row r="126" spans="1:113" ht="12.75" hidden="1" customHeight="1" outlineLevel="3" x14ac:dyDescent="0.2">
      <c r="B126" s="38" t="str">
        <f t="shared" si="242"/>
        <v>Годовой бонус</v>
      </c>
      <c r="C126" s="37" t="str">
        <f t="shared" si="242"/>
        <v>Bonus discretionary cash</v>
      </c>
      <c r="D126" s="41">
        <v>-603093921</v>
      </c>
      <c r="E126" s="40">
        <f>3528170167.46521*1/12</f>
        <v>294014180.62210083</v>
      </c>
      <c r="F126" s="32">
        <f t="shared" si="182"/>
        <v>-897108101.62210083</v>
      </c>
      <c r="G126" s="78">
        <f t="shared" si="183"/>
        <v>-3.0512409290052656</v>
      </c>
      <c r="H126" s="39">
        <v>1866384464.9200001</v>
      </c>
      <c r="I126" s="39">
        <v>1764085083.7326</v>
      </c>
      <c r="J126" s="32">
        <f t="shared" si="184"/>
        <v>102299381.1874001</v>
      </c>
      <c r="K126" s="78">
        <f t="shared" si="185"/>
        <v>5.7990049420375112E-2</v>
      </c>
      <c r="L126" s="39">
        <v>3528170167.46521</v>
      </c>
      <c r="M126" s="32">
        <f t="shared" si="186"/>
        <v>-1661785702.5452099</v>
      </c>
      <c r="N126" s="77">
        <f t="shared" si="187"/>
        <v>-0.47100497528981394</v>
      </c>
      <c r="O126" s="41">
        <v>-603093921</v>
      </c>
      <c r="P126" s="40">
        <f>3528170167.46521*1/12</f>
        <v>294014180.62210083</v>
      </c>
      <c r="Q126" s="32">
        <f t="shared" si="188"/>
        <v>-897108101.62210083</v>
      </c>
      <c r="R126" s="78">
        <f t="shared" si="189"/>
        <v>-3.0512409290052656</v>
      </c>
      <c r="S126" s="39">
        <v>1866384464.9200001</v>
      </c>
      <c r="T126" s="39">
        <v>1764085083.7326</v>
      </c>
      <c r="U126" s="32">
        <f t="shared" si="190"/>
        <v>102299381.1874001</v>
      </c>
      <c r="V126" s="78">
        <f t="shared" si="191"/>
        <v>5.7990049420375112E-2</v>
      </c>
      <c r="W126" s="39">
        <v>3528170167.46521</v>
      </c>
      <c r="X126" s="32">
        <f t="shared" si="192"/>
        <v>-1661785702.5452099</v>
      </c>
      <c r="Y126" s="77">
        <f t="shared" si="193"/>
        <v>-0.47100497528981394</v>
      </c>
      <c r="Z126" s="41">
        <v>-603093921</v>
      </c>
      <c r="AA126" s="40">
        <f>3528170167.46521*1/12</f>
        <v>294014180.62210083</v>
      </c>
      <c r="AB126" s="32">
        <f t="shared" si="194"/>
        <v>-897108101.62210083</v>
      </c>
      <c r="AC126" s="78">
        <f t="shared" si="195"/>
        <v>-3.0512409290052656</v>
      </c>
      <c r="AD126" s="39">
        <v>1866384464.9200001</v>
      </c>
      <c r="AE126" s="39">
        <v>1764085083.7326</v>
      </c>
      <c r="AF126" s="32">
        <f t="shared" si="196"/>
        <v>102299381.1874001</v>
      </c>
      <c r="AG126" s="78">
        <f t="shared" si="197"/>
        <v>5.7990049420375112E-2</v>
      </c>
      <c r="AH126" s="39">
        <v>3528170167.46521</v>
      </c>
      <c r="AI126" s="32">
        <f t="shared" si="198"/>
        <v>-1661785702.5452099</v>
      </c>
      <c r="AJ126" s="77">
        <f t="shared" si="199"/>
        <v>-0.47100497528981394</v>
      </c>
      <c r="AK126" s="41">
        <v>-603093921</v>
      </c>
      <c r="AL126" s="40">
        <f>3528170167.46521*1/12</f>
        <v>294014180.62210083</v>
      </c>
      <c r="AM126" s="32">
        <f t="shared" si="200"/>
        <v>-897108101.62210083</v>
      </c>
      <c r="AN126" s="78">
        <f t="shared" si="201"/>
        <v>-3.0512409290052656</v>
      </c>
      <c r="AO126" s="39">
        <v>1866384464.9200001</v>
      </c>
      <c r="AP126" s="39">
        <v>1764085083.7326</v>
      </c>
      <c r="AQ126" s="32">
        <f t="shared" si="202"/>
        <v>102299381.1874001</v>
      </c>
      <c r="AR126" s="78">
        <f t="shared" si="203"/>
        <v>5.7990049420375112E-2</v>
      </c>
      <c r="AS126" s="39">
        <v>3528170167.46521</v>
      </c>
      <c r="AT126" s="32">
        <f t="shared" si="204"/>
        <v>-1661785702.5452099</v>
      </c>
      <c r="AU126" s="77">
        <f t="shared" si="205"/>
        <v>-0.47100497528981394</v>
      </c>
      <c r="AV126" s="41">
        <v>-603093921</v>
      </c>
      <c r="AW126" s="40">
        <f>3528170167.46521*1/12</f>
        <v>294014180.62210083</v>
      </c>
      <c r="AX126" s="32">
        <f t="shared" si="206"/>
        <v>-897108101.62210083</v>
      </c>
      <c r="AY126" s="78">
        <f t="shared" si="207"/>
        <v>-3.0512409290052656</v>
      </c>
      <c r="AZ126" s="39">
        <v>1866384464.9200001</v>
      </c>
      <c r="BA126" s="39">
        <v>1764085083.7326</v>
      </c>
      <c r="BB126" s="32">
        <f t="shared" si="208"/>
        <v>102299381.1874001</v>
      </c>
      <c r="BC126" s="78">
        <f t="shared" si="209"/>
        <v>5.7990049420375112E-2</v>
      </c>
      <c r="BD126" s="39">
        <v>3528170167.46521</v>
      </c>
      <c r="BE126" s="32">
        <f t="shared" si="210"/>
        <v>-1661785702.5452099</v>
      </c>
      <c r="BF126" s="77">
        <f t="shared" si="211"/>
        <v>-0.47100497528981394</v>
      </c>
      <c r="BG126" s="41">
        <v>-603093921</v>
      </c>
      <c r="BH126" s="40">
        <f>3528170167.46521*1/12</f>
        <v>294014180.62210083</v>
      </c>
      <c r="BI126" s="32">
        <f t="shared" si="212"/>
        <v>-897108101.62210083</v>
      </c>
      <c r="BJ126" s="78">
        <f t="shared" si="213"/>
        <v>-3.0512409290052656</v>
      </c>
      <c r="BK126" s="39">
        <v>1866384464.9200001</v>
      </c>
      <c r="BL126" s="39">
        <v>1764085083.7326</v>
      </c>
      <c r="BM126" s="32">
        <f t="shared" si="214"/>
        <v>102299381.1874001</v>
      </c>
      <c r="BN126" s="78">
        <f t="shared" si="215"/>
        <v>5.7990049420375112E-2</v>
      </c>
      <c r="BO126" s="39">
        <v>3528170167.46521</v>
      </c>
      <c r="BP126" s="32">
        <f t="shared" si="216"/>
        <v>-1661785702.5452099</v>
      </c>
      <c r="BQ126" s="77">
        <f t="shared" si="217"/>
        <v>-0.47100497528981394</v>
      </c>
      <c r="BR126" s="41">
        <v>-603093921</v>
      </c>
      <c r="BS126" s="40">
        <f>3528170167.46521*1/12</f>
        <v>294014180.62210083</v>
      </c>
      <c r="BT126" s="32">
        <f t="shared" si="218"/>
        <v>-897108101.62210083</v>
      </c>
      <c r="BU126" s="78">
        <f t="shared" si="219"/>
        <v>-3.0512409290052656</v>
      </c>
      <c r="BV126" s="39">
        <v>1866384464.9200001</v>
      </c>
      <c r="BW126" s="39">
        <v>1764085083.7326</v>
      </c>
      <c r="BX126" s="32">
        <f t="shared" si="220"/>
        <v>102299381.1874001</v>
      </c>
      <c r="BY126" s="78">
        <f t="shared" si="221"/>
        <v>5.7990049420375112E-2</v>
      </c>
      <c r="BZ126" s="39">
        <v>3528170167.46521</v>
      </c>
      <c r="CA126" s="32">
        <f t="shared" si="222"/>
        <v>-1661785702.5452099</v>
      </c>
      <c r="CB126" s="77">
        <f t="shared" si="223"/>
        <v>-0.47100497528981394</v>
      </c>
      <c r="CC126" s="41">
        <v>-603093921</v>
      </c>
      <c r="CD126" s="40">
        <f>3528170167.46521*1/12</f>
        <v>294014180.62210083</v>
      </c>
      <c r="CE126" s="32">
        <f t="shared" si="224"/>
        <v>-897108101.62210083</v>
      </c>
      <c r="CF126" s="78">
        <f t="shared" si="225"/>
        <v>-3.0512409290052656</v>
      </c>
      <c r="CG126" s="39">
        <v>1866384464.9200001</v>
      </c>
      <c r="CH126" s="39">
        <v>1764085083.7326</v>
      </c>
      <c r="CI126" s="32">
        <f t="shared" si="226"/>
        <v>102299381.1874001</v>
      </c>
      <c r="CJ126" s="78">
        <f t="shared" si="227"/>
        <v>5.7990049420375112E-2</v>
      </c>
      <c r="CK126" s="39">
        <v>3528170167.46521</v>
      </c>
      <c r="CL126" s="32">
        <f t="shared" si="228"/>
        <v>-1661785702.5452099</v>
      </c>
      <c r="CM126" s="77">
        <f t="shared" si="229"/>
        <v>-0.47100497528981394</v>
      </c>
      <c r="CN126" s="41">
        <v>-603093921</v>
      </c>
      <c r="CO126" s="40">
        <f>3528170167.46521*1/12</f>
        <v>294014180.62210083</v>
      </c>
      <c r="CP126" s="32">
        <f t="shared" si="230"/>
        <v>-897108101.62210083</v>
      </c>
      <c r="CQ126" s="78">
        <f t="shared" si="231"/>
        <v>-3.0512409290052656</v>
      </c>
      <c r="CR126" s="39">
        <v>1866384464.9200001</v>
      </c>
      <c r="CS126" s="39">
        <v>1764085083.7326</v>
      </c>
      <c r="CT126" s="32">
        <f t="shared" si="232"/>
        <v>102299381.1874001</v>
      </c>
      <c r="CU126" s="78">
        <f t="shared" si="233"/>
        <v>5.7990049420375112E-2</v>
      </c>
      <c r="CV126" s="39">
        <v>3528170167.46521</v>
      </c>
      <c r="CW126" s="32">
        <f t="shared" si="234"/>
        <v>-1661785702.5452099</v>
      </c>
      <c r="CX126" s="77">
        <f t="shared" si="235"/>
        <v>-0.47100497528981394</v>
      </c>
      <c r="CY126" s="41">
        <v>-603093921</v>
      </c>
      <c r="CZ126" s="40">
        <f>3528170167.46521*1/12</f>
        <v>294014180.62210083</v>
      </c>
      <c r="DA126" s="32">
        <f t="shared" si="236"/>
        <v>-897108101.62210083</v>
      </c>
      <c r="DB126" s="78">
        <f t="shared" si="237"/>
        <v>-3.0512409290052656</v>
      </c>
      <c r="DC126" s="39">
        <v>1866384464.9200001</v>
      </c>
      <c r="DD126" s="39">
        <v>1764085083.7326</v>
      </c>
      <c r="DE126" s="32">
        <f t="shared" si="238"/>
        <v>102299381.1874001</v>
      </c>
      <c r="DF126" s="78">
        <f t="shared" si="239"/>
        <v>5.7990049420375112E-2</v>
      </c>
      <c r="DG126" s="39">
        <v>3528170167.46521</v>
      </c>
      <c r="DH126" s="32">
        <f t="shared" si="240"/>
        <v>-1661785702.5452099</v>
      </c>
      <c r="DI126" s="77">
        <f t="shared" si="241"/>
        <v>-0.47100497528981394</v>
      </c>
    </row>
    <row r="127" spans="1:113" ht="12.75" hidden="1" customHeight="1" outlineLevel="3" x14ac:dyDescent="0.2">
      <c r="B127" s="38" t="str">
        <f t="shared" si="242"/>
        <v>Страховые взносы, годовой бонус</v>
      </c>
      <c r="C127" s="37" t="str">
        <f t="shared" si="242"/>
        <v>Social Security on discretionary Bonus cash</v>
      </c>
      <c r="D127" s="36">
        <v>-39499641</v>
      </c>
      <c r="E127" s="35">
        <f>652711480.981065*1/12</f>
        <v>54392623.41508875</v>
      </c>
      <c r="F127" s="32">
        <f t="shared" si="182"/>
        <v>-93892264.415088743</v>
      </c>
      <c r="G127" s="78">
        <f t="shared" si="183"/>
        <v>-1.7261948131930445</v>
      </c>
      <c r="H127" s="33">
        <v>352450585.80000001</v>
      </c>
      <c r="I127" s="33">
        <v>326355740.49053299</v>
      </c>
      <c r="J127" s="32">
        <f t="shared" si="184"/>
        <v>26094845.309467018</v>
      </c>
      <c r="K127" s="78">
        <f t="shared" si="185"/>
        <v>7.9958284999812834E-2</v>
      </c>
      <c r="L127" s="33">
        <v>652711480.98106503</v>
      </c>
      <c r="M127" s="32">
        <f t="shared" si="186"/>
        <v>-300260895.18106502</v>
      </c>
      <c r="N127" s="77">
        <f t="shared" si="187"/>
        <v>-0.46002085750009275</v>
      </c>
      <c r="O127" s="36">
        <v>-39499641</v>
      </c>
      <c r="P127" s="35">
        <f>652711480.981065*1/12</f>
        <v>54392623.41508875</v>
      </c>
      <c r="Q127" s="32">
        <f t="shared" si="188"/>
        <v>-93892264.415088743</v>
      </c>
      <c r="R127" s="78">
        <f t="shared" si="189"/>
        <v>-1.7261948131930445</v>
      </c>
      <c r="S127" s="33">
        <v>352450585.80000001</v>
      </c>
      <c r="T127" s="33">
        <v>326355740.49053299</v>
      </c>
      <c r="U127" s="32">
        <f t="shared" si="190"/>
        <v>26094845.309467018</v>
      </c>
      <c r="V127" s="78">
        <f t="shared" si="191"/>
        <v>7.9958284999812834E-2</v>
      </c>
      <c r="W127" s="33">
        <v>652711480.98106503</v>
      </c>
      <c r="X127" s="32">
        <f t="shared" si="192"/>
        <v>-300260895.18106502</v>
      </c>
      <c r="Y127" s="77">
        <f t="shared" si="193"/>
        <v>-0.46002085750009275</v>
      </c>
      <c r="Z127" s="36">
        <v>-39499641</v>
      </c>
      <c r="AA127" s="35">
        <f>652711480.981065*1/12</f>
        <v>54392623.41508875</v>
      </c>
      <c r="AB127" s="32">
        <f t="shared" si="194"/>
        <v>-93892264.415088743</v>
      </c>
      <c r="AC127" s="78">
        <f t="shared" si="195"/>
        <v>-1.7261948131930445</v>
      </c>
      <c r="AD127" s="33">
        <v>352450585.80000001</v>
      </c>
      <c r="AE127" s="33">
        <v>326355740.49053299</v>
      </c>
      <c r="AF127" s="32">
        <f t="shared" si="196"/>
        <v>26094845.309467018</v>
      </c>
      <c r="AG127" s="78">
        <f t="shared" si="197"/>
        <v>7.9958284999812834E-2</v>
      </c>
      <c r="AH127" s="33">
        <v>652711480.98106503</v>
      </c>
      <c r="AI127" s="32">
        <f t="shared" si="198"/>
        <v>-300260895.18106502</v>
      </c>
      <c r="AJ127" s="77">
        <f t="shared" si="199"/>
        <v>-0.46002085750009275</v>
      </c>
      <c r="AK127" s="36">
        <v>-39499641</v>
      </c>
      <c r="AL127" s="35">
        <f>652711480.981065*1/12</f>
        <v>54392623.41508875</v>
      </c>
      <c r="AM127" s="32">
        <f t="shared" si="200"/>
        <v>-93892264.415088743</v>
      </c>
      <c r="AN127" s="78">
        <f t="shared" si="201"/>
        <v>-1.7261948131930445</v>
      </c>
      <c r="AO127" s="33">
        <v>352450585.80000001</v>
      </c>
      <c r="AP127" s="33">
        <v>326355740.49053299</v>
      </c>
      <c r="AQ127" s="32">
        <f t="shared" si="202"/>
        <v>26094845.309467018</v>
      </c>
      <c r="AR127" s="78">
        <f t="shared" si="203"/>
        <v>7.9958284999812834E-2</v>
      </c>
      <c r="AS127" s="33">
        <v>652711480.98106503</v>
      </c>
      <c r="AT127" s="32">
        <f t="shared" si="204"/>
        <v>-300260895.18106502</v>
      </c>
      <c r="AU127" s="77">
        <f t="shared" si="205"/>
        <v>-0.46002085750009275</v>
      </c>
      <c r="AV127" s="36">
        <v>-39499641</v>
      </c>
      <c r="AW127" s="35">
        <f>652711480.981065*1/12</f>
        <v>54392623.41508875</v>
      </c>
      <c r="AX127" s="32">
        <f t="shared" si="206"/>
        <v>-93892264.415088743</v>
      </c>
      <c r="AY127" s="78">
        <f t="shared" si="207"/>
        <v>-1.7261948131930445</v>
      </c>
      <c r="AZ127" s="33">
        <v>352450585.80000001</v>
      </c>
      <c r="BA127" s="33">
        <v>326355740.49053299</v>
      </c>
      <c r="BB127" s="32">
        <f t="shared" si="208"/>
        <v>26094845.309467018</v>
      </c>
      <c r="BC127" s="78">
        <f t="shared" si="209"/>
        <v>7.9958284999812834E-2</v>
      </c>
      <c r="BD127" s="33">
        <v>652711480.98106503</v>
      </c>
      <c r="BE127" s="32">
        <f t="shared" si="210"/>
        <v>-300260895.18106502</v>
      </c>
      <c r="BF127" s="77">
        <f t="shared" si="211"/>
        <v>-0.46002085750009275</v>
      </c>
      <c r="BG127" s="36">
        <v>-39499641</v>
      </c>
      <c r="BH127" s="35">
        <f>652711480.981065*1/12</f>
        <v>54392623.41508875</v>
      </c>
      <c r="BI127" s="32">
        <f t="shared" si="212"/>
        <v>-93892264.415088743</v>
      </c>
      <c r="BJ127" s="78">
        <f t="shared" si="213"/>
        <v>-1.7261948131930445</v>
      </c>
      <c r="BK127" s="33">
        <v>352450585.80000001</v>
      </c>
      <c r="BL127" s="33">
        <v>326355740.49053299</v>
      </c>
      <c r="BM127" s="32">
        <f t="shared" si="214"/>
        <v>26094845.309467018</v>
      </c>
      <c r="BN127" s="78">
        <f t="shared" si="215"/>
        <v>7.9958284999812834E-2</v>
      </c>
      <c r="BO127" s="33">
        <v>652711480.98106503</v>
      </c>
      <c r="BP127" s="32">
        <f t="shared" si="216"/>
        <v>-300260895.18106502</v>
      </c>
      <c r="BQ127" s="77">
        <f t="shared" si="217"/>
        <v>-0.46002085750009275</v>
      </c>
      <c r="BR127" s="36">
        <v>-39499641</v>
      </c>
      <c r="BS127" s="35">
        <f>652711480.981065*1/12</f>
        <v>54392623.41508875</v>
      </c>
      <c r="BT127" s="32">
        <f t="shared" si="218"/>
        <v>-93892264.415088743</v>
      </c>
      <c r="BU127" s="78">
        <f t="shared" si="219"/>
        <v>-1.7261948131930445</v>
      </c>
      <c r="BV127" s="33">
        <v>352450585.80000001</v>
      </c>
      <c r="BW127" s="33">
        <v>326355740.49053299</v>
      </c>
      <c r="BX127" s="32">
        <f t="shared" si="220"/>
        <v>26094845.309467018</v>
      </c>
      <c r="BY127" s="78">
        <f t="shared" si="221"/>
        <v>7.9958284999812834E-2</v>
      </c>
      <c r="BZ127" s="33">
        <v>652711480.98106503</v>
      </c>
      <c r="CA127" s="32">
        <f t="shared" si="222"/>
        <v>-300260895.18106502</v>
      </c>
      <c r="CB127" s="77">
        <f t="shared" si="223"/>
        <v>-0.46002085750009275</v>
      </c>
      <c r="CC127" s="36">
        <v>-39499641</v>
      </c>
      <c r="CD127" s="35">
        <f>652711480.981065*1/12</f>
        <v>54392623.41508875</v>
      </c>
      <c r="CE127" s="32">
        <f t="shared" si="224"/>
        <v>-93892264.415088743</v>
      </c>
      <c r="CF127" s="78">
        <f t="shared" si="225"/>
        <v>-1.7261948131930445</v>
      </c>
      <c r="CG127" s="33">
        <v>352450585.80000001</v>
      </c>
      <c r="CH127" s="33">
        <v>326355740.49053299</v>
      </c>
      <c r="CI127" s="32">
        <f t="shared" si="226"/>
        <v>26094845.309467018</v>
      </c>
      <c r="CJ127" s="78">
        <f t="shared" si="227"/>
        <v>7.9958284999812834E-2</v>
      </c>
      <c r="CK127" s="33">
        <v>652711480.98106503</v>
      </c>
      <c r="CL127" s="32">
        <f t="shared" si="228"/>
        <v>-300260895.18106502</v>
      </c>
      <c r="CM127" s="77">
        <f t="shared" si="229"/>
        <v>-0.46002085750009275</v>
      </c>
      <c r="CN127" s="36">
        <v>-39499641</v>
      </c>
      <c r="CO127" s="35">
        <f>652711480.981065*1/12</f>
        <v>54392623.41508875</v>
      </c>
      <c r="CP127" s="32">
        <f t="shared" si="230"/>
        <v>-93892264.415088743</v>
      </c>
      <c r="CQ127" s="78">
        <f t="shared" si="231"/>
        <v>-1.7261948131930445</v>
      </c>
      <c r="CR127" s="33">
        <v>352450585.80000001</v>
      </c>
      <c r="CS127" s="33">
        <v>326355740.49053299</v>
      </c>
      <c r="CT127" s="32">
        <f t="shared" si="232"/>
        <v>26094845.309467018</v>
      </c>
      <c r="CU127" s="78">
        <f t="shared" si="233"/>
        <v>7.9958284999812834E-2</v>
      </c>
      <c r="CV127" s="33">
        <v>652711480.98106503</v>
      </c>
      <c r="CW127" s="32">
        <f t="shared" si="234"/>
        <v>-300260895.18106502</v>
      </c>
      <c r="CX127" s="77">
        <f t="shared" si="235"/>
        <v>-0.46002085750009275</v>
      </c>
      <c r="CY127" s="36">
        <v>-39499641</v>
      </c>
      <c r="CZ127" s="35">
        <f>652711480.981065*1/12</f>
        <v>54392623.41508875</v>
      </c>
      <c r="DA127" s="32">
        <f t="shared" si="236"/>
        <v>-93892264.415088743</v>
      </c>
      <c r="DB127" s="78">
        <f t="shared" si="237"/>
        <v>-1.7261948131930445</v>
      </c>
      <c r="DC127" s="33">
        <v>352450585.80000001</v>
      </c>
      <c r="DD127" s="33">
        <v>326355740.49053299</v>
      </c>
      <c r="DE127" s="32">
        <f t="shared" si="238"/>
        <v>26094845.309467018</v>
      </c>
      <c r="DF127" s="78">
        <f t="shared" si="239"/>
        <v>7.9958284999812834E-2</v>
      </c>
      <c r="DG127" s="33">
        <v>652711480.98106503</v>
      </c>
      <c r="DH127" s="32">
        <f t="shared" si="240"/>
        <v>-300260895.18106502</v>
      </c>
      <c r="DI127" s="77">
        <f t="shared" si="241"/>
        <v>-0.46002085750009275</v>
      </c>
    </row>
    <row r="128" spans="1:113" s="6" customFormat="1" hidden="1" outlineLevel="2" collapsed="1" x14ac:dyDescent="0.2">
      <c r="A128" s="30"/>
      <c r="B128" s="29" t="str">
        <f t="shared" si="242"/>
        <v>Итого годовой бонус</v>
      </c>
      <c r="C128" s="28" t="str">
        <f t="shared" si="242"/>
        <v>Total Bonus discretionary cash</v>
      </c>
      <c r="D128" s="27">
        <f>SUM(D120:D127)</f>
        <v>-642593562</v>
      </c>
      <c r="E128" s="26">
        <f>SUM(E126:E127)</f>
        <v>348406804.0371896</v>
      </c>
      <c r="F128" s="23">
        <f t="shared" si="182"/>
        <v>-991000366.0371896</v>
      </c>
      <c r="G128" s="76">
        <f t="shared" si="183"/>
        <v>-2.8443771894058889</v>
      </c>
      <c r="H128" s="24">
        <f>SUM(H126:H127)</f>
        <v>2218835050.7200003</v>
      </c>
      <c r="I128" s="24">
        <f>SUM(I126:I127)</f>
        <v>2090440824.2231331</v>
      </c>
      <c r="J128" s="23">
        <f t="shared" si="184"/>
        <v>128394226.49686718</v>
      </c>
      <c r="K128" s="76">
        <f t="shared" si="185"/>
        <v>6.1419689574127023E-2</v>
      </c>
      <c r="L128" s="24">
        <f>SUM(L126:L127)</f>
        <v>4180881648.4462748</v>
      </c>
      <c r="M128" s="23">
        <f t="shared" si="186"/>
        <v>-1962046597.7262745</v>
      </c>
      <c r="N128" s="75">
        <f t="shared" si="187"/>
        <v>-0.46929015521293754</v>
      </c>
      <c r="O128" s="27">
        <f>SUM(O120:O127)</f>
        <v>-642593562</v>
      </c>
      <c r="P128" s="26">
        <f>SUM(P126:P127)</f>
        <v>348406804.0371896</v>
      </c>
      <c r="Q128" s="23">
        <f t="shared" si="188"/>
        <v>-991000366.0371896</v>
      </c>
      <c r="R128" s="76">
        <f t="shared" si="189"/>
        <v>-2.8443771894058889</v>
      </c>
      <c r="S128" s="24">
        <f>SUM(S126:S127)</f>
        <v>2218835050.7200003</v>
      </c>
      <c r="T128" s="24">
        <f>SUM(T126:T127)</f>
        <v>2090440824.2231331</v>
      </c>
      <c r="U128" s="23">
        <f t="shared" si="190"/>
        <v>128394226.49686718</v>
      </c>
      <c r="V128" s="76">
        <f t="shared" si="191"/>
        <v>6.1419689574127023E-2</v>
      </c>
      <c r="W128" s="24">
        <f>SUM(W126:W127)</f>
        <v>4180881648.4462748</v>
      </c>
      <c r="X128" s="23">
        <f t="shared" si="192"/>
        <v>-1962046597.7262745</v>
      </c>
      <c r="Y128" s="75">
        <f t="shared" si="193"/>
        <v>-0.46929015521293754</v>
      </c>
      <c r="Z128" s="27">
        <f>SUM(Z120:Z127)</f>
        <v>-642593562</v>
      </c>
      <c r="AA128" s="26">
        <f>SUM(AA126:AA127)</f>
        <v>348406804.0371896</v>
      </c>
      <c r="AB128" s="23">
        <f t="shared" si="194"/>
        <v>-991000366.0371896</v>
      </c>
      <c r="AC128" s="76">
        <f t="shared" si="195"/>
        <v>-2.8443771894058889</v>
      </c>
      <c r="AD128" s="24">
        <f>SUM(AD126:AD127)</f>
        <v>2218835050.7200003</v>
      </c>
      <c r="AE128" s="24">
        <f>SUM(AE126:AE127)</f>
        <v>2090440824.2231331</v>
      </c>
      <c r="AF128" s="23">
        <f t="shared" si="196"/>
        <v>128394226.49686718</v>
      </c>
      <c r="AG128" s="76">
        <f t="shared" si="197"/>
        <v>6.1419689574127023E-2</v>
      </c>
      <c r="AH128" s="24">
        <f>SUM(AH126:AH127)</f>
        <v>4180881648.4462748</v>
      </c>
      <c r="AI128" s="23">
        <f t="shared" si="198"/>
        <v>-1962046597.7262745</v>
      </c>
      <c r="AJ128" s="75">
        <f t="shared" si="199"/>
        <v>-0.46929015521293754</v>
      </c>
      <c r="AK128" s="27">
        <f>SUM(AK120:AK127)</f>
        <v>-642593562</v>
      </c>
      <c r="AL128" s="26">
        <f>SUM(AL126:AL127)</f>
        <v>348406804.0371896</v>
      </c>
      <c r="AM128" s="23">
        <f t="shared" si="200"/>
        <v>-991000366.0371896</v>
      </c>
      <c r="AN128" s="76">
        <f t="shared" si="201"/>
        <v>-2.8443771894058889</v>
      </c>
      <c r="AO128" s="24">
        <f>SUM(AO126:AO127)</f>
        <v>2218835050.7200003</v>
      </c>
      <c r="AP128" s="24">
        <f>SUM(AP126:AP127)</f>
        <v>2090440824.2231331</v>
      </c>
      <c r="AQ128" s="23">
        <f t="shared" si="202"/>
        <v>128394226.49686718</v>
      </c>
      <c r="AR128" s="76">
        <f t="shared" si="203"/>
        <v>6.1419689574127023E-2</v>
      </c>
      <c r="AS128" s="24">
        <f>SUM(AS126:AS127)</f>
        <v>4180881648.4462748</v>
      </c>
      <c r="AT128" s="23">
        <f t="shared" si="204"/>
        <v>-1962046597.7262745</v>
      </c>
      <c r="AU128" s="75">
        <f t="shared" si="205"/>
        <v>-0.46929015521293754</v>
      </c>
      <c r="AV128" s="27">
        <f>SUM(AV120:AV127)</f>
        <v>-642593562</v>
      </c>
      <c r="AW128" s="26">
        <f>SUM(AW126:AW127)</f>
        <v>348406804.0371896</v>
      </c>
      <c r="AX128" s="23">
        <f t="shared" si="206"/>
        <v>-991000366.0371896</v>
      </c>
      <c r="AY128" s="76">
        <f t="shared" si="207"/>
        <v>-2.8443771894058889</v>
      </c>
      <c r="AZ128" s="24">
        <f>SUM(AZ126:AZ127)</f>
        <v>2218835050.7200003</v>
      </c>
      <c r="BA128" s="24">
        <f>SUM(BA126:BA127)</f>
        <v>2090440824.2231331</v>
      </c>
      <c r="BB128" s="23">
        <f t="shared" si="208"/>
        <v>128394226.49686718</v>
      </c>
      <c r="BC128" s="76">
        <f t="shared" si="209"/>
        <v>6.1419689574127023E-2</v>
      </c>
      <c r="BD128" s="24">
        <f>SUM(BD126:BD127)</f>
        <v>4180881648.4462748</v>
      </c>
      <c r="BE128" s="23">
        <f t="shared" si="210"/>
        <v>-1962046597.7262745</v>
      </c>
      <c r="BF128" s="75">
        <f t="shared" si="211"/>
        <v>-0.46929015521293754</v>
      </c>
      <c r="BG128" s="27">
        <f>SUM(BG120:BG127)</f>
        <v>-642593562</v>
      </c>
      <c r="BH128" s="26">
        <f>SUM(BH126:BH127)</f>
        <v>348406804.0371896</v>
      </c>
      <c r="BI128" s="23">
        <f t="shared" si="212"/>
        <v>-991000366.0371896</v>
      </c>
      <c r="BJ128" s="76">
        <f t="shared" si="213"/>
        <v>-2.8443771894058889</v>
      </c>
      <c r="BK128" s="24">
        <f>SUM(BK126:BK127)</f>
        <v>2218835050.7200003</v>
      </c>
      <c r="BL128" s="24">
        <f>SUM(BL126:BL127)</f>
        <v>2090440824.2231331</v>
      </c>
      <c r="BM128" s="23">
        <f t="shared" si="214"/>
        <v>128394226.49686718</v>
      </c>
      <c r="BN128" s="76">
        <f t="shared" si="215"/>
        <v>6.1419689574127023E-2</v>
      </c>
      <c r="BO128" s="24">
        <f>SUM(BO126:BO127)</f>
        <v>4180881648.4462748</v>
      </c>
      <c r="BP128" s="23">
        <f t="shared" si="216"/>
        <v>-1962046597.7262745</v>
      </c>
      <c r="BQ128" s="75">
        <f t="shared" si="217"/>
        <v>-0.46929015521293754</v>
      </c>
      <c r="BR128" s="27">
        <f>SUM(BR120:BR127)</f>
        <v>-642593562</v>
      </c>
      <c r="BS128" s="26">
        <f>SUM(BS126:BS127)</f>
        <v>348406804.0371896</v>
      </c>
      <c r="BT128" s="23">
        <f t="shared" si="218"/>
        <v>-991000366.0371896</v>
      </c>
      <c r="BU128" s="76">
        <f t="shared" si="219"/>
        <v>-2.8443771894058889</v>
      </c>
      <c r="BV128" s="24">
        <f>SUM(BV126:BV127)</f>
        <v>2218835050.7200003</v>
      </c>
      <c r="BW128" s="24">
        <f>SUM(BW126:BW127)</f>
        <v>2090440824.2231331</v>
      </c>
      <c r="BX128" s="23">
        <f t="shared" si="220"/>
        <v>128394226.49686718</v>
      </c>
      <c r="BY128" s="76">
        <f t="shared" si="221"/>
        <v>6.1419689574127023E-2</v>
      </c>
      <c r="BZ128" s="24">
        <f>SUM(BZ126:BZ127)</f>
        <v>4180881648.4462748</v>
      </c>
      <c r="CA128" s="23">
        <f t="shared" si="222"/>
        <v>-1962046597.7262745</v>
      </c>
      <c r="CB128" s="75">
        <f t="shared" si="223"/>
        <v>-0.46929015521293754</v>
      </c>
      <c r="CC128" s="27">
        <f>SUM(CC120:CC127)</f>
        <v>-642593562</v>
      </c>
      <c r="CD128" s="26">
        <f>SUM(CD126:CD127)</f>
        <v>348406804.0371896</v>
      </c>
      <c r="CE128" s="23">
        <f t="shared" si="224"/>
        <v>-991000366.0371896</v>
      </c>
      <c r="CF128" s="76">
        <f t="shared" si="225"/>
        <v>-2.8443771894058889</v>
      </c>
      <c r="CG128" s="24">
        <f>SUM(CG126:CG127)</f>
        <v>2218835050.7200003</v>
      </c>
      <c r="CH128" s="24">
        <f>SUM(CH126:CH127)</f>
        <v>2090440824.2231331</v>
      </c>
      <c r="CI128" s="23">
        <f t="shared" si="226"/>
        <v>128394226.49686718</v>
      </c>
      <c r="CJ128" s="76">
        <f t="shared" si="227"/>
        <v>6.1419689574127023E-2</v>
      </c>
      <c r="CK128" s="24">
        <f>SUM(CK126:CK127)</f>
        <v>4180881648.4462748</v>
      </c>
      <c r="CL128" s="23">
        <f t="shared" si="228"/>
        <v>-1962046597.7262745</v>
      </c>
      <c r="CM128" s="75">
        <f t="shared" si="229"/>
        <v>-0.46929015521293754</v>
      </c>
      <c r="CN128" s="27">
        <f>SUM(CN120:CN127)</f>
        <v>-642593562</v>
      </c>
      <c r="CO128" s="26">
        <f>SUM(CO126:CO127)</f>
        <v>348406804.0371896</v>
      </c>
      <c r="CP128" s="23">
        <f t="shared" si="230"/>
        <v>-991000366.0371896</v>
      </c>
      <c r="CQ128" s="76">
        <f t="shared" si="231"/>
        <v>-2.8443771894058889</v>
      </c>
      <c r="CR128" s="24">
        <f>SUM(CR126:CR127)</f>
        <v>2218835050.7200003</v>
      </c>
      <c r="CS128" s="24">
        <f>SUM(CS126:CS127)</f>
        <v>2090440824.2231331</v>
      </c>
      <c r="CT128" s="23">
        <f t="shared" si="232"/>
        <v>128394226.49686718</v>
      </c>
      <c r="CU128" s="76">
        <f t="shared" si="233"/>
        <v>6.1419689574127023E-2</v>
      </c>
      <c r="CV128" s="24">
        <f>SUM(CV126:CV127)</f>
        <v>4180881648.4462748</v>
      </c>
      <c r="CW128" s="23">
        <f t="shared" si="234"/>
        <v>-1962046597.7262745</v>
      </c>
      <c r="CX128" s="75">
        <f t="shared" si="235"/>
        <v>-0.46929015521293754</v>
      </c>
      <c r="CY128" s="27">
        <f>SUM(CY120:CY127)</f>
        <v>-642593562</v>
      </c>
      <c r="CZ128" s="26">
        <f>SUM(CZ126:CZ127)</f>
        <v>348406804.0371896</v>
      </c>
      <c r="DA128" s="23">
        <f t="shared" si="236"/>
        <v>-991000366.0371896</v>
      </c>
      <c r="DB128" s="76">
        <f t="shared" si="237"/>
        <v>-2.8443771894058889</v>
      </c>
      <c r="DC128" s="24">
        <f>SUM(DC126:DC127)</f>
        <v>2218835050.7200003</v>
      </c>
      <c r="DD128" s="24">
        <f>SUM(DD126:DD127)</f>
        <v>2090440824.2231331</v>
      </c>
      <c r="DE128" s="23">
        <f t="shared" si="238"/>
        <v>128394226.49686718</v>
      </c>
      <c r="DF128" s="76">
        <f t="shared" si="239"/>
        <v>6.1419689574127023E-2</v>
      </c>
      <c r="DG128" s="24">
        <f>SUM(DG126:DG127)</f>
        <v>4180881648.4462748</v>
      </c>
      <c r="DH128" s="23">
        <f t="shared" si="240"/>
        <v>-1962046597.7262745</v>
      </c>
      <c r="DI128" s="75">
        <f t="shared" si="241"/>
        <v>-0.46929015521293754</v>
      </c>
    </row>
    <row r="129" spans="1:113" ht="15.75" customHeight="1" collapsed="1" x14ac:dyDescent="0.2">
      <c r="B129" s="21" t="str">
        <f t="shared" si="242"/>
        <v>Годовой бонус</v>
      </c>
      <c r="C129" s="20" t="str">
        <f t="shared" si="242"/>
        <v>Bonus discretionary</v>
      </c>
      <c r="D129" s="19">
        <f>D128+D125+D122</f>
        <v>-642593562</v>
      </c>
      <c r="E129" s="18">
        <f>E128+E125+E122</f>
        <v>348406804.0371896</v>
      </c>
      <c r="F129" s="15">
        <f t="shared" si="182"/>
        <v>-991000366.0371896</v>
      </c>
      <c r="G129" s="74">
        <f t="shared" si="183"/>
        <v>-2.8443771894058889</v>
      </c>
      <c r="H129" s="16">
        <f>H128+H125+H122</f>
        <v>2218835050.7200003</v>
      </c>
      <c r="I129" s="16">
        <f>I128+I125+I122</f>
        <v>2090440824.2231331</v>
      </c>
      <c r="J129" s="15">
        <f t="shared" si="184"/>
        <v>128394226.49686718</v>
      </c>
      <c r="K129" s="74">
        <f t="shared" si="185"/>
        <v>6.1419689574127023E-2</v>
      </c>
      <c r="L129" s="16">
        <f>L128+L125+L122</f>
        <v>4180881648.4462748</v>
      </c>
      <c r="M129" s="15">
        <f t="shared" si="186"/>
        <v>-1962046597.7262745</v>
      </c>
      <c r="N129" s="73">
        <f t="shared" si="187"/>
        <v>-0.46929015521293754</v>
      </c>
      <c r="O129" s="19">
        <f>O128+O125+O122</f>
        <v>-642593562</v>
      </c>
      <c r="P129" s="18">
        <f>P128+P125+P122</f>
        <v>348406804.0371896</v>
      </c>
      <c r="Q129" s="15">
        <f t="shared" si="188"/>
        <v>-991000366.0371896</v>
      </c>
      <c r="R129" s="74">
        <f t="shared" si="189"/>
        <v>-2.8443771894058889</v>
      </c>
      <c r="S129" s="16">
        <f>S128+S125+S122</f>
        <v>2218835050.7200003</v>
      </c>
      <c r="T129" s="16">
        <f>T128+T125+T122</f>
        <v>2090440824.2231331</v>
      </c>
      <c r="U129" s="15">
        <f t="shared" si="190"/>
        <v>128394226.49686718</v>
      </c>
      <c r="V129" s="74">
        <f t="shared" si="191"/>
        <v>6.1419689574127023E-2</v>
      </c>
      <c r="W129" s="16">
        <f>W128+W125+W122</f>
        <v>4180881648.4462748</v>
      </c>
      <c r="X129" s="15">
        <f t="shared" si="192"/>
        <v>-1962046597.7262745</v>
      </c>
      <c r="Y129" s="73">
        <f t="shared" si="193"/>
        <v>-0.46929015521293754</v>
      </c>
      <c r="Z129" s="19">
        <f>Z128+Z125+Z122</f>
        <v>-642593562</v>
      </c>
      <c r="AA129" s="18">
        <f>AA128+AA125+AA122</f>
        <v>348406804.0371896</v>
      </c>
      <c r="AB129" s="15">
        <f t="shared" si="194"/>
        <v>-991000366.0371896</v>
      </c>
      <c r="AC129" s="74">
        <f t="shared" si="195"/>
        <v>-2.8443771894058889</v>
      </c>
      <c r="AD129" s="16">
        <f>AD128+AD125+AD122</f>
        <v>2218835050.7200003</v>
      </c>
      <c r="AE129" s="16">
        <f>AE128+AE125+AE122</f>
        <v>2090440824.2231331</v>
      </c>
      <c r="AF129" s="15">
        <f t="shared" si="196"/>
        <v>128394226.49686718</v>
      </c>
      <c r="AG129" s="74">
        <f t="shared" si="197"/>
        <v>6.1419689574127023E-2</v>
      </c>
      <c r="AH129" s="16">
        <f>AH128+AH125+AH122</f>
        <v>4180881648.4462748</v>
      </c>
      <c r="AI129" s="15">
        <f t="shared" si="198"/>
        <v>-1962046597.7262745</v>
      </c>
      <c r="AJ129" s="73">
        <f t="shared" si="199"/>
        <v>-0.46929015521293754</v>
      </c>
      <c r="AK129" s="19">
        <f>AK128+AK125+AK122</f>
        <v>-642593562</v>
      </c>
      <c r="AL129" s="18">
        <f>AL128+AL125+AL122</f>
        <v>348406804.0371896</v>
      </c>
      <c r="AM129" s="15">
        <f t="shared" si="200"/>
        <v>-991000366.0371896</v>
      </c>
      <c r="AN129" s="74">
        <f t="shared" si="201"/>
        <v>-2.8443771894058889</v>
      </c>
      <c r="AO129" s="16">
        <f>AO128+AO125+AO122</f>
        <v>2218835050.7200003</v>
      </c>
      <c r="AP129" s="16">
        <f>AP128+AP125+AP122</f>
        <v>2090440824.2231331</v>
      </c>
      <c r="AQ129" s="15">
        <f t="shared" si="202"/>
        <v>128394226.49686718</v>
      </c>
      <c r="AR129" s="74">
        <f t="shared" si="203"/>
        <v>6.1419689574127023E-2</v>
      </c>
      <c r="AS129" s="16">
        <f>AS128+AS125+AS122</f>
        <v>4180881648.4462748</v>
      </c>
      <c r="AT129" s="15">
        <f t="shared" si="204"/>
        <v>-1962046597.7262745</v>
      </c>
      <c r="AU129" s="73">
        <f t="shared" si="205"/>
        <v>-0.46929015521293754</v>
      </c>
      <c r="AV129" s="19">
        <f>AV128+AV125+AV122</f>
        <v>-642593562</v>
      </c>
      <c r="AW129" s="18">
        <f>AW128+AW125+AW122</f>
        <v>348406804.0371896</v>
      </c>
      <c r="AX129" s="15">
        <f t="shared" si="206"/>
        <v>-991000366.0371896</v>
      </c>
      <c r="AY129" s="74">
        <f t="shared" si="207"/>
        <v>-2.8443771894058889</v>
      </c>
      <c r="AZ129" s="16">
        <f>AZ128+AZ125+AZ122</f>
        <v>2218835050.7200003</v>
      </c>
      <c r="BA129" s="16">
        <f>BA128+BA125+BA122</f>
        <v>2090440824.2231331</v>
      </c>
      <c r="BB129" s="15">
        <f t="shared" si="208"/>
        <v>128394226.49686718</v>
      </c>
      <c r="BC129" s="74">
        <f t="shared" si="209"/>
        <v>6.1419689574127023E-2</v>
      </c>
      <c r="BD129" s="16">
        <f>BD128+BD125+BD122</f>
        <v>4180881648.4462748</v>
      </c>
      <c r="BE129" s="15">
        <f t="shared" si="210"/>
        <v>-1962046597.7262745</v>
      </c>
      <c r="BF129" s="73">
        <f t="shared" si="211"/>
        <v>-0.46929015521293754</v>
      </c>
      <c r="BG129" s="19">
        <f>BG128+BG125+BG122</f>
        <v>-642593562</v>
      </c>
      <c r="BH129" s="18">
        <f>BH128+BH125+BH122</f>
        <v>348406804.0371896</v>
      </c>
      <c r="BI129" s="15">
        <f t="shared" si="212"/>
        <v>-991000366.0371896</v>
      </c>
      <c r="BJ129" s="74">
        <f t="shared" si="213"/>
        <v>-2.8443771894058889</v>
      </c>
      <c r="BK129" s="16">
        <f>BK128+BK125+BK122</f>
        <v>2218835050.7200003</v>
      </c>
      <c r="BL129" s="16">
        <f>BL128+BL125+BL122</f>
        <v>2090440824.2231331</v>
      </c>
      <c r="BM129" s="15">
        <f t="shared" si="214"/>
        <v>128394226.49686718</v>
      </c>
      <c r="BN129" s="74">
        <f t="shared" si="215"/>
        <v>6.1419689574127023E-2</v>
      </c>
      <c r="BO129" s="16">
        <f>BO128+BO125+BO122</f>
        <v>4180881648.4462748</v>
      </c>
      <c r="BP129" s="15">
        <f t="shared" si="216"/>
        <v>-1962046597.7262745</v>
      </c>
      <c r="BQ129" s="73">
        <f t="shared" si="217"/>
        <v>-0.46929015521293754</v>
      </c>
      <c r="BR129" s="19">
        <f>BR128+BR125+BR122</f>
        <v>-642593562</v>
      </c>
      <c r="BS129" s="18">
        <f>BS128+BS125+BS122</f>
        <v>348406804.0371896</v>
      </c>
      <c r="BT129" s="15">
        <f t="shared" si="218"/>
        <v>-991000366.0371896</v>
      </c>
      <c r="BU129" s="74">
        <f t="shared" si="219"/>
        <v>-2.8443771894058889</v>
      </c>
      <c r="BV129" s="16">
        <f>BV128+BV125+BV122</f>
        <v>2218835050.7200003</v>
      </c>
      <c r="BW129" s="16">
        <f>BW128+BW125+BW122</f>
        <v>2090440824.2231331</v>
      </c>
      <c r="BX129" s="15">
        <f t="shared" si="220"/>
        <v>128394226.49686718</v>
      </c>
      <c r="BY129" s="74">
        <f t="shared" si="221"/>
        <v>6.1419689574127023E-2</v>
      </c>
      <c r="BZ129" s="16">
        <f>BZ128+BZ125+BZ122</f>
        <v>4180881648.4462748</v>
      </c>
      <c r="CA129" s="15">
        <f t="shared" si="222"/>
        <v>-1962046597.7262745</v>
      </c>
      <c r="CB129" s="73">
        <f t="shared" si="223"/>
        <v>-0.46929015521293754</v>
      </c>
      <c r="CC129" s="19">
        <f>CC128+CC125+CC122</f>
        <v>-642593562</v>
      </c>
      <c r="CD129" s="18">
        <f>CD128+CD125+CD122</f>
        <v>348406804.0371896</v>
      </c>
      <c r="CE129" s="15">
        <f t="shared" si="224"/>
        <v>-991000366.0371896</v>
      </c>
      <c r="CF129" s="74">
        <f t="shared" si="225"/>
        <v>-2.8443771894058889</v>
      </c>
      <c r="CG129" s="16">
        <f>CG128+CG125+CG122</f>
        <v>2218835050.7200003</v>
      </c>
      <c r="CH129" s="16">
        <f>CH128+CH125+CH122</f>
        <v>2090440824.2231331</v>
      </c>
      <c r="CI129" s="15">
        <f t="shared" si="226"/>
        <v>128394226.49686718</v>
      </c>
      <c r="CJ129" s="74">
        <f t="shared" si="227"/>
        <v>6.1419689574127023E-2</v>
      </c>
      <c r="CK129" s="16">
        <f>CK128+CK125+CK122</f>
        <v>4180881648.4462748</v>
      </c>
      <c r="CL129" s="15">
        <f t="shared" si="228"/>
        <v>-1962046597.7262745</v>
      </c>
      <c r="CM129" s="73">
        <f t="shared" si="229"/>
        <v>-0.46929015521293754</v>
      </c>
      <c r="CN129" s="19">
        <f>CN128+CN125+CN122</f>
        <v>-642593562</v>
      </c>
      <c r="CO129" s="18">
        <f>CO128+CO125+CO122</f>
        <v>348406804.0371896</v>
      </c>
      <c r="CP129" s="15">
        <f t="shared" si="230"/>
        <v>-991000366.0371896</v>
      </c>
      <c r="CQ129" s="74">
        <f t="shared" si="231"/>
        <v>-2.8443771894058889</v>
      </c>
      <c r="CR129" s="16">
        <f>CR128+CR125+CR122</f>
        <v>2218835050.7200003</v>
      </c>
      <c r="CS129" s="16">
        <f>CS128+CS125+CS122</f>
        <v>2090440824.2231331</v>
      </c>
      <c r="CT129" s="15">
        <f t="shared" si="232"/>
        <v>128394226.49686718</v>
      </c>
      <c r="CU129" s="74">
        <f t="shared" si="233"/>
        <v>6.1419689574127023E-2</v>
      </c>
      <c r="CV129" s="16">
        <f>CV128+CV125+CV122</f>
        <v>4180881648.4462748</v>
      </c>
      <c r="CW129" s="15">
        <f t="shared" si="234"/>
        <v>-1962046597.7262745</v>
      </c>
      <c r="CX129" s="73">
        <f t="shared" si="235"/>
        <v>-0.46929015521293754</v>
      </c>
      <c r="CY129" s="19">
        <f>CY128+CY125+CY122</f>
        <v>-642593562</v>
      </c>
      <c r="CZ129" s="18">
        <f>CZ128+CZ125+CZ122</f>
        <v>348406804.0371896</v>
      </c>
      <c r="DA129" s="15">
        <f t="shared" si="236"/>
        <v>-991000366.0371896</v>
      </c>
      <c r="DB129" s="74">
        <f t="shared" si="237"/>
        <v>-2.8443771894058889</v>
      </c>
      <c r="DC129" s="16">
        <f>DC128+DC125+DC122</f>
        <v>2218835050.7200003</v>
      </c>
      <c r="DD129" s="16">
        <f>DD128+DD125+DD122</f>
        <v>2090440824.2231331</v>
      </c>
      <c r="DE129" s="15">
        <f t="shared" si="238"/>
        <v>128394226.49686718</v>
      </c>
      <c r="DF129" s="74">
        <f t="shared" si="239"/>
        <v>6.1419689574127023E-2</v>
      </c>
      <c r="DG129" s="16">
        <f>DG128+DG125+DG122</f>
        <v>4180881648.4462748</v>
      </c>
      <c r="DH129" s="15">
        <f t="shared" si="240"/>
        <v>-1962046597.7262745</v>
      </c>
      <c r="DI129" s="73">
        <f t="shared" si="241"/>
        <v>-0.46929015521293754</v>
      </c>
    </row>
    <row r="130" spans="1:113" s="6" customFormat="1" ht="18.75" customHeight="1" x14ac:dyDescent="0.2">
      <c r="B130" s="13" t="str">
        <f t="shared" si="242"/>
        <v>Итого компенсации и льготы</v>
      </c>
      <c r="C130" s="12" t="str">
        <f t="shared" si="242"/>
        <v>Total Compencation &amp; Benefits</v>
      </c>
      <c r="D130" s="11">
        <f>D115+D129+D119</f>
        <v>-390298414.81999999</v>
      </c>
      <c r="E130" s="11">
        <f>E115+E129+E119</f>
        <v>587527078.04367328</v>
      </c>
      <c r="F130" s="8">
        <f t="shared" si="182"/>
        <v>-977825492.86367321</v>
      </c>
      <c r="G130" s="72">
        <f t="shared" si="183"/>
        <v>-1.6643071092478015</v>
      </c>
      <c r="H130" s="9">
        <f>H115+H129+H119</f>
        <v>2561212747.3399997</v>
      </c>
      <c r="I130" s="9">
        <f>I115+I129+I119</f>
        <v>2217187845.622035</v>
      </c>
      <c r="J130" s="8">
        <f t="shared" si="184"/>
        <v>344024901.71796465</v>
      </c>
      <c r="K130" s="72">
        <f t="shared" si="185"/>
        <v>0.15516272218308513</v>
      </c>
      <c r="L130" s="9">
        <f>L115+L129+L119</f>
        <v>5750231699.980051</v>
      </c>
      <c r="M130" s="8">
        <f t="shared" si="186"/>
        <v>-3189018952.6400514</v>
      </c>
      <c r="N130" s="71">
        <f t="shared" si="187"/>
        <v>-0.5545896442140088</v>
      </c>
      <c r="O130" s="11">
        <f>O115+O129+O119</f>
        <v>-390298414.81999999</v>
      </c>
      <c r="P130" s="11">
        <f>P115+P129+P119</f>
        <v>587527078.04367328</v>
      </c>
      <c r="Q130" s="8">
        <f t="shared" si="188"/>
        <v>-977825492.86367321</v>
      </c>
      <c r="R130" s="72">
        <f t="shared" si="189"/>
        <v>-1.6643071092478015</v>
      </c>
      <c r="S130" s="9">
        <f>S115+S129+S119</f>
        <v>2561212747.3399997</v>
      </c>
      <c r="T130" s="9">
        <f>T115+T129+T119</f>
        <v>2217187845.622035</v>
      </c>
      <c r="U130" s="8">
        <f t="shared" si="190"/>
        <v>344024901.71796465</v>
      </c>
      <c r="V130" s="72">
        <f t="shared" si="191"/>
        <v>0.15516272218308513</v>
      </c>
      <c r="W130" s="9">
        <f>W115+W129+W119</f>
        <v>5750231699.980051</v>
      </c>
      <c r="X130" s="8">
        <f t="shared" si="192"/>
        <v>-3189018952.6400514</v>
      </c>
      <c r="Y130" s="71">
        <f t="shared" si="193"/>
        <v>-0.5545896442140088</v>
      </c>
      <c r="Z130" s="11">
        <f>Z115+Z129+Z119</f>
        <v>-390298414.81999999</v>
      </c>
      <c r="AA130" s="11">
        <f>AA115+AA129+AA119</f>
        <v>587527078.04367328</v>
      </c>
      <c r="AB130" s="8">
        <f t="shared" si="194"/>
        <v>-977825492.86367321</v>
      </c>
      <c r="AC130" s="72">
        <f t="shared" si="195"/>
        <v>-1.6643071092478015</v>
      </c>
      <c r="AD130" s="9">
        <f>AD115+AD129+AD119</f>
        <v>2561212747.3399997</v>
      </c>
      <c r="AE130" s="9">
        <f>AE115+AE129+AE119</f>
        <v>2217187845.622035</v>
      </c>
      <c r="AF130" s="8">
        <f t="shared" si="196"/>
        <v>344024901.71796465</v>
      </c>
      <c r="AG130" s="72">
        <f t="shared" si="197"/>
        <v>0.15516272218308513</v>
      </c>
      <c r="AH130" s="9">
        <f>AH115+AH129+AH119</f>
        <v>5750231699.980051</v>
      </c>
      <c r="AI130" s="8">
        <f t="shared" si="198"/>
        <v>-3189018952.6400514</v>
      </c>
      <c r="AJ130" s="71">
        <f t="shared" si="199"/>
        <v>-0.5545896442140088</v>
      </c>
      <c r="AK130" s="11">
        <f>AK115+AK129+AK119</f>
        <v>-390298414.81999999</v>
      </c>
      <c r="AL130" s="11">
        <f>AL115+AL129+AL119</f>
        <v>587527078.04367328</v>
      </c>
      <c r="AM130" s="8">
        <f t="shared" si="200"/>
        <v>-977825492.86367321</v>
      </c>
      <c r="AN130" s="72">
        <f t="shared" si="201"/>
        <v>-1.6643071092478015</v>
      </c>
      <c r="AO130" s="9">
        <f>AO115+AO129+AO119</f>
        <v>2561212747.3399997</v>
      </c>
      <c r="AP130" s="9">
        <f>AP115+AP129+AP119</f>
        <v>2217187845.622035</v>
      </c>
      <c r="AQ130" s="8">
        <f t="shared" si="202"/>
        <v>344024901.71796465</v>
      </c>
      <c r="AR130" s="72">
        <f t="shared" si="203"/>
        <v>0.15516272218308513</v>
      </c>
      <c r="AS130" s="9">
        <f>AS115+AS129+AS119</f>
        <v>5750231699.980051</v>
      </c>
      <c r="AT130" s="8">
        <f t="shared" si="204"/>
        <v>-3189018952.6400514</v>
      </c>
      <c r="AU130" s="71">
        <f t="shared" si="205"/>
        <v>-0.5545896442140088</v>
      </c>
      <c r="AV130" s="11">
        <f>AV115+AV129+AV119</f>
        <v>-390298414.81999999</v>
      </c>
      <c r="AW130" s="11">
        <f>AW115+AW129+AW119</f>
        <v>587527078.04367328</v>
      </c>
      <c r="AX130" s="8">
        <f t="shared" si="206"/>
        <v>-977825492.86367321</v>
      </c>
      <c r="AY130" s="72">
        <f t="shared" si="207"/>
        <v>-1.6643071092478015</v>
      </c>
      <c r="AZ130" s="9">
        <f>AZ115+AZ129+AZ119</f>
        <v>2561212747.3399997</v>
      </c>
      <c r="BA130" s="9">
        <f>BA115+BA129+BA119</f>
        <v>2217187845.622035</v>
      </c>
      <c r="BB130" s="8">
        <f t="shared" si="208"/>
        <v>344024901.71796465</v>
      </c>
      <c r="BC130" s="72">
        <f t="shared" si="209"/>
        <v>0.15516272218308513</v>
      </c>
      <c r="BD130" s="9">
        <f>BD115+BD129+BD119</f>
        <v>5750231699.980051</v>
      </c>
      <c r="BE130" s="8">
        <f t="shared" si="210"/>
        <v>-3189018952.6400514</v>
      </c>
      <c r="BF130" s="71">
        <f t="shared" si="211"/>
        <v>-0.5545896442140088</v>
      </c>
      <c r="BG130" s="11">
        <f>BG115+BG129+BG119</f>
        <v>-390298414.81999999</v>
      </c>
      <c r="BH130" s="11">
        <f>BH115+BH129+BH119</f>
        <v>587527078.04367328</v>
      </c>
      <c r="BI130" s="8">
        <f t="shared" si="212"/>
        <v>-977825492.86367321</v>
      </c>
      <c r="BJ130" s="72">
        <f t="shared" si="213"/>
        <v>-1.6643071092478015</v>
      </c>
      <c r="BK130" s="9">
        <f>BK115+BK129+BK119</f>
        <v>2561212747.3399997</v>
      </c>
      <c r="BL130" s="9">
        <f>BL115+BL129+BL119</f>
        <v>2217187845.622035</v>
      </c>
      <c r="BM130" s="8">
        <f t="shared" si="214"/>
        <v>344024901.71796465</v>
      </c>
      <c r="BN130" s="72">
        <f t="shared" si="215"/>
        <v>0.15516272218308513</v>
      </c>
      <c r="BO130" s="9">
        <f>BO115+BO129+BO119</f>
        <v>5750231699.980051</v>
      </c>
      <c r="BP130" s="8">
        <f t="shared" si="216"/>
        <v>-3189018952.6400514</v>
      </c>
      <c r="BQ130" s="71">
        <f t="shared" si="217"/>
        <v>-0.5545896442140088</v>
      </c>
      <c r="BR130" s="11">
        <f>BR115+BR129+BR119</f>
        <v>-390298414.81999999</v>
      </c>
      <c r="BS130" s="11">
        <f>BS115+BS129+BS119</f>
        <v>587527078.04367328</v>
      </c>
      <c r="BT130" s="8">
        <f t="shared" si="218"/>
        <v>-977825492.86367321</v>
      </c>
      <c r="BU130" s="72">
        <f t="shared" si="219"/>
        <v>-1.6643071092478015</v>
      </c>
      <c r="BV130" s="9">
        <f>BV115+BV129+BV119</f>
        <v>2561212747.3399997</v>
      </c>
      <c r="BW130" s="9">
        <f>BW115+BW129+BW119</f>
        <v>2217187845.622035</v>
      </c>
      <c r="BX130" s="8">
        <f t="shared" si="220"/>
        <v>344024901.71796465</v>
      </c>
      <c r="BY130" s="72">
        <f t="shared" si="221"/>
        <v>0.15516272218308513</v>
      </c>
      <c r="BZ130" s="9">
        <f>BZ115+BZ129+BZ119</f>
        <v>5750231699.980051</v>
      </c>
      <c r="CA130" s="8">
        <f t="shared" si="222"/>
        <v>-3189018952.6400514</v>
      </c>
      <c r="CB130" s="71">
        <f t="shared" si="223"/>
        <v>-0.5545896442140088</v>
      </c>
      <c r="CC130" s="11">
        <f>CC115+CC129+CC119</f>
        <v>-390298414.81999999</v>
      </c>
      <c r="CD130" s="11">
        <f>CD115+CD129+CD119</f>
        <v>587527078.04367328</v>
      </c>
      <c r="CE130" s="8">
        <f t="shared" si="224"/>
        <v>-977825492.86367321</v>
      </c>
      <c r="CF130" s="72">
        <f t="shared" si="225"/>
        <v>-1.6643071092478015</v>
      </c>
      <c r="CG130" s="9">
        <f>CG115+CG129+CG119</f>
        <v>2561212747.3399997</v>
      </c>
      <c r="CH130" s="9">
        <f>CH115+CH129+CH119</f>
        <v>2217187845.622035</v>
      </c>
      <c r="CI130" s="8">
        <f t="shared" si="226"/>
        <v>344024901.71796465</v>
      </c>
      <c r="CJ130" s="72">
        <f t="shared" si="227"/>
        <v>0.15516272218308513</v>
      </c>
      <c r="CK130" s="9">
        <f>CK115+CK129+CK119</f>
        <v>5750231699.980051</v>
      </c>
      <c r="CL130" s="8">
        <f t="shared" si="228"/>
        <v>-3189018952.6400514</v>
      </c>
      <c r="CM130" s="71">
        <f t="shared" si="229"/>
        <v>-0.5545896442140088</v>
      </c>
      <c r="CN130" s="11">
        <f>CN115+CN129+CN119</f>
        <v>-390298414.81999999</v>
      </c>
      <c r="CO130" s="11">
        <f>CO115+CO129+CO119</f>
        <v>587527078.04367328</v>
      </c>
      <c r="CP130" s="8">
        <f t="shared" si="230"/>
        <v>-977825492.86367321</v>
      </c>
      <c r="CQ130" s="72">
        <f t="shared" si="231"/>
        <v>-1.6643071092478015</v>
      </c>
      <c r="CR130" s="9">
        <f>CR115+CR129+CR119</f>
        <v>2561212747.3399997</v>
      </c>
      <c r="CS130" s="9">
        <f>CS115+CS129+CS119</f>
        <v>2217187845.622035</v>
      </c>
      <c r="CT130" s="8">
        <f t="shared" si="232"/>
        <v>344024901.71796465</v>
      </c>
      <c r="CU130" s="72">
        <f t="shared" si="233"/>
        <v>0.15516272218308513</v>
      </c>
      <c r="CV130" s="9">
        <f>CV115+CV129+CV119</f>
        <v>5750231699.980051</v>
      </c>
      <c r="CW130" s="8">
        <f t="shared" si="234"/>
        <v>-3189018952.6400514</v>
      </c>
      <c r="CX130" s="71">
        <f t="shared" si="235"/>
        <v>-0.5545896442140088</v>
      </c>
      <c r="CY130" s="11">
        <f>CY115+CY129+CY119</f>
        <v>-390298414.81999999</v>
      </c>
      <c r="CZ130" s="11">
        <f>CZ115+CZ129+CZ119</f>
        <v>587527078.04367328</v>
      </c>
      <c r="DA130" s="8">
        <f t="shared" si="236"/>
        <v>-977825492.86367321</v>
      </c>
      <c r="DB130" s="72">
        <f t="shared" si="237"/>
        <v>-1.6643071092478015</v>
      </c>
      <c r="DC130" s="9">
        <f>DC115+DC129+DC119</f>
        <v>2561212747.3399997</v>
      </c>
      <c r="DD130" s="9">
        <f>DD115+DD129+DD119</f>
        <v>2217187845.622035</v>
      </c>
      <c r="DE130" s="8">
        <f t="shared" si="238"/>
        <v>344024901.71796465</v>
      </c>
      <c r="DF130" s="72">
        <f t="shared" si="239"/>
        <v>0.15516272218308513</v>
      </c>
      <c r="DG130" s="9">
        <f>DG115+DG129+DG119</f>
        <v>5750231699.980051</v>
      </c>
      <c r="DH130" s="8">
        <f t="shared" si="240"/>
        <v>-3189018952.6400514</v>
      </c>
      <c r="DI130" s="71">
        <f t="shared" si="241"/>
        <v>-0.5545896442140088</v>
      </c>
    </row>
    <row r="131" spans="1:113" x14ac:dyDescent="0.2">
      <c r="N131" s="3"/>
      <c r="Y131" s="3"/>
      <c r="AJ131" s="3"/>
      <c r="AU131" s="3"/>
      <c r="BF131" s="3"/>
      <c r="BQ131" s="3"/>
      <c r="CB131" s="3"/>
      <c r="CM131" s="3"/>
      <c r="CX131" s="3"/>
      <c r="DI131" s="3"/>
    </row>
    <row r="132" spans="1:113" ht="16.5" customHeight="1" thickBot="1" x14ac:dyDescent="0.25">
      <c r="A132" s="54"/>
      <c r="B132" s="70" t="s">
        <v>8</v>
      </c>
      <c r="C132" s="69" t="s">
        <v>7</v>
      </c>
      <c r="D132" s="67"/>
      <c r="E132" s="68"/>
      <c r="F132" s="65"/>
      <c r="G132" s="66"/>
      <c r="H132" s="67"/>
      <c r="I132" s="65"/>
      <c r="J132" s="65"/>
      <c r="K132" s="66"/>
      <c r="L132" s="65"/>
      <c r="M132" s="64"/>
      <c r="N132" s="63"/>
      <c r="O132" s="67"/>
      <c r="P132" s="68"/>
      <c r="Q132" s="65"/>
      <c r="R132" s="66"/>
      <c r="S132" s="67"/>
      <c r="T132" s="65"/>
      <c r="U132" s="65"/>
      <c r="V132" s="66"/>
      <c r="W132" s="65"/>
      <c r="X132" s="64"/>
      <c r="Y132" s="63"/>
      <c r="Z132" s="67"/>
      <c r="AA132" s="68"/>
      <c r="AB132" s="65"/>
      <c r="AC132" s="66"/>
      <c r="AD132" s="67"/>
      <c r="AE132" s="65"/>
      <c r="AF132" s="65"/>
      <c r="AG132" s="66"/>
      <c r="AH132" s="65"/>
      <c r="AI132" s="64"/>
      <c r="AJ132" s="63"/>
      <c r="AK132" s="67"/>
      <c r="AL132" s="68"/>
      <c r="AM132" s="65"/>
      <c r="AN132" s="66"/>
      <c r="AO132" s="67"/>
      <c r="AP132" s="65"/>
      <c r="AQ132" s="65"/>
      <c r="AR132" s="66"/>
      <c r="AS132" s="65"/>
      <c r="AT132" s="64"/>
      <c r="AU132" s="63"/>
      <c r="AV132" s="67"/>
      <c r="AW132" s="68"/>
      <c r="AX132" s="65"/>
      <c r="AY132" s="66"/>
      <c r="AZ132" s="67"/>
      <c r="BA132" s="65"/>
      <c r="BB132" s="65"/>
      <c r="BC132" s="66"/>
      <c r="BD132" s="65"/>
      <c r="BE132" s="64"/>
      <c r="BF132" s="63"/>
      <c r="BG132" s="67"/>
      <c r="BH132" s="68"/>
      <c r="BI132" s="65"/>
      <c r="BJ132" s="66"/>
      <c r="BK132" s="67"/>
      <c r="BL132" s="65"/>
      <c r="BM132" s="65"/>
      <c r="BN132" s="66"/>
      <c r="BO132" s="65"/>
      <c r="BP132" s="64"/>
      <c r="BQ132" s="63"/>
      <c r="BR132" s="67"/>
      <c r="BS132" s="68"/>
      <c r="BT132" s="65"/>
      <c r="BU132" s="66"/>
      <c r="BV132" s="67"/>
      <c r="BW132" s="65"/>
      <c r="BX132" s="65"/>
      <c r="BY132" s="66"/>
      <c r="BZ132" s="65"/>
      <c r="CA132" s="64"/>
      <c r="CB132" s="63"/>
      <c r="CC132" s="67"/>
      <c r="CD132" s="68"/>
      <c r="CE132" s="65"/>
      <c r="CF132" s="66"/>
      <c r="CG132" s="67"/>
      <c r="CH132" s="65"/>
      <c r="CI132" s="65"/>
      <c r="CJ132" s="66"/>
      <c r="CK132" s="65"/>
      <c r="CL132" s="64"/>
      <c r="CM132" s="63"/>
      <c r="CN132" s="67"/>
      <c r="CO132" s="68"/>
      <c r="CP132" s="65"/>
      <c r="CQ132" s="66"/>
      <c r="CR132" s="67"/>
      <c r="CS132" s="65"/>
      <c r="CT132" s="65"/>
      <c r="CU132" s="66"/>
      <c r="CV132" s="65"/>
      <c r="CW132" s="64"/>
      <c r="CX132" s="63"/>
      <c r="CY132" s="67"/>
      <c r="CZ132" s="68"/>
      <c r="DA132" s="65"/>
      <c r="DB132" s="66"/>
      <c r="DC132" s="67"/>
      <c r="DD132" s="65"/>
      <c r="DE132" s="65"/>
      <c r="DF132" s="66"/>
      <c r="DG132" s="65"/>
      <c r="DH132" s="64"/>
      <c r="DI132" s="63"/>
    </row>
    <row r="133" spans="1:113" ht="13.5" hidden="1" outlineLevel="3" thickTop="1" x14ac:dyDescent="0.2">
      <c r="A133" s="54"/>
      <c r="B133" s="38" t="str">
        <f t="shared" ref="B133:C152" si="243">B13</f>
        <v xml:space="preserve">Оклад </v>
      </c>
      <c r="C133" s="62" t="str">
        <f t="shared" si="243"/>
        <v>Salary</v>
      </c>
      <c r="D133" s="61">
        <f>D13-D76</f>
        <v>-67804.110000014305</v>
      </c>
      <c r="E133" s="60">
        <f>E13-E76</f>
        <v>1277766.8333333433</v>
      </c>
      <c r="F133" s="32">
        <v>0</v>
      </c>
      <c r="G133" s="59">
        <v>0</v>
      </c>
      <c r="H133" s="39">
        <f>H13-H76</f>
        <v>-1887999.3099998236</v>
      </c>
      <c r="I133" s="39">
        <f>I13-I76</f>
        <v>0</v>
      </c>
      <c r="J133" s="32">
        <v>0</v>
      </c>
      <c r="K133" s="59">
        <v>0</v>
      </c>
      <c r="L133" s="39">
        <f>L13-L76</f>
        <v>0</v>
      </c>
      <c r="M133" s="32">
        <v>0</v>
      </c>
      <c r="N133" s="58" t="str">
        <f t="shared" ref="N133:N144" si="244">IFERROR(M133/L133,"-")</f>
        <v>-</v>
      </c>
      <c r="O133" s="61">
        <f>O13-O76</f>
        <v>-67804.110000014305</v>
      </c>
      <c r="P133" s="60">
        <f>P13-P76</f>
        <v>1277766.8333333433</v>
      </c>
      <c r="Q133" s="32">
        <v>0</v>
      </c>
      <c r="R133" s="59">
        <v>0</v>
      </c>
      <c r="S133" s="39">
        <f>S13-S76</f>
        <v>-1887999.3099998236</v>
      </c>
      <c r="T133" s="39">
        <f>T13-T76</f>
        <v>0</v>
      </c>
      <c r="U133" s="32">
        <v>0</v>
      </c>
      <c r="V133" s="59">
        <v>0</v>
      </c>
      <c r="W133" s="39">
        <f>W13-W76</f>
        <v>0</v>
      </c>
      <c r="X133" s="32">
        <v>0</v>
      </c>
      <c r="Y133" s="58" t="str">
        <f t="shared" ref="Y133:Y144" si="245">IFERROR(X133/W133,"-")</f>
        <v>-</v>
      </c>
      <c r="Z133" s="61">
        <f>Z13-Z76</f>
        <v>-67804.110000014305</v>
      </c>
      <c r="AA133" s="60">
        <f>AA13-AA76</f>
        <v>1277766.8333333433</v>
      </c>
      <c r="AB133" s="32">
        <v>0</v>
      </c>
      <c r="AC133" s="59">
        <v>0</v>
      </c>
      <c r="AD133" s="39">
        <f>AD13-AD76</f>
        <v>-1887999.3099998236</v>
      </c>
      <c r="AE133" s="39">
        <f>AE13-AE76</f>
        <v>0</v>
      </c>
      <c r="AF133" s="32">
        <v>0</v>
      </c>
      <c r="AG133" s="59">
        <v>0</v>
      </c>
      <c r="AH133" s="39">
        <f>AH13-AH76</f>
        <v>0</v>
      </c>
      <c r="AI133" s="32">
        <v>0</v>
      </c>
      <c r="AJ133" s="58" t="str">
        <f t="shared" ref="AJ133:AJ144" si="246">IFERROR(AI133/AH133,"-")</f>
        <v>-</v>
      </c>
      <c r="AK133" s="61">
        <f>AK13-AK76</f>
        <v>-67804.110000014305</v>
      </c>
      <c r="AL133" s="60">
        <f>AL13-AL76</f>
        <v>1277766.8333333433</v>
      </c>
      <c r="AM133" s="32">
        <v>0</v>
      </c>
      <c r="AN133" s="59">
        <v>0</v>
      </c>
      <c r="AO133" s="39">
        <f>AO13-AO76</f>
        <v>-1887999.3099998236</v>
      </c>
      <c r="AP133" s="39">
        <f>AP13-AP76</f>
        <v>0</v>
      </c>
      <c r="AQ133" s="32">
        <v>0</v>
      </c>
      <c r="AR133" s="59">
        <v>0</v>
      </c>
      <c r="AS133" s="39">
        <f>AS13-AS76</f>
        <v>0</v>
      </c>
      <c r="AT133" s="32">
        <v>0</v>
      </c>
      <c r="AU133" s="58" t="str">
        <f t="shared" ref="AU133:AU144" si="247">IFERROR(AT133/AS133,"-")</f>
        <v>-</v>
      </c>
      <c r="AV133" s="61">
        <f>AV13-AV76</f>
        <v>-67804.110000014305</v>
      </c>
      <c r="AW133" s="60">
        <f>AW13-AW76</f>
        <v>1277766.8333333433</v>
      </c>
      <c r="AX133" s="32">
        <v>0</v>
      </c>
      <c r="AY133" s="59">
        <v>0</v>
      </c>
      <c r="AZ133" s="39">
        <f>AZ13-AZ76</f>
        <v>-1887999.3099998236</v>
      </c>
      <c r="BA133" s="39">
        <f>BA13-BA76</f>
        <v>0</v>
      </c>
      <c r="BB133" s="32">
        <v>0</v>
      </c>
      <c r="BC133" s="59">
        <v>0</v>
      </c>
      <c r="BD133" s="39">
        <f>BD13-BD76</f>
        <v>0</v>
      </c>
      <c r="BE133" s="32">
        <v>0</v>
      </c>
      <c r="BF133" s="58" t="str">
        <f t="shared" ref="BF133:BF144" si="248">IFERROR(BE133/BD133,"-")</f>
        <v>-</v>
      </c>
      <c r="BG133" s="61">
        <f>BG13-BG76</f>
        <v>-67804.110000014305</v>
      </c>
      <c r="BH133" s="60">
        <f>BH13-BH76</f>
        <v>1277766.8333333433</v>
      </c>
      <c r="BI133" s="32">
        <v>0</v>
      </c>
      <c r="BJ133" s="59">
        <v>0</v>
      </c>
      <c r="BK133" s="39">
        <f>BK13-BK76</f>
        <v>-1887999.3099998236</v>
      </c>
      <c r="BL133" s="39">
        <f>BL13-BL76</f>
        <v>0</v>
      </c>
      <c r="BM133" s="32">
        <v>0</v>
      </c>
      <c r="BN133" s="59">
        <v>0</v>
      </c>
      <c r="BO133" s="39">
        <f>BO13-BO76</f>
        <v>0</v>
      </c>
      <c r="BP133" s="32">
        <v>0</v>
      </c>
      <c r="BQ133" s="58" t="str">
        <f t="shared" ref="BQ133:BQ144" si="249">IFERROR(BP133/BO133,"-")</f>
        <v>-</v>
      </c>
      <c r="BR133" s="61">
        <f>BR13-BR76</f>
        <v>-67804.110000014305</v>
      </c>
      <c r="BS133" s="60">
        <f>BS13-BS76</f>
        <v>1277766.8333333433</v>
      </c>
      <c r="BT133" s="32">
        <v>0</v>
      </c>
      <c r="BU133" s="59">
        <v>0</v>
      </c>
      <c r="BV133" s="39">
        <f>BV13-BV76</f>
        <v>-1887999.3099998236</v>
      </c>
      <c r="BW133" s="39">
        <f>BW13-BW76</f>
        <v>0</v>
      </c>
      <c r="BX133" s="32">
        <v>0</v>
      </c>
      <c r="BY133" s="59">
        <v>0</v>
      </c>
      <c r="BZ133" s="39">
        <f>BZ13-BZ76</f>
        <v>0</v>
      </c>
      <c r="CA133" s="32">
        <v>0</v>
      </c>
      <c r="CB133" s="58" t="str">
        <f t="shared" ref="CB133:CB144" si="250">IFERROR(CA133/BZ133,"-")</f>
        <v>-</v>
      </c>
      <c r="CC133" s="61">
        <f>CC13-CC76</f>
        <v>-67804.110000014305</v>
      </c>
      <c r="CD133" s="60">
        <f>CD13-CD76</f>
        <v>1277766.8333333433</v>
      </c>
      <c r="CE133" s="32">
        <v>0</v>
      </c>
      <c r="CF133" s="59">
        <v>0</v>
      </c>
      <c r="CG133" s="39">
        <f>CG13-CG76</f>
        <v>-1887999.3099998236</v>
      </c>
      <c r="CH133" s="39">
        <f>CH13-CH76</f>
        <v>0</v>
      </c>
      <c r="CI133" s="32">
        <v>0</v>
      </c>
      <c r="CJ133" s="59">
        <v>0</v>
      </c>
      <c r="CK133" s="39">
        <f>CK13-CK76</f>
        <v>0</v>
      </c>
      <c r="CL133" s="32">
        <v>0</v>
      </c>
      <c r="CM133" s="58" t="str">
        <f t="shared" ref="CM133:CM144" si="251">IFERROR(CL133/CK133,"-")</f>
        <v>-</v>
      </c>
      <c r="CN133" s="61">
        <f>CN13-CN76</f>
        <v>-67804.110000014305</v>
      </c>
      <c r="CO133" s="60">
        <f>CO13-CO76</f>
        <v>1277766.8333333433</v>
      </c>
      <c r="CP133" s="32">
        <v>0</v>
      </c>
      <c r="CQ133" s="59">
        <v>0</v>
      </c>
      <c r="CR133" s="39">
        <f>CR13-CR76</f>
        <v>-1887999.3099998236</v>
      </c>
      <c r="CS133" s="39">
        <f>CS13-CS76</f>
        <v>0</v>
      </c>
      <c r="CT133" s="32">
        <v>0</v>
      </c>
      <c r="CU133" s="59">
        <v>0</v>
      </c>
      <c r="CV133" s="39">
        <f>CV13-CV76</f>
        <v>0</v>
      </c>
      <c r="CW133" s="32">
        <v>0</v>
      </c>
      <c r="CX133" s="58" t="str">
        <f t="shared" ref="CX133:CX144" si="252">IFERROR(CW133/CV133,"-")</f>
        <v>-</v>
      </c>
      <c r="CY133" s="61">
        <f>CY13-CY76</f>
        <v>-67804.110000014305</v>
      </c>
      <c r="CZ133" s="60">
        <f>CZ13-CZ76</f>
        <v>1277766.8333333433</v>
      </c>
      <c r="DA133" s="32">
        <v>0</v>
      </c>
      <c r="DB133" s="59">
        <v>0</v>
      </c>
      <c r="DC133" s="39">
        <f>DC13-DC76</f>
        <v>-1887999.3099998236</v>
      </c>
      <c r="DD133" s="39">
        <f>DD13-DD76</f>
        <v>0</v>
      </c>
      <c r="DE133" s="32">
        <v>0</v>
      </c>
      <c r="DF133" s="59">
        <v>0</v>
      </c>
      <c r="DG133" s="39">
        <f>DG13-DG76</f>
        <v>0</v>
      </c>
      <c r="DH133" s="32">
        <v>0</v>
      </c>
      <c r="DI133" s="58" t="str">
        <f t="shared" ref="DI133:DI144" si="253">IFERROR(DH133/DG133,"-")</f>
        <v>-</v>
      </c>
    </row>
    <row r="134" spans="1:113" ht="13.5" hidden="1" outlineLevel="3" thickTop="1" x14ac:dyDescent="0.2">
      <c r="A134" s="54"/>
      <c r="B134" s="38" t="str">
        <f t="shared" si="243"/>
        <v>Страховые взносы оклад</v>
      </c>
      <c r="C134" s="49" t="str">
        <f t="shared" si="243"/>
        <v>Social securities on salaries</v>
      </c>
      <c r="D134" s="41">
        <f>D14-D77</f>
        <v>71460.629999995232</v>
      </c>
      <c r="E134" s="40">
        <f>E14-E77</f>
        <v>236386.86416666582</v>
      </c>
      <c r="F134" s="32">
        <v>0</v>
      </c>
      <c r="G134" s="34">
        <v>0</v>
      </c>
      <c r="H134" s="39">
        <f>H14-H77</f>
        <v>3362768.9100000262</v>
      </c>
      <c r="I134" s="39">
        <f>I14-I77</f>
        <v>0</v>
      </c>
      <c r="J134" s="32">
        <v>0</v>
      </c>
      <c r="K134" s="34">
        <v>0</v>
      </c>
      <c r="L134" s="39">
        <f>L14-L77</f>
        <v>0</v>
      </c>
      <c r="M134" s="32">
        <v>0</v>
      </c>
      <c r="N134" s="53" t="str">
        <f t="shared" si="244"/>
        <v>-</v>
      </c>
      <c r="O134" s="41">
        <f>O14-O77</f>
        <v>71460.629999995232</v>
      </c>
      <c r="P134" s="40">
        <f>P14-P77</f>
        <v>236386.86416666582</v>
      </c>
      <c r="Q134" s="32">
        <v>0</v>
      </c>
      <c r="R134" s="34">
        <v>0</v>
      </c>
      <c r="S134" s="39">
        <f>S14-S77</f>
        <v>3362768.9100000262</v>
      </c>
      <c r="T134" s="39">
        <f>T14-T77</f>
        <v>0</v>
      </c>
      <c r="U134" s="32">
        <v>0</v>
      </c>
      <c r="V134" s="34">
        <v>0</v>
      </c>
      <c r="W134" s="39">
        <f>W14-W77</f>
        <v>0</v>
      </c>
      <c r="X134" s="32">
        <v>0</v>
      </c>
      <c r="Y134" s="53" t="str">
        <f t="shared" si="245"/>
        <v>-</v>
      </c>
      <c r="Z134" s="41">
        <f>Z14-Z77</f>
        <v>71460.629999995232</v>
      </c>
      <c r="AA134" s="40">
        <f>AA14-AA77</f>
        <v>236386.86416666582</v>
      </c>
      <c r="AB134" s="32">
        <v>0</v>
      </c>
      <c r="AC134" s="34">
        <v>0</v>
      </c>
      <c r="AD134" s="39">
        <f>AD14-AD77</f>
        <v>3362768.9100000262</v>
      </c>
      <c r="AE134" s="39">
        <f>AE14-AE77</f>
        <v>0</v>
      </c>
      <c r="AF134" s="32">
        <v>0</v>
      </c>
      <c r="AG134" s="34">
        <v>0</v>
      </c>
      <c r="AH134" s="39">
        <f>AH14-AH77</f>
        <v>0</v>
      </c>
      <c r="AI134" s="32">
        <v>0</v>
      </c>
      <c r="AJ134" s="53" t="str">
        <f t="shared" si="246"/>
        <v>-</v>
      </c>
      <c r="AK134" s="41">
        <f>AK14-AK77</f>
        <v>71460.629999995232</v>
      </c>
      <c r="AL134" s="40">
        <f>AL14-AL77</f>
        <v>236386.86416666582</v>
      </c>
      <c r="AM134" s="32">
        <v>0</v>
      </c>
      <c r="AN134" s="34">
        <v>0</v>
      </c>
      <c r="AO134" s="39">
        <f>AO14-AO77</f>
        <v>3362768.9100000262</v>
      </c>
      <c r="AP134" s="39">
        <f>AP14-AP77</f>
        <v>0</v>
      </c>
      <c r="AQ134" s="32">
        <v>0</v>
      </c>
      <c r="AR134" s="34">
        <v>0</v>
      </c>
      <c r="AS134" s="39">
        <f>AS14-AS77</f>
        <v>0</v>
      </c>
      <c r="AT134" s="32">
        <v>0</v>
      </c>
      <c r="AU134" s="53" t="str">
        <f t="shared" si="247"/>
        <v>-</v>
      </c>
      <c r="AV134" s="41">
        <f>AV14-AV77</f>
        <v>71460.629999995232</v>
      </c>
      <c r="AW134" s="40">
        <f>AW14-AW77</f>
        <v>236386.86416666582</v>
      </c>
      <c r="AX134" s="32">
        <v>0</v>
      </c>
      <c r="AY134" s="34">
        <v>0</v>
      </c>
      <c r="AZ134" s="39">
        <f>AZ14-AZ77</f>
        <v>3362768.9100000262</v>
      </c>
      <c r="BA134" s="39">
        <f>BA14-BA77</f>
        <v>0</v>
      </c>
      <c r="BB134" s="32">
        <v>0</v>
      </c>
      <c r="BC134" s="34">
        <v>0</v>
      </c>
      <c r="BD134" s="39">
        <f>BD14-BD77</f>
        <v>0</v>
      </c>
      <c r="BE134" s="32">
        <v>0</v>
      </c>
      <c r="BF134" s="53" t="str">
        <f t="shared" si="248"/>
        <v>-</v>
      </c>
      <c r="BG134" s="41">
        <f>BG14-BG77</f>
        <v>71460.629999995232</v>
      </c>
      <c r="BH134" s="40">
        <f>BH14-BH77</f>
        <v>236386.86416666582</v>
      </c>
      <c r="BI134" s="32">
        <v>0</v>
      </c>
      <c r="BJ134" s="34">
        <v>0</v>
      </c>
      <c r="BK134" s="39">
        <f>BK14-BK77</f>
        <v>3362768.9100000262</v>
      </c>
      <c r="BL134" s="39">
        <f>BL14-BL77</f>
        <v>0</v>
      </c>
      <c r="BM134" s="32">
        <v>0</v>
      </c>
      <c r="BN134" s="34">
        <v>0</v>
      </c>
      <c r="BO134" s="39">
        <f>BO14-BO77</f>
        <v>0</v>
      </c>
      <c r="BP134" s="32">
        <v>0</v>
      </c>
      <c r="BQ134" s="53" t="str">
        <f t="shared" si="249"/>
        <v>-</v>
      </c>
      <c r="BR134" s="41">
        <f>BR14-BR77</f>
        <v>71460.629999995232</v>
      </c>
      <c r="BS134" s="40">
        <f>BS14-BS77</f>
        <v>236386.86416666582</v>
      </c>
      <c r="BT134" s="32">
        <v>0</v>
      </c>
      <c r="BU134" s="34">
        <v>0</v>
      </c>
      <c r="BV134" s="39">
        <f>BV14-BV77</f>
        <v>3362768.9100000262</v>
      </c>
      <c r="BW134" s="39">
        <f>BW14-BW77</f>
        <v>0</v>
      </c>
      <c r="BX134" s="32">
        <v>0</v>
      </c>
      <c r="BY134" s="34">
        <v>0</v>
      </c>
      <c r="BZ134" s="39">
        <f>BZ14-BZ77</f>
        <v>0</v>
      </c>
      <c r="CA134" s="32">
        <v>0</v>
      </c>
      <c r="CB134" s="53" t="str">
        <f t="shared" si="250"/>
        <v>-</v>
      </c>
      <c r="CC134" s="41">
        <f>CC14-CC77</f>
        <v>71460.629999995232</v>
      </c>
      <c r="CD134" s="40">
        <f>CD14-CD77</f>
        <v>236386.86416666582</v>
      </c>
      <c r="CE134" s="32">
        <v>0</v>
      </c>
      <c r="CF134" s="34">
        <v>0</v>
      </c>
      <c r="CG134" s="39">
        <f>CG14-CG77</f>
        <v>3362768.9100000262</v>
      </c>
      <c r="CH134" s="39">
        <f>CH14-CH77</f>
        <v>0</v>
      </c>
      <c r="CI134" s="32">
        <v>0</v>
      </c>
      <c r="CJ134" s="34">
        <v>0</v>
      </c>
      <c r="CK134" s="39">
        <f>CK14-CK77</f>
        <v>0</v>
      </c>
      <c r="CL134" s="32">
        <v>0</v>
      </c>
      <c r="CM134" s="53" t="str">
        <f t="shared" si="251"/>
        <v>-</v>
      </c>
      <c r="CN134" s="41">
        <f>CN14-CN77</f>
        <v>71460.629999995232</v>
      </c>
      <c r="CO134" s="40">
        <f>CO14-CO77</f>
        <v>236386.86416666582</v>
      </c>
      <c r="CP134" s="32">
        <v>0</v>
      </c>
      <c r="CQ134" s="34">
        <v>0</v>
      </c>
      <c r="CR134" s="39">
        <f>CR14-CR77</f>
        <v>3362768.9100000262</v>
      </c>
      <c r="CS134" s="39">
        <f>CS14-CS77</f>
        <v>0</v>
      </c>
      <c r="CT134" s="32">
        <v>0</v>
      </c>
      <c r="CU134" s="34">
        <v>0</v>
      </c>
      <c r="CV134" s="39">
        <f>CV14-CV77</f>
        <v>0</v>
      </c>
      <c r="CW134" s="32">
        <v>0</v>
      </c>
      <c r="CX134" s="53" t="str">
        <f t="shared" si="252"/>
        <v>-</v>
      </c>
      <c r="CY134" s="41">
        <f>CY14-CY77</f>
        <v>71460.629999995232</v>
      </c>
      <c r="CZ134" s="40">
        <f>CZ14-CZ77</f>
        <v>236386.86416666582</v>
      </c>
      <c r="DA134" s="32">
        <v>0</v>
      </c>
      <c r="DB134" s="34">
        <v>0</v>
      </c>
      <c r="DC134" s="39">
        <f>DC14-DC77</f>
        <v>3362768.9100000262</v>
      </c>
      <c r="DD134" s="39">
        <f>DD14-DD77</f>
        <v>0</v>
      </c>
      <c r="DE134" s="32">
        <v>0</v>
      </c>
      <c r="DF134" s="34">
        <v>0</v>
      </c>
      <c r="DG134" s="39">
        <f>DG14-DG77</f>
        <v>0</v>
      </c>
      <c r="DH134" s="32">
        <v>0</v>
      </c>
      <c r="DI134" s="53" t="str">
        <f t="shared" si="253"/>
        <v>-</v>
      </c>
    </row>
    <row r="135" spans="1:113" s="6" customFormat="1" ht="13.5" hidden="1" outlineLevel="2" collapsed="1" thickTop="1" x14ac:dyDescent="0.2">
      <c r="A135" s="30"/>
      <c r="B135" s="29" t="str">
        <f t="shared" si="243"/>
        <v>Итого оклад</v>
      </c>
      <c r="C135" s="52" t="str">
        <f t="shared" si="243"/>
        <v>Total Salary</v>
      </c>
      <c r="D135" s="27">
        <f>SUM(D133:D134)</f>
        <v>3656.5199999809265</v>
      </c>
      <c r="E135" s="26">
        <f>SUM(E133:E134)</f>
        <v>1514153.6975000091</v>
      </c>
      <c r="F135" s="23">
        <v>0</v>
      </c>
      <c r="G135" s="25">
        <v>0</v>
      </c>
      <c r="H135" s="24">
        <f>SUM(H133:H134)</f>
        <v>1474769.6000002027</v>
      </c>
      <c r="I135" s="24">
        <f>SUM(I133:I134)</f>
        <v>0</v>
      </c>
      <c r="J135" s="23">
        <v>0</v>
      </c>
      <c r="K135" s="25">
        <v>0</v>
      </c>
      <c r="L135" s="24">
        <f>SUM(L133:L134)</f>
        <v>0</v>
      </c>
      <c r="M135" s="23">
        <v>0</v>
      </c>
      <c r="N135" s="22" t="str">
        <f t="shared" si="244"/>
        <v>-</v>
      </c>
      <c r="O135" s="27">
        <f>SUM(O133:O134)</f>
        <v>3656.5199999809265</v>
      </c>
      <c r="P135" s="26">
        <f>SUM(P133:P134)</f>
        <v>1514153.6975000091</v>
      </c>
      <c r="Q135" s="23">
        <v>0</v>
      </c>
      <c r="R135" s="25">
        <v>0</v>
      </c>
      <c r="S135" s="24">
        <f>SUM(S133:S134)</f>
        <v>1474769.6000002027</v>
      </c>
      <c r="T135" s="24">
        <f>SUM(T133:T134)</f>
        <v>0</v>
      </c>
      <c r="U135" s="23">
        <v>0</v>
      </c>
      <c r="V135" s="25">
        <v>0</v>
      </c>
      <c r="W135" s="24">
        <f>SUM(W133:W134)</f>
        <v>0</v>
      </c>
      <c r="X135" s="23">
        <v>0</v>
      </c>
      <c r="Y135" s="22" t="str">
        <f t="shared" si="245"/>
        <v>-</v>
      </c>
      <c r="Z135" s="27">
        <f>SUM(Z133:Z134)</f>
        <v>3656.5199999809265</v>
      </c>
      <c r="AA135" s="26">
        <f>SUM(AA133:AA134)</f>
        <v>1514153.6975000091</v>
      </c>
      <c r="AB135" s="23">
        <v>0</v>
      </c>
      <c r="AC135" s="25">
        <v>0</v>
      </c>
      <c r="AD135" s="24">
        <f>SUM(AD133:AD134)</f>
        <v>1474769.6000002027</v>
      </c>
      <c r="AE135" s="24">
        <f>SUM(AE133:AE134)</f>
        <v>0</v>
      </c>
      <c r="AF135" s="23">
        <v>0</v>
      </c>
      <c r="AG135" s="25">
        <v>0</v>
      </c>
      <c r="AH135" s="24">
        <f>SUM(AH133:AH134)</f>
        <v>0</v>
      </c>
      <c r="AI135" s="23">
        <v>0</v>
      </c>
      <c r="AJ135" s="22" t="str">
        <f t="shared" si="246"/>
        <v>-</v>
      </c>
      <c r="AK135" s="27">
        <f>SUM(AK133:AK134)</f>
        <v>3656.5199999809265</v>
      </c>
      <c r="AL135" s="26">
        <f>SUM(AL133:AL134)</f>
        <v>1514153.6975000091</v>
      </c>
      <c r="AM135" s="23">
        <v>0</v>
      </c>
      <c r="AN135" s="25">
        <v>0</v>
      </c>
      <c r="AO135" s="24">
        <f>SUM(AO133:AO134)</f>
        <v>1474769.6000002027</v>
      </c>
      <c r="AP135" s="24">
        <f>SUM(AP133:AP134)</f>
        <v>0</v>
      </c>
      <c r="AQ135" s="23">
        <v>0</v>
      </c>
      <c r="AR135" s="25">
        <v>0</v>
      </c>
      <c r="AS135" s="24">
        <f>SUM(AS133:AS134)</f>
        <v>0</v>
      </c>
      <c r="AT135" s="23">
        <v>0</v>
      </c>
      <c r="AU135" s="22" t="str">
        <f t="shared" si="247"/>
        <v>-</v>
      </c>
      <c r="AV135" s="27">
        <f>SUM(AV133:AV134)</f>
        <v>3656.5199999809265</v>
      </c>
      <c r="AW135" s="26">
        <f>SUM(AW133:AW134)</f>
        <v>1514153.6975000091</v>
      </c>
      <c r="AX135" s="23">
        <v>0</v>
      </c>
      <c r="AY135" s="25">
        <v>0</v>
      </c>
      <c r="AZ135" s="24">
        <f>SUM(AZ133:AZ134)</f>
        <v>1474769.6000002027</v>
      </c>
      <c r="BA135" s="24">
        <f>SUM(BA133:BA134)</f>
        <v>0</v>
      </c>
      <c r="BB135" s="23">
        <v>0</v>
      </c>
      <c r="BC135" s="25">
        <v>0</v>
      </c>
      <c r="BD135" s="24">
        <f>SUM(BD133:BD134)</f>
        <v>0</v>
      </c>
      <c r="BE135" s="23">
        <v>0</v>
      </c>
      <c r="BF135" s="22" t="str">
        <f t="shared" si="248"/>
        <v>-</v>
      </c>
      <c r="BG135" s="27">
        <f>SUM(BG133:BG134)</f>
        <v>3656.5199999809265</v>
      </c>
      <c r="BH135" s="26">
        <f>SUM(BH133:BH134)</f>
        <v>1514153.6975000091</v>
      </c>
      <c r="BI135" s="23">
        <v>0</v>
      </c>
      <c r="BJ135" s="25">
        <v>0</v>
      </c>
      <c r="BK135" s="24">
        <f>SUM(BK133:BK134)</f>
        <v>1474769.6000002027</v>
      </c>
      <c r="BL135" s="24">
        <f>SUM(BL133:BL134)</f>
        <v>0</v>
      </c>
      <c r="BM135" s="23">
        <v>0</v>
      </c>
      <c r="BN135" s="25">
        <v>0</v>
      </c>
      <c r="BO135" s="24">
        <f>SUM(BO133:BO134)</f>
        <v>0</v>
      </c>
      <c r="BP135" s="23">
        <v>0</v>
      </c>
      <c r="BQ135" s="22" t="str">
        <f t="shared" si="249"/>
        <v>-</v>
      </c>
      <c r="BR135" s="27">
        <f>SUM(BR133:BR134)</f>
        <v>3656.5199999809265</v>
      </c>
      <c r="BS135" s="26">
        <f>SUM(BS133:BS134)</f>
        <v>1514153.6975000091</v>
      </c>
      <c r="BT135" s="23">
        <v>0</v>
      </c>
      <c r="BU135" s="25">
        <v>0</v>
      </c>
      <c r="BV135" s="24">
        <f>SUM(BV133:BV134)</f>
        <v>1474769.6000002027</v>
      </c>
      <c r="BW135" s="24">
        <f>SUM(BW133:BW134)</f>
        <v>0</v>
      </c>
      <c r="BX135" s="23">
        <v>0</v>
      </c>
      <c r="BY135" s="25">
        <v>0</v>
      </c>
      <c r="BZ135" s="24">
        <f>SUM(BZ133:BZ134)</f>
        <v>0</v>
      </c>
      <c r="CA135" s="23">
        <v>0</v>
      </c>
      <c r="CB135" s="22" t="str">
        <f t="shared" si="250"/>
        <v>-</v>
      </c>
      <c r="CC135" s="27">
        <f>SUM(CC133:CC134)</f>
        <v>3656.5199999809265</v>
      </c>
      <c r="CD135" s="26">
        <f>SUM(CD133:CD134)</f>
        <v>1514153.6975000091</v>
      </c>
      <c r="CE135" s="23">
        <v>0</v>
      </c>
      <c r="CF135" s="25">
        <v>0</v>
      </c>
      <c r="CG135" s="24">
        <f>SUM(CG133:CG134)</f>
        <v>1474769.6000002027</v>
      </c>
      <c r="CH135" s="24">
        <f>SUM(CH133:CH134)</f>
        <v>0</v>
      </c>
      <c r="CI135" s="23">
        <v>0</v>
      </c>
      <c r="CJ135" s="25">
        <v>0</v>
      </c>
      <c r="CK135" s="24">
        <f>SUM(CK133:CK134)</f>
        <v>0</v>
      </c>
      <c r="CL135" s="23">
        <v>0</v>
      </c>
      <c r="CM135" s="22" t="str">
        <f t="shared" si="251"/>
        <v>-</v>
      </c>
      <c r="CN135" s="27">
        <f>SUM(CN133:CN134)</f>
        <v>3656.5199999809265</v>
      </c>
      <c r="CO135" s="26">
        <f>SUM(CO133:CO134)</f>
        <v>1514153.6975000091</v>
      </c>
      <c r="CP135" s="23">
        <v>0</v>
      </c>
      <c r="CQ135" s="25">
        <v>0</v>
      </c>
      <c r="CR135" s="24">
        <f>SUM(CR133:CR134)</f>
        <v>1474769.6000002027</v>
      </c>
      <c r="CS135" s="24">
        <f>SUM(CS133:CS134)</f>
        <v>0</v>
      </c>
      <c r="CT135" s="23">
        <v>0</v>
      </c>
      <c r="CU135" s="25">
        <v>0</v>
      </c>
      <c r="CV135" s="24">
        <f>SUM(CV133:CV134)</f>
        <v>0</v>
      </c>
      <c r="CW135" s="23">
        <v>0</v>
      </c>
      <c r="CX135" s="22" t="str">
        <f t="shared" si="252"/>
        <v>-</v>
      </c>
      <c r="CY135" s="27">
        <f>SUM(CY133:CY134)</f>
        <v>3656.5199999809265</v>
      </c>
      <c r="CZ135" s="26">
        <f>SUM(CZ133:CZ134)</f>
        <v>1514153.6975000091</v>
      </c>
      <c r="DA135" s="23">
        <v>0</v>
      </c>
      <c r="DB135" s="25">
        <v>0</v>
      </c>
      <c r="DC135" s="24">
        <f>SUM(DC133:DC134)</f>
        <v>1474769.6000002027</v>
      </c>
      <c r="DD135" s="24">
        <f>SUM(DD133:DD134)</f>
        <v>0</v>
      </c>
      <c r="DE135" s="23">
        <v>0</v>
      </c>
      <c r="DF135" s="25">
        <v>0</v>
      </c>
      <c r="DG135" s="24">
        <f>SUM(DG133:DG134)</f>
        <v>0</v>
      </c>
      <c r="DH135" s="23">
        <v>0</v>
      </c>
      <c r="DI135" s="22" t="str">
        <f t="shared" si="253"/>
        <v>-</v>
      </c>
    </row>
    <row r="136" spans="1:113" hidden="1" outlineLevel="3" x14ac:dyDescent="0.2">
      <c r="A136" s="54"/>
      <c r="B136" s="57" t="str">
        <f t="shared" si="243"/>
        <v>Резерв на отпуск</v>
      </c>
      <c r="C136" s="56" t="str">
        <f t="shared" si="243"/>
        <v>Accruals for unused vacations</v>
      </c>
      <c r="D136" s="41">
        <f>D16-D79</f>
        <v>-3656.5199999809265</v>
      </c>
      <c r="E136" s="40">
        <f>E16-E79</f>
        <v>-3617.2554605826735</v>
      </c>
      <c r="F136" s="32">
        <v>0</v>
      </c>
      <c r="G136" s="34">
        <v>0</v>
      </c>
      <c r="H136" s="39">
        <f>H16-H79</f>
        <v>-2578369.6499999166</v>
      </c>
      <c r="I136" s="39">
        <f>I16-I79</f>
        <v>0</v>
      </c>
      <c r="J136" s="32">
        <v>0</v>
      </c>
      <c r="K136" s="34">
        <v>0</v>
      </c>
      <c r="L136" s="39">
        <f>L16-L79</f>
        <v>0</v>
      </c>
      <c r="M136" s="32">
        <v>0</v>
      </c>
      <c r="N136" s="53" t="str">
        <f t="shared" si="244"/>
        <v>-</v>
      </c>
      <c r="O136" s="41">
        <f>O16-O79</f>
        <v>-3656.5199999809265</v>
      </c>
      <c r="P136" s="40">
        <f>P16-P79</f>
        <v>-3617.2554605826735</v>
      </c>
      <c r="Q136" s="32">
        <v>0</v>
      </c>
      <c r="R136" s="34">
        <v>0</v>
      </c>
      <c r="S136" s="39">
        <f>S16-S79</f>
        <v>-2578369.6499999166</v>
      </c>
      <c r="T136" s="39">
        <f>T16-T79</f>
        <v>0</v>
      </c>
      <c r="U136" s="32">
        <v>0</v>
      </c>
      <c r="V136" s="34">
        <v>0</v>
      </c>
      <c r="W136" s="39">
        <f>W16-W79</f>
        <v>0</v>
      </c>
      <c r="X136" s="32">
        <v>0</v>
      </c>
      <c r="Y136" s="53" t="str">
        <f t="shared" si="245"/>
        <v>-</v>
      </c>
      <c r="Z136" s="41">
        <f>Z16-Z79</f>
        <v>-3656.5199999809265</v>
      </c>
      <c r="AA136" s="40">
        <f>AA16-AA79</f>
        <v>-3617.2554605826735</v>
      </c>
      <c r="AB136" s="32">
        <v>0</v>
      </c>
      <c r="AC136" s="34">
        <v>0</v>
      </c>
      <c r="AD136" s="39">
        <f>AD16-AD79</f>
        <v>-2578369.6499999166</v>
      </c>
      <c r="AE136" s="39">
        <f>AE16-AE79</f>
        <v>0</v>
      </c>
      <c r="AF136" s="32">
        <v>0</v>
      </c>
      <c r="AG136" s="34">
        <v>0</v>
      </c>
      <c r="AH136" s="39">
        <f>AH16-AH79</f>
        <v>0</v>
      </c>
      <c r="AI136" s="32">
        <v>0</v>
      </c>
      <c r="AJ136" s="53" t="str">
        <f t="shared" si="246"/>
        <v>-</v>
      </c>
      <c r="AK136" s="41">
        <f>AK16-AK79</f>
        <v>-3656.5199999809265</v>
      </c>
      <c r="AL136" s="40">
        <f>AL16-AL79</f>
        <v>-3617.2554605826735</v>
      </c>
      <c r="AM136" s="32">
        <v>0</v>
      </c>
      <c r="AN136" s="34">
        <v>0</v>
      </c>
      <c r="AO136" s="39">
        <f>AO16-AO79</f>
        <v>-2578369.6499999166</v>
      </c>
      <c r="AP136" s="39">
        <f>AP16-AP79</f>
        <v>0</v>
      </c>
      <c r="AQ136" s="32">
        <v>0</v>
      </c>
      <c r="AR136" s="34">
        <v>0</v>
      </c>
      <c r="AS136" s="39">
        <f>AS16-AS79</f>
        <v>0</v>
      </c>
      <c r="AT136" s="32">
        <v>0</v>
      </c>
      <c r="AU136" s="53" t="str">
        <f t="shared" si="247"/>
        <v>-</v>
      </c>
      <c r="AV136" s="41">
        <f>AV16-AV79</f>
        <v>-3656.5199999809265</v>
      </c>
      <c r="AW136" s="40">
        <f>AW16-AW79</f>
        <v>-3617.2554605826735</v>
      </c>
      <c r="AX136" s="32">
        <v>0</v>
      </c>
      <c r="AY136" s="34">
        <v>0</v>
      </c>
      <c r="AZ136" s="39">
        <f>AZ16-AZ79</f>
        <v>-2578369.6499999166</v>
      </c>
      <c r="BA136" s="39">
        <f>BA16-BA79</f>
        <v>0</v>
      </c>
      <c r="BB136" s="32">
        <v>0</v>
      </c>
      <c r="BC136" s="34">
        <v>0</v>
      </c>
      <c r="BD136" s="39">
        <f>BD16-BD79</f>
        <v>0</v>
      </c>
      <c r="BE136" s="32">
        <v>0</v>
      </c>
      <c r="BF136" s="53" t="str">
        <f t="shared" si="248"/>
        <v>-</v>
      </c>
      <c r="BG136" s="41">
        <f>BG16-BG79</f>
        <v>-3656.5199999809265</v>
      </c>
      <c r="BH136" s="40">
        <f>BH16-BH79</f>
        <v>-3617.2554605826735</v>
      </c>
      <c r="BI136" s="32">
        <v>0</v>
      </c>
      <c r="BJ136" s="34">
        <v>0</v>
      </c>
      <c r="BK136" s="39">
        <f>BK16-BK79</f>
        <v>-2578369.6499999166</v>
      </c>
      <c r="BL136" s="39">
        <f>BL16-BL79</f>
        <v>0</v>
      </c>
      <c r="BM136" s="32">
        <v>0</v>
      </c>
      <c r="BN136" s="34">
        <v>0</v>
      </c>
      <c r="BO136" s="39">
        <f>BO16-BO79</f>
        <v>0</v>
      </c>
      <c r="BP136" s="32">
        <v>0</v>
      </c>
      <c r="BQ136" s="53" t="str">
        <f t="shared" si="249"/>
        <v>-</v>
      </c>
      <c r="BR136" s="41">
        <f>BR16-BR79</f>
        <v>-3656.5199999809265</v>
      </c>
      <c r="BS136" s="40">
        <f>BS16-BS79</f>
        <v>-3617.2554605826735</v>
      </c>
      <c r="BT136" s="32">
        <v>0</v>
      </c>
      <c r="BU136" s="34">
        <v>0</v>
      </c>
      <c r="BV136" s="39">
        <f>BV16-BV79</f>
        <v>-2578369.6499999166</v>
      </c>
      <c r="BW136" s="39">
        <f>BW16-BW79</f>
        <v>0</v>
      </c>
      <c r="BX136" s="32">
        <v>0</v>
      </c>
      <c r="BY136" s="34">
        <v>0</v>
      </c>
      <c r="BZ136" s="39">
        <f>BZ16-BZ79</f>
        <v>0</v>
      </c>
      <c r="CA136" s="32">
        <v>0</v>
      </c>
      <c r="CB136" s="53" t="str">
        <f t="shared" si="250"/>
        <v>-</v>
      </c>
      <c r="CC136" s="41">
        <f>CC16-CC79</f>
        <v>-3656.5199999809265</v>
      </c>
      <c r="CD136" s="40">
        <f>CD16-CD79</f>
        <v>-3617.2554605826735</v>
      </c>
      <c r="CE136" s="32">
        <v>0</v>
      </c>
      <c r="CF136" s="34">
        <v>0</v>
      </c>
      <c r="CG136" s="39">
        <f>CG16-CG79</f>
        <v>-2578369.6499999166</v>
      </c>
      <c r="CH136" s="39">
        <f>CH16-CH79</f>
        <v>0</v>
      </c>
      <c r="CI136" s="32">
        <v>0</v>
      </c>
      <c r="CJ136" s="34">
        <v>0</v>
      </c>
      <c r="CK136" s="39">
        <f>CK16-CK79</f>
        <v>0</v>
      </c>
      <c r="CL136" s="32">
        <v>0</v>
      </c>
      <c r="CM136" s="53" t="str">
        <f t="shared" si="251"/>
        <v>-</v>
      </c>
      <c r="CN136" s="41">
        <f>CN16-CN79</f>
        <v>-3656.5199999809265</v>
      </c>
      <c r="CO136" s="40">
        <f>CO16-CO79</f>
        <v>-3617.2554605826735</v>
      </c>
      <c r="CP136" s="32">
        <v>0</v>
      </c>
      <c r="CQ136" s="34">
        <v>0</v>
      </c>
      <c r="CR136" s="39">
        <f>CR16-CR79</f>
        <v>-2578369.6499999166</v>
      </c>
      <c r="CS136" s="39">
        <f>CS16-CS79</f>
        <v>0</v>
      </c>
      <c r="CT136" s="32">
        <v>0</v>
      </c>
      <c r="CU136" s="34">
        <v>0</v>
      </c>
      <c r="CV136" s="39">
        <f>CV16-CV79</f>
        <v>0</v>
      </c>
      <c r="CW136" s="32">
        <v>0</v>
      </c>
      <c r="CX136" s="53" t="str">
        <f t="shared" si="252"/>
        <v>-</v>
      </c>
      <c r="CY136" s="41">
        <f>CY16-CY79</f>
        <v>-3656.5199999809265</v>
      </c>
      <c r="CZ136" s="40">
        <f>CZ16-CZ79</f>
        <v>-3617.2554605826735</v>
      </c>
      <c r="DA136" s="32">
        <v>0</v>
      </c>
      <c r="DB136" s="34">
        <v>0</v>
      </c>
      <c r="DC136" s="39">
        <f>DC16-DC79</f>
        <v>-2578369.6499999166</v>
      </c>
      <c r="DD136" s="39">
        <f>DD16-DD79</f>
        <v>0</v>
      </c>
      <c r="DE136" s="32">
        <v>0</v>
      </c>
      <c r="DF136" s="34">
        <v>0</v>
      </c>
      <c r="DG136" s="39">
        <f>DG16-DG79</f>
        <v>0</v>
      </c>
      <c r="DH136" s="32">
        <v>0</v>
      </c>
      <c r="DI136" s="53" t="str">
        <f t="shared" si="253"/>
        <v>-</v>
      </c>
    </row>
    <row r="137" spans="1:113" hidden="1" outlineLevel="3" x14ac:dyDescent="0.2">
      <c r="A137" s="54"/>
      <c r="B137" s="38" t="str">
        <f t="shared" si="243"/>
        <v>Страховые взносы резерв на отпуск</v>
      </c>
      <c r="C137" s="56" t="str">
        <f t="shared" si="243"/>
        <v>Social Security on accruals for unused vacations</v>
      </c>
      <c r="D137" s="41">
        <f>D17-D80</f>
        <v>0</v>
      </c>
      <c r="E137" s="40">
        <f>E17-E80</f>
        <v>-669.19226020760834</v>
      </c>
      <c r="F137" s="32">
        <v>0</v>
      </c>
      <c r="G137" s="34">
        <v>0</v>
      </c>
      <c r="H137" s="39">
        <f>H17-H80</f>
        <v>0</v>
      </c>
      <c r="I137" s="39">
        <f>I17-I80</f>
        <v>0</v>
      </c>
      <c r="J137" s="32">
        <v>0</v>
      </c>
      <c r="K137" s="34">
        <v>0</v>
      </c>
      <c r="L137" s="39">
        <f>L17-L80</f>
        <v>0</v>
      </c>
      <c r="M137" s="32">
        <v>0</v>
      </c>
      <c r="N137" s="53" t="str">
        <f t="shared" si="244"/>
        <v>-</v>
      </c>
      <c r="O137" s="41">
        <f>O17-O80</f>
        <v>0</v>
      </c>
      <c r="P137" s="40">
        <f>P17-P80</f>
        <v>-669.19226020760834</v>
      </c>
      <c r="Q137" s="32">
        <v>0</v>
      </c>
      <c r="R137" s="34">
        <v>0</v>
      </c>
      <c r="S137" s="39">
        <f>S17-S80</f>
        <v>0</v>
      </c>
      <c r="T137" s="39">
        <f>T17-T80</f>
        <v>0</v>
      </c>
      <c r="U137" s="32">
        <v>0</v>
      </c>
      <c r="V137" s="34">
        <v>0</v>
      </c>
      <c r="W137" s="39">
        <f>W17-W80</f>
        <v>0</v>
      </c>
      <c r="X137" s="32">
        <v>0</v>
      </c>
      <c r="Y137" s="53" t="str">
        <f t="shared" si="245"/>
        <v>-</v>
      </c>
      <c r="Z137" s="41">
        <f>Z17-Z80</f>
        <v>0</v>
      </c>
      <c r="AA137" s="40">
        <f>AA17-AA80</f>
        <v>-669.19226020760834</v>
      </c>
      <c r="AB137" s="32">
        <v>0</v>
      </c>
      <c r="AC137" s="34">
        <v>0</v>
      </c>
      <c r="AD137" s="39">
        <f>AD17-AD80</f>
        <v>0</v>
      </c>
      <c r="AE137" s="39">
        <f>AE17-AE80</f>
        <v>0</v>
      </c>
      <c r="AF137" s="32">
        <v>0</v>
      </c>
      <c r="AG137" s="34">
        <v>0</v>
      </c>
      <c r="AH137" s="39">
        <f>AH17-AH80</f>
        <v>0</v>
      </c>
      <c r="AI137" s="32">
        <v>0</v>
      </c>
      <c r="AJ137" s="53" t="str">
        <f t="shared" si="246"/>
        <v>-</v>
      </c>
      <c r="AK137" s="41">
        <f>AK17-AK80</f>
        <v>0</v>
      </c>
      <c r="AL137" s="40">
        <f>AL17-AL80</f>
        <v>-669.19226020760834</v>
      </c>
      <c r="AM137" s="32">
        <v>0</v>
      </c>
      <c r="AN137" s="34">
        <v>0</v>
      </c>
      <c r="AO137" s="39">
        <f>AO17-AO80</f>
        <v>0</v>
      </c>
      <c r="AP137" s="39">
        <f>AP17-AP80</f>
        <v>0</v>
      </c>
      <c r="AQ137" s="32">
        <v>0</v>
      </c>
      <c r="AR137" s="34">
        <v>0</v>
      </c>
      <c r="AS137" s="39">
        <f>AS17-AS80</f>
        <v>0</v>
      </c>
      <c r="AT137" s="32">
        <v>0</v>
      </c>
      <c r="AU137" s="53" t="str">
        <f t="shared" si="247"/>
        <v>-</v>
      </c>
      <c r="AV137" s="41">
        <f>AV17-AV80</f>
        <v>0</v>
      </c>
      <c r="AW137" s="40">
        <f>AW17-AW80</f>
        <v>-669.19226020760834</v>
      </c>
      <c r="AX137" s="32">
        <v>0</v>
      </c>
      <c r="AY137" s="34">
        <v>0</v>
      </c>
      <c r="AZ137" s="39">
        <f>AZ17-AZ80</f>
        <v>0</v>
      </c>
      <c r="BA137" s="39">
        <f>BA17-BA80</f>
        <v>0</v>
      </c>
      <c r="BB137" s="32">
        <v>0</v>
      </c>
      <c r="BC137" s="34">
        <v>0</v>
      </c>
      <c r="BD137" s="39">
        <f>BD17-BD80</f>
        <v>0</v>
      </c>
      <c r="BE137" s="32">
        <v>0</v>
      </c>
      <c r="BF137" s="53" t="str">
        <f t="shared" si="248"/>
        <v>-</v>
      </c>
      <c r="BG137" s="41">
        <f>BG17-BG80</f>
        <v>0</v>
      </c>
      <c r="BH137" s="40">
        <f>BH17-BH80</f>
        <v>-669.19226020760834</v>
      </c>
      <c r="BI137" s="32">
        <v>0</v>
      </c>
      <c r="BJ137" s="34">
        <v>0</v>
      </c>
      <c r="BK137" s="39">
        <f>BK17-BK80</f>
        <v>0</v>
      </c>
      <c r="BL137" s="39">
        <f>BL17-BL80</f>
        <v>0</v>
      </c>
      <c r="BM137" s="32">
        <v>0</v>
      </c>
      <c r="BN137" s="34">
        <v>0</v>
      </c>
      <c r="BO137" s="39">
        <f>BO17-BO80</f>
        <v>0</v>
      </c>
      <c r="BP137" s="32">
        <v>0</v>
      </c>
      <c r="BQ137" s="53" t="str">
        <f t="shared" si="249"/>
        <v>-</v>
      </c>
      <c r="BR137" s="41">
        <f>BR17-BR80</f>
        <v>0</v>
      </c>
      <c r="BS137" s="40">
        <f>BS17-BS80</f>
        <v>-669.19226020760834</v>
      </c>
      <c r="BT137" s="32">
        <v>0</v>
      </c>
      <c r="BU137" s="34">
        <v>0</v>
      </c>
      <c r="BV137" s="39">
        <f>BV17-BV80</f>
        <v>0</v>
      </c>
      <c r="BW137" s="39">
        <f>BW17-BW80</f>
        <v>0</v>
      </c>
      <c r="BX137" s="32">
        <v>0</v>
      </c>
      <c r="BY137" s="34">
        <v>0</v>
      </c>
      <c r="BZ137" s="39">
        <f>BZ17-BZ80</f>
        <v>0</v>
      </c>
      <c r="CA137" s="32">
        <v>0</v>
      </c>
      <c r="CB137" s="53" t="str">
        <f t="shared" si="250"/>
        <v>-</v>
      </c>
      <c r="CC137" s="41">
        <f>CC17-CC80</f>
        <v>0</v>
      </c>
      <c r="CD137" s="40">
        <f>CD17-CD80</f>
        <v>-669.19226020760834</v>
      </c>
      <c r="CE137" s="32">
        <v>0</v>
      </c>
      <c r="CF137" s="34">
        <v>0</v>
      </c>
      <c r="CG137" s="39">
        <f>CG17-CG80</f>
        <v>0</v>
      </c>
      <c r="CH137" s="39">
        <f>CH17-CH80</f>
        <v>0</v>
      </c>
      <c r="CI137" s="32">
        <v>0</v>
      </c>
      <c r="CJ137" s="34">
        <v>0</v>
      </c>
      <c r="CK137" s="39">
        <f>CK17-CK80</f>
        <v>0</v>
      </c>
      <c r="CL137" s="32">
        <v>0</v>
      </c>
      <c r="CM137" s="53" t="str">
        <f t="shared" si="251"/>
        <v>-</v>
      </c>
      <c r="CN137" s="41">
        <f>CN17-CN80</f>
        <v>0</v>
      </c>
      <c r="CO137" s="40">
        <f>CO17-CO80</f>
        <v>-669.19226020760834</v>
      </c>
      <c r="CP137" s="32">
        <v>0</v>
      </c>
      <c r="CQ137" s="34">
        <v>0</v>
      </c>
      <c r="CR137" s="39">
        <f>CR17-CR80</f>
        <v>0</v>
      </c>
      <c r="CS137" s="39">
        <f>CS17-CS80</f>
        <v>0</v>
      </c>
      <c r="CT137" s="32">
        <v>0</v>
      </c>
      <c r="CU137" s="34">
        <v>0</v>
      </c>
      <c r="CV137" s="39">
        <f>CV17-CV80</f>
        <v>0</v>
      </c>
      <c r="CW137" s="32">
        <v>0</v>
      </c>
      <c r="CX137" s="53" t="str">
        <f t="shared" si="252"/>
        <v>-</v>
      </c>
      <c r="CY137" s="41">
        <f>CY17-CY80</f>
        <v>0</v>
      </c>
      <c r="CZ137" s="40">
        <f>CZ17-CZ80</f>
        <v>-669.19226020760834</v>
      </c>
      <c r="DA137" s="32">
        <v>0</v>
      </c>
      <c r="DB137" s="34">
        <v>0</v>
      </c>
      <c r="DC137" s="39">
        <f>DC17-DC80</f>
        <v>0</v>
      </c>
      <c r="DD137" s="39">
        <f>DD17-DD80</f>
        <v>0</v>
      </c>
      <c r="DE137" s="32">
        <v>0</v>
      </c>
      <c r="DF137" s="34">
        <v>0</v>
      </c>
      <c r="DG137" s="39">
        <f>DG17-DG80</f>
        <v>0</v>
      </c>
      <c r="DH137" s="32">
        <v>0</v>
      </c>
      <c r="DI137" s="53" t="str">
        <f t="shared" si="253"/>
        <v>-</v>
      </c>
    </row>
    <row r="138" spans="1:113" s="6" customFormat="1" hidden="1" outlineLevel="2" collapsed="1" x14ac:dyDescent="0.2">
      <c r="A138" s="30"/>
      <c r="B138" s="29" t="str">
        <f t="shared" si="243"/>
        <v>Итого резерв на отпуск</v>
      </c>
      <c r="C138" s="52" t="str">
        <f t="shared" si="243"/>
        <v>Total Accruals for unused vacations</v>
      </c>
      <c r="D138" s="27">
        <f>SUM(D136:D137)</f>
        <v>-3656.5199999809265</v>
      </c>
      <c r="E138" s="26">
        <f>SUM(E136:E137)</f>
        <v>-4286.4477207902819</v>
      </c>
      <c r="F138" s="23">
        <v>0</v>
      </c>
      <c r="G138" s="25">
        <v>0</v>
      </c>
      <c r="H138" s="24">
        <f>SUM(H136:H137)</f>
        <v>-2578369.6499999166</v>
      </c>
      <c r="I138" s="24">
        <f>SUM(I136:I137)</f>
        <v>0</v>
      </c>
      <c r="J138" s="23">
        <v>0</v>
      </c>
      <c r="K138" s="25">
        <v>0</v>
      </c>
      <c r="L138" s="24">
        <f>SUM(L136:L137)</f>
        <v>0</v>
      </c>
      <c r="M138" s="23">
        <v>0</v>
      </c>
      <c r="N138" s="22" t="str">
        <f t="shared" si="244"/>
        <v>-</v>
      </c>
      <c r="O138" s="27">
        <f>SUM(O136:O137)</f>
        <v>-3656.5199999809265</v>
      </c>
      <c r="P138" s="26">
        <f>SUM(P136:P137)</f>
        <v>-4286.4477207902819</v>
      </c>
      <c r="Q138" s="23">
        <v>0</v>
      </c>
      <c r="R138" s="25">
        <v>0</v>
      </c>
      <c r="S138" s="24">
        <f>SUM(S136:S137)</f>
        <v>-2578369.6499999166</v>
      </c>
      <c r="T138" s="24">
        <f>SUM(T136:T137)</f>
        <v>0</v>
      </c>
      <c r="U138" s="23">
        <v>0</v>
      </c>
      <c r="V138" s="25">
        <v>0</v>
      </c>
      <c r="W138" s="24">
        <f>SUM(W136:W137)</f>
        <v>0</v>
      </c>
      <c r="X138" s="23">
        <v>0</v>
      </c>
      <c r="Y138" s="22" t="str">
        <f t="shared" si="245"/>
        <v>-</v>
      </c>
      <c r="Z138" s="27">
        <f>SUM(Z136:Z137)</f>
        <v>-3656.5199999809265</v>
      </c>
      <c r="AA138" s="26">
        <f>SUM(AA136:AA137)</f>
        <v>-4286.4477207902819</v>
      </c>
      <c r="AB138" s="23">
        <v>0</v>
      </c>
      <c r="AC138" s="25">
        <v>0</v>
      </c>
      <c r="AD138" s="24">
        <f>SUM(AD136:AD137)</f>
        <v>-2578369.6499999166</v>
      </c>
      <c r="AE138" s="24">
        <f>SUM(AE136:AE137)</f>
        <v>0</v>
      </c>
      <c r="AF138" s="23">
        <v>0</v>
      </c>
      <c r="AG138" s="25">
        <v>0</v>
      </c>
      <c r="AH138" s="24">
        <f>SUM(AH136:AH137)</f>
        <v>0</v>
      </c>
      <c r="AI138" s="23">
        <v>0</v>
      </c>
      <c r="AJ138" s="22" t="str">
        <f t="shared" si="246"/>
        <v>-</v>
      </c>
      <c r="AK138" s="27">
        <f>SUM(AK136:AK137)</f>
        <v>-3656.5199999809265</v>
      </c>
      <c r="AL138" s="26">
        <f>SUM(AL136:AL137)</f>
        <v>-4286.4477207902819</v>
      </c>
      <c r="AM138" s="23">
        <v>0</v>
      </c>
      <c r="AN138" s="25">
        <v>0</v>
      </c>
      <c r="AO138" s="24">
        <f>SUM(AO136:AO137)</f>
        <v>-2578369.6499999166</v>
      </c>
      <c r="AP138" s="24">
        <f>SUM(AP136:AP137)</f>
        <v>0</v>
      </c>
      <c r="AQ138" s="23">
        <v>0</v>
      </c>
      <c r="AR138" s="25">
        <v>0</v>
      </c>
      <c r="AS138" s="24">
        <f>SUM(AS136:AS137)</f>
        <v>0</v>
      </c>
      <c r="AT138" s="23">
        <v>0</v>
      </c>
      <c r="AU138" s="22" t="str">
        <f t="shared" si="247"/>
        <v>-</v>
      </c>
      <c r="AV138" s="27">
        <f>SUM(AV136:AV137)</f>
        <v>-3656.5199999809265</v>
      </c>
      <c r="AW138" s="26">
        <f>SUM(AW136:AW137)</f>
        <v>-4286.4477207902819</v>
      </c>
      <c r="AX138" s="23">
        <v>0</v>
      </c>
      <c r="AY138" s="25">
        <v>0</v>
      </c>
      <c r="AZ138" s="24">
        <f>SUM(AZ136:AZ137)</f>
        <v>-2578369.6499999166</v>
      </c>
      <c r="BA138" s="24">
        <f>SUM(BA136:BA137)</f>
        <v>0</v>
      </c>
      <c r="BB138" s="23">
        <v>0</v>
      </c>
      <c r="BC138" s="25">
        <v>0</v>
      </c>
      <c r="BD138" s="24">
        <f>SUM(BD136:BD137)</f>
        <v>0</v>
      </c>
      <c r="BE138" s="23">
        <v>0</v>
      </c>
      <c r="BF138" s="22" t="str">
        <f t="shared" si="248"/>
        <v>-</v>
      </c>
      <c r="BG138" s="27">
        <f>SUM(BG136:BG137)</f>
        <v>-3656.5199999809265</v>
      </c>
      <c r="BH138" s="26">
        <f>SUM(BH136:BH137)</f>
        <v>-4286.4477207902819</v>
      </c>
      <c r="BI138" s="23">
        <v>0</v>
      </c>
      <c r="BJ138" s="25">
        <v>0</v>
      </c>
      <c r="BK138" s="24">
        <f>SUM(BK136:BK137)</f>
        <v>-2578369.6499999166</v>
      </c>
      <c r="BL138" s="24">
        <f>SUM(BL136:BL137)</f>
        <v>0</v>
      </c>
      <c r="BM138" s="23">
        <v>0</v>
      </c>
      <c r="BN138" s="25">
        <v>0</v>
      </c>
      <c r="BO138" s="24">
        <f>SUM(BO136:BO137)</f>
        <v>0</v>
      </c>
      <c r="BP138" s="23">
        <v>0</v>
      </c>
      <c r="BQ138" s="22" t="str">
        <f t="shared" si="249"/>
        <v>-</v>
      </c>
      <c r="BR138" s="27">
        <f>SUM(BR136:BR137)</f>
        <v>-3656.5199999809265</v>
      </c>
      <c r="BS138" s="26">
        <f>SUM(BS136:BS137)</f>
        <v>-4286.4477207902819</v>
      </c>
      <c r="BT138" s="23">
        <v>0</v>
      </c>
      <c r="BU138" s="25">
        <v>0</v>
      </c>
      <c r="BV138" s="24">
        <f>SUM(BV136:BV137)</f>
        <v>-2578369.6499999166</v>
      </c>
      <c r="BW138" s="24">
        <f>SUM(BW136:BW137)</f>
        <v>0</v>
      </c>
      <c r="BX138" s="23">
        <v>0</v>
      </c>
      <c r="BY138" s="25">
        <v>0</v>
      </c>
      <c r="BZ138" s="24">
        <f>SUM(BZ136:BZ137)</f>
        <v>0</v>
      </c>
      <c r="CA138" s="23">
        <v>0</v>
      </c>
      <c r="CB138" s="22" t="str">
        <f t="shared" si="250"/>
        <v>-</v>
      </c>
      <c r="CC138" s="27">
        <f>SUM(CC136:CC137)</f>
        <v>-3656.5199999809265</v>
      </c>
      <c r="CD138" s="26">
        <f>SUM(CD136:CD137)</f>
        <v>-4286.4477207902819</v>
      </c>
      <c r="CE138" s="23">
        <v>0</v>
      </c>
      <c r="CF138" s="25">
        <v>0</v>
      </c>
      <c r="CG138" s="24">
        <f>SUM(CG136:CG137)</f>
        <v>-2578369.6499999166</v>
      </c>
      <c r="CH138" s="24">
        <f>SUM(CH136:CH137)</f>
        <v>0</v>
      </c>
      <c r="CI138" s="23">
        <v>0</v>
      </c>
      <c r="CJ138" s="25">
        <v>0</v>
      </c>
      <c r="CK138" s="24">
        <f>SUM(CK136:CK137)</f>
        <v>0</v>
      </c>
      <c r="CL138" s="23">
        <v>0</v>
      </c>
      <c r="CM138" s="22" t="str">
        <f t="shared" si="251"/>
        <v>-</v>
      </c>
      <c r="CN138" s="27">
        <f>SUM(CN136:CN137)</f>
        <v>-3656.5199999809265</v>
      </c>
      <c r="CO138" s="26">
        <f>SUM(CO136:CO137)</f>
        <v>-4286.4477207902819</v>
      </c>
      <c r="CP138" s="23">
        <v>0</v>
      </c>
      <c r="CQ138" s="25">
        <v>0</v>
      </c>
      <c r="CR138" s="24">
        <f>SUM(CR136:CR137)</f>
        <v>-2578369.6499999166</v>
      </c>
      <c r="CS138" s="24">
        <f>SUM(CS136:CS137)</f>
        <v>0</v>
      </c>
      <c r="CT138" s="23">
        <v>0</v>
      </c>
      <c r="CU138" s="25">
        <v>0</v>
      </c>
      <c r="CV138" s="24">
        <f>SUM(CV136:CV137)</f>
        <v>0</v>
      </c>
      <c r="CW138" s="23">
        <v>0</v>
      </c>
      <c r="CX138" s="22" t="str">
        <f t="shared" si="252"/>
        <v>-</v>
      </c>
      <c r="CY138" s="27">
        <f>SUM(CY136:CY137)</f>
        <v>-3656.5199999809265</v>
      </c>
      <c r="CZ138" s="26">
        <f>SUM(CZ136:CZ137)</f>
        <v>-4286.4477207902819</v>
      </c>
      <c r="DA138" s="23">
        <v>0</v>
      </c>
      <c r="DB138" s="25">
        <v>0</v>
      </c>
      <c r="DC138" s="24">
        <f>SUM(DC136:DC137)</f>
        <v>-2578369.6499999166</v>
      </c>
      <c r="DD138" s="24">
        <f>SUM(DD136:DD137)</f>
        <v>0</v>
      </c>
      <c r="DE138" s="23">
        <v>0</v>
      </c>
      <c r="DF138" s="25">
        <v>0</v>
      </c>
      <c r="DG138" s="24">
        <f>SUM(DG136:DG137)</f>
        <v>0</v>
      </c>
      <c r="DH138" s="23">
        <v>0</v>
      </c>
      <c r="DI138" s="22" t="str">
        <f t="shared" si="253"/>
        <v>-</v>
      </c>
    </row>
    <row r="139" spans="1:113" hidden="1" outlineLevel="3" x14ac:dyDescent="0.2">
      <c r="A139" s="54"/>
      <c r="B139" s="38" t="str">
        <f t="shared" si="243"/>
        <v>Оплата больничных листов</v>
      </c>
      <c r="C139" s="49" t="str">
        <f t="shared" si="243"/>
        <v>Sick leave compensation</v>
      </c>
      <c r="D139" s="41">
        <f>D19-D82</f>
        <v>0</v>
      </c>
      <c r="E139" s="40">
        <f>E19-E82</f>
        <v>0</v>
      </c>
      <c r="F139" s="32">
        <v>0</v>
      </c>
      <c r="G139" s="34">
        <v>0</v>
      </c>
      <c r="H139" s="39">
        <f>H19-H82</f>
        <v>0</v>
      </c>
      <c r="I139" s="39">
        <f>I19-I82</f>
        <v>-1108089.5900000001</v>
      </c>
      <c r="J139" s="32">
        <v>0</v>
      </c>
      <c r="K139" s="34">
        <v>0</v>
      </c>
      <c r="L139" s="39">
        <f>L19-L82</f>
        <v>-1108089.5900000001</v>
      </c>
      <c r="M139" s="32">
        <v>0</v>
      </c>
      <c r="N139" s="53">
        <f t="shared" si="244"/>
        <v>0</v>
      </c>
      <c r="O139" s="41">
        <f>O19-O82</f>
        <v>0</v>
      </c>
      <c r="P139" s="40">
        <f>P19-P82</f>
        <v>0</v>
      </c>
      <c r="Q139" s="32">
        <v>0</v>
      </c>
      <c r="R139" s="34">
        <v>0</v>
      </c>
      <c r="S139" s="39">
        <f>S19-S82</f>
        <v>0</v>
      </c>
      <c r="T139" s="39">
        <f>T19-T82</f>
        <v>-1108089.5900000001</v>
      </c>
      <c r="U139" s="32">
        <v>0</v>
      </c>
      <c r="V139" s="34">
        <v>0</v>
      </c>
      <c r="W139" s="39">
        <f>W19-W82</f>
        <v>-1108089.5900000001</v>
      </c>
      <c r="X139" s="32">
        <v>0</v>
      </c>
      <c r="Y139" s="53">
        <f t="shared" si="245"/>
        <v>0</v>
      </c>
      <c r="Z139" s="41">
        <f>Z19-Z82</f>
        <v>0</v>
      </c>
      <c r="AA139" s="40">
        <f>AA19-AA82</f>
        <v>0</v>
      </c>
      <c r="AB139" s="32">
        <v>0</v>
      </c>
      <c r="AC139" s="34">
        <v>0</v>
      </c>
      <c r="AD139" s="39">
        <f>AD19-AD82</f>
        <v>0</v>
      </c>
      <c r="AE139" s="39">
        <f>AE19-AE82</f>
        <v>-1108089.5900000001</v>
      </c>
      <c r="AF139" s="32">
        <v>0</v>
      </c>
      <c r="AG139" s="34">
        <v>0</v>
      </c>
      <c r="AH139" s="39">
        <f>AH19-AH82</f>
        <v>-1108089.5900000001</v>
      </c>
      <c r="AI139" s="32">
        <v>0</v>
      </c>
      <c r="AJ139" s="53">
        <f t="shared" si="246"/>
        <v>0</v>
      </c>
      <c r="AK139" s="41">
        <f>AK19-AK82</f>
        <v>0</v>
      </c>
      <c r="AL139" s="40">
        <f>AL19-AL82</f>
        <v>0</v>
      </c>
      <c r="AM139" s="32">
        <v>0</v>
      </c>
      <c r="AN139" s="34">
        <v>0</v>
      </c>
      <c r="AO139" s="39">
        <f>AO19-AO82</f>
        <v>0</v>
      </c>
      <c r="AP139" s="39">
        <f>AP19-AP82</f>
        <v>-1108089.5900000001</v>
      </c>
      <c r="AQ139" s="32">
        <v>0</v>
      </c>
      <c r="AR139" s="34">
        <v>0</v>
      </c>
      <c r="AS139" s="39">
        <f>AS19-AS82</f>
        <v>-1108089.5900000001</v>
      </c>
      <c r="AT139" s="32">
        <v>0</v>
      </c>
      <c r="AU139" s="53">
        <f t="shared" si="247"/>
        <v>0</v>
      </c>
      <c r="AV139" s="41">
        <f>AV19-AV82</f>
        <v>0</v>
      </c>
      <c r="AW139" s="40">
        <f>AW19-AW82</f>
        <v>0</v>
      </c>
      <c r="AX139" s="32">
        <v>0</v>
      </c>
      <c r="AY139" s="34">
        <v>0</v>
      </c>
      <c r="AZ139" s="39">
        <f>AZ19-AZ82</f>
        <v>0</v>
      </c>
      <c r="BA139" s="39">
        <f>BA19-BA82</f>
        <v>-1108089.5900000001</v>
      </c>
      <c r="BB139" s="32">
        <v>0</v>
      </c>
      <c r="BC139" s="34">
        <v>0</v>
      </c>
      <c r="BD139" s="39">
        <f>BD19-BD82</f>
        <v>-1108089.5900000001</v>
      </c>
      <c r="BE139" s="32">
        <v>0</v>
      </c>
      <c r="BF139" s="53">
        <f t="shared" si="248"/>
        <v>0</v>
      </c>
      <c r="BG139" s="41">
        <f>BG19-BG82</f>
        <v>0</v>
      </c>
      <c r="BH139" s="40">
        <f>BH19-BH82</f>
        <v>0</v>
      </c>
      <c r="BI139" s="32">
        <v>0</v>
      </c>
      <c r="BJ139" s="34">
        <v>0</v>
      </c>
      <c r="BK139" s="39">
        <f>BK19-BK82</f>
        <v>0</v>
      </c>
      <c r="BL139" s="39">
        <f>BL19-BL82</f>
        <v>-1108089.5900000001</v>
      </c>
      <c r="BM139" s="32">
        <v>0</v>
      </c>
      <c r="BN139" s="34">
        <v>0</v>
      </c>
      <c r="BO139" s="39">
        <f>BO19-BO82</f>
        <v>-1108089.5900000001</v>
      </c>
      <c r="BP139" s="32">
        <v>0</v>
      </c>
      <c r="BQ139" s="53">
        <f t="shared" si="249"/>
        <v>0</v>
      </c>
      <c r="BR139" s="41">
        <f>BR19-BR82</f>
        <v>0</v>
      </c>
      <c r="BS139" s="40">
        <f>BS19-BS82</f>
        <v>0</v>
      </c>
      <c r="BT139" s="32">
        <v>0</v>
      </c>
      <c r="BU139" s="34">
        <v>0</v>
      </c>
      <c r="BV139" s="39">
        <f>BV19-BV82</f>
        <v>0</v>
      </c>
      <c r="BW139" s="39">
        <f>BW19-BW82</f>
        <v>-1108089.5900000001</v>
      </c>
      <c r="BX139" s="32">
        <v>0</v>
      </c>
      <c r="BY139" s="34">
        <v>0</v>
      </c>
      <c r="BZ139" s="39">
        <f>BZ19-BZ82</f>
        <v>-1108089.5900000001</v>
      </c>
      <c r="CA139" s="32">
        <v>0</v>
      </c>
      <c r="CB139" s="53">
        <f t="shared" si="250"/>
        <v>0</v>
      </c>
      <c r="CC139" s="41">
        <f>CC19-CC82</f>
        <v>0</v>
      </c>
      <c r="CD139" s="40">
        <f>CD19-CD82</f>
        <v>0</v>
      </c>
      <c r="CE139" s="32">
        <v>0</v>
      </c>
      <c r="CF139" s="34">
        <v>0</v>
      </c>
      <c r="CG139" s="39">
        <f>CG19-CG82</f>
        <v>0</v>
      </c>
      <c r="CH139" s="39">
        <f>CH19-CH82</f>
        <v>-1108089.5900000001</v>
      </c>
      <c r="CI139" s="32">
        <v>0</v>
      </c>
      <c r="CJ139" s="34">
        <v>0</v>
      </c>
      <c r="CK139" s="39">
        <f>CK19-CK82</f>
        <v>-1108089.5900000001</v>
      </c>
      <c r="CL139" s="32">
        <v>0</v>
      </c>
      <c r="CM139" s="53">
        <f t="shared" si="251"/>
        <v>0</v>
      </c>
      <c r="CN139" s="41">
        <f>CN19-CN82</f>
        <v>0</v>
      </c>
      <c r="CO139" s="40">
        <f>CO19-CO82</f>
        <v>0</v>
      </c>
      <c r="CP139" s="32">
        <v>0</v>
      </c>
      <c r="CQ139" s="34">
        <v>0</v>
      </c>
      <c r="CR139" s="39">
        <f>CR19-CR82</f>
        <v>0</v>
      </c>
      <c r="CS139" s="39">
        <f>CS19-CS82</f>
        <v>-1108089.5900000001</v>
      </c>
      <c r="CT139" s="32">
        <v>0</v>
      </c>
      <c r="CU139" s="34">
        <v>0</v>
      </c>
      <c r="CV139" s="39">
        <f>CV19-CV82</f>
        <v>-1108089.5900000001</v>
      </c>
      <c r="CW139" s="32">
        <v>0</v>
      </c>
      <c r="CX139" s="53">
        <f t="shared" si="252"/>
        <v>0</v>
      </c>
      <c r="CY139" s="41">
        <f>CY19-CY82</f>
        <v>0</v>
      </c>
      <c r="CZ139" s="40">
        <f>CZ19-CZ82</f>
        <v>0</v>
      </c>
      <c r="DA139" s="32">
        <v>0</v>
      </c>
      <c r="DB139" s="34">
        <v>0</v>
      </c>
      <c r="DC139" s="39">
        <f>DC19-DC82</f>
        <v>0</v>
      </c>
      <c r="DD139" s="39">
        <f>DD19-DD82</f>
        <v>-1108089.5900000001</v>
      </c>
      <c r="DE139" s="32">
        <v>0</v>
      </c>
      <c r="DF139" s="34">
        <v>0</v>
      </c>
      <c r="DG139" s="39">
        <f>DG19-DG82</f>
        <v>-1108089.5900000001</v>
      </c>
      <c r="DH139" s="32">
        <v>0</v>
      </c>
      <c r="DI139" s="53">
        <f t="shared" si="253"/>
        <v>0</v>
      </c>
    </row>
    <row r="140" spans="1:113" hidden="1" outlineLevel="3" x14ac:dyDescent="0.2">
      <c r="A140" s="54"/>
      <c r="B140" s="38" t="str">
        <f t="shared" si="243"/>
        <v>Страховые взносы оплата больничных листов</v>
      </c>
      <c r="C140" s="49" t="str">
        <f t="shared" si="243"/>
        <v>Social Security on Sick leave compensation</v>
      </c>
      <c r="D140" s="41">
        <f>D20-D83</f>
        <v>0</v>
      </c>
      <c r="E140" s="40">
        <f>E20-E83</f>
        <v>0</v>
      </c>
      <c r="F140" s="32">
        <v>0</v>
      </c>
      <c r="G140" s="34">
        <v>0</v>
      </c>
      <c r="H140" s="39">
        <f>H20-H83</f>
        <v>0</v>
      </c>
      <c r="I140" s="39">
        <f>I20-I83</f>
        <v>-244088.15</v>
      </c>
      <c r="J140" s="32">
        <v>0</v>
      </c>
      <c r="K140" s="34">
        <v>0</v>
      </c>
      <c r="L140" s="39">
        <f>L20-L83</f>
        <v>-244088.15</v>
      </c>
      <c r="M140" s="32">
        <v>0</v>
      </c>
      <c r="N140" s="53">
        <f t="shared" si="244"/>
        <v>0</v>
      </c>
      <c r="O140" s="41">
        <f>O20-O83</f>
        <v>0</v>
      </c>
      <c r="P140" s="40">
        <f>P20-P83</f>
        <v>0</v>
      </c>
      <c r="Q140" s="32">
        <v>0</v>
      </c>
      <c r="R140" s="34">
        <v>0</v>
      </c>
      <c r="S140" s="39">
        <f>S20-S83</f>
        <v>0</v>
      </c>
      <c r="T140" s="39">
        <f>T20-T83</f>
        <v>-244088.15</v>
      </c>
      <c r="U140" s="32">
        <v>0</v>
      </c>
      <c r="V140" s="34">
        <v>0</v>
      </c>
      <c r="W140" s="39">
        <f>W20-W83</f>
        <v>-244088.15</v>
      </c>
      <c r="X140" s="32">
        <v>0</v>
      </c>
      <c r="Y140" s="53">
        <f t="shared" si="245"/>
        <v>0</v>
      </c>
      <c r="Z140" s="41">
        <f>Z20-Z83</f>
        <v>0</v>
      </c>
      <c r="AA140" s="40">
        <f>AA20-AA83</f>
        <v>0</v>
      </c>
      <c r="AB140" s="32">
        <v>0</v>
      </c>
      <c r="AC140" s="34">
        <v>0</v>
      </c>
      <c r="AD140" s="39">
        <f>AD20-AD83</f>
        <v>0</v>
      </c>
      <c r="AE140" s="39">
        <f>AE20-AE83</f>
        <v>-244088.15</v>
      </c>
      <c r="AF140" s="32">
        <v>0</v>
      </c>
      <c r="AG140" s="34">
        <v>0</v>
      </c>
      <c r="AH140" s="39">
        <f>AH20-AH83</f>
        <v>-244088.15</v>
      </c>
      <c r="AI140" s="32">
        <v>0</v>
      </c>
      <c r="AJ140" s="53">
        <f t="shared" si="246"/>
        <v>0</v>
      </c>
      <c r="AK140" s="41">
        <f>AK20-AK83</f>
        <v>0</v>
      </c>
      <c r="AL140" s="40">
        <f>AL20-AL83</f>
        <v>0</v>
      </c>
      <c r="AM140" s="32">
        <v>0</v>
      </c>
      <c r="AN140" s="34">
        <v>0</v>
      </c>
      <c r="AO140" s="39">
        <f>AO20-AO83</f>
        <v>0</v>
      </c>
      <c r="AP140" s="39">
        <f>AP20-AP83</f>
        <v>-244088.15</v>
      </c>
      <c r="AQ140" s="32">
        <v>0</v>
      </c>
      <c r="AR140" s="34">
        <v>0</v>
      </c>
      <c r="AS140" s="39">
        <f>AS20-AS83</f>
        <v>-244088.15</v>
      </c>
      <c r="AT140" s="32">
        <v>0</v>
      </c>
      <c r="AU140" s="53">
        <f t="shared" si="247"/>
        <v>0</v>
      </c>
      <c r="AV140" s="41">
        <f>AV20-AV83</f>
        <v>0</v>
      </c>
      <c r="AW140" s="40">
        <f>AW20-AW83</f>
        <v>0</v>
      </c>
      <c r="AX140" s="32">
        <v>0</v>
      </c>
      <c r="AY140" s="34">
        <v>0</v>
      </c>
      <c r="AZ140" s="39">
        <f>AZ20-AZ83</f>
        <v>0</v>
      </c>
      <c r="BA140" s="39">
        <f>BA20-BA83</f>
        <v>-244088.15</v>
      </c>
      <c r="BB140" s="32">
        <v>0</v>
      </c>
      <c r="BC140" s="34">
        <v>0</v>
      </c>
      <c r="BD140" s="39">
        <f>BD20-BD83</f>
        <v>-244088.15</v>
      </c>
      <c r="BE140" s="32">
        <v>0</v>
      </c>
      <c r="BF140" s="53">
        <f t="shared" si="248"/>
        <v>0</v>
      </c>
      <c r="BG140" s="41">
        <f>BG20-BG83</f>
        <v>0</v>
      </c>
      <c r="BH140" s="40">
        <f>BH20-BH83</f>
        <v>0</v>
      </c>
      <c r="BI140" s="32">
        <v>0</v>
      </c>
      <c r="BJ140" s="34">
        <v>0</v>
      </c>
      <c r="BK140" s="39">
        <f>BK20-BK83</f>
        <v>0</v>
      </c>
      <c r="BL140" s="39">
        <f>BL20-BL83</f>
        <v>-244088.15</v>
      </c>
      <c r="BM140" s="32">
        <v>0</v>
      </c>
      <c r="BN140" s="34">
        <v>0</v>
      </c>
      <c r="BO140" s="39">
        <f>BO20-BO83</f>
        <v>-244088.15</v>
      </c>
      <c r="BP140" s="32">
        <v>0</v>
      </c>
      <c r="BQ140" s="53">
        <f t="shared" si="249"/>
        <v>0</v>
      </c>
      <c r="BR140" s="41">
        <f>BR20-BR83</f>
        <v>0</v>
      </c>
      <c r="BS140" s="40">
        <f>BS20-BS83</f>
        <v>0</v>
      </c>
      <c r="BT140" s="32">
        <v>0</v>
      </c>
      <c r="BU140" s="34">
        <v>0</v>
      </c>
      <c r="BV140" s="39">
        <f>BV20-BV83</f>
        <v>0</v>
      </c>
      <c r="BW140" s="39">
        <f>BW20-BW83</f>
        <v>-244088.15</v>
      </c>
      <c r="BX140" s="32">
        <v>0</v>
      </c>
      <c r="BY140" s="34">
        <v>0</v>
      </c>
      <c r="BZ140" s="39">
        <f>BZ20-BZ83</f>
        <v>-244088.15</v>
      </c>
      <c r="CA140" s="32">
        <v>0</v>
      </c>
      <c r="CB140" s="53">
        <f t="shared" si="250"/>
        <v>0</v>
      </c>
      <c r="CC140" s="41">
        <f>CC20-CC83</f>
        <v>0</v>
      </c>
      <c r="CD140" s="40">
        <f>CD20-CD83</f>
        <v>0</v>
      </c>
      <c r="CE140" s="32">
        <v>0</v>
      </c>
      <c r="CF140" s="34">
        <v>0</v>
      </c>
      <c r="CG140" s="39">
        <f>CG20-CG83</f>
        <v>0</v>
      </c>
      <c r="CH140" s="39">
        <f>CH20-CH83</f>
        <v>-244088.15</v>
      </c>
      <c r="CI140" s="32">
        <v>0</v>
      </c>
      <c r="CJ140" s="34">
        <v>0</v>
      </c>
      <c r="CK140" s="39">
        <f>CK20-CK83</f>
        <v>-244088.15</v>
      </c>
      <c r="CL140" s="32">
        <v>0</v>
      </c>
      <c r="CM140" s="53">
        <f t="shared" si="251"/>
        <v>0</v>
      </c>
      <c r="CN140" s="41">
        <f>CN20-CN83</f>
        <v>0</v>
      </c>
      <c r="CO140" s="40">
        <f>CO20-CO83</f>
        <v>0</v>
      </c>
      <c r="CP140" s="32">
        <v>0</v>
      </c>
      <c r="CQ140" s="34">
        <v>0</v>
      </c>
      <c r="CR140" s="39">
        <f>CR20-CR83</f>
        <v>0</v>
      </c>
      <c r="CS140" s="39">
        <f>CS20-CS83</f>
        <v>-244088.15</v>
      </c>
      <c r="CT140" s="32">
        <v>0</v>
      </c>
      <c r="CU140" s="34">
        <v>0</v>
      </c>
      <c r="CV140" s="39">
        <f>CV20-CV83</f>
        <v>-244088.15</v>
      </c>
      <c r="CW140" s="32">
        <v>0</v>
      </c>
      <c r="CX140" s="53">
        <f t="shared" si="252"/>
        <v>0</v>
      </c>
      <c r="CY140" s="41">
        <f>CY20-CY83</f>
        <v>0</v>
      </c>
      <c r="CZ140" s="40">
        <f>CZ20-CZ83</f>
        <v>0</v>
      </c>
      <c r="DA140" s="32">
        <v>0</v>
      </c>
      <c r="DB140" s="34">
        <v>0</v>
      </c>
      <c r="DC140" s="39">
        <f>DC20-DC83</f>
        <v>0</v>
      </c>
      <c r="DD140" s="39">
        <f>DD20-DD83</f>
        <v>-244088.15</v>
      </c>
      <c r="DE140" s="32">
        <v>0</v>
      </c>
      <c r="DF140" s="34">
        <v>0</v>
      </c>
      <c r="DG140" s="39">
        <f>DG20-DG83</f>
        <v>-244088.15</v>
      </c>
      <c r="DH140" s="32">
        <v>0</v>
      </c>
      <c r="DI140" s="53">
        <f t="shared" si="253"/>
        <v>0</v>
      </c>
    </row>
    <row r="141" spans="1:113" s="6" customFormat="1" hidden="1" outlineLevel="2" collapsed="1" x14ac:dyDescent="0.2">
      <c r="A141" s="30"/>
      <c r="B141" s="29" t="str">
        <f t="shared" si="243"/>
        <v>Итого оплата больничных листов</v>
      </c>
      <c r="C141" s="52" t="str">
        <f t="shared" si="243"/>
        <v>Total Sick leave compensation</v>
      </c>
      <c r="D141" s="27">
        <f>SUM(D139:D140)</f>
        <v>0</v>
      </c>
      <c r="E141" s="26">
        <f>SUM(E139:E140)</f>
        <v>0</v>
      </c>
      <c r="F141" s="23">
        <v>0</v>
      </c>
      <c r="G141" s="25">
        <v>0</v>
      </c>
      <c r="H141" s="24">
        <f>SUM(H139:H140)</f>
        <v>0</v>
      </c>
      <c r="I141" s="24">
        <f>SUM(I139:I140)</f>
        <v>-1352177.74</v>
      </c>
      <c r="J141" s="23">
        <v>0</v>
      </c>
      <c r="K141" s="25">
        <v>0</v>
      </c>
      <c r="L141" s="24">
        <f>SUM(L139:L140)</f>
        <v>-1352177.74</v>
      </c>
      <c r="M141" s="23">
        <v>0</v>
      </c>
      <c r="N141" s="22">
        <f t="shared" si="244"/>
        <v>0</v>
      </c>
      <c r="O141" s="27">
        <f>SUM(O139:O140)</f>
        <v>0</v>
      </c>
      <c r="P141" s="26">
        <f>SUM(P139:P140)</f>
        <v>0</v>
      </c>
      <c r="Q141" s="23">
        <v>0</v>
      </c>
      <c r="R141" s="25">
        <v>0</v>
      </c>
      <c r="S141" s="24">
        <f>SUM(S139:S140)</f>
        <v>0</v>
      </c>
      <c r="T141" s="24">
        <f>SUM(T139:T140)</f>
        <v>-1352177.74</v>
      </c>
      <c r="U141" s="23">
        <v>0</v>
      </c>
      <c r="V141" s="25">
        <v>0</v>
      </c>
      <c r="W141" s="24">
        <f>SUM(W139:W140)</f>
        <v>-1352177.74</v>
      </c>
      <c r="X141" s="23">
        <v>0</v>
      </c>
      <c r="Y141" s="22">
        <f t="shared" si="245"/>
        <v>0</v>
      </c>
      <c r="Z141" s="27">
        <f>SUM(Z139:Z140)</f>
        <v>0</v>
      </c>
      <c r="AA141" s="26">
        <f>SUM(AA139:AA140)</f>
        <v>0</v>
      </c>
      <c r="AB141" s="23">
        <v>0</v>
      </c>
      <c r="AC141" s="25">
        <v>0</v>
      </c>
      <c r="AD141" s="24">
        <f>SUM(AD139:AD140)</f>
        <v>0</v>
      </c>
      <c r="AE141" s="24">
        <f>SUM(AE139:AE140)</f>
        <v>-1352177.74</v>
      </c>
      <c r="AF141" s="23">
        <v>0</v>
      </c>
      <c r="AG141" s="25">
        <v>0</v>
      </c>
      <c r="AH141" s="24">
        <f>SUM(AH139:AH140)</f>
        <v>-1352177.74</v>
      </c>
      <c r="AI141" s="23">
        <v>0</v>
      </c>
      <c r="AJ141" s="22">
        <f t="shared" si="246"/>
        <v>0</v>
      </c>
      <c r="AK141" s="27">
        <f>SUM(AK139:AK140)</f>
        <v>0</v>
      </c>
      <c r="AL141" s="26">
        <f>SUM(AL139:AL140)</f>
        <v>0</v>
      </c>
      <c r="AM141" s="23">
        <v>0</v>
      </c>
      <c r="AN141" s="25">
        <v>0</v>
      </c>
      <c r="AO141" s="24">
        <f>SUM(AO139:AO140)</f>
        <v>0</v>
      </c>
      <c r="AP141" s="24">
        <f>SUM(AP139:AP140)</f>
        <v>-1352177.74</v>
      </c>
      <c r="AQ141" s="23">
        <v>0</v>
      </c>
      <c r="AR141" s="25">
        <v>0</v>
      </c>
      <c r="AS141" s="24">
        <f>SUM(AS139:AS140)</f>
        <v>-1352177.74</v>
      </c>
      <c r="AT141" s="23">
        <v>0</v>
      </c>
      <c r="AU141" s="22">
        <f t="shared" si="247"/>
        <v>0</v>
      </c>
      <c r="AV141" s="27">
        <f>SUM(AV139:AV140)</f>
        <v>0</v>
      </c>
      <c r="AW141" s="26">
        <f>SUM(AW139:AW140)</f>
        <v>0</v>
      </c>
      <c r="AX141" s="23">
        <v>0</v>
      </c>
      <c r="AY141" s="25">
        <v>0</v>
      </c>
      <c r="AZ141" s="24">
        <f>SUM(AZ139:AZ140)</f>
        <v>0</v>
      </c>
      <c r="BA141" s="24">
        <f>SUM(BA139:BA140)</f>
        <v>-1352177.74</v>
      </c>
      <c r="BB141" s="23">
        <v>0</v>
      </c>
      <c r="BC141" s="25">
        <v>0</v>
      </c>
      <c r="BD141" s="24">
        <f>SUM(BD139:BD140)</f>
        <v>-1352177.74</v>
      </c>
      <c r="BE141" s="23">
        <v>0</v>
      </c>
      <c r="BF141" s="22">
        <f t="shared" si="248"/>
        <v>0</v>
      </c>
      <c r="BG141" s="27">
        <f>SUM(BG139:BG140)</f>
        <v>0</v>
      </c>
      <c r="BH141" s="26">
        <f>SUM(BH139:BH140)</f>
        <v>0</v>
      </c>
      <c r="BI141" s="23">
        <v>0</v>
      </c>
      <c r="BJ141" s="25">
        <v>0</v>
      </c>
      <c r="BK141" s="24">
        <f>SUM(BK139:BK140)</f>
        <v>0</v>
      </c>
      <c r="BL141" s="24">
        <f>SUM(BL139:BL140)</f>
        <v>-1352177.74</v>
      </c>
      <c r="BM141" s="23">
        <v>0</v>
      </c>
      <c r="BN141" s="25">
        <v>0</v>
      </c>
      <c r="BO141" s="24">
        <f>SUM(BO139:BO140)</f>
        <v>-1352177.74</v>
      </c>
      <c r="BP141" s="23">
        <v>0</v>
      </c>
      <c r="BQ141" s="22">
        <f t="shared" si="249"/>
        <v>0</v>
      </c>
      <c r="BR141" s="27">
        <f>SUM(BR139:BR140)</f>
        <v>0</v>
      </c>
      <c r="BS141" s="26">
        <f>SUM(BS139:BS140)</f>
        <v>0</v>
      </c>
      <c r="BT141" s="23">
        <v>0</v>
      </c>
      <c r="BU141" s="25">
        <v>0</v>
      </c>
      <c r="BV141" s="24">
        <f>SUM(BV139:BV140)</f>
        <v>0</v>
      </c>
      <c r="BW141" s="24">
        <f>SUM(BW139:BW140)</f>
        <v>-1352177.74</v>
      </c>
      <c r="BX141" s="23">
        <v>0</v>
      </c>
      <c r="BY141" s="25">
        <v>0</v>
      </c>
      <c r="BZ141" s="24">
        <f>SUM(BZ139:BZ140)</f>
        <v>-1352177.74</v>
      </c>
      <c r="CA141" s="23">
        <v>0</v>
      </c>
      <c r="CB141" s="22">
        <f t="shared" si="250"/>
        <v>0</v>
      </c>
      <c r="CC141" s="27">
        <f>SUM(CC139:CC140)</f>
        <v>0</v>
      </c>
      <c r="CD141" s="26">
        <f>SUM(CD139:CD140)</f>
        <v>0</v>
      </c>
      <c r="CE141" s="23">
        <v>0</v>
      </c>
      <c r="CF141" s="25">
        <v>0</v>
      </c>
      <c r="CG141" s="24">
        <f>SUM(CG139:CG140)</f>
        <v>0</v>
      </c>
      <c r="CH141" s="24">
        <f>SUM(CH139:CH140)</f>
        <v>-1352177.74</v>
      </c>
      <c r="CI141" s="23">
        <v>0</v>
      </c>
      <c r="CJ141" s="25">
        <v>0</v>
      </c>
      <c r="CK141" s="24">
        <f>SUM(CK139:CK140)</f>
        <v>-1352177.74</v>
      </c>
      <c r="CL141" s="23">
        <v>0</v>
      </c>
      <c r="CM141" s="22">
        <f t="shared" si="251"/>
        <v>0</v>
      </c>
      <c r="CN141" s="27">
        <f>SUM(CN139:CN140)</f>
        <v>0</v>
      </c>
      <c r="CO141" s="26">
        <f>SUM(CO139:CO140)</f>
        <v>0</v>
      </c>
      <c r="CP141" s="23">
        <v>0</v>
      </c>
      <c r="CQ141" s="25">
        <v>0</v>
      </c>
      <c r="CR141" s="24">
        <f>SUM(CR139:CR140)</f>
        <v>0</v>
      </c>
      <c r="CS141" s="24">
        <f>SUM(CS139:CS140)</f>
        <v>-1352177.74</v>
      </c>
      <c r="CT141" s="23">
        <v>0</v>
      </c>
      <c r="CU141" s="25">
        <v>0</v>
      </c>
      <c r="CV141" s="24">
        <f>SUM(CV139:CV140)</f>
        <v>-1352177.74</v>
      </c>
      <c r="CW141" s="23">
        <v>0</v>
      </c>
      <c r="CX141" s="22">
        <f t="shared" si="252"/>
        <v>0</v>
      </c>
      <c r="CY141" s="27">
        <f>SUM(CY139:CY140)</f>
        <v>0</v>
      </c>
      <c r="CZ141" s="26">
        <f>SUM(CZ139:CZ140)</f>
        <v>0</v>
      </c>
      <c r="DA141" s="23">
        <v>0</v>
      </c>
      <c r="DB141" s="25">
        <v>0</v>
      </c>
      <c r="DC141" s="24">
        <f>SUM(DC139:DC140)</f>
        <v>0</v>
      </c>
      <c r="DD141" s="24">
        <f>SUM(DD139:DD140)</f>
        <v>-1352177.74</v>
      </c>
      <c r="DE141" s="23">
        <v>0</v>
      </c>
      <c r="DF141" s="25">
        <v>0</v>
      </c>
      <c r="DG141" s="24">
        <f>SUM(DG139:DG140)</f>
        <v>-1352177.74</v>
      </c>
      <c r="DH141" s="23">
        <v>0</v>
      </c>
      <c r="DI141" s="22">
        <f t="shared" si="253"/>
        <v>0</v>
      </c>
    </row>
    <row r="142" spans="1:113" hidden="1" outlineLevel="3" x14ac:dyDescent="0.2">
      <c r="A142" s="54"/>
      <c r="B142" s="38" t="str">
        <f t="shared" si="243"/>
        <v>Декрет</v>
      </c>
      <c r="C142" s="49" t="str">
        <f t="shared" si="243"/>
        <v>Maternity leave</v>
      </c>
      <c r="D142" s="41">
        <f>D22-D85</f>
        <v>0</v>
      </c>
      <c r="E142" s="40">
        <f>E22-E85</f>
        <v>0</v>
      </c>
      <c r="F142" s="32">
        <v>0</v>
      </c>
      <c r="G142" s="34">
        <v>0</v>
      </c>
      <c r="H142" s="39">
        <f>H22-H85</f>
        <v>0</v>
      </c>
      <c r="I142" s="39">
        <f>I22-I85</f>
        <v>0</v>
      </c>
      <c r="J142" s="32">
        <v>0</v>
      </c>
      <c r="K142" s="34">
        <v>0</v>
      </c>
      <c r="L142" s="39">
        <f>L22-L85</f>
        <v>0</v>
      </c>
      <c r="M142" s="32">
        <v>0</v>
      </c>
      <c r="N142" s="53" t="str">
        <f t="shared" si="244"/>
        <v>-</v>
      </c>
      <c r="O142" s="41">
        <f>O22-O85</f>
        <v>0</v>
      </c>
      <c r="P142" s="40">
        <f>P22-P85</f>
        <v>0</v>
      </c>
      <c r="Q142" s="32">
        <v>0</v>
      </c>
      <c r="R142" s="34">
        <v>0</v>
      </c>
      <c r="S142" s="39">
        <f>S22-S85</f>
        <v>0</v>
      </c>
      <c r="T142" s="39">
        <f>T22-T85</f>
        <v>0</v>
      </c>
      <c r="U142" s="32">
        <v>0</v>
      </c>
      <c r="V142" s="34">
        <v>0</v>
      </c>
      <c r="W142" s="39">
        <f>W22-W85</f>
        <v>0</v>
      </c>
      <c r="X142" s="32">
        <v>0</v>
      </c>
      <c r="Y142" s="53" t="str">
        <f t="shared" si="245"/>
        <v>-</v>
      </c>
      <c r="Z142" s="41">
        <f>Z22-Z85</f>
        <v>0</v>
      </c>
      <c r="AA142" s="40">
        <f>AA22-AA85</f>
        <v>0</v>
      </c>
      <c r="AB142" s="32">
        <v>0</v>
      </c>
      <c r="AC142" s="34">
        <v>0</v>
      </c>
      <c r="AD142" s="39">
        <f>AD22-AD85</f>
        <v>0</v>
      </c>
      <c r="AE142" s="39">
        <f>AE22-AE85</f>
        <v>0</v>
      </c>
      <c r="AF142" s="32">
        <v>0</v>
      </c>
      <c r="AG142" s="34">
        <v>0</v>
      </c>
      <c r="AH142" s="39">
        <f>AH22-AH85</f>
        <v>0</v>
      </c>
      <c r="AI142" s="32">
        <v>0</v>
      </c>
      <c r="AJ142" s="53" t="str">
        <f t="shared" si="246"/>
        <v>-</v>
      </c>
      <c r="AK142" s="41">
        <f>AK22-AK85</f>
        <v>0</v>
      </c>
      <c r="AL142" s="40">
        <f>AL22-AL85</f>
        <v>0</v>
      </c>
      <c r="AM142" s="32">
        <v>0</v>
      </c>
      <c r="AN142" s="34">
        <v>0</v>
      </c>
      <c r="AO142" s="39">
        <f>AO22-AO85</f>
        <v>0</v>
      </c>
      <c r="AP142" s="39">
        <f>AP22-AP85</f>
        <v>0</v>
      </c>
      <c r="AQ142" s="32">
        <v>0</v>
      </c>
      <c r="AR142" s="34">
        <v>0</v>
      </c>
      <c r="AS142" s="39">
        <f>AS22-AS85</f>
        <v>0</v>
      </c>
      <c r="AT142" s="32">
        <v>0</v>
      </c>
      <c r="AU142" s="53" t="str">
        <f t="shared" si="247"/>
        <v>-</v>
      </c>
      <c r="AV142" s="41">
        <f>AV22-AV85</f>
        <v>0</v>
      </c>
      <c r="AW142" s="40">
        <f>AW22-AW85</f>
        <v>0</v>
      </c>
      <c r="AX142" s="32">
        <v>0</v>
      </c>
      <c r="AY142" s="34">
        <v>0</v>
      </c>
      <c r="AZ142" s="39">
        <f>AZ22-AZ85</f>
        <v>0</v>
      </c>
      <c r="BA142" s="39">
        <f>BA22-BA85</f>
        <v>0</v>
      </c>
      <c r="BB142" s="32">
        <v>0</v>
      </c>
      <c r="BC142" s="34">
        <v>0</v>
      </c>
      <c r="BD142" s="39">
        <f>BD22-BD85</f>
        <v>0</v>
      </c>
      <c r="BE142" s="32">
        <v>0</v>
      </c>
      <c r="BF142" s="53" t="str">
        <f t="shared" si="248"/>
        <v>-</v>
      </c>
      <c r="BG142" s="41">
        <f>BG22-BG85</f>
        <v>0</v>
      </c>
      <c r="BH142" s="40">
        <f>BH22-BH85</f>
        <v>0</v>
      </c>
      <c r="BI142" s="32">
        <v>0</v>
      </c>
      <c r="BJ142" s="34">
        <v>0</v>
      </c>
      <c r="BK142" s="39">
        <f>BK22-BK85</f>
        <v>0</v>
      </c>
      <c r="BL142" s="39">
        <f>BL22-BL85</f>
        <v>0</v>
      </c>
      <c r="BM142" s="32">
        <v>0</v>
      </c>
      <c r="BN142" s="34">
        <v>0</v>
      </c>
      <c r="BO142" s="39">
        <f>BO22-BO85</f>
        <v>0</v>
      </c>
      <c r="BP142" s="32">
        <v>0</v>
      </c>
      <c r="BQ142" s="53" t="str">
        <f t="shared" si="249"/>
        <v>-</v>
      </c>
      <c r="BR142" s="41">
        <f>BR22-BR85</f>
        <v>0</v>
      </c>
      <c r="BS142" s="40">
        <f>BS22-BS85</f>
        <v>0</v>
      </c>
      <c r="BT142" s="32">
        <v>0</v>
      </c>
      <c r="BU142" s="34">
        <v>0</v>
      </c>
      <c r="BV142" s="39">
        <f>BV22-BV85</f>
        <v>0</v>
      </c>
      <c r="BW142" s="39">
        <f>BW22-BW85</f>
        <v>0</v>
      </c>
      <c r="BX142" s="32">
        <v>0</v>
      </c>
      <c r="BY142" s="34">
        <v>0</v>
      </c>
      <c r="BZ142" s="39">
        <f>BZ22-BZ85</f>
        <v>0</v>
      </c>
      <c r="CA142" s="32">
        <v>0</v>
      </c>
      <c r="CB142" s="53" t="str">
        <f t="shared" si="250"/>
        <v>-</v>
      </c>
      <c r="CC142" s="41">
        <f>CC22-CC85</f>
        <v>0</v>
      </c>
      <c r="CD142" s="40">
        <f>CD22-CD85</f>
        <v>0</v>
      </c>
      <c r="CE142" s="32">
        <v>0</v>
      </c>
      <c r="CF142" s="34">
        <v>0</v>
      </c>
      <c r="CG142" s="39">
        <f>CG22-CG85</f>
        <v>0</v>
      </c>
      <c r="CH142" s="39">
        <f>CH22-CH85</f>
        <v>0</v>
      </c>
      <c r="CI142" s="32">
        <v>0</v>
      </c>
      <c r="CJ142" s="34">
        <v>0</v>
      </c>
      <c r="CK142" s="39">
        <f>CK22-CK85</f>
        <v>0</v>
      </c>
      <c r="CL142" s="32">
        <v>0</v>
      </c>
      <c r="CM142" s="53" t="str">
        <f t="shared" si="251"/>
        <v>-</v>
      </c>
      <c r="CN142" s="41">
        <f>CN22-CN85</f>
        <v>0</v>
      </c>
      <c r="CO142" s="40">
        <f>CO22-CO85</f>
        <v>0</v>
      </c>
      <c r="CP142" s="32">
        <v>0</v>
      </c>
      <c r="CQ142" s="34">
        <v>0</v>
      </c>
      <c r="CR142" s="39">
        <f>CR22-CR85</f>
        <v>0</v>
      </c>
      <c r="CS142" s="39">
        <f>CS22-CS85</f>
        <v>0</v>
      </c>
      <c r="CT142" s="32">
        <v>0</v>
      </c>
      <c r="CU142" s="34">
        <v>0</v>
      </c>
      <c r="CV142" s="39">
        <f>CV22-CV85</f>
        <v>0</v>
      </c>
      <c r="CW142" s="32">
        <v>0</v>
      </c>
      <c r="CX142" s="53" t="str">
        <f t="shared" si="252"/>
        <v>-</v>
      </c>
      <c r="CY142" s="41">
        <f>CY22-CY85</f>
        <v>0</v>
      </c>
      <c r="CZ142" s="40">
        <f>CZ22-CZ85</f>
        <v>0</v>
      </c>
      <c r="DA142" s="32">
        <v>0</v>
      </c>
      <c r="DB142" s="34">
        <v>0</v>
      </c>
      <c r="DC142" s="39">
        <f>DC22-DC85</f>
        <v>0</v>
      </c>
      <c r="DD142" s="39">
        <f>DD22-DD85</f>
        <v>0</v>
      </c>
      <c r="DE142" s="32">
        <v>0</v>
      </c>
      <c r="DF142" s="34">
        <v>0</v>
      </c>
      <c r="DG142" s="39">
        <f>DG22-DG85</f>
        <v>0</v>
      </c>
      <c r="DH142" s="32">
        <v>0</v>
      </c>
      <c r="DI142" s="53" t="str">
        <f t="shared" si="253"/>
        <v>-</v>
      </c>
    </row>
    <row r="143" spans="1:113" hidden="1" outlineLevel="3" x14ac:dyDescent="0.2">
      <c r="A143" s="54"/>
      <c r="B143" s="38" t="str">
        <f t="shared" si="243"/>
        <v>Страховые взносы декрет</v>
      </c>
      <c r="C143" s="49" t="str">
        <f t="shared" si="243"/>
        <v>Social Security on Maternity leave</v>
      </c>
      <c r="D143" s="41">
        <f>D23-D86</f>
        <v>0</v>
      </c>
      <c r="E143" s="40">
        <f>E23-E86</f>
        <v>0</v>
      </c>
      <c r="F143" s="32">
        <v>0</v>
      </c>
      <c r="G143" s="34">
        <v>0</v>
      </c>
      <c r="H143" s="39">
        <f>H23-H86</f>
        <v>0</v>
      </c>
      <c r="I143" s="39">
        <f>I23-I86</f>
        <v>0</v>
      </c>
      <c r="J143" s="32">
        <v>0</v>
      </c>
      <c r="K143" s="34">
        <v>0</v>
      </c>
      <c r="L143" s="39">
        <f>L23-L86</f>
        <v>0</v>
      </c>
      <c r="M143" s="32">
        <v>0</v>
      </c>
      <c r="N143" s="53" t="str">
        <f t="shared" si="244"/>
        <v>-</v>
      </c>
      <c r="O143" s="41">
        <f>O23-O86</f>
        <v>0</v>
      </c>
      <c r="P143" s="40">
        <f>P23-P86</f>
        <v>0</v>
      </c>
      <c r="Q143" s="32">
        <v>0</v>
      </c>
      <c r="R143" s="34">
        <v>0</v>
      </c>
      <c r="S143" s="39">
        <f>S23-S86</f>
        <v>0</v>
      </c>
      <c r="T143" s="39">
        <f>T23-T86</f>
        <v>0</v>
      </c>
      <c r="U143" s="32">
        <v>0</v>
      </c>
      <c r="V143" s="34">
        <v>0</v>
      </c>
      <c r="W143" s="39">
        <f>W23-W86</f>
        <v>0</v>
      </c>
      <c r="X143" s="32">
        <v>0</v>
      </c>
      <c r="Y143" s="53" t="str">
        <f t="shared" si="245"/>
        <v>-</v>
      </c>
      <c r="Z143" s="41">
        <f>Z23-Z86</f>
        <v>0</v>
      </c>
      <c r="AA143" s="40">
        <f>AA23-AA86</f>
        <v>0</v>
      </c>
      <c r="AB143" s="32">
        <v>0</v>
      </c>
      <c r="AC143" s="34">
        <v>0</v>
      </c>
      <c r="AD143" s="39">
        <f>AD23-AD86</f>
        <v>0</v>
      </c>
      <c r="AE143" s="39">
        <f>AE23-AE86</f>
        <v>0</v>
      </c>
      <c r="AF143" s="32">
        <v>0</v>
      </c>
      <c r="AG143" s="34">
        <v>0</v>
      </c>
      <c r="AH143" s="39">
        <f>AH23-AH86</f>
        <v>0</v>
      </c>
      <c r="AI143" s="32">
        <v>0</v>
      </c>
      <c r="AJ143" s="53" t="str">
        <f t="shared" si="246"/>
        <v>-</v>
      </c>
      <c r="AK143" s="41">
        <f>AK23-AK86</f>
        <v>0</v>
      </c>
      <c r="AL143" s="40">
        <f>AL23-AL86</f>
        <v>0</v>
      </c>
      <c r="AM143" s="32">
        <v>0</v>
      </c>
      <c r="AN143" s="34">
        <v>0</v>
      </c>
      <c r="AO143" s="39">
        <f>AO23-AO86</f>
        <v>0</v>
      </c>
      <c r="AP143" s="39">
        <f>AP23-AP86</f>
        <v>0</v>
      </c>
      <c r="AQ143" s="32">
        <v>0</v>
      </c>
      <c r="AR143" s="34">
        <v>0</v>
      </c>
      <c r="AS143" s="39">
        <f>AS23-AS86</f>
        <v>0</v>
      </c>
      <c r="AT143" s="32">
        <v>0</v>
      </c>
      <c r="AU143" s="53" t="str">
        <f t="shared" si="247"/>
        <v>-</v>
      </c>
      <c r="AV143" s="41">
        <f>AV23-AV86</f>
        <v>0</v>
      </c>
      <c r="AW143" s="40">
        <f>AW23-AW86</f>
        <v>0</v>
      </c>
      <c r="AX143" s="32">
        <v>0</v>
      </c>
      <c r="AY143" s="34">
        <v>0</v>
      </c>
      <c r="AZ143" s="39">
        <f>AZ23-AZ86</f>
        <v>0</v>
      </c>
      <c r="BA143" s="39">
        <f>BA23-BA86</f>
        <v>0</v>
      </c>
      <c r="BB143" s="32">
        <v>0</v>
      </c>
      <c r="BC143" s="34">
        <v>0</v>
      </c>
      <c r="BD143" s="39">
        <f>BD23-BD86</f>
        <v>0</v>
      </c>
      <c r="BE143" s="32">
        <v>0</v>
      </c>
      <c r="BF143" s="53" t="str">
        <f t="shared" si="248"/>
        <v>-</v>
      </c>
      <c r="BG143" s="41">
        <f>BG23-BG86</f>
        <v>0</v>
      </c>
      <c r="BH143" s="40">
        <f>BH23-BH86</f>
        <v>0</v>
      </c>
      <c r="BI143" s="32">
        <v>0</v>
      </c>
      <c r="BJ143" s="34">
        <v>0</v>
      </c>
      <c r="BK143" s="39">
        <f>BK23-BK86</f>
        <v>0</v>
      </c>
      <c r="BL143" s="39">
        <f>BL23-BL86</f>
        <v>0</v>
      </c>
      <c r="BM143" s="32">
        <v>0</v>
      </c>
      <c r="BN143" s="34">
        <v>0</v>
      </c>
      <c r="BO143" s="39">
        <f>BO23-BO86</f>
        <v>0</v>
      </c>
      <c r="BP143" s="32">
        <v>0</v>
      </c>
      <c r="BQ143" s="53" t="str">
        <f t="shared" si="249"/>
        <v>-</v>
      </c>
      <c r="BR143" s="41">
        <f>BR23-BR86</f>
        <v>0</v>
      </c>
      <c r="BS143" s="40">
        <f>BS23-BS86</f>
        <v>0</v>
      </c>
      <c r="BT143" s="32">
        <v>0</v>
      </c>
      <c r="BU143" s="34">
        <v>0</v>
      </c>
      <c r="BV143" s="39">
        <f>BV23-BV86</f>
        <v>0</v>
      </c>
      <c r="BW143" s="39">
        <f>BW23-BW86</f>
        <v>0</v>
      </c>
      <c r="BX143" s="32">
        <v>0</v>
      </c>
      <c r="BY143" s="34">
        <v>0</v>
      </c>
      <c r="BZ143" s="39">
        <f>BZ23-BZ86</f>
        <v>0</v>
      </c>
      <c r="CA143" s="32">
        <v>0</v>
      </c>
      <c r="CB143" s="53" t="str">
        <f t="shared" si="250"/>
        <v>-</v>
      </c>
      <c r="CC143" s="41">
        <f>CC23-CC86</f>
        <v>0</v>
      </c>
      <c r="CD143" s="40">
        <f>CD23-CD86</f>
        <v>0</v>
      </c>
      <c r="CE143" s="32">
        <v>0</v>
      </c>
      <c r="CF143" s="34">
        <v>0</v>
      </c>
      <c r="CG143" s="39">
        <f>CG23-CG86</f>
        <v>0</v>
      </c>
      <c r="CH143" s="39">
        <f>CH23-CH86</f>
        <v>0</v>
      </c>
      <c r="CI143" s="32">
        <v>0</v>
      </c>
      <c r="CJ143" s="34">
        <v>0</v>
      </c>
      <c r="CK143" s="39">
        <f>CK23-CK86</f>
        <v>0</v>
      </c>
      <c r="CL143" s="32">
        <v>0</v>
      </c>
      <c r="CM143" s="53" t="str">
        <f t="shared" si="251"/>
        <v>-</v>
      </c>
      <c r="CN143" s="41">
        <f>CN23-CN86</f>
        <v>0</v>
      </c>
      <c r="CO143" s="40">
        <f>CO23-CO86</f>
        <v>0</v>
      </c>
      <c r="CP143" s="32">
        <v>0</v>
      </c>
      <c r="CQ143" s="34">
        <v>0</v>
      </c>
      <c r="CR143" s="39">
        <f>CR23-CR86</f>
        <v>0</v>
      </c>
      <c r="CS143" s="39">
        <f>CS23-CS86</f>
        <v>0</v>
      </c>
      <c r="CT143" s="32">
        <v>0</v>
      </c>
      <c r="CU143" s="34">
        <v>0</v>
      </c>
      <c r="CV143" s="39">
        <f>CV23-CV86</f>
        <v>0</v>
      </c>
      <c r="CW143" s="32">
        <v>0</v>
      </c>
      <c r="CX143" s="53" t="str">
        <f t="shared" si="252"/>
        <v>-</v>
      </c>
      <c r="CY143" s="41">
        <f>CY23-CY86</f>
        <v>0</v>
      </c>
      <c r="CZ143" s="40">
        <f>CZ23-CZ86</f>
        <v>0</v>
      </c>
      <c r="DA143" s="32">
        <v>0</v>
      </c>
      <c r="DB143" s="34">
        <v>0</v>
      </c>
      <c r="DC143" s="39">
        <f>DC23-DC86</f>
        <v>0</v>
      </c>
      <c r="DD143" s="39">
        <f>DD23-DD86</f>
        <v>0</v>
      </c>
      <c r="DE143" s="32">
        <v>0</v>
      </c>
      <c r="DF143" s="34">
        <v>0</v>
      </c>
      <c r="DG143" s="39">
        <f>DG23-DG86</f>
        <v>0</v>
      </c>
      <c r="DH143" s="32">
        <v>0</v>
      </c>
      <c r="DI143" s="53" t="str">
        <f t="shared" si="253"/>
        <v>-</v>
      </c>
    </row>
    <row r="144" spans="1:113" s="6" customFormat="1" hidden="1" outlineLevel="2" collapsed="1" x14ac:dyDescent="0.2">
      <c r="A144" s="30"/>
      <c r="B144" s="29" t="str">
        <f t="shared" si="243"/>
        <v>Итого декрет</v>
      </c>
      <c r="C144" s="52" t="str">
        <f t="shared" si="243"/>
        <v>Total Maternity leave</v>
      </c>
      <c r="D144" s="27">
        <f>SUM(D142:D143)</f>
        <v>0</v>
      </c>
      <c r="E144" s="26">
        <f>SUM(E142:E143)</f>
        <v>0</v>
      </c>
      <c r="F144" s="23">
        <v>0</v>
      </c>
      <c r="G144" s="25">
        <v>0</v>
      </c>
      <c r="H144" s="24">
        <f>SUM(H142:H143)</f>
        <v>0</v>
      </c>
      <c r="I144" s="24">
        <f>SUM(I142:I143)</f>
        <v>0</v>
      </c>
      <c r="J144" s="23">
        <v>0</v>
      </c>
      <c r="K144" s="25">
        <v>0</v>
      </c>
      <c r="L144" s="24">
        <f>SUM(L142:L143)</f>
        <v>0</v>
      </c>
      <c r="M144" s="23">
        <v>0</v>
      </c>
      <c r="N144" s="22" t="str">
        <f t="shared" si="244"/>
        <v>-</v>
      </c>
      <c r="O144" s="27">
        <f>SUM(O142:O143)</f>
        <v>0</v>
      </c>
      <c r="P144" s="26">
        <f>SUM(P142:P143)</f>
        <v>0</v>
      </c>
      <c r="Q144" s="23">
        <v>0</v>
      </c>
      <c r="R144" s="25">
        <v>0</v>
      </c>
      <c r="S144" s="24">
        <f>SUM(S142:S143)</f>
        <v>0</v>
      </c>
      <c r="T144" s="24">
        <f>SUM(T142:T143)</f>
        <v>0</v>
      </c>
      <c r="U144" s="23">
        <v>0</v>
      </c>
      <c r="V144" s="25">
        <v>0</v>
      </c>
      <c r="W144" s="24">
        <f>SUM(W142:W143)</f>
        <v>0</v>
      </c>
      <c r="X144" s="23">
        <v>0</v>
      </c>
      <c r="Y144" s="22" t="str">
        <f t="shared" si="245"/>
        <v>-</v>
      </c>
      <c r="Z144" s="27">
        <f>SUM(Z142:Z143)</f>
        <v>0</v>
      </c>
      <c r="AA144" s="26">
        <f>SUM(AA142:AA143)</f>
        <v>0</v>
      </c>
      <c r="AB144" s="23">
        <v>0</v>
      </c>
      <c r="AC144" s="25">
        <v>0</v>
      </c>
      <c r="AD144" s="24">
        <f>SUM(AD142:AD143)</f>
        <v>0</v>
      </c>
      <c r="AE144" s="24">
        <f>SUM(AE142:AE143)</f>
        <v>0</v>
      </c>
      <c r="AF144" s="23">
        <v>0</v>
      </c>
      <c r="AG144" s="25">
        <v>0</v>
      </c>
      <c r="AH144" s="24">
        <f>SUM(AH142:AH143)</f>
        <v>0</v>
      </c>
      <c r="AI144" s="23">
        <v>0</v>
      </c>
      <c r="AJ144" s="22" t="str">
        <f t="shared" si="246"/>
        <v>-</v>
      </c>
      <c r="AK144" s="27">
        <f>SUM(AK142:AK143)</f>
        <v>0</v>
      </c>
      <c r="AL144" s="26">
        <f>SUM(AL142:AL143)</f>
        <v>0</v>
      </c>
      <c r="AM144" s="23">
        <v>0</v>
      </c>
      <c r="AN144" s="25">
        <v>0</v>
      </c>
      <c r="AO144" s="24">
        <f>SUM(AO142:AO143)</f>
        <v>0</v>
      </c>
      <c r="AP144" s="24">
        <f>SUM(AP142:AP143)</f>
        <v>0</v>
      </c>
      <c r="AQ144" s="23">
        <v>0</v>
      </c>
      <c r="AR144" s="25">
        <v>0</v>
      </c>
      <c r="AS144" s="24">
        <f>SUM(AS142:AS143)</f>
        <v>0</v>
      </c>
      <c r="AT144" s="23">
        <v>0</v>
      </c>
      <c r="AU144" s="22" t="str">
        <f t="shared" si="247"/>
        <v>-</v>
      </c>
      <c r="AV144" s="27">
        <f>SUM(AV142:AV143)</f>
        <v>0</v>
      </c>
      <c r="AW144" s="26">
        <f>SUM(AW142:AW143)</f>
        <v>0</v>
      </c>
      <c r="AX144" s="23">
        <v>0</v>
      </c>
      <c r="AY144" s="25">
        <v>0</v>
      </c>
      <c r="AZ144" s="24">
        <f>SUM(AZ142:AZ143)</f>
        <v>0</v>
      </c>
      <c r="BA144" s="24">
        <f>SUM(BA142:BA143)</f>
        <v>0</v>
      </c>
      <c r="BB144" s="23">
        <v>0</v>
      </c>
      <c r="BC144" s="25">
        <v>0</v>
      </c>
      <c r="BD144" s="24">
        <f>SUM(BD142:BD143)</f>
        <v>0</v>
      </c>
      <c r="BE144" s="23">
        <v>0</v>
      </c>
      <c r="BF144" s="22" t="str">
        <f t="shared" si="248"/>
        <v>-</v>
      </c>
      <c r="BG144" s="27">
        <f>SUM(BG142:BG143)</f>
        <v>0</v>
      </c>
      <c r="BH144" s="26">
        <f>SUM(BH142:BH143)</f>
        <v>0</v>
      </c>
      <c r="BI144" s="23">
        <v>0</v>
      </c>
      <c r="BJ144" s="25">
        <v>0</v>
      </c>
      <c r="BK144" s="24">
        <f>SUM(BK142:BK143)</f>
        <v>0</v>
      </c>
      <c r="BL144" s="24">
        <f>SUM(BL142:BL143)</f>
        <v>0</v>
      </c>
      <c r="BM144" s="23">
        <v>0</v>
      </c>
      <c r="BN144" s="25">
        <v>0</v>
      </c>
      <c r="BO144" s="24">
        <f>SUM(BO142:BO143)</f>
        <v>0</v>
      </c>
      <c r="BP144" s="23">
        <v>0</v>
      </c>
      <c r="BQ144" s="22" t="str">
        <f t="shared" si="249"/>
        <v>-</v>
      </c>
      <c r="BR144" s="27">
        <f>SUM(BR142:BR143)</f>
        <v>0</v>
      </c>
      <c r="BS144" s="26">
        <f>SUM(BS142:BS143)</f>
        <v>0</v>
      </c>
      <c r="BT144" s="23">
        <v>0</v>
      </c>
      <c r="BU144" s="25">
        <v>0</v>
      </c>
      <c r="BV144" s="24">
        <f>SUM(BV142:BV143)</f>
        <v>0</v>
      </c>
      <c r="BW144" s="24">
        <f>SUM(BW142:BW143)</f>
        <v>0</v>
      </c>
      <c r="BX144" s="23">
        <v>0</v>
      </c>
      <c r="BY144" s="25">
        <v>0</v>
      </c>
      <c r="BZ144" s="24">
        <f>SUM(BZ142:BZ143)</f>
        <v>0</v>
      </c>
      <c r="CA144" s="23">
        <v>0</v>
      </c>
      <c r="CB144" s="22" t="str">
        <f t="shared" si="250"/>
        <v>-</v>
      </c>
      <c r="CC144" s="27">
        <f>SUM(CC142:CC143)</f>
        <v>0</v>
      </c>
      <c r="CD144" s="26">
        <f>SUM(CD142:CD143)</f>
        <v>0</v>
      </c>
      <c r="CE144" s="23">
        <v>0</v>
      </c>
      <c r="CF144" s="25">
        <v>0</v>
      </c>
      <c r="CG144" s="24">
        <f>SUM(CG142:CG143)</f>
        <v>0</v>
      </c>
      <c r="CH144" s="24">
        <f>SUM(CH142:CH143)</f>
        <v>0</v>
      </c>
      <c r="CI144" s="23">
        <v>0</v>
      </c>
      <c r="CJ144" s="25">
        <v>0</v>
      </c>
      <c r="CK144" s="24">
        <f>SUM(CK142:CK143)</f>
        <v>0</v>
      </c>
      <c r="CL144" s="23">
        <v>0</v>
      </c>
      <c r="CM144" s="22" t="str">
        <f t="shared" si="251"/>
        <v>-</v>
      </c>
      <c r="CN144" s="27">
        <f>SUM(CN142:CN143)</f>
        <v>0</v>
      </c>
      <c r="CO144" s="26">
        <f>SUM(CO142:CO143)</f>
        <v>0</v>
      </c>
      <c r="CP144" s="23">
        <v>0</v>
      </c>
      <c r="CQ144" s="25">
        <v>0</v>
      </c>
      <c r="CR144" s="24">
        <f>SUM(CR142:CR143)</f>
        <v>0</v>
      </c>
      <c r="CS144" s="24">
        <f>SUM(CS142:CS143)</f>
        <v>0</v>
      </c>
      <c r="CT144" s="23">
        <v>0</v>
      </c>
      <c r="CU144" s="25">
        <v>0</v>
      </c>
      <c r="CV144" s="24">
        <f>SUM(CV142:CV143)</f>
        <v>0</v>
      </c>
      <c r="CW144" s="23">
        <v>0</v>
      </c>
      <c r="CX144" s="22" t="str">
        <f t="shared" si="252"/>
        <v>-</v>
      </c>
      <c r="CY144" s="27">
        <f>SUM(CY142:CY143)</f>
        <v>0</v>
      </c>
      <c r="CZ144" s="26">
        <f>SUM(CZ142:CZ143)</f>
        <v>0</v>
      </c>
      <c r="DA144" s="23">
        <v>0</v>
      </c>
      <c r="DB144" s="25">
        <v>0</v>
      </c>
      <c r="DC144" s="24">
        <f>SUM(DC142:DC143)</f>
        <v>0</v>
      </c>
      <c r="DD144" s="24">
        <f>SUM(DD142:DD143)</f>
        <v>0</v>
      </c>
      <c r="DE144" s="23">
        <v>0</v>
      </c>
      <c r="DF144" s="25">
        <v>0</v>
      </c>
      <c r="DG144" s="24">
        <f>SUM(DG142:DG143)</f>
        <v>0</v>
      </c>
      <c r="DH144" s="23">
        <v>0</v>
      </c>
      <c r="DI144" s="22" t="str">
        <f t="shared" si="253"/>
        <v>-</v>
      </c>
    </row>
    <row r="145" spans="1:113" s="6" customFormat="1" ht="13.5" outlineLevel="1" collapsed="1" thickTop="1" x14ac:dyDescent="0.2">
      <c r="A145" s="30"/>
      <c r="B145" s="48" t="str">
        <f t="shared" si="243"/>
        <v>Фиксированное вознаграждение</v>
      </c>
      <c r="C145" s="55" t="str">
        <f t="shared" si="243"/>
        <v>FIX compensation</v>
      </c>
      <c r="D145" s="46">
        <f>D135+D138+D141+D144</f>
        <v>0</v>
      </c>
      <c r="E145" s="45">
        <f>E135+E138+E141+E144</f>
        <v>1509867.2497792188</v>
      </c>
      <c r="F145" s="23">
        <v>0</v>
      </c>
      <c r="G145" s="25">
        <v>0</v>
      </c>
      <c r="H145" s="44">
        <f>H135+H138+H141+H144</f>
        <v>-1103600.0499997139</v>
      </c>
      <c r="I145" s="44">
        <f>I135+I138+I141+I144</f>
        <v>-1352177.74</v>
      </c>
      <c r="J145" s="23">
        <v>0</v>
      </c>
      <c r="K145" s="25">
        <v>0</v>
      </c>
      <c r="L145" s="44">
        <f>L135+L138+L141+L144</f>
        <v>-1352177.74</v>
      </c>
      <c r="M145" s="23">
        <v>0</v>
      </c>
      <c r="N145" s="22"/>
      <c r="O145" s="46">
        <f>O135+O138+O141+O144</f>
        <v>0</v>
      </c>
      <c r="P145" s="45">
        <f>P135+P138+P141+P144</f>
        <v>1509867.2497792188</v>
      </c>
      <c r="Q145" s="23">
        <v>0</v>
      </c>
      <c r="R145" s="25">
        <v>0</v>
      </c>
      <c r="S145" s="44">
        <f>S135+S138+S141+S144</f>
        <v>-1103600.0499997139</v>
      </c>
      <c r="T145" s="44">
        <f>T135+T138+T141+T144</f>
        <v>-1352177.74</v>
      </c>
      <c r="U145" s="23">
        <v>0</v>
      </c>
      <c r="V145" s="25">
        <v>0</v>
      </c>
      <c r="W145" s="44">
        <f>W135+W138+W141+W144</f>
        <v>-1352177.74</v>
      </c>
      <c r="X145" s="23">
        <v>0</v>
      </c>
      <c r="Y145" s="22"/>
      <c r="Z145" s="46">
        <f>Z135+Z138+Z141+Z144</f>
        <v>0</v>
      </c>
      <c r="AA145" s="45">
        <f>AA135+AA138+AA141+AA144</f>
        <v>1509867.2497792188</v>
      </c>
      <c r="AB145" s="23">
        <v>0</v>
      </c>
      <c r="AC145" s="25">
        <v>0</v>
      </c>
      <c r="AD145" s="44">
        <f>AD135+AD138+AD141+AD144</f>
        <v>-1103600.0499997139</v>
      </c>
      <c r="AE145" s="44">
        <f>AE135+AE138+AE141+AE144</f>
        <v>-1352177.74</v>
      </c>
      <c r="AF145" s="23">
        <v>0</v>
      </c>
      <c r="AG145" s="25">
        <v>0</v>
      </c>
      <c r="AH145" s="44">
        <f>AH135+AH138+AH141+AH144</f>
        <v>-1352177.74</v>
      </c>
      <c r="AI145" s="23">
        <v>0</v>
      </c>
      <c r="AJ145" s="22"/>
      <c r="AK145" s="46">
        <f>AK135+AK138+AK141+AK144</f>
        <v>0</v>
      </c>
      <c r="AL145" s="45">
        <f>AL135+AL138+AL141+AL144</f>
        <v>1509867.2497792188</v>
      </c>
      <c r="AM145" s="23">
        <v>0</v>
      </c>
      <c r="AN145" s="25">
        <v>0</v>
      </c>
      <c r="AO145" s="44">
        <f>AO135+AO138+AO141+AO144</f>
        <v>-1103600.0499997139</v>
      </c>
      <c r="AP145" s="44">
        <f>AP135+AP138+AP141+AP144</f>
        <v>-1352177.74</v>
      </c>
      <c r="AQ145" s="23">
        <v>0</v>
      </c>
      <c r="AR145" s="25">
        <v>0</v>
      </c>
      <c r="AS145" s="44">
        <f>AS135+AS138+AS141+AS144</f>
        <v>-1352177.74</v>
      </c>
      <c r="AT145" s="23">
        <v>0</v>
      </c>
      <c r="AU145" s="22"/>
      <c r="AV145" s="46">
        <f>AV135+AV138+AV141+AV144</f>
        <v>0</v>
      </c>
      <c r="AW145" s="45">
        <f>AW135+AW138+AW141+AW144</f>
        <v>1509867.2497792188</v>
      </c>
      <c r="AX145" s="23">
        <v>0</v>
      </c>
      <c r="AY145" s="25">
        <v>0</v>
      </c>
      <c r="AZ145" s="44">
        <f>AZ135+AZ138+AZ141+AZ144</f>
        <v>-1103600.0499997139</v>
      </c>
      <c r="BA145" s="44">
        <f>BA135+BA138+BA141+BA144</f>
        <v>-1352177.74</v>
      </c>
      <c r="BB145" s="23">
        <v>0</v>
      </c>
      <c r="BC145" s="25">
        <v>0</v>
      </c>
      <c r="BD145" s="44">
        <f>BD135+BD138+BD141+BD144</f>
        <v>-1352177.74</v>
      </c>
      <c r="BE145" s="23">
        <v>0</v>
      </c>
      <c r="BF145" s="22"/>
      <c r="BG145" s="46">
        <f>BG135+BG138+BG141+BG144</f>
        <v>0</v>
      </c>
      <c r="BH145" s="45">
        <f>BH135+BH138+BH141+BH144</f>
        <v>1509867.2497792188</v>
      </c>
      <c r="BI145" s="23">
        <v>0</v>
      </c>
      <c r="BJ145" s="25">
        <v>0</v>
      </c>
      <c r="BK145" s="44">
        <f>BK135+BK138+BK141+BK144</f>
        <v>-1103600.0499997139</v>
      </c>
      <c r="BL145" s="44">
        <f>BL135+BL138+BL141+BL144</f>
        <v>-1352177.74</v>
      </c>
      <c r="BM145" s="23">
        <v>0</v>
      </c>
      <c r="BN145" s="25">
        <v>0</v>
      </c>
      <c r="BO145" s="44">
        <f>BO135+BO138+BO141+BO144</f>
        <v>-1352177.74</v>
      </c>
      <c r="BP145" s="23">
        <v>0</v>
      </c>
      <c r="BQ145" s="22"/>
      <c r="BR145" s="46">
        <f>BR135+BR138+BR141+BR144</f>
        <v>0</v>
      </c>
      <c r="BS145" s="45">
        <f>BS135+BS138+BS141+BS144</f>
        <v>1509867.2497792188</v>
      </c>
      <c r="BT145" s="23">
        <v>0</v>
      </c>
      <c r="BU145" s="25">
        <v>0</v>
      </c>
      <c r="BV145" s="44">
        <f>BV135+BV138+BV141+BV144</f>
        <v>-1103600.0499997139</v>
      </c>
      <c r="BW145" s="44">
        <f>BW135+BW138+BW141+BW144</f>
        <v>-1352177.74</v>
      </c>
      <c r="BX145" s="23">
        <v>0</v>
      </c>
      <c r="BY145" s="25">
        <v>0</v>
      </c>
      <c r="BZ145" s="44">
        <f>BZ135+BZ138+BZ141+BZ144</f>
        <v>-1352177.74</v>
      </c>
      <c r="CA145" s="23">
        <v>0</v>
      </c>
      <c r="CB145" s="22"/>
      <c r="CC145" s="46">
        <f>CC135+CC138+CC141+CC144</f>
        <v>0</v>
      </c>
      <c r="CD145" s="45">
        <f>CD135+CD138+CD141+CD144</f>
        <v>1509867.2497792188</v>
      </c>
      <c r="CE145" s="23">
        <v>0</v>
      </c>
      <c r="CF145" s="25">
        <v>0</v>
      </c>
      <c r="CG145" s="44">
        <f>CG135+CG138+CG141+CG144</f>
        <v>-1103600.0499997139</v>
      </c>
      <c r="CH145" s="44">
        <f>CH135+CH138+CH141+CH144</f>
        <v>-1352177.74</v>
      </c>
      <c r="CI145" s="23">
        <v>0</v>
      </c>
      <c r="CJ145" s="25">
        <v>0</v>
      </c>
      <c r="CK145" s="44">
        <f>CK135+CK138+CK141+CK144</f>
        <v>-1352177.74</v>
      </c>
      <c r="CL145" s="23">
        <v>0</v>
      </c>
      <c r="CM145" s="22"/>
      <c r="CN145" s="46">
        <f>CN135+CN138+CN141+CN144</f>
        <v>0</v>
      </c>
      <c r="CO145" s="45">
        <f>CO135+CO138+CO141+CO144</f>
        <v>1509867.2497792188</v>
      </c>
      <c r="CP145" s="23">
        <v>0</v>
      </c>
      <c r="CQ145" s="25">
        <v>0</v>
      </c>
      <c r="CR145" s="44">
        <f>CR135+CR138+CR141+CR144</f>
        <v>-1103600.0499997139</v>
      </c>
      <c r="CS145" s="44">
        <f>CS135+CS138+CS141+CS144</f>
        <v>-1352177.74</v>
      </c>
      <c r="CT145" s="23">
        <v>0</v>
      </c>
      <c r="CU145" s="25">
        <v>0</v>
      </c>
      <c r="CV145" s="44">
        <f>CV135+CV138+CV141+CV144</f>
        <v>-1352177.74</v>
      </c>
      <c r="CW145" s="23">
        <v>0</v>
      </c>
      <c r="CX145" s="22"/>
      <c r="CY145" s="46">
        <f>CY135+CY138+CY141+CY144</f>
        <v>0</v>
      </c>
      <c r="CZ145" s="45">
        <f>CZ135+CZ138+CZ141+CZ144</f>
        <v>1509867.2497792188</v>
      </c>
      <c r="DA145" s="23">
        <v>0</v>
      </c>
      <c r="DB145" s="25">
        <v>0</v>
      </c>
      <c r="DC145" s="44">
        <f>DC135+DC138+DC141+DC144</f>
        <v>-1103600.0499997139</v>
      </c>
      <c r="DD145" s="44">
        <f>DD135+DD138+DD141+DD144</f>
        <v>-1352177.74</v>
      </c>
      <c r="DE145" s="23">
        <v>0</v>
      </c>
      <c r="DF145" s="25">
        <v>0</v>
      </c>
      <c r="DG145" s="44">
        <f>DG135+DG138+DG141+DG144</f>
        <v>-1352177.74</v>
      </c>
      <c r="DH145" s="23">
        <v>0</v>
      </c>
      <c r="DI145" s="22"/>
    </row>
    <row r="146" spans="1:113" s="6" customFormat="1" hidden="1" outlineLevel="2" x14ac:dyDescent="0.2">
      <c r="B146" s="29" t="str">
        <f t="shared" si="243"/>
        <v>Расходы на страхование (ДМС, НС)</v>
      </c>
      <c r="C146" s="52" t="str">
        <f t="shared" si="243"/>
        <v>Health &amp; welfare</v>
      </c>
      <c r="D146" s="27">
        <f>D26-D89</f>
        <v>11658.330000001937</v>
      </c>
      <c r="E146" s="26">
        <f>E26-E89</f>
        <v>122555.39177178033</v>
      </c>
      <c r="F146" s="23">
        <v>0</v>
      </c>
      <c r="G146" s="25">
        <v>0</v>
      </c>
      <c r="H146" s="24">
        <f>H26-H89</f>
        <v>653791.37000000849</v>
      </c>
      <c r="I146" s="24">
        <f>I26-I89</f>
        <v>0</v>
      </c>
      <c r="J146" s="23">
        <v>0</v>
      </c>
      <c r="K146" s="25">
        <v>0</v>
      </c>
      <c r="L146" s="24">
        <f>L26-L89</f>
        <v>0</v>
      </c>
      <c r="M146" s="23">
        <v>0</v>
      </c>
      <c r="N146" s="43" t="str">
        <f t="shared" ref="N146:N187" si="254">IFERROR(M146/L146,"-")</f>
        <v>-</v>
      </c>
      <c r="O146" s="27">
        <f>O26-O89</f>
        <v>11658.330000001937</v>
      </c>
      <c r="P146" s="26">
        <f>P26-P89</f>
        <v>122555.39177178033</v>
      </c>
      <c r="Q146" s="23">
        <v>0</v>
      </c>
      <c r="R146" s="25">
        <v>0</v>
      </c>
      <c r="S146" s="24">
        <f>S26-S89</f>
        <v>653791.37000000849</v>
      </c>
      <c r="T146" s="24">
        <f>T26-T89</f>
        <v>0</v>
      </c>
      <c r="U146" s="23">
        <v>0</v>
      </c>
      <c r="V146" s="25">
        <v>0</v>
      </c>
      <c r="W146" s="24">
        <f>W26-W89</f>
        <v>0</v>
      </c>
      <c r="X146" s="23">
        <v>0</v>
      </c>
      <c r="Y146" s="43" t="str">
        <f t="shared" ref="Y146:Y187" si="255">IFERROR(X146/W146,"-")</f>
        <v>-</v>
      </c>
      <c r="Z146" s="27">
        <f>Z26-Z89</f>
        <v>11658.330000001937</v>
      </c>
      <c r="AA146" s="26">
        <f>AA26-AA89</f>
        <v>122555.39177178033</v>
      </c>
      <c r="AB146" s="23">
        <v>0</v>
      </c>
      <c r="AC146" s="25">
        <v>0</v>
      </c>
      <c r="AD146" s="24">
        <f>AD26-AD89</f>
        <v>653791.37000000849</v>
      </c>
      <c r="AE146" s="24">
        <f>AE26-AE89</f>
        <v>0</v>
      </c>
      <c r="AF146" s="23">
        <v>0</v>
      </c>
      <c r="AG146" s="25">
        <v>0</v>
      </c>
      <c r="AH146" s="24">
        <f>AH26-AH89</f>
        <v>0</v>
      </c>
      <c r="AI146" s="23">
        <v>0</v>
      </c>
      <c r="AJ146" s="43" t="str">
        <f t="shared" ref="AJ146:AJ187" si="256">IFERROR(AI146/AH146,"-")</f>
        <v>-</v>
      </c>
      <c r="AK146" s="27">
        <f>AK26-AK89</f>
        <v>11658.330000001937</v>
      </c>
      <c r="AL146" s="26">
        <f>AL26-AL89</f>
        <v>122555.39177178033</v>
      </c>
      <c r="AM146" s="23">
        <v>0</v>
      </c>
      <c r="AN146" s="25">
        <v>0</v>
      </c>
      <c r="AO146" s="24">
        <f>AO26-AO89</f>
        <v>653791.37000000849</v>
      </c>
      <c r="AP146" s="24">
        <f>AP26-AP89</f>
        <v>0</v>
      </c>
      <c r="AQ146" s="23">
        <v>0</v>
      </c>
      <c r="AR146" s="25">
        <v>0</v>
      </c>
      <c r="AS146" s="24">
        <f>AS26-AS89</f>
        <v>0</v>
      </c>
      <c r="AT146" s="23">
        <v>0</v>
      </c>
      <c r="AU146" s="43" t="str">
        <f t="shared" ref="AU146:AU187" si="257">IFERROR(AT146/AS146,"-")</f>
        <v>-</v>
      </c>
      <c r="AV146" s="27">
        <f>AV26-AV89</f>
        <v>11658.330000001937</v>
      </c>
      <c r="AW146" s="26">
        <f>AW26-AW89</f>
        <v>122555.39177178033</v>
      </c>
      <c r="AX146" s="23">
        <v>0</v>
      </c>
      <c r="AY146" s="25">
        <v>0</v>
      </c>
      <c r="AZ146" s="24">
        <f>AZ26-AZ89</f>
        <v>653791.37000000849</v>
      </c>
      <c r="BA146" s="24">
        <f>BA26-BA89</f>
        <v>0</v>
      </c>
      <c r="BB146" s="23">
        <v>0</v>
      </c>
      <c r="BC146" s="25">
        <v>0</v>
      </c>
      <c r="BD146" s="24">
        <f>BD26-BD89</f>
        <v>0</v>
      </c>
      <c r="BE146" s="23">
        <v>0</v>
      </c>
      <c r="BF146" s="43" t="str">
        <f t="shared" ref="BF146:BF187" si="258">IFERROR(BE146/BD146,"-")</f>
        <v>-</v>
      </c>
      <c r="BG146" s="27">
        <f>BG26-BG89</f>
        <v>11658.330000001937</v>
      </c>
      <c r="BH146" s="26">
        <f>BH26-BH89</f>
        <v>122555.39177178033</v>
      </c>
      <c r="BI146" s="23">
        <v>0</v>
      </c>
      <c r="BJ146" s="25">
        <v>0</v>
      </c>
      <c r="BK146" s="24">
        <f>BK26-BK89</f>
        <v>653791.37000000849</v>
      </c>
      <c r="BL146" s="24">
        <f>BL26-BL89</f>
        <v>0</v>
      </c>
      <c r="BM146" s="23">
        <v>0</v>
      </c>
      <c r="BN146" s="25">
        <v>0</v>
      </c>
      <c r="BO146" s="24">
        <f>BO26-BO89</f>
        <v>0</v>
      </c>
      <c r="BP146" s="23">
        <v>0</v>
      </c>
      <c r="BQ146" s="43" t="str">
        <f t="shared" ref="BQ146:BQ187" si="259">IFERROR(BP146/BO146,"-")</f>
        <v>-</v>
      </c>
      <c r="BR146" s="27">
        <f>BR26-BR89</f>
        <v>11658.330000001937</v>
      </c>
      <c r="BS146" s="26">
        <f>BS26-BS89</f>
        <v>122555.39177178033</v>
      </c>
      <c r="BT146" s="23">
        <v>0</v>
      </c>
      <c r="BU146" s="25">
        <v>0</v>
      </c>
      <c r="BV146" s="24">
        <f>BV26-BV89</f>
        <v>653791.37000000849</v>
      </c>
      <c r="BW146" s="24">
        <f>BW26-BW89</f>
        <v>0</v>
      </c>
      <c r="BX146" s="23">
        <v>0</v>
      </c>
      <c r="BY146" s="25">
        <v>0</v>
      </c>
      <c r="BZ146" s="24">
        <f>BZ26-BZ89</f>
        <v>0</v>
      </c>
      <c r="CA146" s="23">
        <v>0</v>
      </c>
      <c r="CB146" s="43" t="str">
        <f t="shared" ref="CB146:CB187" si="260">IFERROR(CA146/BZ146,"-")</f>
        <v>-</v>
      </c>
      <c r="CC146" s="27">
        <f>CC26-CC89</f>
        <v>11658.330000001937</v>
      </c>
      <c r="CD146" s="26">
        <f>CD26-CD89</f>
        <v>122555.39177178033</v>
      </c>
      <c r="CE146" s="23">
        <v>0</v>
      </c>
      <c r="CF146" s="25">
        <v>0</v>
      </c>
      <c r="CG146" s="24">
        <f>CG26-CG89</f>
        <v>653791.37000000849</v>
      </c>
      <c r="CH146" s="24">
        <f>CH26-CH89</f>
        <v>0</v>
      </c>
      <c r="CI146" s="23">
        <v>0</v>
      </c>
      <c r="CJ146" s="25">
        <v>0</v>
      </c>
      <c r="CK146" s="24">
        <f>CK26-CK89</f>
        <v>0</v>
      </c>
      <c r="CL146" s="23">
        <v>0</v>
      </c>
      <c r="CM146" s="43" t="str">
        <f t="shared" ref="CM146:CM187" si="261">IFERROR(CL146/CK146,"-")</f>
        <v>-</v>
      </c>
      <c r="CN146" s="27">
        <f>CN26-CN89</f>
        <v>11658.330000001937</v>
      </c>
      <c r="CO146" s="26">
        <f>CO26-CO89</f>
        <v>122555.39177178033</v>
      </c>
      <c r="CP146" s="23">
        <v>0</v>
      </c>
      <c r="CQ146" s="25">
        <v>0</v>
      </c>
      <c r="CR146" s="24">
        <f>CR26-CR89</f>
        <v>653791.37000000849</v>
      </c>
      <c r="CS146" s="24">
        <f>CS26-CS89</f>
        <v>0</v>
      </c>
      <c r="CT146" s="23">
        <v>0</v>
      </c>
      <c r="CU146" s="25">
        <v>0</v>
      </c>
      <c r="CV146" s="24">
        <f>CV26-CV89</f>
        <v>0</v>
      </c>
      <c r="CW146" s="23">
        <v>0</v>
      </c>
      <c r="CX146" s="43" t="str">
        <f t="shared" ref="CX146:CX187" si="262">IFERROR(CW146/CV146,"-")</f>
        <v>-</v>
      </c>
      <c r="CY146" s="27">
        <f>CY26-CY89</f>
        <v>11658.330000001937</v>
      </c>
      <c r="CZ146" s="26">
        <f>CZ26-CZ89</f>
        <v>122555.39177178033</v>
      </c>
      <c r="DA146" s="23">
        <v>0</v>
      </c>
      <c r="DB146" s="25">
        <v>0</v>
      </c>
      <c r="DC146" s="24">
        <f>DC26-DC89</f>
        <v>653791.37000000849</v>
      </c>
      <c r="DD146" s="24">
        <f>DD26-DD89</f>
        <v>0</v>
      </c>
      <c r="DE146" s="23">
        <v>0</v>
      </c>
      <c r="DF146" s="25">
        <v>0</v>
      </c>
      <c r="DG146" s="24">
        <f>DG26-DG89</f>
        <v>0</v>
      </c>
      <c r="DH146" s="23">
        <v>0</v>
      </c>
      <c r="DI146" s="43" t="str">
        <f t="shared" ref="DI146:DI187" si="263">IFERROR(DH146/DG146,"-")</f>
        <v>-</v>
      </c>
    </row>
    <row r="147" spans="1:113" s="6" customFormat="1" hidden="1" outlineLevel="2" x14ac:dyDescent="0.2">
      <c r="B147" s="29" t="str">
        <f t="shared" si="243"/>
        <v>Прочие бенефиты</v>
      </c>
      <c r="C147" s="52" t="str">
        <f t="shared" si="243"/>
        <v>Other benefits - Non-state mandated</v>
      </c>
      <c r="D147" s="27">
        <f>D27-D90</f>
        <v>-614311.89000000013</v>
      </c>
      <c r="E147" s="26">
        <f>E27-E90</f>
        <v>0</v>
      </c>
      <c r="F147" s="23">
        <v>0</v>
      </c>
      <c r="G147" s="25">
        <v>0</v>
      </c>
      <c r="H147" s="24">
        <f>H27-H90</f>
        <v>-1914075.8800000001</v>
      </c>
      <c r="I147" s="24">
        <f>I27-I90</f>
        <v>-996972.98</v>
      </c>
      <c r="J147" s="23">
        <v>0</v>
      </c>
      <c r="K147" s="25">
        <v>0</v>
      </c>
      <c r="L147" s="24">
        <f>L27-L90</f>
        <v>-996972.98</v>
      </c>
      <c r="M147" s="23">
        <v>0</v>
      </c>
      <c r="N147" s="43">
        <f t="shared" si="254"/>
        <v>0</v>
      </c>
      <c r="O147" s="27">
        <f>O27-O90</f>
        <v>-614311.89000000013</v>
      </c>
      <c r="P147" s="26">
        <f>P27-P90</f>
        <v>0</v>
      </c>
      <c r="Q147" s="23">
        <v>0</v>
      </c>
      <c r="R147" s="25">
        <v>0</v>
      </c>
      <c r="S147" s="24">
        <f>S27-S90</f>
        <v>-1914075.8800000001</v>
      </c>
      <c r="T147" s="24">
        <f>T27-T90</f>
        <v>-996972.98</v>
      </c>
      <c r="U147" s="23">
        <v>0</v>
      </c>
      <c r="V147" s="25">
        <v>0</v>
      </c>
      <c r="W147" s="24">
        <f>W27-W90</f>
        <v>-996972.98</v>
      </c>
      <c r="X147" s="23">
        <v>0</v>
      </c>
      <c r="Y147" s="43">
        <f t="shared" si="255"/>
        <v>0</v>
      </c>
      <c r="Z147" s="27">
        <f>Z27-Z90</f>
        <v>-614311.89000000013</v>
      </c>
      <c r="AA147" s="26">
        <f>AA27-AA90</f>
        <v>0</v>
      </c>
      <c r="AB147" s="23">
        <v>0</v>
      </c>
      <c r="AC147" s="25">
        <v>0</v>
      </c>
      <c r="AD147" s="24">
        <f>AD27-AD90</f>
        <v>-1914075.8800000001</v>
      </c>
      <c r="AE147" s="24">
        <f>AE27-AE90</f>
        <v>-996972.98</v>
      </c>
      <c r="AF147" s="23">
        <v>0</v>
      </c>
      <c r="AG147" s="25">
        <v>0</v>
      </c>
      <c r="AH147" s="24">
        <f>AH27-AH90</f>
        <v>-996972.98</v>
      </c>
      <c r="AI147" s="23">
        <v>0</v>
      </c>
      <c r="AJ147" s="43">
        <f t="shared" si="256"/>
        <v>0</v>
      </c>
      <c r="AK147" s="27">
        <f>AK27-AK90</f>
        <v>-614311.89000000013</v>
      </c>
      <c r="AL147" s="26">
        <f>AL27-AL90</f>
        <v>0</v>
      </c>
      <c r="AM147" s="23">
        <v>0</v>
      </c>
      <c r="AN147" s="25">
        <v>0</v>
      </c>
      <c r="AO147" s="24">
        <f>AO27-AO90</f>
        <v>-1914075.8800000001</v>
      </c>
      <c r="AP147" s="24">
        <f>AP27-AP90</f>
        <v>-996972.98</v>
      </c>
      <c r="AQ147" s="23">
        <v>0</v>
      </c>
      <c r="AR147" s="25">
        <v>0</v>
      </c>
      <c r="AS147" s="24">
        <f>AS27-AS90</f>
        <v>-996972.98</v>
      </c>
      <c r="AT147" s="23">
        <v>0</v>
      </c>
      <c r="AU147" s="43">
        <f t="shared" si="257"/>
        <v>0</v>
      </c>
      <c r="AV147" s="27">
        <f>AV27-AV90</f>
        <v>-614311.89000000013</v>
      </c>
      <c r="AW147" s="26">
        <f>AW27-AW90</f>
        <v>0</v>
      </c>
      <c r="AX147" s="23">
        <v>0</v>
      </c>
      <c r="AY147" s="25">
        <v>0</v>
      </c>
      <c r="AZ147" s="24">
        <f>AZ27-AZ90</f>
        <v>-1914075.8800000001</v>
      </c>
      <c r="BA147" s="24">
        <f>BA27-BA90</f>
        <v>-996972.98</v>
      </c>
      <c r="BB147" s="23">
        <v>0</v>
      </c>
      <c r="BC147" s="25">
        <v>0</v>
      </c>
      <c r="BD147" s="24">
        <f>BD27-BD90</f>
        <v>-996972.98</v>
      </c>
      <c r="BE147" s="23">
        <v>0</v>
      </c>
      <c r="BF147" s="43">
        <f t="shared" si="258"/>
        <v>0</v>
      </c>
      <c r="BG147" s="27">
        <f>BG27-BG90</f>
        <v>-614311.89000000013</v>
      </c>
      <c r="BH147" s="26">
        <f>BH27-BH90</f>
        <v>0</v>
      </c>
      <c r="BI147" s="23">
        <v>0</v>
      </c>
      <c r="BJ147" s="25">
        <v>0</v>
      </c>
      <c r="BK147" s="24">
        <f>BK27-BK90</f>
        <v>-1914075.8800000001</v>
      </c>
      <c r="BL147" s="24">
        <f>BL27-BL90</f>
        <v>-996972.98</v>
      </c>
      <c r="BM147" s="23">
        <v>0</v>
      </c>
      <c r="BN147" s="25">
        <v>0</v>
      </c>
      <c r="BO147" s="24">
        <f>BO27-BO90</f>
        <v>-996972.98</v>
      </c>
      <c r="BP147" s="23">
        <v>0</v>
      </c>
      <c r="BQ147" s="43">
        <f t="shared" si="259"/>
        <v>0</v>
      </c>
      <c r="BR147" s="27">
        <f>BR27-BR90</f>
        <v>-614311.89000000013</v>
      </c>
      <c r="BS147" s="26">
        <f>BS27-BS90</f>
        <v>0</v>
      </c>
      <c r="BT147" s="23">
        <v>0</v>
      </c>
      <c r="BU147" s="25">
        <v>0</v>
      </c>
      <c r="BV147" s="24">
        <f>BV27-BV90</f>
        <v>-1914075.8800000001</v>
      </c>
      <c r="BW147" s="24">
        <f>BW27-BW90</f>
        <v>-996972.98</v>
      </c>
      <c r="BX147" s="23">
        <v>0</v>
      </c>
      <c r="BY147" s="25">
        <v>0</v>
      </c>
      <c r="BZ147" s="24">
        <f>BZ27-BZ90</f>
        <v>-996972.98</v>
      </c>
      <c r="CA147" s="23">
        <v>0</v>
      </c>
      <c r="CB147" s="43">
        <f t="shared" si="260"/>
        <v>0</v>
      </c>
      <c r="CC147" s="27">
        <f>CC27-CC90</f>
        <v>-614311.89000000013</v>
      </c>
      <c r="CD147" s="26">
        <f>CD27-CD90</f>
        <v>0</v>
      </c>
      <c r="CE147" s="23">
        <v>0</v>
      </c>
      <c r="CF147" s="25">
        <v>0</v>
      </c>
      <c r="CG147" s="24">
        <f>CG27-CG90</f>
        <v>-1914075.8800000001</v>
      </c>
      <c r="CH147" s="24">
        <f>CH27-CH90</f>
        <v>-996972.98</v>
      </c>
      <c r="CI147" s="23">
        <v>0</v>
      </c>
      <c r="CJ147" s="25">
        <v>0</v>
      </c>
      <c r="CK147" s="24">
        <f>CK27-CK90</f>
        <v>-996972.98</v>
      </c>
      <c r="CL147" s="23">
        <v>0</v>
      </c>
      <c r="CM147" s="43">
        <f t="shared" si="261"/>
        <v>0</v>
      </c>
      <c r="CN147" s="27">
        <f>CN27-CN90</f>
        <v>-614311.89000000013</v>
      </c>
      <c r="CO147" s="26">
        <f>CO27-CO90</f>
        <v>0</v>
      </c>
      <c r="CP147" s="23">
        <v>0</v>
      </c>
      <c r="CQ147" s="25">
        <v>0</v>
      </c>
      <c r="CR147" s="24">
        <f>CR27-CR90</f>
        <v>-1914075.8800000001</v>
      </c>
      <c r="CS147" s="24">
        <f>CS27-CS90</f>
        <v>-996972.98</v>
      </c>
      <c r="CT147" s="23">
        <v>0</v>
      </c>
      <c r="CU147" s="25">
        <v>0</v>
      </c>
      <c r="CV147" s="24">
        <f>CV27-CV90</f>
        <v>-996972.98</v>
      </c>
      <c r="CW147" s="23">
        <v>0</v>
      </c>
      <c r="CX147" s="43">
        <f t="shared" si="262"/>
        <v>0</v>
      </c>
      <c r="CY147" s="27">
        <f>CY27-CY90</f>
        <v>-614311.89000000013</v>
      </c>
      <c r="CZ147" s="26">
        <f>CZ27-CZ90</f>
        <v>0</v>
      </c>
      <c r="DA147" s="23">
        <v>0</v>
      </c>
      <c r="DB147" s="25">
        <v>0</v>
      </c>
      <c r="DC147" s="24">
        <f>DC27-DC90</f>
        <v>-1914075.8800000001</v>
      </c>
      <c r="DD147" s="24">
        <f>DD27-DD90</f>
        <v>-996972.98</v>
      </c>
      <c r="DE147" s="23">
        <v>0</v>
      </c>
      <c r="DF147" s="25">
        <v>0</v>
      </c>
      <c r="DG147" s="24">
        <f>DG27-DG90</f>
        <v>-996972.98</v>
      </c>
      <c r="DH147" s="23">
        <v>0</v>
      </c>
      <c r="DI147" s="43">
        <f t="shared" si="263"/>
        <v>0</v>
      </c>
    </row>
    <row r="148" spans="1:113" s="6" customFormat="1" outlineLevel="1" collapsed="1" x14ac:dyDescent="0.2">
      <c r="A148" s="30"/>
      <c r="B148" s="48" t="str">
        <f t="shared" si="243"/>
        <v>Бенефиты</v>
      </c>
      <c r="C148" s="55" t="str">
        <f t="shared" si="243"/>
        <v>Benefits</v>
      </c>
      <c r="D148" s="46">
        <f>SUM(D146:D147)</f>
        <v>-602653.55999999819</v>
      </c>
      <c r="E148" s="45">
        <f>SUM(E146:E147)</f>
        <v>122555.39177178033</v>
      </c>
      <c r="F148" s="23">
        <v>0</v>
      </c>
      <c r="G148" s="25">
        <v>0</v>
      </c>
      <c r="H148" s="44">
        <f>SUM(H146:H147)</f>
        <v>-1260284.5099999916</v>
      </c>
      <c r="I148" s="44">
        <f>SUM(I146:I147)</f>
        <v>-996972.98</v>
      </c>
      <c r="J148" s="23">
        <v>0</v>
      </c>
      <c r="K148" s="25">
        <v>0</v>
      </c>
      <c r="L148" s="44">
        <f>SUM(L146:L147)</f>
        <v>-996972.98</v>
      </c>
      <c r="M148" s="23">
        <v>0</v>
      </c>
      <c r="N148" s="43">
        <f t="shared" si="254"/>
        <v>0</v>
      </c>
      <c r="O148" s="46">
        <f>SUM(O146:O147)</f>
        <v>-602653.55999999819</v>
      </c>
      <c r="P148" s="45">
        <f>SUM(P146:P147)</f>
        <v>122555.39177178033</v>
      </c>
      <c r="Q148" s="23">
        <v>0</v>
      </c>
      <c r="R148" s="25">
        <v>0</v>
      </c>
      <c r="S148" s="44">
        <f>SUM(S146:S147)</f>
        <v>-1260284.5099999916</v>
      </c>
      <c r="T148" s="44">
        <f>SUM(T146:T147)</f>
        <v>-996972.98</v>
      </c>
      <c r="U148" s="23">
        <v>0</v>
      </c>
      <c r="V148" s="25">
        <v>0</v>
      </c>
      <c r="W148" s="44">
        <f>SUM(W146:W147)</f>
        <v>-996972.98</v>
      </c>
      <c r="X148" s="23">
        <v>0</v>
      </c>
      <c r="Y148" s="43">
        <f t="shared" si="255"/>
        <v>0</v>
      </c>
      <c r="Z148" s="46">
        <f>SUM(Z146:Z147)</f>
        <v>-602653.55999999819</v>
      </c>
      <c r="AA148" s="45">
        <f>SUM(AA146:AA147)</f>
        <v>122555.39177178033</v>
      </c>
      <c r="AB148" s="23">
        <v>0</v>
      </c>
      <c r="AC148" s="25">
        <v>0</v>
      </c>
      <c r="AD148" s="44">
        <f>SUM(AD146:AD147)</f>
        <v>-1260284.5099999916</v>
      </c>
      <c r="AE148" s="44">
        <f>SUM(AE146:AE147)</f>
        <v>-996972.98</v>
      </c>
      <c r="AF148" s="23">
        <v>0</v>
      </c>
      <c r="AG148" s="25">
        <v>0</v>
      </c>
      <c r="AH148" s="44">
        <f>SUM(AH146:AH147)</f>
        <v>-996972.98</v>
      </c>
      <c r="AI148" s="23">
        <v>0</v>
      </c>
      <c r="AJ148" s="43">
        <f t="shared" si="256"/>
        <v>0</v>
      </c>
      <c r="AK148" s="46">
        <f>SUM(AK146:AK147)</f>
        <v>-602653.55999999819</v>
      </c>
      <c r="AL148" s="45">
        <f>SUM(AL146:AL147)</f>
        <v>122555.39177178033</v>
      </c>
      <c r="AM148" s="23">
        <v>0</v>
      </c>
      <c r="AN148" s="25">
        <v>0</v>
      </c>
      <c r="AO148" s="44">
        <f>SUM(AO146:AO147)</f>
        <v>-1260284.5099999916</v>
      </c>
      <c r="AP148" s="44">
        <f>SUM(AP146:AP147)</f>
        <v>-996972.98</v>
      </c>
      <c r="AQ148" s="23">
        <v>0</v>
      </c>
      <c r="AR148" s="25">
        <v>0</v>
      </c>
      <c r="AS148" s="44">
        <f>SUM(AS146:AS147)</f>
        <v>-996972.98</v>
      </c>
      <c r="AT148" s="23">
        <v>0</v>
      </c>
      <c r="AU148" s="43">
        <f t="shared" si="257"/>
        <v>0</v>
      </c>
      <c r="AV148" s="46">
        <f>SUM(AV146:AV147)</f>
        <v>-602653.55999999819</v>
      </c>
      <c r="AW148" s="45">
        <f>SUM(AW146:AW147)</f>
        <v>122555.39177178033</v>
      </c>
      <c r="AX148" s="23">
        <v>0</v>
      </c>
      <c r="AY148" s="25">
        <v>0</v>
      </c>
      <c r="AZ148" s="44">
        <f>SUM(AZ146:AZ147)</f>
        <v>-1260284.5099999916</v>
      </c>
      <c r="BA148" s="44">
        <f>SUM(BA146:BA147)</f>
        <v>-996972.98</v>
      </c>
      <c r="BB148" s="23">
        <v>0</v>
      </c>
      <c r="BC148" s="25">
        <v>0</v>
      </c>
      <c r="BD148" s="44">
        <f>SUM(BD146:BD147)</f>
        <v>-996972.98</v>
      </c>
      <c r="BE148" s="23">
        <v>0</v>
      </c>
      <c r="BF148" s="43">
        <f t="shared" si="258"/>
        <v>0</v>
      </c>
      <c r="BG148" s="46">
        <f>SUM(BG146:BG147)</f>
        <v>-602653.55999999819</v>
      </c>
      <c r="BH148" s="45">
        <f>SUM(BH146:BH147)</f>
        <v>122555.39177178033</v>
      </c>
      <c r="BI148" s="23">
        <v>0</v>
      </c>
      <c r="BJ148" s="25">
        <v>0</v>
      </c>
      <c r="BK148" s="44">
        <f>SUM(BK146:BK147)</f>
        <v>-1260284.5099999916</v>
      </c>
      <c r="BL148" s="44">
        <f>SUM(BL146:BL147)</f>
        <v>-996972.98</v>
      </c>
      <c r="BM148" s="23">
        <v>0</v>
      </c>
      <c r="BN148" s="25">
        <v>0</v>
      </c>
      <c r="BO148" s="44">
        <f>SUM(BO146:BO147)</f>
        <v>-996972.98</v>
      </c>
      <c r="BP148" s="23">
        <v>0</v>
      </c>
      <c r="BQ148" s="43">
        <f t="shared" si="259"/>
        <v>0</v>
      </c>
      <c r="BR148" s="46">
        <f>SUM(BR146:BR147)</f>
        <v>-602653.55999999819</v>
      </c>
      <c r="BS148" s="45">
        <f>SUM(BS146:BS147)</f>
        <v>122555.39177178033</v>
      </c>
      <c r="BT148" s="23">
        <v>0</v>
      </c>
      <c r="BU148" s="25">
        <v>0</v>
      </c>
      <c r="BV148" s="44">
        <f>SUM(BV146:BV147)</f>
        <v>-1260284.5099999916</v>
      </c>
      <c r="BW148" s="44">
        <f>SUM(BW146:BW147)</f>
        <v>-996972.98</v>
      </c>
      <c r="BX148" s="23">
        <v>0</v>
      </c>
      <c r="BY148" s="25">
        <v>0</v>
      </c>
      <c r="BZ148" s="44">
        <f>SUM(BZ146:BZ147)</f>
        <v>-996972.98</v>
      </c>
      <c r="CA148" s="23">
        <v>0</v>
      </c>
      <c r="CB148" s="43">
        <f t="shared" si="260"/>
        <v>0</v>
      </c>
      <c r="CC148" s="46">
        <f>SUM(CC146:CC147)</f>
        <v>-602653.55999999819</v>
      </c>
      <c r="CD148" s="45">
        <f>SUM(CD146:CD147)</f>
        <v>122555.39177178033</v>
      </c>
      <c r="CE148" s="23">
        <v>0</v>
      </c>
      <c r="CF148" s="25">
        <v>0</v>
      </c>
      <c r="CG148" s="44">
        <f>SUM(CG146:CG147)</f>
        <v>-1260284.5099999916</v>
      </c>
      <c r="CH148" s="44">
        <f>SUM(CH146:CH147)</f>
        <v>-996972.98</v>
      </c>
      <c r="CI148" s="23">
        <v>0</v>
      </c>
      <c r="CJ148" s="25">
        <v>0</v>
      </c>
      <c r="CK148" s="44">
        <f>SUM(CK146:CK147)</f>
        <v>-996972.98</v>
      </c>
      <c r="CL148" s="23">
        <v>0</v>
      </c>
      <c r="CM148" s="43">
        <f t="shared" si="261"/>
        <v>0</v>
      </c>
      <c r="CN148" s="46">
        <f>SUM(CN146:CN147)</f>
        <v>-602653.55999999819</v>
      </c>
      <c r="CO148" s="45">
        <f>SUM(CO146:CO147)</f>
        <v>122555.39177178033</v>
      </c>
      <c r="CP148" s="23">
        <v>0</v>
      </c>
      <c r="CQ148" s="25">
        <v>0</v>
      </c>
      <c r="CR148" s="44">
        <f>SUM(CR146:CR147)</f>
        <v>-1260284.5099999916</v>
      </c>
      <c r="CS148" s="44">
        <f>SUM(CS146:CS147)</f>
        <v>-996972.98</v>
      </c>
      <c r="CT148" s="23">
        <v>0</v>
      </c>
      <c r="CU148" s="25">
        <v>0</v>
      </c>
      <c r="CV148" s="44">
        <f>SUM(CV146:CV147)</f>
        <v>-996972.98</v>
      </c>
      <c r="CW148" s="23">
        <v>0</v>
      </c>
      <c r="CX148" s="43">
        <f t="shared" si="262"/>
        <v>0</v>
      </c>
      <c r="CY148" s="46">
        <f>SUM(CY146:CY147)</f>
        <v>-602653.55999999819</v>
      </c>
      <c r="CZ148" s="45">
        <f>SUM(CZ146:CZ147)</f>
        <v>122555.39177178033</v>
      </c>
      <c r="DA148" s="23">
        <v>0</v>
      </c>
      <c r="DB148" s="25">
        <v>0</v>
      </c>
      <c r="DC148" s="44">
        <f>SUM(DC146:DC147)</f>
        <v>-1260284.5099999916</v>
      </c>
      <c r="DD148" s="44">
        <f>SUM(DD146:DD147)</f>
        <v>-996972.98</v>
      </c>
      <c r="DE148" s="23">
        <v>0</v>
      </c>
      <c r="DF148" s="25">
        <v>0</v>
      </c>
      <c r="DG148" s="44">
        <f>SUM(DG146:DG147)</f>
        <v>-996972.98</v>
      </c>
      <c r="DH148" s="23">
        <v>0</v>
      </c>
      <c r="DI148" s="43">
        <f t="shared" si="263"/>
        <v>0</v>
      </c>
    </row>
    <row r="149" spans="1:113" hidden="1" outlineLevel="3" x14ac:dyDescent="0.2">
      <c r="A149" s="54"/>
      <c r="B149" s="38" t="str">
        <f t="shared" si="243"/>
        <v>Прочие выплаты</v>
      </c>
      <c r="C149" s="49" t="str">
        <f t="shared" si="243"/>
        <v>Remaining Other Compensation</v>
      </c>
      <c r="D149" s="41">
        <f>D29-D92</f>
        <v>240000</v>
      </c>
      <c r="E149" s="40">
        <f>E29-E92</f>
        <v>0</v>
      </c>
      <c r="F149" s="32">
        <v>0</v>
      </c>
      <c r="G149" s="34">
        <v>0</v>
      </c>
      <c r="H149" s="39">
        <f>H29-H92</f>
        <v>258360</v>
      </c>
      <c r="I149" s="39">
        <f>I29-I92</f>
        <v>-240000</v>
      </c>
      <c r="J149" s="32">
        <v>0</v>
      </c>
      <c r="K149" s="34">
        <v>0</v>
      </c>
      <c r="L149" s="39">
        <f>L29-L92</f>
        <v>-240000</v>
      </c>
      <c r="M149" s="32">
        <v>0</v>
      </c>
      <c r="N149" s="53">
        <f t="shared" si="254"/>
        <v>0</v>
      </c>
      <c r="O149" s="41">
        <f>O29-O92</f>
        <v>240000</v>
      </c>
      <c r="P149" s="40">
        <f>P29-P92</f>
        <v>0</v>
      </c>
      <c r="Q149" s="32">
        <v>0</v>
      </c>
      <c r="R149" s="34">
        <v>0</v>
      </c>
      <c r="S149" s="39">
        <f>S29-S92</f>
        <v>258360</v>
      </c>
      <c r="T149" s="39">
        <f>T29-T92</f>
        <v>-240000</v>
      </c>
      <c r="U149" s="32">
        <v>0</v>
      </c>
      <c r="V149" s="34">
        <v>0</v>
      </c>
      <c r="W149" s="39">
        <f>W29-W92</f>
        <v>-240000</v>
      </c>
      <c r="X149" s="32">
        <v>0</v>
      </c>
      <c r="Y149" s="53">
        <f t="shared" si="255"/>
        <v>0</v>
      </c>
      <c r="Z149" s="41">
        <f>Z29-Z92</f>
        <v>240000</v>
      </c>
      <c r="AA149" s="40">
        <f>AA29-AA92</f>
        <v>0</v>
      </c>
      <c r="AB149" s="32">
        <v>0</v>
      </c>
      <c r="AC149" s="34">
        <v>0</v>
      </c>
      <c r="AD149" s="39">
        <f>AD29-AD92</f>
        <v>258360</v>
      </c>
      <c r="AE149" s="39">
        <f>AE29-AE92</f>
        <v>-240000</v>
      </c>
      <c r="AF149" s="32">
        <v>0</v>
      </c>
      <c r="AG149" s="34">
        <v>0</v>
      </c>
      <c r="AH149" s="39">
        <f>AH29-AH92</f>
        <v>-240000</v>
      </c>
      <c r="AI149" s="32">
        <v>0</v>
      </c>
      <c r="AJ149" s="53">
        <f t="shared" si="256"/>
        <v>0</v>
      </c>
      <c r="AK149" s="41">
        <f>AK29-AK92</f>
        <v>240000</v>
      </c>
      <c r="AL149" s="40">
        <f>AL29-AL92</f>
        <v>0</v>
      </c>
      <c r="AM149" s="32">
        <v>0</v>
      </c>
      <c r="AN149" s="34">
        <v>0</v>
      </c>
      <c r="AO149" s="39">
        <f>AO29-AO92</f>
        <v>258360</v>
      </c>
      <c r="AP149" s="39">
        <f>AP29-AP92</f>
        <v>-240000</v>
      </c>
      <c r="AQ149" s="32">
        <v>0</v>
      </c>
      <c r="AR149" s="34">
        <v>0</v>
      </c>
      <c r="AS149" s="39">
        <f>AS29-AS92</f>
        <v>-240000</v>
      </c>
      <c r="AT149" s="32">
        <v>0</v>
      </c>
      <c r="AU149" s="53">
        <f t="shared" si="257"/>
        <v>0</v>
      </c>
      <c r="AV149" s="41">
        <f>AV29-AV92</f>
        <v>240000</v>
      </c>
      <c r="AW149" s="40">
        <f>AW29-AW92</f>
        <v>0</v>
      </c>
      <c r="AX149" s="32">
        <v>0</v>
      </c>
      <c r="AY149" s="34">
        <v>0</v>
      </c>
      <c r="AZ149" s="39">
        <f>AZ29-AZ92</f>
        <v>258360</v>
      </c>
      <c r="BA149" s="39">
        <f>BA29-BA92</f>
        <v>-240000</v>
      </c>
      <c r="BB149" s="32">
        <v>0</v>
      </c>
      <c r="BC149" s="34">
        <v>0</v>
      </c>
      <c r="BD149" s="39">
        <f>BD29-BD92</f>
        <v>-240000</v>
      </c>
      <c r="BE149" s="32">
        <v>0</v>
      </c>
      <c r="BF149" s="53">
        <f t="shared" si="258"/>
        <v>0</v>
      </c>
      <c r="BG149" s="41">
        <f>BG29-BG92</f>
        <v>240000</v>
      </c>
      <c r="BH149" s="40">
        <f>BH29-BH92</f>
        <v>0</v>
      </c>
      <c r="BI149" s="32">
        <v>0</v>
      </c>
      <c r="BJ149" s="34">
        <v>0</v>
      </c>
      <c r="BK149" s="39">
        <f>BK29-BK92</f>
        <v>258360</v>
      </c>
      <c r="BL149" s="39">
        <f>BL29-BL92</f>
        <v>-240000</v>
      </c>
      <c r="BM149" s="32">
        <v>0</v>
      </c>
      <c r="BN149" s="34">
        <v>0</v>
      </c>
      <c r="BO149" s="39">
        <f>BO29-BO92</f>
        <v>-240000</v>
      </c>
      <c r="BP149" s="32">
        <v>0</v>
      </c>
      <c r="BQ149" s="53">
        <f t="shared" si="259"/>
        <v>0</v>
      </c>
      <c r="BR149" s="41">
        <f>BR29-BR92</f>
        <v>240000</v>
      </c>
      <c r="BS149" s="40">
        <f>BS29-BS92</f>
        <v>0</v>
      </c>
      <c r="BT149" s="32">
        <v>0</v>
      </c>
      <c r="BU149" s="34">
        <v>0</v>
      </c>
      <c r="BV149" s="39">
        <f>BV29-BV92</f>
        <v>258360</v>
      </c>
      <c r="BW149" s="39">
        <f>BW29-BW92</f>
        <v>-240000</v>
      </c>
      <c r="BX149" s="32">
        <v>0</v>
      </c>
      <c r="BY149" s="34">
        <v>0</v>
      </c>
      <c r="BZ149" s="39">
        <f>BZ29-BZ92</f>
        <v>-240000</v>
      </c>
      <c r="CA149" s="32">
        <v>0</v>
      </c>
      <c r="CB149" s="53">
        <f t="shared" si="260"/>
        <v>0</v>
      </c>
      <c r="CC149" s="41">
        <f>CC29-CC92</f>
        <v>240000</v>
      </c>
      <c r="CD149" s="40">
        <f>CD29-CD92</f>
        <v>0</v>
      </c>
      <c r="CE149" s="32">
        <v>0</v>
      </c>
      <c r="CF149" s="34">
        <v>0</v>
      </c>
      <c r="CG149" s="39">
        <f>CG29-CG92</f>
        <v>258360</v>
      </c>
      <c r="CH149" s="39">
        <f>CH29-CH92</f>
        <v>-240000</v>
      </c>
      <c r="CI149" s="32">
        <v>0</v>
      </c>
      <c r="CJ149" s="34">
        <v>0</v>
      </c>
      <c r="CK149" s="39">
        <f>CK29-CK92</f>
        <v>-240000</v>
      </c>
      <c r="CL149" s="32">
        <v>0</v>
      </c>
      <c r="CM149" s="53">
        <f t="shared" si="261"/>
        <v>0</v>
      </c>
      <c r="CN149" s="41">
        <f>CN29-CN92</f>
        <v>240000</v>
      </c>
      <c r="CO149" s="40">
        <f>CO29-CO92</f>
        <v>0</v>
      </c>
      <c r="CP149" s="32">
        <v>0</v>
      </c>
      <c r="CQ149" s="34">
        <v>0</v>
      </c>
      <c r="CR149" s="39">
        <f>CR29-CR92</f>
        <v>258360</v>
      </c>
      <c r="CS149" s="39">
        <f>CS29-CS92</f>
        <v>-240000</v>
      </c>
      <c r="CT149" s="32">
        <v>0</v>
      </c>
      <c r="CU149" s="34">
        <v>0</v>
      </c>
      <c r="CV149" s="39">
        <f>CV29-CV92</f>
        <v>-240000</v>
      </c>
      <c r="CW149" s="32">
        <v>0</v>
      </c>
      <c r="CX149" s="53">
        <f t="shared" si="262"/>
        <v>0</v>
      </c>
      <c r="CY149" s="41">
        <f>CY29-CY92</f>
        <v>240000</v>
      </c>
      <c r="CZ149" s="40">
        <f>CZ29-CZ92</f>
        <v>0</v>
      </c>
      <c r="DA149" s="32">
        <v>0</v>
      </c>
      <c r="DB149" s="34">
        <v>0</v>
      </c>
      <c r="DC149" s="39">
        <f>DC29-DC92</f>
        <v>258360</v>
      </c>
      <c r="DD149" s="39">
        <f>DD29-DD92</f>
        <v>-240000</v>
      </c>
      <c r="DE149" s="32">
        <v>0</v>
      </c>
      <c r="DF149" s="34">
        <v>0</v>
      </c>
      <c r="DG149" s="39">
        <f>DG29-DG92</f>
        <v>-240000</v>
      </c>
      <c r="DH149" s="32">
        <v>0</v>
      </c>
      <c r="DI149" s="53">
        <f t="shared" si="263"/>
        <v>0</v>
      </c>
    </row>
    <row r="150" spans="1:113" hidden="1" outlineLevel="3" x14ac:dyDescent="0.2">
      <c r="A150" s="54"/>
      <c r="B150" s="38" t="str">
        <f t="shared" si="243"/>
        <v>Страховые взносы прочие выплаты</v>
      </c>
      <c r="C150" s="49" t="str">
        <f t="shared" si="243"/>
        <v>Social Security on Remaining Other Compensation</v>
      </c>
      <c r="D150" s="41">
        <f>D30-D93</f>
        <v>0</v>
      </c>
      <c r="E150" s="40">
        <f>E30-E93</f>
        <v>0</v>
      </c>
      <c r="F150" s="32">
        <v>0</v>
      </c>
      <c r="G150" s="34">
        <v>0</v>
      </c>
      <c r="H150" s="39">
        <f>H30-H93</f>
        <v>-54600</v>
      </c>
      <c r="I150" s="39">
        <f>I30-I93</f>
        <v>-36240</v>
      </c>
      <c r="J150" s="32">
        <v>0</v>
      </c>
      <c r="K150" s="34">
        <v>0</v>
      </c>
      <c r="L150" s="39">
        <f>L30-L93</f>
        <v>-36240</v>
      </c>
      <c r="M150" s="32">
        <v>0</v>
      </c>
      <c r="N150" s="53">
        <f t="shared" si="254"/>
        <v>0</v>
      </c>
      <c r="O150" s="41">
        <f>O30-O93</f>
        <v>0</v>
      </c>
      <c r="P150" s="40">
        <f>P30-P93</f>
        <v>0</v>
      </c>
      <c r="Q150" s="32">
        <v>0</v>
      </c>
      <c r="R150" s="34">
        <v>0</v>
      </c>
      <c r="S150" s="39">
        <f>S30-S93</f>
        <v>-54600</v>
      </c>
      <c r="T150" s="39">
        <f>T30-T93</f>
        <v>-36240</v>
      </c>
      <c r="U150" s="32">
        <v>0</v>
      </c>
      <c r="V150" s="34">
        <v>0</v>
      </c>
      <c r="W150" s="39">
        <f>W30-W93</f>
        <v>-36240</v>
      </c>
      <c r="X150" s="32">
        <v>0</v>
      </c>
      <c r="Y150" s="53">
        <f t="shared" si="255"/>
        <v>0</v>
      </c>
      <c r="Z150" s="41">
        <f>Z30-Z93</f>
        <v>0</v>
      </c>
      <c r="AA150" s="40">
        <f>AA30-AA93</f>
        <v>0</v>
      </c>
      <c r="AB150" s="32">
        <v>0</v>
      </c>
      <c r="AC150" s="34">
        <v>0</v>
      </c>
      <c r="AD150" s="39">
        <f>AD30-AD93</f>
        <v>-54600</v>
      </c>
      <c r="AE150" s="39">
        <f>AE30-AE93</f>
        <v>-36240</v>
      </c>
      <c r="AF150" s="32">
        <v>0</v>
      </c>
      <c r="AG150" s="34">
        <v>0</v>
      </c>
      <c r="AH150" s="39">
        <f>AH30-AH93</f>
        <v>-36240</v>
      </c>
      <c r="AI150" s="32">
        <v>0</v>
      </c>
      <c r="AJ150" s="53">
        <f t="shared" si="256"/>
        <v>0</v>
      </c>
      <c r="AK150" s="41">
        <f>AK30-AK93</f>
        <v>0</v>
      </c>
      <c r="AL150" s="40">
        <f>AL30-AL93</f>
        <v>0</v>
      </c>
      <c r="AM150" s="32">
        <v>0</v>
      </c>
      <c r="AN150" s="34">
        <v>0</v>
      </c>
      <c r="AO150" s="39">
        <f>AO30-AO93</f>
        <v>-54600</v>
      </c>
      <c r="AP150" s="39">
        <f>AP30-AP93</f>
        <v>-36240</v>
      </c>
      <c r="AQ150" s="32">
        <v>0</v>
      </c>
      <c r="AR150" s="34">
        <v>0</v>
      </c>
      <c r="AS150" s="39">
        <f>AS30-AS93</f>
        <v>-36240</v>
      </c>
      <c r="AT150" s="32">
        <v>0</v>
      </c>
      <c r="AU150" s="53">
        <f t="shared" si="257"/>
        <v>0</v>
      </c>
      <c r="AV150" s="41">
        <f>AV30-AV93</f>
        <v>0</v>
      </c>
      <c r="AW150" s="40">
        <f>AW30-AW93</f>
        <v>0</v>
      </c>
      <c r="AX150" s="32">
        <v>0</v>
      </c>
      <c r="AY150" s="34">
        <v>0</v>
      </c>
      <c r="AZ150" s="39">
        <f>AZ30-AZ93</f>
        <v>-54600</v>
      </c>
      <c r="BA150" s="39">
        <f>BA30-BA93</f>
        <v>-36240</v>
      </c>
      <c r="BB150" s="32">
        <v>0</v>
      </c>
      <c r="BC150" s="34">
        <v>0</v>
      </c>
      <c r="BD150" s="39">
        <f>BD30-BD93</f>
        <v>-36240</v>
      </c>
      <c r="BE150" s="32">
        <v>0</v>
      </c>
      <c r="BF150" s="53">
        <f t="shared" si="258"/>
        <v>0</v>
      </c>
      <c r="BG150" s="41">
        <f>BG30-BG93</f>
        <v>0</v>
      </c>
      <c r="BH150" s="40">
        <f>BH30-BH93</f>
        <v>0</v>
      </c>
      <c r="BI150" s="32">
        <v>0</v>
      </c>
      <c r="BJ150" s="34">
        <v>0</v>
      </c>
      <c r="BK150" s="39">
        <f>BK30-BK93</f>
        <v>-54600</v>
      </c>
      <c r="BL150" s="39">
        <f>BL30-BL93</f>
        <v>-36240</v>
      </c>
      <c r="BM150" s="32">
        <v>0</v>
      </c>
      <c r="BN150" s="34">
        <v>0</v>
      </c>
      <c r="BO150" s="39">
        <f>BO30-BO93</f>
        <v>-36240</v>
      </c>
      <c r="BP150" s="32">
        <v>0</v>
      </c>
      <c r="BQ150" s="53">
        <f t="shared" si="259"/>
        <v>0</v>
      </c>
      <c r="BR150" s="41">
        <f>BR30-BR93</f>
        <v>0</v>
      </c>
      <c r="BS150" s="40">
        <f>BS30-BS93</f>
        <v>0</v>
      </c>
      <c r="BT150" s="32">
        <v>0</v>
      </c>
      <c r="BU150" s="34">
        <v>0</v>
      </c>
      <c r="BV150" s="39">
        <f>BV30-BV93</f>
        <v>-54600</v>
      </c>
      <c r="BW150" s="39">
        <f>BW30-BW93</f>
        <v>-36240</v>
      </c>
      <c r="BX150" s="32">
        <v>0</v>
      </c>
      <c r="BY150" s="34">
        <v>0</v>
      </c>
      <c r="BZ150" s="39">
        <f>BZ30-BZ93</f>
        <v>-36240</v>
      </c>
      <c r="CA150" s="32">
        <v>0</v>
      </c>
      <c r="CB150" s="53">
        <f t="shared" si="260"/>
        <v>0</v>
      </c>
      <c r="CC150" s="41">
        <f>CC30-CC93</f>
        <v>0</v>
      </c>
      <c r="CD150" s="40">
        <f>CD30-CD93</f>
        <v>0</v>
      </c>
      <c r="CE150" s="32">
        <v>0</v>
      </c>
      <c r="CF150" s="34">
        <v>0</v>
      </c>
      <c r="CG150" s="39">
        <f>CG30-CG93</f>
        <v>-54600</v>
      </c>
      <c r="CH150" s="39">
        <f>CH30-CH93</f>
        <v>-36240</v>
      </c>
      <c r="CI150" s="32">
        <v>0</v>
      </c>
      <c r="CJ150" s="34">
        <v>0</v>
      </c>
      <c r="CK150" s="39">
        <f>CK30-CK93</f>
        <v>-36240</v>
      </c>
      <c r="CL150" s="32">
        <v>0</v>
      </c>
      <c r="CM150" s="53">
        <f t="shared" si="261"/>
        <v>0</v>
      </c>
      <c r="CN150" s="41">
        <f>CN30-CN93</f>
        <v>0</v>
      </c>
      <c r="CO150" s="40">
        <f>CO30-CO93</f>
        <v>0</v>
      </c>
      <c r="CP150" s="32">
        <v>0</v>
      </c>
      <c r="CQ150" s="34">
        <v>0</v>
      </c>
      <c r="CR150" s="39">
        <f>CR30-CR93</f>
        <v>-54600</v>
      </c>
      <c r="CS150" s="39">
        <f>CS30-CS93</f>
        <v>-36240</v>
      </c>
      <c r="CT150" s="32">
        <v>0</v>
      </c>
      <c r="CU150" s="34">
        <v>0</v>
      </c>
      <c r="CV150" s="39">
        <f>CV30-CV93</f>
        <v>-36240</v>
      </c>
      <c r="CW150" s="32">
        <v>0</v>
      </c>
      <c r="CX150" s="53">
        <f t="shared" si="262"/>
        <v>0</v>
      </c>
      <c r="CY150" s="41">
        <f>CY30-CY93</f>
        <v>0</v>
      </c>
      <c r="CZ150" s="40">
        <f>CZ30-CZ93</f>
        <v>0</v>
      </c>
      <c r="DA150" s="32">
        <v>0</v>
      </c>
      <c r="DB150" s="34">
        <v>0</v>
      </c>
      <c r="DC150" s="39">
        <f>DC30-DC93</f>
        <v>-54600</v>
      </c>
      <c r="DD150" s="39">
        <f>DD30-DD93</f>
        <v>-36240</v>
      </c>
      <c r="DE150" s="32">
        <v>0</v>
      </c>
      <c r="DF150" s="34">
        <v>0</v>
      </c>
      <c r="DG150" s="39">
        <f>DG30-DG93</f>
        <v>-36240</v>
      </c>
      <c r="DH150" s="32">
        <v>0</v>
      </c>
      <c r="DI150" s="53">
        <f t="shared" si="263"/>
        <v>0</v>
      </c>
    </row>
    <row r="151" spans="1:113" s="6" customFormat="1" hidden="1" outlineLevel="2" collapsed="1" x14ac:dyDescent="0.2">
      <c r="A151" s="30"/>
      <c r="B151" s="29" t="str">
        <f t="shared" si="243"/>
        <v>Итого прочие выплаты</v>
      </c>
      <c r="C151" s="52" t="str">
        <f t="shared" si="243"/>
        <v>Total Remaining Other Compensation</v>
      </c>
      <c r="D151" s="27">
        <f>SUM(D149:D150)</f>
        <v>240000</v>
      </c>
      <c r="E151" s="26">
        <f>SUM(E149:E150)</f>
        <v>0</v>
      </c>
      <c r="F151" s="23">
        <v>0</v>
      </c>
      <c r="G151" s="25">
        <v>0</v>
      </c>
      <c r="H151" s="24">
        <f>SUM(H149:H150)</f>
        <v>203760</v>
      </c>
      <c r="I151" s="24">
        <f>SUM(I149:I150)</f>
        <v>-276240</v>
      </c>
      <c r="J151" s="23">
        <v>0</v>
      </c>
      <c r="K151" s="25">
        <v>0</v>
      </c>
      <c r="L151" s="24">
        <f>SUM(L149:L150)</f>
        <v>-276240</v>
      </c>
      <c r="M151" s="23">
        <v>0</v>
      </c>
      <c r="N151" s="22">
        <f t="shared" si="254"/>
        <v>0</v>
      </c>
      <c r="O151" s="27">
        <f>SUM(O149:O150)</f>
        <v>240000</v>
      </c>
      <c r="P151" s="26">
        <f>SUM(P149:P150)</f>
        <v>0</v>
      </c>
      <c r="Q151" s="23">
        <v>0</v>
      </c>
      <c r="R151" s="25">
        <v>0</v>
      </c>
      <c r="S151" s="24">
        <f>SUM(S149:S150)</f>
        <v>203760</v>
      </c>
      <c r="T151" s="24">
        <f>SUM(T149:T150)</f>
        <v>-276240</v>
      </c>
      <c r="U151" s="23">
        <v>0</v>
      </c>
      <c r="V151" s="25">
        <v>0</v>
      </c>
      <c r="W151" s="24">
        <f>SUM(W149:W150)</f>
        <v>-276240</v>
      </c>
      <c r="X151" s="23">
        <v>0</v>
      </c>
      <c r="Y151" s="22">
        <f t="shared" si="255"/>
        <v>0</v>
      </c>
      <c r="Z151" s="27">
        <f>SUM(Z149:Z150)</f>
        <v>240000</v>
      </c>
      <c r="AA151" s="26">
        <f>SUM(AA149:AA150)</f>
        <v>0</v>
      </c>
      <c r="AB151" s="23">
        <v>0</v>
      </c>
      <c r="AC151" s="25">
        <v>0</v>
      </c>
      <c r="AD151" s="24">
        <f>SUM(AD149:AD150)</f>
        <v>203760</v>
      </c>
      <c r="AE151" s="24">
        <f>SUM(AE149:AE150)</f>
        <v>-276240</v>
      </c>
      <c r="AF151" s="23">
        <v>0</v>
      </c>
      <c r="AG151" s="25">
        <v>0</v>
      </c>
      <c r="AH151" s="24">
        <f>SUM(AH149:AH150)</f>
        <v>-276240</v>
      </c>
      <c r="AI151" s="23">
        <v>0</v>
      </c>
      <c r="AJ151" s="22">
        <f t="shared" si="256"/>
        <v>0</v>
      </c>
      <c r="AK151" s="27">
        <f>SUM(AK149:AK150)</f>
        <v>240000</v>
      </c>
      <c r="AL151" s="26">
        <f>SUM(AL149:AL150)</f>
        <v>0</v>
      </c>
      <c r="AM151" s="23">
        <v>0</v>
      </c>
      <c r="AN151" s="25">
        <v>0</v>
      </c>
      <c r="AO151" s="24">
        <f>SUM(AO149:AO150)</f>
        <v>203760</v>
      </c>
      <c r="AP151" s="24">
        <f>SUM(AP149:AP150)</f>
        <v>-276240</v>
      </c>
      <c r="AQ151" s="23">
        <v>0</v>
      </c>
      <c r="AR151" s="25">
        <v>0</v>
      </c>
      <c r="AS151" s="24">
        <f>SUM(AS149:AS150)</f>
        <v>-276240</v>
      </c>
      <c r="AT151" s="23">
        <v>0</v>
      </c>
      <c r="AU151" s="22">
        <f t="shared" si="257"/>
        <v>0</v>
      </c>
      <c r="AV151" s="27">
        <f>SUM(AV149:AV150)</f>
        <v>240000</v>
      </c>
      <c r="AW151" s="26">
        <f>SUM(AW149:AW150)</f>
        <v>0</v>
      </c>
      <c r="AX151" s="23">
        <v>0</v>
      </c>
      <c r="AY151" s="25">
        <v>0</v>
      </c>
      <c r="AZ151" s="24">
        <f>SUM(AZ149:AZ150)</f>
        <v>203760</v>
      </c>
      <c r="BA151" s="24">
        <f>SUM(BA149:BA150)</f>
        <v>-276240</v>
      </c>
      <c r="BB151" s="23">
        <v>0</v>
      </c>
      <c r="BC151" s="25">
        <v>0</v>
      </c>
      <c r="BD151" s="24">
        <f>SUM(BD149:BD150)</f>
        <v>-276240</v>
      </c>
      <c r="BE151" s="23">
        <v>0</v>
      </c>
      <c r="BF151" s="22">
        <f t="shared" si="258"/>
        <v>0</v>
      </c>
      <c r="BG151" s="27">
        <f>SUM(BG149:BG150)</f>
        <v>240000</v>
      </c>
      <c r="BH151" s="26">
        <f>SUM(BH149:BH150)</f>
        <v>0</v>
      </c>
      <c r="BI151" s="23">
        <v>0</v>
      </c>
      <c r="BJ151" s="25">
        <v>0</v>
      </c>
      <c r="BK151" s="24">
        <f>SUM(BK149:BK150)</f>
        <v>203760</v>
      </c>
      <c r="BL151" s="24">
        <f>SUM(BL149:BL150)</f>
        <v>-276240</v>
      </c>
      <c r="BM151" s="23">
        <v>0</v>
      </c>
      <c r="BN151" s="25">
        <v>0</v>
      </c>
      <c r="BO151" s="24">
        <f>SUM(BO149:BO150)</f>
        <v>-276240</v>
      </c>
      <c r="BP151" s="23">
        <v>0</v>
      </c>
      <c r="BQ151" s="22">
        <f t="shared" si="259"/>
        <v>0</v>
      </c>
      <c r="BR151" s="27">
        <f>SUM(BR149:BR150)</f>
        <v>240000</v>
      </c>
      <c r="BS151" s="26">
        <f>SUM(BS149:BS150)</f>
        <v>0</v>
      </c>
      <c r="BT151" s="23">
        <v>0</v>
      </c>
      <c r="BU151" s="25">
        <v>0</v>
      </c>
      <c r="BV151" s="24">
        <f>SUM(BV149:BV150)</f>
        <v>203760</v>
      </c>
      <c r="BW151" s="24">
        <f>SUM(BW149:BW150)</f>
        <v>-276240</v>
      </c>
      <c r="BX151" s="23">
        <v>0</v>
      </c>
      <c r="BY151" s="25">
        <v>0</v>
      </c>
      <c r="BZ151" s="24">
        <f>SUM(BZ149:BZ150)</f>
        <v>-276240</v>
      </c>
      <c r="CA151" s="23">
        <v>0</v>
      </c>
      <c r="CB151" s="22">
        <f t="shared" si="260"/>
        <v>0</v>
      </c>
      <c r="CC151" s="27">
        <f>SUM(CC149:CC150)</f>
        <v>240000</v>
      </c>
      <c r="CD151" s="26">
        <f>SUM(CD149:CD150)</f>
        <v>0</v>
      </c>
      <c r="CE151" s="23">
        <v>0</v>
      </c>
      <c r="CF151" s="25">
        <v>0</v>
      </c>
      <c r="CG151" s="24">
        <f>SUM(CG149:CG150)</f>
        <v>203760</v>
      </c>
      <c r="CH151" s="24">
        <f>SUM(CH149:CH150)</f>
        <v>-276240</v>
      </c>
      <c r="CI151" s="23">
        <v>0</v>
      </c>
      <c r="CJ151" s="25">
        <v>0</v>
      </c>
      <c r="CK151" s="24">
        <f>SUM(CK149:CK150)</f>
        <v>-276240</v>
      </c>
      <c r="CL151" s="23">
        <v>0</v>
      </c>
      <c r="CM151" s="22">
        <f t="shared" si="261"/>
        <v>0</v>
      </c>
      <c r="CN151" s="27">
        <f>SUM(CN149:CN150)</f>
        <v>240000</v>
      </c>
      <c r="CO151" s="26">
        <f>SUM(CO149:CO150)</f>
        <v>0</v>
      </c>
      <c r="CP151" s="23">
        <v>0</v>
      </c>
      <c r="CQ151" s="25">
        <v>0</v>
      </c>
      <c r="CR151" s="24">
        <f>SUM(CR149:CR150)</f>
        <v>203760</v>
      </c>
      <c r="CS151" s="24">
        <f>SUM(CS149:CS150)</f>
        <v>-276240</v>
      </c>
      <c r="CT151" s="23">
        <v>0</v>
      </c>
      <c r="CU151" s="25">
        <v>0</v>
      </c>
      <c r="CV151" s="24">
        <f>SUM(CV149:CV150)</f>
        <v>-276240</v>
      </c>
      <c r="CW151" s="23">
        <v>0</v>
      </c>
      <c r="CX151" s="22">
        <f t="shared" si="262"/>
        <v>0</v>
      </c>
      <c r="CY151" s="27">
        <f>SUM(CY149:CY150)</f>
        <v>240000</v>
      </c>
      <c r="CZ151" s="26">
        <f>SUM(CZ149:CZ150)</f>
        <v>0</v>
      </c>
      <c r="DA151" s="23">
        <v>0</v>
      </c>
      <c r="DB151" s="25">
        <v>0</v>
      </c>
      <c r="DC151" s="24">
        <f>SUM(DC149:DC150)</f>
        <v>203760</v>
      </c>
      <c r="DD151" s="24">
        <f>SUM(DD149:DD150)</f>
        <v>-276240</v>
      </c>
      <c r="DE151" s="23">
        <v>0</v>
      </c>
      <c r="DF151" s="25">
        <v>0</v>
      </c>
      <c r="DG151" s="24">
        <f>SUM(DG149:DG150)</f>
        <v>-276240</v>
      </c>
      <c r="DH151" s="23">
        <v>0</v>
      </c>
      <c r="DI151" s="22">
        <f t="shared" si="263"/>
        <v>0</v>
      </c>
    </row>
    <row r="152" spans="1:113" ht="12.75" hidden="1" customHeight="1" outlineLevel="3" x14ac:dyDescent="0.2">
      <c r="A152" s="54"/>
      <c r="B152" s="38" t="str">
        <f t="shared" si="243"/>
        <v>Премия разовая</v>
      </c>
      <c r="C152" s="49" t="str">
        <f t="shared" si="243"/>
        <v>Sign-ons - cash</v>
      </c>
      <c r="D152" s="41">
        <f>D32-D95</f>
        <v>0</v>
      </c>
      <c r="E152" s="40">
        <f>E32-E95</f>
        <v>0</v>
      </c>
      <c r="F152" s="32">
        <v>0</v>
      </c>
      <c r="G152" s="34">
        <v>0</v>
      </c>
      <c r="H152" s="39">
        <f>H32-H95</f>
        <v>0</v>
      </c>
      <c r="I152" s="39">
        <f>I32-I95</f>
        <v>0</v>
      </c>
      <c r="J152" s="32">
        <v>0</v>
      </c>
      <c r="K152" s="34">
        <v>0</v>
      </c>
      <c r="L152" s="39">
        <f>L32-L95</f>
        <v>0</v>
      </c>
      <c r="M152" s="32">
        <v>0</v>
      </c>
      <c r="N152" s="53" t="str">
        <f t="shared" si="254"/>
        <v>-</v>
      </c>
      <c r="O152" s="41">
        <f>O32-O95</f>
        <v>0</v>
      </c>
      <c r="P152" s="40">
        <f>P32-P95</f>
        <v>0</v>
      </c>
      <c r="Q152" s="32">
        <v>0</v>
      </c>
      <c r="R152" s="34">
        <v>0</v>
      </c>
      <c r="S152" s="39">
        <f>S32-S95</f>
        <v>0</v>
      </c>
      <c r="T152" s="39">
        <f>T32-T95</f>
        <v>0</v>
      </c>
      <c r="U152" s="32">
        <v>0</v>
      </c>
      <c r="V152" s="34">
        <v>0</v>
      </c>
      <c r="W152" s="39">
        <f>W32-W95</f>
        <v>0</v>
      </c>
      <c r="X152" s="32">
        <v>0</v>
      </c>
      <c r="Y152" s="53" t="str">
        <f t="shared" si="255"/>
        <v>-</v>
      </c>
      <c r="Z152" s="41">
        <f>Z32-Z95</f>
        <v>0</v>
      </c>
      <c r="AA152" s="40">
        <f>AA32-AA95</f>
        <v>0</v>
      </c>
      <c r="AB152" s="32">
        <v>0</v>
      </c>
      <c r="AC152" s="34">
        <v>0</v>
      </c>
      <c r="AD152" s="39">
        <f>AD32-AD95</f>
        <v>0</v>
      </c>
      <c r="AE152" s="39">
        <f>AE32-AE95</f>
        <v>0</v>
      </c>
      <c r="AF152" s="32">
        <v>0</v>
      </c>
      <c r="AG152" s="34">
        <v>0</v>
      </c>
      <c r="AH152" s="39">
        <f>AH32-AH95</f>
        <v>0</v>
      </c>
      <c r="AI152" s="32">
        <v>0</v>
      </c>
      <c r="AJ152" s="53" t="str">
        <f t="shared" si="256"/>
        <v>-</v>
      </c>
      <c r="AK152" s="41">
        <f>AK32-AK95</f>
        <v>0</v>
      </c>
      <c r="AL152" s="40">
        <f>AL32-AL95</f>
        <v>0</v>
      </c>
      <c r="AM152" s="32">
        <v>0</v>
      </c>
      <c r="AN152" s="34">
        <v>0</v>
      </c>
      <c r="AO152" s="39">
        <f>AO32-AO95</f>
        <v>0</v>
      </c>
      <c r="AP152" s="39">
        <f>AP32-AP95</f>
        <v>0</v>
      </c>
      <c r="AQ152" s="32">
        <v>0</v>
      </c>
      <c r="AR152" s="34">
        <v>0</v>
      </c>
      <c r="AS152" s="39">
        <f>AS32-AS95</f>
        <v>0</v>
      </c>
      <c r="AT152" s="32">
        <v>0</v>
      </c>
      <c r="AU152" s="53" t="str">
        <f t="shared" si="257"/>
        <v>-</v>
      </c>
      <c r="AV152" s="41">
        <f>AV32-AV95</f>
        <v>0</v>
      </c>
      <c r="AW152" s="40">
        <f>AW32-AW95</f>
        <v>0</v>
      </c>
      <c r="AX152" s="32">
        <v>0</v>
      </c>
      <c r="AY152" s="34">
        <v>0</v>
      </c>
      <c r="AZ152" s="39">
        <f>AZ32-AZ95</f>
        <v>0</v>
      </c>
      <c r="BA152" s="39">
        <f>BA32-BA95</f>
        <v>0</v>
      </c>
      <c r="BB152" s="32">
        <v>0</v>
      </c>
      <c r="BC152" s="34">
        <v>0</v>
      </c>
      <c r="BD152" s="39">
        <f>BD32-BD95</f>
        <v>0</v>
      </c>
      <c r="BE152" s="32">
        <v>0</v>
      </c>
      <c r="BF152" s="53" t="str">
        <f t="shared" si="258"/>
        <v>-</v>
      </c>
      <c r="BG152" s="41">
        <f>BG32-BG95</f>
        <v>0</v>
      </c>
      <c r="BH152" s="40">
        <f>BH32-BH95</f>
        <v>0</v>
      </c>
      <c r="BI152" s="32">
        <v>0</v>
      </c>
      <c r="BJ152" s="34">
        <v>0</v>
      </c>
      <c r="BK152" s="39">
        <f>BK32-BK95</f>
        <v>0</v>
      </c>
      <c r="BL152" s="39">
        <f>BL32-BL95</f>
        <v>0</v>
      </c>
      <c r="BM152" s="32">
        <v>0</v>
      </c>
      <c r="BN152" s="34">
        <v>0</v>
      </c>
      <c r="BO152" s="39">
        <f>BO32-BO95</f>
        <v>0</v>
      </c>
      <c r="BP152" s="32">
        <v>0</v>
      </c>
      <c r="BQ152" s="53" t="str">
        <f t="shared" si="259"/>
        <v>-</v>
      </c>
      <c r="BR152" s="41">
        <f>BR32-BR95</f>
        <v>0</v>
      </c>
      <c r="BS152" s="40">
        <f>BS32-BS95</f>
        <v>0</v>
      </c>
      <c r="BT152" s="32">
        <v>0</v>
      </c>
      <c r="BU152" s="34">
        <v>0</v>
      </c>
      <c r="BV152" s="39">
        <f>BV32-BV95</f>
        <v>0</v>
      </c>
      <c r="BW152" s="39">
        <f>BW32-BW95</f>
        <v>0</v>
      </c>
      <c r="BX152" s="32">
        <v>0</v>
      </c>
      <c r="BY152" s="34">
        <v>0</v>
      </c>
      <c r="BZ152" s="39">
        <f>BZ32-BZ95</f>
        <v>0</v>
      </c>
      <c r="CA152" s="32">
        <v>0</v>
      </c>
      <c r="CB152" s="53" t="str">
        <f t="shared" si="260"/>
        <v>-</v>
      </c>
      <c r="CC152" s="41">
        <f>CC32-CC95</f>
        <v>0</v>
      </c>
      <c r="CD152" s="40">
        <f>CD32-CD95</f>
        <v>0</v>
      </c>
      <c r="CE152" s="32">
        <v>0</v>
      </c>
      <c r="CF152" s="34">
        <v>0</v>
      </c>
      <c r="CG152" s="39">
        <f>CG32-CG95</f>
        <v>0</v>
      </c>
      <c r="CH152" s="39">
        <f>CH32-CH95</f>
        <v>0</v>
      </c>
      <c r="CI152" s="32">
        <v>0</v>
      </c>
      <c r="CJ152" s="34">
        <v>0</v>
      </c>
      <c r="CK152" s="39">
        <f>CK32-CK95</f>
        <v>0</v>
      </c>
      <c r="CL152" s="32">
        <v>0</v>
      </c>
      <c r="CM152" s="53" t="str">
        <f t="shared" si="261"/>
        <v>-</v>
      </c>
      <c r="CN152" s="41">
        <f>CN32-CN95</f>
        <v>0</v>
      </c>
      <c r="CO152" s="40">
        <f>CO32-CO95</f>
        <v>0</v>
      </c>
      <c r="CP152" s="32">
        <v>0</v>
      </c>
      <c r="CQ152" s="34">
        <v>0</v>
      </c>
      <c r="CR152" s="39">
        <f>CR32-CR95</f>
        <v>0</v>
      </c>
      <c r="CS152" s="39">
        <f>CS32-CS95</f>
        <v>0</v>
      </c>
      <c r="CT152" s="32">
        <v>0</v>
      </c>
      <c r="CU152" s="34">
        <v>0</v>
      </c>
      <c r="CV152" s="39">
        <f>CV32-CV95</f>
        <v>0</v>
      </c>
      <c r="CW152" s="32">
        <v>0</v>
      </c>
      <c r="CX152" s="53" t="str">
        <f t="shared" si="262"/>
        <v>-</v>
      </c>
      <c r="CY152" s="41">
        <f>CY32-CY95</f>
        <v>0</v>
      </c>
      <c r="CZ152" s="40">
        <f>CZ32-CZ95</f>
        <v>0</v>
      </c>
      <c r="DA152" s="32">
        <v>0</v>
      </c>
      <c r="DB152" s="34">
        <v>0</v>
      </c>
      <c r="DC152" s="39">
        <f>DC32-DC95</f>
        <v>0</v>
      </c>
      <c r="DD152" s="39">
        <f>DD32-DD95</f>
        <v>0</v>
      </c>
      <c r="DE152" s="32">
        <v>0</v>
      </c>
      <c r="DF152" s="34">
        <v>0</v>
      </c>
      <c r="DG152" s="39">
        <f>DG32-DG95</f>
        <v>0</v>
      </c>
      <c r="DH152" s="32">
        <v>0</v>
      </c>
      <c r="DI152" s="53" t="str">
        <f t="shared" si="263"/>
        <v>-</v>
      </c>
    </row>
    <row r="153" spans="1:113" ht="12.75" hidden="1" customHeight="1" outlineLevel="3" x14ac:dyDescent="0.2">
      <c r="A153" s="54"/>
      <c r="B153" s="38" t="str">
        <f t="shared" ref="B153:C172" si="264">B33</f>
        <v>Страховые взносы премия разовая</v>
      </c>
      <c r="C153" s="49" t="str">
        <f t="shared" si="264"/>
        <v>Social Security on Sign-ons - cash</v>
      </c>
      <c r="D153" s="41">
        <f>D33-D96</f>
        <v>0</v>
      </c>
      <c r="E153" s="40">
        <f>E33-E96</f>
        <v>0</v>
      </c>
      <c r="F153" s="32">
        <v>0</v>
      </c>
      <c r="G153" s="34">
        <v>0</v>
      </c>
      <c r="H153" s="39">
        <f>H33-H96</f>
        <v>0</v>
      </c>
      <c r="I153" s="39">
        <f>I33-I96</f>
        <v>0</v>
      </c>
      <c r="J153" s="32">
        <v>0</v>
      </c>
      <c r="K153" s="34">
        <v>0</v>
      </c>
      <c r="L153" s="39">
        <f>L33-L96</f>
        <v>0</v>
      </c>
      <c r="M153" s="32">
        <v>0</v>
      </c>
      <c r="N153" s="53" t="str">
        <f t="shared" si="254"/>
        <v>-</v>
      </c>
      <c r="O153" s="41">
        <f>O33-O96</f>
        <v>0</v>
      </c>
      <c r="P153" s="40">
        <f>P33-P96</f>
        <v>0</v>
      </c>
      <c r="Q153" s="32">
        <v>0</v>
      </c>
      <c r="R153" s="34">
        <v>0</v>
      </c>
      <c r="S153" s="39">
        <f>S33-S96</f>
        <v>0</v>
      </c>
      <c r="T153" s="39">
        <f>T33-T96</f>
        <v>0</v>
      </c>
      <c r="U153" s="32">
        <v>0</v>
      </c>
      <c r="V153" s="34">
        <v>0</v>
      </c>
      <c r="W153" s="39">
        <f>W33-W96</f>
        <v>0</v>
      </c>
      <c r="X153" s="32">
        <v>0</v>
      </c>
      <c r="Y153" s="53" t="str">
        <f t="shared" si="255"/>
        <v>-</v>
      </c>
      <c r="Z153" s="41">
        <f>Z33-Z96</f>
        <v>0</v>
      </c>
      <c r="AA153" s="40">
        <f>AA33-AA96</f>
        <v>0</v>
      </c>
      <c r="AB153" s="32">
        <v>0</v>
      </c>
      <c r="AC153" s="34">
        <v>0</v>
      </c>
      <c r="AD153" s="39">
        <f>AD33-AD96</f>
        <v>0</v>
      </c>
      <c r="AE153" s="39">
        <f>AE33-AE96</f>
        <v>0</v>
      </c>
      <c r="AF153" s="32">
        <v>0</v>
      </c>
      <c r="AG153" s="34">
        <v>0</v>
      </c>
      <c r="AH153" s="39">
        <f>AH33-AH96</f>
        <v>0</v>
      </c>
      <c r="AI153" s="32">
        <v>0</v>
      </c>
      <c r="AJ153" s="53" t="str">
        <f t="shared" si="256"/>
        <v>-</v>
      </c>
      <c r="AK153" s="41">
        <f>AK33-AK96</f>
        <v>0</v>
      </c>
      <c r="AL153" s="40">
        <f>AL33-AL96</f>
        <v>0</v>
      </c>
      <c r="AM153" s="32">
        <v>0</v>
      </c>
      <c r="AN153" s="34">
        <v>0</v>
      </c>
      <c r="AO153" s="39">
        <f>AO33-AO96</f>
        <v>0</v>
      </c>
      <c r="AP153" s="39">
        <f>AP33-AP96</f>
        <v>0</v>
      </c>
      <c r="AQ153" s="32">
        <v>0</v>
      </c>
      <c r="AR153" s="34">
        <v>0</v>
      </c>
      <c r="AS153" s="39">
        <f>AS33-AS96</f>
        <v>0</v>
      </c>
      <c r="AT153" s="32">
        <v>0</v>
      </c>
      <c r="AU153" s="53" t="str">
        <f t="shared" si="257"/>
        <v>-</v>
      </c>
      <c r="AV153" s="41">
        <f>AV33-AV96</f>
        <v>0</v>
      </c>
      <c r="AW153" s="40">
        <f>AW33-AW96</f>
        <v>0</v>
      </c>
      <c r="AX153" s="32">
        <v>0</v>
      </c>
      <c r="AY153" s="34">
        <v>0</v>
      </c>
      <c r="AZ153" s="39">
        <f>AZ33-AZ96</f>
        <v>0</v>
      </c>
      <c r="BA153" s="39">
        <f>BA33-BA96</f>
        <v>0</v>
      </c>
      <c r="BB153" s="32">
        <v>0</v>
      </c>
      <c r="BC153" s="34">
        <v>0</v>
      </c>
      <c r="BD153" s="39">
        <f>BD33-BD96</f>
        <v>0</v>
      </c>
      <c r="BE153" s="32">
        <v>0</v>
      </c>
      <c r="BF153" s="53" t="str">
        <f t="shared" si="258"/>
        <v>-</v>
      </c>
      <c r="BG153" s="41">
        <f>BG33-BG96</f>
        <v>0</v>
      </c>
      <c r="BH153" s="40">
        <f>BH33-BH96</f>
        <v>0</v>
      </c>
      <c r="BI153" s="32">
        <v>0</v>
      </c>
      <c r="BJ153" s="34">
        <v>0</v>
      </c>
      <c r="BK153" s="39">
        <f>BK33-BK96</f>
        <v>0</v>
      </c>
      <c r="BL153" s="39">
        <f>BL33-BL96</f>
        <v>0</v>
      </c>
      <c r="BM153" s="32">
        <v>0</v>
      </c>
      <c r="BN153" s="34">
        <v>0</v>
      </c>
      <c r="BO153" s="39">
        <f>BO33-BO96</f>
        <v>0</v>
      </c>
      <c r="BP153" s="32">
        <v>0</v>
      </c>
      <c r="BQ153" s="53" t="str">
        <f t="shared" si="259"/>
        <v>-</v>
      </c>
      <c r="BR153" s="41">
        <f>BR33-BR96</f>
        <v>0</v>
      </c>
      <c r="BS153" s="40">
        <f>BS33-BS96</f>
        <v>0</v>
      </c>
      <c r="BT153" s="32">
        <v>0</v>
      </c>
      <c r="BU153" s="34">
        <v>0</v>
      </c>
      <c r="BV153" s="39">
        <f>BV33-BV96</f>
        <v>0</v>
      </c>
      <c r="BW153" s="39">
        <f>BW33-BW96</f>
        <v>0</v>
      </c>
      <c r="BX153" s="32">
        <v>0</v>
      </c>
      <c r="BY153" s="34">
        <v>0</v>
      </c>
      <c r="BZ153" s="39">
        <f>BZ33-BZ96</f>
        <v>0</v>
      </c>
      <c r="CA153" s="32">
        <v>0</v>
      </c>
      <c r="CB153" s="53" t="str">
        <f t="shared" si="260"/>
        <v>-</v>
      </c>
      <c r="CC153" s="41">
        <f>CC33-CC96</f>
        <v>0</v>
      </c>
      <c r="CD153" s="40">
        <f>CD33-CD96</f>
        <v>0</v>
      </c>
      <c r="CE153" s="32">
        <v>0</v>
      </c>
      <c r="CF153" s="34">
        <v>0</v>
      </c>
      <c r="CG153" s="39">
        <f>CG33-CG96</f>
        <v>0</v>
      </c>
      <c r="CH153" s="39">
        <f>CH33-CH96</f>
        <v>0</v>
      </c>
      <c r="CI153" s="32">
        <v>0</v>
      </c>
      <c r="CJ153" s="34">
        <v>0</v>
      </c>
      <c r="CK153" s="39">
        <f>CK33-CK96</f>
        <v>0</v>
      </c>
      <c r="CL153" s="32">
        <v>0</v>
      </c>
      <c r="CM153" s="53" t="str">
        <f t="shared" si="261"/>
        <v>-</v>
      </c>
      <c r="CN153" s="41">
        <f>CN33-CN96</f>
        <v>0</v>
      </c>
      <c r="CO153" s="40">
        <f>CO33-CO96</f>
        <v>0</v>
      </c>
      <c r="CP153" s="32">
        <v>0</v>
      </c>
      <c r="CQ153" s="34">
        <v>0</v>
      </c>
      <c r="CR153" s="39">
        <f>CR33-CR96</f>
        <v>0</v>
      </c>
      <c r="CS153" s="39">
        <f>CS33-CS96</f>
        <v>0</v>
      </c>
      <c r="CT153" s="32">
        <v>0</v>
      </c>
      <c r="CU153" s="34">
        <v>0</v>
      </c>
      <c r="CV153" s="39">
        <f>CV33-CV96</f>
        <v>0</v>
      </c>
      <c r="CW153" s="32">
        <v>0</v>
      </c>
      <c r="CX153" s="53" t="str">
        <f t="shared" si="262"/>
        <v>-</v>
      </c>
      <c r="CY153" s="41">
        <f>CY33-CY96</f>
        <v>0</v>
      </c>
      <c r="CZ153" s="40">
        <f>CZ33-CZ96</f>
        <v>0</v>
      </c>
      <c r="DA153" s="32">
        <v>0</v>
      </c>
      <c r="DB153" s="34">
        <v>0</v>
      </c>
      <c r="DC153" s="39">
        <f>DC33-DC96</f>
        <v>0</v>
      </c>
      <c r="DD153" s="39">
        <f>DD33-DD96</f>
        <v>0</v>
      </c>
      <c r="DE153" s="32">
        <v>0</v>
      </c>
      <c r="DF153" s="34">
        <v>0</v>
      </c>
      <c r="DG153" s="39">
        <f>DG33-DG96</f>
        <v>0</v>
      </c>
      <c r="DH153" s="32">
        <v>0</v>
      </c>
      <c r="DI153" s="53" t="str">
        <f t="shared" si="263"/>
        <v>-</v>
      </c>
    </row>
    <row r="154" spans="1:113" s="6" customFormat="1" hidden="1" outlineLevel="2" collapsed="1" x14ac:dyDescent="0.2">
      <c r="A154" s="30"/>
      <c r="B154" s="29" t="str">
        <f t="shared" si="264"/>
        <v>Итого премия разовая</v>
      </c>
      <c r="C154" s="52" t="str">
        <f t="shared" si="264"/>
        <v>Total Sign-ons - cash</v>
      </c>
      <c r="D154" s="27">
        <f>SUM(D152:D153)</f>
        <v>0</v>
      </c>
      <c r="E154" s="26">
        <f>SUM(E152:E153)</f>
        <v>0</v>
      </c>
      <c r="F154" s="23">
        <v>0</v>
      </c>
      <c r="G154" s="25">
        <v>0</v>
      </c>
      <c r="H154" s="24">
        <f>SUM(H152:H153)</f>
        <v>0</v>
      </c>
      <c r="I154" s="24">
        <f>SUM(I152:I153)</f>
        <v>0</v>
      </c>
      <c r="J154" s="23">
        <v>0</v>
      </c>
      <c r="K154" s="25">
        <v>0</v>
      </c>
      <c r="L154" s="24">
        <f>SUM(L152:L153)</f>
        <v>0</v>
      </c>
      <c r="M154" s="23">
        <v>0</v>
      </c>
      <c r="N154" s="22" t="str">
        <f t="shared" si="254"/>
        <v>-</v>
      </c>
      <c r="O154" s="27">
        <f>SUM(O152:O153)</f>
        <v>0</v>
      </c>
      <c r="P154" s="26">
        <f>SUM(P152:P153)</f>
        <v>0</v>
      </c>
      <c r="Q154" s="23">
        <v>0</v>
      </c>
      <c r="R154" s="25">
        <v>0</v>
      </c>
      <c r="S154" s="24">
        <f>SUM(S152:S153)</f>
        <v>0</v>
      </c>
      <c r="T154" s="24">
        <f>SUM(T152:T153)</f>
        <v>0</v>
      </c>
      <c r="U154" s="23">
        <v>0</v>
      </c>
      <c r="V154" s="25">
        <v>0</v>
      </c>
      <c r="W154" s="24">
        <f>SUM(W152:W153)</f>
        <v>0</v>
      </c>
      <c r="X154" s="23">
        <v>0</v>
      </c>
      <c r="Y154" s="22" t="str">
        <f t="shared" si="255"/>
        <v>-</v>
      </c>
      <c r="Z154" s="27">
        <f>SUM(Z152:Z153)</f>
        <v>0</v>
      </c>
      <c r="AA154" s="26">
        <f>SUM(AA152:AA153)</f>
        <v>0</v>
      </c>
      <c r="AB154" s="23">
        <v>0</v>
      </c>
      <c r="AC154" s="25">
        <v>0</v>
      </c>
      <c r="AD154" s="24">
        <f>SUM(AD152:AD153)</f>
        <v>0</v>
      </c>
      <c r="AE154" s="24">
        <f>SUM(AE152:AE153)</f>
        <v>0</v>
      </c>
      <c r="AF154" s="23">
        <v>0</v>
      </c>
      <c r="AG154" s="25">
        <v>0</v>
      </c>
      <c r="AH154" s="24">
        <f>SUM(AH152:AH153)</f>
        <v>0</v>
      </c>
      <c r="AI154" s="23">
        <v>0</v>
      </c>
      <c r="AJ154" s="22" t="str">
        <f t="shared" si="256"/>
        <v>-</v>
      </c>
      <c r="AK154" s="27">
        <f>SUM(AK152:AK153)</f>
        <v>0</v>
      </c>
      <c r="AL154" s="26">
        <f>SUM(AL152:AL153)</f>
        <v>0</v>
      </c>
      <c r="AM154" s="23">
        <v>0</v>
      </c>
      <c r="AN154" s="25">
        <v>0</v>
      </c>
      <c r="AO154" s="24">
        <f>SUM(AO152:AO153)</f>
        <v>0</v>
      </c>
      <c r="AP154" s="24">
        <f>SUM(AP152:AP153)</f>
        <v>0</v>
      </c>
      <c r="AQ154" s="23">
        <v>0</v>
      </c>
      <c r="AR154" s="25">
        <v>0</v>
      </c>
      <c r="AS154" s="24">
        <f>SUM(AS152:AS153)</f>
        <v>0</v>
      </c>
      <c r="AT154" s="23">
        <v>0</v>
      </c>
      <c r="AU154" s="22" t="str">
        <f t="shared" si="257"/>
        <v>-</v>
      </c>
      <c r="AV154" s="27">
        <f>SUM(AV152:AV153)</f>
        <v>0</v>
      </c>
      <c r="AW154" s="26">
        <f>SUM(AW152:AW153)</f>
        <v>0</v>
      </c>
      <c r="AX154" s="23">
        <v>0</v>
      </c>
      <c r="AY154" s="25">
        <v>0</v>
      </c>
      <c r="AZ154" s="24">
        <f>SUM(AZ152:AZ153)</f>
        <v>0</v>
      </c>
      <c r="BA154" s="24">
        <f>SUM(BA152:BA153)</f>
        <v>0</v>
      </c>
      <c r="BB154" s="23">
        <v>0</v>
      </c>
      <c r="BC154" s="25">
        <v>0</v>
      </c>
      <c r="BD154" s="24">
        <f>SUM(BD152:BD153)</f>
        <v>0</v>
      </c>
      <c r="BE154" s="23">
        <v>0</v>
      </c>
      <c r="BF154" s="22" t="str">
        <f t="shared" si="258"/>
        <v>-</v>
      </c>
      <c r="BG154" s="27">
        <f>SUM(BG152:BG153)</f>
        <v>0</v>
      </c>
      <c r="BH154" s="26">
        <f>SUM(BH152:BH153)</f>
        <v>0</v>
      </c>
      <c r="BI154" s="23">
        <v>0</v>
      </c>
      <c r="BJ154" s="25">
        <v>0</v>
      </c>
      <c r="BK154" s="24">
        <f>SUM(BK152:BK153)</f>
        <v>0</v>
      </c>
      <c r="BL154" s="24">
        <f>SUM(BL152:BL153)</f>
        <v>0</v>
      </c>
      <c r="BM154" s="23">
        <v>0</v>
      </c>
      <c r="BN154" s="25">
        <v>0</v>
      </c>
      <c r="BO154" s="24">
        <f>SUM(BO152:BO153)</f>
        <v>0</v>
      </c>
      <c r="BP154" s="23">
        <v>0</v>
      </c>
      <c r="BQ154" s="22" t="str">
        <f t="shared" si="259"/>
        <v>-</v>
      </c>
      <c r="BR154" s="27">
        <f>SUM(BR152:BR153)</f>
        <v>0</v>
      </c>
      <c r="BS154" s="26">
        <f>SUM(BS152:BS153)</f>
        <v>0</v>
      </c>
      <c r="BT154" s="23">
        <v>0</v>
      </c>
      <c r="BU154" s="25">
        <v>0</v>
      </c>
      <c r="BV154" s="24">
        <f>SUM(BV152:BV153)</f>
        <v>0</v>
      </c>
      <c r="BW154" s="24">
        <f>SUM(BW152:BW153)</f>
        <v>0</v>
      </c>
      <c r="BX154" s="23">
        <v>0</v>
      </c>
      <c r="BY154" s="25">
        <v>0</v>
      </c>
      <c r="BZ154" s="24">
        <f>SUM(BZ152:BZ153)</f>
        <v>0</v>
      </c>
      <c r="CA154" s="23">
        <v>0</v>
      </c>
      <c r="CB154" s="22" t="str">
        <f t="shared" si="260"/>
        <v>-</v>
      </c>
      <c r="CC154" s="27">
        <f>SUM(CC152:CC153)</f>
        <v>0</v>
      </c>
      <c r="CD154" s="26">
        <f>SUM(CD152:CD153)</f>
        <v>0</v>
      </c>
      <c r="CE154" s="23">
        <v>0</v>
      </c>
      <c r="CF154" s="25">
        <v>0</v>
      </c>
      <c r="CG154" s="24">
        <f>SUM(CG152:CG153)</f>
        <v>0</v>
      </c>
      <c r="CH154" s="24">
        <f>SUM(CH152:CH153)</f>
        <v>0</v>
      </c>
      <c r="CI154" s="23">
        <v>0</v>
      </c>
      <c r="CJ154" s="25">
        <v>0</v>
      </c>
      <c r="CK154" s="24">
        <f>SUM(CK152:CK153)</f>
        <v>0</v>
      </c>
      <c r="CL154" s="23">
        <v>0</v>
      </c>
      <c r="CM154" s="22" t="str">
        <f t="shared" si="261"/>
        <v>-</v>
      </c>
      <c r="CN154" s="27">
        <f>SUM(CN152:CN153)</f>
        <v>0</v>
      </c>
      <c r="CO154" s="26">
        <f>SUM(CO152:CO153)</f>
        <v>0</v>
      </c>
      <c r="CP154" s="23">
        <v>0</v>
      </c>
      <c r="CQ154" s="25">
        <v>0</v>
      </c>
      <c r="CR154" s="24">
        <f>SUM(CR152:CR153)</f>
        <v>0</v>
      </c>
      <c r="CS154" s="24">
        <f>SUM(CS152:CS153)</f>
        <v>0</v>
      </c>
      <c r="CT154" s="23">
        <v>0</v>
      </c>
      <c r="CU154" s="25">
        <v>0</v>
      </c>
      <c r="CV154" s="24">
        <f>SUM(CV152:CV153)</f>
        <v>0</v>
      </c>
      <c r="CW154" s="23">
        <v>0</v>
      </c>
      <c r="CX154" s="22" t="str">
        <f t="shared" si="262"/>
        <v>-</v>
      </c>
      <c r="CY154" s="27">
        <f>SUM(CY152:CY153)</f>
        <v>0</v>
      </c>
      <c r="CZ154" s="26">
        <f>SUM(CZ152:CZ153)</f>
        <v>0</v>
      </c>
      <c r="DA154" s="23">
        <v>0</v>
      </c>
      <c r="DB154" s="25">
        <v>0</v>
      </c>
      <c r="DC154" s="24">
        <f>SUM(DC152:DC153)</f>
        <v>0</v>
      </c>
      <c r="DD154" s="24">
        <f>SUM(DD152:DD153)</f>
        <v>0</v>
      </c>
      <c r="DE154" s="23">
        <v>0</v>
      </c>
      <c r="DF154" s="25">
        <v>0</v>
      </c>
      <c r="DG154" s="24">
        <f>SUM(DG152:DG153)</f>
        <v>0</v>
      </c>
      <c r="DH154" s="23">
        <v>0</v>
      </c>
      <c r="DI154" s="22" t="str">
        <f t="shared" si="263"/>
        <v>-</v>
      </c>
    </row>
    <row r="155" spans="1:113" ht="12.75" hidden="1" customHeight="1" outlineLevel="3" x14ac:dyDescent="0.2">
      <c r="A155" s="54"/>
      <c r="B155" s="38" t="str">
        <f t="shared" si="264"/>
        <v>Выплаты при увольнении</v>
      </c>
      <c r="C155" s="49" t="str">
        <f t="shared" si="264"/>
        <v>Direct severance payments - cash</v>
      </c>
      <c r="D155" s="41">
        <f>D35-D98</f>
        <v>0</v>
      </c>
      <c r="E155" s="40">
        <f>E35-E98</f>
        <v>0</v>
      </c>
      <c r="F155" s="32">
        <v>0</v>
      </c>
      <c r="G155" s="34">
        <v>0</v>
      </c>
      <c r="H155" s="39">
        <f>H35-H98</f>
        <v>300000</v>
      </c>
      <c r="I155" s="39">
        <f>I35-I98</f>
        <v>0</v>
      </c>
      <c r="J155" s="32">
        <v>0</v>
      </c>
      <c r="K155" s="34">
        <v>0</v>
      </c>
      <c r="L155" s="39">
        <f>L35-L98</f>
        <v>-1320000</v>
      </c>
      <c r="M155" s="32">
        <v>0</v>
      </c>
      <c r="N155" s="53">
        <f t="shared" si="254"/>
        <v>0</v>
      </c>
      <c r="O155" s="41">
        <f>O35-O98</f>
        <v>0</v>
      </c>
      <c r="P155" s="40">
        <f>P35-P98</f>
        <v>0</v>
      </c>
      <c r="Q155" s="32">
        <v>0</v>
      </c>
      <c r="R155" s="34">
        <v>0</v>
      </c>
      <c r="S155" s="39">
        <f>S35-S98</f>
        <v>300000</v>
      </c>
      <c r="T155" s="39">
        <f>T35-T98</f>
        <v>0</v>
      </c>
      <c r="U155" s="32">
        <v>0</v>
      </c>
      <c r="V155" s="34">
        <v>0</v>
      </c>
      <c r="W155" s="39">
        <f>W35-W98</f>
        <v>-1320000</v>
      </c>
      <c r="X155" s="32">
        <v>0</v>
      </c>
      <c r="Y155" s="53">
        <f t="shared" si="255"/>
        <v>0</v>
      </c>
      <c r="Z155" s="41">
        <f>Z35-Z98</f>
        <v>0</v>
      </c>
      <c r="AA155" s="40">
        <f>AA35-AA98</f>
        <v>0</v>
      </c>
      <c r="AB155" s="32">
        <v>0</v>
      </c>
      <c r="AC155" s="34">
        <v>0</v>
      </c>
      <c r="AD155" s="39">
        <f>AD35-AD98</f>
        <v>300000</v>
      </c>
      <c r="AE155" s="39">
        <f>AE35-AE98</f>
        <v>0</v>
      </c>
      <c r="AF155" s="32">
        <v>0</v>
      </c>
      <c r="AG155" s="34">
        <v>0</v>
      </c>
      <c r="AH155" s="39">
        <f>AH35-AH98</f>
        <v>-1320000</v>
      </c>
      <c r="AI155" s="32">
        <v>0</v>
      </c>
      <c r="AJ155" s="53">
        <f t="shared" si="256"/>
        <v>0</v>
      </c>
      <c r="AK155" s="41">
        <f>AK35-AK98</f>
        <v>0</v>
      </c>
      <c r="AL155" s="40">
        <f>AL35-AL98</f>
        <v>0</v>
      </c>
      <c r="AM155" s="32">
        <v>0</v>
      </c>
      <c r="AN155" s="34">
        <v>0</v>
      </c>
      <c r="AO155" s="39">
        <f>AO35-AO98</f>
        <v>300000</v>
      </c>
      <c r="AP155" s="39">
        <f>AP35-AP98</f>
        <v>0</v>
      </c>
      <c r="AQ155" s="32">
        <v>0</v>
      </c>
      <c r="AR155" s="34">
        <v>0</v>
      </c>
      <c r="AS155" s="39">
        <f>AS35-AS98</f>
        <v>-1320000</v>
      </c>
      <c r="AT155" s="32">
        <v>0</v>
      </c>
      <c r="AU155" s="53">
        <f t="shared" si="257"/>
        <v>0</v>
      </c>
      <c r="AV155" s="41">
        <f>AV35-AV98</f>
        <v>0</v>
      </c>
      <c r="AW155" s="40">
        <f>AW35-AW98</f>
        <v>0</v>
      </c>
      <c r="AX155" s="32">
        <v>0</v>
      </c>
      <c r="AY155" s="34">
        <v>0</v>
      </c>
      <c r="AZ155" s="39">
        <f>AZ35-AZ98</f>
        <v>300000</v>
      </c>
      <c r="BA155" s="39">
        <f>BA35-BA98</f>
        <v>0</v>
      </c>
      <c r="BB155" s="32">
        <v>0</v>
      </c>
      <c r="BC155" s="34">
        <v>0</v>
      </c>
      <c r="BD155" s="39">
        <f>BD35-BD98</f>
        <v>-1320000</v>
      </c>
      <c r="BE155" s="32">
        <v>0</v>
      </c>
      <c r="BF155" s="53">
        <f t="shared" si="258"/>
        <v>0</v>
      </c>
      <c r="BG155" s="41">
        <f>BG35-BG98</f>
        <v>0</v>
      </c>
      <c r="BH155" s="40">
        <f>BH35-BH98</f>
        <v>0</v>
      </c>
      <c r="BI155" s="32">
        <v>0</v>
      </c>
      <c r="BJ155" s="34">
        <v>0</v>
      </c>
      <c r="BK155" s="39">
        <f>BK35-BK98</f>
        <v>300000</v>
      </c>
      <c r="BL155" s="39">
        <f>BL35-BL98</f>
        <v>0</v>
      </c>
      <c r="BM155" s="32">
        <v>0</v>
      </c>
      <c r="BN155" s="34">
        <v>0</v>
      </c>
      <c r="BO155" s="39">
        <f>BO35-BO98</f>
        <v>-1320000</v>
      </c>
      <c r="BP155" s="32">
        <v>0</v>
      </c>
      <c r="BQ155" s="53">
        <f t="shared" si="259"/>
        <v>0</v>
      </c>
      <c r="BR155" s="41">
        <f>BR35-BR98</f>
        <v>0</v>
      </c>
      <c r="BS155" s="40">
        <f>BS35-BS98</f>
        <v>0</v>
      </c>
      <c r="BT155" s="32">
        <v>0</v>
      </c>
      <c r="BU155" s="34">
        <v>0</v>
      </c>
      <c r="BV155" s="39">
        <f>BV35-BV98</f>
        <v>300000</v>
      </c>
      <c r="BW155" s="39">
        <f>BW35-BW98</f>
        <v>0</v>
      </c>
      <c r="BX155" s="32">
        <v>0</v>
      </c>
      <c r="BY155" s="34">
        <v>0</v>
      </c>
      <c r="BZ155" s="39">
        <f>BZ35-BZ98</f>
        <v>-1320000</v>
      </c>
      <c r="CA155" s="32">
        <v>0</v>
      </c>
      <c r="CB155" s="53">
        <f t="shared" si="260"/>
        <v>0</v>
      </c>
      <c r="CC155" s="41">
        <f>CC35-CC98</f>
        <v>0</v>
      </c>
      <c r="CD155" s="40">
        <f>CD35-CD98</f>
        <v>0</v>
      </c>
      <c r="CE155" s="32">
        <v>0</v>
      </c>
      <c r="CF155" s="34">
        <v>0</v>
      </c>
      <c r="CG155" s="39">
        <f>CG35-CG98</f>
        <v>300000</v>
      </c>
      <c r="CH155" s="39">
        <f>CH35-CH98</f>
        <v>0</v>
      </c>
      <c r="CI155" s="32">
        <v>0</v>
      </c>
      <c r="CJ155" s="34">
        <v>0</v>
      </c>
      <c r="CK155" s="39">
        <f>CK35-CK98</f>
        <v>-1320000</v>
      </c>
      <c r="CL155" s="32">
        <v>0</v>
      </c>
      <c r="CM155" s="53">
        <f t="shared" si="261"/>
        <v>0</v>
      </c>
      <c r="CN155" s="41">
        <f>CN35-CN98</f>
        <v>0</v>
      </c>
      <c r="CO155" s="40">
        <f>CO35-CO98</f>
        <v>0</v>
      </c>
      <c r="CP155" s="32">
        <v>0</v>
      </c>
      <c r="CQ155" s="34">
        <v>0</v>
      </c>
      <c r="CR155" s="39">
        <f>CR35-CR98</f>
        <v>300000</v>
      </c>
      <c r="CS155" s="39">
        <f>CS35-CS98</f>
        <v>0</v>
      </c>
      <c r="CT155" s="32">
        <v>0</v>
      </c>
      <c r="CU155" s="34">
        <v>0</v>
      </c>
      <c r="CV155" s="39">
        <f>CV35-CV98</f>
        <v>-1320000</v>
      </c>
      <c r="CW155" s="32">
        <v>0</v>
      </c>
      <c r="CX155" s="53">
        <f t="shared" si="262"/>
        <v>0</v>
      </c>
      <c r="CY155" s="41">
        <f>CY35-CY98</f>
        <v>0</v>
      </c>
      <c r="CZ155" s="40">
        <f>CZ35-CZ98</f>
        <v>0</v>
      </c>
      <c r="DA155" s="32">
        <v>0</v>
      </c>
      <c r="DB155" s="34">
        <v>0</v>
      </c>
      <c r="DC155" s="39">
        <f>DC35-DC98</f>
        <v>300000</v>
      </c>
      <c r="DD155" s="39">
        <f>DD35-DD98</f>
        <v>0</v>
      </c>
      <c r="DE155" s="32">
        <v>0</v>
      </c>
      <c r="DF155" s="34">
        <v>0</v>
      </c>
      <c r="DG155" s="39">
        <f>DG35-DG98</f>
        <v>-1320000</v>
      </c>
      <c r="DH155" s="32">
        <v>0</v>
      </c>
      <c r="DI155" s="53">
        <f t="shared" si="263"/>
        <v>0</v>
      </c>
    </row>
    <row r="156" spans="1:113" ht="12.75" hidden="1" customHeight="1" outlineLevel="3" x14ac:dyDescent="0.2">
      <c r="A156" s="54"/>
      <c r="B156" s="38" t="str">
        <f t="shared" si="264"/>
        <v>Страховые взносы выплаты при увольнении</v>
      </c>
      <c r="C156" s="49" t="str">
        <f t="shared" si="264"/>
        <v>Social Security on Severance</v>
      </c>
      <c r="D156" s="41">
        <f>D36-D99</f>
        <v>0</v>
      </c>
      <c r="E156" s="40">
        <f>E36-E99</f>
        <v>0</v>
      </c>
      <c r="F156" s="32">
        <v>0</v>
      </c>
      <c r="G156" s="34">
        <v>0</v>
      </c>
      <c r="H156" s="39">
        <f>H36-H99</f>
        <v>0</v>
      </c>
      <c r="I156" s="39">
        <f>I36-I99</f>
        <v>0</v>
      </c>
      <c r="J156" s="32">
        <v>0</v>
      </c>
      <c r="K156" s="34">
        <v>0</v>
      </c>
      <c r="L156" s="39">
        <f>L36-L99</f>
        <v>-32028.32</v>
      </c>
      <c r="M156" s="32">
        <v>0</v>
      </c>
      <c r="N156" s="53">
        <f t="shared" si="254"/>
        <v>0</v>
      </c>
      <c r="O156" s="41">
        <f>O36-O99</f>
        <v>0</v>
      </c>
      <c r="P156" s="40">
        <f>P36-P99</f>
        <v>0</v>
      </c>
      <c r="Q156" s="32">
        <v>0</v>
      </c>
      <c r="R156" s="34">
        <v>0</v>
      </c>
      <c r="S156" s="39">
        <f>S36-S99</f>
        <v>0</v>
      </c>
      <c r="T156" s="39">
        <f>T36-T99</f>
        <v>0</v>
      </c>
      <c r="U156" s="32">
        <v>0</v>
      </c>
      <c r="V156" s="34">
        <v>0</v>
      </c>
      <c r="W156" s="39">
        <f>W36-W99</f>
        <v>-32028.32</v>
      </c>
      <c r="X156" s="32">
        <v>0</v>
      </c>
      <c r="Y156" s="53">
        <f t="shared" si="255"/>
        <v>0</v>
      </c>
      <c r="Z156" s="41">
        <f>Z36-Z99</f>
        <v>0</v>
      </c>
      <c r="AA156" s="40">
        <f>AA36-AA99</f>
        <v>0</v>
      </c>
      <c r="AB156" s="32">
        <v>0</v>
      </c>
      <c r="AC156" s="34">
        <v>0</v>
      </c>
      <c r="AD156" s="39">
        <f>AD36-AD99</f>
        <v>0</v>
      </c>
      <c r="AE156" s="39">
        <f>AE36-AE99</f>
        <v>0</v>
      </c>
      <c r="AF156" s="32">
        <v>0</v>
      </c>
      <c r="AG156" s="34">
        <v>0</v>
      </c>
      <c r="AH156" s="39">
        <f>AH36-AH99</f>
        <v>-32028.32</v>
      </c>
      <c r="AI156" s="32">
        <v>0</v>
      </c>
      <c r="AJ156" s="53">
        <f t="shared" si="256"/>
        <v>0</v>
      </c>
      <c r="AK156" s="41">
        <f>AK36-AK99</f>
        <v>0</v>
      </c>
      <c r="AL156" s="40">
        <f>AL36-AL99</f>
        <v>0</v>
      </c>
      <c r="AM156" s="32">
        <v>0</v>
      </c>
      <c r="AN156" s="34">
        <v>0</v>
      </c>
      <c r="AO156" s="39">
        <f>AO36-AO99</f>
        <v>0</v>
      </c>
      <c r="AP156" s="39">
        <f>AP36-AP99</f>
        <v>0</v>
      </c>
      <c r="AQ156" s="32">
        <v>0</v>
      </c>
      <c r="AR156" s="34">
        <v>0</v>
      </c>
      <c r="AS156" s="39">
        <f>AS36-AS99</f>
        <v>-32028.32</v>
      </c>
      <c r="AT156" s="32">
        <v>0</v>
      </c>
      <c r="AU156" s="53">
        <f t="shared" si="257"/>
        <v>0</v>
      </c>
      <c r="AV156" s="41">
        <f>AV36-AV99</f>
        <v>0</v>
      </c>
      <c r="AW156" s="40">
        <f>AW36-AW99</f>
        <v>0</v>
      </c>
      <c r="AX156" s="32">
        <v>0</v>
      </c>
      <c r="AY156" s="34">
        <v>0</v>
      </c>
      <c r="AZ156" s="39">
        <f>AZ36-AZ99</f>
        <v>0</v>
      </c>
      <c r="BA156" s="39">
        <f>BA36-BA99</f>
        <v>0</v>
      </c>
      <c r="BB156" s="32">
        <v>0</v>
      </c>
      <c r="BC156" s="34">
        <v>0</v>
      </c>
      <c r="BD156" s="39">
        <f>BD36-BD99</f>
        <v>-32028.32</v>
      </c>
      <c r="BE156" s="32">
        <v>0</v>
      </c>
      <c r="BF156" s="53">
        <f t="shared" si="258"/>
        <v>0</v>
      </c>
      <c r="BG156" s="41">
        <f>BG36-BG99</f>
        <v>0</v>
      </c>
      <c r="BH156" s="40">
        <f>BH36-BH99</f>
        <v>0</v>
      </c>
      <c r="BI156" s="32">
        <v>0</v>
      </c>
      <c r="BJ156" s="34">
        <v>0</v>
      </c>
      <c r="BK156" s="39">
        <f>BK36-BK99</f>
        <v>0</v>
      </c>
      <c r="BL156" s="39">
        <f>BL36-BL99</f>
        <v>0</v>
      </c>
      <c r="BM156" s="32">
        <v>0</v>
      </c>
      <c r="BN156" s="34">
        <v>0</v>
      </c>
      <c r="BO156" s="39">
        <f>BO36-BO99</f>
        <v>-32028.32</v>
      </c>
      <c r="BP156" s="32">
        <v>0</v>
      </c>
      <c r="BQ156" s="53">
        <f t="shared" si="259"/>
        <v>0</v>
      </c>
      <c r="BR156" s="41">
        <f>BR36-BR99</f>
        <v>0</v>
      </c>
      <c r="BS156" s="40">
        <f>BS36-BS99</f>
        <v>0</v>
      </c>
      <c r="BT156" s="32">
        <v>0</v>
      </c>
      <c r="BU156" s="34">
        <v>0</v>
      </c>
      <c r="BV156" s="39">
        <f>BV36-BV99</f>
        <v>0</v>
      </c>
      <c r="BW156" s="39">
        <f>BW36-BW99</f>
        <v>0</v>
      </c>
      <c r="BX156" s="32">
        <v>0</v>
      </c>
      <c r="BY156" s="34">
        <v>0</v>
      </c>
      <c r="BZ156" s="39">
        <f>BZ36-BZ99</f>
        <v>-32028.32</v>
      </c>
      <c r="CA156" s="32">
        <v>0</v>
      </c>
      <c r="CB156" s="53">
        <f t="shared" si="260"/>
        <v>0</v>
      </c>
      <c r="CC156" s="41">
        <f>CC36-CC99</f>
        <v>0</v>
      </c>
      <c r="CD156" s="40">
        <f>CD36-CD99</f>
        <v>0</v>
      </c>
      <c r="CE156" s="32">
        <v>0</v>
      </c>
      <c r="CF156" s="34">
        <v>0</v>
      </c>
      <c r="CG156" s="39">
        <f>CG36-CG99</f>
        <v>0</v>
      </c>
      <c r="CH156" s="39">
        <f>CH36-CH99</f>
        <v>0</v>
      </c>
      <c r="CI156" s="32">
        <v>0</v>
      </c>
      <c r="CJ156" s="34">
        <v>0</v>
      </c>
      <c r="CK156" s="39">
        <f>CK36-CK99</f>
        <v>-32028.32</v>
      </c>
      <c r="CL156" s="32">
        <v>0</v>
      </c>
      <c r="CM156" s="53">
        <f t="shared" si="261"/>
        <v>0</v>
      </c>
      <c r="CN156" s="41">
        <f>CN36-CN99</f>
        <v>0</v>
      </c>
      <c r="CO156" s="40">
        <f>CO36-CO99</f>
        <v>0</v>
      </c>
      <c r="CP156" s="32">
        <v>0</v>
      </c>
      <c r="CQ156" s="34">
        <v>0</v>
      </c>
      <c r="CR156" s="39">
        <f>CR36-CR99</f>
        <v>0</v>
      </c>
      <c r="CS156" s="39">
        <f>CS36-CS99</f>
        <v>0</v>
      </c>
      <c r="CT156" s="32">
        <v>0</v>
      </c>
      <c r="CU156" s="34">
        <v>0</v>
      </c>
      <c r="CV156" s="39">
        <f>CV36-CV99</f>
        <v>-32028.32</v>
      </c>
      <c r="CW156" s="32">
        <v>0</v>
      </c>
      <c r="CX156" s="53">
        <f t="shared" si="262"/>
        <v>0</v>
      </c>
      <c r="CY156" s="41">
        <f>CY36-CY99</f>
        <v>0</v>
      </c>
      <c r="CZ156" s="40">
        <f>CZ36-CZ99</f>
        <v>0</v>
      </c>
      <c r="DA156" s="32">
        <v>0</v>
      </c>
      <c r="DB156" s="34">
        <v>0</v>
      </c>
      <c r="DC156" s="39">
        <f>DC36-DC99</f>
        <v>0</v>
      </c>
      <c r="DD156" s="39">
        <f>DD36-DD99</f>
        <v>0</v>
      </c>
      <c r="DE156" s="32">
        <v>0</v>
      </c>
      <c r="DF156" s="34">
        <v>0</v>
      </c>
      <c r="DG156" s="39">
        <f>DG36-DG99</f>
        <v>-32028.32</v>
      </c>
      <c r="DH156" s="32">
        <v>0</v>
      </c>
      <c r="DI156" s="53">
        <f t="shared" si="263"/>
        <v>0</v>
      </c>
    </row>
    <row r="157" spans="1:113" s="6" customFormat="1" hidden="1" outlineLevel="2" collapsed="1" x14ac:dyDescent="0.2">
      <c r="A157" s="30"/>
      <c r="B157" s="29" t="str">
        <f t="shared" si="264"/>
        <v>Итого выплаты при увольнении</v>
      </c>
      <c r="C157" s="52" t="str">
        <f t="shared" si="264"/>
        <v>Total Direct severance payments - cash</v>
      </c>
      <c r="D157" s="27">
        <f>SUM(D155:D156)</f>
        <v>0</v>
      </c>
      <c r="E157" s="26">
        <f>SUM(E155:E156)</f>
        <v>0</v>
      </c>
      <c r="F157" s="23">
        <v>0</v>
      </c>
      <c r="G157" s="25">
        <v>0</v>
      </c>
      <c r="H157" s="24">
        <f>SUM(H155:H156)</f>
        <v>300000</v>
      </c>
      <c r="I157" s="24">
        <f>SUM(I155:I156)</f>
        <v>0</v>
      </c>
      <c r="J157" s="23">
        <v>0</v>
      </c>
      <c r="K157" s="25">
        <v>0</v>
      </c>
      <c r="L157" s="24">
        <f>SUM(L155:L156)</f>
        <v>-1352028.32</v>
      </c>
      <c r="M157" s="23">
        <v>0</v>
      </c>
      <c r="N157" s="22">
        <f t="shared" si="254"/>
        <v>0</v>
      </c>
      <c r="O157" s="27">
        <f>SUM(O155:O156)</f>
        <v>0</v>
      </c>
      <c r="P157" s="26">
        <f>SUM(P155:P156)</f>
        <v>0</v>
      </c>
      <c r="Q157" s="23">
        <v>0</v>
      </c>
      <c r="R157" s="25">
        <v>0</v>
      </c>
      <c r="S157" s="24">
        <f>SUM(S155:S156)</f>
        <v>300000</v>
      </c>
      <c r="T157" s="24">
        <f>SUM(T155:T156)</f>
        <v>0</v>
      </c>
      <c r="U157" s="23">
        <v>0</v>
      </c>
      <c r="V157" s="25">
        <v>0</v>
      </c>
      <c r="W157" s="24">
        <f>SUM(W155:W156)</f>
        <v>-1352028.32</v>
      </c>
      <c r="X157" s="23">
        <v>0</v>
      </c>
      <c r="Y157" s="22">
        <f t="shared" si="255"/>
        <v>0</v>
      </c>
      <c r="Z157" s="27">
        <f>SUM(Z155:Z156)</f>
        <v>0</v>
      </c>
      <c r="AA157" s="26">
        <f>SUM(AA155:AA156)</f>
        <v>0</v>
      </c>
      <c r="AB157" s="23">
        <v>0</v>
      </c>
      <c r="AC157" s="25">
        <v>0</v>
      </c>
      <c r="AD157" s="24">
        <f>SUM(AD155:AD156)</f>
        <v>300000</v>
      </c>
      <c r="AE157" s="24">
        <f>SUM(AE155:AE156)</f>
        <v>0</v>
      </c>
      <c r="AF157" s="23">
        <v>0</v>
      </c>
      <c r="AG157" s="25">
        <v>0</v>
      </c>
      <c r="AH157" s="24">
        <f>SUM(AH155:AH156)</f>
        <v>-1352028.32</v>
      </c>
      <c r="AI157" s="23">
        <v>0</v>
      </c>
      <c r="AJ157" s="22">
        <f t="shared" si="256"/>
        <v>0</v>
      </c>
      <c r="AK157" s="27">
        <f>SUM(AK155:AK156)</f>
        <v>0</v>
      </c>
      <c r="AL157" s="26">
        <f>SUM(AL155:AL156)</f>
        <v>0</v>
      </c>
      <c r="AM157" s="23">
        <v>0</v>
      </c>
      <c r="AN157" s="25">
        <v>0</v>
      </c>
      <c r="AO157" s="24">
        <f>SUM(AO155:AO156)</f>
        <v>300000</v>
      </c>
      <c r="AP157" s="24">
        <f>SUM(AP155:AP156)</f>
        <v>0</v>
      </c>
      <c r="AQ157" s="23">
        <v>0</v>
      </c>
      <c r="AR157" s="25">
        <v>0</v>
      </c>
      <c r="AS157" s="24">
        <f>SUM(AS155:AS156)</f>
        <v>-1352028.32</v>
      </c>
      <c r="AT157" s="23">
        <v>0</v>
      </c>
      <c r="AU157" s="22">
        <f t="shared" si="257"/>
        <v>0</v>
      </c>
      <c r="AV157" s="27">
        <f>SUM(AV155:AV156)</f>
        <v>0</v>
      </c>
      <c r="AW157" s="26">
        <f>SUM(AW155:AW156)</f>
        <v>0</v>
      </c>
      <c r="AX157" s="23">
        <v>0</v>
      </c>
      <c r="AY157" s="25">
        <v>0</v>
      </c>
      <c r="AZ157" s="24">
        <f>SUM(AZ155:AZ156)</f>
        <v>300000</v>
      </c>
      <c r="BA157" s="24">
        <f>SUM(BA155:BA156)</f>
        <v>0</v>
      </c>
      <c r="BB157" s="23">
        <v>0</v>
      </c>
      <c r="BC157" s="25">
        <v>0</v>
      </c>
      <c r="BD157" s="24">
        <f>SUM(BD155:BD156)</f>
        <v>-1352028.32</v>
      </c>
      <c r="BE157" s="23">
        <v>0</v>
      </c>
      <c r="BF157" s="22">
        <f t="shared" si="258"/>
        <v>0</v>
      </c>
      <c r="BG157" s="27">
        <f>SUM(BG155:BG156)</f>
        <v>0</v>
      </c>
      <c r="BH157" s="26">
        <f>SUM(BH155:BH156)</f>
        <v>0</v>
      </c>
      <c r="BI157" s="23">
        <v>0</v>
      </c>
      <c r="BJ157" s="25">
        <v>0</v>
      </c>
      <c r="BK157" s="24">
        <f>SUM(BK155:BK156)</f>
        <v>300000</v>
      </c>
      <c r="BL157" s="24">
        <f>SUM(BL155:BL156)</f>
        <v>0</v>
      </c>
      <c r="BM157" s="23">
        <v>0</v>
      </c>
      <c r="BN157" s="25">
        <v>0</v>
      </c>
      <c r="BO157" s="24">
        <f>SUM(BO155:BO156)</f>
        <v>-1352028.32</v>
      </c>
      <c r="BP157" s="23">
        <v>0</v>
      </c>
      <c r="BQ157" s="22">
        <f t="shared" si="259"/>
        <v>0</v>
      </c>
      <c r="BR157" s="27">
        <f>SUM(BR155:BR156)</f>
        <v>0</v>
      </c>
      <c r="BS157" s="26">
        <f>SUM(BS155:BS156)</f>
        <v>0</v>
      </c>
      <c r="BT157" s="23">
        <v>0</v>
      </c>
      <c r="BU157" s="25">
        <v>0</v>
      </c>
      <c r="BV157" s="24">
        <f>SUM(BV155:BV156)</f>
        <v>300000</v>
      </c>
      <c r="BW157" s="24">
        <f>SUM(BW155:BW156)</f>
        <v>0</v>
      </c>
      <c r="BX157" s="23">
        <v>0</v>
      </c>
      <c r="BY157" s="25">
        <v>0</v>
      </c>
      <c r="BZ157" s="24">
        <f>SUM(BZ155:BZ156)</f>
        <v>-1352028.32</v>
      </c>
      <c r="CA157" s="23">
        <v>0</v>
      </c>
      <c r="CB157" s="22">
        <f t="shared" si="260"/>
        <v>0</v>
      </c>
      <c r="CC157" s="27">
        <f>SUM(CC155:CC156)</f>
        <v>0</v>
      </c>
      <c r="CD157" s="26">
        <f>SUM(CD155:CD156)</f>
        <v>0</v>
      </c>
      <c r="CE157" s="23">
        <v>0</v>
      </c>
      <c r="CF157" s="25">
        <v>0</v>
      </c>
      <c r="CG157" s="24">
        <f>SUM(CG155:CG156)</f>
        <v>300000</v>
      </c>
      <c r="CH157" s="24">
        <f>SUM(CH155:CH156)</f>
        <v>0</v>
      </c>
      <c r="CI157" s="23">
        <v>0</v>
      </c>
      <c r="CJ157" s="25">
        <v>0</v>
      </c>
      <c r="CK157" s="24">
        <f>SUM(CK155:CK156)</f>
        <v>-1352028.32</v>
      </c>
      <c r="CL157" s="23">
        <v>0</v>
      </c>
      <c r="CM157" s="22">
        <f t="shared" si="261"/>
        <v>0</v>
      </c>
      <c r="CN157" s="27">
        <f>SUM(CN155:CN156)</f>
        <v>0</v>
      </c>
      <c r="CO157" s="26">
        <f>SUM(CO155:CO156)</f>
        <v>0</v>
      </c>
      <c r="CP157" s="23">
        <v>0</v>
      </c>
      <c r="CQ157" s="25">
        <v>0</v>
      </c>
      <c r="CR157" s="24">
        <f>SUM(CR155:CR156)</f>
        <v>300000</v>
      </c>
      <c r="CS157" s="24">
        <f>SUM(CS155:CS156)</f>
        <v>0</v>
      </c>
      <c r="CT157" s="23">
        <v>0</v>
      </c>
      <c r="CU157" s="25">
        <v>0</v>
      </c>
      <c r="CV157" s="24">
        <f>SUM(CV155:CV156)</f>
        <v>-1352028.32</v>
      </c>
      <c r="CW157" s="23">
        <v>0</v>
      </c>
      <c r="CX157" s="22">
        <f t="shared" si="262"/>
        <v>0</v>
      </c>
      <c r="CY157" s="27">
        <f>SUM(CY155:CY156)</f>
        <v>0</v>
      </c>
      <c r="CZ157" s="26">
        <f>SUM(CZ155:CZ156)</f>
        <v>0</v>
      </c>
      <c r="DA157" s="23">
        <v>0</v>
      </c>
      <c r="DB157" s="25">
        <v>0</v>
      </c>
      <c r="DC157" s="24">
        <f>SUM(DC155:DC156)</f>
        <v>300000</v>
      </c>
      <c r="DD157" s="24">
        <f>SUM(DD155:DD156)</f>
        <v>0</v>
      </c>
      <c r="DE157" s="23">
        <v>0</v>
      </c>
      <c r="DF157" s="25">
        <v>0</v>
      </c>
      <c r="DG157" s="24">
        <f>SUM(DG155:DG156)</f>
        <v>-1352028.32</v>
      </c>
      <c r="DH157" s="23">
        <v>0</v>
      </c>
      <c r="DI157" s="22">
        <f t="shared" si="263"/>
        <v>0</v>
      </c>
    </row>
    <row r="158" spans="1:113" ht="12.75" hidden="1" customHeight="1" outlineLevel="3" x14ac:dyDescent="0.2">
      <c r="B158" s="38" t="str">
        <f t="shared" si="264"/>
        <v>Отложенное вознаграждение</v>
      </c>
      <c r="C158" s="49" t="str">
        <f t="shared" si="264"/>
        <v>Deferred Compensation</v>
      </c>
      <c r="D158" s="41">
        <f>D38-D101</f>
        <v>0</v>
      </c>
      <c r="E158" s="40">
        <f>E38-E101</f>
        <v>0</v>
      </c>
      <c r="F158" s="32">
        <v>0</v>
      </c>
      <c r="G158" s="34">
        <v>0</v>
      </c>
      <c r="H158" s="39">
        <f>H38-H101</f>
        <v>0</v>
      </c>
      <c r="I158" s="39">
        <f>I38-I101</f>
        <v>-1320000</v>
      </c>
      <c r="J158" s="32">
        <v>0</v>
      </c>
      <c r="K158" s="34">
        <v>0</v>
      </c>
      <c r="L158" s="39">
        <f>L38-L101</f>
        <v>0</v>
      </c>
      <c r="M158" s="32">
        <v>0</v>
      </c>
      <c r="N158" s="53" t="str">
        <f t="shared" si="254"/>
        <v>-</v>
      </c>
      <c r="O158" s="41">
        <f>O38-O101</f>
        <v>0</v>
      </c>
      <c r="P158" s="40">
        <f>P38-P101</f>
        <v>0</v>
      </c>
      <c r="Q158" s="32">
        <v>0</v>
      </c>
      <c r="R158" s="34">
        <v>0</v>
      </c>
      <c r="S158" s="39">
        <f>S38-S101</f>
        <v>0</v>
      </c>
      <c r="T158" s="39">
        <f>T38-T101</f>
        <v>-1320000</v>
      </c>
      <c r="U158" s="32">
        <v>0</v>
      </c>
      <c r="V158" s="34">
        <v>0</v>
      </c>
      <c r="W158" s="39">
        <f>W38-W101</f>
        <v>0</v>
      </c>
      <c r="X158" s="32">
        <v>0</v>
      </c>
      <c r="Y158" s="53" t="str">
        <f t="shared" si="255"/>
        <v>-</v>
      </c>
      <c r="Z158" s="41">
        <f>Z38-Z101</f>
        <v>0</v>
      </c>
      <c r="AA158" s="40">
        <f>AA38-AA101</f>
        <v>0</v>
      </c>
      <c r="AB158" s="32">
        <v>0</v>
      </c>
      <c r="AC158" s="34">
        <v>0</v>
      </c>
      <c r="AD158" s="39">
        <f>AD38-AD101</f>
        <v>0</v>
      </c>
      <c r="AE158" s="39">
        <f>AE38-AE101</f>
        <v>-1320000</v>
      </c>
      <c r="AF158" s="32">
        <v>0</v>
      </c>
      <c r="AG158" s="34">
        <v>0</v>
      </c>
      <c r="AH158" s="39">
        <f>AH38-AH101</f>
        <v>0</v>
      </c>
      <c r="AI158" s="32">
        <v>0</v>
      </c>
      <c r="AJ158" s="53" t="str">
        <f t="shared" si="256"/>
        <v>-</v>
      </c>
      <c r="AK158" s="41">
        <f>AK38-AK101</f>
        <v>0</v>
      </c>
      <c r="AL158" s="40">
        <f>AL38-AL101</f>
        <v>0</v>
      </c>
      <c r="AM158" s="32">
        <v>0</v>
      </c>
      <c r="AN158" s="34">
        <v>0</v>
      </c>
      <c r="AO158" s="39">
        <f>AO38-AO101</f>
        <v>0</v>
      </c>
      <c r="AP158" s="39">
        <f>AP38-AP101</f>
        <v>-1320000</v>
      </c>
      <c r="AQ158" s="32">
        <v>0</v>
      </c>
      <c r="AR158" s="34">
        <v>0</v>
      </c>
      <c r="AS158" s="39">
        <f>AS38-AS101</f>
        <v>0</v>
      </c>
      <c r="AT158" s="32">
        <v>0</v>
      </c>
      <c r="AU158" s="53" t="str">
        <f t="shared" si="257"/>
        <v>-</v>
      </c>
      <c r="AV158" s="41">
        <f>AV38-AV101</f>
        <v>0</v>
      </c>
      <c r="AW158" s="40">
        <f>AW38-AW101</f>
        <v>0</v>
      </c>
      <c r="AX158" s="32">
        <v>0</v>
      </c>
      <c r="AY158" s="34">
        <v>0</v>
      </c>
      <c r="AZ158" s="39">
        <f>AZ38-AZ101</f>
        <v>0</v>
      </c>
      <c r="BA158" s="39">
        <f>BA38-BA101</f>
        <v>-1320000</v>
      </c>
      <c r="BB158" s="32">
        <v>0</v>
      </c>
      <c r="BC158" s="34">
        <v>0</v>
      </c>
      <c r="BD158" s="39">
        <f>BD38-BD101</f>
        <v>0</v>
      </c>
      <c r="BE158" s="32">
        <v>0</v>
      </c>
      <c r="BF158" s="53" t="str">
        <f t="shared" si="258"/>
        <v>-</v>
      </c>
      <c r="BG158" s="41">
        <f>BG38-BG101</f>
        <v>0</v>
      </c>
      <c r="BH158" s="40">
        <f>BH38-BH101</f>
        <v>0</v>
      </c>
      <c r="BI158" s="32">
        <v>0</v>
      </c>
      <c r="BJ158" s="34">
        <v>0</v>
      </c>
      <c r="BK158" s="39">
        <f>BK38-BK101</f>
        <v>0</v>
      </c>
      <c r="BL158" s="39">
        <f>BL38-BL101</f>
        <v>-1320000</v>
      </c>
      <c r="BM158" s="32">
        <v>0</v>
      </c>
      <c r="BN158" s="34">
        <v>0</v>
      </c>
      <c r="BO158" s="39">
        <f>BO38-BO101</f>
        <v>0</v>
      </c>
      <c r="BP158" s="32">
        <v>0</v>
      </c>
      <c r="BQ158" s="53" t="str">
        <f t="shared" si="259"/>
        <v>-</v>
      </c>
      <c r="BR158" s="41">
        <f>BR38-BR101</f>
        <v>0</v>
      </c>
      <c r="BS158" s="40">
        <f>BS38-BS101</f>
        <v>0</v>
      </c>
      <c r="BT158" s="32">
        <v>0</v>
      </c>
      <c r="BU158" s="34">
        <v>0</v>
      </c>
      <c r="BV158" s="39">
        <f>BV38-BV101</f>
        <v>0</v>
      </c>
      <c r="BW158" s="39">
        <f>BW38-BW101</f>
        <v>-1320000</v>
      </c>
      <c r="BX158" s="32">
        <v>0</v>
      </c>
      <c r="BY158" s="34">
        <v>0</v>
      </c>
      <c r="BZ158" s="39">
        <f>BZ38-BZ101</f>
        <v>0</v>
      </c>
      <c r="CA158" s="32">
        <v>0</v>
      </c>
      <c r="CB158" s="53" t="str">
        <f t="shared" si="260"/>
        <v>-</v>
      </c>
      <c r="CC158" s="41">
        <f>CC38-CC101</f>
        <v>0</v>
      </c>
      <c r="CD158" s="40">
        <f>CD38-CD101</f>
        <v>0</v>
      </c>
      <c r="CE158" s="32">
        <v>0</v>
      </c>
      <c r="CF158" s="34">
        <v>0</v>
      </c>
      <c r="CG158" s="39">
        <f>CG38-CG101</f>
        <v>0</v>
      </c>
      <c r="CH158" s="39">
        <f>CH38-CH101</f>
        <v>-1320000</v>
      </c>
      <c r="CI158" s="32">
        <v>0</v>
      </c>
      <c r="CJ158" s="34">
        <v>0</v>
      </c>
      <c r="CK158" s="39">
        <f>CK38-CK101</f>
        <v>0</v>
      </c>
      <c r="CL158" s="32">
        <v>0</v>
      </c>
      <c r="CM158" s="53" t="str">
        <f t="shared" si="261"/>
        <v>-</v>
      </c>
      <c r="CN158" s="41">
        <f>CN38-CN101</f>
        <v>0</v>
      </c>
      <c r="CO158" s="40">
        <f>CO38-CO101</f>
        <v>0</v>
      </c>
      <c r="CP158" s="32">
        <v>0</v>
      </c>
      <c r="CQ158" s="34">
        <v>0</v>
      </c>
      <c r="CR158" s="39">
        <f>CR38-CR101</f>
        <v>0</v>
      </c>
      <c r="CS158" s="39">
        <f>CS38-CS101</f>
        <v>-1320000</v>
      </c>
      <c r="CT158" s="32">
        <v>0</v>
      </c>
      <c r="CU158" s="34">
        <v>0</v>
      </c>
      <c r="CV158" s="39">
        <f>CV38-CV101</f>
        <v>0</v>
      </c>
      <c r="CW158" s="32">
        <v>0</v>
      </c>
      <c r="CX158" s="53" t="str">
        <f t="shared" si="262"/>
        <v>-</v>
      </c>
      <c r="CY158" s="41">
        <f>CY38-CY101</f>
        <v>0</v>
      </c>
      <c r="CZ158" s="40">
        <f>CZ38-CZ101</f>
        <v>0</v>
      </c>
      <c r="DA158" s="32">
        <v>0</v>
      </c>
      <c r="DB158" s="34">
        <v>0</v>
      </c>
      <c r="DC158" s="39">
        <f>DC38-DC101</f>
        <v>0</v>
      </c>
      <c r="DD158" s="39">
        <f>DD38-DD101</f>
        <v>-1320000</v>
      </c>
      <c r="DE158" s="32">
        <v>0</v>
      </c>
      <c r="DF158" s="34">
        <v>0</v>
      </c>
      <c r="DG158" s="39">
        <f>DG38-DG101</f>
        <v>0</v>
      </c>
      <c r="DH158" s="32">
        <v>0</v>
      </c>
      <c r="DI158" s="53" t="str">
        <f t="shared" si="263"/>
        <v>-</v>
      </c>
    </row>
    <row r="159" spans="1:113" ht="12.75" hidden="1" customHeight="1" outlineLevel="3" x14ac:dyDescent="0.2">
      <c r="B159" s="38" t="str">
        <f t="shared" si="264"/>
        <v>Страховые взносы отложенное вознаграждение</v>
      </c>
      <c r="C159" s="49" t="str">
        <f t="shared" si="264"/>
        <v>Social Security on Deferrals</v>
      </c>
      <c r="D159" s="41">
        <f>D39-D102</f>
        <v>0</v>
      </c>
      <c r="E159" s="40">
        <f>E39-E102</f>
        <v>0</v>
      </c>
      <c r="F159" s="32">
        <v>0</v>
      </c>
      <c r="G159" s="34">
        <v>0</v>
      </c>
      <c r="H159" s="39">
        <f>H39-H102</f>
        <v>0</v>
      </c>
      <c r="I159" s="39">
        <f>I39-I102</f>
        <v>-32028.32</v>
      </c>
      <c r="J159" s="32">
        <v>0</v>
      </c>
      <c r="K159" s="34">
        <v>0</v>
      </c>
      <c r="L159" s="39">
        <f>L39-L102</f>
        <v>0</v>
      </c>
      <c r="M159" s="32">
        <v>0</v>
      </c>
      <c r="N159" s="53" t="str">
        <f t="shared" si="254"/>
        <v>-</v>
      </c>
      <c r="O159" s="41">
        <f>O39-O102</f>
        <v>0</v>
      </c>
      <c r="P159" s="40">
        <f>P39-P102</f>
        <v>0</v>
      </c>
      <c r="Q159" s="32">
        <v>0</v>
      </c>
      <c r="R159" s="34">
        <v>0</v>
      </c>
      <c r="S159" s="39">
        <f>S39-S102</f>
        <v>0</v>
      </c>
      <c r="T159" s="39">
        <f>T39-T102</f>
        <v>-32028.32</v>
      </c>
      <c r="U159" s="32">
        <v>0</v>
      </c>
      <c r="V159" s="34">
        <v>0</v>
      </c>
      <c r="W159" s="39">
        <f>W39-W102</f>
        <v>0</v>
      </c>
      <c r="X159" s="32">
        <v>0</v>
      </c>
      <c r="Y159" s="53" t="str">
        <f t="shared" si="255"/>
        <v>-</v>
      </c>
      <c r="Z159" s="41">
        <f>Z39-Z102</f>
        <v>0</v>
      </c>
      <c r="AA159" s="40">
        <f>AA39-AA102</f>
        <v>0</v>
      </c>
      <c r="AB159" s="32">
        <v>0</v>
      </c>
      <c r="AC159" s="34">
        <v>0</v>
      </c>
      <c r="AD159" s="39">
        <f>AD39-AD102</f>
        <v>0</v>
      </c>
      <c r="AE159" s="39">
        <f>AE39-AE102</f>
        <v>-32028.32</v>
      </c>
      <c r="AF159" s="32">
        <v>0</v>
      </c>
      <c r="AG159" s="34">
        <v>0</v>
      </c>
      <c r="AH159" s="39">
        <f>AH39-AH102</f>
        <v>0</v>
      </c>
      <c r="AI159" s="32">
        <v>0</v>
      </c>
      <c r="AJ159" s="53" t="str">
        <f t="shared" si="256"/>
        <v>-</v>
      </c>
      <c r="AK159" s="41">
        <f>AK39-AK102</f>
        <v>0</v>
      </c>
      <c r="AL159" s="40">
        <f>AL39-AL102</f>
        <v>0</v>
      </c>
      <c r="AM159" s="32">
        <v>0</v>
      </c>
      <c r="AN159" s="34">
        <v>0</v>
      </c>
      <c r="AO159" s="39">
        <f>AO39-AO102</f>
        <v>0</v>
      </c>
      <c r="AP159" s="39">
        <f>AP39-AP102</f>
        <v>-32028.32</v>
      </c>
      <c r="AQ159" s="32">
        <v>0</v>
      </c>
      <c r="AR159" s="34">
        <v>0</v>
      </c>
      <c r="AS159" s="39">
        <f>AS39-AS102</f>
        <v>0</v>
      </c>
      <c r="AT159" s="32">
        <v>0</v>
      </c>
      <c r="AU159" s="53" t="str">
        <f t="shared" si="257"/>
        <v>-</v>
      </c>
      <c r="AV159" s="41">
        <f>AV39-AV102</f>
        <v>0</v>
      </c>
      <c r="AW159" s="40">
        <f>AW39-AW102</f>
        <v>0</v>
      </c>
      <c r="AX159" s="32">
        <v>0</v>
      </c>
      <c r="AY159" s="34">
        <v>0</v>
      </c>
      <c r="AZ159" s="39">
        <f>AZ39-AZ102</f>
        <v>0</v>
      </c>
      <c r="BA159" s="39">
        <f>BA39-BA102</f>
        <v>-32028.32</v>
      </c>
      <c r="BB159" s="32">
        <v>0</v>
      </c>
      <c r="BC159" s="34">
        <v>0</v>
      </c>
      <c r="BD159" s="39">
        <f>BD39-BD102</f>
        <v>0</v>
      </c>
      <c r="BE159" s="32">
        <v>0</v>
      </c>
      <c r="BF159" s="53" t="str">
        <f t="shared" si="258"/>
        <v>-</v>
      </c>
      <c r="BG159" s="41">
        <f>BG39-BG102</f>
        <v>0</v>
      </c>
      <c r="BH159" s="40">
        <f>BH39-BH102</f>
        <v>0</v>
      </c>
      <c r="BI159" s="32">
        <v>0</v>
      </c>
      <c r="BJ159" s="34">
        <v>0</v>
      </c>
      <c r="BK159" s="39">
        <f>BK39-BK102</f>
        <v>0</v>
      </c>
      <c r="BL159" s="39">
        <f>BL39-BL102</f>
        <v>-32028.32</v>
      </c>
      <c r="BM159" s="32">
        <v>0</v>
      </c>
      <c r="BN159" s="34">
        <v>0</v>
      </c>
      <c r="BO159" s="39">
        <f>BO39-BO102</f>
        <v>0</v>
      </c>
      <c r="BP159" s="32">
        <v>0</v>
      </c>
      <c r="BQ159" s="53" t="str">
        <f t="shared" si="259"/>
        <v>-</v>
      </c>
      <c r="BR159" s="41">
        <f>BR39-BR102</f>
        <v>0</v>
      </c>
      <c r="BS159" s="40">
        <f>BS39-BS102</f>
        <v>0</v>
      </c>
      <c r="BT159" s="32">
        <v>0</v>
      </c>
      <c r="BU159" s="34">
        <v>0</v>
      </c>
      <c r="BV159" s="39">
        <f>BV39-BV102</f>
        <v>0</v>
      </c>
      <c r="BW159" s="39">
        <f>BW39-BW102</f>
        <v>-32028.32</v>
      </c>
      <c r="BX159" s="32">
        <v>0</v>
      </c>
      <c r="BY159" s="34">
        <v>0</v>
      </c>
      <c r="BZ159" s="39">
        <f>BZ39-BZ102</f>
        <v>0</v>
      </c>
      <c r="CA159" s="32">
        <v>0</v>
      </c>
      <c r="CB159" s="53" t="str">
        <f t="shared" si="260"/>
        <v>-</v>
      </c>
      <c r="CC159" s="41">
        <f>CC39-CC102</f>
        <v>0</v>
      </c>
      <c r="CD159" s="40">
        <f>CD39-CD102</f>
        <v>0</v>
      </c>
      <c r="CE159" s="32">
        <v>0</v>
      </c>
      <c r="CF159" s="34">
        <v>0</v>
      </c>
      <c r="CG159" s="39">
        <f>CG39-CG102</f>
        <v>0</v>
      </c>
      <c r="CH159" s="39">
        <f>CH39-CH102</f>
        <v>-32028.32</v>
      </c>
      <c r="CI159" s="32">
        <v>0</v>
      </c>
      <c r="CJ159" s="34">
        <v>0</v>
      </c>
      <c r="CK159" s="39">
        <f>CK39-CK102</f>
        <v>0</v>
      </c>
      <c r="CL159" s="32">
        <v>0</v>
      </c>
      <c r="CM159" s="53" t="str">
        <f t="shared" si="261"/>
        <v>-</v>
      </c>
      <c r="CN159" s="41">
        <f>CN39-CN102</f>
        <v>0</v>
      </c>
      <c r="CO159" s="40">
        <f>CO39-CO102</f>
        <v>0</v>
      </c>
      <c r="CP159" s="32">
        <v>0</v>
      </c>
      <c r="CQ159" s="34">
        <v>0</v>
      </c>
      <c r="CR159" s="39">
        <f>CR39-CR102</f>
        <v>0</v>
      </c>
      <c r="CS159" s="39">
        <f>CS39-CS102</f>
        <v>-32028.32</v>
      </c>
      <c r="CT159" s="32">
        <v>0</v>
      </c>
      <c r="CU159" s="34">
        <v>0</v>
      </c>
      <c r="CV159" s="39">
        <f>CV39-CV102</f>
        <v>0</v>
      </c>
      <c r="CW159" s="32">
        <v>0</v>
      </c>
      <c r="CX159" s="53" t="str">
        <f t="shared" si="262"/>
        <v>-</v>
      </c>
      <c r="CY159" s="41">
        <f>CY39-CY102</f>
        <v>0</v>
      </c>
      <c r="CZ159" s="40">
        <f>CZ39-CZ102</f>
        <v>0</v>
      </c>
      <c r="DA159" s="32">
        <v>0</v>
      </c>
      <c r="DB159" s="34">
        <v>0</v>
      </c>
      <c r="DC159" s="39">
        <f>DC39-DC102</f>
        <v>0</v>
      </c>
      <c r="DD159" s="39">
        <f>DD39-DD102</f>
        <v>-32028.32</v>
      </c>
      <c r="DE159" s="32">
        <v>0</v>
      </c>
      <c r="DF159" s="34">
        <v>0</v>
      </c>
      <c r="DG159" s="39">
        <f>DG39-DG102</f>
        <v>0</v>
      </c>
      <c r="DH159" s="32">
        <v>0</v>
      </c>
      <c r="DI159" s="53" t="str">
        <f t="shared" si="263"/>
        <v>-</v>
      </c>
    </row>
    <row r="160" spans="1:113" s="6" customFormat="1" hidden="1" outlineLevel="2" collapsed="1" x14ac:dyDescent="0.2">
      <c r="B160" s="29" t="str">
        <f t="shared" si="264"/>
        <v>Итого отложенное вознаграждение</v>
      </c>
      <c r="C160" s="52" t="str">
        <f t="shared" si="264"/>
        <v>Deferred Compensation</v>
      </c>
      <c r="D160" s="27">
        <f>SUM(D158:D159)</f>
        <v>0</v>
      </c>
      <c r="E160" s="26">
        <f>SUM(E158:E159)</f>
        <v>0</v>
      </c>
      <c r="F160" s="23">
        <v>0</v>
      </c>
      <c r="G160" s="25">
        <v>0</v>
      </c>
      <c r="H160" s="24">
        <f>SUM(H158:H159)</f>
        <v>0</v>
      </c>
      <c r="I160" s="24">
        <f>SUM(I158:I159)</f>
        <v>-1352028.32</v>
      </c>
      <c r="J160" s="23">
        <v>0</v>
      </c>
      <c r="K160" s="25">
        <v>0</v>
      </c>
      <c r="L160" s="24">
        <f>SUM(L158:L159)</f>
        <v>0</v>
      </c>
      <c r="M160" s="23">
        <v>0</v>
      </c>
      <c r="N160" s="22" t="str">
        <f t="shared" si="254"/>
        <v>-</v>
      </c>
      <c r="O160" s="27">
        <f>SUM(O158:O159)</f>
        <v>0</v>
      </c>
      <c r="P160" s="26">
        <f>SUM(P158:P159)</f>
        <v>0</v>
      </c>
      <c r="Q160" s="23">
        <v>0</v>
      </c>
      <c r="R160" s="25">
        <v>0</v>
      </c>
      <c r="S160" s="24">
        <f>SUM(S158:S159)</f>
        <v>0</v>
      </c>
      <c r="T160" s="24">
        <f>SUM(T158:T159)</f>
        <v>-1352028.32</v>
      </c>
      <c r="U160" s="23">
        <v>0</v>
      </c>
      <c r="V160" s="25">
        <v>0</v>
      </c>
      <c r="W160" s="24">
        <f>SUM(W158:W159)</f>
        <v>0</v>
      </c>
      <c r="X160" s="23">
        <v>0</v>
      </c>
      <c r="Y160" s="22" t="str">
        <f t="shared" si="255"/>
        <v>-</v>
      </c>
      <c r="Z160" s="27">
        <f>SUM(Z158:Z159)</f>
        <v>0</v>
      </c>
      <c r="AA160" s="26">
        <f>SUM(AA158:AA159)</f>
        <v>0</v>
      </c>
      <c r="AB160" s="23">
        <v>0</v>
      </c>
      <c r="AC160" s="25">
        <v>0</v>
      </c>
      <c r="AD160" s="24">
        <f>SUM(AD158:AD159)</f>
        <v>0</v>
      </c>
      <c r="AE160" s="24">
        <f>SUM(AE158:AE159)</f>
        <v>-1352028.32</v>
      </c>
      <c r="AF160" s="23">
        <v>0</v>
      </c>
      <c r="AG160" s="25">
        <v>0</v>
      </c>
      <c r="AH160" s="24">
        <f>SUM(AH158:AH159)</f>
        <v>0</v>
      </c>
      <c r="AI160" s="23">
        <v>0</v>
      </c>
      <c r="AJ160" s="22" t="str">
        <f t="shared" si="256"/>
        <v>-</v>
      </c>
      <c r="AK160" s="27">
        <f>SUM(AK158:AK159)</f>
        <v>0</v>
      </c>
      <c r="AL160" s="26">
        <f>SUM(AL158:AL159)</f>
        <v>0</v>
      </c>
      <c r="AM160" s="23">
        <v>0</v>
      </c>
      <c r="AN160" s="25">
        <v>0</v>
      </c>
      <c r="AO160" s="24">
        <f>SUM(AO158:AO159)</f>
        <v>0</v>
      </c>
      <c r="AP160" s="24">
        <f>SUM(AP158:AP159)</f>
        <v>-1352028.32</v>
      </c>
      <c r="AQ160" s="23">
        <v>0</v>
      </c>
      <c r="AR160" s="25">
        <v>0</v>
      </c>
      <c r="AS160" s="24">
        <f>SUM(AS158:AS159)</f>
        <v>0</v>
      </c>
      <c r="AT160" s="23">
        <v>0</v>
      </c>
      <c r="AU160" s="22" t="str">
        <f t="shared" si="257"/>
        <v>-</v>
      </c>
      <c r="AV160" s="27">
        <f>SUM(AV158:AV159)</f>
        <v>0</v>
      </c>
      <c r="AW160" s="26">
        <f>SUM(AW158:AW159)</f>
        <v>0</v>
      </c>
      <c r="AX160" s="23">
        <v>0</v>
      </c>
      <c r="AY160" s="25">
        <v>0</v>
      </c>
      <c r="AZ160" s="24">
        <f>SUM(AZ158:AZ159)</f>
        <v>0</v>
      </c>
      <c r="BA160" s="24">
        <f>SUM(BA158:BA159)</f>
        <v>-1352028.32</v>
      </c>
      <c r="BB160" s="23">
        <v>0</v>
      </c>
      <c r="BC160" s="25">
        <v>0</v>
      </c>
      <c r="BD160" s="24">
        <f>SUM(BD158:BD159)</f>
        <v>0</v>
      </c>
      <c r="BE160" s="23">
        <v>0</v>
      </c>
      <c r="BF160" s="22" t="str">
        <f t="shared" si="258"/>
        <v>-</v>
      </c>
      <c r="BG160" s="27">
        <f>SUM(BG158:BG159)</f>
        <v>0</v>
      </c>
      <c r="BH160" s="26">
        <f>SUM(BH158:BH159)</f>
        <v>0</v>
      </c>
      <c r="BI160" s="23">
        <v>0</v>
      </c>
      <c r="BJ160" s="25">
        <v>0</v>
      </c>
      <c r="BK160" s="24">
        <f>SUM(BK158:BK159)</f>
        <v>0</v>
      </c>
      <c r="BL160" s="24">
        <f>SUM(BL158:BL159)</f>
        <v>-1352028.32</v>
      </c>
      <c r="BM160" s="23">
        <v>0</v>
      </c>
      <c r="BN160" s="25">
        <v>0</v>
      </c>
      <c r="BO160" s="24">
        <f>SUM(BO158:BO159)</f>
        <v>0</v>
      </c>
      <c r="BP160" s="23">
        <v>0</v>
      </c>
      <c r="BQ160" s="22" t="str">
        <f t="shared" si="259"/>
        <v>-</v>
      </c>
      <c r="BR160" s="27">
        <f>SUM(BR158:BR159)</f>
        <v>0</v>
      </c>
      <c r="BS160" s="26">
        <f>SUM(BS158:BS159)</f>
        <v>0</v>
      </c>
      <c r="BT160" s="23">
        <v>0</v>
      </c>
      <c r="BU160" s="25">
        <v>0</v>
      </c>
      <c r="BV160" s="24">
        <f>SUM(BV158:BV159)</f>
        <v>0</v>
      </c>
      <c r="BW160" s="24">
        <f>SUM(BW158:BW159)</f>
        <v>-1352028.32</v>
      </c>
      <c r="BX160" s="23">
        <v>0</v>
      </c>
      <c r="BY160" s="25">
        <v>0</v>
      </c>
      <c r="BZ160" s="24">
        <f>SUM(BZ158:BZ159)</f>
        <v>0</v>
      </c>
      <c r="CA160" s="23">
        <v>0</v>
      </c>
      <c r="CB160" s="22" t="str">
        <f t="shared" si="260"/>
        <v>-</v>
      </c>
      <c r="CC160" s="27">
        <f>SUM(CC158:CC159)</f>
        <v>0</v>
      </c>
      <c r="CD160" s="26">
        <f>SUM(CD158:CD159)</f>
        <v>0</v>
      </c>
      <c r="CE160" s="23">
        <v>0</v>
      </c>
      <c r="CF160" s="25">
        <v>0</v>
      </c>
      <c r="CG160" s="24">
        <f>SUM(CG158:CG159)</f>
        <v>0</v>
      </c>
      <c r="CH160" s="24">
        <f>SUM(CH158:CH159)</f>
        <v>-1352028.32</v>
      </c>
      <c r="CI160" s="23">
        <v>0</v>
      </c>
      <c r="CJ160" s="25">
        <v>0</v>
      </c>
      <c r="CK160" s="24">
        <f>SUM(CK158:CK159)</f>
        <v>0</v>
      </c>
      <c r="CL160" s="23">
        <v>0</v>
      </c>
      <c r="CM160" s="22" t="str">
        <f t="shared" si="261"/>
        <v>-</v>
      </c>
      <c r="CN160" s="27">
        <f>SUM(CN158:CN159)</f>
        <v>0</v>
      </c>
      <c r="CO160" s="26">
        <f>SUM(CO158:CO159)</f>
        <v>0</v>
      </c>
      <c r="CP160" s="23">
        <v>0</v>
      </c>
      <c r="CQ160" s="25">
        <v>0</v>
      </c>
      <c r="CR160" s="24">
        <f>SUM(CR158:CR159)</f>
        <v>0</v>
      </c>
      <c r="CS160" s="24">
        <f>SUM(CS158:CS159)</f>
        <v>-1352028.32</v>
      </c>
      <c r="CT160" s="23">
        <v>0</v>
      </c>
      <c r="CU160" s="25">
        <v>0</v>
      </c>
      <c r="CV160" s="24">
        <f>SUM(CV158:CV159)</f>
        <v>0</v>
      </c>
      <c r="CW160" s="23">
        <v>0</v>
      </c>
      <c r="CX160" s="22" t="str">
        <f t="shared" si="262"/>
        <v>-</v>
      </c>
      <c r="CY160" s="27">
        <f>SUM(CY158:CY159)</f>
        <v>0</v>
      </c>
      <c r="CZ160" s="26">
        <f>SUM(CZ158:CZ159)</f>
        <v>0</v>
      </c>
      <c r="DA160" s="23">
        <v>0</v>
      </c>
      <c r="DB160" s="25">
        <v>0</v>
      </c>
      <c r="DC160" s="24">
        <f>SUM(DC158:DC159)</f>
        <v>0</v>
      </c>
      <c r="DD160" s="24">
        <f>SUM(DD158:DD159)</f>
        <v>-1352028.32</v>
      </c>
      <c r="DE160" s="23">
        <v>0</v>
      </c>
      <c r="DF160" s="25">
        <v>0</v>
      </c>
      <c r="DG160" s="24">
        <f>SUM(DG158:DG159)</f>
        <v>0</v>
      </c>
      <c r="DH160" s="23">
        <v>0</v>
      </c>
      <c r="DI160" s="22" t="str">
        <f t="shared" si="263"/>
        <v>-</v>
      </c>
    </row>
    <row r="161" spans="1:113" s="6" customFormat="1" outlineLevel="1" collapsed="1" x14ac:dyDescent="0.2">
      <c r="A161" s="30"/>
      <c r="B161" s="51" t="str">
        <f t="shared" si="264"/>
        <v>Прочие компенсационные выплаты</v>
      </c>
      <c r="C161" s="50" t="str">
        <f t="shared" si="264"/>
        <v>Other Compensations</v>
      </c>
      <c r="D161" s="46">
        <f>D151+D154+D157+D160</f>
        <v>240000</v>
      </c>
      <c r="E161" s="45">
        <f>E151+E154+E157+E160</f>
        <v>0</v>
      </c>
      <c r="F161" s="23">
        <v>0</v>
      </c>
      <c r="G161" s="25">
        <v>0</v>
      </c>
      <c r="H161" s="44">
        <f>H151+H154+H157+H160</f>
        <v>503760</v>
      </c>
      <c r="I161" s="44">
        <f>I151+I154+I157+I160</f>
        <v>-1628268.32</v>
      </c>
      <c r="J161" s="23">
        <v>0</v>
      </c>
      <c r="K161" s="25">
        <v>0</v>
      </c>
      <c r="L161" s="44">
        <f>L151+L154+L157+L160</f>
        <v>-1628268.32</v>
      </c>
      <c r="M161" s="23">
        <v>0</v>
      </c>
      <c r="N161" s="43">
        <f t="shared" si="254"/>
        <v>0</v>
      </c>
      <c r="O161" s="46">
        <f>O151+O154+O157+O160</f>
        <v>240000</v>
      </c>
      <c r="P161" s="45">
        <f>P151+P154+P157+P160</f>
        <v>0</v>
      </c>
      <c r="Q161" s="23">
        <v>0</v>
      </c>
      <c r="R161" s="25">
        <v>0</v>
      </c>
      <c r="S161" s="44">
        <f>S151+S154+S157+S160</f>
        <v>503760</v>
      </c>
      <c r="T161" s="44">
        <f>T151+T154+T157+T160</f>
        <v>-1628268.32</v>
      </c>
      <c r="U161" s="23">
        <v>0</v>
      </c>
      <c r="V161" s="25">
        <v>0</v>
      </c>
      <c r="W161" s="44">
        <f>W151+W154+W157+W160</f>
        <v>-1628268.32</v>
      </c>
      <c r="X161" s="23">
        <v>0</v>
      </c>
      <c r="Y161" s="43">
        <f t="shared" si="255"/>
        <v>0</v>
      </c>
      <c r="Z161" s="46">
        <f>Z151+Z154+Z157+Z160</f>
        <v>240000</v>
      </c>
      <c r="AA161" s="45">
        <f>AA151+AA154+AA157+AA160</f>
        <v>0</v>
      </c>
      <c r="AB161" s="23">
        <v>0</v>
      </c>
      <c r="AC161" s="25">
        <v>0</v>
      </c>
      <c r="AD161" s="44">
        <f>AD151+AD154+AD157+AD160</f>
        <v>503760</v>
      </c>
      <c r="AE161" s="44">
        <f>AE151+AE154+AE157+AE160</f>
        <v>-1628268.32</v>
      </c>
      <c r="AF161" s="23">
        <v>0</v>
      </c>
      <c r="AG161" s="25">
        <v>0</v>
      </c>
      <c r="AH161" s="44">
        <f>AH151+AH154+AH157+AH160</f>
        <v>-1628268.32</v>
      </c>
      <c r="AI161" s="23">
        <v>0</v>
      </c>
      <c r="AJ161" s="43">
        <f t="shared" si="256"/>
        <v>0</v>
      </c>
      <c r="AK161" s="46">
        <f>AK151+AK154+AK157+AK160</f>
        <v>240000</v>
      </c>
      <c r="AL161" s="45">
        <f>AL151+AL154+AL157+AL160</f>
        <v>0</v>
      </c>
      <c r="AM161" s="23">
        <v>0</v>
      </c>
      <c r="AN161" s="25">
        <v>0</v>
      </c>
      <c r="AO161" s="44">
        <f>AO151+AO154+AO157+AO160</f>
        <v>503760</v>
      </c>
      <c r="AP161" s="44">
        <f>AP151+AP154+AP157+AP160</f>
        <v>-1628268.32</v>
      </c>
      <c r="AQ161" s="23">
        <v>0</v>
      </c>
      <c r="AR161" s="25">
        <v>0</v>
      </c>
      <c r="AS161" s="44">
        <f>AS151+AS154+AS157+AS160</f>
        <v>-1628268.32</v>
      </c>
      <c r="AT161" s="23">
        <v>0</v>
      </c>
      <c r="AU161" s="43">
        <f t="shared" si="257"/>
        <v>0</v>
      </c>
      <c r="AV161" s="46">
        <f>AV151+AV154+AV157+AV160</f>
        <v>240000</v>
      </c>
      <c r="AW161" s="45">
        <f>AW151+AW154+AW157+AW160</f>
        <v>0</v>
      </c>
      <c r="AX161" s="23">
        <v>0</v>
      </c>
      <c r="AY161" s="25">
        <v>0</v>
      </c>
      <c r="AZ161" s="44">
        <f>AZ151+AZ154+AZ157+AZ160</f>
        <v>503760</v>
      </c>
      <c r="BA161" s="44">
        <f>BA151+BA154+BA157+BA160</f>
        <v>-1628268.32</v>
      </c>
      <c r="BB161" s="23">
        <v>0</v>
      </c>
      <c r="BC161" s="25">
        <v>0</v>
      </c>
      <c r="BD161" s="44">
        <f>BD151+BD154+BD157+BD160</f>
        <v>-1628268.32</v>
      </c>
      <c r="BE161" s="23">
        <v>0</v>
      </c>
      <c r="BF161" s="43">
        <f t="shared" si="258"/>
        <v>0</v>
      </c>
      <c r="BG161" s="46">
        <f>BG151+BG154+BG157+BG160</f>
        <v>240000</v>
      </c>
      <c r="BH161" s="45">
        <f>BH151+BH154+BH157+BH160</f>
        <v>0</v>
      </c>
      <c r="BI161" s="23">
        <v>0</v>
      </c>
      <c r="BJ161" s="25">
        <v>0</v>
      </c>
      <c r="BK161" s="44">
        <f>BK151+BK154+BK157+BK160</f>
        <v>503760</v>
      </c>
      <c r="BL161" s="44">
        <f>BL151+BL154+BL157+BL160</f>
        <v>-1628268.32</v>
      </c>
      <c r="BM161" s="23">
        <v>0</v>
      </c>
      <c r="BN161" s="25">
        <v>0</v>
      </c>
      <c r="BO161" s="44">
        <f>BO151+BO154+BO157+BO160</f>
        <v>-1628268.32</v>
      </c>
      <c r="BP161" s="23">
        <v>0</v>
      </c>
      <c r="BQ161" s="43">
        <f t="shared" si="259"/>
        <v>0</v>
      </c>
      <c r="BR161" s="46">
        <f>BR151+BR154+BR157+BR160</f>
        <v>240000</v>
      </c>
      <c r="BS161" s="45">
        <f>BS151+BS154+BS157+BS160</f>
        <v>0</v>
      </c>
      <c r="BT161" s="23">
        <v>0</v>
      </c>
      <c r="BU161" s="25">
        <v>0</v>
      </c>
      <c r="BV161" s="44">
        <f>BV151+BV154+BV157+BV160</f>
        <v>503760</v>
      </c>
      <c r="BW161" s="44">
        <f>BW151+BW154+BW157+BW160</f>
        <v>-1628268.32</v>
      </c>
      <c r="BX161" s="23">
        <v>0</v>
      </c>
      <c r="BY161" s="25">
        <v>0</v>
      </c>
      <c r="BZ161" s="44">
        <f>BZ151+BZ154+BZ157+BZ160</f>
        <v>-1628268.32</v>
      </c>
      <c r="CA161" s="23">
        <v>0</v>
      </c>
      <c r="CB161" s="43">
        <f t="shared" si="260"/>
        <v>0</v>
      </c>
      <c r="CC161" s="46">
        <f>CC151+CC154+CC157+CC160</f>
        <v>240000</v>
      </c>
      <c r="CD161" s="45">
        <f>CD151+CD154+CD157+CD160</f>
        <v>0</v>
      </c>
      <c r="CE161" s="23">
        <v>0</v>
      </c>
      <c r="CF161" s="25">
        <v>0</v>
      </c>
      <c r="CG161" s="44">
        <f>CG151+CG154+CG157+CG160</f>
        <v>503760</v>
      </c>
      <c r="CH161" s="44">
        <f>CH151+CH154+CH157+CH160</f>
        <v>-1628268.32</v>
      </c>
      <c r="CI161" s="23">
        <v>0</v>
      </c>
      <c r="CJ161" s="25">
        <v>0</v>
      </c>
      <c r="CK161" s="44">
        <f>CK151+CK154+CK157+CK160</f>
        <v>-1628268.32</v>
      </c>
      <c r="CL161" s="23">
        <v>0</v>
      </c>
      <c r="CM161" s="43">
        <f t="shared" si="261"/>
        <v>0</v>
      </c>
      <c r="CN161" s="46">
        <f>CN151+CN154+CN157+CN160</f>
        <v>240000</v>
      </c>
      <c r="CO161" s="45">
        <f>CO151+CO154+CO157+CO160</f>
        <v>0</v>
      </c>
      <c r="CP161" s="23">
        <v>0</v>
      </c>
      <c r="CQ161" s="25">
        <v>0</v>
      </c>
      <c r="CR161" s="44">
        <f>CR151+CR154+CR157+CR160</f>
        <v>503760</v>
      </c>
      <c r="CS161" s="44">
        <f>CS151+CS154+CS157+CS160</f>
        <v>-1628268.32</v>
      </c>
      <c r="CT161" s="23">
        <v>0</v>
      </c>
      <c r="CU161" s="25">
        <v>0</v>
      </c>
      <c r="CV161" s="44">
        <f>CV151+CV154+CV157+CV160</f>
        <v>-1628268.32</v>
      </c>
      <c r="CW161" s="23">
        <v>0</v>
      </c>
      <c r="CX161" s="43">
        <f t="shared" si="262"/>
        <v>0</v>
      </c>
      <c r="CY161" s="46">
        <f>CY151+CY154+CY157+CY160</f>
        <v>240000</v>
      </c>
      <c r="CZ161" s="45">
        <f>CZ151+CZ154+CZ157+CZ160</f>
        <v>0</v>
      </c>
      <c r="DA161" s="23">
        <v>0</v>
      </c>
      <c r="DB161" s="25">
        <v>0</v>
      </c>
      <c r="DC161" s="44">
        <f>DC151+DC154+DC157+DC160</f>
        <v>503760</v>
      </c>
      <c r="DD161" s="44">
        <f>DD151+DD154+DD157+DD160</f>
        <v>-1628268.32</v>
      </c>
      <c r="DE161" s="23">
        <v>0</v>
      </c>
      <c r="DF161" s="25">
        <v>0</v>
      </c>
      <c r="DG161" s="44">
        <f>DG151+DG154+DG157+DG160</f>
        <v>-1628268.32</v>
      </c>
      <c r="DH161" s="23">
        <v>0</v>
      </c>
      <c r="DI161" s="43">
        <f t="shared" si="263"/>
        <v>0</v>
      </c>
    </row>
    <row r="162" spans="1:113" ht="12.75" hidden="1" customHeight="1" outlineLevel="3" x14ac:dyDescent="0.2">
      <c r="B162" s="38" t="str">
        <f t="shared" si="264"/>
        <v>Резерв квартальной премии</v>
      </c>
      <c r="C162" s="49" t="str">
        <f t="shared" si="264"/>
        <v>Accruals for Quarterly bonus</v>
      </c>
      <c r="D162" s="41">
        <f>D42-D105</f>
        <v>11215250</v>
      </c>
      <c r="E162" s="40">
        <f>E42-E105</f>
        <v>0</v>
      </c>
      <c r="F162" s="32">
        <v>0</v>
      </c>
      <c r="G162" s="34">
        <v>0</v>
      </c>
      <c r="H162" s="39">
        <f>H42-H105</f>
        <v>67291500</v>
      </c>
      <c r="I162" s="39">
        <f>I42-I105</f>
        <v>0</v>
      </c>
      <c r="J162" s="32">
        <v>0</v>
      </c>
      <c r="K162" s="34">
        <v>0</v>
      </c>
      <c r="L162" s="39">
        <f>L42-L105</f>
        <v>0</v>
      </c>
      <c r="M162" s="32">
        <v>0</v>
      </c>
      <c r="N162" s="31" t="str">
        <f t="shared" si="254"/>
        <v>-</v>
      </c>
      <c r="O162" s="41">
        <f>O42-O105</f>
        <v>11215250</v>
      </c>
      <c r="P162" s="40">
        <f>P42-P105</f>
        <v>0</v>
      </c>
      <c r="Q162" s="32">
        <v>0</v>
      </c>
      <c r="R162" s="34">
        <v>0</v>
      </c>
      <c r="S162" s="39">
        <f>S42-S105</f>
        <v>67291500</v>
      </c>
      <c r="T162" s="39">
        <f>T42-T105</f>
        <v>0</v>
      </c>
      <c r="U162" s="32">
        <v>0</v>
      </c>
      <c r="V162" s="34">
        <v>0</v>
      </c>
      <c r="W162" s="39">
        <f>W42-W105</f>
        <v>0</v>
      </c>
      <c r="X162" s="32">
        <v>0</v>
      </c>
      <c r="Y162" s="31" t="str">
        <f t="shared" si="255"/>
        <v>-</v>
      </c>
      <c r="Z162" s="41">
        <f>Z42-Z105</f>
        <v>11215250</v>
      </c>
      <c r="AA162" s="40">
        <f>AA42-AA105</f>
        <v>0</v>
      </c>
      <c r="AB162" s="32">
        <v>0</v>
      </c>
      <c r="AC162" s="34">
        <v>0</v>
      </c>
      <c r="AD162" s="39">
        <f>AD42-AD105</f>
        <v>67291500</v>
      </c>
      <c r="AE162" s="39">
        <f>AE42-AE105</f>
        <v>0</v>
      </c>
      <c r="AF162" s="32">
        <v>0</v>
      </c>
      <c r="AG162" s="34">
        <v>0</v>
      </c>
      <c r="AH162" s="39">
        <f>AH42-AH105</f>
        <v>0</v>
      </c>
      <c r="AI162" s="32">
        <v>0</v>
      </c>
      <c r="AJ162" s="31" t="str">
        <f t="shared" si="256"/>
        <v>-</v>
      </c>
      <c r="AK162" s="41">
        <f>AK42-AK105</f>
        <v>11215250</v>
      </c>
      <c r="AL162" s="40">
        <f>AL42-AL105</f>
        <v>0</v>
      </c>
      <c r="AM162" s="32">
        <v>0</v>
      </c>
      <c r="AN162" s="34">
        <v>0</v>
      </c>
      <c r="AO162" s="39">
        <f>AO42-AO105</f>
        <v>67291500</v>
      </c>
      <c r="AP162" s="39">
        <f>AP42-AP105</f>
        <v>0</v>
      </c>
      <c r="AQ162" s="32">
        <v>0</v>
      </c>
      <c r="AR162" s="34">
        <v>0</v>
      </c>
      <c r="AS162" s="39">
        <f>AS42-AS105</f>
        <v>0</v>
      </c>
      <c r="AT162" s="32">
        <v>0</v>
      </c>
      <c r="AU162" s="31" t="str">
        <f t="shared" si="257"/>
        <v>-</v>
      </c>
      <c r="AV162" s="41">
        <f>AV42-AV105</f>
        <v>11215250</v>
      </c>
      <c r="AW162" s="40">
        <f>AW42-AW105</f>
        <v>0</v>
      </c>
      <c r="AX162" s="32">
        <v>0</v>
      </c>
      <c r="AY162" s="34">
        <v>0</v>
      </c>
      <c r="AZ162" s="39">
        <f>AZ42-AZ105</f>
        <v>67291500</v>
      </c>
      <c r="BA162" s="39">
        <f>BA42-BA105</f>
        <v>0</v>
      </c>
      <c r="BB162" s="32">
        <v>0</v>
      </c>
      <c r="BC162" s="34">
        <v>0</v>
      </c>
      <c r="BD162" s="39">
        <f>BD42-BD105</f>
        <v>0</v>
      </c>
      <c r="BE162" s="32">
        <v>0</v>
      </c>
      <c r="BF162" s="31" t="str">
        <f t="shared" si="258"/>
        <v>-</v>
      </c>
      <c r="BG162" s="41">
        <f>BG42-BG105</f>
        <v>11215250</v>
      </c>
      <c r="BH162" s="40">
        <f>BH42-BH105</f>
        <v>0</v>
      </c>
      <c r="BI162" s="32">
        <v>0</v>
      </c>
      <c r="BJ162" s="34">
        <v>0</v>
      </c>
      <c r="BK162" s="39">
        <f>BK42-BK105</f>
        <v>67291500</v>
      </c>
      <c r="BL162" s="39">
        <f>BL42-BL105</f>
        <v>0</v>
      </c>
      <c r="BM162" s="32">
        <v>0</v>
      </c>
      <c r="BN162" s="34">
        <v>0</v>
      </c>
      <c r="BO162" s="39">
        <f>BO42-BO105</f>
        <v>0</v>
      </c>
      <c r="BP162" s="32">
        <v>0</v>
      </c>
      <c r="BQ162" s="31" t="str">
        <f t="shared" si="259"/>
        <v>-</v>
      </c>
      <c r="BR162" s="41">
        <f>BR42-BR105</f>
        <v>11215250</v>
      </c>
      <c r="BS162" s="40">
        <f>BS42-BS105</f>
        <v>0</v>
      </c>
      <c r="BT162" s="32">
        <v>0</v>
      </c>
      <c r="BU162" s="34">
        <v>0</v>
      </c>
      <c r="BV162" s="39">
        <f>BV42-BV105</f>
        <v>67291500</v>
      </c>
      <c r="BW162" s="39">
        <f>BW42-BW105</f>
        <v>0</v>
      </c>
      <c r="BX162" s="32">
        <v>0</v>
      </c>
      <c r="BY162" s="34">
        <v>0</v>
      </c>
      <c r="BZ162" s="39">
        <f>BZ42-BZ105</f>
        <v>0</v>
      </c>
      <c r="CA162" s="32">
        <v>0</v>
      </c>
      <c r="CB162" s="31" t="str">
        <f t="shared" si="260"/>
        <v>-</v>
      </c>
      <c r="CC162" s="41">
        <f>CC42-CC105</f>
        <v>11215250</v>
      </c>
      <c r="CD162" s="40">
        <f>CD42-CD105</f>
        <v>0</v>
      </c>
      <c r="CE162" s="32">
        <v>0</v>
      </c>
      <c r="CF162" s="34">
        <v>0</v>
      </c>
      <c r="CG162" s="39">
        <f>CG42-CG105</f>
        <v>67291500</v>
      </c>
      <c r="CH162" s="39">
        <f>CH42-CH105</f>
        <v>0</v>
      </c>
      <c r="CI162" s="32">
        <v>0</v>
      </c>
      <c r="CJ162" s="34">
        <v>0</v>
      </c>
      <c r="CK162" s="39">
        <f>CK42-CK105</f>
        <v>0</v>
      </c>
      <c r="CL162" s="32">
        <v>0</v>
      </c>
      <c r="CM162" s="31" t="str">
        <f t="shared" si="261"/>
        <v>-</v>
      </c>
      <c r="CN162" s="41">
        <f>CN42-CN105</f>
        <v>11215250</v>
      </c>
      <c r="CO162" s="40">
        <f>CO42-CO105</f>
        <v>0</v>
      </c>
      <c r="CP162" s="32">
        <v>0</v>
      </c>
      <c r="CQ162" s="34">
        <v>0</v>
      </c>
      <c r="CR162" s="39">
        <f>CR42-CR105</f>
        <v>67291500</v>
      </c>
      <c r="CS162" s="39">
        <f>CS42-CS105</f>
        <v>0</v>
      </c>
      <c r="CT162" s="32">
        <v>0</v>
      </c>
      <c r="CU162" s="34">
        <v>0</v>
      </c>
      <c r="CV162" s="39">
        <f>CV42-CV105</f>
        <v>0</v>
      </c>
      <c r="CW162" s="32">
        <v>0</v>
      </c>
      <c r="CX162" s="31" t="str">
        <f t="shared" si="262"/>
        <v>-</v>
      </c>
      <c r="CY162" s="41">
        <f>CY42-CY105</f>
        <v>11215250</v>
      </c>
      <c r="CZ162" s="40">
        <f>CZ42-CZ105</f>
        <v>0</v>
      </c>
      <c r="DA162" s="32">
        <v>0</v>
      </c>
      <c r="DB162" s="34">
        <v>0</v>
      </c>
      <c r="DC162" s="39">
        <f>DC42-DC105</f>
        <v>67291500</v>
      </c>
      <c r="DD162" s="39">
        <f>DD42-DD105</f>
        <v>0</v>
      </c>
      <c r="DE162" s="32">
        <v>0</v>
      </c>
      <c r="DF162" s="34">
        <v>0</v>
      </c>
      <c r="DG162" s="39">
        <f>DG42-DG105</f>
        <v>0</v>
      </c>
      <c r="DH162" s="32">
        <v>0</v>
      </c>
      <c r="DI162" s="31" t="str">
        <f t="shared" si="263"/>
        <v>-</v>
      </c>
    </row>
    <row r="163" spans="1:113" ht="12.75" hidden="1" customHeight="1" outlineLevel="3" x14ac:dyDescent="0.2">
      <c r="B163" s="38" t="str">
        <f t="shared" si="264"/>
        <v>Страховые взносы резерв квартальной премии</v>
      </c>
      <c r="C163" s="49" t="str">
        <f t="shared" si="264"/>
        <v>Social Security on Accruals for Quarterly bonus</v>
      </c>
      <c r="D163" s="41">
        <f>D43-D106</f>
        <v>2074821.25</v>
      </c>
      <c r="E163" s="40">
        <f>E43-E106</f>
        <v>0</v>
      </c>
      <c r="F163" s="32">
        <v>0</v>
      </c>
      <c r="G163" s="34">
        <v>0</v>
      </c>
      <c r="H163" s="39">
        <f>H43-H106</f>
        <v>12448927.5</v>
      </c>
      <c r="I163" s="39">
        <f>I43-I106</f>
        <v>0</v>
      </c>
      <c r="J163" s="32">
        <v>0</v>
      </c>
      <c r="K163" s="34">
        <v>0</v>
      </c>
      <c r="L163" s="39">
        <f>L43-L106</f>
        <v>0</v>
      </c>
      <c r="M163" s="32">
        <v>0</v>
      </c>
      <c r="N163" s="31" t="str">
        <f t="shared" si="254"/>
        <v>-</v>
      </c>
      <c r="O163" s="41">
        <f>O43-O106</f>
        <v>2074821.25</v>
      </c>
      <c r="P163" s="40">
        <f>P43-P106</f>
        <v>0</v>
      </c>
      <c r="Q163" s="32">
        <v>0</v>
      </c>
      <c r="R163" s="34">
        <v>0</v>
      </c>
      <c r="S163" s="39">
        <f>S43-S106</f>
        <v>12448927.5</v>
      </c>
      <c r="T163" s="39">
        <f>T43-T106</f>
        <v>0</v>
      </c>
      <c r="U163" s="32">
        <v>0</v>
      </c>
      <c r="V163" s="34">
        <v>0</v>
      </c>
      <c r="W163" s="39">
        <f>W43-W106</f>
        <v>0</v>
      </c>
      <c r="X163" s="32">
        <v>0</v>
      </c>
      <c r="Y163" s="31" t="str">
        <f t="shared" si="255"/>
        <v>-</v>
      </c>
      <c r="Z163" s="41">
        <f>Z43-Z106</f>
        <v>2074821.25</v>
      </c>
      <c r="AA163" s="40">
        <f>AA43-AA106</f>
        <v>0</v>
      </c>
      <c r="AB163" s="32">
        <v>0</v>
      </c>
      <c r="AC163" s="34">
        <v>0</v>
      </c>
      <c r="AD163" s="39">
        <f>AD43-AD106</f>
        <v>12448927.5</v>
      </c>
      <c r="AE163" s="39">
        <f>AE43-AE106</f>
        <v>0</v>
      </c>
      <c r="AF163" s="32">
        <v>0</v>
      </c>
      <c r="AG163" s="34">
        <v>0</v>
      </c>
      <c r="AH163" s="39">
        <f>AH43-AH106</f>
        <v>0</v>
      </c>
      <c r="AI163" s="32">
        <v>0</v>
      </c>
      <c r="AJ163" s="31" t="str">
        <f t="shared" si="256"/>
        <v>-</v>
      </c>
      <c r="AK163" s="41">
        <f>AK43-AK106</f>
        <v>2074821.25</v>
      </c>
      <c r="AL163" s="40">
        <f>AL43-AL106</f>
        <v>0</v>
      </c>
      <c r="AM163" s="32">
        <v>0</v>
      </c>
      <c r="AN163" s="34">
        <v>0</v>
      </c>
      <c r="AO163" s="39">
        <f>AO43-AO106</f>
        <v>12448927.5</v>
      </c>
      <c r="AP163" s="39">
        <f>AP43-AP106</f>
        <v>0</v>
      </c>
      <c r="AQ163" s="32">
        <v>0</v>
      </c>
      <c r="AR163" s="34">
        <v>0</v>
      </c>
      <c r="AS163" s="39">
        <f>AS43-AS106</f>
        <v>0</v>
      </c>
      <c r="AT163" s="32">
        <v>0</v>
      </c>
      <c r="AU163" s="31" t="str">
        <f t="shared" si="257"/>
        <v>-</v>
      </c>
      <c r="AV163" s="41">
        <f>AV43-AV106</f>
        <v>2074821.25</v>
      </c>
      <c r="AW163" s="40">
        <f>AW43-AW106</f>
        <v>0</v>
      </c>
      <c r="AX163" s="32">
        <v>0</v>
      </c>
      <c r="AY163" s="34">
        <v>0</v>
      </c>
      <c r="AZ163" s="39">
        <f>AZ43-AZ106</f>
        <v>12448927.5</v>
      </c>
      <c r="BA163" s="39">
        <f>BA43-BA106</f>
        <v>0</v>
      </c>
      <c r="BB163" s="32">
        <v>0</v>
      </c>
      <c r="BC163" s="34">
        <v>0</v>
      </c>
      <c r="BD163" s="39">
        <f>BD43-BD106</f>
        <v>0</v>
      </c>
      <c r="BE163" s="32">
        <v>0</v>
      </c>
      <c r="BF163" s="31" t="str">
        <f t="shared" si="258"/>
        <v>-</v>
      </c>
      <c r="BG163" s="41">
        <f>BG43-BG106</f>
        <v>2074821.25</v>
      </c>
      <c r="BH163" s="40">
        <f>BH43-BH106</f>
        <v>0</v>
      </c>
      <c r="BI163" s="32">
        <v>0</v>
      </c>
      <c r="BJ163" s="34">
        <v>0</v>
      </c>
      <c r="BK163" s="39">
        <f>BK43-BK106</f>
        <v>12448927.5</v>
      </c>
      <c r="BL163" s="39">
        <f>BL43-BL106</f>
        <v>0</v>
      </c>
      <c r="BM163" s="32">
        <v>0</v>
      </c>
      <c r="BN163" s="34">
        <v>0</v>
      </c>
      <c r="BO163" s="39">
        <f>BO43-BO106</f>
        <v>0</v>
      </c>
      <c r="BP163" s="32">
        <v>0</v>
      </c>
      <c r="BQ163" s="31" t="str">
        <f t="shared" si="259"/>
        <v>-</v>
      </c>
      <c r="BR163" s="41">
        <f>BR43-BR106</f>
        <v>2074821.25</v>
      </c>
      <c r="BS163" s="40">
        <f>BS43-BS106</f>
        <v>0</v>
      </c>
      <c r="BT163" s="32">
        <v>0</v>
      </c>
      <c r="BU163" s="34">
        <v>0</v>
      </c>
      <c r="BV163" s="39">
        <f>BV43-BV106</f>
        <v>12448927.5</v>
      </c>
      <c r="BW163" s="39">
        <f>BW43-BW106</f>
        <v>0</v>
      </c>
      <c r="BX163" s="32">
        <v>0</v>
      </c>
      <c r="BY163" s="34">
        <v>0</v>
      </c>
      <c r="BZ163" s="39">
        <f>BZ43-BZ106</f>
        <v>0</v>
      </c>
      <c r="CA163" s="32">
        <v>0</v>
      </c>
      <c r="CB163" s="31" t="str">
        <f t="shared" si="260"/>
        <v>-</v>
      </c>
      <c r="CC163" s="41">
        <f>CC43-CC106</f>
        <v>2074821.25</v>
      </c>
      <c r="CD163" s="40">
        <f>CD43-CD106</f>
        <v>0</v>
      </c>
      <c r="CE163" s="32">
        <v>0</v>
      </c>
      <c r="CF163" s="34">
        <v>0</v>
      </c>
      <c r="CG163" s="39">
        <f>CG43-CG106</f>
        <v>12448927.5</v>
      </c>
      <c r="CH163" s="39">
        <f>CH43-CH106</f>
        <v>0</v>
      </c>
      <c r="CI163" s="32">
        <v>0</v>
      </c>
      <c r="CJ163" s="34">
        <v>0</v>
      </c>
      <c r="CK163" s="39">
        <f>CK43-CK106</f>
        <v>0</v>
      </c>
      <c r="CL163" s="32">
        <v>0</v>
      </c>
      <c r="CM163" s="31" t="str">
        <f t="shared" si="261"/>
        <v>-</v>
      </c>
      <c r="CN163" s="41">
        <f>CN43-CN106</f>
        <v>2074821.25</v>
      </c>
      <c r="CO163" s="40">
        <f>CO43-CO106</f>
        <v>0</v>
      </c>
      <c r="CP163" s="32">
        <v>0</v>
      </c>
      <c r="CQ163" s="34">
        <v>0</v>
      </c>
      <c r="CR163" s="39">
        <f>CR43-CR106</f>
        <v>12448927.5</v>
      </c>
      <c r="CS163" s="39">
        <f>CS43-CS106</f>
        <v>0</v>
      </c>
      <c r="CT163" s="32">
        <v>0</v>
      </c>
      <c r="CU163" s="34">
        <v>0</v>
      </c>
      <c r="CV163" s="39">
        <f>CV43-CV106</f>
        <v>0</v>
      </c>
      <c r="CW163" s="32">
        <v>0</v>
      </c>
      <c r="CX163" s="31" t="str">
        <f t="shared" si="262"/>
        <v>-</v>
      </c>
      <c r="CY163" s="41">
        <f>CY43-CY106</f>
        <v>2074821.25</v>
      </c>
      <c r="CZ163" s="40">
        <f>CZ43-CZ106</f>
        <v>0</v>
      </c>
      <c r="DA163" s="32">
        <v>0</v>
      </c>
      <c r="DB163" s="34">
        <v>0</v>
      </c>
      <c r="DC163" s="39">
        <f>DC43-DC106</f>
        <v>12448927.5</v>
      </c>
      <c r="DD163" s="39">
        <f>DD43-DD106</f>
        <v>0</v>
      </c>
      <c r="DE163" s="32">
        <v>0</v>
      </c>
      <c r="DF163" s="34">
        <v>0</v>
      </c>
      <c r="DG163" s="39">
        <f>DG43-DG106</f>
        <v>0</v>
      </c>
      <c r="DH163" s="32">
        <v>0</v>
      </c>
      <c r="DI163" s="31" t="str">
        <f t="shared" si="263"/>
        <v>-</v>
      </c>
    </row>
    <row r="164" spans="1:113" s="6" customFormat="1" hidden="1" outlineLevel="2" collapsed="1" x14ac:dyDescent="0.2">
      <c r="A164" s="30"/>
      <c r="B164" s="29" t="str">
        <f t="shared" si="264"/>
        <v>Итого резерв квартальной премии</v>
      </c>
      <c r="C164" s="42" t="str">
        <f t="shared" si="264"/>
        <v>Total Accruals for Quarterly bonus</v>
      </c>
      <c r="D164" s="27">
        <f>SUM(D162:D163)</f>
        <v>13290071.25</v>
      </c>
      <c r="E164" s="26">
        <f>SUM(E162:E163)</f>
        <v>0</v>
      </c>
      <c r="F164" s="23">
        <v>0</v>
      </c>
      <c r="G164" s="25">
        <v>0</v>
      </c>
      <c r="H164" s="24">
        <f>SUM(H162:H163)</f>
        <v>79740427.5</v>
      </c>
      <c r="I164" s="24">
        <f>SUM(I162:I163)</f>
        <v>0</v>
      </c>
      <c r="J164" s="23">
        <v>0</v>
      </c>
      <c r="K164" s="25">
        <v>0</v>
      </c>
      <c r="L164" s="24">
        <f>SUM(L162:L163)</f>
        <v>0</v>
      </c>
      <c r="M164" s="23">
        <v>0</v>
      </c>
      <c r="N164" s="22" t="str">
        <f t="shared" si="254"/>
        <v>-</v>
      </c>
      <c r="O164" s="27">
        <f>SUM(O162:O163)</f>
        <v>13290071.25</v>
      </c>
      <c r="P164" s="26">
        <f>SUM(P162:P163)</f>
        <v>0</v>
      </c>
      <c r="Q164" s="23">
        <v>0</v>
      </c>
      <c r="R164" s="25">
        <v>0</v>
      </c>
      <c r="S164" s="24">
        <f>SUM(S162:S163)</f>
        <v>79740427.5</v>
      </c>
      <c r="T164" s="24">
        <f>SUM(T162:T163)</f>
        <v>0</v>
      </c>
      <c r="U164" s="23">
        <v>0</v>
      </c>
      <c r="V164" s="25">
        <v>0</v>
      </c>
      <c r="W164" s="24">
        <f>SUM(W162:W163)</f>
        <v>0</v>
      </c>
      <c r="X164" s="23">
        <v>0</v>
      </c>
      <c r="Y164" s="22" t="str">
        <f t="shared" si="255"/>
        <v>-</v>
      </c>
      <c r="Z164" s="27">
        <f>SUM(Z162:Z163)</f>
        <v>13290071.25</v>
      </c>
      <c r="AA164" s="26">
        <f>SUM(AA162:AA163)</f>
        <v>0</v>
      </c>
      <c r="AB164" s="23">
        <v>0</v>
      </c>
      <c r="AC164" s="25">
        <v>0</v>
      </c>
      <c r="AD164" s="24">
        <f>SUM(AD162:AD163)</f>
        <v>79740427.5</v>
      </c>
      <c r="AE164" s="24">
        <f>SUM(AE162:AE163)</f>
        <v>0</v>
      </c>
      <c r="AF164" s="23">
        <v>0</v>
      </c>
      <c r="AG164" s="25">
        <v>0</v>
      </c>
      <c r="AH164" s="24">
        <f>SUM(AH162:AH163)</f>
        <v>0</v>
      </c>
      <c r="AI164" s="23">
        <v>0</v>
      </c>
      <c r="AJ164" s="22" t="str">
        <f t="shared" si="256"/>
        <v>-</v>
      </c>
      <c r="AK164" s="27">
        <f>SUM(AK162:AK163)</f>
        <v>13290071.25</v>
      </c>
      <c r="AL164" s="26">
        <f>SUM(AL162:AL163)</f>
        <v>0</v>
      </c>
      <c r="AM164" s="23">
        <v>0</v>
      </c>
      <c r="AN164" s="25">
        <v>0</v>
      </c>
      <c r="AO164" s="24">
        <f>SUM(AO162:AO163)</f>
        <v>79740427.5</v>
      </c>
      <c r="AP164" s="24">
        <f>SUM(AP162:AP163)</f>
        <v>0</v>
      </c>
      <c r="AQ164" s="23">
        <v>0</v>
      </c>
      <c r="AR164" s="25">
        <v>0</v>
      </c>
      <c r="AS164" s="24">
        <f>SUM(AS162:AS163)</f>
        <v>0</v>
      </c>
      <c r="AT164" s="23">
        <v>0</v>
      </c>
      <c r="AU164" s="22" t="str">
        <f t="shared" si="257"/>
        <v>-</v>
      </c>
      <c r="AV164" s="27">
        <f>SUM(AV162:AV163)</f>
        <v>13290071.25</v>
      </c>
      <c r="AW164" s="26">
        <f>SUM(AW162:AW163)</f>
        <v>0</v>
      </c>
      <c r="AX164" s="23">
        <v>0</v>
      </c>
      <c r="AY164" s="25">
        <v>0</v>
      </c>
      <c r="AZ164" s="24">
        <f>SUM(AZ162:AZ163)</f>
        <v>79740427.5</v>
      </c>
      <c r="BA164" s="24">
        <f>SUM(BA162:BA163)</f>
        <v>0</v>
      </c>
      <c r="BB164" s="23">
        <v>0</v>
      </c>
      <c r="BC164" s="25">
        <v>0</v>
      </c>
      <c r="BD164" s="24">
        <f>SUM(BD162:BD163)</f>
        <v>0</v>
      </c>
      <c r="BE164" s="23">
        <v>0</v>
      </c>
      <c r="BF164" s="22" t="str">
        <f t="shared" si="258"/>
        <v>-</v>
      </c>
      <c r="BG164" s="27">
        <f>SUM(BG162:BG163)</f>
        <v>13290071.25</v>
      </c>
      <c r="BH164" s="26">
        <f>SUM(BH162:BH163)</f>
        <v>0</v>
      </c>
      <c r="BI164" s="23">
        <v>0</v>
      </c>
      <c r="BJ164" s="25">
        <v>0</v>
      </c>
      <c r="BK164" s="24">
        <f>SUM(BK162:BK163)</f>
        <v>79740427.5</v>
      </c>
      <c r="BL164" s="24">
        <f>SUM(BL162:BL163)</f>
        <v>0</v>
      </c>
      <c r="BM164" s="23">
        <v>0</v>
      </c>
      <c r="BN164" s="25">
        <v>0</v>
      </c>
      <c r="BO164" s="24">
        <f>SUM(BO162:BO163)</f>
        <v>0</v>
      </c>
      <c r="BP164" s="23">
        <v>0</v>
      </c>
      <c r="BQ164" s="22" t="str">
        <f t="shared" si="259"/>
        <v>-</v>
      </c>
      <c r="BR164" s="27">
        <f>SUM(BR162:BR163)</f>
        <v>13290071.25</v>
      </c>
      <c r="BS164" s="26">
        <f>SUM(BS162:BS163)</f>
        <v>0</v>
      </c>
      <c r="BT164" s="23">
        <v>0</v>
      </c>
      <c r="BU164" s="25">
        <v>0</v>
      </c>
      <c r="BV164" s="24">
        <f>SUM(BV162:BV163)</f>
        <v>79740427.5</v>
      </c>
      <c r="BW164" s="24">
        <f>SUM(BW162:BW163)</f>
        <v>0</v>
      </c>
      <c r="BX164" s="23">
        <v>0</v>
      </c>
      <c r="BY164" s="25">
        <v>0</v>
      </c>
      <c r="BZ164" s="24">
        <f>SUM(BZ162:BZ163)</f>
        <v>0</v>
      </c>
      <c r="CA164" s="23">
        <v>0</v>
      </c>
      <c r="CB164" s="22" t="str">
        <f t="shared" si="260"/>
        <v>-</v>
      </c>
      <c r="CC164" s="27">
        <f>SUM(CC162:CC163)</f>
        <v>13290071.25</v>
      </c>
      <c r="CD164" s="26">
        <f>SUM(CD162:CD163)</f>
        <v>0</v>
      </c>
      <c r="CE164" s="23">
        <v>0</v>
      </c>
      <c r="CF164" s="25">
        <v>0</v>
      </c>
      <c r="CG164" s="24">
        <f>SUM(CG162:CG163)</f>
        <v>79740427.5</v>
      </c>
      <c r="CH164" s="24">
        <f>SUM(CH162:CH163)</f>
        <v>0</v>
      </c>
      <c r="CI164" s="23">
        <v>0</v>
      </c>
      <c r="CJ164" s="25">
        <v>0</v>
      </c>
      <c r="CK164" s="24">
        <f>SUM(CK162:CK163)</f>
        <v>0</v>
      </c>
      <c r="CL164" s="23">
        <v>0</v>
      </c>
      <c r="CM164" s="22" t="str">
        <f t="shared" si="261"/>
        <v>-</v>
      </c>
      <c r="CN164" s="27">
        <f>SUM(CN162:CN163)</f>
        <v>13290071.25</v>
      </c>
      <c r="CO164" s="26">
        <f>SUM(CO162:CO163)</f>
        <v>0</v>
      </c>
      <c r="CP164" s="23">
        <v>0</v>
      </c>
      <c r="CQ164" s="25">
        <v>0</v>
      </c>
      <c r="CR164" s="24">
        <f>SUM(CR162:CR163)</f>
        <v>79740427.5</v>
      </c>
      <c r="CS164" s="24">
        <f>SUM(CS162:CS163)</f>
        <v>0</v>
      </c>
      <c r="CT164" s="23">
        <v>0</v>
      </c>
      <c r="CU164" s="25">
        <v>0</v>
      </c>
      <c r="CV164" s="24">
        <f>SUM(CV162:CV163)</f>
        <v>0</v>
      </c>
      <c r="CW164" s="23">
        <v>0</v>
      </c>
      <c r="CX164" s="22" t="str">
        <f t="shared" si="262"/>
        <v>-</v>
      </c>
      <c r="CY164" s="27">
        <f>SUM(CY162:CY163)</f>
        <v>13290071.25</v>
      </c>
      <c r="CZ164" s="26">
        <f>SUM(CZ162:CZ163)</f>
        <v>0</v>
      </c>
      <c r="DA164" s="23">
        <v>0</v>
      </c>
      <c r="DB164" s="25">
        <v>0</v>
      </c>
      <c r="DC164" s="24">
        <f>SUM(DC162:DC163)</f>
        <v>79740427.5</v>
      </c>
      <c r="DD164" s="24">
        <f>SUM(DD162:DD163)</f>
        <v>0</v>
      </c>
      <c r="DE164" s="23">
        <v>0</v>
      </c>
      <c r="DF164" s="25">
        <v>0</v>
      </c>
      <c r="DG164" s="24">
        <f>SUM(DG162:DG163)</f>
        <v>0</v>
      </c>
      <c r="DH164" s="23">
        <v>0</v>
      </c>
      <c r="DI164" s="22" t="str">
        <f t="shared" si="263"/>
        <v>-</v>
      </c>
    </row>
    <row r="165" spans="1:113" ht="12.75" hidden="1" customHeight="1" outlineLevel="3" x14ac:dyDescent="0.2">
      <c r="B165" s="38" t="str">
        <f t="shared" si="264"/>
        <v>Сторно резерва квартальной премии</v>
      </c>
      <c r="C165" s="37" t="str">
        <f t="shared" si="264"/>
        <v>Reverse Accruals for Quarterly bonus</v>
      </c>
      <c r="D165" s="41">
        <f>D45-D108</f>
        <v>0</v>
      </c>
      <c r="E165" s="40">
        <f>E45-E108</f>
        <v>0</v>
      </c>
      <c r="F165" s="32">
        <v>0</v>
      </c>
      <c r="G165" s="34">
        <v>0</v>
      </c>
      <c r="H165" s="39">
        <f>H45-H108</f>
        <v>-33645750</v>
      </c>
      <c r="I165" s="39">
        <f>I45-I108</f>
        <v>0</v>
      </c>
      <c r="J165" s="32">
        <v>0</v>
      </c>
      <c r="K165" s="34">
        <v>0</v>
      </c>
      <c r="L165" s="39">
        <f>L45-L108</f>
        <v>0</v>
      </c>
      <c r="M165" s="32">
        <v>0</v>
      </c>
      <c r="N165" s="31" t="str">
        <f t="shared" si="254"/>
        <v>-</v>
      </c>
      <c r="O165" s="41">
        <f>O45-O108</f>
        <v>0</v>
      </c>
      <c r="P165" s="40">
        <f>P45-P108</f>
        <v>0</v>
      </c>
      <c r="Q165" s="32">
        <v>0</v>
      </c>
      <c r="R165" s="34">
        <v>0</v>
      </c>
      <c r="S165" s="39">
        <f>S45-S108</f>
        <v>-33645750</v>
      </c>
      <c r="T165" s="39">
        <f>T45-T108</f>
        <v>0</v>
      </c>
      <c r="U165" s="32">
        <v>0</v>
      </c>
      <c r="V165" s="34">
        <v>0</v>
      </c>
      <c r="W165" s="39">
        <f>W45-W108</f>
        <v>0</v>
      </c>
      <c r="X165" s="32">
        <v>0</v>
      </c>
      <c r="Y165" s="31" t="str">
        <f t="shared" si="255"/>
        <v>-</v>
      </c>
      <c r="Z165" s="41">
        <f>Z45-Z108</f>
        <v>0</v>
      </c>
      <c r="AA165" s="40">
        <f>AA45-AA108</f>
        <v>0</v>
      </c>
      <c r="AB165" s="32">
        <v>0</v>
      </c>
      <c r="AC165" s="34">
        <v>0</v>
      </c>
      <c r="AD165" s="39">
        <f>AD45-AD108</f>
        <v>-33645750</v>
      </c>
      <c r="AE165" s="39">
        <f>AE45-AE108</f>
        <v>0</v>
      </c>
      <c r="AF165" s="32">
        <v>0</v>
      </c>
      <c r="AG165" s="34">
        <v>0</v>
      </c>
      <c r="AH165" s="39">
        <f>AH45-AH108</f>
        <v>0</v>
      </c>
      <c r="AI165" s="32">
        <v>0</v>
      </c>
      <c r="AJ165" s="31" t="str">
        <f t="shared" si="256"/>
        <v>-</v>
      </c>
      <c r="AK165" s="41">
        <f>AK45-AK108</f>
        <v>0</v>
      </c>
      <c r="AL165" s="40">
        <f>AL45-AL108</f>
        <v>0</v>
      </c>
      <c r="AM165" s="32">
        <v>0</v>
      </c>
      <c r="AN165" s="34">
        <v>0</v>
      </c>
      <c r="AO165" s="39">
        <f>AO45-AO108</f>
        <v>-33645750</v>
      </c>
      <c r="AP165" s="39">
        <f>AP45-AP108</f>
        <v>0</v>
      </c>
      <c r="AQ165" s="32">
        <v>0</v>
      </c>
      <c r="AR165" s="34">
        <v>0</v>
      </c>
      <c r="AS165" s="39">
        <f>AS45-AS108</f>
        <v>0</v>
      </c>
      <c r="AT165" s="32">
        <v>0</v>
      </c>
      <c r="AU165" s="31" t="str">
        <f t="shared" si="257"/>
        <v>-</v>
      </c>
      <c r="AV165" s="41">
        <f>AV45-AV108</f>
        <v>0</v>
      </c>
      <c r="AW165" s="40">
        <f>AW45-AW108</f>
        <v>0</v>
      </c>
      <c r="AX165" s="32">
        <v>0</v>
      </c>
      <c r="AY165" s="34">
        <v>0</v>
      </c>
      <c r="AZ165" s="39">
        <f>AZ45-AZ108</f>
        <v>-33645750</v>
      </c>
      <c r="BA165" s="39">
        <f>BA45-BA108</f>
        <v>0</v>
      </c>
      <c r="BB165" s="32">
        <v>0</v>
      </c>
      <c r="BC165" s="34">
        <v>0</v>
      </c>
      <c r="BD165" s="39">
        <f>BD45-BD108</f>
        <v>0</v>
      </c>
      <c r="BE165" s="32">
        <v>0</v>
      </c>
      <c r="BF165" s="31" t="str">
        <f t="shared" si="258"/>
        <v>-</v>
      </c>
      <c r="BG165" s="41">
        <f>BG45-BG108</f>
        <v>0</v>
      </c>
      <c r="BH165" s="40">
        <f>BH45-BH108</f>
        <v>0</v>
      </c>
      <c r="BI165" s="32">
        <v>0</v>
      </c>
      <c r="BJ165" s="34">
        <v>0</v>
      </c>
      <c r="BK165" s="39">
        <f>BK45-BK108</f>
        <v>-33645750</v>
      </c>
      <c r="BL165" s="39">
        <f>BL45-BL108</f>
        <v>0</v>
      </c>
      <c r="BM165" s="32">
        <v>0</v>
      </c>
      <c r="BN165" s="34">
        <v>0</v>
      </c>
      <c r="BO165" s="39">
        <f>BO45-BO108</f>
        <v>0</v>
      </c>
      <c r="BP165" s="32">
        <v>0</v>
      </c>
      <c r="BQ165" s="31" t="str">
        <f t="shared" si="259"/>
        <v>-</v>
      </c>
      <c r="BR165" s="41">
        <f>BR45-BR108</f>
        <v>0</v>
      </c>
      <c r="BS165" s="40">
        <f>BS45-BS108</f>
        <v>0</v>
      </c>
      <c r="BT165" s="32">
        <v>0</v>
      </c>
      <c r="BU165" s="34">
        <v>0</v>
      </c>
      <c r="BV165" s="39">
        <f>BV45-BV108</f>
        <v>-33645750</v>
      </c>
      <c r="BW165" s="39">
        <f>BW45-BW108</f>
        <v>0</v>
      </c>
      <c r="BX165" s="32">
        <v>0</v>
      </c>
      <c r="BY165" s="34">
        <v>0</v>
      </c>
      <c r="BZ165" s="39">
        <f>BZ45-BZ108</f>
        <v>0</v>
      </c>
      <c r="CA165" s="32">
        <v>0</v>
      </c>
      <c r="CB165" s="31" t="str">
        <f t="shared" si="260"/>
        <v>-</v>
      </c>
      <c r="CC165" s="41">
        <f>CC45-CC108</f>
        <v>0</v>
      </c>
      <c r="CD165" s="40">
        <f>CD45-CD108</f>
        <v>0</v>
      </c>
      <c r="CE165" s="32">
        <v>0</v>
      </c>
      <c r="CF165" s="34">
        <v>0</v>
      </c>
      <c r="CG165" s="39">
        <f>CG45-CG108</f>
        <v>-33645750</v>
      </c>
      <c r="CH165" s="39">
        <f>CH45-CH108</f>
        <v>0</v>
      </c>
      <c r="CI165" s="32">
        <v>0</v>
      </c>
      <c r="CJ165" s="34">
        <v>0</v>
      </c>
      <c r="CK165" s="39">
        <f>CK45-CK108</f>
        <v>0</v>
      </c>
      <c r="CL165" s="32">
        <v>0</v>
      </c>
      <c r="CM165" s="31" t="str">
        <f t="shared" si="261"/>
        <v>-</v>
      </c>
      <c r="CN165" s="41">
        <f>CN45-CN108</f>
        <v>0</v>
      </c>
      <c r="CO165" s="40">
        <f>CO45-CO108</f>
        <v>0</v>
      </c>
      <c r="CP165" s="32">
        <v>0</v>
      </c>
      <c r="CQ165" s="34">
        <v>0</v>
      </c>
      <c r="CR165" s="39">
        <f>CR45-CR108</f>
        <v>-33645750</v>
      </c>
      <c r="CS165" s="39">
        <f>CS45-CS108</f>
        <v>0</v>
      </c>
      <c r="CT165" s="32">
        <v>0</v>
      </c>
      <c r="CU165" s="34">
        <v>0</v>
      </c>
      <c r="CV165" s="39">
        <f>CV45-CV108</f>
        <v>0</v>
      </c>
      <c r="CW165" s="32">
        <v>0</v>
      </c>
      <c r="CX165" s="31" t="str">
        <f t="shared" si="262"/>
        <v>-</v>
      </c>
      <c r="CY165" s="41">
        <f>CY45-CY108</f>
        <v>0</v>
      </c>
      <c r="CZ165" s="40">
        <f>CZ45-CZ108</f>
        <v>0</v>
      </c>
      <c r="DA165" s="32">
        <v>0</v>
      </c>
      <c r="DB165" s="34">
        <v>0</v>
      </c>
      <c r="DC165" s="39">
        <f>DC45-DC108</f>
        <v>-33645750</v>
      </c>
      <c r="DD165" s="39">
        <f>DD45-DD108</f>
        <v>0</v>
      </c>
      <c r="DE165" s="32">
        <v>0</v>
      </c>
      <c r="DF165" s="34">
        <v>0</v>
      </c>
      <c r="DG165" s="39">
        <f>DG45-DG108</f>
        <v>0</v>
      </c>
      <c r="DH165" s="32">
        <v>0</v>
      </c>
      <c r="DI165" s="31" t="str">
        <f t="shared" si="263"/>
        <v>-</v>
      </c>
    </row>
    <row r="166" spans="1:113" ht="12.75" hidden="1" customHeight="1" outlineLevel="3" x14ac:dyDescent="0.2">
      <c r="B166" s="38" t="str">
        <f t="shared" si="264"/>
        <v>Страховые взносы, сторно резерва квартальной премии</v>
      </c>
      <c r="C166" s="37" t="str">
        <f t="shared" si="264"/>
        <v>Social Security on Reverse Accruals for Quarterly bonus</v>
      </c>
      <c r="D166" s="41">
        <f>D46-D109</f>
        <v>0</v>
      </c>
      <c r="E166" s="40">
        <f>E46-E109</f>
        <v>0</v>
      </c>
      <c r="F166" s="32">
        <v>0</v>
      </c>
      <c r="G166" s="34">
        <v>0</v>
      </c>
      <c r="H166" s="39">
        <f>H46-H109</f>
        <v>-6224463.75</v>
      </c>
      <c r="I166" s="39">
        <f>I46-I109</f>
        <v>0</v>
      </c>
      <c r="J166" s="32">
        <v>0</v>
      </c>
      <c r="K166" s="34">
        <v>0</v>
      </c>
      <c r="L166" s="39">
        <f>L46-L109</f>
        <v>0</v>
      </c>
      <c r="M166" s="32">
        <v>0</v>
      </c>
      <c r="N166" s="31" t="str">
        <f t="shared" si="254"/>
        <v>-</v>
      </c>
      <c r="O166" s="41">
        <f>O46-O109</f>
        <v>0</v>
      </c>
      <c r="P166" s="40">
        <f>P46-P109</f>
        <v>0</v>
      </c>
      <c r="Q166" s="32">
        <v>0</v>
      </c>
      <c r="R166" s="34">
        <v>0</v>
      </c>
      <c r="S166" s="39">
        <f>S46-S109</f>
        <v>-6224463.75</v>
      </c>
      <c r="T166" s="39">
        <f>T46-T109</f>
        <v>0</v>
      </c>
      <c r="U166" s="32">
        <v>0</v>
      </c>
      <c r="V166" s="34">
        <v>0</v>
      </c>
      <c r="W166" s="39">
        <f>W46-W109</f>
        <v>0</v>
      </c>
      <c r="X166" s="32">
        <v>0</v>
      </c>
      <c r="Y166" s="31" t="str">
        <f t="shared" si="255"/>
        <v>-</v>
      </c>
      <c r="Z166" s="41">
        <f>Z46-Z109</f>
        <v>0</v>
      </c>
      <c r="AA166" s="40">
        <f>AA46-AA109</f>
        <v>0</v>
      </c>
      <c r="AB166" s="32">
        <v>0</v>
      </c>
      <c r="AC166" s="34">
        <v>0</v>
      </c>
      <c r="AD166" s="39">
        <f>AD46-AD109</f>
        <v>-6224463.75</v>
      </c>
      <c r="AE166" s="39">
        <f>AE46-AE109</f>
        <v>0</v>
      </c>
      <c r="AF166" s="32">
        <v>0</v>
      </c>
      <c r="AG166" s="34">
        <v>0</v>
      </c>
      <c r="AH166" s="39">
        <f>AH46-AH109</f>
        <v>0</v>
      </c>
      <c r="AI166" s="32">
        <v>0</v>
      </c>
      <c r="AJ166" s="31" t="str">
        <f t="shared" si="256"/>
        <v>-</v>
      </c>
      <c r="AK166" s="41">
        <f>AK46-AK109</f>
        <v>0</v>
      </c>
      <c r="AL166" s="40">
        <f>AL46-AL109</f>
        <v>0</v>
      </c>
      <c r="AM166" s="32">
        <v>0</v>
      </c>
      <c r="AN166" s="34">
        <v>0</v>
      </c>
      <c r="AO166" s="39">
        <f>AO46-AO109</f>
        <v>-6224463.75</v>
      </c>
      <c r="AP166" s="39">
        <f>AP46-AP109</f>
        <v>0</v>
      </c>
      <c r="AQ166" s="32">
        <v>0</v>
      </c>
      <c r="AR166" s="34">
        <v>0</v>
      </c>
      <c r="AS166" s="39">
        <f>AS46-AS109</f>
        <v>0</v>
      </c>
      <c r="AT166" s="32">
        <v>0</v>
      </c>
      <c r="AU166" s="31" t="str">
        <f t="shared" si="257"/>
        <v>-</v>
      </c>
      <c r="AV166" s="41">
        <f>AV46-AV109</f>
        <v>0</v>
      </c>
      <c r="AW166" s="40">
        <f>AW46-AW109</f>
        <v>0</v>
      </c>
      <c r="AX166" s="32">
        <v>0</v>
      </c>
      <c r="AY166" s="34">
        <v>0</v>
      </c>
      <c r="AZ166" s="39">
        <f>AZ46-AZ109</f>
        <v>-6224463.75</v>
      </c>
      <c r="BA166" s="39">
        <f>BA46-BA109</f>
        <v>0</v>
      </c>
      <c r="BB166" s="32">
        <v>0</v>
      </c>
      <c r="BC166" s="34">
        <v>0</v>
      </c>
      <c r="BD166" s="39">
        <f>BD46-BD109</f>
        <v>0</v>
      </c>
      <c r="BE166" s="32">
        <v>0</v>
      </c>
      <c r="BF166" s="31" t="str">
        <f t="shared" si="258"/>
        <v>-</v>
      </c>
      <c r="BG166" s="41">
        <f>BG46-BG109</f>
        <v>0</v>
      </c>
      <c r="BH166" s="40">
        <f>BH46-BH109</f>
        <v>0</v>
      </c>
      <c r="BI166" s="32">
        <v>0</v>
      </c>
      <c r="BJ166" s="34">
        <v>0</v>
      </c>
      <c r="BK166" s="39">
        <f>BK46-BK109</f>
        <v>-6224463.75</v>
      </c>
      <c r="BL166" s="39">
        <f>BL46-BL109</f>
        <v>0</v>
      </c>
      <c r="BM166" s="32">
        <v>0</v>
      </c>
      <c r="BN166" s="34">
        <v>0</v>
      </c>
      <c r="BO166" s="39">
        <f>BO46-BO109</f>
        <v>0</v>
      </c>
      <c r="BP166" s="32">
        <v>0</v>
      </c>
      <c r="BQ166" s="31" t="str">
        <f t="shared" si="259"/>
        <v>-</v>
      </c>
      <c r="BR166" s="41">
        <f>BR46-BR109</f>
        <v>0</v>
      </c>
      <c r="BS166" s="40">
        <f>BS46-BS109</f>
        <v>0</v>
      </c>
      <c r="BT166" s="32">
        <v>0</v>
      </c>
      <c r="BU166" s="34">
        <v>0</v>
      </c>
      <c r="BV166" s="39">
        <f>BV46-BV109</f>
        <v>-6224463.75</v>
      </c>
      <c r="BW166" s="39">
        <f>BW46-BW109</f>
        <v>0</v>
      </c>
      <c r="BX166" s="32">
        <v>0</v>
      </c>
      <c r="BY166" s="34">
        <v>0</v>
      </c>
      <c r="BZ166" s="39">
        <f>BZ46-BZ109</f>
        <v>0</v>
      </c>
      <c r="CA166" s="32">
        <v>0</v>
      </c>
      <c r="CB166" s="31" t="str">
        <f t="shared" si="260"/>
        <v>-</v>
      </c>
      <c r="CC166" s="41">
        <f>CC46-CC109</f>
        <v>0</v>
      </c>
      <c r="CD166" s="40">
        <f>CD46-CD109</f>
        <v>0</v>
      </c>
      <c r="CE166" s="32">
        <v>0</v>
      </c>
      <c r="CF166" s="34">
        <v>0</v>
      </c>
      <c r="CG166" s="39">
        <f>CG46-CG109</f>
        <v>-6224463.75</v>
      </c>
      <c r="CH166" s="39">
        <f>CH46-CH109</f>
        <v>0</v>
      </c>
      <c r="CI166" s="32">
        <v>0</v>
      </c>
      <c r="CJ166" s="34">
        <v>0</v>
      </c>
      <c r="CK166" s="39">
        <f>CK46-CK109</f>
        <v>0</v>
      </c>
      <c r="CL166" s="32">
        <v>0</v>
      </c>
      <c r="CM166" s="31" t="str">
        <f t="shared" si="261"/>
        <v>-</v>
      </c>
      <c r="CN166" s="41">
        <f>CN46-CN109</f>
        <v>0</v>
      </c>
      <c r="CO166" s="40">
        <f>CO46-CO109</f>
        <v>0</v>
      </c>
      <c r="CP166" s="32">
        <v>0</v>
      </c>
      <c r="CQ166" s="34">
        <v>0</v>
      </c>
      <c r="CR166" s="39">
        <f>CR46-CR109</f>
        <v>-6224463.75</v>
      </c>
      <c r="CS166" s="39">
        <f>CS46-CS109</f>
        <v>0</v>
      </c>
      <c r="CT166" s="32">
        <v>0</v>
      </c>
      <c r="CU166" s="34">
        <v>0</v>
      </c>
      <c r="CV166" s="39">
        <f>CV46-CV109</f>
        <v>0</v>
      </c>
      <c r="CW166" s="32">
        <v>0</v>
      </c>
      <c r="CX166" s="31" t="str">
        <f t="shared" si="262"/>
        <v>-</v>
      </c>
      <c r="CY166" s="41">
        <f>CY46-CY109</f>
        <v>0</v>
      </c>
      <c r="CZ166" s="40">
        <f>CZ46-CZ109</f>
        <v>0</v>
      </c>
      <c r="DA166" s="32">
        <v>0</v>
      </c>
      <c r="DB166" s="34">
        <v>0</v>
      </c>
      <c r="DC166" s="39">
        <f>DC46-DC109</f>
        <v>-6224463.75</v>
      </c>
      <c r="DD166" s="39">
        <f>DD46-DD109</f>
        <v>0</v>
      </c>
      <c r="DE166" s="32">
        <v>0</v>
      </c>
      <c r="DF166" s="34">
        <v>0</v>
      </c>
      <c r="DG166" s="39">
        <f>DG46-DG109</f>
        <v>0</v>
      </c>
      <c r="DH166" s="32">
        <v>0</v>
      </c>
      <c r="DI166" s="31" t="str">
        <f t="shared" si="263"/>
        <v>-</v>
      </c>
    </row>
    <row r="167" spans="1:113" s="6" customFormat="1" hidden="1" outlineLevel="2" collapsed="1" x14ac:dyDescent="0.2">
      <c r="A167" s="30"/>
      <c r="B167" s="29" t="str">
        <f t="shared" si="264"/>
        <v>Итого сторно резерва квартальной премии</v>
      </c>
      <c r="C167" s="42" t="str">
        <f t="shared" si="264"/>
        <v>Total Reverse Accruals for Quarterly bonus</v>
      </c>
      <c r="D167" s="27">
        <f>SUM(D165:D166)</f>
        <v>0</v>
      </c>
      <c r="E167" s="26">
        <f>SUM(E165:E166)</f>
        <v>0</v>
      </c>
      <c r="F167" s="23">
        <v>0</v>
      </c>
      <c r="G167" s="25">
        <v>0</v>
      </c>
      <c r="H167" s="24">
        <f>SUM(H165:H166)</f>
        <v>-39870213.75</v>
      </c>
      <c r="I167" s="24">
        <f>SUM(I165:I166)</f>
        <v>0</v>
      </c>
      <c r="J167" s="23">
        <v>0</v>
      </c>
      <c r="K167" s="25">
        <v>0</v>
      </c>
      <c r="L167" s="24">
        <f>SUM(L165:L166)</f>
        <v>0</v>
      </c>
      <c r="M167" s="23">
        <v>0</v>
      </c>
      <c r="N167" s="22" t="str">
        <f t="shared" si="254"/>
        <v>-</v>
      </c>
      <c r="O167" s="27">
        <f>SUM(O165:O166)</f>
        <v>0</v>
      </c>
      <c r="P167" s="26">
        <f>SUM(P165:P166)</f>
        <v>0</v>
      </c>
      <c r="Q167" s="23">
        <v>0</v>
      </c>
      <c r="R167" s="25">
        <v>0</v>
      </c>
      <c r="S167" s="24">
        <f>SUM(S165:S166)</f>
        <v>-39870213.75</v>
      </c>
      <c r="T167" s="24">
        <f>SUM(T165:T166)</f>
        <v>0</v>
      </c>
      <c r="U167" s="23">
        <v>0</v>
      </c>
      <c r="V167" s="25">
        <v>0</v>
      </c>
      <c r="W167" s="24">
        <f>SUM(W165:W166)</f>
        <v>0</v>
      </c>
      <c r="X167" s="23">
        <v>0</v>
      </c>
      <c r="Y167" s="22" t="str">
        <f t="shared" si="255"/>
        <v>-</v>
      </c>
      <c r="Z167" s="27">
        <f>SUM(Z165:Z166)</f>
        <v>0</v>
      </c>
      <c r="AA167" s="26">
        <f>SUM(AA165:AA166)</f>
        <v>0</v>
      </c>
      <c r="AB167" s="23">
        <v>0</v>
      </c>
      <c r="AC167" s="25">
        <v>0</v>
      </c>
      <c r="AD167" s="24">
        <f>SUM(AD165:AD166)</f>
        <v>-39870213.75</v>
      </c>
      <c r="AE167" s="24">
        <f>SUM(AE165:AE166)</f>
        <v>0</v>
      </c>
      <c r="AF167" s="23">
        <v>0</v>
      </c>
      <c r="AG167" s="25">
        <v>0</v>
      </c>
      <c r="AH167" s="24">
        <f>SUM(AH165:AH166)</f>
        <v>0</v>
      </c>
      <c r="AI167" s="23">
        <v>0</v>
      </c>
      <c r="AJ167" s="22" t="str">
        <f t="shared" si="256"/>
        <v>-</v>
      </c>
      <c r="AK167" s="27">
        <f>SUM(AK165:AK166)</f>
        <v>0</v>
      </c>
      <c r="AL167" s="26">
        <f>SUM(AL165:AL166)</f>
        <v>0</v>
      </c>
      <c r="AM167" s="23">
        <v>0</v>
      </c>
      <c r="AN167" s="25">
        <v>0</v>
      </c>
      <c r="AO167" s="24">
        <f>SUM(AO165:AO166)</f>
        <v>-39870213.75</v>
      </c>
      <c r="AP167" s="24">
        <f>SUM(AP165:AP166)</f>
        <v>0</v>
      </c>
      <c r="AQ167" s="23">
        <v>0</v>
      </c>
      <c r="AR167" s="25">
        <v>0</v>
      </c>
      <c r="AS167" s="24">
        <f>SUM(AS165:AS166)</f>
        <v>0</v>
      </c>
      <c r="AT167" s="23">
        <v>0</v>
      </c>
      <c r="AU167" s="22" t="str">
        <f t="shared" si="257"/>
        <v>-</v>
      </c>
      <c r="AV167" s="27">
        <f>SUM(AV165:AV166)</f>
        <v>0</v>
      </c>
      <c r="AW167" s="26">
        <f>SUM(AW165:AW166)</f>
        <v>0</v>
      </c>
      <c r="AX167" s="23">
        <v>0</v>
      </c>
      <c r="AY167" s="25">
        <v>0</v>
      </c>
      <c r="AZ167" s="24">
        <f>SUM(AZ165:AZ166)</f>
        <v>-39870213.75</v>
      </c>
      <c r="BA167" s="24">
        <f>SUM(BA165:BA166)</f>
        <v>0</v>
      </c>
      <c r="BB167" s="23">
        <v>0</v>
      </c>
      <c r="BC167" s="25">
        <v>0</v>
      </c>
      <c r="BD167" s="24">
        <f>SUM(BD165:BD166)</f>
        <v>0</v>
      </c>
      <c r="BE167" s="23">
        <v>0</v>
      </c>
      <c r="BF167" s="22" t="str">
        <f t="shared" si="258"/>
        <v>-</v>
      </c>
      <c r="BG167" s="27">
        <f>SUM(BG165:BG166)</f>
        <v>0</v>
      </c>
      <c r="BH167" s="26">
        <f>SUM(BH165:BH166)</f>
        <v>0</v>
      </c>
      <c r="BI167" s="23">
        <v>0</v>
      </c>
      <c r="BJ167" s="25">
        <v>0</v>
      </c>
      <c r="BK167" s="24">
        <f>SUM(BK165:BK166)</f>
        <v>-39870213.75</v>
      </c>
      <c r="BL167" s="24">
        <f>SUM(BL165:BL166)</f>
        <v>0</v>
      </c>
      <c r="BM167" s="23">
        <v>0</v>
      </c>
      <c r="BN167" s="25">
        <v>0</v>
      </c>
      <c r="BO167" s="24">
        <f>SUM(BO165:BO166)</f>
        <v>0</v>
      </c>
      <c r="BP167" s="23">
        <v>0</v>
      </c>
      <c r="BQ167" s="22" t="str">
        <f t="shared" si="259"/>
        <v>-</v>
      </c>
      <c r="BR167" s="27">
        <f>SUM(BR165:BR166)</f>
        <v>0</v>
      </c>
      <c r="BS167" s="26">
        <f>SUM(BS165:BS166)</f>
        <v>0</v>
      </c>
      <c r="BT167" s="23">
        <v>0</v>
      </c>
      <c r="BU167" s="25">
        <v>0</v>
      </c>
      <c r="BV167" s="24">
        <f>SUM(BV165:BV166)</f>
        <v>-39870213.75</v>
      </c>
      <c r="BW167" s="24">
        <f>SUM(BW165:BW166)</f>
        <v>0</v>
      </c>
      <c r="BX167" s="23">
        <v>0</v>
      </c>
      <c r="BY167" s="25">
        <v>0</v>
      </c>
      <c r="BZ167" s="24">
        <f>SUM(BZ165:BZ166)</f>
        <v>0</v>
      </c>
      <c r="CA167" s="23">
        <v>0</v>
      </c>
      <c r="CB167" s="22" t="str">
        <f t="shared" si="260"/>
        <v>-</v>
      </c>
      <c r="CC167" s="27">
        <f>SUM(CC165:CC166)</f>
        <v>0</v>
      </c>
      <c r="CD167" s="26">
        <f>SUM(CD165:CD166)</f>
        <v>0</v>
      </c>
      <c r="CE167" s="23">
        <v>0</v>
      </c>
      <c r="CF167" s="25">
        <v>0</v>
      </c>
      <c r="CG167" s="24">
        <f>SUM(CG165:CG166)</f>
        <v>-39870213.75</v>
      </c>
      <c r="CH167" s="24">
        <f>SUM(CH165:CH166)</f>
        <v>0</v>
      </c>
      <c r="CI167" s="23">
        <v>0</v>
      </c>
      <c r="CJ167" s="25">
        <v>0</v>
      </c>
      <c r="CK167" s="24">
        <f>SUM(CK165:CK166)</f>
        <v>0</v>
      </c>
      <c r="CL167" s="23">
        <v>0</v>
      </c>
      <c r="CM167" s="22" t="str">
        <f t="shared" si="261"/>
        <v>-</v>
      </c>
      <c r="CN167" s="27">
        <f>SUM(CN165:CN166)</f>
        <v>0</v>
      </c>
      <c r="CO167" s="26">
        <f>SUM(CO165:CO166)</f>
        <v>0</v>
      </c>
      <c r="CP167" s="23">
        <v>0</v>
      </c>
      <c r="CQ167" s="25">
        <v>0</v>
      </c>
      <c r="CR167" s="24">
        <f>SUM(CR165:CR166)</f>
        <v>-39870213.75</v>
      </c>
      <c r="CS167" s="24">
        <f>SUM(CS165:CS166)</f>
        <v>0</v>
      </c>
      <c r="CT167" s="23">
        <v>0</v>
      </c>
      <c r="CU167" s="25">
        <v>0</v>
      </c>
      <c r="CV167" s="24">
        <f>SUM(CV165:CV166)</f>
        <v>0</v>
      </c>
      <c r="CW167" s="23">
        <v>0</v>
      </c>
      <c r="CX167" s="22" t="str">
        <f t="shared" si="262"/>
        <v>-</v>
      </c>
      <c r="CY167" s="27">
        <f>SUM(CY165:CY166)</f>
        <v>0</v>
      </c>
      <c r="CZ167" s="26">
        <f>SUM(CZ165:CZ166)</f>
        <v>0</v>
      </c>
      <c r="DA167" s="23">
        <v>0</v>
      </c>
      <c r="DB167" s="25">
        <v>0</v>
      </c>
      <c r="DC167" s="24">
        <f>SUM(DC165:DC166)</f>
        <v>-39870213.75</v>
      </c>
      <c r="DD167" s="24">
        <f>SUM(DD165:DD166)</f>
        <v>0</v>
      </c>
      <c r="DE167" s="23">
        <v>0</v>
      </c>
      <c r="DF167" s="25">
        <v>0</v>
      </c>
      <c r="DG167" s="24">
        <f>SUM(DG165:DG166)</f>
        <v>0</v>
      </c>
      <c r="DH167" s="23">
        <v>0</v>
      </c>
      <c r="DI167" s="22" t="str">
        <f t="shared" si="263"/>
        <v>-</v>
      </c>
    </row>
    <row r="168" spans="1:113" ht="12.75" hidden="1" customHeight="1" outlineLevel="3" x14ac:dyDescent="0.2">
      <c r="B168" s="38" t="str">
        <f t="shared" si="264"/>
        <v>Квартальная премия, выплата</v>
      </c>
      <c r="C168" s="37" t="str">
        <f t="shared" si="264"/>
        <v>Quarterly bonus cash</v>
      </c>
      <c r="D168" s="41">
        <f>D48-D111</f>
        <v>-10571699.000000002</v>
      </c>
      <c r="E168" s="40">
        <f>E48-E111</f>
        <v>9585.4511111006141</v>
      </c>
      <c r="F168" s="32">
        <v>0</v>
      </c>
      <c r="G168" s="34">
        <v>0</v>
      </c>
      <c r="H168" s="39">
        <f>H48-H111</f>
        <v>-34571183.940000072</v>
      </c>
      <c r="I168" s="39">
        <f>I48-I111</f>
        <v>-532987.29333339632</v>
      </c>
      <c r="J168" s="32">
        <v>0</v>
      </c>
      <c r="K168" s="34">
        <v>0</v>
      </c>
      <c r="L168" s="39">
        <f>L48-L111</f>
        <v>0</v>
      </c>
      <c r="M168" s="32">
        <v>0</v>
      </c>
      <c r="N168" s="31" t="str">
        <f t="shared" si="254"/>
        <v>-</v>
      </c>
      <c r="O168" s="41">
        <f>O48-O111</f>
        <v>-10571699.000000002</v>
      </c>
      <c r="P168" s="40">
        <f>P48-P111</f>
        <v>9585.4511111006141</v>
      </c>
      <c r="Q168" s="32">
        <v>0</v>
      </c>
      <c r="R168" s="34">
        <v>0</v>
      </c>
      <c r="S168" s="39">
        <f>S48-S111</f>
        <v>-34571183.940000072</v>
      </c>
      <c r="T168" s="39">
        <f>T48-T111</f>
        <v>-532987.29333339632</v>
      </c>
      <c r="U168" s="32">
        <v>0</v>
      </c>
      <c r="V168" s="34">
        <v>0</v>
      </c>
      <c r="W168" s="39">
        <f>W48-W111</f>
        <v>0</v>
      </c>
      <c r="X168" s="32">
        <v>0</v>
      </c>
      <c r="Y168" s="31" t="str">
        <f t="shared" si="255"/>
        <v>-</v>
      </c>
      <c r="Z168" s="41">
        <f>Z48-Z111</f>
        <v>-10571699.000000002</v>
      </c>
      <c r="AA168" s="40">
        <f>AA48-AA111</f>
        <v>9585.4511111006141</v>
      </c>
      <c r="AB168" s="32">
        <v>0</v>
      </c>
      <c r="AC168" s="34">
        <v>0</v>
      </c>
      <c r="AD168" s="39">
        <f>AD48-AD111</f>
        <v>-34571183.940000072</v>
      </c>
      <c r="AE168" s="39">
        <f>AE48-AE111</f>
        <v>-532987.29333339632</v>
      </c>
      <c r="AF168" s="32">
        <v>0</v>
      </c>
      <c r="AG168" s="34">
        <v>0</v>
      </c>
      <c r="AH168" s="39">
        <f>AH48-AH111</f>
        <v>0</v>
      </c>
      <c r="AI168" s="32">
        <v>0</v>
      </c>
      <c r="AJ168" s="31" t="str">
        <f t="shared" si="256"/>
        <v>-</v>
      </c>
      <c r="AK168" s="41">
        <f>AK48-AK111</f>
        <v>-10571699.000000002</v>
      </c>
      <c r="AL168" s="40">
        <f>AL48-AL111</f>
        <v>9585.4511111006141</v>
      </c>
      <c r="AM168" s="32">
        <v>0</v>
      </c>
      <c r="AN168" s="34">
        <v>0</v>
      </c>
      <c r="AO168" s="39">
        <f>AO48-AO111</f>
        <v>-34571183.940000072</v>
      </c>
      <c r="AP168" s="39">
        <f>AP48-AP111</f>
        <v>-532987.29333339632</v>
      </c>
      <c r="AQ168" s="32">
        <v>0</v>
      </c>
      <c r="AR168" s="34">
        <v>0</v>
      </c>
      <c r="AS168" s="39">
        <f>AS48-AS111</f>
        <v>0</v>
      </c>
      <c r="AT168" s="32">
        <v>0</v>
      </c>
      <c r="AU168" s="31" t="str">
        <f t="shared" si="257"/>
        <v>-</v>
      </c>
      <c r="AV168" s="41">
        <f>AV48-AV111</f>
        <v>-10571699.000000002</v>
      </c>
      <c r="AW168" s="40">
        <f>AW48-AW111</f>
        <v>9585.4511111006141</v>
      </c>
      <c r="AX168" s="32">
        <v>0</v>
      </c>
      <c r="AY168" s="34">
        <v>0</v>
      </c>
      <c r="AZ168" s="39">
        <f>AZ48-AZ111</f>
        <v>-34571183.940000072</v>
      </c>
      <c r="BA168" s="39">
        <f>BA48-BA111</f>
        <v>-532987.29333339632</v>
      </c>
      <c r="BB168" s="32">
        <v>0</v>
      </c>
      <c r="BC168" s="34">
        <v>0</v>
      </c>
      <c r="BD168" s="39">
        <f>BD48-BD111</f>
        <v>0</v>
      </c>
      <c r="BE168" s="32">
        <v>0</v>
      </c>
      <c r="BF168" s="31" t="str">
        <f t="shared" si="258"/>
        <v>-</v>
      </c>
      <c r="BG168" s="41">
        <f>BG48-BG111</f>
        <v>-10571699.000000002</v>
      </c>
      <c r="BH168" s="40">
        <f>BH48-BH111</f>
        <v>9585.4511111006141</v>
      </c>
      <c r="BI168" s="32">
        <v>0</v>
      </c>
      <c r="BJ168" s="34">
        <v>0</v>
      </c>
      <c r="BK168" s="39">
        <f>BK48-BK111</f>
        <v>-34571183.940000072</v>
      </c>
      <c r="BL168" s="39">
        <f>BL48-BL111</f>
        <v>-532987.29333339632</v>
      </c>
      <c r="BM168" s="32">
        <v>0</v>
      </c>
      <c r="BN168" s="34">
        <v>0</v>
      </c>
      <c r="BO168" s="39">
        <f>BO48-BO111</f>
        <v>0</v>
      </c>
      <c r="BP168" s="32">
        <v>0</v>
      </c>
      <c r="BQ168" s="31" t="str">
        <f t="shared" si="259"/>
        <v>-</v>
      </c>
      <c r="BR168" s="41">
        <f>BR48-BR111</f>
        <v>-10571699.000000002</v>
      </c>
      <c r="BS168" s="40">
        <f>BS48-BS111</f>
        <v>9585.4511111006141</v>
      </c>
      <c r="BT168" s="32">
        <v>0</v>
      </c>
      <c r="BU168" s="34">
        <v>0</v>
      </c>
      <c r="BV168" s="39">
        <f>BV48-BV111</f>
        <v>-34571183.940000072</v>
      </c>
      <c r="BW168" s="39">
        <f>BW48-BW111</f>
        <v>-532987.29333339632</v>
      </c>
      <c r="BX168" s="32">
        <v>0</v>
      </c>
      <c r="BY168" s="34">
        <v>0</v>
      </c>
      <c r="BZ168" s="39">
        <f>BZ48-BZ111</f>
        <v>0</v>
      </c>
      <c r="CA168" s="32">
        <v>0</v>
      </c>
      <c r="CB168" s="31" t="str">
        <f t="shared" si="260"/>
        <v>-</v>
      </c>
      <c r="CC168" s="41">
        <f>CC48-CC111</f>
        <v>-10571699.000000002</v>
      </c>
      <c r="CD168" s="40">
        <f>CD48-CD111</f>
        <v>9585.4511111006141</v>
      </c>
      <c r="CE168" s="32">
        <v>0</v>
      </c>
      <c r="CF168" s="34">
        <v>0</v>
      </c>
      <c r="CG168" s="39">
        <f>CG48-CG111</f>
        <v>-34571183.940000072</v>
      </c>
      <c r="CH168" s="39">
        <f>CH48-CH111</f>
        <v>-532987.29333339632</v>
      </c>
      <c r="CI168" s="32">
        <v>0</v>
      </c>
      <c r="CJ168" s="34">
        <v>0</v>
      </c>
      <c r="CK168" s="39">
        <f>CK48-CK111</f>
        <v>0</v>
      </c>
      <c r="CL168" s="32">
        <v>0</v>
      </c>
      <c r="CM168" s="31" t="str">
        <f t="shared" si="261"/>
        <v>-</v>
      </c>
      <c r="CN168" s="41">
        <f>CN48-CN111</f>
        <v>-10571699.000000002</v>
      </c>
      <c r="CO168" s="40">
        <f>CO48-CO111</f>
        <v>9585.4511111006141</v>
      </c>
      <c r="CP168" s="32">
        <v>0</v>
      </c>
      <c r="CQ168" s="34">
        <v>0</v>
      </c>
      <c r="CR168" s="39">
        <f>CR48-CR111</f>
        <v>-34571183.940000072</v>
      </c>
      <c r="CS168" s="39">
        <f>CS48-CS111</f>
        <v>-532987.29333339632</v>
      </c>
      <c r="CT168" s="32">
        <v>0</v>
      </c>
      <c r="CU168" s="34">
        <v>0</v>
      </c>
      <c r="CV168" s="39">
        <f>CV48-CV111</f>
        <v>0</v>
      </c>
      <c r="CW168" s="32">
        <v>0</v>
      </c>
      <c r="CX168" s="31" t="str">
        <f t="shared" si="262"/>
        <v>-</v>
      </c>
      <c r="CY168" s="41">
        <f>CY48-CY111</f>
        <v>-10571699.000000002</v>
      </c>
      <c r="CZ168" s="40">
        <f>CZ48-CZ111</f>
        <v>9585.4511111006141</v>
      </c>
      <c r="DA168" s="32">
        <v>0</v>
      </c>
      <c r="DB168" s="34">
        <v>0</v>
      </c>
      <c r="DC168" s="39">
        <f>DC48-DC111</f>
        <v>-34571183.940000072</v>
      </c>
      <c r="DD168" s="39">
        <f>DD48-DD111</f>
        <v>-532987.29333339632</v>
      </c>
      <c r="DE168" s="32">
        <v>0</v>
      </c>
      <c r="DF168" s="34">
        <v>0</v>
      </c>
      <c r="DG168" s="39">
        <f>DG48-DG111</f>
        <v>0</v>
      </c>
      <c r="DH168" s="32">
        <v>0</v>
      </c>
      <c r="DI168" s="31" t="str">
        <f t="shared" si="263"/>
        <v>-</v>
      </c>
    </row>
    <row r="169" spans="1:113" ht="12.75" hidden="1" customHeight="1" outlineLevel="3" x14ac:dyDescent="0.2">
      <c r="B169" s="38" t="str">
        <f t="shared" si="264"/>
        <v>Страховые взносы, квартальная премия выплата</v>
      </c>
      <c r="C169" s="37" t="str">
        <f t="shared" si="264"/>
        <v>Social Security on quarterly cash</v>
      </c>
      <c r="D169" s="36">
        <f>D49-D112</f>
        <v>-268624.99999999907</v>
      </c>
      <c r="E169" s="35">
        <f>E49-E112</f>
        <v>-110702.72222221689</v>
      </c>
      <c r="F169" s="32">
        <v>0</v>
      </c>
      <c r="G169" s="34">
        <v>0</v>
      </c>
      <c r="H169" s="33">
        <f>H49-H112</f>
        <v>-2901459.5000000037</v>
      </c>
      <c r="I169" s="33">
        <f>I49-I112</f>
        <v>-773458.83333330043</v>
      </c>
      <c r="J169" s="32">
        <v>0</v>
      </c>
      <c r="K169" s="34">
        <v>0</v>
      </c>
      <c r="L169" s="33">
        <f>L49-L112</f>
        <v>0</v>
      </c>
      <c r="M169" s="32">
        <v>0</v>
      </c>
      <c r="N169" s="31" t="str">
        <f t="shared" si="254"/>
        <v>-</v>
      </c>
      <c r="O169" s="36">
        <f>O49-O112</f>
        <v>-268624.99999999907</v>
      </c>
      <c r="P169" s="35">
        <f>P49-P112</f>
        <v>-110702.72222221689</v>
      </c>
      <c r="Q169" s="32">
        <v>0</v>
      </c>
      <c r="R169" s="34">
        <v>0</v>
      </c>
      <c r="S169" s="33">
        <f>S49-S112</f>
        <v>-2901459.5000000037</v>
      </c>
      <c r="T169" s="33">
        <f>T49-T112</f>
        <v>-773458.83333330043</v>
      </c>
      <c r="U169" s="32">
        <v>0</v>
      </c>
      <c r="V169" s="34">
        <v>0</v>
      </c>
      <c r="W169" s="33">
        <f>W49-W112</f>
        <v>0</v>
      </c>
      <c r="X169" s="32">
        <v>0</v>
      </c>
      <c r="Y169" s="31" t="str">
        <f t="shared" si="255"/>
        <v>-</v>
      </c>
      <c r="Z169" s="36">
        <f>Z49-Z112</f>
        <v>-268624.99999999907</v>
      </c>
      <c r="AA169" s="35">
        <f>AA49-AA112</f>
        <v>-110702.72222221689</v>
      </c>
      <c r="AB169" s="32">
        <v>0</v>
      </c>
      <c r="AC169" s="34">
        <v>0</v>
      </c>
      <c r="AD169" s="33">
        <f>AD49-AD112</f>
        <v>-2901459.5000000037</v>
      </c>
      <c r="AE169" s="33">
        <f>AE49-AE112</f>
        <v>-773458.83333330043</v>
      </c>
      <c r="AF169" s="32">
        <v>0</v>
      </c>
      <c r="AG169" s="34">
        <v>0</v>
      </c>
      <c r="AH169" s="33">
        <f>AH49-AH112</f>
        <v>0</v>
      </c>
      <c r="AI169" s="32">
        <v>0</v>
      </c>
      <c r="AJ169" s="31" t="str">
        <f t="shared" si="256"/>
        <v>-</v>
      </c>
      <c r="AK169" s="36">
        <f>AK49-AK112</f>
        <v>-268624.99999999907</v>
      </c>
      <c r="AL169" s="35">
        <f>AL49-AL112</f>
        <v>-110702.72222221689</v>
      </c>
      <c r="AM169" s="32">
        <v>0</v>
      </c>
      <c r="AN169" s="34">
        <v>0</v>
      </c>
      <c r="AO169" s="33">
        <f>AO49-AO112</f>
        <v>-2901459.5000000037</v>
      </c>
      <c r="AP169" s="33">
        <f>AP49-AP112</f>
        <v>-773458.83333330043</v>
      </c>
      <c r="AQ169" s="32">
        <v>0</v>
      </c>
      <c r="AR169" s="34">
        <v>0</v>
      </c>
      <c r="AS169" s="33">
        <f>AS49-AS112</f>
        <v>0</v>
      </c>
      <c r="AT169" s="32">
        <v>0</v>
      </c>
      <c r="AU169" s="31" t="str">
        <f t="shared" si="257"/>
        <v>-</v>
      </c>
      <c r="AV169" s="36">
        <f>AV49-AV112</f>
        <v>-268624.99999999907</v>
      </c>
      <c r="AW169" s="35">
        <f>AW49-AW112</f>
        <v>-110702.72222221689</v>
      </c>
      <c r="AX169" s="32">
        <v>0</v>
      </c>
      <c r="AY169" s="34">
        <v>0</v>
      </c>
      <c r="AZ169" s="33">
        <f>AZ49-AZ112</f>
        <v>-2901459.5000000037</v>
      </c>
      <c r="BA169" s="33">
        <f>BA49-BA112</f>
        <v>-773458.83333330043</v>
      </c>
      <c r="BB169" s="32">
        <v>0</v>
      </c>
      <c r="BC169" s="34">
        <v>0</v>
      </c>
      <c r="BD169" s="33">
        <f>BD49-BD112</f>
        <v>0</v>
      </c>
      <c r="BE169" s="32">
        <v>0</v>
      </c>
      <c r="BF169" s="31" t="str">
        <f t="shared" si="258"/>
        <v>-</v>
      </c>
      <c r="BG169" s="36">
        <f>BG49-BG112</f>
        <v>-268624.99999999907</v>
      </c>
      <c r="BH169" s="35">
        <f>BH49-BH112</f>
        <v>-110702.72222221689</v>
      </c>
      <c r="BI169" s="32">
        <v>0</v>
      </c>
      <c r="BJ169" s="34">
        <v>0</v>
      </c>
      <c r="BK169" s="33">
        <f>BK49-BK112</f>
        <v>-2901459.5000000037</v>
      </c>
      <c r="BL169" s="33">
        <f>BL49-BL112</f>
        <v>-773458.83333330043</v>
      </c>
      <c r="BM169" s="32">
        <v>0</v>
      </c>
      <c r="BN169" s="34">
        <v>0</v>
      </c>
      <c r="BO169" s="33">
        <f>BO49-BO112</f>
        <v>0</v>
      </c>
      <c r="BP169" s="32">
        <v>0</v>
      </c>
      <c r="BQ169" s="31" t="str">
        <f t="shared" si="259"/>
        <v>-</v>
      </c>
      <c r="BR169" s="36">
        <f>BR49-BR112</f>
        <v>-268624.99999999907</v>
      </c>
      <c r="BS169" s="35">
        <f>BS49-BS112</f>
        <v>-110702.72222221689</v>
      </c>
      <c r="BT169" s="32">
        <v>0</v>
      </c>
      <c r="BU169" s="34">
        <v>0</v>
      </c>
      <c r="BV169" s="33">
        <f>BV49-BV112</f>
        <v>-2901459.5000000037</v>
      </c>
      <c r="BW169" s="33">
        <f>BW49-BW112</f>
        <v>-773458.83333330043</v>
      </c>
      <c r="BX169" s="32">
        <v>0</v>
      </c>
      <c r="BY169" s="34">
        <v>0</v>
      </c>
      <c r="BZ169" s="33">
        <f>BZ49-BZ112</f>
        <v>0</v>
      </c>
      <c r="CA169" s="32">
        <v>0</v>
      </c>
      <c r="CB169" s="31" t="str">
        <f t="shared" si="260"/>
        <v>-</v>
      </c>
      <c r="CC169" s="36">
        <f>CC49-CC112</f>
        <v>-268624.99999999907</v>
      </c>
      <c r="CD169" s="35">
        <f>CD49-CD112</f>
        <v>-110702.72222221689</v>
      </c>
      <c r="CE169" s="32">
        <v>0</v>
      </c>
      <c r="CF169" s="34">
        <v>0</v>
      </c>
      <c r="CG169" s="33">
        <f>CG49-CG112</f>
        <v>-2901459.5000000037</v>
      </c>
      <c r="CH169" s="33">
        <f>CH49-CH112</f>
        <v>-773458.83333330043</v>
      </c>
      <c r="CI169" s="32">
        <v>0</v>
      </c>
      <c r="CJ169" s="34">
        <v>0</v>
      </c>
      <c r="CK169" s="33">
        <f>CK49-CK112</f>
        <v>0</v>
      </c>
      <c r="CL169" s="32">
        <v>0</v>
      </c>
      <c r="CM169" s="31" t="str">
        <f t="shared" si="261"/>
        <v>-</v>
      </c>
      <c r="CN169" s="36">
        <f>CN49-CN112</f>
        <v>-268624.99999999907</v>
      </c>
      <c r="CO169" s="35">
        <f>CO49-CO112</f>
        <v>-110702.72222221689</v>
      </c>
      <c r="CP169" s="32">
        <v>0</v>
      </c>
      <c r="CQ169" s="34">
        <v>0</v>
      </c>
      <c r="CR169" s="33">
        <f>CR49-CR112</f>
        <v>-2901459.5000000037</v>
      </c>
      <c r="CS169" s="33">
        <f>CS49-CS112</f>
        <v>-773458.83333330043</v>
      </c>
      <c r="CT169" s="32">
        <v>0</v>
      </c>
      <c r="CU169" s="34">
        <v>0</v>
      </c>
      <c r="CV169" s="33">
        <f>CV49-CV112</f>
        <v>0</v>
      </c>
      <c r="CW169" s="32">
        <v>0</v>
      </c>
      <c r="CX169" s="31" t="str">
        <f t="shared" si="262"/>
        <v>-</v>
      </c>
      <c r="CY169" s="36">
        <f>CY49-CY112</f>
        <v>-268624.99999999907</v>
      </c>
      <c r="CZ169" s="35">
        <f>CZ49-CZ112</f>
        <v>-110702.72222221689</v>
      </c>
      <c r="DA169" s="32">
        <v>0</v>
      </c>
      <c r="DB169" s="34">
        <v>0</v>
      </c>
      <c r="DC169" s="33">
        <f>DC49-DC112</f>
        <v>-2901459.5000000037</v>
      </c>
      <c r="DD169" s="33">
        <f>DD49-DD112</f>
        <v>-773458.83333330043</v>
      </c>
      <c r="DE169" s="32">
        <v>0</v>
      </c>
      <c r="DF169" s="34">
        <v>0</v>
      </c>
      <c r="DG169" s="33">
        <f>DG49-DG112</f>
        <v>0</v>
      </c>
      <c r="DH169" s="32">
        <v>0</v>
      </c>
      <c r="DI169" s="31" t="str">
        <f t="shared" si="263"/>
        <v>-</v>
      </c>
    </row>
    <row r="170" spans="1:113" s="6" customFormat="1" hidden="1" outlineLevel="2" collapsed="1" x14ac:dyDescent="0.2">
      <c r="A170" s="30"/>
      <c r="B170" s="29" t="str">
        <f t="shared" si="264"/>
        <v>Итого квртальная премия, выплата</v>
      </c>
      <c r="C170" s="42" t="str">
        <f t="shared" si="264"/>
        <v>Total Quarterly bonus cash</v>
      </c>
      <c r="D170" s="27">
        <f>SUM(D168:D169)</f>
        <v>-10840324</v>
      </c>
      <c r="E170" s="26">
        <f>SUM(E168:E169)</f>
        <v>-101117.27111111628</v>
      </c>
      <c r="F170" s="23">
        <v>0</v>
      </c>
      <c r="G170" s="25">
        <v>0</v>
      </c>
      <c r="H170" s="24">
        <f>SUM(H168:H169)</f>
        <v>-37472643.440000072</v>
      </c>
      <c r="I170" s="24">
        <f>SUM(I168:I169)</f>
        <v>-1306446.1266666967</v>
      </c>
      <c r="J170" s="23">
        <v>0</v>
      </c>
      <c r="K170" s="25">
        <v>0</v>
      </c>
      <c r="L170" s="24">
        <f>SUM(L168:L169)</f>
        <v>0</v>
      </c>
      <c r="M170" s="23">
        <v>0</v>
      </c>
      <c r="N170" s="22" t="str">
        <f t="shared" si="254"/>
        <v>-</v>
      </c>
      <c r="O170" s="27">
        <f>SUM(O168:O169)</f>
        <v>-10840324</v>
      </c>
      <c r="P170" s="26">
        <f>SUM(P168:P169)</f>
        <v>-101117.27111111628</v>
      </c>
      <c r="Q170" s="23">
        <v>0</v>
      </c>
      <c r="R170" s="25">
        <v>0</v>
      </c>
      <c r="S170" s="24">
        <f>SUM(S168:S169)</f>
        <v>-37472643.440000072</v>
      </c>
      <c r="T170" s="24">
        <f>SUM(T168:T169)</f>
        <v>-1306446.1266666967</v>
      </c>
      <c r="U170" s="23">
        <v>0</v>
      </c>
      <c r="V170" s="25">
        <v>0</v>
      </c>
      <c r="W170" s="24">
        <f>SUM(W168:W169)</f>
        <v>0</v>
      </c>
      <c r="X170" s="23">
        <v>0</v>
      </c>
      <c r="Y170" s="22" t="str">
        <f t="shared" si="255"/>
        <v>-</v>
      </c>
      <c r="Z170" s="27">
        <f>SUM(Z168:Z169)</f>
        <v>-10840324</v>
      </c>
      <c r="AA170" s="26">
        <f>SUM(AA168:AA169)</f>
        <v>-101117.27111111628</v>
      </c>
      <c r="AB170" s="23">
        <v>0</v>
      </c>
      <c r="AC170" s="25">
        <v>0</v>
      </c>
      <c r="AD170" s="24">
        <f>SUM(AD168:AD169)</f>
        <v>-37472643.440000072</v>
      </c>
      <c r="AE170" s="24">
        <f>SUM(AE168:AE169)</f>
        <v>-1306446.1266666967</v>
      </c>
      <c r="AF170" s="23">
        <v>0</v>
      </c>
      <c r="AG170" s="25">
        <v>0</v>
      </c>
      <c r="AH170" s="24">
        <f>SUM(AH168:AH169)</f>
        <v>0</v>
      </c>
      <c r="AI170" s="23">
        <v>0</v>
      </c>
      <c r="AJ170" s="22" t="str">
        <f t="shared" si="256"/>
        <v>-</v>
      </c>
      <c r="AK170" s="27">
        <f>SUM(AK168:AK169)</f>
        <v>-10840324</v>
      </c>
      <c r="AL170" s="26">
        <f>SUM(AL168:AL169)</f>
        <v>-101117.27111111628</v>
      </c>
      <c r="AM170" s="23">
        <v>0</v>
      </c>
      <c r="AN170" s="25">
        <v>0</v>
      </c>
      <c r="AO170" s="24">
        <f>SUM(AO168:AO169)</f>
        <v>-37472643.440000072</v>
      </c>
      <c r="AP170" s="24">
        <f>SUM(AP168:AP169)</f>
        <v>-1306446.1266666967</v>
      </c>
      <c r="AQ170" s="23">
        <v>0</v>
      </c>
      <c r="AR170" s="25">
        <v>0</v>
      </c>
      <c r="AS170" s="24">
        <f>SUM(AS168:AS169)</f>
        <v>0</v>
      </c>
      <c r="AT170" s="23">
        <v>0</v>
      </c>
      <c r="AU170" s="22" t="str">
        <f t="shared" si="257"/>
        <v>-</v>
      </c>
      <c r="AV170" s="27">
        <f>SUM(AV168:AV169)</f>
        <v>-10840324</v>
      </c>
      <c r="AW170" s="26">
        <f>SUM(AW168:AW169)</f>
        <v>-101117.27111111628</v>
      </c>
      <c r="AX170" s="23">
        <v>0</v>
      </c>
      <c r="AY170" s="25">
        <v>0</v>
      </c>
      <c r="AZ170" s="24">
        <f>SUM(AZ168:AZ169)</f>
        <v>-37472643.440000072</v>
      </c>
      <c r="BA170" s="24">
        <f>SUM(BA168:BA169)</f>
        <v>-1306446.1266666967</v>
      </c>
      <c r="BB170" s="23">
        <v>0</v>
      </c>
      <c r="BC170" s="25">
        <v>0</v>
      </c>
      <c r="BD170" s="24">
        <f>SUM(BD168:BD169)</f>
        <v>0</v>
      </c>
      <c r="BE170" s="23">
        <v>0</v>
      </c>
      <c r="BF170" s="22" t="str">
        <f t="shared" si="258"/>
        <v>-</v>
      </c>
      <c r="BG170" s="27">
        <f>SUM(BG168:BG169)</f>
        <v>-10840324</v>
      </c>
      <c r="BH170" s="26">
        <f>SUM(BH168:BH169)</f>
        <v>-101117.27111111628</v>
      </c>
      <c r="BI170" s="23">
        <v>0</v>
      </c>
      <c r="BJ170" s="25">
        <v>0</v>
      </c>
      <c r="BK170" s="24">
        <f>SUM(BK168:BK169)</f>
        <v>-37472643.440000072</v>
      </c>
      <c r="BL170" s="24">
        <f>SUM(BL168:BL169)</f>
        <v>-1306446.1266666967</v>
      </c>
      <c r="BM170" s="23">
        <v>0</v>
      </c>
      <c r="BN170" s="25">
        <v>0</v>
      </c>
      <c r="BO170" s="24">
        <f>SUM(BO168:BO169)</f>
        <v>0</v>
      </c>
      <c r="BP170" s="23">
        <v>0</v>
      </c>
      <c r="BQ170" s="22" t="str">
        <f t="shared" si="259"/>
        <v>-</v>
      </c>
      <c r="BR170" s="27">
        <f>SUM(BR168:BR169)</f>
        <v>-10840324</v>
      </c>
      <c r="BS170" s="26">
        <f>SUM(BS168:BS169)</f>
        <v>-101117.27111111628</v>
      </c>
      <c r="BT170" s="23">
        <v>0</v>
      </c>
      <c r="BU170" s="25">
        <v>0</v>
      </c>
      <c r="BV170" s="24">
        <f>SUM(BV168:BV169)</f>
        <v>-37472643.440000072</v>
      </c>
      <c r="BW170" s="24">
        <f>SUM(BW168:BW169)</f>
        <v>-1306446.1266666967</v>
      </c>
      <c r="BX170" s="23">
        <v>0</v>
      </c>
      <c r="BY170" s="25">
        <v>0</v>
      </c>
      <c r="BZ170" s="24">
        <f>SUM(BZ168:BZ169)</f>
        <v>0</v>
      </c>
      <c r="CA170" s="23">
        <v>0</v>
      </c>
      <c r="CB170" s="22" t="str">
        <f t="shared" si="260"/>
        <v>-</v>
      </c>
      <c r="CC170" s="27">
        <f>SUM(CC168:CC169)</f>
        <v>-10840324</v>
      </c>
      <c r="CD170" s="26">
        <f>SUM(CD168:CD169)</f>
        <v>-101117.27111111628</v>
      </c>
      <c r="CE170" s="23">
        <v>0</v>
      </c>
      <c r="CF170" s="25">
        <v>0</v>
      </c>
      <c r="CG170" s="24">
        <f>SUM(CG168:CG169)</f>
        <v>-37472643.440000072</v>
      </c>
      <c r="CH170" s="24">
        <f>SUM(CH168:CH169)</f>
        <v>-1306446.1266666967</v>
      </c>
      <c r="CI170" s="23">
        <v>0</v>
      </c>
      <c r="CJ170" s="25">
        <v>0</v>
      </c>
      <c r="CK170" s="24">
        <f>SUM(CK168:CK169)</f>
        <v>0</v>
      </c>
      <c r="CL170" s="23">
        <v>0</v>
      </c>
      <c r="CM170" s="22" t="str">
        <f t="shared" si="261"/>
        <v>-</v>
      </c>
      <c r="CN170" s="27">
        <f>SUM(CN168:CN169)</f>
        <v>-10840324</v>
      </c>
      <c r="CO170" s="26">
        <f>SUM(CO168:CO169)</f>
        <v>-101117.27111111628</v>
      </c>
      <c r="CP170" s="23">
        <v>0</v>
      </c>
      <c r="CQ170" s="25">
        <v>0</v>
      </c>
      <c r="CR170" s="24">
        <f>SUM(CR168:CR169)</f>
        <v>-37472643.440000072</v>
      </c>
      <c r="CS170" s="24">
        <f>SUM(CS168:CS169)</f>
        <v>-1306446.1266666967</v>
      </c>
      <c r="CT170" s="23">
        <v>0</v>
      </c>
      <c r="CU170" s="25">
        <v>0</v>
      </c>
      <c r="CV170" s="24">
        <f>SUM(CV168:CV169)</f>
        <v>0</v>
      </c>
      <c r="CW170" s="23">
        <v>0</v>
      </c>
      <c r="CX170" s="22" t="str">
        <f t="shared" si="262"/>
        <v>-</v>
      </c>
      <c r="CY170" s="27">
        <f>SUM(CY168:CY169)</f>
        <v>-10840324</v>
      </c>
      <c r="CZ170" s="26">
        <f>SUM(CZ168:CZ169)</f>
        <v>-101117.27111111628</v>
      </c>
      <c r="DA170" s="23">
        <v>0</v>
      </c>
      <c r="DB170" s="25">
        <v>0</v>
      </c>
      <c r="DC170" s="24">
        <f>SUM(DC168:DC169)</f>
        <v>-37472643.440000072</v>
      </c>
      <c r="DD170" s="24">
        <f>SUM(DD168:DD169)</f>
        <v>-1306446.1266666967</v>
      </c>
      <c r="DE170" s="23">
        <v>0</v>
      </c>
      <c r="DF170" s="25">
        <v>0</v>
      </c>
      <c r="DG170" s="24">
        <f>SUM(DG168:DG169)</f>
        <v>0</v>
      </c>
      <c r="DH170" s="23">
        <v>0</v>
      </c>
      <c r="DI170" s="22" t="str">
        <f t="shared" si="263"/>
        <v>-</v>
      </c>
    </row>
    <row r="171" spans="1:113" s="6" customFormat="1" outlineLevel="1" collapsed="1" x14ac:dyDescent="0.2">
      <c r="A171" s="30"/>
      <c r="B171" s="48" t="str">
        <f t="shared" si="264"/>
        <v>Квартальная премия</v>
      </c>
      <c r="C171" s="47" t="str">
        <f t="shared" si="264"/>
        <v>Quarterly bonus</v>
      </c>
      <c r="D171" s="46">
        <f>D170+D167+D164</f>
        <v>2449747.25</v>
      </c>
      <c r="E171" s="45">
        <f>E170+E167+E164</f>
        <v>-101117.27111111628</v>
      </c>
      <c r="F171" s="23">
        <v>0</v>
      </c>
      <c r="G171" s="25">
        <v>0</v>
      </c>
      <c r="H171" s="44">
        <f>H170+H167+H164</f>
        <v>2397570.3099999279</v>
      </c>
      <c r="I171" s="44">
        <f>I170+I167+I164</f>
        <v>-1306446.1266666967</v>
      </c>
      <c r="J171" s="23">
        <v>0</v>
      </c>
      <c r="K171" s="25">
        <v>0</v>
      </c>
      <c r="L171" s="44">
        <f>L170+L167+L164</f>
        <v>0</v>
      </c>
      <c r="M171" s="23">
        <v>0</v>
      </c>
      <c r="N171" s="43" t="str">
        <f t="shared" si="254"/>
        <v>-</v>
      </c>
      <c r="O171" s="46">
        <f>O170+O167+O164</f>
        <v>2449747.25</v>
      </c>
      <c r="P171" s="45">
        <f>P170+P167+P164</f>
        <v>-101117.27111111628</v>
      </c>
      <c r="Q171" s="23">
        <v>0</v>
      </c>
      <c r="R171" s="25">
        <v>0</v>
      </c>
      <c r="S171" s="44">
        <f>S170+S167+S164</f>
        <v>2397570.3099999279</v>
      </c>
      <c r="T171" s="44">
        <f>T170+T167+T164</f>
        <v>-1306446.1266666967</v>
      </c>
      <c r="U171" s="23">
        <v>0</v>
      </c>
      <c r="V171" s="25">
        <v>0</v>
      </c>
      <c r="W171" s="44">
        <f>W170+W167+W164</f>
        <v>0</v>
      </c>
      <c r="X171" s="23">
        <v>0</v>
      </c>
      <c r="Y171" s="43" t="str">
        <f t="shared" si="255"/>
        <v>-</v>
      </c>
      <c r="Z171" s="46">
        <f>Z170+Z167+Z164</f>
        <v>2449747.25</v>
      </c>
      <c r="AA171" s="45">
        <f>AA170+AA167+AA164</f>
        <v>-101117.27111111628</v>
      </c>
      <c r="AB171" s="23">
        <v>0</v>
      </c>
      <c r="AC171" s="25">
        <v>0</v>
      </c>
      <c r="AD171" s="44">
        <f>AD170+AD167+AD164</f>
        <v>2397570.3099999279</v>
      </c>
      <c r="AE171" s="44">
        <f>AE170+AE167+AE164</f>
        <v>-1306446.1266666967</v>
      </c>
      <c r="AF171" s="23">
        <v>0</v>
      </c>
      <c r="AG171" s="25">
        <v>0</v>
      </c>
      <c r="AH171" s="44">
        <f>AH170+AH167+AH164</f>
        <v>0</v>
      </c>
      <c r="AI171" s="23">
        <v>0</v>
      </c>
      <c r="AJ171" s="43" t="str">
        <f t="shared" si="256"/>
        <v>-</v>
      </c>
      <c r="AK171" s="46">
        <f>AK170+AK167+AK164</f>
        <v>2449747.25</v>
      </c>
      <c r="AL171" s="45">
        <f>AL170+AL167+AL164</f>
        <v>-101117.27111111628</v>
      </c>
      <c r="AM171" s="23">
        <v>0</v>
      </c>
      <c r="AN171" s="25">
        <v>0</v>
      </c>
      <c r="AO171" s="44">
        <f>AO170+AO167+AO164</f>
        <v>2397570.3099999279</v>
      </c>
      <c r="AP171" s="44">
        <f>AP170+AP167+AP164</f>
        <v>-1306446.1266666967</v>
      </c>
      <c r="AQ171" s="23">
        <v>0</v>
      </c>
      <c r="AR171" s="25">
        <v>0</v>
      </c>
      <c r="AS171" s="44">
        <f>AS170+AS167+AS164</f>
        <v>0</v>
      </c>
      <c r="AT171" s="23">
        <v>0</v>
      </c>
      <c r="AU171" s="43" t="str">
        <f t="shared" si="257"/>
        <v>-</v>
      </c>
      <c r="AV171" s="46">
        <f>AV170+AV167+AV164</f>
        <v>2449747.25</v>
      </c>
      <c r="AW171" s="45">
        <f>AW170+AW167+AW164</f>
        <v>-101117.27111111628</v>
      </c>
      <c r="AX171" s="23">
        <v>0</v>
      </c>
      <c r="AY171" s="25">
        <v>0</v>
      </c>
      <c r="AZ171" s="44">
        <f>AZ170+AZ167+AZ164</f>
        <v>2397570.3099999279</v>
      </c>
      <c r="BA171" s="44">
        <f>BA170+BA167+BA164</f>
        <v>-1306446.1266666967</v>
      </c>
      <c r="BB171" s="23">
        <v>0</v>
      </c>
      <c r="BC171" s="25">
        <v>0</v>
      </c>
      <c r="BD171" s="44">
        <f>BD170+BD167+BD164</f>
        <v>0</v>
      </c>
      <c r="BE171" s="23">
        <v>0</v>
      </c>
      <c r="BF171" s="43" t="str">
        <f t="shared" si="258"/>
        <v>-</v>
      </c>
      <c r="BG171" s="46">
        <f>BG170+BG167+BG164</f>
        <v>2449747.25</v>
      </c>
      <c r="BH171" s="45">
        <f>BH170+BH167+BH164</f>
        <v>-101117.27111111628</v>
      </c>
      <c r="BI171" s="23">
        <v>0</v>
      </c>
      <c r="BJ171" s="25">
        <v>0</v>
      </c>
      <c r="BK171" s="44">
        <f>BK170+BK167+BK164</f>
        <v>2397570.3099999279</v>
      </c>
      <c r="BL171" s="44">
        <f>BL170+BL167+BL164</f>
        <v>-1306446.1266666967</v>
      </c>
      <c r="BM171" s="23">
        <v>0</v>
      </c>
      <c r="BN171" s="25">
        <v>0</v>
      </c>
      <c r="BO171" s="44">
        <f>BO170+BO167+BO164</f>
        <v>0</v>
      </c>
      <c r="BP171" s="23">
        <v>0</v>
      </c>
      <c r="BQ171" s="43" t="str">
        <f t="shared" si="259"/>
        <v>-</v>
      </c>
      <c r="BR171" s="46">
        <f>BR170+BR167+BR164</f>
        <v>2449747.25</v>
      </c>
      <c r="BS171" s="45">
        <f>BS170+BS167+BS164</f>
        <v>-101117.27111111628</v>
      </c>
      <c r="BT171" s="23">
        <v>0</v>
      </c>
      <c r="BU171" s="25">
        <v>0</v>
      </c>
      <c r="BV171" s="44">
        <f>BV170+BV167+BV164</f>
        <v>2397570.3099999279</v>
      </c>
      <c r="BW171" s="44">
        <f>BW170+BW167+BW164</f>
        <v>-1306446.1266666967</v>
      </c>
      <c r="BX171" s="23">
        <v>0</v>
      </c>
      <c r="BY171" s="25">
        <v>0</v>
      </c>
      <c r="BZ171" s="44">
        <f>BZ170+BZ167+BZ164</f>
        <v>0</v>
      </c>
      <c r="CA171" s="23">
        <v>0</v>
      </c>
      <c r="CB171" s="43" t="str">
        <f t="shared" si="260"/>
        <v>-</v>
      </c>
      <c r="CC171" s="46">
        <f>CC170+CC167+CC164</f>
        <v>2449747.25</v>
      </c>
      <c r="CD171" s="45">
        <f>CD170+CD167+CD164</f>
        <v>-101117.27111111628</v>
      </c>
      <c r="CE171" s="23">
        <v>0</v>
      </c>
      <c r="CF171" s="25">
        <v>0</v>
      </c>
      <c r="CG171" s="44">
        <f>CG170+CG167+CG164</f>
        <v>2397570.3099999279</v>
      </c>
      <c r="CH171" s="44">
        <f>CH170+CH167+CH164</f>
        <v>-1306446.1266666967</v>
      </c>
      <c r="CI171" s="23">
        <v>0</v>
      </c>
      <c r="CJ171" s="25">
        <v>0</v>
      </c>
      <c r="CK171" s="44">
        <f>CK170+CK167+CK164</f>
        <v>0</v>
      </c>
      <c r="CL171" s="23">
        <v>0</v>
      </c>
      <c r="CM171" s="43" t="str">
        <f t="shared" si="261"/>
        <v>-</v>
      </c>
      <c r="CN171" s="46">
        <f>CN170+CN167+CN164</f>
        <v>2449747.25</v>
      </c>
      <c r="CO171" s="45">
        <f>CO170+CO167+CO164</f>
        <v>-101117.27111111628</v>
      </c>
      <c r="CP171" s="23">
        <v>0</v>
      </c>
      <c r="CQ171" s="25">
        <v>0</v>
      </c>
      <c r="CR171" s="44">
        <f>CR170+CR167+CR164</f>
        <v>2397570.3099999279</v>
      </c>
      <c r="CS171" s="44">
        <f>CS170+CS167+CS164</f>
        <v>-1306446.1266666967</v>
      </c>
      <c r="CT171" s="23">
        <v>0</v>
      </c>
      <c r="CU171" s="25">
        <v>0</v>
      </c>
      <c r="CV171" s="44">
        <f>CV170+CV167+CV164</f>
        <v>0</v>
      </c>
      <c r="CW171" s="23">
        <v>0</v>
      </c>
      <c r="CX171" s="43" t="str">
        <f t="shared" si="262"/>
        <v>-</v>
      </c>
      <c r="CY171" s="46">
        <f>CY170+CY167+CY164</f>
        <v>2449747.25</v>
      </c>
      <c r="CZ171" s="45">
        <f>CZ170+CZ167+CZ164</f>
        <v>-101117.27111111628</v>
      </c>
      <c r="DA171" s="23">
        <v>0</v>
      </c>
      <c r="DB171" s="25">
        <v>0</v>
      </c>
      <c r="DC171" s="44">
        <f>DC170+DC167+DC164</f>
        <v>2397570.3099999279</v>
      </c>
      <c r="DD171" s="44">
        <f>DD170+DD167+DD164</f>
        <v>-1306446.1266666967</v>
      </c>
      <c r="DE171" s="23">
        <v>0</v>
      </c>
      <c r="DF171" s="25">
        <v>0</v>
      </c>
      <c r="DG171" s="44">
        <f>DG170+DG167+DG164</f>
        <v>0</v>
      </c>
      <c r="DH171" s="23">
        <v>0</v>
      </c>
      <c r="DI171" s="43" t="str">
        <f t="shared" si="263"/>
        <v>-</v>
      </c>
    </row>
    <row r="172" spans="1:113" s="6" customFormat="1" x14ac:dyDescent="0.2">
      <c r="B172" s="21" t="str">
        <f t="shared" si="264"/>
        <v>ФОТ до бонуса</v>
      </c>
      <c r="C172" s="20" t="str">
        <f t="shared" si="264"/>
        <v>FIX compensation before Bonus</v>
      </c>
      <c r="D172" s="19">
        <f>D171+D161+D148+D145</f>
        <v>2087093.6900000018</v>
      </c>
      <c r="E172" s="18">
        <f>E171+E161+E148+E145</f>
        <v>1531305.3704398829</v>
      </c>
      <c r="F172" s="15">
        <v>0</v>
      </c>
      <c r="G172" s="17">
        <v>0</v>
      </c>
      <c r="H172" s="16">
        <f>H171+H161+H148+H145</f>
        <v>537445.75000022235</v>
      </c>
      <c r="I172" s="16">
        <f>I171+I161+I148+I145</f>
        <v>-5283865.1666666968</v>
      </c>
      <c r="J172" s="15">
        <v>0</v>
      </c>
      <c r="K172" s="17">
        <v>0</v>
      </c>
      <c r="L172" s="16">
        <f>L171+L161+L148+L145</f>
        <v>-3977419.04</v>
      </c>
      <c r="M172" s="15">
        <v>0</v>
      </c>
      <c r="N172" s="14">
        <f t="shared" si="254"/>
        <v>0</v>
      </c>
      <c r="O172" s="19">
        <f>O171+O161+O148+O145</f>
        <v>2087093.6900000018</v>
      </c>
      <c r="P172" s="18">
        <f>P171+P161+P148+P145</f>
        <v>1531305.3704398829</v>
      </c>
      <c r="Q172" s="15">
        <v>0</v>
      </c>
      <c r="R172" s="17">
        <v>0</v>
      </c>
      <c r="S172" s="16">
        <f>S171+S161+S148+S145</f>
        <v>537445.75000022235</v>
      </c>
      <c r="T172" s="16">
        <f>T171+T161+T148+T145</f>
        <v>-5283865.1666666968</v>
      </c>
      <c r="U172" s="15">
        <v>0</v>
      </c>
      <c r="V172" s="17">
        <v>0</v>
      </c>
      <c r="W172" s="16">
        <f>W171+W161+W148+W145</f>
        <v>-3977419.04</v>
      </c>
      <c r="X172" s="15">
        <v>0</v>
      </c>
      <c r="Y172" s="14">
        <f t="shared" si="255"/>
        <v>0</v>
      </c>
      <c r="Z172" s="19">
        <f>Z171+Z161+Z148+Z145</f>
        <v>2087093.6900000018</v>
      </c>
      <c r="AA172" s="18">
        <f>AA171+AA161+AA148+AA145</f>
        <v>1531305.3704398829</v>
      </c>
      <c r="AB172" s="15">
        <v>0</v>
      </c>
      <c r="AC172" s="17">
        <v>0</v>
      </c>
      <c r="AD172" s="16">
        <f>AD171+AD161+AD148+AD145</f>
        <v>537445.75000022235</v>
      </c>
      <c r="AE172" s="16">
        <f>AE171+AE161+AE148+AE145</f>
        <v>-5283865.1666666968</v>
      </c>
      <c r="AF172" s="15">
        <v>0</v>
      </c>
      <c r="AG172" s="17">
        <v>0</v>
      </c>
      <c r="AH172" s="16">
        <f>AH171+AH161+AH148+AH145</f>
        <v>-3977419.04</v>
      </c>
      <c r="AI172" s="15">
        <v>0</v>
      </c>
      <c r="AJ172" s="14">
        <f t="shared" si="256"/>
        <v>0</v>
      </c>
      <c r="AK172" s="19">
        <f>AK171+AK161+AK148+AK145</f>
        <v>2087093.6900000018</v>
      </c>
      <c r="AL172" s="18">
        <f>AL171+AL161+AL148+AL145</f>
        <v>1531305.3704398829</v>
      </c>
      <c r="AM172" s="15">
        <v>0</v>
      </c>
      <c r="AN172" s="17">
        <v>0</v>
      </c>
      <c r="AO172" s="16">
        <f>AO171+AO161+AO148+AO145</f>
        <v>537445.75000022235</v>
      </c>
      <c r="AP172" s="16">
        <f>AP171+AP161+AP148+AP145</f>
        <v>-5283865.1666666968</v>
      </c>
      <c r="AQ172" s="15">
        <v>0</v>
      </c>
      <c r="AR172" s="17">
        <v>0</v>
      </c>
      <c r="AS172" s="16">
        <f>AS171+AS161+AS148+AS145</f>
        <v>-3977419.04</v>
      </c>
      <c r="AT172" s="15">
        <v>0</v>
      </c>
      <c r="AU172" s="14">
        <f t="shared" si="257"/>
        <v>0</v>
      </c>
      <c r="AV172" s="19">
        <f>AV171+AV161+AV148+AV145</f>
        <v>2087093.6900000018</v>
      </c>
      <c r="AW172" s="18">
        <f>AW171+AW161+AW148+AW145</f>
        <v>1531305.3704398829</v>
      </c>
      <c r="AX172" s="15">
        <v>0</v>
      </c>
      <c r="AY172" s="17">
        <v>0</v>
      </c>
      <c r="AZ172" s="16">
        <f>AZ171+AZ161+AZ148+AZ145</f>
        <v>537445.75000022235</v>
      </c>
      <c r="BA172" s="16">
        <f>BA171+BA161+BA148+BA145</f>
        <v>-5283865.1666666968</v>
      </c>
      <c r="BB172" s="15">
        <v>0</v>
      </c>
      <c r="BC172" s="17">
        <v>0</v>
      </c>
      <c r="BD172" s="16">
        <f>BD171+BD161+BD148+BD145</f>
        <v>-3977419.04</v>
      </c>
      <c r="BE172" s="15">
        <v>0</v>
      </c>
      <c r="BF172" s="14">
        <f t="shared" si="258"/>
        <v>0</v>
      </c>
      <c r="BG172" s="19">
        <f>BG171+BG161+BG148+BG145</f>
        <v>2087093.6900000018</v>
      </c>
      <c r="BH172" s="18">
        <f>BH171+BH161+BH148+BH145</f>
        <v>1531305.3704398829</v>
      </c>
      <c r="BI172" s="15">
        <v>0</v>
      </c>
      <c r="BJ172" s="17">
        <v>0</v>
      </c>
      <c r="BK172" s="16">
        <f>BK171+BK161+BK148+BK145</f>
        <v>537445.75000022235</v>
      </c>
      <c r="BL172" s="16">
        <f>BL171+BL161+BL148+BL145</f>
        <v>-5283865.1666666968</v>
      </c>
      <c r="BM172" s="15">
        <v>0</v>
      </c>
      <c r="BN172" s="17">
        <v>0</v>
      </c>
      <c r="BO172" s="16">
        <f>BO171+BO161+BO148+BO145</f>
        <v>-3977419.04</v>
      </c>
      <c r="BP172" s="15">
        <v>0</v>
      </c>
      <c r="BQ172" s="14">
        <f t="shared" si="259"/>
        <v>0</v>
      </c>
      <c r="BR172" s="19">
        <f>BR171+BR161+BR148+BR145</f>
        <v>2087093.6900000018</v>
      </c>
      <c r="BS172" s="18">
        <f>BS171+BS161+BS148+BS145</f>
        <v>1531305.3704398829</v>
      </c>
      <c r="BT172" s="15">
        <v>0</v>
      </c>
      <c r="BU172" s="17">
        <v>0</v>
      </c>
      <c r="BV172" s="16">
        <f>BV171+BV161+BV148+BV145</f>
        <v>537445.75000022235</v>
      </c>
      <c r="BW172" s="16">
        <f>BW171+BW161+BW148+BW145</f>
        <v>-5283865.1666666968</v>
      </c>
      <c r="BX172" s="15">
        <v>0</v>
      </c>
      <c r="BY172" s="17">
        <v>0</v>
      </c>
      <c r="BZ172" s="16">
        <f>BZ171+BZ161+BZ148+BZ145</f>
        <v>-3977419.04</v>
      </c>
      <c r="CA172" s="15">
        <v>0</v>
      </c>
      <c r="CB172" s="14">
        <f t="shared" si="260"/>
        <v>0</v>
      </c>
      <c r="CC172" s="19">
        <f>CC171+CC161+CC148+CC145</f>
        <v>2087093.6900000018</v>
      </c>
      <c r="CD172" s="18">
        <f>CD171+CD161+CD148+CD145</f>
        <v>1531305.3704398829</v>
      </c>
      <c r="CE172" s="15">
        <v>0</v>
      </c>
      <c r="CF172" s="17">
        <v>0</v>
      </c>
      <c r="CG172" s="16">
        <f>CG171+CG161+CG148+CG145</f>
        <v>537445.75000022235</v>
      </c>
      <c r="CH172" s="16">
        <f>CH171+CH161+CH148+CH145</f>
        <v>-5283865.1666666968</v>
      </c>
      <c r="CI172" s="15">
        <v>0</v>
      </c>
      <c r="CJ172" s="17">
        <v>0</v>
      </c>
      <c r="CK172" s="16">
        <f>CK171+CK161+CK148+CK145</f>
        <v>-3977419.04</v>
      </c>
      <c r="CL172" s="15">
        <v>0</v>
      </c>
      <c r="CM172" s="14">
        <f t="shared" si="261"/>
        <v>0</v>
      </c>
      <c r="CN172" s="19">
        <f>CN171+CN161+CN148+CN145</f>
        <v>2087093.6900000018</v>
      </c>
      <c r="CO172" s="18">
        <f>CO171+CO161+CO148+CO145</f>
        <v>1531305.3704398829</v>
      </c>
      <c r="CP172" s="15">
        <v>0</v>
      </c>
      <c r="CQ172" s="17">
        <v>0</v>
      </c>
      <c r="CR172" s="16">
        <f>CR171+CR161+CR148+CR145</f>
        <v>537445.75000022235</v>
      </c>
      <c r="CS172" s="16">
        <f>CS171+CS161+CS148+CS145</f>
        <v>-5283865.1666666968</v>
      </c>
      <c r="CT172" s="15">
        <v>0</v>
      </c>
      <c r="CU172" s="17">
        <v>0</v>
      </c>
      <c r="CV172" s="16">
        <f>CV171+CV161+CV148+CV145</f>
        <v>-3977419.04</v>
      </c>
      <c r="CW172" s="15">
        <v>0</v>
      </c>
      <c r="CX172" s="14">
        <f t="shared" si="262"/>
        <v>0</v>
      </c>
      <c r="CY172" s="19">
        <f>CY171+CY161+CY148+CY145</f>
        <v>2087093.6900000018</v>
      </c>
      <c r="CZ172" s="18">
        <f>CZ171+CZ161+CZ148+CZ145</f>
        <v>1531305.3704398829</v>
      </c>
      <c r="DA172" s="15">
        <v>0</v>
      </c>
      <c r="DB172" s="17">
        <v>0</v>
      </c>
      <c r="DC172" s="16">
        <f>DC171+DC161+DC148+DC145</f>
        <v>537445.75000022235</v>
      </c>
      <c r="DD172" s="16">
        <f>DD171+DD161+DD148+DD145</f>
        <v>-5283865.1666666968</v>
      </c>
      <c r="DE172" s="15">
        <v>0</v>
      </c>
      <c r="DF172" s="17">
        <v>0</v>
      </c>
      <c r="DG172" s="16">
        <f>DG171+DG161+DG148+DG145</f>
        <v>-3977419.04</v>
      </c>
      <c r="DH172" s="15">
        <v>0</v>
      </c>
      <c r="DI172" s="14">
        <f t="shared" si="263"/>
        <v>0</v>
      </c>
    </row>
    <row r="173" spans="1:113" ht="12.75" hidden="1" customHeight="1" outlineLevel="3" x14ac:dyDescent="0.2">
      <c r="B173" s="38" t="str">
        <f t="shared" ref="B173:C187" si="265">B53</f>
        <v>Резерв бонуса прошлых лет</v>
      </c>
      <c r="C173" s="37" t="str">
        <f t="shared" si="265"/>
        <v>Under-/overaccruals - cash</v>
      </c>
      <c r="D173" s="36">
        <f>D53-D116</f>
        <v>0</v>
      </c>
      <c r="E173" s="40">
        <f>E53-E116</f>
        <v>0</v>
      </c>
      <c r="F173" s="32">
        <v>0</v>
      </c>
      <c r="G173" s="34">
        <v>0</v>
      </c>
      <c r="H173" s="33">
        <f>H53-H116</f>
        <v>1030559766.46</v>
      </c>
      <c r="I173" s="33">
        <f>I53-I116</f>
        <v>1030559766.46</v>
      </c>
      <c r="J173" s="32">
        <v>0</v>
      </c>
      <c r="K173" s="34">
        <v>0</v>
      </c>
      <c r="L173" s="33">
        <f>L53-L116</f>
        <v>1030559766.46</v>
      </c>
      <c r="M173" s="32">
        <v>0</v>
      </c>
      <c r="N173" s="31">
        <f t="shared" si="254"/>
        <v>0</v>
      </c>
      <c r="O173" s="36">
        <f>O53-O116</f>
        <v>0</v>
      </c>
      <c r="P173" s="40">
        <f>P53-P116</f>
        <v>0</v>
      </c>
      <c r="Q173" s="32">
        <v>0</v>
      </c>
      <c r="R173" s="34">
        <v>0</v>
      </c>
      <c r="S173" s="33">
        <f>S53-S116</f>
        <v>1030559766.46</v>
      </c>
      <c r="T173" s="33">
        <f>T53-T116</f>
        <v>1030559766.46</v>
      </c>
      <c r="U173" s="32">
        <v>0</v>
      </c>
      <c r="V173" s="34">
        <v>0</v>
      </c>
      <c r="W173" s="33">
        <f>W53-W116</f>
        <v>1030559766.46</v>
      </c>
      <c r="X173" s="32">
        <v>0</v>
      </c>
      <c r="Y173" s="31">
        <f t="shared" si="255"/>
        <v>0</v>
      </c>
      <c r="Z173" s="36">
        <f>Z53-Z116</f>
        <v>0</v>
      </c>
      <c r="AA173" s="40">
        <f>AA53-AA116</f>
        <v>0</v>
      </c>
      <c r="AB173" s="32">
        <v>0</v>
      </c>
      <c r="AC173" s="34">
        <v>0</v>
      </c>
      <c r="AD173" s="33">
        <f>AD53-AD116</f>
        <v>1030559766.46</v>
      </c>
      <c r="AE173" s="33">
        <f>AE53-AE116</f>
        <v>1030559766.46</v>
      </c>
      <c r="AF173" s="32">
        <v>0</v>
      </c>
      <c r="AG173" s="34">
        <v>0</v>
      </c>
      <c r="AH173" s="33">
        <f>AH53-AH116</f>
        <v>1030559766.46</v>
      </c>
      <c r="AI173" s="32">
        <v>0</v>
      </c>
      <c r="AJ173" s="31">
        <f t="shared" si="256"/>
        <v>0</v>
      </c>
      <c r="AK173" s="36">
        <f>AK53-AK116</f>
        <v>0</v>
      </c>
      <c r="AL173" s="40">
        <f>AL53-AL116</f>
        <v>0</v>
      </c>
      <c r="AM173" s="32">
        <v>0</v>
      </c>
      <c r="AN173" s="34">
        <v>0</v>
      </c>
      <c r="AO173" s="33">
        <f>AO53-AO116</f>
        <v>1030559766.46</v>
      </c>
      <c r="AP173" s="33">
        <f>AP53-AP116</f>
        <v>1030559766.46</v>
      </c>
      <c r="AQ173" s="32">
        <v>0</v>
      </c>
      <c r="AR173" s="34">
        <v>0</v>
      </c>
      <c r="AS173" s="33">
        <f>AS53-AS116</f>
        <v>1030559766.46</v>
      </c>
      <c r="AT173" s="32">
        <v>0</v>
      </c>
      <c r="AU173" s="31">
        <f t="shared" si="257"/>
        <v>0</v>
      </c>
      <c r="AV173" s="36">
        <f>AV53-AV116</f>
        <v>0</v>
      </c>
      <c r="AW173" s="40">
        <f>AW53-AW116</f>
        <v>0</v>
      </c>
      <c r="AX173" s="32">
        <v>0</v>
      </c>
      <c r="AY173" s="34">
        <v>0</v>
      </c>
      <c r="AZ173" s="33">
        <f>AZ53-AZ116</f>
        <v>1030559766.46</v>
      </c>
      <c r="BA173" s="33">
        <f>BA53-BA116</f>
        <v>1030559766.46</v>
      </c>
      <c r="BB173" s="32">
        <v>0</v>
      </c>
      <c r="BC173" s="34">
        <v>0</v>
      </c>
      <c r="BD173" s="33">
        <f>BD53-BD116</f>
        <v>1030559766.46</v>
      </c>
      <c r="BE173" s="32">
        <v>0</v>
      </c>
      <c r="BF173" s="31">
        <f t="shared" si="258"/>
        <v>0</v>
      </c>
      <c r="BG173" s="36">
        <f>BG53-BG116</f>
        <v>0</v>
      </c>
      <c r="BH173" s="40">
        <f>BH53-BH116</f>
        <v>0</v>
      </c>
      <c r="BI173" s="32">
        <v>0</v>
      </c>
      <c r="BJ173" s="34">
        <v>0</v>
      </c>
      <c r="BK173" s="33">
        <f>BK53-BK116</f>
        <v>1030559766.46</v>
      </c>
      <c r="BL173" s="33">
        <f>BL53-BL116</f>
        <v>1030559766.46</v>
      </c>
      <c r="BM173" s="32">
        <v>0</v>
      </c>
      <c r="BN173" s="34">
        <v>0</v>
      </c>
      <c r="BO173" s="33">
        <f>BO53-BO116</f>
        <v>1030559766.46</v>
      </c>
      <c r="BP173" s="32">
        <v>0</v>
      </c>
      <c r="BQ173" s="31">
        <f t="shared" si="259"/>
        <v>0</v>
      </c>
      <c r="BR173" s="36">
        <f>BR53-BR116</f>
        <v>0</v>
      </c>
      <c r="BS173" s="40">
        <f>BS53-BS116</f>
        <v>0</v>
      </c>
      <c r="BT173" s="32">
        <v>0</v>
      </c>
      <c r="BU173" s="34">
        <v>0</v>
      </c>
      <c r="BV173" s="33">
        <f>BV53-BV116</f>
        <v>1030559766.46</v>
      </c>
      <c r="BW173" s="33">
        <f>BW53-BW116</f>
        <v>1030559766.46</v>
      </c>
      <c r="BX173" s="32">
        <v>0</v>
      </c>
      <c r="BY173" s="34">
        <v>0</v>
      </c>
      <c r="BZ173" s="33">
        <f>BZ53-BZ116</f>
        <v>1030559766.46</v>
      </c>
      <c r="CA173" s="32">
        <v>0</v>
      </c>
      <c r="CB173" s="31">
        <f t="shared" si="260"/>
        <v>0</v>
      </c>
      <c r="CC173" s="36">
        <f>CC53-CC116</f>
        <v>0</v>
      </c>
      <c r="CD173" s="40">
        <f>CD53-CD116</f>
        <v>0</v>
      </c>
      <c r="CE173" s="32">
        <v>0</v>
      </c>
      <c r="CF173" s="34">
        <v>0</v>
      </c>
      <c r="CG173" s="33">
        <f>CG53-CG116</f>
        <v>1030559766.46</v>
      </c>
      <c r="CH173" s="33">
        <f>CH53-CH116</f>
        <v>1030559766.46</v>
      </c>
      <c r="CI173" s="32">
        <v>0</v>
      </c>
      <c r="CJ173" s="34">
        <v>0</v>
      </c>
      <c r="CK173" s="33">
        <f>CK53-CK116</f>
        <v>1030559766.46</v>
      </c>
      <c r="CL173" s="32">
        <v>0</v>
      </c>
      <c r="CM173" s="31">
        <f t="shared" si="261"/>
        <v>0</v>
      </c>
      <c r="CN173" s="36">
        <f>CN53-CN116</f>
        <v>0</v>
      </c>
      <c r="CO173" s="40">
        <f>CO53-CO116</f>
        <v>0</v>
      </c>
      <c r="CP173" s="32">
        <v>0</v>
      </c>
      <c r="CQ173" s="34">
        <v>0</v>
      </c>
      <c r="CR173" s="33">
        <f>CR53-CR116</f>
        <v>1030559766.46</v>
      </c>
      <c r="CS173" s="33">
        <f>CS53-CS116</f>
        <v>1030559766.46</v>
      </c>
      <c r="CT173" s="32">
        <v>0</v>
      </c>
      <c r="CU173" s="34">
        <v>0</v>
      </c>
      <c r="CV173" s="33">
        <f>CV53-CV116</f>
        <v>1030559766.46</v>
      </c>
      <c r="CW173" s="32">
        <v>0</v>
      </c>
      <c r="CX173" s="31">
        <f t="shared" si="262"/>
        <v>0</v>
      </c>
      <c r="CY173" s="36">
        <f>CY53-CY116</f>
        <v>0</v>
      </c>
      <c r="CZ173" s="40">
        <f>CZ53-CZ116</f>
        <v>0</v>
      </c>
      <c r="DA173" s="32">
        <v>0</v>
      </c>
      <c r="DB173" s="34">
        <v>0</v>
      </c>
      <c r="DC173" s="33">
        <f>DC53-DC116</f>
        <v>1030559766.46</v>
      </c>
      <c r="DD173" s="33">
        <f>DD53-DD116</f>
        <v>1030559766.46</v>
      </c>
      <c r="DE173" s="32">
        <v>0</v>
      </c>
      <c r="DF173" s="34">
        <v>0</v>
      </c>
      <c r="DG173" s="33">
        <f>DG53-DG116</f>
        <v>1030559766.46</v>
      </c>
      <c r="DH173" s="32">
        <v>0</v>
      </c>
      <c r="DI173" s="31">
        <f t="shared" si="263"/>
        <v>0</v>
      </c>
    </row>
    <row r="174" spans="1:113" ht="12.75" hidden="1" customHeight="1" outlineLevel="3" x14ac:dyDescent="0.2">
      <c r="B174" s="38" t="str">
        <f t="shared" si="265"/>
        <v>Страховые взносы, резерв бонуса прошлых лет</v>
      </c>
      <c r="C174" s="37" t="str">
        <f t="shared" si="265"/>
        <v>Under-/overaccruals - contribution to social secur</v>
      </c>
      <c r="D174" s="36">
        <f>D54-D117</f>
        <v>0</v>
      </c>
      <c r="E174" s="40">
        <f>E54-E117</f>
        <v>0</v>
      </c>
      <c r="F174" s="32">
        <v>0</v>
      </c>
      <c r="G174" s="34">
        <v>0</v>
      </c>
      <c r="H174" s="33">
        <f>H54-H117</f>
        <v>305311883.32000005</v>
      </c>
      <c r="I174" s="33">
        <f>I54-I117</f>
        <v>281392275.22000003</v>
      </c>
      <c r="J174" s="32">
        <v>0</v>
      </c>
      <c r="K174" s="34">
        <v>0</v>
      </c>
      <c r="L174" s="33">
        <f>L54-L117</f>
        <v>281392275.22000003</v>
      </c>
      <c r="M174" s="32">
        <v>0</v>
      </c>
      <c r="N174" s="31">
        <f t="shared" si="254"/>
        <v>0</v>
      </c>
      <c r="O174" s="36">
        <f>O54-O117</f>
        <v>0</v>
      </c>
      <c r="P174" s="40">
        <f>P54-P117</f>
        <v>0</v>
      </c>
      <c r="Q174" s="32">
        <v>0</v>
      </c>
      <c r="R174" s="34">
        <v>0</v>
      </c>
      <c r="S174" s="33">
        <f>S54-S117</f>
        <v>305311883.32000005</v>
      </c>
      <c r="T174" s="33">
        <f>T54-T117</f>
        <v>281392275.22000003</v>
      </c>
      <c r="U174" s="32">
        <v>0</v>
      </c>
      <c r="V174" s="34">
        <v>0</v>
      </c>
      <c r="W174" s="33">
        <f>W54-W117</f>
        <v>281392275.22000003</v>
      </c>
      <c r="X174" s="32">
        <v>0</v>
      </c>
      <c r="Y174" s="31">
        <f t="shared" si="255"/>
        <v>0</v>
      </c>
      <c r="Z174" s="36">
        <f>Z54-Z117</f>
        <v>0</v>
      </c>
      <c r="AA174" s="40">
        <f>AA54-AA117</f>
        <v>0</v>
      </c>
      <c r="AB174" s="32">
        <v>0</v>
      </c>
      <c r="AC174" s="34">
        <v>0</v>
      </c>
      <c r="AD174" s="33">
        <f>AD54-AD117</f>
        <v>305311883.32000005</v>
      </c>
      <c r="AE174" s="33">
        <f>AE54-AE117</f>
        <v>281392275.22000003</v>
      </c>
      <c r="AF174" s="32">
        <v>0</v>
      </c>
      <c r="AG174" s="34">
        <v>0</v>
      </c>
      <c r="AH174" s="33">
        <f>AH54-AH117</f>
        <v>281392275.22000003</v>
      </c>
      <c r="AI174" s="32">
        <v>0</v>
      </c>
      <c r="AJ174" s="31">
        <f t="shared" si="256"/>
        <v>0</v>
      </c>
      <c r="AK174" s="36">
        <f>AK54-AK117</f>
        <v>0</v>
      </c>
      <c r="AL174" s="40">
        <f>AL54-AL117</f>
        <v>0</v>
      </c>
      <c r="AM174" s="32">
        <v>0</v>
      </c>
      <c r="AN174" s="34">
        <v>0</v>
      </c>
      <c r="AO174" s="33">
        <f>AO54-AO117</f>
        <v>305311883.32000005</v>
      </c>
      <c r="AP174" s="33">
        <f>AP54-AP117</f>
        <v>281392275.22000003</v>
      </c>
      <c r="AQ174" s="32">
        <v>0</v>
      </c>
      <c r="AR174" s="34">
        <v>0</v>
      </c>
      <c r="AS174" s="33">
        <f>AS54-AS117</f>
        <v>281392275.22000003</v>
      </c>
      <c r="AT174" s="32">
        <v>0</v>
      </c>
      <c r="AU174" s="31">
        <f t="shared" si="257"/>
        <v>0</v>
      </c>
      <c r="AV174" s="36">
        <f>AV54-AV117</f>
        <v>0</v>
      </c>
      <c r="AW174" s="40">
        <f>AW54-AW117</f>
        <v>0</v>
      </c>
      <c r="AX174" s="32">
        <v>0</v>
      </c>
      <c r="AY174" s="34">
        <v>0</v>
      </c>
      <c r="AZ174" s="33">
        <f>AZ54-AZ117</f>
        <v>305311883.32000005</v>
      </c>
      <c r="BA174" s="33">
        <f>BA54-BA117</f>
        <v>281392275.22000003</v>
      </c>
      <c r="BB174" s="32">
        <v>0</v>
      </c>
      <c r="BC174" s="34">
        <v>0</v>
      </c>
      <c r="BD174" s="33">
        <f>BD54-BD117</f>
        <v>281392275.22000003</v>
      </c>
      <c r="BE174" s="32">
        <v>0</v>
      </c>
      <c r="BF174" s="31">
        <f t="shared" si="258"/>
        <v>0</v>
      </c>
      <c r="BG174" s="36">
        <f>BG54-BG117</f>
        <v>0</v>
      </c>
      <c r="BH174" s="40">
        <f>BH54-BH117</f>
        <v>0</v>
      </c>
      <c r="BI174" s="32">
        <v>0</v>
      </c>
      <c r="BJ174" s="34">
        <v>0</v>
      </c>
      <c r="BK174" s="33">
        <f>BK54-BK117</f>
        <v>305311883.32000005</v>
      </c>
      <c r="BL174" s="33">
        <f>BL54-BL117</f>
        <v>281392275.22000003</v>
      </c>
      <c r="BM174" s="32">
        <v>0</v>
      </c>
      <c r="BN174" s="34">
        <v>0</v>
      </c>
      <c r="BO174" s="33">
        <f>BO54-BO117</f>
        <v>281392275.22000003</v>
      </c>
      <c r="BP174" s="32">
        <v>0</v>
      </c>
      <c r="BQ174" s="31">
        <f t="shared" si="259"/>
        <v>0</v>
      </c>
      <c r="BR174" s="36">
        <f>BR54-BR117</f>
        <v>0</v>
      </c>
      <c r="BS174" s="40">
        <f>BS54-BS117</f>
        <v>0</v>
      </c>
      <c r="BT174" s="32">
        <v>0</v>
      </c>
      <c r="BU174" s="34">
        <v>0</v>
      </c>
      <c r="BV174" s="33">
        <f>BV54-BV117</f>
        <v>305311883.32000005</v>
      </c>
      <c r="BW174" s="33">
        <f>BW54-BW117</f>
        <v>281392275.22000003</v>
      </c>
      <c r="BX174" s="32">
        <v>0</v>
      </c>
      <c r="BY174" s="34">
        <v>0</v>
      </c>
      <c r="BZ174" s="33">
        <f>BZ54-BZ117</f>
        <v>281392275.22000003</v>
      </c>
      <c r="CA174" s="32">
        <v>0</v>
      </c>
      <c r="CB174" s="31">
        <f t="shared" si="260"/>
        <v>0</v>
      </c>
      <c r="CC174" s="36">
        <f>CC54-CC117</f>
        <v>0</v>
      </c>
      <c r="CD174" s="40">
        <f>CD54-CD117</f>
        <v>0</v>
      </c>
      <c r="CE174" s="32">
        <v>0</v>
      </c>
      <c r="CF174" s="34">
        <v>0</v>
      </c>
      <c r="CG174" s="33">
        <f>CG54-CG117</f>
        <v>305311883.32000005</v>
      </c>
      <c r="CH174" s="33">
        <f>CH54-CH117</f>
        <v>281392275.22000003</v>
      </c>
      <c r="CI174" s="32">
        <v>0</v>
      </c>
      <c r="CJ174" s="34">
        <v>0</v>
      </c>
      <c r="CK174" s="33">
        <f>CK54-CK117</f>
        <v>281392275.22000003</v>
      </c>
      <c r="CL174" s="32">
        <v>0</v>
      </c>
      <c r="CM174" s="31">
        <f t="shared" si="261"/>
        <v>0</v>
      </c>
      <c r="CN174" s="36">
        <f>CN54-CN117</f>
        <v>0</v>
      </c>
      <c r="CO174" s="40">
        <f>CO54-CO117</f>
        <v>0</v>
      </c>
      <c r="CP174" s="32">
        <v>0</v>
      </c>
      <c r="CQ174" s="34">
        <v>0</v>
      </c>
      <c r="CR174" s="33">
        <f>CR54-CR117</f>
        <v>305311883.32000005</v>
      </c>
      <c r="CS174" s="33">
        <f>CS54-CS117</f>
        <v>281392275.22000003</v>
      </c>
      <c r="CT174" s="32">
        <v>0</v>
      </c>
      <c r="CU174" s="34">
        <v>0</v>
      </c>
      <c r="CV174" s="33">
        <f>CV54-CV117</f>
        <v>281392275.22000003</v>
      </c>
      <c r="CW174" s="32">
        <v>0</v>
      </c>
      <c r="CX174" s="31">
        <f t="shared" si="262"/>
        <v>0</v>
      </c>
      <c r="CY174" s="36">
        <f>CY54-CY117</f>
        <v>0</v>
      </c>
      <c r="CZ174" s="40">
        <f>CZ54-CZ117</f>
        <v>0</v>
      </c>
      <c r="DA174" s="32">
        <v>0</v>
      </c>
      <c r="DB174" s="34">
        <v>0</v>
      </c>
      <c r="DC174" s="33">
        <f>DC54-DC117</f>
        <v>305311883.32000005</v>
      </c>
      <c r="DD174" s="33">
        <f>DD54-DD117</f>
        <v>281392275.22000003</v>
      </c>
      <c r="DE174" s="32">
        <v>0</v>
      </c>
      <c r="DF174" s="34">
        <v>0</v>
      </c>
      <c r="DG174" s="33">
        <f>DG54-DG117</f>
        <v>281392275.22000003</v>
      </c>
      <c r="DH174" s="32">
        <v>0</v>
      </c>
      <c r="DI174" s="31">
        <f t="shared" si="263"/>
        <v>0</v>
      </c>
    </row>
    <row r="175" spans="1:113" s="6" customFormat="1" hidden="1" outlineLevel="1" collapsed="1" x14ac:dyDescent="0.2">
      <c r="A175" s="30"/>
      <c r="B175" s="48" t="str">
        <f t="shared" si="265"/>
        <v>Итого Резерв бонуса прошлых лет</v>
      </c>
      <c r="C175" s="47" t="str">
        <f t="shared" si="265"/>
        <v>Total Under-/overaccruals - cash</v>
      </c>
      <c r="D175" s="46">
        <f>SUM(D173:D174)</f>
        <v>0</v>
      </c>
      <c r="E175" s="45">
        <f>SUM(E173:E174)</f>
        <v>0</v>
      </c>
      <c r="F175" s="23">
        <v>0</v>
      </c>
      <c r="G175" s="25">
        <v>0</v>
      </c>
      <c r="H175" s="44">
        <f>SUM(H173:H174)</f>
        <v>1335871649.7800002</v>
      </c>
      <c r="I175" s="44">
        <f>SUM(I173:I174)</f>
        <v>1311952041.6800001</v>
      </c>
      <c r="J175" s="23">
        <v>0</v>
      </c>
      <c r="K175" s="25">
        <v>0</v>
      </c>
      <c r="L175" s="44">
        <f>SUM(L173:L174)</f>
        <v>1311952041.6800001</v>
      </c>
      <c r="M175" s="23">
        <v>0</v>
      </c>
      <c r="N175" s="43">
        <f t="shared" si="254"/>
        <v>0</v>
      </c>
      <c r="O175" s="46">
        <f>SUM(O173:O174)</f>
        <v>0</v>
      </c>
      <c r="P175" s="45">
        <f>SUM(P173:P174)</f>
        <v>0</v>
      </c>
      <c r="Q175" s="23">
        <v>0</v>
      </c>
      <c r="R175" s="25">
        <v>0</v>
      </c>
      <c r="S175" s="44">
        <f>SUM(S173:S174)</f>
        <v>1335871649.7800002</v>
      </c>
      <c r="T175" s="44">
        <f>SUM(T173:T174)</f>
        <v>1311952041.6800001</v>
      </c>
      <c r="U175" s="23">
        <v>0</v>
      </c>
      <c r="V175" s="25">
        <v>0</v>
      </c>
      <c r="W175" s="44">
        <f>SUM(W173:W174)</f>
        <v>1311952041.6800001</v>
      </c>
      <c r="X175" s="23">
        <v>0</v>
      </c>
      <c r="Y175" s="43">
        <f t="shared" si="255"/>
        <v>0</v>
      </c>
      <c r="Z175" s="46">
        <f>SUM(Z173:Z174)</f>
        <v>0</v>
      </c>
      <c r="AA175" s="45">
        <f>SUM(AA173:AA174)</f>
        <v>0</v>
      </c>
      <c r="AB175" s="23">
        <v>0</v>
      </c>
      <c r="AC175" s="25">
        <v>0</v>
      </c>
      <c r="AD175" s="44">
        <f>SUM(AD173:AD174)</f>
        <v>1335871649.7800002</v>
      </c>
      <c r="AE175" s="44">
        <f>SUM(AE173:AE174)</f>
        <v>1311952041.6800001</v>
      </c>
      <c r="AF175" s="23">
        <v>0</v>
      </c>
      <c r="AG175" s="25">
        <v>0</v>
      </c>
      <c r="AH175" s="44">
        <f>SUM(AH173:AH174)</f>
        <v>1311952041.6800001</v>
      </c>
      <c r="AI175" s="23">
        <v>0</v>
      </c>
      <c r="AJ175" s="43">
        <f t="shared" si="256"/>
        <v>0</v>
      </c>
      <c r="AK175" s="46">
        <f>SUM(AK173:AK174)</f>
        <v>0</v>
      </c>
      <c r="AL175" s="45">
        <f>SUM(AL173:AL174)</f>
        <v>0</v>
      </c>
      <c r="AM175" s="23">
        <v>0</v>
      </c>
      <c r="AN175" s="25">
        <v>0</v>
      </c>
      <c r="AO175" s="44">
        <f>SUM(AO173:AO174)</f>
        <v>1335871649.7800002</v>
      </c>
      <c r="AP175" s="44">
        <f>SUM(AP173:AP174)</f>
        <v>1311952041.6800001</v>
      </c>
      <c r="AQ175" s="23">
        <v>0</v>
      </c>
      <c r="AR175" s="25">
        <v>0</v>
      </c>
      <c r="AS175" s="44">
        <f>SUM(AS173:AS174)</f>
        <v>1311952041.6800001</v>
      </c>
      <c r="AT175" s="23">
        <v>0</v>
      </c>
      <c r="AU175" s="43">
        <f t="shared" si="257"/>
        <v>0</v>
      </c>
      <c r="AV175" s="46">
        <f>SUM(AV173:AV174)</f>
        <v>0</v>
      </c>
      <c r="AW175" s="45">
        <f>SUM(AW173:AW174)</f>
        <v>0</v>
      </c>
      <c r="AX175" s="23">
        <v>0</v>
      </c>
      <c r="AY175" s="25">
        <v>0</v>
      </c>
      <c r="AZ175" s="44">
        <f>SUM(AZ173:AZ174)</f>
        <v>1335871649.7800002</v>
      </c>
      <c r="BA175" s="44">
        <f>SUM(BA173:BA174)</f>
        <v>1311952041.6800001</v>
      </c>
      <c r="BB175" s="23">
        <v>0</v>
      </c>
      <c r="BC175" s="25">
        <v>0</v>
      </c>
      <c r="BD175" s="44">
        <f>SUM(BD173:BD174)</f>
        <v>1311952041.6800001</v>
      </c>
      <c r="BE175" s="23">
        <v>0</v>
      </c>
      <c r="BF175" s="43">
        <f t="shared" si="258"/>
        <v>0</v>
      </c>
      <c r="BG175" s="46">
        <f>SUM(BG173:BG174)</f>
        <v>0</v>
      </c>
      <c r="BH175" s="45">
        <f>SUM(BH173:BH174)</f>
        <v>0</v>
      </c>
      <c r="BI175" s="23">
        <v>0</v>
      </c>
      <c r="BJ175" s="25">
        <v>0</v>
      </c>
      <c r="BK175" s="44">
        <f>SUM(BK173:BK174)</f>
        <v>1335871649.7800002</v>
      </c>
      <c r="BL175" s="44">
        <f>SUM(BL173:BL174)</f>
        <v>1311952041.6800001</v>
      </c>
      <c r="BM175" s="23">
        <v>0</v>
      </c>
      <c r="BN175" s="25">
        <v>0</v>
      </c>
      <c r="BO175" s="44">
        <f>SUM(BO173:BO174)</f>
        <v>1311952041.6800001</v>
      </c>
      <c r="BP175" s="23">
        <v>0</v>
      </c>
      <c r="BQ175" s="43">
        <f t="shared" si="259"/>
        <v>0</v>
      </c>
      <c r="BR175" s="46">
        <f>SUM(BR173:BR174)</f>
        <v>0</v>
      </c>
      <c r="BS175" s="45">
        <f>SUM(BS173:BS174)</f>
        <v>0</v>
      </c>
      <c r="BT175" s="23">
        <v>0</v>
      </c>
      <c r="BU175" s="25">
        <v>0</v>
      </c>
      <c r="BV175" s="44">
        <f>SUM(BV173:BV174)</f>
        <v>1335871649.7800002</v>
      </c>
      <c r="BW175" s="44">
        <f>SUM(BW173:BW174)</f>
        <v>1311952041.6800001</v>
      </c>
      <c r="BX175" s="23">
        <v>0</v>
      </c>
      <c r="BY175" s="25">
        <v>0</v>
      </c>
      <c r="BZ175" s="44">
        <f>SUM(BZ173:BZ174)</f>
        <v>1311952041.6800001</v>
      </c>
      <c r="CA175" s="23">
        <v>0</v>
      </c>
      <c r="CB175" s="43">
        <f t="shared" si="260"/>
        <v>0</v>
      </c>
      <c r="CC175" s="46">
        <f>SUM(CC173:CC174)</f>
        <v>0</v>
      </c>
      <c r="CD175" s="45">
        <f>SUM(CD173:CD174)</f>
        <v>0</v>
      </c>
      <c r="CE175" s="23">
        <v>0</v>
      </c>
      <c r="CF175" s="25">
        <v>0</v>
      </c>
      <c r="CG175" s="44">
        <f>SUM(CG173:CG174)</f>
        <v>1335871649.7800002</v>
      </c>
      <c r="CH175" s="44">
        <f>SUM(CH173:CH174)</f>
        <v>1311952041.6800001</v>
      </c>
      <c r="CI175" s="23">
        <v>0</v>
      </c>
      <c r="CJ175" s="25">
        <v>0</v>
      </c>
      <c r="CK175" s="44">
        <f>SUM(CK173:CK174)</f>
        <v>1311952041.6800001</v>
      </c>
      <c r="CL175" s="23">
        <v>0</v>
      </c>
      <c r="CM175" s="43">
        <f t="shared" si="261"/>
        <v>0</v>
      </c>
      <c r="CN175" s="46">
        <f>SUM(CN173:CN174)</f>
        <v>0</v>
      </c>
      <c r="CO175" s="45">
        <f>SUM(CO173:CO174)</f>
        <v>0</v>
      </c>
      <c r="CP175" s="23">
        <v>0</v>
      </c>
      <c r="CQ175" s="25">
        <v>0</v>
      </c>
      <c r="CR175" s="44">
        <f>SUM(CR173:CR174)</f>
        <v>1335871649.7800002</v>
      </c>
      <c r="CS175" s="44">
        <f>SUM(CS173:CS174)</f>
        <v>1311952041.6800001</v>
      </c>
      <c r="CT175" s="23">
        <v>0</v>
      </c>
      <c r="CU175" s="25">
        <v>0</v>
      </c>
      <c r="CV175" s="44">
        <f>SUM(CV173:CV174)</f>
        <v>1311952041.6800001</v>
      </c>
      <c r="CW175" s="23">
        <v>0</v>
      </c>
      <c r="CX175" s="43">
        <f t="shared" si="262"/>
        <v>0</v>
      </c>
      <c r="CY175" s="46">
        <f>SUM(CY173:CY174)</f>
        <v>0</v>
      </c>
      <c r="CZ175" s="45">
        <f>SUM(CZ173:CZ174)</f>
        <v>0</v>
      </c>
      <c r="DA175" s="23">
        <v>0</v>
      </c>
      <c r="DB175" s="25">
        <v>0</v>
      </c>
      <c r="DC175" s="44">
        <f>SUM(DC173:DC174)</f>
        <v>1335871649.7800002</v>
      </c>
      <c r="DD175" s="44">
        <f>SUM(DD173:DD174)</f>
        <v>1311952041.6800001</v>
      </c>
      <c r="DE175" s="23">
        <v>0</v>
      </c>
      <c r="DF175" s="25">
        <v>0</v>
      </c>
      <c r="DG175" s="44">
        <f>SUM(DG173:DG174)</f>
        <v>1311952041.6800001</v>
      </c>
      <c r="DH175" s="23">
        <v>0</v>
      </c>
      <c r="DI175" s="43">
        <f t="shared" si="263"/>
        <v>0</v>
      </c>
    </row>
    <row r="176" spans="1:113" s="6" customFormat="1" collapsed="1" x14ac:dyDescent="0.2">
      <c r="B176" s="21" t="str">
        <f t="shared" si="265"/>
        <v>Резерв бонуса прошлых лет</v>
      </c>
      <c r="C176" s="20" t="str">
        <f t="shared" si="265"/>
        <v>Under-/overaccruals - cash</v>
      </c>
      <c r="D176" s="19">
        <f>D175</f>
        <v>0</v>
      </c>
      <c r="E176" s="18">
        <f>E175</f>
        <v>0</v>
      </c>
      <c r="F176" s="15">
        <v>0</v>
      </c>
      <c r="G176" s="17">
        <v>0</v>
      </c>
      <c r="H176" s="16">
        <f>H175</f>
        <v>1335871649.7800002</v>
      </c>
      <c r="I176" s="16">
        <f>I175</f>
        <v>1311952041.6800001</v>
      </c>
      <c r="J176" s="15">
        <v>0</v>
      </c>
      <c r="K176" s="17">
        <v>0</v>
      </c>
      <c r="L176" s="16">
        <f>L175</f>
        <v>1311952041.6800001</v>
      </c>
      <c r="M176" s="15">
        <v>0</v>
      </c>
      <c r="N176" s="14">
        <f t="shared" si="254"/>
        <v>0</v>
      </c>
      <c r="O176" s="19">
        <f>O175</f>
        <v>0</v>
      </c>
      <c r="P176" s="18">
        <f>P175</f>
        <v>0</v>
      </c>
      <c r="Q176" s="15">
        <v>0</v>
      </c>
      <c r="R176" s="17">
        <v>0</v>
      </c>
      <c r="S176" s="16">
        <f>S175</f>
        <v>1335871649.7800002</v>
      </c>
      <c r="T176" s="16">
        <f>T175</f>
        <v>1311952041.6800001</v>
      </c>
      <c r="U176" s="15">
        <v>0</v>
      </c>
      <c r="V176" s="17">
        <v>0</v>
      </c>
      <c r="W176" s="16">
        <f>W175</f>
        <v>1311952041.6800001</v>
      </c>
      <c r="X176" s="15">
        <v>0</v>
      </c>
      <c r="Y176" s="14">
        <f t="shared" si="255"/>
        <v>0</v>
      </c>
      <c r="Z176" s="19">
        <f>Z175</f>
        <v>0</v>
      </c>
      <c r="AA176" s="18">
        <f>AA175</f>
        <v>0</v>
      </c>
      <c r="AB176" s="15">
        <v>0</v>
      </c>
      <c r="AC176" s="17">
        <v>0</v>
      </c>
      <c r="AD176" s="16">
        <f>AD175</f>
        <v>1335871649.7800002</v>
      </c>
      <c r="AE176" s="16">
        <f>AE175</f>
        <v>1311952041.6800001</v>
      </c>
      <c r="AF176" s="15">
        <v>0</v>
      </c>
      <c r="AG176" s="17">
        <v>0</v>
      </c>
      <c r="AH176" s="16">
        <f>AH175</f>
        <v>1311952041.6800001</v>
      </c>
      <c r="AI176" s="15">
        <v>0</v>
      </c>
      <c r="AJ176" s="14">
        <f t="shared" si="256"/>
        <v>0</v>
      </c>
      <c r="AK176" s="19">
        <f>AK175</f>
        <v>0</v>
      </c>
      <c r="AL176" s="18">
        <f>AL175</f>
        <v>0</v>
      </c>
      <c r="AM176" s="15">
        <v>0</v>
      </c>
      <c r="AN176" s="17">
        <v>0</v>
      </c>
      <c r="AO176" s="16">
        <f>AO175</f>
        <v>1335871649.7800002</v>
      </c>
      <c r="AP176" s="16">
        <f>AP175</f>
        <v>1311952041.6800001</v>
      </c>
      <c r="AQ176" s="15">
        <v>0</v>
      </c>
      <c r="AR176" s="17">
        <v>0</v>
      </c>
      <c r="AS176" s="16">
        <f>AS175</f>
        <v>1311952041.6800001</v>
      </c>
      <c r="AT176" s="15">
        <v>0</v>
      </c>
      <c r="AU176" s="14">
        <f t="shared" si="257"/>
        <v>0</v>
      </c>
      <c r="AV176" s="19">
        <f>AV175</f>
        <v>0</v>
      </c>
      <c r="AW176" s="18">
        <f>AW175</f>
        <v>0</v>
      </c>
      <c r="AX176" s="15">
        <v>0</v>
      </c>
      <c r="AY176" s="17">
        <v>0</v>
      </c>
      <c r="AZ176" s="16">
        <f>AZ175</f>
        <v>1335871649.7800002</v>
      </c>
      <c r="BA176" s="16">
        <f>BA175</f>
        <v>1311952041.6800001</v>
      </c>
      <c r="BB176" s="15">
        <v>0</v>
      </c>
      <c r="BC176" s="17">
        <v>0</v>
      </c>
      <c r="BD176" s="16">
        <f>BD175</f>
        <v>1311952041.6800001</v>
      </c>
      <c r="BE176" s="15">
        <v>0</v>
      </c>
      <c r="BF176" s="14">
        <f t="shared" si="258"/>
        <v>0</v>
      </c>
      <c r="BG176" s="19">
        <f>BG175</f>
        <v>0</v>
      </c>
      <c r="BH176" s="18">
        <f>BH175</f>
        <v>0</v>
      </c>
      <c r="BI176" s="15">
        <v>0</v>
      </c>
      <c r="BJ176" s="17">
        <v>0</v>
      </c>
      <c r="BK176" s="16">
        <f>BK175</f>
        <v>1335871649.7800002</v>
      </c>
      <c r="BL176" s="16">
        <f>BL175</f>
        <v>1311952041.6800001</v>
      </c>
      <c r="BM176" s="15">
        <v>0</v>
      </c>
      <c r="BN176" s="17">
        <v>0</v>
      </c>
      <c r="BO176" s="16">
        <f>BO175</f>
        <v>1311952041.6800001</v>
      </c>
      <c r="BP176" s="15">
        <v>0</v>
      </c>
      <c r="BQ176" s="14">
        <f t="shared" si="259"/>
        <v>0</v>
      </c>
      <c r="BR176" s="19">
        <f>BR175</f>
        <v>0</v>
      </c>
      <c r="BS176" s="18">
        <f>BS175</f>
        <v>0</v>
      </c>
      <c r="BT176" s="15">
        <v>0</v>
      </c>
      <c r="BU176" s="17">
        <v>0</v>
      </c>
      <c r="BV176" s="16">
        <f>BV175</f>
        <v>1335871649.7800002</v>
      </c>
      <c r="BW176" s="16">
        <f>BW175</f>
        <v>1311952041.6800001</v>
      </c>
      <c r="BX176" s="15">
        <v>0</v>
      </c>
      <c r="BY176" s="17">
        <v>0</v>
      </c>
      <c r="BZ176" s="16">
        <f>BZ175</f>
        <v>1311952041.6800001</v>
      </c>
      <c r="CA176" s="15">
        <v>0</v>
      </c>
      <c r="CB176" s="14">
        <f t="shared" si="260"/>
        <v>0</v>
      </c>
      <c r="CC176" s="19">
        <f>CC175</f>
        <v>0</v>
      </c>
      <c r="CD176" s="18">
        <f>CD175</f>
        <v>0</v>
      </c>
      <c r="CE176" s="15">
        <v>0</v>
      </c>
      <c r="CF176" s="17">
        <v>0</v>
      </c>
      <c r="CG176" s="16">
        <f>CG175</f>
        <v>1335871649.7800002</v>
      </c>
      <c r="CH176" s="16">
        <f>CH175</f>
        <v>1311952041.6800001</v>
      </c>
      <c r="CI176" s="15">
        <v>0</v>
      </c>
      <c r="CJ176" s="17">
        <v>0</v>
      </c>
      <c r="CK176" s="16">
        <f>CK175</f>
        <v>1311952041.6800001</v>
      </c>
      <c r="CL176" s="15">
        <v>0</v>
      </c>
      <c r="CM176" s="14">
        <f t="shared" si="261"/>
        <v>0</v>
      </c>
      <c r="CN176" s="19">
        <f>CN175</f>
        <v>0</v>
      </c>
      <c r="CO176" s="18">
        <f>CO175</f>
        <v>0</v>
      </c>
      <c r="CP176" s="15">
        <v>0</v>
      </c>
      <c r="CQ176" s="17">
        <v>0</v>
      </c>
      <c r="CR176" s="16">
        <f>CR175</f>
        <v>1335871649.7800002</v>
      </c>
      <c r="CS176" s="16">
        <f>CS175</f>
        <v>1311952041.6800001</v>
      </c>
      <c r="CT176" s="15">
        <v>0</v>
      </c>
      <c r="CU176" s="17">
        <v>0</v>
      </c>
      <c r="CV176" s="16">
        <f>CV175</f>
        <v>1311952041.6800001</v>
      </c>
      <c r="CW176" s="15">
        <v>0</v>
      </c>
      <c r="CX176" s="14">
        <f t="shared" si="262"/>
        <v>0</v>
      </c>
      <c r="CY176" s="19">
        <f>CY175</f>
        <v>0</v>
      </c>
      <c r="CZ176" s="18">
        <f>CZ175</f>
        <v>0</v>
      </c>
      <c r="DA176" s="15">
        <v>0</v>
      </c>
      <c r="DB176" s="17">
        <v>0</v>
      </c>
      <c r="DC176" s="16">
        <f>DC175</f>
        <v>1335871649.7800002</v>
      </c>
      <c r="DD176" s="16">
        <f>DD175</f>
        <v>1311952041.6800001</v>
      </c>
      <c r="DE176" s="15">
        <v>0</v>
      </c>
      <c r="DF176" s="17">
        <v>0</v>
      </c>
      <c r="DG176" s="16">
        <f>DG175</f>
        <v>1311952041.6800001</v>
      </c>
      <c r="DH176" s="15">
        <v>0</v>
      </c>
      <c r="DI176" s="14">
        <f t="shared" si="263"/>
        <v>0</v>
      </c>
    </row>
    <row r="177" spans="1:113" ht="12.75" hidden="1" customHeight="1" outlineLevel="3" x14ac:dyDescent="0.2">
      <c r="B177" s="38" t="str">
        <f t="shared" si="265"/>
        <v>Резерв годового бонуса</v>
      </c>
      <c r="C177" s="37" t="str">
        <f t="shared" si="265"/>
        <v>Bonus discretionary Accrual</v>
      </c>
      <c r="D177" s="41">
        <f>D57-D120</f>
        <v>294014180.62210083</v>
      </c>
      <c r="E177" s="40">
        <f>E57-E120</f>
        <v>0</v>
      </c>
      <c r="F177" s="32">
        <v>0</v>
      </c>
      <c r="G177" s="34">
        <v>0</v>
      </c>
      <c r="H177" s="39">
        <f>H57-H120</f>
        <v>1764085083.732605</v>
      </c>
      <c r="I177" s="39">
        <f>I57-I120</f>
        <v>0</v>
      </c>
      <c r="J177" s="32">
        <v>0</v>
      </c>
      <c r="K177" s="34">
        <v>0</v>
      </c>
      <c r="L177" s="39">
        <f>L57-L120</f>
        <v>0</v>
      </c>
      <c r="M177" s="32">
        <v>0</v>
      </c>
      <c r="N177" s="31" t="str">
        <f t="shared" si="254"/>
        <v>-</v>
      </c>
      <c r="O177" s="41">
        <f>O57-O120</f>
        <v>294014180.62210083</v>
      </c>
      <c r="P177" s="40">
        <f>P57-P120</f>
        <v>0</v>
      </c>
      <c r="Q177" s="32">
        <v>0</v>
      </c>
      <c r="R177" s="34">
        <v>0</v>
      </c>
      <c r="S177" s="39">
        <f>S57-S120</f>
        <v>1764085083.732605</v>
      </c>
      <c r="T177" s="39">
        <f>T57-T120</f>
        <v>0</v>
      </c>
      <c r="U177" s="32">
        <v>0</v>
      </c>
      <c r="V177" s="34">
        <v>0</v>
      </c>
      <c r="W177" s="39">
        <f>W57-W120</f>
        <v>0</v>
      </c>
      <c r="X177" s="32">
        <v>0</v>
      </c>
      <c r="Y177" s="31" t="str">
        <f t="shared" si="255"/>
        <v>-</v>
      </c>
      <c r="Z177" s="41">
        <f>Z57-Z120</f>
        <v>294014180.62210083</v>
      </c>
      <c r="AA177" s="40">
        <f>AA57-AA120</f>
        <v>0</v>
      </c>
      <c r="AB177" s="32">
        <v>0</v>
      </c>
      <c r="AC177" s="34">
        <v>0</v>
      </c>
      <c r="AD177" s="39">
        <f>AD57-AD120</f>
        <v>1764085083.732605</v>
      </c>
      <c r="AE177" s="39">
        <f>AE57-AE120</f>
        <v>0</v>
      </c>
      <c r="AF177" s="32">
        <v>0</v>
      </c>
      <c r="AG177" s="34">
        <v>0</v>
      </c>
      <c r="AH177" s="39">
        <f>AH57-AH120</f>
        <v>0</v>
      </c>
      <c r="AI177" s="32">
        <v>0</v>
      </c>
      <c r="AJ177" s="31" t="str">
        <f t="shared" si="256"/>
        <v>-</v>
      </c>
      <c r="AK177" s="41">
        <f>AK57-AK120</f>
        <v>294014180.62210083</v>
      </c>
      <c r="AL177" s="40">
        <f>AL57-AL120</f>
        <v>0</v>
      </c>
      <c r="AM177" s="32">
        <v>0</v>
      </c>
      <c r="AN177" s="34">
        <v>0</v>
      </c>
      <c r="AO177" s="39">
        <f>AO57-AO120</f>
        <v>1764085083.732605</v>
      </c>
      <c r="AP177" s="39">
        <f>AP57-AP120</f>
        <v>0</v>
      </c>
      <c r="AQ177" s="32">
        <v>0</v>
      </c>
      <c r="AR177" s="34">
        <v>0</v>
      </c>
      <c r="AS177" s="39">
        <f>AS57-AS120</f>
        <v>0</v>
      </c>
      <c r="AT177" s="32">
        <v>0</v>
      </c>
      <c r="AU177" s="31" t="str">
        <f t="shared" si="257"/>
        <v>-</v>
      </c>
      <c r="AV177" s="41">
        <f>AV57-AV120</f>
        <v>294014180.62210083</v>
      </c>
      <c r="AW177" s="40">
        <f>AW57-AW120</f>
        <v>0</v>
      </c>
      <c r="AX177" s="32">
        <v>0</v>
      </c>
      <c r="AY177" s="34">
        <v>0</v>
      </c>
      <c r="AZ177" s="39">
        <f>AZ57-AZ120</f>
        <v>1764085083.732605</v>
      </c>
      <c r="BA177" s="39">
        <f>BA57-BA120</f>
        <v>0</v>
      </c>
      <c r="BB177" s="32">
        <v>0</v>
      </c>
      <c r="BC177" s="34">
        <v>0</v>
      </c>
      <c r="BD177" s="39">
        <f>BD57-BD120</f>
        <v>0</v>
      </c>
      <c r="BE177" s="32">
        <v>0</v>
      </c>
      <c r="BF177" s="31" t="str">
        <f t="shared" si="258"/>
        <v>-</v>
      </c>
      <c r="BG177" s="41">
        <f>BG57-BG120</f>
        <v>294014180.62210083</v>
      </c>
      <c r="BH177" s="40">
        <f>BH57-BH120</f>
        <v>0</v>
      </c>
      <c r="BI177" s="32">
        <v>0</v>
      </c>
      <c r="BJ177" s="34">
        <v>0</v>
      </c>
      <c r="BK177" s="39">
        <f>BK57-BK120</f>
        <v>1764085083.732605</v>
      </c>
      <c r="BL177" s="39">
        <f>BL57-BL120</f>
        <v>0</v>
      </c>
      <c r="BM177" s="32">
        <v>0</v>
      </c>
      <c r="BN177" s="34">
        <v>0</v>
      </c>
      <c r="BO177" s="39">
        <f>BO57-BO120</f>
        <v>0</v>
      </c>
      <c r="BP177" s="32">
        <v>0</v>
      </c>
      <c r="BQ177" s="31" t="str">
        <f t="shared" si="259"/>
        <v>-</v>
      </c>
      <c r="BR177" s="41">
        <f>BR57-BR120</f>
        <v>294014180.62210083</v>
      </c>
      <c r="BS177" s="40">
        <f>BS57-BS120</f>
        <v>0</v>
      </c>
      <c r="BT177" s="32">
        <v>0</v>
      </c>
      <c r="BU177" s="34">
        <v>0</v>
      </c>
      <c r="BV177" s="39">
        <f>BV57-BV120</f>
        <v>1764085083.732605</v>
      </c>
      <c r="BW177" s="39">
        <f>BW57-BW120</f>
        <v>0</v>
      </c>
      <c r="BX177" s="32">
        <v>0</v>
      </c>
      <c r="BY177" s="34">
        <v>0</v>
      </c>
      <c r="BZ177" s="39">
        <f>BZ57-BZ120</f>
        <v>0</v>
      </c>
      <c r="CA177" s="32">
        <v>0</v>
      </c>
      <c r="CB177" s="31" t="str">
        <f t="shared" si="260"/>
        <v>-</v>
      </c>
      <c r="CC177" s="41">
        <f>CC57-CC120</f>
        <v>294014180.62210083</v>
      </c>
      <c r="CD177" s="40">
        <f>CD57-CD120</f>
        <v>0</v>
      </c>
      <c r="CE177" s="32">
        <v>0</v>
      </c>
      <c r="CF177" s="34">
        <v>0</v>
      </c>
      <c r="CG177" s="39">
        <f>CG57-CG120</f>
        <v>1764085083.732605</v>
      </c>
      <c r="CH177" s="39">
        <f>CH57-CH120</f>
        <v>0</v>
      </c>
      <c r="CI177" s="32">
        <v>0</v>
      </c>
      <c r="CJ177" s="34">
        <v>0</v>
      </c>
      <c r="CK177" s="39">
        <f>CK57-CK120</f>
        <v>0</v>
      </c>
      <c r="CL177" s="32">
        <v>0</v>
      </c>
      <c r="CM177" s="31" t="str">
        <f t="shared" si="261"/>
        <v>-</v>
      </c>
      <c r="CN177" s="41">
        <f>CN57-CN120</f>
        <v>294014180.62210083</v>
      </c>
      <c r="CO177" s="40">
        <f>CO57-CO120</f>
        <v>0</v>
      </c>
      <c r="CP177" s="32">
        <v>0</v>
      </c>
      <c r="CQ177" s="34">
        <v>0</v>
      </c>
      <c r="CR177" s="39">
        <f>CR57-CR120</f>
        <v>1764085083.732605</v>
      </c>
      <c r="CS177" s="39">
        <f>CS57-CS120</f>
        <v>0</v>
      </c>
      <c r="CT177" s="32">
        <v>0</v>
      </c>
      <c r="CU177" s="34">
        <v>0</v>
      </c>
      <c r="CV177" s="39">
        <f>CV57-CV120</f>
        <v>0</v>
      </c>
      <c r="CW177" s="32">
        <v>0</v>
      </c>
      <c r="CX177" s="31" t="str">
        <f t="shared" si="262"/>
        <v>-</v>
      </c>
      <c r="CY177" s="41">
        <f>CY57-CY120</f>
        <v>294014180.62210083</v>
      </c>
      <c r="CZ177" s="40">
        <f>CZ57-CZ120</f>
        <v>0</v>
      </c>
      <c r="DA177" s="32">
        <v>0</v>
      </c>
      <c r="DB177" s="34">
        <v>0</v>
      </c>
      <c r="DC177" s="39">
        <f>DC57-DC120</f>
        <v>1764085083.732605</v>
      </c>
      <c r="DD177" s="39">
        <f>DD57-DD120</f>
        <v>0</v>
      </c>
      <c r="DE177" s="32">
        <v>0</v>
      </c>
      <c r="DF177" s="34">
        <v>0</v>
      </c>
      <c r="DG177" s="39">
        <f>DG57-DG120</f>
        <v>0</v>
      </c>
      <c r="DH177" s="32">
        <v>0</v>
      </c>
      <c r="DI177" s="31" t="str">
        <f t="shared" si="263"/>
        <v>-</v>
      </c>
    </row>
    <row r="178" spans="1:113" ht="12.75" hidden="1" customHeight="1" outlineLevel="3" x14ac:dyDescent="0.2">
      <c r="B178" s="38" t="str">
        <f t="shared" si="265"/>
        <v>Страховые взносы, резерв годового бонуса</v>
      </c>
      <c r="C178" s="37" t="str">
        <f t="shared" si="265"/>
        <v>Social Security on discretionary Bonus Accrual</v>
      </c>
      <c r="D178" s="41">
        <f>D58-D121</f>
        <v>54392623.41508875</v>
      </c>
      <c r="E178" s="40">
        <f>E58-E121</f>
        <v>0</v>
      </c>
      <c r="F178" s="32">
        <v>0</v>
      </c>
      <c r="G178" s="34">
        <v>0</v>
      </c>
      <c r="H178" s="39">
        <f>H58-H121</f>
        <v>326355740.4905315</v>
      </c>
      <c r="I178" s="39">
        <f>I58-I121</f>
        <v>0</v>
      </c>
      <c r="J178" s="32">
        <v>0</v>
      </c>
      <c r="K178" s="34">
        <v>0</v>
      </c>
      <c r="L178" s="39">
        <f>L58-L121</f>
        <v>0</v>
      </c>
      <c r="M178" s="32">
        <v>0</v>
      </c>
      <c r="N178" s="31" t="str">
        <f t="shared" si="254"/>
        <v>-</v>
      </c>
      <c r="O178" s="41">
        <f>O58-O121</f>
        <v>54392623.41508875</v>
      </c>
      <c r="P178" s="40">
        <f>P58-P121</f>
        <v>0</v>
      </c>
      <c r="Q178" s="32">
        <v>0</v>
      </c>
      <c r="R178" s="34">
        <v>0</v>
      </c>
      <c r="S178" s="39">
        <f>S58-S121</f>
        <v>326355740.4905315</v>
      </c>
      <c r="T178" s="39">
        <f>T58-T121</f>
        <v>0</v>
      </c>
      <c r="U178" s="32">
        <v>0</v>
      </c>
      <c r="V178" s="34">
        <v>0</v>
      </c>
      <c r="W178" s="39">
        <f>W58-W121</f>
        <v>0</v>
      </c>
      <c r="X178" s="32">
        <v>0</v>
      </c>
      <c r="Y178" s="31" t="str">
        <f t="shared" si="255"/>
        <v>-</v>
      </c>
      <c r="Z178" s="41">
        <f>Z58-Z121</f>
        <v>54392623.41508875</v>
      </c>
      <c r="AA178" s="40">
        <f>AA58-AA121</f>
        <v>0</v>
      </c>
      <c r="AB178" s="32">
        <v>0</v>
      </c>
      <c r="AC178" s="34">
        <v>0</v>
      </c>
      <c r="AD178" s="39">
        <f>AD58-AD121</f>
        <v>326355740.4905315</v>
      </c>
      <c r="AE178" s="39">
        <f>AE58-AE121</f>
        <v>0</v>
      </c>
      <c r="AF178" s="32">
        <v>0</v>
      </c>
      <c r="AG178" s="34">
        <v>0</v>
      </c>
      <c r="AH178" s="39">
        <f>AH58-AH121</f>
        <v>0</v>
      </c>
      <c r="AI178" s="32">
        <v>0</v>
      </c>
      <c r="AJ178" s="31" t="str">
        <f t="shared" si="256"/>
        <v>-</v>
      </c>
      <c r="AK178" s="41">
        <f>AK58-AK121</f>
        <v>54392623.41508875</v>
      </c>
      <c r="AL178" s="40">
        <f>AL58-AL121</f>
        <v>0</v>
      </c>
      <c r="AM178" s="32">
        <v>0</v>
      </c>
      <c r="AN178" s="34">
        <v>0</v>
      </c>
      <c r="AO178" s="39">
        <f>AO58-AO121</f>
        <v>326355740.4905315</v>
      </c>
      <c r="AP178" s="39">
        <f>AP58-AP121</f>
        <v>0</v>
      </c>
      <c r="AQ178" s="32">
        <v>0</v>
      </c>
      <c r="AR178" s="34">
        <v>0</v>
      </c>
      <c r="AS178" s="39">
        <f>AS58-AS121</f>
        <v>0</v>
      </c>
      <c r="AT178" s="32">
        <v>0</v>
      </c>
      <c r="AU178" s="31" t="str">
        <f t="shared" si="257"/>
        <v>-</v>
      </c>
      <c r="AV178" s="41">
        <f>AV58-AV121</f>
        <v>54392623.41508875</v>
      </c>
      <c r="AW178" s="40">
        <f>AW58-AW121</f>
        <v>0</v>
      </c>
      <c r="AX178" s="32">
        <v>0</v>
      </c>
      <c r="AY178" s="34">
        <v>0</v>
      </c>
      <c r="AZ178" s="39">
        <f>AZ58-AZ121</f>
        <v>326355740.4905315</v>
      </c>
      <c r="BA178" s="39">
        <f>BA58-BA121</f>
        <v>0</v>
      </c>
      <c r="BB178" s="32">
        <v>0</v>
      </c>
      <c r="BC178" s="34">
        <v>0</v>
      </c>
      <c r="BD178" s="39">
        <f>BD58-BD121</f>
        <v>0</v>
      </c>
      <c r="BE178" s="32">
        <v>0</v>
      </c>
      <c r="BF178" s="31" t="str">
        <f t="shared" si="258"/>
        <v>-</v>
      </c>
      <c r="BG178" s="41">
        <f>BG58-BG121</f>
        <v>54392623.41508875</v>
      </c>
      <c r="BH178" s="40">
        <f>BH58-BH121</f>
        <v>0</v>
      </c>
      <c r="BI178" s="32">
        <v>0</v>
      </c>
      <c r="BJ178" s="34">
        <v>0</v>
      </c>
      <c r="BK178" s="39">
        <f>BK58-BK121</f>
        <v>326355740.4905315</v>
      </c>
      <c r="BL178" s="39">
        <f>BL58-BL121</f>
        <v>0</v>
      </c>
      <c r="BM178" s="32">
        <v>0</v>
      </c>
      <c r="BN178" s="34">
        <v>0</v>
      </c>
      <c r="BO178" s="39">
        <f>BO58-BO121</f>
        <v>0</v>
      </c>
      <c r="BP178" s="32">
        <v>0</v>
      </c>
      <c r="BQ178" s="31" t="str">
        <f t="shared" si="259"/>
        <v>-</v>
      </c>
      <c r="BR178" s="41">
        <f>BR58-BR121</f>
        <v>54392623.41508875</v>
      </c>
      <c r="BS178" s="40">
        <f>BS58-BS121</f>
        <v>0</v>
      </c>
      <c r="BT178" s="32">
        <v>0</v>
      </c>
      <c r="BU178" s="34">
        <v>0</v>
      </c>
      <c r="BV178" s="39">
        <f>BV58-BV121</f>
        <v>326355740.4905315</v>
      </c>
      <c r="BW178" s="39">
        <f>BW58-BW121</f>
        <v>0</v>
      </c>
      <c r="BX178" s="32">
        <v>0</v>
      </c>
      <c r="BY178" s="34">
        <v>0</v>
      </c>
      <c r="BZ178" s="39">
        <f>BZ58-BZ121</f>
        <v>0</v>
      </c>
      <c r="CA178" s="32">
        <v>0</v>
      </c>
      <c r="CB178" s="31" t="str">
        <f t="shared" si="260"/>
        <v>-</v>
      </c>
      <c r="CC178" s="41">
        <f>CC58-CC121</f>
        <v>54392623.41508875</v>
      </c>
      <c r="CD178" s="40">
        <f>CD58-CD121</f>
        <v>0</v>
      </c>
      <c r="CE178" s="32">
        <v>0</v>
      </c>
      <c r="CF178" s="34">
        <v>0</v>
      </c>
      <c r="CG178" s="39">
        <f>CG58-CG121</f>
        <v>326355740.4905315</v>
      </c>
      <c r="CH178" s="39">
        <f>CH58-CH121</f>
        <v>0</v>
      </c>
      <c r="CI178" s="32">
        <v>0</v>
      </c>
      <c r="CJ178" s="34">
        <v>0</v>
      </c>
      <c r="CK178" s="39">
        <f>CK58-CK121</f>
        <v>0</v>
      </c>
      <c r="CL178" s="32">
        <v>0</v>
      </c>
      <c r="CM178" s="31" t="str">
        <f t="shared" si="261"/>
        <v>-</v>
      </c>
      <c r="CN178" s="41">
        <f>CN58-CN121</f>
        <v>54392623.41508875</v>
      </c>
      <c r="CO178" s="40">
        <f>CO58-CO121</f>
        <v>0</v>
      </c>
      <c r="CP178" s="32">
        <v>0</v>
      </c>
      <c r="CQ178" s="34">
        <v>0</v>
      </c>
      <c r="CR178" s="39">
        <f>CR58-CR121</f>
        <v>326355740.4905315</v>
      </c>
      <c r="CS178" s="39">
        <f>CS58-CS121</f>
        <v>0</v>
      </c>
      <c r="CT178" s="32">
        <v>0</v>
      </c>
      <c r="CU178" s="34">
        <v>0</v>
      </c>
      <c r="CV178" s="39">
        <f>CV58-CV121</f>
        <v>0</v>
      </c>
      <c r="CW178" s="32">
        <v>0</v>
      </c>
      <c r="CX178" s="31" t="str">
        <f t="shared" si="262"/>
        <v>-</v>
      </c>
      <c r="CY178" s="41">
        <f>CY58-CY121</f>
        <v>54392623.41508875</v>
      </c>
      <c r="CZ178" s="40">
        <f>CZ58-CZ121</f>
        <v>0</v>
      </c>
      <c r="DA178" s="32">
        <v>0</v>
      </c>
      <c r="DB178" s="34">
        <v>0</v>
      </c>
      <c r="DC178" s="39">
        <f>DC58-DC121</f>
        <v>326355740.4905315</v>
      </c>
      <c r="DD178" s="39">
        <f>DD58-DD121</f>
        <v>0</v>
      </c>
      <c r="DE178" s="32">
        <v>0</v>
      </c>
      <c r="DF178" s="34">
        <v>0</v>
      </c>
      <c r="DG178" s="39">
        <f>DG58-DG121</f>
        <v>0</v>
      </c>
      <c r="DH178" s="32">
        <v>0</v>
      </c>
      <c r="DI178" s="31" t="str">
        <f t="shared" si="263"/>
        <v>-</v>
      </c>
    </row>
    <row r="179" spans="1:113" s="6" customFormat="1" hidden="1" outlineLevel="2" collapsed="1" x14ac:dyDescent="0.2">
      <c r="A179" s="30"/>
      <c r="B179" s="29" t="str">
        <f t="shared" si="265"/>
        <v>Итого резерв годового бонуса</v>
      </c>
      <c r="C179" s="42" t="str">
        <f t="shared" si="265"/>
        <v>Total Bonus discretionary Accrual</v>
      </c>
      <c r="D179" s="27">
        <f>SUM(D177:D178)</f>
        <v>348406804.0371896</v>
      </c>
      <c r="E179" s="26">
        <f>SUM(E177:E178)</f>
        <v>0</v>
      </c>
      <c r="F179" s="23">
        <v>0</v>
      </c>
      <c r="G179" s="25">
        <v>0</v>
      </c>
      <c r="H179" s="24">
        <f>SUM(H177:H178)</f>
        <v>2090440824.2231364</v>
      </c>
      <c r="I179" s="24">
        <f>SUM(I177:I178)</f>
        <v>0</v>
      </c>
      <c r="J179" s="23">
        <v>0</v>
      </c>
      <c r="K179" s="25">
        <v>0</v>
      </c>
      <c r="L179" s="24">
        <f>SUM(L177:L178)</f>
        <v>0</v>
      </c>
      <c r="M179" s="23">
        <v>0</v>
      </c>
      <c r="N179" s="22" t="str">
        <f t="shared" si="254"/>
        <v>-</v>
      </c>
      <c r="O179" s="27">
        <f>SUM(O177:O178)</f>
        <v>348406804.0371896</v>
      </c>
      <c r="P179" s="26">
        <f>SUM(P177:P178)</f>
        <v>0</v>
      </c>
      <c r="Q179" s="23">
        <v>0</v>
      </c>
      <c r="R179" s="25">
        <v>0</v>
      </c>
      <c r="S179" s="24">
        <f>SUM(S177:S178)</f>
        <v>2090440824.2231364</v>
      </c>
      <c r="T179" s="24">
        <f>SUM(T177:T178)</f>
        <v>0</v>
      </c>
      <c r="U179" s="23">
        <v>0</v>
      </c>
      <c r="V179" s="25">
        <v>0</v>
      </c>
      <c r="W179" s="24">
        <f>SUM(W177:W178)</f>
        <v>0</v>
      </c>
      <c r="X179" s="23">
        <v>0</v>
      </c>
      <c r="Y179" s="22" t="str">
        <f t="shared" si="255"/>
        <v>-</v>
      </c>
      <c r="Z179" s="27">
        <f>SUM(Z177:Z178)</f>
        <v>348406804.0371896</v>
      </c>
      <c r="AA179" s="26">
        <f>SUM(AA177:AA178)</f>
        <v>0</v>
      </c>
      <c r="AB179" s="23">
        <v>0</v>
      </c>
      <c r="AC179" s="25">
        <v>0</v>
      </c>
      <c r="AD179" s="24">
        <f>SUM(AD177:AD178)</f>
        <v>2090440824.2231364</v>
      </c>
      <c r="AE179" s="24">
        <f>SUM(AE177:AE178)</f>
        <v>0</v>
      </c>
      <c r="AF179" s="23">
        <v>0</v>
      </c>
      <c r="AG179" s="25">
        <v>0</v>
      </c>
      <c r="AH179" s="24">
        <f>SUM(AH177:AH178)</f>
        <v>0</v>
      </c>
      <c r="AI179" s="23">
        <v>0</v>
      </c>
      <c r="AJ179" s="22" t="str">
        <f t="shared" si="256"/>
        <v>-</v>
      </c>
      <c r="AK179" s="27">
        <f>SUM(AK177:AK178)</f>
        <v>348406804.0371896</v>
      </c>
      <c r="AL179" s="26">
        <f>SUM(AL177:AL178)</f>
        <v>0</v>
      </c>
      <c r="AM179" s="23">
        <v>0</v>
      </c>
      <c r="AN179" s="25">
        <v>0</v>
      </c>
      <c r="AO179" s="24">
        <f>SUM(AO177:AO178)</f>
        <v>2090440824.2231364</v>
      </c>
      <c r="AP179" s="24">
        <f>SUM(AP177:AP178)</f>
        <v>0</v>
      </c>
      <c r="AQ179" s="23">
        <v>0</v>
      </c>
      <c r="AR179" s="25">
        <v>0</v>
      </c>
      <c r="AS179" s="24">
        <f>SUM(AS177:AS178)</f>
        <v>0</v>
      </c>
      <c r="AT179" s="23">
        <v>0</v>
      </c>
      <c r="AU179" s="22" t="str">
        <f t="shared" si="257"/>
        <v>-</v>
      </c>
      <c r="AV179" s="27">
        <f>SUM(AV177:AV178)</f>
        <v>348406804.0371896</v>
      </c>
      <c r="AW179" s="26">
        <f>SUM(AW177:AW178)</f>
        <v>0</v>
      </c>
      <c r="AX179" s="23">
        <v>0</v>
      </c>
      <c r="AY179" s="25">
        <v>0</v>
      </c>
      <c r="AZ179" s="24">
        <f>SUM(AZ177:AZ178)</f>
        <v>2090440824.2231364</v>
      </c>
      <c r="BA179" s="24">
        <f>SUM(BA177:BA178)</f>
        <v>0</v>
      </c>
      <c r="BB179" s="23">
        <v>0</v>
      </c>
      <c r="BC179" s="25">
        <v>0</v>
      </c>
      <c r="BD179" s="24">
        <f>SUM(BD177:BD178)</f>
        <v>0</v>
      </c>
      <c r="BE179" s="23">
        <v>0</v>
      </c>
      <c r="BF179" s="22" t="str">
        <f t="shared" si="258"/>
        <v>-</v>
      </c>
      <c r="BG179" s="27">
        <f>SUM(BG177:BG178)</f>
        <v>348406804.0371896</v>
      </c>
      <c r="BH179" s="26">
        <f>SUM(BH177:BH178)</f>
        <v>0</v>
      </c>
      <c r="BI179" s="23">
        <v>0</v>
      </c>
      <c r="BJ179" s="25">
        <v>0</v>
      </c>
      <c r="BK179" s="24">
        <f>SUM(BK177:BK178)</f>
        <v>2090440824.2231364</v>
      </c>
      <c r="BL179" s="24">
        <f>SUM(BL177:BL178)</f>
        <v>0</v>
      </c>
      <c r="BM179" s="23">
        <v>0</v>
      </c>
      <c r="BN179" s="25">
        <v>0</v>
      </c>
      <c r="BO179" s="24">
        <f>SUM(BO177:BO178)</f>
        <v>0</v>
      </c>
      <c r="BP179" s="23">
        <v>0</v>
      </c>
      <c r="BQ179" s="22" t="str">
        <f t="shared" si="259"/>
        <v>-</v>
      </c>
      <c r="BR179" s="27">
        <f>SUM(BR177:BR178)</f>
        <v>348406804.0371896</v>
      </c>
      <c r="BS179" s="26">
        <f>SUM(BS177:BS178)</f>
        <v>0</v>
      </c>
      <c r="BT179" s="23">
        <v>0</v>
      </c>
      <c r="BU179" s="25">
        <v>0</v>
      </c>
      <c r="BV179" s="24">
        <f>SUM(BV177:BV178)</f>
        <v>2090440824.2231364</v>
      </c>
      <c r="BW179" s="24">
        <f>SUM(BW177:BW178)</f>
        <v>0</v>
      </c>
      <c r="BX179" s="23">
        <v>0</v>
      </c>
      <c r="BY179" s="25">
        <v>0</v>
      </c>
      <c r="BZ179" s="24">
        <f>SUM(BZ177:BZ178)</f>
        <v>0</v>
      </c>
      <c r="CA179" s="23">
        <v>0</v>
      </c>
      <c r="CB179" s="22" t="str">
        <f t="shared" si="260"/>
        <v>-</v>
      </c>
      <c r="CC179" s="27">
        <f>SUM(CC177:CC178)</f>
        <v>348406804.0371896</v>
      </c>
      <c r="CD179" s="26">
        <f>SUM(CD177:CD178)</f>
        <v>0</v>
      </c>
      <c r="CE179" s="23">
        <v>0</v>
      </c>
      <c r="CF179" s="25">
        <v>0</v>
      </c>
      <c r="CG179" s="24">
        <f>SUM(CG177:CG178)</f>
        <v>2090440824.2231364</v>
      </c>
      <c r="CH179" s="24">
        <f>SUM(CH177:CH178)</f>
        <v>0</v>
      </c>
      <c r="CI179" s="23">
        <v>0</v>
      </c>
      <c r="CJ179" s="25">
        <v>0</v>
      </c>
      <c r="CK179" s="24">
        <f>SUM(CK177:CK178)</f>
        <v>0</v>
      </c>
      <c r="CL179" s="23">
        <v>0</v>
      </c>
      <c r="CM179" s="22" t="str">
        <f t="shared" si="261"/>
        <v>-</v>
      </c>
      <c r="CN179" s="27">
        <f>SUM(CN177:CN178)</f>
        <v>348406804.0371896</v>
      </c>
      <c r="CO179" s="26">
        <f>SUM(CO177:CO178)</f>
        <v>0</v>
      </c>
      <c r="CP179" s="23">
        <v>0</v>
      </c>
      <c r="CQ179" s="25">
        <v>0</v>
      </c>
      <c r="CR179" s="24">
        <f>SUM(CR177:CR178)</f>
        <v>2090440824.2231364</v>
      </c>
      <c r="CS179" s="24">
        <f>SUM(CS177:CS178)</f>
        <v>0</v>
      </c>
      <c r="CT179" s="23">
        <v>0</v>
      </c>
      <c r="CU179" s="25">
        <v>0</v>
      </c>
      <c r="CV179" s="24">
        <f>SUM(CV177:CV178)</f>
        <v>0</v>
      </c>
      <c r="CW179" s="23">
        <v>0</v>
      </c>
      <c r="CX179" s="22" t="str">
        <f t="shared" si="262"/>
        <v>-</v>
      </c>
      <c r="CY179" s="27">
        <f>SUM(CY177:CY178)</f>
        <v>348406804.0371896</v>
      </c>
      <c r="CZ179" s="26">
        <f>SUM(CZ177:CZ178)</f>
        <v>0</v>
      </c>
      <c r="DA179" s="23">
        <v>0</v>
      </c>
      <c r="DB179" s="25">
        <v>0</v>
      </c>
      <c r="DC179" s="24">
        <f>SUM(DC177:DC178)</f>
        <v>2090440824.2231364</v>
      </c>
      <c r="DD179" s="24">
        <f>SUM(DD177:DD178)</f>
        <v>0</v>
      </c>
      <c r="DE179" s="23">
        <v>0</v>
      </c>
      <c r="DF179" s="25">
        <v>0</v>
      </c>
      <c r="DG179" s="24">
        <f>SUM(DG177:DG178)</f>
        <v>0</v>
      </c>
      <c r="DH179" s="23">
        <v>0</v>
      </c>
      <c r="DI179" s="22" t="str">
        <f t="shared" si="263"/>
        <v>-</v>
      </c>
    </row>
    <row r="180" spans="1:113" ht="12.75" hidden="1" customHeight="1" outlineLevel="3" x14ac:dyDescent="0.2">
      <c r="B180" s="38" t="str">
        <f t="shared" si="265"/>
        <v>Сторно резерва годового бонуса бонуса</v>
      </c>
      <c r="C180" s="37" t="str">
        <f t="shared" si="265"/>
        <v>Reverse Bonus discretionary Accrual</v>
      </c>
      <c r="D180" s="41">
        <f>D60-D123</f>
        <v>0</v>
      </c>
      <c r="E180" s="40">
        <f>E60-E123</f>
        <v>0</v>
      </c>
      <c r="F180" s="32">
        <v>0</v>
      </c>
      <c r="G180" s="34">
        <v>0</v>
      </c>
      <c r="H180" s="39">
        <f>H60-H123</f>
        <v>0</v>
      </c>
      <c r="I180" s="39">
        <f>I60-I123</f>
        <v>0</v>
      </c>
      <c r="J180" s="32">
        <v>0</v>
      </c>
      <c r="K180" s="34">
        <v>0</v>
      </c>
      <c r="L180" s="39">
        <f>L60-L123</f>
        <v>0</v>
      </c>
      <c r="M180" s="32">
        <v>0</v>
      </c>
      <c r="N180" s="31" t="str">
        <f t="shared" si="254"/>
        <v>-</v>
      </c>
      <c r="O180" s="41">
        <f>O60-O123</f>
        <v>0</v>
      </c>
      <c r="P180" s="40">
        <f>P60-P123</f>
        <v>0</v>
      </c>
      <c r="Q180" s="32">
        <v>0</v>
      </c>
      <c r="R180" s="34">
        <v>0</v>
      </c>
      <c r="S180" s="39">
        <f>S60-S123</f>
        <v>0</v>
      </c>
      <c r="T180" s="39">
        <f>T60-T123</f>
        <v>0</v>
      </c>
      <c r="U180" s="32">
        <v>0</v>
      </c>
      <c r="V180" s="34">
        <v>0</v>
      </c>
      <c r="W180" s="39">
        <f>W60-W123</f>
        <v>0</v>
      </c>
      <c r="X180" s="32">
        <v>0</v>
      </c>
      <c r="Y180" s="31" t="str">
        <f t="shared" si="255"/>
        <v>-</v>
      </c>
      <c r="Z180" s="41">
        <f>Z60-Z123</f>
        <v>0</v>
      </c>
      <c r="AA180" s="40">
        <f>AA60-AA123</f>
        <v>0</v>
      </c>
      <c r="AB180" s="32">
        <v>0</v>
      </c>
      <c r="AC180" s="34">
        <v>0</v>
      </c>
      <c r="AD180" s="39">
        <f>AD60-AD123</f>
        <v>0</v>
      </c>
      <c r="AE180" s="39">
        <f>AE60-AE123</f>
        <v>0</v>
      </c>
      <c r="AF180" s="32">
        <v>0</v>
      </c>
      <c r="AG180" s="34">
        <v>0</v>
      </c>
      <c r="AH180" s="39">
        <f>AH60-AH123</f>
        <v>0</v>
      </c>
      <c r="AI180" s="32">
        <v>0</v>
      </c>
      <c r="AJ180" s="31" t="str">
        <f t="shared" si="256"/>
        <v>-</v>
      </c>
      <c r="AK180" s="41">
        <f>AK60-AK123</f>
        <v>0</v>
      </c>
      <c r="AL180" s="40">
        <f>AL60-AL123</f>
        <v>0</v>
      </c>
      <c r="AM180" s="32">
        <v>0</v>
      </c>
      <c r="AN180" s="34">
        <v>0</v>
      </c>
      <c r="AO180" s="39">
        <f>AO60-AO123</f>
        <v>0</v>
      </c>
      <c r="AP180" s="39">
        <f>AP60-AP123</f>
        <v>0</v>
      </c>
      <c r="AQ180" s="32">
        <v>0</v>
      </c>
      <c r="AR180" s="34">
        <v>0</v>
      </c>
      <c r="AS180" s="39">
        <f>AS60-AS123</f>
        <v>0</v>
      </c>
      <c r="AT180" s="32">
        <v>0</v>
      </c>
      <c r="AU180" s="31" t="str">
        <f t="shared" si="257"/>
        <v>-</v>
      </c>
      <c r="AV180" s="41">
        <f>AV60-AV123</f>
        <v>0</v>
      </c>
      <c r="AW180" s="40">
        <f>AW60-AW123</f>
        <v>0</v>
      </c>
      <c r="AX180" s="32">
        <v>0</v>
      </c>
      <c r="AY180" s="34">
        <v>0</v>
      </c>
      <c r="AZ180" s="39">
        <f>AZ60-AZ123</f>
        <v>0</v>
      </c>
      <c r="BA180" s="39">
        <f>BA60-BA123</f>
        <v>0</v>
      </c>
      <c r="BB180" s="32">
        <v>0</v>
      </c>
      <c r="BC180" s="34">
        <v>0</v>
      </c>
      <c r="BD180" s="39">
        <f>BD60-BD123</f>
        <v>0</v>
      </c>
      <c r="BE180" s="32">
        <v>0</v>
      </c>
      <c r="BF180" s="31" t="str">
        <f t="shared" si="258"/>
        <v>-</v>
      </c>
      <c r="BG180" s="41">
        <f>BG60-BG123</f>
        <v>0</v>
      </c>
      <c r="BH180" s="40">
        <f>BH60-BH123</f>
        <v>0</v>
      </c>
      <c r="BI180" s="32">
        <v>0</v>
      </c>
      <c r="BJ180" s="34">
        <v>0</v>
      </c>
      <c r="BK180" s="39">
        <f>BK60-BK123</f>
        <v>0</v>
      </c>
      <c r="BL180" s="39">
        <f>BL60-BL123</f>
        <v>0</v>
      </c>
      <c r="BM180" s="32">
        <v>0</v>
      </c>
      <c r="BN180" s="34">
        <v>0</v>
      </c>
      <c r="BO180" s="39">
        <f>BO60-BO123</f>
        <v>0</v>
      </c>
      <c r="BP180" s="32">
        <v>0</v>
      </c>
      <c r="BQ180" s="31" t="str">
        <f t="shared" si="259"/>
        <v>-</v>
      </c>
      <c r="BR180" s="41">
        <f>BR60-BR123</f>
        <v>0</v>
      </c>
      <c r="BS180" s="40">
        <f>BS60-BS123</f>
        <v>0</v>
      </c>
      <c r="BT180" s="32">
        <v>0</v>
      </c>
      <c r="BU180" s="34">
        <v>0</v>
      </c>
      <c r="BV180" s="39">
        <f>BV60-BV123</f>
        <v>0</v>
      </c>
      <c r="BW180" s="39">
        <f>BW60-BW123</f>
        <v>0</v>
      </c>
      <c r="BX180" s="32">
        <v>0</v>
      </c>
      <c r="BY180" s="34">
        <v>0</v>
      </c>
      <c r="BZ180" s="39">
        <f>BZ60-BZ123</f>
        <v>0</v>
      </c>
      <c r="CA180" s="32">
        <v>0</v>
      </c>
      <c r="CB180" s="31" t="str">
        <f t="shared" si="260"/>
        <v>-</v>
      </c>
      <c r="CC180" s="41">
        <f>CC60-CC123</f>
        <v>0</v>
      </c>
      <c r="CD180" s="40">
        <f>CD60-CD123</f>
        <v>0</v>
      </c>
      <c r="CE180" s="32">
        <v>0</v>
      </c>
      <c r="CF180" s="34">
        <v>0</v>
      </c>
      <c r="CG180" s="39">
        <f>CG60-CG123</f>
        <v>0</v>
      </c>
      <c r="CH180" s="39">
        <f>CH60-CH123</f>
        <v>0</v>
      </c>
      <c r="CI180" s="32">
        <v>0</v>
      </c>
      <c r="CJ180" s="34">
        <v>0</v>
      </c>
      <c r="CK180" s="39">
        <f>CK60-CK123</f>
        <v>0</v>
      </c>
      <c r="CL180" s="32">
        <v>0</v>
      </c>
      <c r="CM180" s="31" t="str">
        <f t="shared" si="261"/>
        <v>-</v>
      </c>
      <c r="CN180" s="41">
        <f>CN60-CN123</f>
        <v>0</v>
      </c>
      <c r="CO180" s="40">
        <f>CO60-CO123</f>
        <v>0</v>
      </c>
      <c r="CP180" s="32">
        <v>0</v>
      </c>
      <c r="CQ180" s="34">
        <v>0</v>
      </c>
      <c r="CR180" s="39">
        <f>CR60-CR123</f>
        <v>0</v>
      </c>
      <c r="CS180" s="39">
        <f>CS60-CS123</f>
        <v>0</v>
      </c>
      <c r="CT180" s="32">
        <v>0</v>
      </c>
      <c r="CU180" s="34">
        <v>0</v>
      </c>
      <c r="CV180" s="39">
        <f>CV60-CV123</f>
        <v>0</v>
      </c>
      <c r="CW180" s="32">
        <v>0</v>
      </c>
      <c r="CX180" s="31" t="str">
        <f t="shared" si="262"/>
        <v>-</v>
      </c>
      <c r="CY180" s="41">
        <f>CY60-CY123</f>
        <v>0</v>
      </c>
      <c r="CZ180" s="40">
        <f>CZ60-CZ123</f>
        <v>0</v>
      </c>
      <c r="DA180" s="32">
        <v>0</v>
      </c>
      <c r="DB180" s="34">
        <v>0</v>
      </c>
      <c r="DC180" s="39">
        <f>DC60-DC123</f>
        <v>0</v>
      </c>
      <c r="DD180" s="39">
        <f>DD60-DD123</f>
        <v>0</v>
      </c>
      <c r="DE180" s="32">
        <v>0</v>
      </c>
      <c r="DF180" s="34">
        <v>0</v>
      </c>
      <c r="DG180" s="39">
        <f>DG60-DG123</f>
        <v>0</v>
      </c>
      <c r="DH180" s="32">
        <v>0</v>
      </c>
      <c r="DI180" s="31" t="str">
        <f t="shared" si="263"/>
        <v>-</v>
      </c>
    </row>
    <row r="181" spans="1:113" ht="12.75" hidden="1" customHeight="1" outlineLevel="3" x14ac:dyDescent="0.2">
      <c r="B181" s="38" t="str">
        <f t="shared" si="265"/>
        <v>Страховые взносы, сторно резерва годового бонуса</v>
      </c>
      <c r="C181" s="37" t="str">
        <f t="shared" si="265"/>
        <v>Social Security on Bonus discretionary Accrual</v>
      </c>
      <c r="D181" s="41">
        <f>D61-D124</f>
        <v>0</v>
      </c>
      <c r="E181" s="40">
        <f>E61-E124</f>
        <v>0</v>
      </c>
      <c r="F181" s="32">
        <v>0</v>
      </c>
      <c r="G181" s="34">
        <v>0</v>
      </c>
      <c r="H181" s="39">
        <f>H61-H124</f>
        <v>0</v>
      </c>
      <c r="I181" s="39">
        <f>I61-I124</f>
        <v>0</v>
      </c>
      <c r="J181" s="32">
        <v>0</v>
      </c>
      <c r="K181" s="34">
        <v>0</v>
      </c>
      <c r="L181" s="39">
        <f>L61-L124</f>
        <v>0</v>
      </c>
      <c r="M181" s="32">
        <v>0</v>
      </c>
      <c r="N181" s="31" t="str">
        <f t="shared" si="254"/>
        <v>-</v>
      </c>
      <c r="O181" s="41">
        <f>O61-O124</f>
        <v>0</v>
      </c>
      <c r="P181" s="40">
        <f>P61-P124</f>
        <v>0</v>
      </c>
      <c r="Q181" s="32">
        <v>0</v>
      </c>
      <c r="R181" s="34">
        <v>0</v>
      </c>
      <c r="S181" s="39">
        <f>S61-S124</f>
        <v>0</v>
      </c>
      <c r="T181" s="39">
        <f>T61-T124</f>
        <v>0</v>
      </c>
      <c r="U181" s="32">
        <v>0</v>
      </c>
      <c r="V181" s="34">
        <v>0</v>
      </c>
      <c r="W181" s="39">
        <f>W61-W124</f>
        <v>0</v>
      </c>
      <c r="X181" s="32">
        <v>0</v>
      </c>
      <c r="Y181" s="31" t="str">
        <f t="shared" si="255"/>
        <v>-</v>
      </c>
      <c r="Z181" s="41">
        <f>Z61-Z124</f>
        <v>0</v>
      </c>
      <c r="AA181" s="40">
        <f>AA61-AA124</f>
        <v>0</v>
      </c>
      <c r="AB181" s="32">
        <v>0</v>
      </c>
      <c r="AC181" s="34">
        <v>0</v>
      </c>
      <c r="AD181" s="39">
        <f>AD61-AD124</f>
        <v>0</v>
      </c>
      <c r="AE181" s="39">
        <f>AE61-AE124</f>
        <v>0</v>
      </c>
      <c r="AF181" s="32">
        <v>0</v>
      </c>
      <c r="AG181" s="34">
        <v>0</v>
      </c>
      <c r="AH181" s="39">
        <f>AH61-AH124</f>
        <v>0</v>
      </c>
      <c r="AI181" s="32">
        <v>0</v>
      </c>
      <c r="AJ181" s="31" t="str">
        <f t="shared" si="256"/>
        <v>-</v>
      </c>
      <c r="AK181" s="41">
        <f>AK61-AK124</f>
        <v>0</v>
      </c>
      <c r="AL181" s="40">
        <f>AL61-AL124</f>
        <v>0</v>
      </c>
      <c r="AM181" s="32">
        <v>0</v>
      </c>
      <c r="AN181" s="34">
        <v>0</v>
      </c>
      <c r="AO181" s="39">
        <f>AO61-AO124</f>
        <v>0</v>
      </c>
      <c r="AP181" s="39">
        <f>AP61-AP124</f>
        <v>0</v>
      </c>
      <c r="AQ181" s="32">
        <v>0</v>
      </c>
      <c r="AR181" s="34">
        <v>0</v>
      </c>
      <c r="AS181" s="39">
        <f>AS61-AS124</f>
        <v>0</v>
      </c>
      <c r="AT181" s="32">
        <v>0</v>
      </c>
      <c r="AU181" s="31" t="str">
        <f t="shared" si="257"/>
        <v>-</v>
      </c>
      <c r="AV181" s="41">
        <f>AV61-AV124</f>
        <v>0</v>
      </c>
      <c r="AW181" s="40">
        <f>AW61-AW124</f>
        <v>0</v>
      </c>
      <c r="AX181" s="32">
        <v>0</v>
      </c>
      <c r="AY181" s="34">
        <v>0</v>
      </c>
      <c r="AZ181" s="39">
        <f>AZ61-AZ124</f>
        <v>0</v>
      </c>
      <c r="BA181" s="39">
        <f>BA61-BA124</f>
        <v>0</v>
      </c>
      <c r="BB181" s="32">
        <v>0</v>
      </c>
      <c r="BC181" s="34">
        <v>0</v>
      </c>
      <c r="BD181" s="39">
        <f>BD61-BD124</f>
        <v>0</v>
      </c>
      <c r="BE181" s="32">
        <v>0</v>
      </c>
      <c r="BF181" s="31" t="str">
        <f t="shared" si="258"/>
        <v>-</v>
      </c>
      <c r="BG181" s="41">
        <f>BG61-BG124</f>
        <v>0</v>
      </c>
      <c r="BH181" s="40">
        <f>BH61-BH124</f>
        <v>0</v>
      </c>
      <c r="BI181" s="32">
        <v>0</v>
      </c>
      <c r="BJ181" s="34">
        <v>0</v>
      </c>
      <c r="BK181" s="39">
        <f>BK61-BK124</f>
        <v>0</v>
      </c>
      <c r="BL181" s="39">
        <f>BL61-BL124</f>
        <v>0</v>
      </c>
      <c r="BM181" s="32">
        <v>0</v>
      </c>
      <c r="BN181" s="34">
        <v>0</v>
      </c>
      <c r="BO181" s="39">
        <f>BO61-BO124</f>
        <v>0</v>
      </c>
      <c r="BP181" s="32">
        <v>0</v>
      </c>
      <c r="BQ181" s="31" t="str">
        <f t="shared" si="259"/>
        <v>-</v>
      </c>
      <c r="BR181" s="41">
        <f>BR61-BR124</f>
        <v>0</v>
      </c>
      <c r="BS181" s="40">
        <f>BS61-BS124</f>
        <v>0</v>
      </c>
      <c r="BT181" s="32">
        <v>0</v>
      </c>
      <c r="BU181" s="34">
        <v>0</v>
      </c>
      <c r="BV181" s="39">
        <f>BV61-BV124</f>
        <v>0</v>
      </c>
      <c r="BW181" s="39">
        <f>BW61-BW124</f>
        <v>0</v>
      </c>
      <c r="BX181" s="32">
        <v>0</v>
      </c>
      <c r="BY181" s="34">
        <v>0</v>
      </c>
      <c r="BZ181" s="39">
        <f>BZ61-BZ124</f>
        <v>0</v>
      </c>
      <c r="CA181" s="32">
        <v>0</v>
      </c>
      <c r="CB181" s="31" t="str">
        <f t="shared" si="260"/>
        <v>-</v>
      </c>
      <c r="CC181" s="41">
        <f>CC61-CC124</f>
        <v>0</v>
      </c>
      <c r="CD181" s="40">
        <f>CD61-CD124</f>
        <v>0</v>
      </c>
      <c r="CE181" s="32">
        <v>0</v>
      </c>
      <c r="CF181" s="34">
        <v>0</v>
      </c>
      <c r="CG181" s="39">
        <f>CG61-CG124</f>
        <v>0</v>
      </c>
      <c r="CH181" s="39">
        <f>CH61-CH124</f>
        <v>0</v>
      </c>
      <c r="CI181" s="32">
        <v>0</v>
      </c>
      <c r="CJ181" s="34">
        <v>0</v>
      </c>
      <c r="CK181" s="39">
        <f>CK61-CK124</f>
        <v>0</v>
      </c>
      <c r="CL181" s="32">
        <v>0</v>
      </c>
      <c r="CM181" s="31" t="str">
        <f t="shared" si="261"/>
        <v>-</v>
      </c>
      <c r="CN181" s="41">
        <f>CN61-CN124</f>
        <v>0</v>
      </c>
      <c r="CO181" s="40">
        <f>CO61-CO124</f>
        <v>0</v>
      </c>
      <c r="CP181" s="32">
        <v>0</v>
      </c>
      <c r="CQ181" s="34">
        <v>0</v>
      </c>
      <c r="CR181" s="39">
        <f>CR61-CR124</f>
        <v>0</v>
      </c>
      <c r="CS181" s="39">
        <f>CS61-CS124</f>
        <v>0</v>
      </c>
      <c r="CT181" s="32">
        <v>0</v>
      </c>
      <c r="CU181" s="34">
        <v>0</v>
      </c>
      <c r="CV181" s="39">
        <f>CV61-CV124</f>
        <v>0</v>
      </c>
      <c r="CW181" s="32">
        <v>0</v>
      </c>
      <c r="CX181" s="31" t="str">
        <f t="shared" si="262"/>
        <v>-</v>
      </c>
      <c r="CY181" s="41">
        <f>CY61-CY124</f>
        <v>0</v>
      </c>
      <c r="CZ181" s="40">
        <f>CZ61-CZ124</f>
        <v>0</v>
      </c>
      <c r="DA181" s="32">
        <v>0</v>
      </c>
      <c r="DB181" s="34">
        <v>0</v>
      </c>
      <c r="DC181" s="39">
        <f>DC61-DC124</f>
        <v>0</v>
      </c>
      <c r="DD181" s="39">
        <f>DD61-DD124</f>
        <v>0</v>
      </c>
      <c r="DE181" s="32">
        <v>0</v>
      </c>
      <c r="DF181" s="34">
        <v>0</v>
      </c>
      <c r="DG181" s="39">
        <f>DG61-DG124</f>
        <v>0</v>
      </c>
      <c r="DH181" s="32">
        <v>0</v>
      </c>
      <c r="DI181" s="31" t="str">
        <f t="shared" si="263"/>
        <v>-</v>
      </c>
    </row>
    <row r="182" spans="1:113" s="6" customFormat="1" hidden="1" outlineLevel="2" collapsed="1" x14ac:dyDescent="0.2">
      <c r="A182" s="30"/>
      <c r="B182" s="29" t="str">
        <f t="shared" si="265"/>
        <v>Итого сторно резерва годового бонуса</v>
      </c>
      <c r="C182" s="42" t="str">
        <f t="shared" si="265"/>
        <v>Total  Reverse Bonus discretionary Accrual</v>
      </c>
      <c r="D182" s="27">
        <f>SUM(D180:D181)</f>
        <v>0</v>
      </c>
      <c r="E182" s="26">
        <f>SUM(E180:E181)</f>
        <v>0</v>
      </c>
      <c r="F182" s="23">
        <v>0</v>
      </c>
      <c r="G182" s="25">
        <v>0</v>
      </c>
      <c r="H182" s="24">
        <f>SUM(H180:H181)</f>
        <v>0</v>
      </c>
      <c r="I182" s="24">
        <f>SUM(I180:I181)</f>
        <v>0</v>
      </c>
      <c r="J182" s="23">
        <v>0</v>
      </c>
      <c r="K182" s="25">
        <v>0</v>
      </c>
      <c r="L182" s="24">
        <f>SUM(L180:L181)</f>
        <v>0</v>
      </c>
      <c r="M182" s="23">
        <v>0</v>
      </c>
      <c r="N182" s="22" t="str">
        <f t="shared" si="254"/>
        <v>-</v>
      </c>
      <c r="O182" s="27">
        <f>SUM(O180:O181)</f>
        <v>0</v>
      </c>
      <c r="P182" s="26">
        <f>SUM(P180:P181)</f>
        <v>0</v>
      </c>
      <c r="Q182" s="23">
        <v>0</v>
      </c>
      <c r="R182" s="25">
        <v>0</v>
      </c>
      <c r="S182" s="24">
        <f>SUM(S180:S181)</f>
        <v>0</v>
      </c>
      <c r="T182" s="24">
        <f>SUM(T180:T181)</f>
        <v>0</v>
      </c>
      <c r="U182" s="23">
        <v>0</v>
      </c>
      <c r="V182" s="25">
        <v>0</v>
      </c>
      <c r="W182" s="24">
        <f>SUM(W180:W181)</f>
        <v>0</v>
      </c>
      <c r="X182" s="23">
        <v>0</v>
      </c>
      <c r="Y182" s="22" t="str">
        <f t="shared" si="255"/>
        <v>-</v>
      </c>
      <c r="Z182" s="27">
        <f>SUM(Z180:Z181)</f>
        <v>0</v>
      </c>
      <c r="AA182" s="26">
        <f>SUM(AA180:AA181)</f>
        <v>0</v>
      </c>
      <c r="AB182" s="23">
        <v>0</v>
      </c>
      <c r="AC182" s="25">
        <v>0</v>
      </c>
      <c r="AD182" s="24">
        <f>SUM(AD180:AD181)</f>
        <v>0</v>
      </c>
      <c r="AE182" s="24">
        <f>SUM(AE180:AE181)</f>
        <v>0</v>
      </c>
      <c r="AF182" s="23">
        <v>0</v>
      </c>
      <c r="AG182" s="25">
        <v>0</v>
      </c>
      <c r="AH182" s="24">
        <f>SUM(AH180:AH181)</f>
        <v>0</v>
      </c>
      <c r="AI182" s="23">
        <v>0</v>
      </c>
      <c r="AJ182" s="22" t="str">
        <f t="shared" si="256"/>
        <v>-</v>
      </c>
      <c r="AK182" s="27">
        <f>SUM(AK180:AK181)</f>
        <v>0</v>
      </c>
      <c r="AL182" s="26">
        <f>SUM(AL180:AL181)</f>
        <v>0</v>
      </c>
      <c r="AM182" s="23">
        <v>0</v>
      </c>
      <c r="AN182" s="25">
        <v>0</v>
      </c>
      <c r="AO182" s="24">
        <f>SUM(AO180:AO181)</f>
        <v>0</v>
      </c>
      <c r="AP182" s="24">
        <f>SUM(AP180:AP181)</f>
        <v>0</v>
      </c>
      <c r="AQ182" s="23">
        <v>0</v>
      </c>
      <c r="AR182" s="25">
        <v>0</v>
      </c>
      <c r="AS182" s="24">
        <f>SUM(AS180:AS181)</f>
        <v>0</v>
      </c>
      <c r="AT182" s="23">
        <v>0</v>
      </c>
      <c r="AU182" s="22" t="str">
        <f t="shared" si="257"/>
        <v>-</v>
      </c>
      <c r="AV182" s="27">
        <f>SUM(AV180:AV181)</f>
        <v>0</v>
      </c>
      <c r="AW182" s="26">
        <f>SUM(AW180:AW181)</f>
        <v>0</v>
      </c>
      <c r="AX182" s="23">
        <v>0</v>
      </c>
      <c r="AY182" s="25">
        <v>0</v>
      </c>
      <c r="AZ182" s="24">
        <f>SUM(AZ180:AZ181)</f>
        <v>0</v>
      </c>
      <c r="BA182" s="24">
        <f>SUM(BA180:BA181)</f>
        <v>0</v>
      </c>
      <c r="BB182" s="23">
        <v>0</v>
      </c>
      <c r="BC182" s="25">
        <v>0</v>
      </c>
      <c r="BD182" s="24">
        <f>SUM(BD180:BD181)</f>
        <v>0</v>
      </c>
      <c r="BE182" s="23">
        <v>0</v>
      </c>
      <c r="BF182" s="22" t="str">
        <f t="shared" si="258"/>
        <v>-</v>
      </c>
      <c r="BG182" s="27">
        <f>SUM(BG180:BG181)</f>
        <v>0</v>
      </c>
      <c r="BH182" s="26">
        <f>SUM(BH180:BH181)</f>
        <v>0</v>
      </c>
      <c r="BI182" s="23">
        <v>0</v>
      </c>
      <c r="BJ182" s="25">
        <v>0</v>
      </c>
      <c r="BK182" s="24">
        <f>SUM(BK180:BK181)</f>
        <v>0</v>
      </c>
      <c r="BL182" s="24">
        <f>SUM(BL180:BL181)</f>
        <v>0</v>
      </c>
      <c r="BM182" s="23">
        <v>0</v>
      </c>
      <c r="BN182" s="25">
        <v>0</v>
      </c>
      <c r="BO182" s="24">
        <f>SUM(BO180:BO181)</f>
        <v>0</v>
      </c>
      <c r="BP182" s="23">
        <v>0</v>
      </c>
      <c r="BQ182" s="22" t="str">
        <f t="shared" si="259"/>
        <v>-</v>
      </c>
      <c r="BR182" s="27">
        <f>SUM(BR180:BR181)</f>
        <v>0</v>
      </c>
      <c r="BS182" s="26">
        <f>SUM(BS180:BS181)</f>
        <v>0</v>
      </c>
      <c r="BT182" s="23">
        <v>0</v>
      </c>
      <c r="BU182" s="25">
        <v>0</v>
      </c>
      <c r="BV182" s="24">
        <f>SUM(BV180:BV181)</f>
        <v>0</v>
      </c>
      <c r="BW182" s="24">
        <f>SUM(BW180:BW181)</f>
        <v>0</v>
      </c>
      <c r="BX182" s="23">
        <v>0</v>
      </c>
      <c r="BY182" s="25">
        <v>0</v>
      </c>
      <c r="BZ182" s="24">
        <f>SUM(BZ180:BZ181)</f>
        <v>0</v>
      </c>
      <c r="CA182" s="23">
        <v>0</v>
      </c>
      <c r="CB182" s="22" t="str">
        <f t="shared" si="260"/>
        <v>-</v>
      </c>
      <c r="CC182" s="27">
        <f>SUM(CC180:CC181)</f>
        <v>0</v>
      </c>
      <c r="CD182" s="26">
        <f>SUM(CD180:CD181)</f>
        <v>0</v>
      </c>
      <c r="CE182" s="23">
        <v>0</v>
      </c>
      <c r="CF182" s="25">
        <v>0</v>
      </c>
      <c r="CG182" s="24">
        <f>SUM(CG180:CG181)</f>
        <v>0</v>
      </c>
      <c r="CH182" s="24">
        <f>SUM(CH180:CH181)</f>
        <v>0</v>
      </c>
      <c r="CI182" s="23">
        <v>0</v>
      </c>
      <c r="CJ182" s="25">
        <v>0</v>
      </c>
      <c r="CK182" s="24">
        <f>SUM(CK180:CK181)</f>
        <v>0</v>
      </c>
      <c r="CL182" s="23">
        <v>0</v>
      </c>
      <c r="CM182" s="22" t="str">
        <f t="shared" si="261"/>
        <v>-</v>
      </c>
      <c r="CN182" s="27">
        <f>SUM(CN180:CN181)</f>
        <v>0</v>
      </c>
      <c r="CO182" s="26">
        <f>SUM(CO180:CO181)</f>
        <v>0</v>
      </c>
      <c r="CP182" s="23">
        <v>0</v>
      </c>
      <c r="CQ182" s="25">
        <v>0</v>
      </c>
      <c r="CR182" s="24">
        <f>SUM(CR180:CR181)</f>
        <v>0</v>
      </c>
      <c r="CS182" s="24">
        <f>SUM(CS180:CS181)</f>
        <v>0</v>
      </c>
      <c r="CT182" s="23">
        <v>0</v>
      </c>
      <c r="CU182" s="25">
        <v>0</v>
      </c>
      <c r="CV182" s="24">
        <f>SUM(CV180:CV181)</f>
        <v>0</v>
      </c>
      <c r="CW182" s="23">
        <v>0</v>
      </c>
      <c r="CX182" s="22" t="str">
        <f t="shared" si="262"/>
        <v>-</v>
      </c>
      <c r="CY182" s="27">
        <f>SUM(CY180:CY181)</f>
        <v>0</v>
      </c>
      <c r="CZ182" s="26">
        <f>SUM(CZ180:CZ181)</f>
        <v>0</v>
      </c>
      <c r="DA182" s="23">
        <v>0</v>
      </c>
      <c r="DB182" s="25">
        <v>0</v>
      </c>
      <c r="DC182" s="24">
        <f>SUM(DC180:DC181)</f>
        <v>0</v>
      </c>
      <c r="DD182" s="24">
        <f>SUM(DD180:DD181)</f>
        <v>0</v>
      </c>
      <c r="DE182" s="23">
        <v>0</v>
      </c>
      <c r="DF182" s="25">
        <v>0</v>
      </c>
      <c r="DG182" s="24">
        <f>SUM(DG180:DG181)</f>
        <v>0</v>
      </c>
      <c r="DH182" s="23">
        <v>0</v>
      </c>
      <c r="DI182" s="22" t="str">
        <f t="shared" si="263"/>
        <v>-</v>
      </c>
    </row>
    <row r="183" spans="1:113" ht="12.75" hidden="1" customHeight="1" outlineLevel="3" x14ac:dyDescent="0.2">
      <c r="B183" s="38" t="str">
        <f t="shared" si="265"/>
        <v>Годовой бонус</v>
      </c>
      <c r="C183" s="37" t="str">
        <f t="shared" si="265"/>
        <v>Bonus discretionary cash</v>
      </c>
      <c r="D183" s="41">
        <f>D63-D126</f>
        <v>603093921</v>
      </c>
      <c r="E183" s="40">
        <f>E63-E126</f>
        <v>0</v>
      </c>
      <c r="F183" s="32">
        <v>0</v>
      </c>
      <c r="G183" s="34">
        <v>0</v>
      </c>
      <c r="H183" s="39">
        <f>H63-H126</f>
        <v>-1866384464.9200001</v>
      </c>
      <c r="I183" s="39">
        <f>I63-I126</f>
        <v>5.0067901611328125E-6</v>
      </c>
      <c r="J183" s="32">
        <v>0</v>
      </c>
      <c r="K183" s="34">
        <v>0</v>
      </c>
      <c r="L183" s="39">
        <f>L63-L126</f>
        <v>0</v>
      </c>
      <c r="M183" s="32">
        <v>0</v>
      </c>
      <c r="N183" s="31" t="str">
        <f t="shared" si="254"/>
        <v>-</v>
      </c>
      <c r="O183" s="41">
        <f>O63-O126</f>
        <v>603093921</v>
      </c>
      <c r="P183" s="40">
        <f>P63-P126</f>
        <v>0</v>
      </c>
      <c r="Q183" s="32">
        <v>0</v>
      </c>
      <c r="R183" s="34">
        <v>0</v>
      </c>
      <c r="S183" s="39">
        <f>S63-S126</f>
        <v>-1866384464.9200001</v>
      </c>
      <c r="T183" s="39">
        <f>T63-T126</f>
        <v>5.0067901611328125E-6</v>
      </c>
      <c r="U183" s="32">
        <v>0</v>
      </c>
      <c r="V183" s="34">
        <v>0</v>
      </c>
      <c r="W183" s="39">
        <f>W63-W126</f>
        <v>0</v>
      </c>
      <c r="X183" s="32">
        <v>0</v>
      </c>
      <c r="Y183" s="31" t="str">
        <f t="shared" si="255"/>
        <v>-</v>
      </c>
      <c r="Z183" s="41">
        <f>Z63-Z126</f>
        <v>603093921</v>
      </c>
      <c r="AA183" s="40">
        <f>AA63-AA126</f>
        <v>0</v>
      </c>
      <c r="AB183" s="32">
        <v>0</v>
      </c>
      <c r="AC183" s="34">
        <v>0</v>
      </c>
      <c r="AD183" s="39">
        <f>AD63-AD126</f>
        <v>-1866384464.9200001</v>
      </c>
      <c r="AE183" s="39">
        <f>AE63-AE126</f>
        <v>5.0067901611328125E-6</v>
      </c>
      <c r="AF183" s="32">
        <v>0</v>
      </c>
      <c r="AG183" s="34">
        <v>0</v>
      </c>
      <c r="AH183" s="39">
        <f>AH63-AH126</f>
        <v>0</v>
      </c>
      <c r="AI183" s="32">
        <v>0</v>
      </c>
      <c r="AJ183" s="31" t="str">
        <f t="shared" si="256"/>
        <v>-</v>
      </c>
      <c r="AK183" s="41">
        <f>AK63-AK126</f>
        <v>603093921</v>
      </c>
      <c r="AL183" s="40">
        <f>AL63-AL126</f>
        <v>0</v>
      </c>
      <c r="AM183" s="32">
        <v>0</v>
      </c>
      <c r="AN183" s="34">
        <v>0</v>
      </c>
      <c r="AO183" s="39">
        <f>AO63-AO126</f>
        <v>-1866384464.9200001</v>
      </c>
      <c r="AP183" s="39">
        <f>AP63-AP126</f>
        <v>5.0067901611328125E-6</v>
      </c>
      <c r="AQ183" s="32">
        <v>0</v>
      </c>
      <c r="AR183" s="34">
        <v>0</v>
      </c>
      <c r="AS183" s="39">
        <f>AS63-AS126</f>
        <v>0</v>
      </c>
      <c r="AT183" s="32">
        <v>0</v>
      </c>
      <c r="AU183" s="31" t="str">
        <f t="shared" si="257"/>
        <v>-</v>
      </c>
      <c r="AV183" s="41">
        <f>AV63-AV126</f>
        <v>603093921</v>
      </c>
      <c r="AW183" s="40">
        <f>AW63-AW126</f>
        <v>0</v>
      </c>
      <c r="AX183" s="32">
        <v>0</v>
      </c>
      <c r="AY183" s="34">
        <v>0</v>
      </c>
      <c r="AZ183" s="39">
        <f>AZ63-AZ126</f>
        <v>-1866384464.9200001</v>
      </c>
      <c r="BA183" s="39">
        <f>BA63-BA126</f>
        <v>5.0067901611328125E-6</v>
      </c>
      <c r="BB183" s="32">
        <v>0</v>
      </c>
      <c r="BC183" s="34">
        <v>0</v>
      </c>
      <c r="BD183" s="39">
        <f>BD63-BD126</f>
        <v>0</v>
      </c>
      <c r="BE183" s="32">
        <v>0</v>
      </c>
      <c r="BF183" s="31" t="str">
        <f t="shared" si="258"/>
        <v>-</v>
      </c>
      <c r="BG183" s="41">
        <f>BG63-BG126</f>
        <v>603093921</v>
      </c>
      <c r="BH183" s="40">
        <f>BH63-BH126</f>
        <v>0</v>
      </c>
      <c r="BI183" s="32">
        <v>0</v>
      </c>
      <c r="BJ183" s="34">
        <v>0</v>
      </c>
      <c r="BK183" s="39">
        <f>BK63-BK126</f>
        <v>-1866384464.9200001</v>
      </c>
      <c r="BL183" s="39">
        <f>BL63-BL126</f>
        <v>5.0067901611328125E-6</v>
      </c>
      <c r="BM183" s="32">
        <v>0</v>
      </c>
      <c r="BN183" s="34">
        <v>0</v>
      </c>
      <c r="BO183" s="39">
        <f>BO63-BO126</f>
        <v>0</v>
      </c>
      <c r="BP183" s="32">
        <v>0</v>
      </c>
      <c r="BQ183" s="31" t="str">
        <f t="shared" si="259"/>
        <v>-</v>
      </c>
      <c r="BR183" s="41">
        <f>BR63-BR126</f>
        <v>603093921</v>
      </c>
      <c r="BS183" s="40">
        <f>BS63-BS126</f>
        <v>0</v>
      </c>
      <c r="BT183" s="32">
        <v>0</v>
      </c>
      <c r="BU183" s="34">
        <v>0</v>
      </c>
      <c r="BV183" s="39">
        <f>BV63-BV126</f>
        <v>-1866384464.9200001</v>
      </c>
      <c r="BW183" s="39">
        <f>BW63-BW126</f>
        <v>5.0067901611328125E-6</v>
      </c>
      <c r="BX183" s="32">
        <v>0</v>
      </c>
      <c r="BY183" s="34">
        <v>0</v>
      </c>
      <c r="BZ183" s="39">
        <f>BZ63-BZ126</f>
        <v>0</v>
      </c>
      <c r="CA183" s="32">
        <v>0</v>
      </c>
      <c r="CB183" s="31" t="str">
        <f t="shared" si="260"/>
        <v>-</v>
      </c>
      <c r="CC183" s="41">
        <f>CC63-CC126</f>
        <v>603093921</v>
      </c>
      <c r="CD183" s="40">
        <f>CD63-CD126</f>
        <v>0</v>
      </c>
      <c r="CE183" s="32">
        <v>0</v>
      </c>
      <c r="CF183" s="34">
        <v>0</v>
      </c>
      <c r="CG183" s="39">
        <f>CG63-CG126</f>
        <v>-1866384464.9200001</v>
      </c>
      <c r="CH183" s="39">
        <f>CH63-CH126</f>
        <v>5.0067901611328125E-6</v>
      </c>
      <c r="CI183" s="32">
        <v>0</v>
      </c>
      <c r="CJ183" s="34">
        <v>0</v>
      </c>
      <c r="CK183" s="39">
        <f>CK63-CK126</f>
        <v>0</v>
      </c>
      <c r="CL183" s="32">
        <v>0</v>
      </c>
      <c r="CM183" s="31" t="str">
        <f t="shared" si="261"/>
        <v>-</v>
      </c>
      <c r="CN183" s="41">
        <f>CN63-CN126</f>
        <v>603093921</v>
      </c>
      <c r="CO183" s="40">
        <f>CO63-CO126</f>
        <v>0</v>
      </c>
      <c r="CP183" s="32">
        <v>0</v>
      </c>
      <c r="CQ183" s="34">
        <v>0</v>
      </c>
      <c r="CR183" s="39">
        <f>CR63-CR126</f>
        <v>-1866384464.9200001</v>
      </c>
      <c r="CS183" s="39">
        <f>CS63-CS126</f>
        <v>5.0067901611328125E-6</v>
      </c>
      <c r="CT183" s="32">
        <v>0</v>
      </c>
      <c r="CU183" s="34">
        <v>0</v>
      </c>
      <c r="CV183" s="39">
        <f>CV63-CV126</f>
        <v>0</v>
      </c>
      <c r="CW183" s="32">
        <v>0</v>
      </c>
      <c r="CX183" s="31" t="str">
        <f t="shared" si="262"/>
        <v>-</v>
      </c>
      <c r="CY183" s="41">
        <f>CY63-CY126</f>
        <v>603093921</v>
      </c>
      <c r="CZ183" s="40">
        <f>CZ63-CZ126</f>
        <v>0</v>
      </c>
      <c r="DA183" s="32">
        <v>0</v>
      </c>
      <c r="DB183" s="34">
        <v>0</v>
      </c>
      <c r="DC183" s="39">
        <f>DC63-DC126</f>
        <v>-1866384464.9200001</v>
      </c>
      <c r="DD183" s="39">
        <f>DD63-DD126</f>
        <v>5.0067901611328125E-6</v>
      </c>
      <c r="DE183" s="32">
        <v>0</v>
      </c>
      <c r="DF183" s="34">
        <v>0</v>
      </c>
      <c r="DG183" s="39">
        <f>DG63-DG126</f>
        <v>0</v>
      </c>
      <c r="DH183" s="32">
        <v>0</v>
      </c>
      <c r="DI183" s="31" t="str">
        <f t="shared" si="263"/>
        <v>-</v>
      </c>
    </row>
    <row r="184" spans="1:113" ht="12.75" hidden="1" customHeight="1" outlineLevel="3" x14ac:dyDescent="0.2">
      <c r="B184" s="38" t="str">
        <f t="shared" si="265"/>
        <v>Страховые взносы, годовой бонус</v>
      </c>
      <c r="C184" s="37" t="str">
        <f t="shared" si="265"/>
        <v>Social Security on discretionary Bonus cash</v>
      </c>
      <c r="D184" s="36">
        <f>D64-D127</f>
        <v>39499641</v>
      </c>
      <c r="E184" s="35">
        <f>E64-E127</f>
        <v>-1.6391277313232422E-7</v>
      </c>
      <c r="F184" s="32">
        <v>0</v>
      </c>
      <c r="G184" s="34">
        <v>0</v>
      </c>
      <c r="H184" s="33">
        <f>H64-H127</f>
        <v>-352450585.80000001</v>
      </c>
      <c r="I184" s="33">
        <f>I64-I127</f>
        <v>-1.4901161193847656E-6</v>
      </c>
      <c r="J184" s="32">
        <v>0</v>
      </c>
      <c r="K184" s="34">
        <v>0</v>
      </c>
      <c r="L184" s="33">
        <f>L64-L127</f>
        <v>-1.6689300537109375E-6</v>
      </c>
      <c r="M184" s="32">
        <v>0</v>
      </c>
      <c r="N184" s="31">
        <f t="shared" si="254"/>
        <v>0</v>
      </c>
      <c r="O184" s="36">
        <f>O64-O127</f>
        <v>39499641</v>
      </c>
      <c r="P184" s="35">
        <f>P64-P127</f>
        <v>-1.6391277313232422E-7</v>
      </c>
      <c r="Q184" s="32">
        <v>0</v>
      </c>
      <c r="R184" s="34">
        <v>0</v>
      </c>
      <c r="S184" s="33">
        <f>S64-S127</f>
        <v>-352450585.80000001</v>
      </c>
      <c r="T184" s="33">
        <f>T64-T127</f>
        <v>-1.4901161193847656E-6</v>
      </c>
      <c r="U184" s="32">
        <v>0</v>
      </c>
      <c r="V184" s="34">
        <v>0</v>
      </c>
      <c r="W184" s="33">
        <f>W64-W127</f>
        <v>-1.6689300537109375E-6</v>
      </c>
      <c r="X184" s="32">
        <v>0</v>
      </c>
      <c r="Y184" s="31">
        <f t="shared" si="255"/>
        <v>0</v>
      </c>
      <c r="Z184" s="36">
        <f>Z64-Z127</f>
        <v>39499641</v>
      </c>
      <c r="AA184" s="35">
        <f>AA64-AA127</f>
        <v>-1.6391277313232422E-7</v>
      </c>
      <c r="AB184" s="32">
        <v>0</v>
      </c>
      <c r="AC184" s="34">
        <v>0</v>
      </c>
      <c r="AD184" s="33">
        <f>AD64-AD127</f>
        <v>-352450585.80000001</v>
      </c>
      <c r="AE184" s="33">
        <f>AE64-AE127</f>
        <v>-1.4901161193847656E-6</v>
      </c>
      <c r="AF184" s="32">
        <v>0</v>
      </c>
      <c r="AG184" s="34">
        <v>0</v>
      </c>
      <c r="AH184" s="33">
        <f>AH64-AH127</f>
        <v>-1.6689300537109375E-6</v>
      </c>
      <c r="AI184" s="32">
        <v>0</v>
      </c>
      <c r="AJ184" s="31">
        <f t="shared" si="256"/>
        <v>0</v>
      </c>
      <c r="AK184" s="36">
        <f>AK64-AK127</f>
        <v>39499641</v>
      </c>
      <c r="AL184" s="35">
        <f>AL64-AL127</f>
        <v>-1.6391277313232422E-7</v>
      </c>
      <c r="AM184" s="32">
        <v>0</v>
      </c>
      <c r="AN184" s="34">
        <v>0</v>
      </c>
      <c r="AO184" s="33">
        <f>AO64-AO127</f>
        <v>-352450585.80000001</v>
      </c>
      <c r="AP184" s="33">
        <f>AP64-AP127</f>
        <v>-1.4901161193847656E-6</v>
      </c>
      <c r="AQ184" s="32">
        <v>0</v>
      </c>
      <c r="AR184" s="34">
        <v>0</v>
      </c>
      <c r="AS184" s="33">
        <f>AS64-AS127</f>
        <v>-1.6689300537109375E-6</v>
      </c>
      <c r="AT184" s="32">
        <v>0</v>
      </c>
      <c r="AU184" s="31">
        <f t="shared" si="257"/>
        <v>0</v>
      </c>
      <c r="AV184" s="36">
        <f>AV64-AV127</f>
        <v>39499641</v>
      </c>
      <c r="AW184" s="35">
        <f>AW64-AW127</f>
        <v>-1.6391277313232422E-7</v>
      </c>
      <c r="AX184" s="32">
        <v>0</v>
      </c>
      <c r="AY184" s="34">
        <v>0</v>
      </c>
      <c r="AZ184" s="33">
        <f>AZ64-AZ127</f>
        <v>-352450585.80000001</v>
      </c>
      <c r="BA184" s="33">
        <f>BA64-BA127</f>
        <v>-1.4901161193847656E-6</v>
      </c>
      <c r="BB184" s="32">
        <v>0</v>
      </c>
      <c r="BC184" s="34">
        <v>0</v>
      </c>
      <c r="BD184" s="33">
        <f>BD64-BD127</f>
        <v>-1.6689300537109375E-6</v>
      </c>
      <c r="BE184" s="32">
        <v>0</v>
      </c>
      <c r="BF184" s="31">
        <f t="shared" si="258"/>
        <v>0</v>
      </c>
      <c r="BG184" s="36">
        <f>BG64-BG127</f>
        <v>39499641</v>
      </c>
      <c r="BH184" s="35">
        <f>BH64-BH127</f>
        <v>-1.6391277313232422E-7</v>
      </c>
      <c r="BI184" s="32">
        <v>0</v>
      </c>
      <c r="BJ184" s="34">
        <v>0</v>
      </c>
      <c r="BK184" s="33">
        <f>BK64-BK127</f>
        <v>-352450585.80000001</v>
      </c>
      <c r="BL184" s="33">
        <f>BL64-BL127</f>
        <v>-1.4901161193847656E-6</v>
      </c>
      <c r="BM184" s="32">
        <v>0</v>
      </c>
      <c r="BN184" s="34">
        <v>0</v>
      </c>
      <c r="BO184" s="33">
        <f>BO64-BO127</f>
        <v>-1.6689300537109375E-6</v>
      </c>
      <c r="BP184" s="32">
        <v>0</v>
      </c>
      <c r="BQ184" s="31">
        <f t="shared" si="259"/>
        <v>0</v>
      </c>
      <c r="BR184" s="36">
        <f>BR64-BR127</f>
        <v>39499641</v>
      </c>
      <c r="BS184" s="35">
        <f>BS64-BS127</f>
        <v>-1.6391277313232422E-7</v>
      </c>
      <c r="BT184" s="32">
        <v>0</v>
      </c>
      <c r="BU184" s="34">
        <v>0</v>
      </c>
      <c r="BV184" s="33">
        <f>BV64-BV127</f>
        <v>-352450585.80000001</v>
      </c>
      <c r="BW184" s="33">
        <f>BW64-BW127</f>
        <v>-1.4901161193847656E-6</v>
      </c>
      <c r="BX184" s="32">
        <v>0</v>
      </c>
      <c r="BY184" s="34">
        <v>0</v>
      </c>
      <c r="BZ184" s="33">
        <f>BZ64-BZ127</f>
        <v>-1.6689300537109375E-6</v>
      </c>
      <c r="CA184" s="32">
        <v>0</v>
      </c>
      <c r="CB184" s="31">
        <f t="shared" si="260"/>
        <v>0</v>
      </c>
      <c r="CC184" s="36">
        <f>CC64-CC127</f>
        <v>39499641</v>
      </c>
      <c r="CD184" s="35">
        <f>CD64-CD127</f>
        <v>-1.6391277313232422E-7</v>
      </c>
      <c r="CE184" s="32">
        <v>0</v>
      </c>
      <c r="CF184" s="34">
        <v>0</v>
      </c>
      <c r="CG184" s="33">
        <f>CG64-CG127</f>
        <v>-352450585.80000001</v>
      </c>
      <c r="CH184" s="33">
        <f>CH64-CH127</f>
        <v>-1.4901161193847656E-6</v>
      </c>
      <c r="CI184" s="32">
        <v>0</v>
      </c>
      <c r="CJ184" s="34">
        <v>0</v>
      </c>
      <c r="CK184" s="33">
        <f>CK64-CK127</f>
        <v>-1.6689300537109375E-6</v>
      </c>
      <c r="CL184" s="32">
        <v>0</v>
      </c>
      <c r="CM184" s="31">
        <f t="shared" si="261"/>
        <v>0</v>
      </c>
      <c r="CN184" s="36">
        <f>CN64-CN127</f>
        <v>39499641</v>
      </c>
      <c r="CO184" s="35">
        <f>CO64-CO127</f>
        <v>-1.6391277313232422E-7</v>
      </c>
      <c r="CP184" s="32">
        <v>0</v>
      </c>
      <c r="CQ184" s="34">
        <v>0</v>
      </c>
      <c r="CR184" s="33">
        <f>CR64-CR127</f>
        <v>-352450585.80000001</v>
      </c>
      <c r="CS184" s="33">
        <f>CS64-CS127</f>
        <v>-1.4901161193847656E-6</v>
      </c>
      <c r="CT184" s="32">
        <v>0</v>
      </c>
      <c r="CU184" s="34">
        <v>0</v>
      </c>
      <c r="CV184" s="33">
        <f>CV64-CV127</f>
        <v>-1.6689300537109375E-6</v>
      </c>
      <c r="CW184" s="32">
        <v>0</v>
      </c>
      <c r="CX184" s="31">
        <f t="shared" si="262"/>
        <v>0</v>
      </c>
      <c r="CY184" s="36">
        <f>CY64-CY127</f>
        <v>39499641</v>
      </c>
      <c r="CZ184" s="35">
        <f>CZ64-CZ127</f>
        <v>-1.6391277313232422E-7</v>
      </c>
      <c r="DA184" s="32">
        <v>0</v>
      </c>
      <c r="DB184" s="34">
        <v>0</v>
      </c>
      <c r="DC184" s="33">
        <f>DC64-DC127</f>
        <v>-352450585.80000001</v>
      </c>
      <c r="DD184" s="33">
        <f>DD64-DD127</f>
        <v>-1.4901161193847656E-6</v>
      </c>
      <c r="DE184" s="32">
        <v>0</v>
      </c>
      <c r="DF184" s="34">
        <v>0</v>
      </c>
      <c r="DG184" s="33">
        <f>DG64-DG127</f>
        <v>-1.6689300537109375E-6</v>
      </c>
      <c r="DH184" s="32">
        <v>0</v>
      </c>
      <c r="DI184" s="31">
        <f t="shared" si="263"/>
        <v>0</v>
      </c>
    </row>
    <row r="185" spans="1:113" s="6" customFormat="1" hidden="1" outlineLevel="2" collapsed="1" x14ac:dyDescent="0.2">
      <c r="A185" s="30"/>
      <c r="B185" s="29" t="str">
        <f t="shared" si="265"/>
        <v>Итого годовой бонус</v>
      </c>
      <c r="C185" s="28" t="str">
        <f t="shared" si="265"/>
        <v>Total Bonus discretionary cash</v>
      </c>
      <c r="D185" s="27">
        <f>SUM(D183:D184)</f>
        <v>642593562</v>
      </c>
      <c r="E185" s="26">
        <f>SUM(E183:E184)</f>
        <v>-1.6391277313232422E-7</v>
      </c>
      <c r="F185" s="23">
        <v>0</v>
      </c>
      <c r="G185" s="25">
        <v>0</v>
      </c>
      <c r="H185" s="24">
        <f>SUM(H183:H184)</f>
        <v>-2218835050.7200003</v>
      </c>
      <c r="I185" s="24">
        <f>SUM(I183:I184)</f>
        <v>3.5166740417480469E-6</v>
      </c>
      <c r="J185" s="23">
        <v>0</v>
      </c>
      <c r="K185" s="25">
        <v>0</v>
      </c>
      <c r="L185" s="24">
        <f>SUM(L183:L184)</f>
        <v>-1.6689300537109375E-6</v>
      </c>
      <c r="M185" s="23">
        <v>0</v>
      </c>
      <c r="N185" s="22">
        <f t="shared" si="254"/>
        <v>0</v>
      </c>
      <c r="O185" s="27">
        <f>SUM(O183:O184)</f>
        <v>642593562</v>
      </c>
      <c r="P185" s="26">
        <f>SUM(P183:P184)</f>
        <v>-1.6391277313232422E-7</v>
      </c>
      <c r="Q185" s="23">
        <v>0</v>
      </c>
      <c r="R185" s="25">
        <v>0</v>
      </c>
      <c r="S185" s="24">
        <f>SUM(S183:S184)</f>
        <v>-2218835050.7200003</v>
      </c>
      <c r="T185" s="24">
        <f>SUM(T183:T184)</f>
        <v>3.5166740417480469E-6</v>
      </c>
      <c r="U185" s="23">
        <v>0</v>
      </c>
      <c r="V185" s="25">
        <v>0</v>
      </c>
      <c r="W185" s="24">
        <f>SUM(W183:W184)</f>
        <v>-1.6689300537109375E-6</v>
      </c>
      <c r="X185" s="23">
        <v>0</v>
      </c>
      <c r="Y185" s="22">
        <f t="shared" si="255"/>
        <v>0</v>
      </c>
      <c r="Z185" s="27">
        <f>SUM(Z183:Z184)</f>
        <v>642593562</v>
      </c>
      <c r="AA185" s="26">
        <f>SUM(AA183:AA184)</f>
        <v>-1.6391277313232422E-7</v>
      </c>
      <c r="AB185" s="23">
        <v>0</v>
      </c>
      <c r="AC185" s="25">
        <v>0</v>
      </c>
      <c r="AD185" s="24">
        <f>SUM(AD183:AD184)</f>
        <v>-2218835050.7200003</v>
      </c>
      <c r="AE185" s="24">
        <f>SUM(AE183:AE184)</f>
        <v>3.5166740417480469E-6</v>
      </c>
      <c r="AF185" s="23">
        <v>0</v>
      </c>
      <c r="AG185" s="25">
        <v>0</v>
      </c>
      <c r="AH185" s="24">
        <f>SUM(AH183:AH184)</f>
        <v>-1.6689300537109375E-6</v>
      </c>
      <c r="AI185" s="23">
        <v>0</v>
      </c>
      <c r="AJ185" s="22">
        <f t="shared" si="256"/>
        <v>0</v>
      </c>
      <c r="AK185" s="27">
        <f>SUM(AK183:AK184)</f>
        <v>642593562</v>
      </c>
      <c r="AL185" s="26">
        <f>SUM(AL183:AL184)</f>
        <v>-1.6391277313232422E-7</v>
      </c>
      <c r="AM185" s="23">
        <v>0</v>
      </c>
      <c r="AN185" s="25">
        <v>0</v>
      </c>
      <c r="AO185" s="24">
        <f>SUM(AO183:AO184)</f>
        <v>-2218835050.7200003</v>
      </c>
      <c r="AP185" s="24">
        <f>SUM(AP183:AP184)</f>
        <v>3.5166740417480469E-6</v>
      </c>
      <c r="AQ185" s="23">
        <v>0</v>
      </c>
      <c r="AR185" s="25">
        <v>0</v>
      </c>
      <c r="AS185" s="24">
        <f>SUM(AS183:AS184)</f>
        <v>-1.6689300537109375E-6</v>
      </c>
      <c r="AT185" s="23">
        <v>0</v>
      </c>
      <c r="AU185" s="22">
        <f t="shared" si="257"/>
        <v>0</v>
      </c>
      <c r="AV185" s="27">
        <f>SUM(AV183:AV184)</f>
        <v>642593562</v>
      </c>
      <c r="AW185" s="26">
        <f>SUM(AW183:AW184)</f>
        <v>-1.6391277313232422E-7</v>
      </c>
      <c r="AX185" s="23">
        <v>0</v>
      </c>
      <c r="AY185" s="25">
        <v>0</v>
      </c>
      <c r="AZ185" s="24">
        <f>SUM(AZ183:AZ184)</f>
        <v>-2218835050.7200003</v>
      </c>
      <c r="BA185" s="24">
        <f>SUM(BA183:BA184)</f>
        <v>3.5166740417480469E-6</v>
      </c>
      <c r="BB185" s="23">
        <v>0</v>
      </c>
      <c r="BC185" s="25">
        <v>0</v>
      </c>
      <c r="BD185" s="24">
        <f>SUM(BD183:BD184)</f>
        <v>-1.6689300537109375E-6</v>
      </c>
      <c r="BE185" s="23">
        <v>0</v>
      </c>
      <c r="BF185" s="22">
        <f t="shared" si="258"/>
        <v>0</v>
      </c>
      <c r="BG185" s="27">
        <f>SUM(BG183:BG184)</f>
        <v>642593562</v>
      </c>
      <c r="BH185" s="26">
        <f>SUM(BH183:BH184)</f>
        <v>-1.6391277313232422E-7</v>
      </c>
      <c r="BI185" s="23">
        <v>0</v>
      </c>
      <c r="BJ185" s="25">
        <v>0</v>
      </c>
      <c r="BK185" s="24">
        <f>SUM(BK183:BK184)</f>
        <v>-2218835050.7200003</v>
      </c>
      <c r="BL185" s="24">
        <f>SUM(BL183:BL184)</f>
        <v>3.5166740417480469E-6</v>
      </c>
      <c r="BM185" s="23">
        <v>0</v>
      </c>
      <c r="BN185" s="25">
        <v>0</v>
      </c>
      <c r="BO185" s="24">
        <f>SUM(BO183:BO184)</f>
        <v>-1.6689300537109375E-6</v>
      </c>
      <c r="BP185" s="23">
        <v>0</v>
      </c>
      <c r="BQ185" s="22">
        <f t="shared" si="259"/>
        <v>0</v>
      </c>
      <c r="BR185" s="27">
        <f>SUM(BR183:BR184)</f>
        <v>642593562</v>
      </c>
      <c r="BS185" s="26">
        <f>SUM(BS183:BS184)</f>
        <v>-1.6391277313232422E-7</v>
      </c>
      <c r="BT185" s="23">
        <v>0</v>
      </c>
      <c r="BU185" s="25">
        <v>0</v>
      </c>
      <c r="BV185" s="24">
        <f>SUM(BV183:BV184)</f>
        <v>-2218835050.7200003</v>
      </c>
      <c r="BW185" s="24">
        <f>SUM(BW183:BW184)</f>
        <v>3.5166740417480469E-6</v>
      </c>
      <c r="BX185" s="23">
        <v>0</v>
      </c>
      <c r="BY185" s="25">
        <v>0</v>
      </c>
      <c r="BZ185" s="24">
        <f>SUM(BZ183:BZ184)</f>
        <v>-1.6689300537109375E-6</v>
      </c>
      <c r="CA185" s="23">
        <v>0</v>
      </c>
      <c r="CB185" s="22">
        <f t="shared" si="260"/>
        <v>0</v>
      </c>
      <c r="CC185" s="27">
        <f>SUM(CC183:CC184)</f>
        <v>642593562</v>
      </c>
      <c r="CD185" s="26">
        <f>SUM(CD183:CD184)</f>
        <v>-1.6391277313232422E-7</v>
      </c>
      <c r="CE185" s="23">
        <v>0</v>
      </c>
      <c r="CF185" s="25">
        <v>0</v>
      </c>
      <c r="CG185" s="24">
        <f>SUM(CG183:CG184)</f>
        <v>-2218835050.7200003</v>
      </c>
      <c r="CH185" s="24">
        <f>SUM(CH183:CH184)</f>
        <v>3.5166740417480469E-6</v>
      </c>
      <c r="CI185" s="23">
        <v>0</v>
      </c>
      <c r="CJ185" s="25">
        <v>0</v>
      </c>
      <c r="CK185" s="24">
        <f>SUM(CK183:CK184)</f>
        <v>-1.6689300537109375E-6</v>
      </c>
      <c r="CL185" s="23">
        <v>0</v>
      </c>
      <c r="CM185" s="22">
        <f t="shared" si="261"/>
        <v>0</v>
      </c>
      <c r="CN185" s="27">
        <f>SUM(CN183:CN184)</f>
        <v>642593562</v>
      </c>
      <c r="CO185" s="26">
        <f>SUM(CO183:CO184)</f>
        <v>-1.6391277313232422E-7</v>
      </c>
      <c r="CP185" s="23">
        <v>0</v>
      </c>
      <c r="CQ185" s="25">
        <v>0</v>
      </c>
      <c r="CR185" s="24">
        <f>SUM(CR183:CR184)</f>
        <v>-2218835050.7200003</v>
      </c>
      <c r="CS185" s="24">
        <f>SUM(CS183:CS184)</f>
        <v>3.5166740417480469E-6</v>
      </c>
      <c r="CT185" s="23">
        <v>0</v>
      </c>
      <c r="CU185" s="25">
        <v>0</v>
      </c>
      <c r="CV185" s="24">
        <f>SUM(CV183:CV184)</f>
        <v>-1.6689300537109375E-6</v>
      </c>
      <c r="CW185" s="23">
        <v>0</v>
      </c>
      <c r="CX185" s="22">
        <f t="shared" si="262"/>
        <v>0</v>
      </c>
      <c r="CY185" s="27">
        <f>SUM(CY183:CY184)</f>
        <v>642593562</v>
      </c>
      <c r="CZ185" s="26">
        <f>SUM(CZ183:CZ184)</f>
        <v>-1.6391277313232422E-7</v>
      </c>
      <c r="DA185" s="23">
        <v>0</v>
      </c>
      <c r="DB185" s="25">
        <v>0</v>
      </c>
      <c r="DC185" s="24">
        <f>SUM(DC183:DC184)</f>
        <v>-2218835050.7200003</v>
      </c>
      <c r="DD185" s="24">
        <f>SUM(DD183:DD184)</f>
        <v>3.5166740417480469E-6</v>
      </c>
      <c r="DE185" s="23">
        <v>0</v>
      </c>
      <c r="DF185" s="25">
        <v>0</v>
      </c>
      <c r="DG185" s="24">
        <f>SUM(DG183:DG184)</f>
        <v>-1.6689300537109375E-6</v>
      </c>
      <c r="DH185" s="23">
        <v>0</v>
      </c>
      <c r="DI185" s="22">
        <f t="shared" si="263"/>
        <v>0</v>
      </c>
    </row>
    <row r="186" spans="1:113" ht="15.75" customHeight="1" collapsed="1" x14ac:dyDescent="0.2">
      <c r="B186" s="21" t="str">
        <f t="shared" si="265"/>
        <v>Годовой бонус</v>
      </c>
      <c r="C186" s="20" t="str">
        <f t="shared" si="265"/>
        <v>Bonus discretionary</v>
      </c>
      <c r="D186" s="19">
        <f>D185+D182+D179</f>
        <v>991000366.0371896</v>
      </c>
      <c r="E186" s="18">
        <f>E185+E182+E179</f>
        <v>-1.6391277313232422E-7</v>
      </c>
      <c r="F186" s="15">
        <v>0</v>
      </c>
      <c r="G186" s="17">
        <v>0</v>
      </c>
      <c r="H186" s="16">
        <f>H185+H182+H179</f>
        <v>-128394226.49686384</v>
      </c>
      <c r="I186" s="16">
        <f>I185+I182+I179</f>
        <v>3.5166740417480469E-6</v>
      </c>
      <c r="J186" s="15">
        <v>0</v>
      </c>
      <c r="K186" s="17">
        <v>0</v>
      </c>
      <c r="L186" s="16">
        <f>L185+L182+L179</f>
        <v>-1.6689300537109375E-6</v>
      </c>
      <c r="M186" s="15">
        <v>0</v>
      </c>
      <c r="N186" s="14">
        <f t="shared" si="254"/>
        <v>0</v>
      </c>
      <c r="O186" s="19">
        <f>O185+O182+O179</f>
        <v>991000366.0371896</v>
      </c>
      <c r="P186" s="18">
        <f>P185+P182+P179</f>
        <v>-1.6391277313232422E-7</v>
      </c>
      <c r="Q186" s="15">
        <v>0</v>
      </c>
      <c r="R186" s="17">
        <v>0</v>
      </c>
      <c r="S186" s="16">
        <f>S185+S182+S179</f>
        <v>-128394226.49686384</v>
      </c>
      <c r="T186" s="16">
        <f>T185+T182+T179</f>
        <v>3.5166740417480469E-6</v>
      </c>
      <c r="U186" s="15">
        <v>0</v>
      </c>
      <c r="V186" s="17">
        <v>0</v>
      </c>
      <c r="W186" s="16">
        <f>W185+W182+W179</f>
        <v>-1.6689300537109375E-6</v>
      </c>
      <c r="X186" s="15">
        <v>0</v>
      </c>
      <c r="Y186" s="14">
        <f t="shared" si="255"/>
        <v>0</v>
      </c>
      <c r="Z186" s="19">
        <f>Z185+Z182+Z179</f>
        <v>991000366.0371896</v>
      </c>
      <c r="AA186" s="18">
        <f>AA185+AA182+AA179</f>
        <v>-1.6391277313232422E-7</v>
      </c>
      <c r="AB186" s="15">
        <v>0</v>
      </c>
      <c r="AC186" s="17">
        <v>0</v>
      </c>
      <c r="AD186" s="16">
        <f>AD185+AD182+AD179</f>
        <v>-128394226.49686384</v>
      </c>
      <c r="AE186" s="16">
        <f>AE185+AE182+AE179</f>
        <v>3.5166740417480469E-6</v>
      </c>
      <c r="AF186" s="15">
        <v>0</v>
      </c>
      <c r="AG186" s="17">
        <v>0</v>
      </c>
      <c r="AH186" s="16">
        <f>AH185+AH182+AH179</f>
        <v>-1.6689300537109375E-6</v>
      </c>
      <c r="AI186" s="15">
        <v>0</v>
      </c>
      <c r="AJ186" s="14">
        <f t="shared" si="256"/>
        <v>0</v>
      </c>
      <c r="AK186" s="19">
        <f>AK185+AK182+AK179</f>
        <v>991000366.0371896</v>
      </c>
      <c r="AL186" s="18">
        <f>AL185+AL182+AL179</f>
        <v>-1.6391277313232422E-7</v>
      </c>
      <c r="AM186" s="15">
        <v>0</v>
      </c>
      <c r="AN186" s="17">
        <v>0</v>
      </c>
      <c r="AO186" s="16">
        <f>AO185+AO182+AO179</f>
        <v>-128394226.49686384</v>
      </c>
      <c r="AP186" s="16">
        <f>AP185+AP182+AP179</f>
        <v>3.5166740417480469E-6</v>
      </c>
      <c r="AQ186" s="15">
        <v>0</v>
      </c>
      <c r="AR186" s="17">
        <v>0</v>
      </c>
      <c r="AS186" s="16">
        <f>AS185+AS182+AS179</f>
        <v>-1.6689300537109375E-6</v>
      </c>
      <c r="AT186" s="15">
        <v>0</v>
      </c>
      <c r="AU186" s="14">
        <f t="shared" si="257"/>
        <v>0</v>
      </c>
      <c r="AV186" s="19">
        <f>AV185+AV182+AV179</f>
        <v>991000366.0371896</v>
      </c>
      <c r="AW186" s="18">
        <f>AW185+AW182+AW179</f>
        <v>-1.6391277313232422E-7</v>
      </c>
      <c r="AX186" s="15">
        <v>0</v>
      </c>
      <c r="AY186" s="17">
        <v>0</v>
      </c>
      <c r="AZ186" s="16">
        <f>AZ185+AZ182+AZ179</f>
        <v>-128394226.49686384</v>
      </c>
      <c r="BA186" s="16">
        <f>BA185+BA182+BA179</f>
        <v>3.5166740417480469E-6</v>
      </c>
      <c r="BB186" s="15">
        <v>0</v>
      </c>
      <c r="BC186" s="17">
        <v>0</v>
      </c>
      <c r="BD186" s="16">
        <f>BD185+BD182+BD179</f>
        <v>-1.6689300537109375E-6</v>
      </c>
      <c r="BE186" s="15">
        <v>0</v>
      </c>
      <c r="BF186" s="14">
        <f t="shared" si="258"/>
        <v>0</v>
      </c>
      <c r="BG186" s="19">
        <f>BG185+BG182+BG179</f>
        <v>991000366.0371896</v>
      </c>
      <c r="BH186" s="18">
        <f>BH185+BH182+BH179</f>
        <v>-1.6391277313232422E-7</v>
      </c>
      <c r="BI186" s="15">
        <v>0</v>
      </c>
      <c r="BJ186" s="17">
        <v>0</v>
      </c>
      <c r="BK186" s="16">
        <f>BK185+BK182+BK179</f>
        <v>-128394226.49686384</v>
      </c>
      <c r="BL186" s="16">
        <f>BL185+BL182+BL179</f>
        <v>3.5166740417480469E-6</v>
      </c>
      <c r="BM186" s="15">
        <v>0</v>
      </c>
      <c r="BN186" s="17">
        <v>0</v>
      </c>
      <c r="BO186" s="16">
        <f>BO185+BO182+BO179</f>
        <v>-1.6689300537109375E-6</v>
      </c>
      <c r="BP186" s="15">
        <v>0</v>
      </c>
      <c r="BQ186" s="14">
        <f t="shared" si="259"/>
        <v>0</v>
      </c>
      <c r="BR186" s="19">
        <f>BR185+BR182+BR179</f>
        <v>991000366.0371896</v>
      </c>
      <c r="BS186" s="18">
        <f>BS185+BS182+BS179</f>
        <v>-1.6391277313232422E-7</v>
      </c>
      <c r="BT186" s="15">
        <v>0</v>
      </c>
      <c r="BU186" s="17">
        <v>0</v>
      </c>
      <c r="BV186" s="16">
        <f>BV185+BV182+BV179</f>
        <v>-128394226.49686384</v>
      </c>
      <c r="BW186" s="16">
        <f>BW185+BW182+BW179</f>
        <v>3.5166740417480469E-6</v>
      </c>
      <c r="BX186" s="15">
        <v>0</v>
      </c>
      <c r="BY186" s="17">
        <v>0</v>
      </c>
      <c r="BZ186" s="16">
        <f>BZ185+BZ182+BZ179</f>
        <v>-1.6689300537109375E-6</v>
      </c>
      <c r="CA186" s="15">
        <v>0</v>
      </c>
      <c r="CB186" s="14">
        <f t="shared" si="260"/>
        <v>0</v>
      </c>
      <c r="CC186" s="19">
        <f>CC185+CC182+CC179</f>
        <v>991000366.0371896</v>
      </c>
      <c r="CD186" s="18">
        <f>CD185+CD182+CD179</f>
        <v>-1.6391277313232422E-7</v>
      </c>
      <c r="CE186" s="15">
        <v>0</v>
      </c>
      <c r="CF186" s="17">
        <v>0</v>
      </c>
      <c r="CG186" s="16">
        <f>CG185+CG182+CG179</f>
        <v>-128394226.49686384</v>
      </c>
      <c r="CH186" s="16">
        <f>CH185+CH182+CH179</f>
        <v>3.5166740417480469E-6</v>
      </c>
      <c r="CI186" s="15">
        <v>0</v>
      </c>
      <c r="CJ186" s="17">
        <v>0</v>
      </c>
      <c r="CK186" s="16">
        <f>CK185+CK182+CK179</f>
        <v>-1.6689300537109375E-6</v>
      </c>
      <c r="CL186" s="15">
        <v>0</v>
      </c>
      <c r="CM186" s="14">
        <f t="shared" si="261"/>
        <v>0</v>
      </c>
      <c r="CN186" s="19">
        <f>CN185+CN182+CN179</f>
        <v>991000366.0371896</v>
      </c>
      <c r="CO186" s="18">
        <f>CO185+CO182+CO179</f>
        <v>-1.6391277313232422E-7</v>
      </c>
      <c r="CP186" s="15">
        <v>0</v>
      </c>
      <c r="CQ186" s="17">
        <v>0</v>
      </c>
      <c r="CR186" s="16">
        <f>CR185+CR182+CR179</f>
        <v>-128394226.49686384</v>
      </c>
      <c r="CS186" s="16">
        <f>CS185+CS182+CS179</f>
        <v>3.5166740417480469E-6</v>
      </c>
      <c r="CT186" s="15">
        <v>0</v>
      </c>
      <c r="CU186" s="17">
        <v>0</v>
      </c>
      <c r="CV186" s="16">
        <f>CV185+CV182+CV179</f>
        <v>-1.6689300537109375E-6</v>
      </c>
      <c r="CW186" s="15">
        <v>0</v>
      </c>
      <c r="CX186" s="14">
        <f t="shared" si="262"/>
        <v>0</v>
      </c>
      <c r="CY186" s="19">
        <f>CY185+CY182+CY179</f>
        <v>991000366.0371896</v>
      </c>
      <c r="CZ186" s="18">
        <f>CZ185+CZ182+CZ179</f>
        <v>-1.6391277313232422E-7</v>
      </c>
      <c r="DA186" s="15">
        <v>0</v>
      </c>
      <c r="DB186" s="17">
        <v>0</v>
      </c>
      <c r="DC186" s="16">
        <f>DC185+DC182+DC179</f>
        <v>-128394226.49686384</v>
      </c>
      <c r="DD186" s="16">
        <f>DD185+DD182+DD179</f>
        <v>3.5166740417480469E-6</v>
      </c>
      <c r="DE186" s="15">
        <v>0</v>
      </c>
      <c r="DF186" s="17">
        <v>0</v>
      </c>
      <c r="DG186" s="16">
        <f>DG185+DG182+DG179</f>
        <v>-1.6689300537109375E-6</v>
      </c>
      <c r="DH186" s="15">
        <v>0</v>
      </c>
      <c r="DI186" s="14">
        <f t="shared" si="263"/>
        <v>0</v>
      </c>
    </row>
    <row r="187" spans="1:113" s="6" customFormat="1" ht="18.75" customHeight="1" x14ac:dyDescent="0.2">
      <c r="B187" s="13" t="str">
        <f t="shared" si="265"/>
        <v>Итого компенсации и льготы</v>
      </c>
      <c r="C187" s="12" t="str">
        <f t="shared" si="265"/>
        <v>Total Compencation &amp; Benefits</v>
      </c>
      <c r="D187" s="9">
        <f>D172+D186+D176</f>
        <v>993087459.72718966</v>
      </c>
      <c r="E187" s="11">
        <f>E172+E186+E176</f>
        <v>1531305.3704397189</v>
      </c>
      <c r="F187" s="8">
        <v>0</v>
      </c>
      <c r="G187" s="10">
        <v>0</v>
      </c>
      <c r="H187" s="9">
        <f>H172+H186+H176</f>
        <v>1208014869.0331366</v>
      </c>
      <c r="I187" s="9">
        <f>I172+I186+I176</f>
        <v>1306668176.5133369</v>
      </c>
      <c r="J187" s="8">
        <v>0</v>
      </c>
      <c r="K187" s="10">
        <v>0</v>
      </c>
      <c r="L187" s="9">
        <f>L172+L186+L176</f>
        <v>1307974622.6399984</v>
      </c>
      <c r="M187" s="8">
        <v>0</v>
      </c>
      <c r="N187" s="7">
        <f t="shared" si="254"/>
        <v>0</v>
      </c>
      <c r="O187" s="9">
        <f>O172+O186+O176</f>
        <v>993087459.72718966</v>
      </c>
      <c r="P187" s="11">
        <f>P172+P186+P176</f>
        <v>1531305.3704397189</v>
      </c>
      <c r="Q187" s="8">
        <v>0</v>
      </c>
      <c r="R187" s="10">
        <v>0</v>
      </c>
      <c r="S187" s="9">
        <f>S172+S186+S176</f>
        <v>1208014869.0331366</v>
      </c>
      <c r="T187" s="9">
        <f>T172+T186+T176</f>
        <v>1306668176.5133369</v>
      </c>
      <c r="U187" s="8">
        <v>0</v>
      </c>
      <c r="V187" s="10">
        <v>0</v>
      </c>
      <c r="W187" s="9">
        <f>W172+W186+W176</f>
        <v>1307974622.6399984</v>
      </c>
      <c r="X187" s="8">
        <v>0</v>
      </c>
      <c r="Y187" s="7">
        <f t="shared" si="255"/>
        <v>0</v>
      </c>
      <c r="Z187" s="9">
        <f>Z172+Z186+Z176</f>
        <v>993087459.72718966</v>
      </c>
      <c r="AA187" s="11">
        <f>AA172+AA186+AA176</f>
        <v>1531305.3704397189</v>
      </c>
      <c r="AB187" s="8">
        <v>0</v>
      </c>
      <c r="AC187" s="10">
        <v>0</v>
      </c>
      <c r="AD187" s="9">
        <f>AD172+AD186+AD176</f>
        <v>1208014869.0331366</v>
      </c>
      <c r="AE187" s="9">
        <f>AE172+AE186+AE176</f>
        <v>1306668176.5133369</v>
      </c>
      <c r="AF187" s="8">
        <v>0</v>
      </c>
      <c r="AG187" s="10">
        <v>0</v>
      </c>
      <c r="AH187" s="9">
        <f>AH172+AH186+AH176</f>
        <v>1307974622.6399984</v>
      </c>
      <c r="AI187" s="8">
        <v>0</v>
      </c>
      <c r="AJ187" s="7">
        <f t="shared" si="256"/>
        <v>0</v>
      </c>
      <c r="AK187" s="9">
        <f>AK172+AK186+AK176</f>
        <v>993087459.72718966</v>
      </c>
      <c r="AL187" s="11">
        <f>AL172+AL186+AL176</f>
        <v>1531305.3704397189</v>
      </c>
      <c r="AM187" s="8">
        <v>0</v>
      </c>
      <c r="AN187" s="10">
        <v>0</v>
      </c>
      <c r="AO187" s="9">
        <f>AO172+AO186+AO176</f>
        <v>1208014869.0331366</v>
      </c>
      <c r="AP187" s="9">
        <f>AP172+AP186+AP176</f>
        <v>1306668176.5133369</v>
      </c>
      <c r="AQ187" s="8">
        <v>0</v>
      </c>
      <c r="AR187" s="10">
        <v>0</v>
      </c>
      <c r="AS187" s="9">
        <f>AS172+AS186+AS176</f>
        <v>1307974622.6399984</v>
      </c>
      <c r="AT187" s="8">
        <v>0</v>
      </c>
      <c r="AU187" s="7">
        <f t="shared" si="257"/>
        <v>0</v>
      </c>
      <c r="AV187" s="9">
        <f>AV172+AV186+AV176</f>
        <v>993087459.72718966</v>
      </c>
      <c r="AW187" s="11">
        <f>AW172+AW186+AW176</f>
        <v>1531305.3704397189</v>
      </c>
      <c r="AX187" s="8">
        <v>0</v>
      </c>
      <c r="AY187" s="10">
        <v>0</v>
      </c>
      <c r="AZ187" s="9">
        <f>AZ172+AZ186+AZ176</f>
        <v>1208014869.0331366</v>
      </c>
      <c r="BA187" s="9">
        <f>BA172+BA186+BA176</f>
        <v>1306668176.5133369</v>
      </c>
      <c r="BB187" s="8">
        <v>0</v>
      </c>
      <c r="BC187" s="10">
        <v>0</v>
      </c>
      <c r="BD187" s="9">
        <f>BD172+BD186+BD176</f>
        <v>1307974622.6399984</v>
      </c>
      <c r="BE187" s="8">
        <v>0</v>
      </c>
      <c r="BF187" s="7">
        <f t="shared" si="258"/>
        <v>0</v>
      </c>
      <c r="BG187" s="9">
        <f>BG172+BG186+BG176</f>
        <v>993087459.72718966</v>
      </c>
      <c r="BH187" s="11">
        <f>BH172+BH186+BH176</f>
        <v>1531305.3704397189</v>
      </c>
      <c r="BI187" s="8">
        <v>0</v>
      </c>
      <c r="BJ187" s="10">
        <v>0</v>
      </c>
      <c r="BK187" s="9">
        <f>BK172+BK186+BK176</f>
        <v>1208014869.0331366</v>
      </c>
      <c r="BL187" s="9">
        <f>BL172+BL186+BL176</f>
        <v>1306668176.5133369</v>
      </c>
      <c r="BM187" s="8">
        <v>0</v>
      </c>
      <c r="BN187" s="10">
        <v>0</v>
      </c>
      <c r="BO187" s="9">
        <f>BO172+BO186+BO176</f>
        <v>1307974622.6399984</v>
      </c>
      <c r="BP187" s="8">
        <v>0</v>
      </c>
      <c r="BQ187" s="7">
        <f t="shared" si="259"/>
        <v>0</v>
      </c>
      <c r="BR187" s="9">
        <f>BR172+BR186+BR176</f>
        <v>993087459.72718966</v>
      </c>
      <c r="BS187" s="11">
        <f>BS172+BS186+BS176</f>
        <v>1531305.3704397189</v>
      </c>
      <c r="BT187" s="8">
        <v>0</v>
      </c>
      <c r="BU187" s="10">
        <v>0</v>
      </c>
      <c r="BV187" s="9">
        <f>BV172+BV186+BV176</f>
        <v>1208014869.0331366</v>
      </c>
      <c r="BW187" s="9">
        <f>BW172+BW186+BW176</f>
        <v>1306668176.5133369</v>
      </c>
      <c r="BX187" s="8">
        <v>0</v>
      </c>
      <c r="BY187" s="10">
        <v>0</v>
      </c>
      <c r="BZ187" s="9">
        <f>BZ172+BZ186+BZ176</f>
        <v>1307974622.6399984</v>
      </c>
      <c r="CA187" s="8">
        <v>0</v>
      </c>
      <c r="CB187" s="7">
        <f t="shared" si="260"/>
        <v>0</v>
      </c>
      <c r="CC187" s="9">
        <f>CC172+CC186+CC176</f>
        <v>993087459.72718966</v>
      </c>
      <c r="CD187" s="11">
        <f>CD172+CD186+CD176</f>
        <v>1531305.3704397189</v>
      </c>
      <c r="CE187" s="8">
        <v>0</v>
      </c>
      <c r="CF187" s="10">
        <v>0</v>
      </c>
      <c r="CG187" s="9">
        <f>CG172+CG186+CG176</f>
        <v>1208014869.0331366</v>
      </c>
      <c r="CH187" s="9">
        <f>CH172+CH186+CH176</f>
        <v>1306668176.5133369</v>
      </c>
      <c r="CI187" s="8">
        <v>0</v>
      </c>
      <c r="CJ187" s="10">
        <v>0</v>
      </c>
      <c r="CK187" s="9">
        <f>CK172+CK186+CK176</f>
        <v>1307974622.6399984</v>
      </c>
      <c r="CL187" s="8">
        <v>0</v>
      </c>
      <c r="CM187" s="7">
        <f t="shared" si="261"/>
        <v>0</v>
      </c>
      <c r="CN187" s="9">
        <f>CN172+CN186+CN176</f>
        <v>993087459.72718966</v>
      </c>
      <c r="CO187" s="11">
        <f>CO172+CO186+CO176</f>
        <v>1531305.3704397189</v>
      </c>
      <c r="CP187" s="8">
        <v>0</v>
      </c>
      <c r="CQ187" s="10">
        <v>0</v>
      </c>
      <c r="CR187" s="9">
        <f>CR172+CR186+CR176</f>
        <v>1208014869.0331366</v>
      </c>
      <c r="CS187" s="9">
        <f>CS172+CS186+CS176</f>
        <v>1306668176.5133369</v>
      </c>
      <c r="CT187" s="8">
        <v>0</v>
      </c>
      <c r="CU187" s="10">
        <v>0</v>
      </c>
      <c r="CV187" s="9">
        <f>CV172+CV186+CV176</f>
        <v>1307974622.6399984</v>
      </c>
      <c r="CW187" s="8">
        <v>0</v>
      </c>
      <c r="CX187" s="7">
        <f t="shared" si="262"/>
        <v>0</v>
      </c>
      <c r="CY187" s="9">
        <f>CY172+CY186+CY176</f>
        <v>993087459.72718966</v>
      </c>
      <c r="CZ187" s="11">
        <f>CZ172+CZ186+CZ176</f>
        <v>1531305.3704397189</v>
      </c>
      <c r="DA187" s="8">
        <v>0</v>
      </c>
      <c r="DB187" s="10">
        <v>0</v>
      </c>
      <c r="DC187" s="9">
        <f>DC172+DC186+DC176</f>
        <v>1208014869.0331366</v>
      </c>
      <c r="DD187" s="9">
        <f>DD172+DD186+DD176</f>
        <v>1306668176.5133369</v>
      </c>
      <c r="DE187" s="8">
        <v>0</v>
      </c>
      <c r="DF187" s="10">
        <v>0</v>
      </c>
      <c r="DG187" s="9">
        <f>DG172+DG186+DG176</f>
        <v>1307974622.6399984</v>
      </c>
      <c r="DH187" s="8">
        <v>0</v>
      </c>
      <c r="DI187" s="7">
        <f t="shared" si="263"/>
        <v>0</v>
      </c>
    </row>
    <row r="188" spans="1:113" x14ac:dyDescent="0.2">
      <c r="N188" s="3"/>
      <c r="Y188" s="3"/>
      <c r="AJ188" s="3"/>
      <c r="AU188" s="3"/>
      <c r="BF188" s="3"/>
      <c r="BQ188" s="3"/>
      <c r="CB188" s="3"/>
      <c r="CM188" s="3"/>
      <c r="CX188" s="3"/>
      <c r="DI188" s="3"/>
    </row>
    <row r="189" spans="1:113" x14ac:dyDescent="0.2">
      <c r="N189" s="3"/>
      <c r="Y189" s="3"/>
      <c r="AJ189" s="3"/>
      <c r="AU189" s="3"/>
      <c r="BF189" s="3"/>
      <c r="BQ189" s="3"/>
      <c r="CB189" s="3"/>
      <c r="CM189" s="3"/>
      <c r="CX189" s="3"/>
      <c r="DI189" s="3"/>
    </row>
    <row r="190" spans="1:113" x14ac:dyDescent="0.2">
      <c r="A190" s="5">
        <v>1</v>
      </c>
      <c r="B190" s="5" t="s">
        <v>6</v>
      </c>
      <c r="N190" s="3"/>
      <c r="Y190" s="3"/>
      <c r="AJ190" s="3"/>
      <c r="AU190" s="3"/>
      <c r="BF190" s="3"/>
      <c r="BQ190" s="3"/>
      <c r="CB190" s="3"/>
      <c r="CM190" s="3"/>
      <c r="CX190" s="3"/>
      <c r="DI190" s="3"/>
    </row>
    <row r="191" spans="1:113" x14ac:dyDescent="0.2">
      <c r="A191" s="5">
        <v>2</v>
      </c>
      <c r="B191" s="5" t="s">
        <v>5</v>
      </c>
      <c r="N191" s="3"/>
      <c r="Y191" s="3"/>
      <c r="AJ191" s="3"/>
      <c r="AU191" s="3"/>
      <c r="BF191" s="3"/>
      <c r="BQ191" s="3"/>
      <c r="CB191" s="3"/>
      <c r="CM191" s="3"/>
      <c r="CX191" s="3"/>
      <c r="DI191" s="3"/>
    </row>
    <row r="192" spans="1:113" x14ac:dyDescent="0.2">
      <c r="A192" s="5">
        <v>3</v>
      </c>
      <c r="B192" s="5" t="s">
        <v>4</v>
      </c>
      <c r="N192" s="3"/>
      <c r="Y192" s="3"/>
      <c r="AJ192" s="3"/>
      <c r="AU192" s="3"/>
      <c r="BF192" s="3"/>
      <c r="BQ192" s="3"/>
      <c r="CB192" s="3"/>
      <c r="CM192" s="3"/>
      <c r="CX192" s="3"/>
      <c r="DI192" s="3"/>
    </row>
    <row r="193" spans="1:113" x14ac:dyDescent="0.2">
      <c r="A193" s="5">
        <v>4</v>
      </c>
      <c r="B193" s="136"/>
      <c r="N193" s="3"/>
      <c r="Y193" s="3"/>
      <c r="AJ193" s="3"/>
      <c r="AU193" s="3"/>
      <c r="BF193" s="3"/>
      <c r="BQ193" s="3"/>
      <c r="CB193" s="3"/>
      <c r="CM193" s="3"/>
      <c r="CX193" s="3"/>
      <c r="DI193" s="3"/>
    </row>
    <row r="194" spans="1:113" x14ac:dyDescent="0.2">
      <c r="A194" s="5">
        <v>5</v>
      </c>
      <c r="B194" s="136" t="s">
        <v>180</v>
      </c>
      <c r="N194" s="3"/>
      <c r="Y194" s="3"/>
      <c r="AJ194" s="3"/>
      <c r="AU194" s="3"/>
      <c r="BF194" s="3"/>
      <c r="BQ194" s="3"/>
      <c r="CB194" s="3"/>
      <c r="CM194" s="3"/>
      <c r="CX194" s="3"/>
      <c r="DI194" s="3"/>
    </row>
    <row r="195" spans="1:113" x14ac:dyDescent="0.2">
      <c r="A195" s="5">
        <v>6</v>
      </c>
      <c r="B195" s="136" t="s">
        <v>181</v>
      </c>
      <c r="N195" s="3"/>
      <c r="Y195" s="3"/>
      <c r="AJ195" s="3"/>
      <c r="AU195" s="3"/>
      <c r="BF195" s="3"/>
      <c r="BQ195" s="3"/>
      <c r="CB195" s="3"/>
      <c r="CM195" s="3"/>
      <c r="CX195" s="3"/>
      <c r="DI195" s="3"/>
    </row>
    <row r="196" spans="1:113" x14ac:dyDescent="0.2">
      <c r="A196" s="5">
        <v>7</v>
      </c>
      <c r="B196" s="5" t="s">
        <v>0</v>
      </c>
      <c r="N196" s="3"/>
      <c r="Y196" s="3"/>
      <c r="AJ196" s="3"/>
      <c r="AU196" s="3"/>
      <c r="BF196" s="3"/>
      <c r="BQ196" s="3"/>
      <c r="CB196" s="3"/>
      <c r="CM196" s="3"/>
      <c r="CX196" s="3"/>
      <c r="DI196" s="3"/>
    </row>
    <row r="197" spans="1:113" x14ac:dyDescent="0.2">
      <c r="A197" s="4"/>
      <c r="B197" s="4"/>
      <c r="N197" s="3"/>
      <c r="Y197" s="3"/>
      <c r="AJ197" s="3"/>
      <c r="AU197" s="3"/>
      <c r="BF197" s="3"/>
      <c r="BQ197" s="3"/>
      <c r="CB197" s="3"/>
      <c r="CM197" s="3"/>
      <c r="CX197" s="3"/>
      <c r="DI197" s="3"/>
    </row>
    <row r="198" spans="1:113" x14ac:dyDescent="0.2">
      <c r="N198" s="3"/>
      <c r="Y198" s="3"/>
      <c r="AJ198" s="3"/>
      <c r="AU198" s="3"/>
      <c r="BF198" s="3"/>
      <c r="BQ198" s="3"/>
      <c r="CB198" s="3"/>
      <c r="CM198" s="3"/>
      <c r="CX198" s="3"/>
      <c r="DI198" s="3"/>
    </row>
    <row r="199" spans="1:113" x14ac:dyDescent="0.2">
      <c r="N199" s="3"/>
      <c r="Y199" s="3"/>
      <c r="AJ199" s="3"/>
      <c r="AU199" s="3"/>
      <c r="BF199" s="3"/>
      <c r="BQ199" s="3"/>
      <c r="CB199" s="3"/>
      <c r="CM199" s="3"/>
      <c r="CX199" s="3"/>
      <c r="DI199" s="3"/>
    </row>
    <row r="200" spans="1:113" x14ac:dyDescent="0.2">
      <c r="N200" s="3"/>
      <c r="Y200" s="3"/>
      <c r="AJ200" s="3"/>
      <c r="AU200" s="3"/>
      <c r="BF200" s="3"/>
      <c r="BQ200" s="3"/>
      <c r="CB200" s="3"/>
      <c r="CM200" s="3"/>
      <c r="CX200" s="3"/>
      <c r="DI200" s="3"/>
    </row>
    <row r="201" spans="1:113" x14ac:dyDescent="0.2">
      <c r="N201" s="3"/>
      <c r="Y201" s="3"/>
      <c r="AJ201" s="3"/>
      <c r="AU201" s="3"/>
      <c r="BF201" s="3"/>
      <c r="BQ201" s="3"/>
      <c r="CB201" s="3"/>
      <c r="CM201" s="3"/>
      <c r="CX201" s="3"/>
      <c r="DI201" s="3"/>
    </row>
    <row r="202" spans="1:113" x14ac:dyDescent="0.2">
      <c r="N202" s="3"/>
      <c r="Y202" s="3"/>
      <c r="AJ202" s="3"/>
      <c r="AU202" s="3"/>
      <c r="BF202" s="3"/>
      <c r="BQ202" s="3"/>
      <c r="CB202" s="3"/>
      <c r="CM202" s="3"/>
      <c r="CX202" s="3"/>
      <c r="DI202" s="3"/>
    </row>
    <row r="203" spans="1:113" x14ac:dyDescent="0.2">
      <c r="N203" s="3"/>
      <c r="Y203" s="3"/>
      <c r="AJ203" s="3"/>
      <c r="AU203" s="3"/>
      <c r="BF203" s="3"/>
      <c r="BQ203" s="3"/>
      <c r="CB203" s="3"/>
      <c r="CM203" s="3"/>
      <c r="CX203" s="3"/>
      <c r="DI203" s="3"/>
    </row>
    <row r="204" spans="1:113" x14ac:dyDescent="0.2">
      <c r="N204" s="3"/>
      <c r="Y204" s="3"/>
      <c r="AJ204" s="3"/>
      <c r="AU204" s="3"/>
      <c r="BF204" s="3"/>
      <c r="BQ204" s="3"/>
      <c r="CB204" s="3"/>
      <c r="CM204" s="3"/>
      <c r="CX204" s="3"/>
      <c r="DI204" s="3"/>
    </row>
    <row r="205" spans="1:113" x14ac:dyDescent="0.2">
      <c r="N205" s="3"/>
      <c r="Y205" s="3"/>
      <c r="AJ205" s="3"/>
      <c r="AU205" s="3"/>
      <c r="BF205" s="3"/>
      <c r="BQ205" s="3"/>
      <c r="CB205" s="3"/>
      <c r="CM205" s="3"/>
      <c r="CX205" s="3"/>
      <c r="DI205" s="3"/>
    </row>
    <row r="206" spans="1:113" x14ac:dyDescent="0.2">
      <c r="N206" s="3"/>
      <c r="Y206" s="3"/>
      <c r="AJ206" s="3"/>
      <c r="AU206" s="3"/>
      <c r="BF206" s="3"/>
      <c r="BQ206" s="3"/>
      <c r="CB206" s="3"/>
      <c r="CM206" s="3"/>
      <c r="CX206" s="3"/>
      <c r="DI206" s="3"/>
    </row>
    <row r="207" spans="1:113" x14ac:dyDescent="0.2">
      <c r="N207" s="3"/>
      <c r="Y207" s="3"/>
      <c r="AJ207" s="3"/>
      <c r="AU207" s="3"/>
      <c r="BF207" s="3"/>
      <c r="BQ207" s="3"/>
      <c r="CB207" s="3"/>
      <c r="CM207" s="3"/>
      <c r="CX207" s="3"/>
      <c r="DI207" s="3"/>
    </row>
    <row r="208" spans="1:113" x14ac:dyDescent="0.2">
      <c r="N208" s="3"/>
      <c r="Y208" s="3"/>
      <c r="AJ208" s="3"/>
      <c r="AU208" s="3"/>
      <c r="BF208" s="3"/>
      <c r="BQ208" s="3"/>
      <c r="CB208" s="3"/>
      <c r="CM208" s="3"/>
      <c r="CX208" s="3"/>
      <c r="DI208" s="3"/>
    </row>
    <row r="209" spans="14:113" x14ac:dyDescent="0.2">
      <c r="N209" s="3"/>
      <c r="Y209" s="3"/>
      <c r="AJ209" s="3"/>
      <c r="AU209" s="3"/>
      <c r="BF209" s="3"/>
      <c r="BQ209" s="3"/>
      <c r="CB209" s="3"/>
      <c r="CM209" s="3"/>
      <c r="CX209" s="3"/>
      <c r="DI209" s="3"/>
    </row>
    <row r="210" spans="14:113" x14ac:dyDescent="0.2">
      <c r="N210" s="3"/>
      <c r="Y210" s="3"/>
      <c r="AJ210" s="3"/>
      <c r="AU210" s="3"/>
      <c r="BF210" s="3"/>
      <c r="BQ210" s="3"/>
      <c r="CB210" s="3"/>
      <c r="CM210" s="3"/>
      <c r="CX210" s="3"/>
      <c r="DI210" s="3"/>
    </row>
    <row r="211" spans="14:113" x14ac:dyDescent="0.2">
      <c r="N211" s="3"/>
      <c r="Y211" s="3"/>
      <c r="AJ211" s="3"/>
      <c r="AU211" s="3"/>
      <c r="BF211" s="3"/>
      <c r="BQ211" s="3"/>
      <c r="CB211" s="3"/>
      <c r="CM211" s="3"/>
      <c r="CX211" s="3"/>
      <c r="DI211" s="3"/>
    </row>
    <row r="212" spans="14:113" x14ac:dyDescent="0.2">
      <c r="N212" s="3"/>
      <c r="Y212" s="3"/>
      <c r="AJ212" s="3"/>
      <c r="AU212" s="3"/>
      <c r="BF212" s="3"/>
      <c r="BQ212" s="3"/>
      <c r="CB212" s="3"/>
      <c r="CM212" s="3"/>
      <c r="CX212" s="3"/>
      <c r="DI212" s="3"/>
    </row>
    <row r="213" spans="14:113" x14ac:dyDescent="0.2">
      <c r="N213" s="3"/>
      <c r="Y213" s="3"/>
      <c r="AJ213" s="3"/>
      <c r="AU213" s="3"/>
      <c r="BF213" s="3"/>
      <c r="BQ213" s="3"/>
      <c r="CB213" s="3"/>
      <c r="CM213" s="3"/>
      <c r="CX213" s="3"/>
      <c r="DI213" s="3"/>
    </row>
    <row r="214" spans="14:113" x14ac:dyDescent="0.2">
      <c r="N214" s="3"/>
      <c r="Y214" s="3"/>
      <c r="AJ214" s="3"/>
      <c r="AU214" s="3"/>
      <c r="BF214" s="3"/>
      <c r="BQ214" s="3"/>
      <c r="CB214" s="3"/>
      <c r="CM214" s="3"/>
      <c r="CX214" s="3"/>
      <c r="DI214" s="3"/>
    </row>
    <row r="215" spans="14:113" x14ac:dyDescent="0.2">
      <c r="N215" s="3"/>
      <c r="Y215" s="3"/>
      <c r="AJ215" s="3"/>
      <c r="AU215" s="3"/>
      <c r="BF215" s="3"/>
      <c r="BQ215" s="3"/>
      <c r="CB215" s="3"/>
      <c r="CM215" s="3"/>
      <c r="CX215" s="3"/>
      <c r="DI215" s="3"/>
    </row>
    <row r="216" spans="14:113" x14ac:dyDescent="0.2">
      <c r="N216" s="3"/>
      <c r="Y216" s="3"/>
      <c r="AJ216" s="3"/>
      <c r="AU216" s="3"/>
      <c r="BF216" s="3"/>
      <c r="BQ216" s="3"/>
      <c r="CB216" s="3"/>
      <c r="CM216" s="3"/>
      <c r="CX216" s="3"/>
      <c r="DI216" s="3"/>
    </row>
    <row r="217" spans="14:113" x14ac:dyDescent="0.2">
      <c r="N217" s="3"/>
      <c r="Y217" s="3"/>
      <c r="AJ217" s="3"/>
      <c r="AU217" s="3"/>
      <c r="BF217" s="3"/>
      <c r="BQ217" s="3"/>
      <c r="CB217" s="3"/>
      <c r="CM217" s="3"/>
      <c r="CX217" s="3"/>
      <c r="DI217" s="3"/>
    </row>
    <row r="218" spans="14:113" x14ac:dyDescent="0.2">
      <c r="N218" s="3"/>
      <c r="Y218" s="3"/>
      <c r="AJ218" s="3"/>
      <c r="AU218" s="3"/>
      <c r="BF218" s="3"/>
      <c r="BQ218" s="3"/>
      <c r="CB218" s="3"/>
      <c r="CM218" s="3"/>
      <c r="CX218" s="3"/>
      <c r="DI218" s="3"/>
    </row>
    <row r="219" spans="14:113" x14ac:dyDescent="0.2">
      <c r="N219" s="3"/>
      <c r="Y219" s="3"/>
      <c r="AJ219" s="3"/>
      <c r="AU219" s="3"/>
      <c r="BF219" s="3"/>
      <c r="BQ219" s="3"/>
      <c r="CB219" s="3"/>
      <c r="CM219" s="3"/>
      <c r="CX219" s="3"/>
      <c r="DI219" s="3"/>
    </row>
    <row r="220" spans="14:113" x14ac:dyDescent="0.2">
      <c r="N220" s="3"/>
      <c r="Y220" s="3"/>
      <c r="AJ220" s="3"/>
      <c r="AU220" s="3"/>
      <c r="BF220" s="3"/>
      <c r="BQ220" s="3"/>
      <c r="CB220" s="3"/>
      <c r="CM220" s="3"/>
      <c r="CX220" s="3"/>
      <c r="DI220" s="3"/>
    </row>
    <row r="221" spans="14:113" x14ac:dyDescent="0.2">
      <c r="N221" s="3"/>
      <c r="Y221" s="3"/>
      <c r="AJ221" s="3"/>
      <c r="AU221" s="3"/>
      <c r="BF221" s="3"/>
      <c r="BQ221" s="3"/>
      <c r="CB221" s="3"/>
      <c r="CM221" s="3"/>
      <c r="CX221" s="3"/>
      <c r="DI221" s="3"/>
    </row>
    <row r="222" spans="14:113" x14ac:dyDescent="0.2">
      <c r="N222" s="3"/>
      <c r="Y222" s="3"/>
      <c r="AJ222" s="3"/>
      <c r="AU222" s="3"/>
      <c r="BF222" s="3"/>
      <c r="BQ222" s="3"/>
      <c r="CB222" s="3"/>
      <c r="CM222" s="3"/>
      <c r="CX222" s="3"/>
      <c r="DI222" s="3"/>
    </row>
    <row r="223" spans="14:113" x14ac:dyDescent="0.2">
      <c r="N223" s="3"/>
      <c r="Y223" s="3"/>
      <c r="AJ223" s="3"/>
      <c r="AU223" s="3"/>
      <c r="BF223" s="3"/>
      <c r="BQ223" s="3"/>
      <c r="CB223" s="3"/>
      <c r="CM223" s="3"/>
      <c r="CX223" s="3"/>
      <c r="DI223" s="3"/>
    </row>
    <row r="224" spans="14:113" x14ac:dyDescent="0.2">
      <c r="N224" s="3"/>
      <c r="Y224" s="3"/>
      <c r="AJ224" s="3"/>
      <c r="AU224" s="3"/>
      <c r="BF224" s="3"/>
      <c r="BQ224" s="3"/>
      <c r="CB224" s="3"/>
      <c r="CM224" s="3"/>
      <c r="CX224" s="3"/>
      <c r="DI224" s="3"/>
    </row>
    <row r="225" spans="14:113" x14ac:dyDescent="0.2">
      <c r="N225" s="3"/>
      <c r="Y225" s="3"/>
      <c r="AJ225" s="3"/>
      <c r="AU225" s="3"/>
      <c r="BF225" s="3"/>
      <c r="BQ225" s="3"/>
      <c r="CB225" s="3"/>
      <c r="CM225" s="3"/>
      <c r="CX225" s="3"/>
      <c r="DI225" s="3"/>
    </row>
    <row r="226" spans="14:113" x14ac:dyDescent="0.2">
      <c r="N226" s="3"/>
      <c r="Y226" s="3"/>
      <c r="AJ226" s="3"/>
      <c r="AU226" s="3"/>
      <c r="BF226" s="3"/>
      <c r="BQ226" s="3"/>
      <c r="CB226" s="3"/>
      <c r="CM226" s="3"/>
      <c r="CX226" s="3"/>
      <c r="DI226" s="3"/>
    </row>
    <row r="227" spans="14:113" x14ac:dyDescent="0.2">
      <c r="N227" s="3"/>
      <c r="Y227" s="3"/>
      <c r="AJ227" s="3"/>
      <c r="AU227" s="3"/>
      <c r="BF227" s="3"/>
      <c r="BQ227" s="3"/>
      <c r="CB227" s="3"/>
      <c r="CM227" s="3"/>
      <c r="CX227" s="3"/>
      <c r="DI227" s="3"/>
    </row>
    <row r="228" spans="14:113" x14ac:dyDescent="0.2">
      <c r="N228" s="3"/>
      <c r="Y228" s="3"/>
      <c r="AJ228" s="3"/>
      <c r="AU228" s="3"/>
      <c r="BF228" s="3"/>
      <c r="BQ228" s="3"/>
      <c r="CB228" s="3"/>
      <c r="CM228" s="3"/>
      <c r="CX228" s="3"/>
      <c r="DI228" s="3"/>
    </row>
    <row r="229" spans="14:113" x14ac:dyDescent="0.2">
      <c r="N229" s="3"/>
      <c r="Y229" s="3"/>
      <c r="AJ229" s="3"/>
      <c r="AU229" s="3"/>
      <c r="BF229" s="3"/>
      <c r="BQ229" s="3"/>
      <c r="CB229" s="3"/>
      <c r="CM229" s="3"/>
      <c r="CX229" s="3"/>
      <c r="DI229" s="3"/>
    </row>
    <row r="230" spans="14:113" x14ac:dyDescent="0.2">
      <c r="N230" s="3"/>
      <c r="Y230" s="3"/>
      <c r="AJ230" s="3"/>
      <c r="AU230" s="3"/>
      <c r="BF230" s="3"/>
      <c r="BQ230" s="3"/>
      <c r="CB230" s="3"/>
      <c r="CM230" s="3"/>
      <c r="CX230" s="3"/>
      <c r="DI230" s="3"/>
    </row>
    <row r="231" spans="14:113" x14ac:dyDescent="0.2">
      <c r="N231" s="3"/>
      <c r="Y231" s="3"/>
      <c r="AJ231" s="3"/>
      <c r="AU231" s="3"/>
      <c r="BF231" s="3"/>
      <c r="BQ231" s="3"/>
      <c r="CB231" s="3"/>
      <c r="CM231" s="3"/>
      <c r="CX231" s="3"/>
      <c r="DI231" s="3"/>
    </row>
    <row r="232" spans="14:113" x14ac:dyDescent="0.2">
      <c r="N232" s="3"/>
      <c r="Y232" s="3"/>
      <c r="AJ232" s="3"/>
      <c r="AU232" s="3"/>
      <c r="BF232" s="3"/>
      <c r="BQ232" s="3"/>
      <c r="CB232" s="3"/>
      <c r="CM232" s="3"/>
      <c r="CX232" s="3"/>
      <c r="DI232" s="3"/>
    </row>
    <row r="233" spans="14:113" x14ac:dyDescent="0.2">
      <c r="N233" s="3"/>
      <c r="Y233" s="3"/>
      <c r="AJ233" s="3"/>
      <c r="AU233" s="3"/>
      <c r="BF233" s="3"/>
      <c r="BQ233" s="3"/>
      <c r="CB233" s="3"/>
      <c r="CM233" s="3"/>
      <c r="CX233" s="3"/>
      <c r="DI233" s="3"/>
    </row>
    <row r="234" spans="14:113" x14ac:dyDescent="0.2">
      <c r="N234" s="3"/>
      <c r="Y234" s="3"/>
      <c r="AJ234" s="3"/>
      <c r="AU234" s="3"/>
      <c r="BF234" s="3"/>
      <c r="BQ234" s="3"/>
      <c r="CB234" s="3"/>
      <c r="CM234" s="3"/>
      <c r="CX234" s="3"/>
      <c r="DI234" s="3"/>
    </row>
    <row r="235" spans="14:113" x14ac:dyDescent="0.2">
      <c r="N235" s="3"/>
      <c r="Y235" s="3"/>
      <c r="AJ235" s="3"/>
      <c r="AU235" s="3"/>
      <c r="BF235" s="3"/>
      <c r="BQ235" s="3"/>
      <c r="CB235" s="3"/>
      <c r="CM235" s="3"/>
      <c r="CX235" s="3"/>
      <c r="DI235" s="3"/>
    </row>
    <row r="236" spans="14:113" x14ac:dyDescent="0.2">
      <c r="N236" s="3"/>
      <c r="Y236" s="3"/>
      <c r="AJ236" s="3"/>
      <c r="AU236" s="3"/>
      <c r="BF236" s="3"/>
      <c r="BQ236" s="3"/>
      <c r="CB236" s="3"/>
      <c r="CM236" s="3"/>
      <c r="CX236" s="3"/>
      <c r="DI236" s="3"/>
    </row>
    <row r="237" spans="14:113" x14ac:dyDescent="0.2">
      <c r="N237" s="3"/>
      <c r="Y237" s="3"/>
      <c r="AJ237" s="3"/>
      <c r="AU237" s="3"/>
      <c r="BF237" s="3"/>
      <c r="BQ237" s="3"/>
      <c r="CB237" s="3"/>
      <c r="CM237" s="3"/>
      <c r="CX237" s="3"/>
      <c r="DI237" s="3"/>
    </row>
    <row r="238" spans="14:113" x14ac:dyDescent="0.2">
      <c r="N238" s="3"/>
      <c r="Y238" s="3"/>
      <c r="AJ238" s="3"/>
      <c r="AU238" s="3"/>
      <c r="BF238" s="3"/>
      <c r="BQ238" s="3"/>
      <c r="CB238" s="3"/>
      <c r="CM238" s="3"/>
      <c r="CX238" s="3"/>
      <c r="DI238" s="3"/>
    </row>
    <row r="239" spans="14:113" x14ac:dyDescent="0.2">
      <c r="N239" s="3"/>
      <c r="Y239" s="3"/>
      <c r="AJ239" s="3"/>
      <c r="AU239" s="3"/>
      <c r="BF239" s="3"/>
      <c r="BQ239" s="3"/>
      <c r="CB239" s="3"/>
      <c r="CM239" s="3"/>
      <c r="CX239" s="3"/>
      <c r="DI239" s="3"/>
    </row>
    <row r="240" spans="14:113" x14ac:dyDescent="0.2">
      <c r="N240" s="3"/>
      <c r="Y240" s="3"/>
      <c r="AJ240" s="3"/>
      <c r="AU240" s="3"/>
      <c r="BF240" s="3"/>
      <c r="BQ240" s="3"/>
      <c r="CB240" s="3"/>
      <c r="CM240" s="3"/>
      <c r="CX240" s="3"/>
      <c r="DI240" s="3"/>
    </row>
    <row r="241" spans="14:113" x14ac:dyDescent="0.2">
      <c r="N241" s="3"/>
      <c r="Y241" s="3"/>
      <c r="AJ241" s="3"/>
      <c r="AU241" s="3"/>
      <c r="BF241" s="3"/>
      <c r="BQ241" s="3"/>
      <c r="CB241" s="3"/>
      <c r="CM241" s="3"/>
      <c r="CX241" s="3"/>
      <c r="DI241" s="3"/>
    </row>
    <row r="242" spans="14:113" x14ac:dyDescent="0.2">
      <c r="N242" s="3"/>
      <c r="Y242" s="3"/>
      <c r="AJ242" s="3"/>
      <c r="AU242" s="3"/>
      <c r="BF242" s="3"/>
      <c r="BQ242" s="3"/>
      <c r="CB242" s="3"/>
      <c r="CM242" s="3"/>
      <c r="CX242" s="3"/>
      <c r="DI242" s="3"/>
    </row>
    <row r="243" spans="14:113" x14ac:dyDescent="0.2">
      <c r="N243" s="3"/>
      <c r="Y243" s="3"/>
      <c r="AJ243" s="3"/>
      <c r="AU243" s="3"/>
      <c r="BF243" s="3"/>
      <c r="BQ243" s="3"/>
      <c r="CB243" s="3"/>
      <c r="CM243" s="3"/>
      <c r="CX243" s="3"/>
      <c r="DI243" s="3"/>
    </row>
    <row r="244" spans="14:113" x14ac:dyDescent="0.2">
      <c r="N244" s="3"/>
      <c r="Y244" s="3"/>
      <c r="AJ244" s="3"/>
      <c r="AU244" s="3"/>
      <c r="BF244" s="3"/>
      <c r="BQ244" s="3"/>
      <c r="CB244" s="3"/>
      <c r="CM244" s="3"/>
      <c r="CX244" s="3"/>
      <c r="DI244" s="3"/>
    </row>
    <row r="245" spans="14:113" x14ac:dyDescent="0.2">
      <c r="N245" s="3"/>
      <c r="Y245" s="3"/>
      <c r="AJ245" s="3"/>
      <c r="AU245" s="3"/>
      <c r="BF245" s="3"/>
      <c r="BQ245" s="3"/>
      <c r="CB245" s="3"/>
      <c r="CM245" s="3"/>
      <c r="CX245" s="3"/>
      <c r="DI245" s="3"/>
    </row>
    <row r="246" spans="14:113" x14ac:dyDescent="0.2">
      <c r="N246" s="3"/>
      <c r="Y246" s="3"/>
      <c r="AJ246" s="3"/>
      <c r="AU246" s="3"/>
      <c r="BF246" s="3"/>
      <c r="BQ246" s="3"/>
      <c r="CB246" s="3"/>
      <c r="CM246" s="3"/>
      <c r="CX246" s="3"/>
      <c r="DI246" s="3"/>
    </row>
    <row r="247" spans="14:113" x14ac:dyDescent="0.2">
      <c r="N247" s="3"/>
      <c r="Y247" s="3"/>
      <c r="AJ247" s="3"/>
      <c r="AU247" s="3"/>
      <c r="BF247" s="3"/>
      <c r="BQ247" s="3"/>
      <c r="CB247" s="3"/>
      <c r="CM247" s="3"/>
      <c r="CX247" s="3"/>
      <c r="DI247" s="3"/>
    </row>
    <row r="248" spans="14:113" x14ac:dyDescent="0.2">
      <c r="N248" s="3"/>
      <c r="Y248" s="3"/>
      <c r="AJ248" s="3"/>
      <c r="AU248" s="3"/>
      <c r="BF248" s="3"/>
      <c r="BQ248" s="3"/>
      <c r="CB248" s="3"/>
      <c r="CM248" s="3"/>
      <c r="CX248" s="3"/>
      <c r="DI248" s="3"/>
    </row>
    <row r="249" spans="14:113" x14ac:dyDescent="0.2">
      <c r="N249" s="3"/>
      <c r="Y249" s="3"/>
      <c r="AJ249" s="3"/>
      <c r="AU249" s="3"/>
      <c r="BF249" s="3"/>
      <c r="BQ249" s="3"/>
      <c r="CB249" s="3"/>
      <c r="CM249" s="3"/>
      <c r="CX249" s="3"/>
      <c r="DI249" s="3"/>
    </row>
    <row r="250" spans="14:113" x14ac:dyDescent="0.2">
      <c r="N250" s="3"/>
      <c r="Y250" s="3"/>
      <c r="AJ250" s="3"/>
      <c r="AU250" s="3"/>
      <c r="BF250" s="3"/>
      <c r="BQ250" s="3"/>
      <c r="CB250" s="3"/>
      <c r="CM250" s="3"/>
      <c r="CX250" s="3"/>
      <c r="DI250" s="3"/>
    </row>
    <row r="251" spans="14:113" x14ac:dyDescent="0.2">
      <c r="N251" s="3"/>
      <c r="Y251" s="3"/>
      <c r="AJ251" s="3"/>
      <c r="AU251" s="3"/>
      <c r="BF251" s="3"/>
      <c r="BQ251" s="3"/>
      <c r="CB251" s="3"/>
      <c r="CM251" s="3"/>
      <c r="CX251" s="3"/>
      <c r="DI251" s="3"/>
    </row>
    <row r="252" spans="14:113" x14ac:dyDescent="0.2">
      <c r="N252" s="3"/>
      <c r="Y252" s="3"/>
      <c r="AJ252" s="3"/>
      <c r="AU252" s="3"/>
      <c r="BF252" s="3"/>
      <c r="BQ252" s="3"/>
      <c r="CB252" s="3"/>
      <c r="CM252" s="3"/>
      <c r="CX252" s="3"/>
      <c r="DI252" s="3"/>
    </row>
    <row r="253" spans="14:113" x14ac:dyDescent="0.2">
      <c r="N253" s="3"/>
      <c r="Y253" s="3"/>
      <c r="AJ253" s="3"/>
      <c r="AU253" s="3"/>
      <c r="BF253" s="3"/>
      <c r="BQ253" s="3"/>
      <c r="CB253" s="3"/>
      <c r="CM253" s="3"/>
      <c r="CX253" s="3"/>
      <c r="DI253" s="3"/>
    </row>
    <row r="254" spans="14:113" x14ac:dyDescent="0.2">
      <c r="N254" s="3"/>
      <c r="Y254" s="3"/>
      <c r="AJ254" s="3"/>
      <c r="AU254" s="3"/>
      <c r="BF254" s="3"/>
      <c r="BQ254" s="3"/>
      <c r="CB254" s="3"/>
      <c r="CM254" s="3"/>
      <c r="CX254" s="3"/>
      <c r="DI254" s="3"/>
    </row>
    <row r="255" spans="14:113" x14ac:dyDescent="0.2">
      <c r="N255" s="3"/>
      <c r="Y255" s="3"/>
      <c r="AJ255" s="3"/>
      <c r="AU255" s="3"/>
      <c r="BF255" s="3"/>
      <c r="BQ255" s="3"/>
      <c r="CB255" s="3"/>
      <c r="CM255" s="3"/>
      <c r="CX255" s="3"/>
      <c r="DI255" s="3"/>
    </row>
    <row r="256" spans="14:113" x14ac:dyDescent="0.2">
      <c r="N256" s="3"/>
      <c r="Y256" s="3"/>
      <c r="AJ256" s="3"/>
      <c r="AU256" s="3"/>
      <c r="BF256" s="3"/>
      <c r="BQ256" s="3"/>
      <c r="CB256" s="3"/>
      <c r="CM256" s="3"/>
      <c r="CX256" s="3"/>
      <c r="DI256" s="3"/>
    </row>
    <row r="257" spans="14:113" x14ac:dyDescent="0.2">
      <c r="N257" s="3"/>
      <c r="Y257" s="3"/>
      <c r="AJ257" s="3"/>
      <c r="AU257" s="3"/>
      <c r="BF257" s="3"/>
      <c r="BQ257" s="3"/>
      <c r="CB257" s="3"/>
      <c r="CM257" s="3"/>
      <c r="CX257" s="3"/>
      <c r="DI257" s="3"/>
    </row>
    <row r="258" spans="14:113" x14ac:dyDescent="0.2">
      <c r="N258" s="3"/>
      <c r="Y258" s="3"/>
      <c r="AJ258" s="3"/>
      <c r="AU258" s="3"/>
      <c r="BF258" s="3"/>
      <c r="BQ258" s="3"/>
      <c r="CB258" s="3"/>
      <c r="CM258" s="3"/>
      <c r="CX258" s="3"/>
      <c r="DI258" s="3"/>
    </row>
    <row r="259" spans="14:113" x14ac:dyDescent="0.2">
      <c r="N259" s="3"/>
      <c r="Y259" s="3"/>
      <c r="AJ259" s="3"/>
      <c r="AU259" s="3"/>
      <c r="BF259" s="3"/>
      <c r="BQ259" s="3"/>
      <c r="CB259" s="3"/>
      <c r="CM259" s="3"/>
      <c r="CX259" s="3"/>
      <c r="DI259" s="3"/>
    </row>
    <row r="260" spans="14:113" x14ac:dyDescent="0.2">
      <c r="N260" s="3"/>
      <c r="Y260" s="3"/>
      <c r="AJ260" s="3"/>
      <c r="AU260" s="3"/>
      <c r="BF260" s="3"/>
      <c r="BQ260" s="3"/>
      <c r="CB260" s="3"/>
      <c r="CM260" s="3"/>
      <c r="CX260" s="3"/>
      <c r="DI260" s="3"/>
    </row>
    <row r="261" spans="14:113" x14ac:dyDescent="0.2">
      <c r="N261" s="3"/>
      <c r="Y261" s="3"/>
      <c r="AJ261" s="3"/>
      <c r="AU261" s="3"/>
      <c r="BF261" s="3"/>
      <c r="BQ261" s="3"/>
      <c r="CB261" s="3"/>
      <c r="CM261" s="3"/>
      <c r="CX261" s="3"/>
      <c r="DI261" s="3"/>
    </row>
    <row r="262" spans="14:113" x14ac:dyDescent="0.2">
      <c r="N262" s="3"/>
      <c r="Y262" s="3"/>
      <c r="AJ262" s="3"/>
      <c r="AU262" s="3"/>
      <c r="BF262" s="3"/>
      <c r="BQ262" s="3"/>
      <c r="CB262" s="3"/>
      <c r="CM262" s="3"/>
      <c r="CX262" s="3"/>
      <c r="DI262" s="3"/>
    </row>
    <row r="263" spans="14:113" x14ac:dyDescent="0.2">
      <c r="N263" s="3"/>
      <c r="Y263" s="3"/>
      <c r="AJ263" s="3"/>
      <c r="AU263" s="3"/>
      <c r="BF263" s="3"/>
      <c r="BQ263" s="3"/>
      <c r="CB263" s="3"/>
      <c r="CM263" s="3"/>
      <c r="CX263" s="3"/>
      <c r="DI263" s="3"/>
    </row>
    <row r="264" spans="14:113" x14ac:dyDescent="0.2">
      <c r="N264" s="3"/>
      <c r="Y264" s="3"/>
      <c r="AJ264" s="3"/>
      <c r="AU264" s="3"/>
      <c r="BF264" s="3"/>
      <c r="BQ264" s="3"/>
      <c r="CB264" s="3"/>
      <c r="CM264" s="3"/>
      <c r="CX264" s="3"/>
      <c r="DI264" s="3"/>
    </row>
    <row r="265" spans="14:113" x14ac:dyDescent="0.2">
      <c r="N265" s="3"/>
      <c r="Y265" s="3"/>
      <c r="AJ265" s="3"/>
      <c r="AU265" s="3"/>
      <c r="BF265" s="3"/>
      <c r="BQ265" s="3"/>
      <c r="CB265" s="3"/>
      <c r="CM265" s="3"/>
      <c r="CX265" s="3"/>
      <c r="DI265" s="3"/>
    </row>
    <row r="266" spans="14:113" x14ac:dyDescent="0.2">
      <c r="N266" s="3"/>
      <c r="Y266" s="3"/>
      <c r="AJ266" s="3"/>
      <c r="AU266" s="3"/>
      <c r="BF266" s="3"/>
      <c r="BQ266" s="3"/>
      <c r="CB266" s="3"/>
      <c r="CM266" s="3"/>
      <c r="CX266" s="3"/>
      <c r="DI266" s="3"/>
    </row>
    <row r="267" spans="14:113" x14ac:dyDescent="0.2">
      <c r="N267" s="3"/>
      <c r="Y267" s="3"/>
      <c r="AJ267" s="3"/>
      <c r="AU267" s="3"/>
      <c r="BF267" s="3"/>
      <c r="BQ267" s="3"/>
      <c r="CB267" s="3"/>
      <c r="CM267" s="3"/>
      <c r="CX267" s="3"/>
      <c r="DI267" s="3"/>
    </row>
    <row r="268" spans="14:113" x14ac:dyDescent="0.2">
      <c r="N268" s="3"/>
      <c r="Y268" s="3"/>
      <c r="AJ268" s="3"/>
      <c r="AU268" s="3"/>
      <c r="BF268" s="3"/>
      <c r="BQ268" s="3"/>
      <c r="CB268" s="3"/>
      <c r="CM268" s="3"/>
      <c r="CX268" s="3"/>
      <c r="DI268" s="3"/>
    </row>
    <row r="269" spans="14:113" x14ac:dyDescent="0.2">
      <c r="N269" s="3"/>
      <c r="Y269" s="3"/>
      <c r="AJ269" s="3"/>
      <c r="AU269" s="3"/>
      <c r="BF269" s="3"/>
      <c r="BQ269" s="3"/>
      <c r="CB269" s="3"/>
      <c r="CM269" s="3"/>
      <c r="CX269" s="3"/>
      <c r="DI269" s="3"/>
    </row>
    <row r="270" spans="14:113" x14ac:dyDescent="0.2">
      <c r="N270" s="3"/>
      <c r="Y270" s="3"/>
      <c r="AJ270" s="3"/>
      <c r="AU270" s="3"/>
      <c r="BF270" s="3"/>
      <c r="BQ270" s="3"/>
      <c r="CB270" s="3"/>
      <c r="CM270" s="3"/>
      <c r="CX270" s="3"/>
      <c r="DI270" s="3"/>
    </row>
    <row r="271" spans="14:113" x14ac:dyDescent="0.2">
      <c r="N271" s="3"/>
      <c r="Y271" s="3"/>
      <c r="AJ271" s="3"/>
      <c r="AU271" s="3"/>
      <c r="BF271" s="3"/>
      <c r="BQ271" s="3"/>
      <c r="CB271" s="3"/>
      <c r="CM271" s="3"/>
      <c r="CX271" s="3"/>
      <c r="DI271" s="3"/>
    </row>
    <row r="272" spans="14:113" x14ac:dyDescent="0.2">
      <c r="N272" s="3"/>
      <c r="Y272" s="3"/>
      <c r="AJ272" s="3"/>
      <c r="AU272" s="3"/>
      <c r="BF272" s="3"/>
      <c r="BQ272" s="3"/>
      <c r="CB272" s="3"/>
      <c r="CM272" s="3"/>
      <c r="CX272" s="3"/>
      <c r="DI272" s="3"/>
    </row>
    <row r="273" spans="14:113" x14ac:dyDescent="0.2">
      <c r="N273" s="3"/>
      <c r="Y273" s="3"/>
      <c r="AJ273" s="3"/>
      <c r="AU273" s="3"/>
      <c r="BF273" s="3"/>
      <c r="BQ273" s="3"/>
      <c r="CB273" s="3"/>
      <c r="CM273" s="3"/>
      <c r="CX273" s="3"/>
      <c r="DI273" s="3"/>
    </row>
    <row r="274" spans="14:113" x14ac:dyDescent="0.2">
      <c r="N274" s="3"/>
      <c r="Y274" s="3"/>
      <c r="AJ274" s="3"/>
      <c r="AU274" s="3"/>
      <c r="BF274" s="3"/>
      <c r="BQ274" s="3"/>
      <c r="CB274" s="3"/>
      <c r="CM274" s="3"/>
      <c r="CX274" s="3"/>
      <c r="DI274" s="3"/>
    </row>
    <row r="275" spans="14:113" x14ac:dyDescent="0.2">
      <c r="N275" s="3"/>
      <c r="Y275" s="3"/>
      <c r="AJ275" s="3"/>
      <c r="AU275" s="3"/>
      <c r="BF275" s="3"/>
      <c r="BQ275" s="3"/>
      <c r="CB275" s="3"/>
      <c r="CM275" s="3"/>
      <c r="CX275" s="3"/>
      <c r="DI275" s="3"/>
    </row>
    <row r="276" spans="14:113" x14ac:dyDescent="0.2">
      <c r="N276" s="3"/>
      <c r="Y276" s="3"/>
      <c r="AJ276" s="3"/>
      <c r="AU276" s="3"/>
      <c r="BF276" s="3"/>
      <c r="BQ276" s="3"/>
      <c r="CB276" s="3"/>
      <c r="CM276" s="3"/>
      <c r="CX276" s="3"/>
      <c r="DI276" s="3"/>
    </row>
    <row r="277" spans="14:113" x14ac:dyDescent="0.2">
      <c r="N277" s="3"/>
      <c r="Y277" s="3"/>
      <c r="AJ277" s="3"/>
      <c r="AU277" s="3"/>
      <c r="BF277" s="3"/>
      <c r="BQ277" s="3"/>
      <c r="CB277" s="3"/>
      <c r="CM277" s="3"/>
      <c r="CX277" s="3"/>
      <c r="DI277" s="3"/>
    </row>
    <row r="278" spans="14:113" x14ac:dyDescent="0.2">
      <c r="N278" s="3"/>
      <c r="Y278" s="3"/>
      <c r="AJ278" s="3"/>
      <c r="AU278" s="3"/>
      <c r="BF278" s="3"/>
      <c r="BQ278" s="3"/>
      <c r="CB278" s="3"/>
      <c r="CM278" s="3"/>
      <c r="CX278" s="3"/>
      <c r="DI278" s="3"/>
    </row>
    <row r="279" spans="14:113" x14ac:dyDescent="0.2">
      <c r="N279" s="3"/>
      <c r="Y279" s="3"/>
      <c r="AJ279" s="3"/>
      <c r="AU279" s="3"/>
      <c r="BF279" s="3"/>
      <c r="BQ279" s="3"/>
      <c r="CB279" s="3"/>
      <c r="CM279" s="3"/>
      <c r="CX279" s="3"/>
      <c r="DI279" s="3"/>
    </row>
    <row r="280" spans="14:113" x14ac:dyDescent="0.2">
      <c r="N280" s="3"/>
      <c r="Y280" s="3"/>
      <c r="AJ280" s="3"/>
      <c r="AU280" s="3"/>
      <c r="BF280" s="3"/>
      <c r="BQ280" s="3"/>
      <c r="CB280" s="3"/>
      <c r="CM280" s="3"/>
      <c r="CX280" s="3"/>
      <c r="DI280" s="3"/>
    </row>
    <row r="281" spans="14:113" x14ac:dyDescent="0.2">
      <c r="N281" s="3"/>
      <c r="Y281" s="3"/>
      <c r="AJ281" s="3"/>
      <c r="AU281" s="3"/>
      <c r="BF281" s="3"/>
      <c r="BQ281" s="3"/>
      <c r="CB281" s="3"/>
      <c r="CM281" s="3"/>
      <c r="CX281" s="3"/>
      <c r="DI281" s="3"/>
    </row>
    <row r="282" spans="14:113" x14ac:dyDescent="0.2">
      <c r="N282" s="3"/>
      <c r="Y282" s="3"/>
      <c r="AJ282" s="3"/>
      <c r="AU282" s="3"/>
      <c r="BF282" s="3"/>
      <c r="BQ282" s="3"/>
      <c r="CB282" s="3"/>
      <c r="CM282" s="3"/>
      <c r="CX282" s="3"/>
      <c r="DI282" s="3"/>
    </row>
    <row r="283" spans="14:113" x14ac:dyDescent="0.2">
      <c r="N283" s="3"/>
      <c r="Y283" s="3"/>
      <c r="AJ283" s="3"/>
      <c r="AU283" s="3"/>
      <c r="BF283" s="3"/>
      <c r="BQ283" s="3"/>
      <c r="CB283" s="3"/>
      <c r="CM283" s="3"/>
      <c r="CX283" s="3"/>
      <c r="DI283" s="3"/>
    </row>
    <row r="284" spans="14:113" x14ac:dyDescent="0.2">
      <c r="N284" s="3"/>
      <c r="Y284" s="3"/>
      <c r="AJ284" s="3"/>
      <c r="AU284" s="3"/>
      <c r="BF284" s="3"/>
      <c r="BQ284" s="3"/>
      <c r="CB284" s="3"/>
      <c r="CM284" s="3"/>
      <c r="CX284" s="3"/>
      <c r="DI284" s="3"/>
    </row>
    <row r="285" spans="14:113" x14ac:dyDescent="0.2">
      <c r="N285" s="3"/>
      <c r="Y285" s="3"/>
      <c r="AJ285" s="3"/>
      <c r="AU285" s="3"/>
      <c r="BF285" s="3"/>
      <c r="BQ285" s="3"/>
      <c r="CB285" s="3"/>
      <c r="CM285" s="3"/>
      <c r="CX285" s="3"/>
      <c r="DI285" s="3"/>
    </row>
    <row r="286" spans="14:113" x14ac:dyDescent="0.2">
      <c r="N286" s="3"/>
      <c r="Y286" s="3"/>
      <c r="AJ286" s="3"/>
      <c r="AU286" s="3"/>
      <c r="BF286" s="3"/>
      <c r="BQ286" s="3"/>
      <c r="CB286" s="3"/>
      <c r="CM286" s="3"/>
      <c r="CX286" s="3"/>
      <c r="DI286" s="3"/>
    </row>
    <row r="287" spans="14:113" x14ac:dyDescent="0.2">
      <c r="N287" s="3"/>
      <c r="Y287" s="3"/>
      <c r="AJ287" s="3"/>
      <c r="AU287" s="3"/>
      <c r="BF287" s="3"/>
      <c r="BQ287" s="3"/>
      <c r="CB287" s="3"/>
      <c r="CM287" s="3"/>
      <c r="CX287" s="3"/>
      <c r="DI287" s="3"/>
    </row>
    <row r="288" spans="14:113" x14ac:dyDescent="0.2">
      <c r="N288" s="3"/>
      <c r="Y288" s="3"/>
      <c r="AJ288" s="3"/>
      <c r="AU288" s="3"/>
      <c r="BF288" s="3"/>
      <c r="BQ288" s="3"/>
      <c r="CB288" s="3"/>
      <c r="CM288" s="3"/>
      <c r="CX288" s="3"/>
      <c r="DI288" s="3"/>
    </row>
    <row r="289" spans="14:113" x14ac:dyDescent="0.2">
      <c r="N289" s="3"/>
      <c r="Y289" s="3"/>
      <c r="AJ289" s="3"/>
      <c r="AU289" s="3"/>
      <c r="BF289" s="3"/>
      <c r="BQ289" s="3"/>
      <c r="CB289" s="3"/>
      <c r="CM289" s="3"/>
      <c r="CX289" s="3"/>
      <c r="DI289" s="3"/>
    </row>
    <row r="290" spans="14:113" x14ac:dyDescent="0.2">
      <c r="N290" s="3"/>
      <c r="Y290" s="3"/>
      <c r="AJ290" s="3"/>
      <c r="AU290" s="3"/>
      <c r="BF290" s="3"/>
      <c r="BQ290" s="3"/>
      <c r="CB290" s="3"/>
      <c r="CM290" s="3"/>
      <c r="CX290" s="3"/>
      <c r="DI290" s="3"/>
    </row>
    <row r="291" spans="14:113" x14ac:dyDescent="0.2">
      <c r="N291" s="3"/>
      <c r="Y291" s="3"/>
      <c r="AJ291" s="3"/>
      <c r="AU291" s="3"/>
      <c r="BF291" s="3"/>
      <c r="BQ291" s="3"/>
      <c r="CB291" s="3"/>
      <c r="CM291" s="3"/>
      <c r="CX291" s="3"/>
      <c r="DI291" s="3"/>
    </row>
    <row r="292" spans="14:113" x14ac:dyDescent="0.2">
      <c r="N292" s="3"/>
      <c r="Y292" s="3"/>
      <c r="AJ292" s="3"/>
      <c r="AU292" s="3"/>
      <c r="BF292" s="3"/>
      <c r="BQ292" s="3"/>
      <c r="CB292" s="3"/>
      <c r="CM292" s="3"/>
      <c r="CX292" s="3"/>
      <c r="DI292" s="3"/>
    </row>
    <row r="293" spans="14:113" x14ac:dyDescent="0.2">
      <c r="N293" s="3"/>
      <c r="Y293" s="3"/>
      <c r="AJ293" s="3"/>
      <c r="AU293" s="3"/>
      <c r="BF293" s="3"/>
      <c r="BQ293" s="3"/>
      <c r="CB293" s="3"/>
      <c r="CM293" s="3"/>
      <c r="CX293" s="3"/>
      <c r="DI293" s="3"/>
    </row>
    <row r="294" spans="14:113" x14ac:dyDescent="0.2">
      <c r="N294" s="3"/>
      <c r="Y294" s="3"/>
      <c r="AJ294" s="3"/>
      <c r="AU294" s="3"/>
      <c r="BF294" s="3"/>
      <c r="BQ294" s="3"/>
      <c r="CB294" s="3"/>
      <c r="CM294" s="3"/>
      <c r="CX294" s="3"/>
      <c r="DI294" s="3"/>
    </row>
    <row r="295" spans="14:113" x14ac:dyDescent="0.2">
      <c r="N295" s="3"/>
      <c r="Y295" s="3"/>
      <c r="AJ295" s="3"/>
      <c r="AU295" s="3"/>
      <c r="BF295" s="3"/>
      <c r="BQ295" s="3"/>
      <c r="CB295" s="3"/>
      <c r="CM295" s="3"/>
      <c r="CX295" s="3"/>
      <c r="DI295" s="3"/>
    </row>
    <row r="296" spans="14:113" x14ac:dyDescent="0.2">
      <c r="N296" s="3"/>
      <c r="Y296" s="3"/>
      <c r="AJ296" s="3"/>
      <c r="AU296" s="3"/>
      <c r="BF296" s="3"/>
      <c r="BQ296" s="3"/>
      <c r="CB296" s="3"/>
      <c r="CM296" s="3"/>
      <c r="CX296" s="3"/>
      <c r="DI296" s="3"/>
    </row>
    <row r="297" spans="14:113" x14ac:dyDescent="0.2">
      <c r="N297" s="3"/>
      <c r="Y297" s="3"/>
      <c r="AJ297" s="3"/>
      <c r="AU297" s="3"/>
      <c r="BF297" s="3"/>
      <c r="BQ297" s="3"/>
      <c r="CB297" s="3"/>
      <c r="CM297" s="3"/>
      <c r="CX297" s="3"/>
      <c r="DI297" s="3"/>
    </row>
    <row r="298" spans="14:113" x14ac:dyDescent="0.2">
      <c r="N298" s="3"/>
      <c r="Y298" s="3"/>
      <c r="AJ298" s="3"/>
      <c r="AU298" s="3"/>
      <c r="BF298" s="3"/>
      <c r="BQ298" s="3"/>
      <c r="CB298" s="3"/>
      <c r="CM298" s="3"/>
      <c r="CX298" s="3"/>
      <c r="DI298" s="3"/>
    </row>
    <row r="299" spans="14:113" x14ac:dyDescent="0.2">
      <c r="N299" s="3"/>
      <c r="Y299" s="3"/>
      <c r="AJ299" s="3"/>
      <c r="AU299" s="3"/>
      <c r="BF299" s="3"/>
      <c r="BQ299" s="3"/>
      <c r="CB299" s="3"/>
      <c r="CM299" s="3"/>
      <c r="CX299" s="3"/>
      <c r="DI299" s="3"/>
    </row>
    <row r="300" spans="14:113" x14ac:dyDescent="0.2">
      <c r="N300" s="3"/>
      <c r="Y300" s="3"/>
      <c r="AJ300" s="3"/>
      <c r="AU300" s="3"/>
      <c r="BF300" s="3"/>
      <c r="BQ300" s="3"/>
      <c r="CB300" s="3"/>
      <c r="CM300" s="3"/>
      <c r="CX300" s="3"/>
      <c r="DI300" s="3"/>
    </row>
    <row r="301" spans="14:113" x14ac:dyDescent="0.2">
      <c r="N301" s="3"/>
      <c r="Y301" s="3"/>
      <c r="AJ301" s="3"/>
      <c r="AU301" s="3"/>
      <c r="BF301" s="3"/>
      <c r="BQ301" s="3"/>
      <c r="CB301" s="3"/>
      <c r="CM301" s="3"/>
      <c r="CX301" s="3"/>
      <c r="DI301" s="3"/>
    </row>
    <row r="302" spans="14:113" x14ac:dyDescent="0.2">
      <c r="N302" s="3"/>
      <c r="Y302" s="3"/>
      <c r="AJ302" s="3"/>
      <c r="AU302" s="3"/>
      <c r="BF302" s="3"/>
      <c r="BQ302" s="3"/>
      <c r="CB302" s="3"/>
      <c r="CM302" s="3"/>
      <c r="CX302" s="3"/>
      <c r="DI302" s="3"/>
    </row>
    <row r="303" spans="14:113" x14ac:dyDescent="0.2">
      <c r="N303" s="3"/>
      <c r="Y303" s="3"/>
      <c r="AJ303" s="3"/>
      <c r="AU303" s="3"/>
      <c r="BF303" s="3"/>
      <c r="BQ303" s="3"/>
      <c r="CB303" s="3"/>
      <c r="CM303" s="3"/>
      <c r="CX303" s="3"/>
      <c r="DI303" s="3"/>
    </row>
    <row r="304" spans="14:113" x14ac:dyDescent="0.2">
      <c r="N304" s="3"/>
      <c r="Y304" s="3"/>
      <c r="AJ304" s="3"/>
      <c r="AU304" s="3"/>
      <c r="BF304" s="3"/>
      <c r="BQ304" s="3"/>
      <c r="CB304" s="3"/>
      <c r="CM304" s="3"/>
      <c r="CX304" s="3"/>
      <c r="DI304" s="3"/>
    </row>
    <row r="305" spans="14:113" x14ac:dyDescent="0.2">
      <c r="N305" s="3"/>
      <c r="Y305" s="3"/>
      <c r="AJ305" s="3"/>
      <c r="AU305" s="3"/>
      <c r="BF305" s="3"/>
      <c r="BQ305" s="3"/>
      <c r="CB305" s="3"/>
      <c r="CM305" s="3"/>
      <c r="CX305" s="3"/>
      <c r="DI305" s="3"/>
    </row>
    <row r="306" spans="14:113" x14ac:dyDescent="0.2">
      <c r="N306" s="3"/>
      <c r="Y306" s="3"/>
      <c r="AJ306" s="3"/>
      <c r="AU306" s="3"/>
      <c r="BF306" s="3"/>
      <c r="BQ306" s="3"/>
      <c r="CB306" s="3"/>
      <c r="CM306" s="3"/>
      <c r="CX306" s="3"/>
      <c r="DI306" s="3"/>
    </row>
    <row r="307" spans="14:113" x14ac:dyDescent="0.2">
      <c r="N307" s="3"/>
      <c r="Y307" s="3"/>
      <c r="AJ307" s="3"/>
      <c r="AU307" s="3"/>
      <c r="BF307" s="3"/>
      <c r="BQ307" s="3"/>
      <c r="CB307" s="3"/>
      <c r="CM307" s="3"/>
      <c r="CX307" s="3"/>
      <c r="DI307" s="3"/>
    </row>
    <row r="308" spans="14:113" x14ac:dyDescent="0.2">
      <c r="N308" s="3"/>
      <c r="Y308" s="3"/>
      <c r="AJ308" s="3"/>
      <c r="AU308" s="3"/>
      <c r="BF308" s="3"/>
      <c r="BQ308" s="3"/>
      <c r="CB308" s="3"/>
      <c r="CM308" s="3"/>
      <c r="CX308" s="3"/>
      <c r="DI308" s="3"/>
    </row>
    <row r="309" spans="14:113" x14ac:dyDescent="0.2">
      <c r="N309" s="3"/>
      <c r="Y309" s="3"/>
      <c r="AJ309" s="3"/>
      <c r="AU309" s="3"/>
      <c r="BF309" s="3"/>
      <c r="BQ309" s="3"/>
      <c r="CB309" s="3"/>
      <c r="CM309" s="3"/>
      <c r="CX309" s="3"/>
      <c r="DI309" s="3"/>
    </row>
    <row r="310" spans="14:113" x14ac:dyDescent="0.2">
      <c r="N310" s="3"/>
      <c r="Y310" s="3"/>
      <c r="AJ310" s="3"/>
      <c r="AU310" s="3"/>
      <c r="BF310" s="3"/>
      <c r="BQ310" s="3"/>
      <c r="CB310" s="3"/>
      <c r="CM310" s="3"/>
      <c r="CX310" s="3"/>
      <c r="DI310" s="3"/>
    </row>
    <row r="311" spans="14:113" x14ac:dyDescent="0.2">
      <c r="N311" s="3"/>
      <c r="Y311" s="3"/>
      <c r="AJ311" s="3"/>
      <c r="AU311" s="3"/>
      <c r="BF311" s="3"/>
      <c r="BQ311" s="3"/>
      <c r="CB311" s="3"/>
      <c r="CM311" s="3"/>
      <c r="CX311" s="3"/>
      <c r="DI311" s="3"/>
    </row>
    <row r="312" spans="14:113" x14ac:dyDescent="0.2">
      <c r="N312" s="3"/>
      <c r="Y312" s="3"/>
      <c r="AJ312" s="3"/>
      <c r="AU312" s="3"/>
      <c r="BF312" s="3"/>
      <c r="BQ312" s="3"/>
      <c r="CB312" s="3"/>
      <c r="CM312" s="3"/>
      <c r="CX312" s="3"/>
      <c r="DI312" s="3"/>
    </row>
    <row r="313" spans="14:113" x14ac:dyDescent="0.2">
      <c r="N313" s="3"/>
      <c r="Y313" s="3"/>
      <c r="AJ313" s="3"/>
      <c r="AU313" s="3"/>
      <c r="BF313" s="3"/>
      <c r="BQ313" s="3"/>
      <c r="CB313" s="3"/>
      <c r="CM313" s="3"/>
      <c r="CX313" s="3"/>
      <c r="DI313" s="3"/>
    </row>
    <row r="314" spans="14:113" x14ac:dyDescent="0.2">
      <c r="N314" s="3"/>
      <c r="Y314" s="3"/>
      <c r="AJ314" s="3"/>
      <c r="AU314" s="3"/>
      <c r="BF314" s="3"/>
      <c r="BQ314" s="3"/>
      <c r="CB314" s="3"/>
      <c r="CM314" s="3"/>
      <c r="CX314" s="3"/>
      <c r="DI314" s="3"/>
    </row>
    <row r="315" spans="14:113" x14ac:dyDescent="0.2">
      <c r="N315" s="3"/>
      <c r="Y315" s="3"/>
      <c r="AJ315" s="3"/>
      <c r="AU315" s="3"/>
      <c r="BF315" s="3"/>
      <c r="BQ315" s="3"/>
      <c r="CB315" s="3"/>
      <c r="CM315" s="3"/>
      <c r="CX315" s="3"/>
      <c r="DI315" s="3"/>
    </row>
    <row r="316" spans="14:113" x14ac:dyDescent="0.2">
      <c r="N316" s="3"/>
      <c r="Y316" s="3"/>
      <c r="AJ316" s="3"/>
      <c r="AU316" s="3"/>
      <c r="BF316" s="3"/>
      <c r="BQ316" s="3"/>
      <c r="CB316" s="3"/>
      <c r="CM316" s="3"/>
      <c r="CX316" s="3"/>
      <c r="DI316" s="3"/>
    </row>
    <row r="317" spans="14:113" x14ac:dyDescent="0.2">
      <c r="N317" s="3"/>
      <c r="Y317" s="3"/>
      <c r="AJ317" s="3"/>
      <c r="AU317" s="3"/>
      <c r="BF317" s="3"/>
      <c r="BQ317" s="3"/>
      <c r="CB317" s="3"/>
      <c r="CM317" s="3"/>
      <c r="CX317" s="3"/>
      <c r="DI317" s="3"/>
    </row>
    <row r="318" spans="14:113" x14ac:dyDescent="0.2">
      <c r="N318" s="3"/>
      <c r="Y318" s="3"/>
      <c r="AJ318" s="3"/>
      <c r="AU318" s="3"/>
      <c r="BF318" s="3"/>
      <c r="BQ318" s="3"/>
      <c r="CB318" s="3"/>
      <c r="CM318" s="3"/>
      <c r="CX318" s="3"/>
      <c r="DI318" s="3"/>
    </row>
    <row r="319" spans="14:113" x14ac:dyDescent="0.2">
      <c r="N319" s="3"/>
      <c r="Y319" s="3"/>
      <c r="AJ319" s="3"/>
      <c r="AU319" s="3"/>
      <c r="BF319" s="3"/>
      <c r="BQ319" s="3"/>
      <c r="CB319" s="3"/>
      <c r="CM319" s="3"/>
      <c r="CX319" s="3"/>
      <c r="DI319" s="3"/>
    </row>
    <row r="320" spans="14:113" x14ac:dyDescent="0.2">
      <c r="N320" s="3"/>
      <c r="Y320" s="3"/>
      <c r="AJ320" s="3"/>
      <c r="AU320" s="3"/>
      <c r="BF320" s="3"/>
      <c r="BQ320" s="3"/>
      <c r="CB320" s="3"/>
      <c r="CM320" s="3"/>
      <c r="CX320" s="3"/>
      <c r="DI320" s="3"/>
    </row>
    <row r="321" spans="14:113" x14ac:dyDescent="0.2">
      <c r="N321" s="3"/>
      <c r="Y321" s="3"/>
      <c r="AJ321" s="3"/>
      <c r="AU321" s="3"/>
      <c r="BF321" s="3"/>
      <c r="BQ321" s="3"/>
      <c r="CB321" s="3"/>
      <c r="CM321" s="3"/>
      <c r="CX321" s="3"/>
      <c r="DI321" s="3"/>
    </row>
    <row r="322" spans="14:113" x14ac:dyDescent="0.2">
      <c r="N322" s="3"/>
      <c r="Y322" s="3"/>
      <c r="AJ322" s="3"/>
      <c r="AU322" s="3"/>
      <c r="BF322" s="3"/>
      <c r="BQ322" s="3"/>
      <c r="CB322" s="3"/>
      <c r="CM322" s="3"/>
      <c r="CX322" s="3"/>
      <c r="DI322" s="3"/>
    </row>
    <row r="323" spans="14:113" x14ac:dyDescent="0.2">
      <c r="N323" s="3"/>
      <c r="Y323" s="3"/>
      <c r="AJ323" s="3"/>
      <c r="AU323" s="3"/>
      <c r="BF323" s="3"/>
      <c r="BQ323" s="3"/>
      <c r="CB323" s="3"/>
      <c r="CM323" s="3"/>
      <c r="CX323" s="3"/>
      <c r="DI323" s="3"/>
    </row>
    <row r="324" spans="14:113" x14ac:dyDescent="0.2">
      <c r="N324" s="3"/>
      <c r="Y324" s="3"/>
      <c r="AJ324" s="3"/>
      <c r="AU324" s="3"/>
      <c r="BF324" s="3"/>
      <c r="BQ324" s="3"/>
      <c r="CB324" s="3"/>
      <c r="CM324" s="3"/>
      <c r="CX324" s="3"/>
      <c r="DI324" s="3"/>
    </row>
    <row r="325" spans="14:113" x14ac:dyDescent="0.2">
      <c r="N325" s="3"/>
      <c r="Y325" s="3"/>
      <c r="AJ325" s="3"/>
      <c r="AU325" s="3"/>
      <c r="BF325" s="3"/>
      <c r="BQ325" s="3"/>
      <c r="CB325" s="3"/>
      <c r="CM325" s="3"/>
      <c r="CX325" s="3"/>
      <c r="DI325" s="3"/>
    </row>
    <row r="326" spans="14:113" x14ac:dyDescent="0.2">
      <c r="N326" s="3"/>
      <c r="Y326" s="3"/>
      <c r="AJ326" s="3"/>
      <c r="AU326" s="3"/>
      <c r="BF326" s="3"/>
      <c r="BQ326" s="3"/>
      <c r="CB326" s="3"/>
      <c r="CM326" s="3"/>
      <c r="CX326" s="3"/>
      <c r="DI326" s="3"/>
    </row>
    <row r="327" spans="14:113" x14ac:dyDescent="0.2">
      <c r="N327" s="3"/>
      <c r="Y327" s="3"/>
      <c r="AJ327" s="3"/>
      <c r="AU327" s="3"/>
      <c r="BF327" s="3"/>
      <c r="BQ327" s="3"/>
      <c r="CB327" s="3"/>
      <c r="CM327" s="3"/>
      <c r="CX327" s="3"/>
      <c r="DI327" s="3"/>
    </row>
    <row r="328" spans="14:113" x14ac:dyDescent="0.2">
      <c r="N328" s="3"/>
      <c r="Y328" s="3"/>
      <c r="AJ328" s="3"/>
      <c r="AU328" s="3"/>
      <c r="BF328" s="3"/>
      <c r="BQ328" s="3"/>
      <c r="CB328" s="3"/>
      <c r="CM328" s="3"/>
      <c r="CX328" s="3"/>
      <c r="DI328" s="3"/>
    </row>
    <row r="329" spans="14:113" x14ac:dyDescent="0.2">
      <c r="N329" s="3"/>
      <c r="Y329" s="3"/>
      <c r="AJ329" s="3"/>
      <c r="AU329" s="3"/>
      <c r="BF329" s="3"/>
      <c r="BQ329" s="3"/>
      <c r="CB329" s="3"/>
      <c r="CM329" s="3"/>
      <c r="CX329" s="3"/>
      <c r="DI329" s="3"/>
    </row>
    <row r="330" spans="14:113" x14ac:dyDescent="0.2">
      <c r="N330" s="3"/>
      <c r="Y330" s="3"/>
      <c r="AJ330" s="3"/>
      <c r="AU330" s="3"/>
      <c r="BF330" s="3"/>
      <c r="BQ330" s="3"/>
      <c r="CB330" s="3"/>
      <c r="CM330" s="3"/>
      <c r="CX330" s="3"/>
      <c r="DI330" s="3"/>
    </row>
    <row r="331" spans="14:113" x14ac:dyDescent="0.2">
      <c r="N331" s="3"/>
      <c r="Y331" s="3"/>
      <c r="AJ331" s="3"/>
      <c r="AU331" s="3"/>
      <c r="BF331" s="3"/>
      <c r="BQ331" s="3"/>
      <c r="CB331" s="3"/>
      <c r="CM331" s="3"/>
      <c r="CX331" s="3"/>
      <c r="DI331" s="3"/>
    </row>
    <row r="332" spans="14:113" x14ac:dyDescent="0.2">
      <c r="N332" s="3"/>
      <c r="Y332" s="3"/>
      <c r="AJ332" s="3"/>
      <c r="AU332" s="3"/>
      <c r="BF332" s="3"/>
      <c r="BQ332" s="3"/>
      <c r="CB332" s="3"/>
      <c r="CM332" s="3"/>
      <c r="CX332" s="3"/>
      <c r="DI332" s="3"/>
    </row>
    <row r="333" spans="14:113" x14ac:dyDescent="0.2">
      <c r="N333" s="3"/>
      <c r="Y333" s="3"/>
      <c r="AJ333" s="3"/>
      <c r="AU333" s="3"/>
      <c r="BF333" s="3"/>
      <c r="BQ333" s="3"/>
      <c r="CB333" s="3"/>
      <c r="CM333" s="3"/>
      <c r="CX333" s="3"/>
      <c r="DI333" s="3"/>
    </row>
    <row r="334" spans="14:113" x14ac:dyDescent="0.2">
      <c r="N334" s="3"/>
      <c r="Y334" s="3"/>
      <c r="AJ334" s="3"/>
      <c r="AU334" s="3"/>
      <c r="BF334" s="3"/>
      <c r="BQ334" s="3"/>
      <c r="CB334" s="3"/>
      <c r="CM334" s="3"/>
      <c r="CX334" s="3"/>
      <c r="DI334" s="3"/>
    </row>
    <row r="335" spans="14:113" x14ac:dyDescent="0.2">
      <c r="N335" s="3"/>
      <c r="Y335" s="3"/>
      <c r="AJ335" s="3"/>
      <c r="AU335" s="3"/>
      <c r="BF335" s="3"/>
      <c r="BQ335" s="3"/>
      <c r="CB335" s="3"/>
      <c r="CM335" s="3"/>
      <c r="CX335" s="3"/>
      <c r="DI335" s="3"/>
    </row>
    <row r="336" spans="14:113" x14ac:dyDescent="0.2">
      <c r="N336" s="3"/>
      <c r="Y336" s="3"/>
      <c r="AJ336" s="3"/>
      <c r="AU336" s="3"/>
      <c r="BF336" s="3"/>
      <c r="BQ336" s="3"/>
      <c r="CB336" s="3"/>
      <c r="CM336" s="3"/>
      <c r="CX336" s="3"/>
      <c r="DI336" s="3"/>
    </row>
    <row r="337" spans="14:113" x14ac:dyDescent="0.2">
      <c r="N337" s="3"/>
      <c r="Y337" s="3"/>
      <c r="AJ337" s="3"/>
      <c r="AU337" s="3"/>
      <c r="BF337" s="3"/>
      <c r="BQ337" s="3"/>
      <c r="CB337" s="3"/>
      <c r="CM337" s="3"/>
      <c r="CX337" s="3"/>
      <c r="DI337" s="3"/>
    </row>
    <row r="338" spans="14:113" x14ac:dyDescent="0.2">
      <c r="N338" s="3"/>
      <c r="Y338" s="3"/>
      <c r="AJ338" s="3"/>
      <c r="AU338" s="3"/>
      <c r="BF338" s="3"/>
      <c r="BQ338" s="3"/>
      <c r="CB338" s="3"/>
      <c r="CM338" s="3"/>
      <c r="CX338" s="3"/>
      <c r="DI338" s="3"/>
    </row>
    <row r="339" spans="14:113" x14ac:dyDescent="0.2">
      <c r="N339" s="3"/>
      <c r="Y339" s="3"/>
      <c r="AJ339" s="3"/>
      <c r="AU339" s="3"/>
      <c r="BF339" s="3"/>
      <c r="BQ339" s="3"/>
      <c r="CB339" s="3"/>
      <c r="CM339" s="3"/>
      <c r="CX339" s="3"/>
      <c r="DI339" s="3"/>
    </row>
    <row r="340" spans="14:113" x14ac:dyDescent="0.2">
      <c r="N340" s="3"/>
      <c r="Y340" s="3"/>
      <c r="AJ340" s="3"/>
      <c r="AU340" s="3"/>
      <c r="BF340" s="3"/>
      <c r="BQ340" s="3"/>
      <c r="CB340" s="3"/>
      <c r="CM340" s="3"/>
      <c r="CX340" s="3"/>
      <c r="DI340" s="3"/>
    </row>
    <row r="341" spans="14:113" x14ac:dyDescent="0.2">
      <c r="N341" s="3"/>
      <c r="Y341" s="3"/>
      <c r="AJ341" s="3"/>
      <c r="AU341" s="3"/>
      <c r="BF341" s="3"/>
      <c r="BQ341" s="3"/>
      <c r="CB341" s="3"/>
      <c r="CM341" s="3"/>
      <c r="CX341" s="3"/>
      <c r="DI341" s="3"/>
    </row>
    <row r="342" spans="14:113" x14ac:dyDescent="0.2">
      <c r="N342" s="3"/>
      <c r="Y342" s="3"/>
      <c r="AJ342" s="3"/>
      <c r="AU342" s="3"/>
      <c r="BF342" s="3"/>
      <c r="BQ342" s="3"/>
      <c r="CB342" s="3"/>
      <c r="CM342" s="3"/>
      <c r="CX342" s="3"/>
      <c r="DI342" s="3"/>
    </row>
    <row r="343" spans="14:113" x14ac:dyDescent="0.2">
      <c r="N343" s="3"/>
      <c r="Y343" s="3"/>
      <c r="AJ343" s="3"/>
      <c r="AU343" s="3"/>
      <c r="BF343" s="3"/>
      <c r="BQ343" s="3"/>
      <c r="CB343" s="3"/>
      <c r="CM343" s="3"/>
      <c r="CX343" s="3"/>
      <c r="DI343" s="3"/>
    </row>
    <row r="344" spans="14:113" x14ac:dyDescent="0.2">
      <c r="N344" s="3"/>
      <c r="Y344" s="3"/>
      <c r="AJ344" s="3"/>
      <c r="AU344" s="3"/>
      <c r="BF344" s="3"/>
      <c r="BQ344" s="3"/>
      <c r="CB344" s="3"/>
      <c r="CM344" s="3"/>
      <c r="CX344" s="3"/>
      <c r="DI344" s="3"/>
    </row>
    <row r="345" spans="14:113" x14ac:dyDescent="0.2">
      <c r="N345" s="3"/>
      <c r="Y345" s="3"/>
      <c r="AJ345" s="3"/>
      <c r="AU345" s="3"/>
      <c r="BF345" s="3"/>
      <c r="BQ345" s="3"/>
      <c r="CB345" s="3"/>
      <c r="CM345" s="3"/>
      <c r="CX345" s="3"/>
      <c r="DI345" s="3"/>
    </row>
    <row r="346" spans="14:113" x14ac:dyDescent="0.2">
      <c r="N346" s="3"/>
      <c r="Y346" s="3"/>
      <c r="AJ346" s="3"/>
      <c r="AU346" s="3"/>
      <c r="BF346" s="3"/>
      <c r="BQ346" s="3"/>
      <c r="CB346" s="3"/>
      <c r="CM346" s="3"/>
      <c r="CX346" s="3"/>
      <c r="DI346" s="3"/>
    </row>
    <row r="347" spans="14:113" x14ac:dyDescent="0.2">
      <c r="N347" s="3"/>
      <c r="Y347" s="3"/>
      <c r="AJ347" s="3"/>
      <c r="AU347" s="3"/>
      <c r="BF347" s="3"/>
      <c r="BQ347" s="3"/>
      <c r="CB347" s="3"/>
      <c r="CM347" s="3"/>
      <c r="CX347" s="3"/>
      <c r="DI347" s="3"/>
    </row>
    <row r="348" spans="14:113" x14ac:dyDescent="0.2">
      <c r="N348" s="3"/>
      <c r="Y348" s="3"/>
      <c r="AJ348" s="3"/>
      <c r="AU348" s="3"/>
      <c r="BF348" s="3"/>
      <c r="BQ348" s="3"/>
      <c r="CB348" s="3"/>
      <c r="CM348" s="3"/>
      <c r="CX348" s="3"/>
      <c r="DI348" s="3"/>
    </row>
    <row r="349" spans="14:113" x14ac:dyDescent="0.2">
      <c r="N349" s="3"/>
      <c r="Y349" s="3"/>
      <c r="AJ349" s="3"/>
      <c r="AU349" s="3"/>
      <c r="BF349" s="3"/>
      <c r="BQ349" s="3"/>
      <c r="CB349" s="3"/>
      <c r="CM349" s="3"/>
      <c r="CX349" s="3"/>
      <c r="DI349" s="3"/>
    </row>
    <row r="350" spans="14:113" x14ac:dyDescent="0.2">
      <c r="N350" s="3"/>
      <c r="Y350" s="3"/>
      <c r="AJ350" s="3"/>
      <c r="AU350" s="3"/>
      <c r="BF350" s="3"/>
      <c r="BQ350" s="3"/>
      <c r="CB350" s="3"/>
      <c r="CM350" s="3"/>
      <c r="CX350" s="3"/>
      <c r="DI350" s="3"/>
    </row>
    <row r="351" spans="14:113" x14ac:dyDescent="0.2">
      <c r="N351" s="3"/>
      <c r="Y351" s="3"/>
      <c r="AJ351" s="3"/>
      <c r="AU351" s="3"/>
      <c r="BF351" s="3"/>
      <c r="BQ351" s="3"/>
      <c r="CB351" s="3"/>
      <c r="CM351" s="3"/>
      <c r="CX351" s="3"/>
      <c r="DI351" s="3"/>
    </row>
    <row r="352" spans="14:113" x14ac:dyDescent="0.2">
      <c r="N352" s="3"/>
      <c r="Y352" s="3"/>
      <c r="AJ352" s="3"/>
      <c r="AU352" s="3"/>
      <c r="BF352" s="3"/>
      <c r="BQ352" s="3"/>
      <c r="CB352" s="3"/>
      <c r="CM352" s="3"/>
      <c r="CX352" s="3"/>
      <c r="DI352" s="3"/>
    </row>
    <row r="353" spans="14:113" x14ac:dyDescent="0.2">
      <c r="N353" s="3"/>
      <c r="Y353" s="3"/>
      <c r="AJ353" s="3"/>
      <c r="AU353" s="3"/>
      <c r="BF353" s="3"/>
      <c r="BQ353" s="3"/>
      <c r="CB353" s="3"/>
      <c r="CM353" s="3"/>
      <c r="CX353" s="3"/>
      <c r="DI353" s="3"/>
    </row>
    <row r="354" spans="14:113" x14ac:dyDescent="0.2">
      <c r="N354" s="3"/>
      <c r="Y354" s="3"/>
      <c r="AJ354" s="3"/>
      <c r="AU354" s="3"/>
      <c r="BF354" s="3"/>
      <c r="BQ354" s="3"/>
      <c r="CB354" s="3"/>
      <c r="CM354" s="3"/>
      <c r="CX354" s="3"/>
      <c r="DI354" s="3"/>
    </row>
    <row r="355" spans="14:113" x14ac:dyDescent="0.2">
      <c r="N355" s="3"/>
      <c r="Y355" s="3"/>
      <c r="AJ355" s="3"/>
      <c r="AU355" s="3"/>
      <c r="BF355" s="3"/>
      <c r="BQ355" s="3"/>
      <c r="CB355" s="3"/>
      <c r="CM355" s="3"/>
      <c r="CX355" s="3"/>
      <c r="DI355" s="3"/>
    </row>
    <row r="356" spans="14:113" x14ac:dyDescent="0.2">
      <c r="N356" s="3"/>
      <c r="Y356" s="3"/>
      <c r="AJ356" s="3"/>
      <c r="AU356" s="3"/>
      <c r="BF356" s="3"/>
      <c r="BQ356" s="3"/>
      <c r="CB356" s="3"/>
      <c r="CM356" s="3"/>
      <c r="CX356" s="3"/>
      <c r="DI356" s="3"/>
    </row>
    <row r="357" spans="14:113" x14ac:dyDescent="0.2">
      <c r="N357" s="3"/>
      <c r="Y357" s="3"/>
      <c r="AJ357" s="3"/>
      <c r="AU357" s="3"/>
      <c r="BF357" s="3"/>
      <c r="BQ357" s="3"/>
      <c r="CB357" s="3"/>
      <c r="CM357" s="3"/>
      <c r="CX357" s="3"/>
      <c r="DI357" s="3"/>
    </row>
    <row r="358" spans="14:113" x14ac:dyDescent="0.2">
      <c r="N358" s="3"/>
      <c r="Y358" s="3"/>
      <c r="AJ358" s="3"/>
      <c r="AU358" s="3"/>
      <c r="BF358" s="3"/>
      <c r="BQ358" s="3"/>
      <c r="CB358" s="3"/>
      <c r="CM358" s="3"/>
      <c r="CX358" s="3"/>
      <c r="DI358" s="3"/>
    </row>
    <row r="359" spans="14:113" x14ac:dyDescent="0.2">
      <c r="N359" s="3"/>
      <c r="Y359" s="3"/>
      <c r="AJ359" s="3"/>
      <c r="AU359" s="3"/>
      <c r="BF359" s="3"/>
      <c r="BQ359" s="3"/>
      <c r="CB359" s="3"/>
      <c r="CM359" s="3"/>
      <c r="CX359" s="3"/>
      <c r="DI359" s="3"/>
    </row>
    <row r="360" spans="14:113" x14ac:dyDescent="0.2">
      <c r="N360" s="3"/>
      <c r="Y360" s="3"/>
      <c r="AJ360" s="3"/>
      <c r="AU360" s="3"/>
      <c r="BF360" s="3"/>
      <c r="BQ360" s="3"/>
      <c r="CB360" s="3"/>
      <c r="CM360" s="3"/>
      <c r="CX360" s="3"/>
      <c r="DI360" s="3"/>
    </row>
    <row r="361" spans="14:113" x14ac:dyDescent="0.2">
      <c r="N361" s="3"/>
      <c r="Y361" s="3"/>
      <c r="AJ361" s="3"/>
      <c r="AU361" s="3"/>
      <c r="BF361" s="3"/>
      <c r="BQ361" s="3"/>
      <c r="CB361" s="3"/>
      <c r="CM361" s="3"/>
      <c r="CX361" s="3"/>
      <c r="DI361" s="3"/>
    </row>
    <row r="362" spans="14:113" x14ac:dyDescent="0.2">
      <c r="N362" s="3"/>
      <c r="Y362" s="3"/>
      <c r="AJ362" s="3"/>
      <c r="AU362" s="3"/>
      <c r="BF362" s="3"/>
      <c r="BQ362" s="3"/>
      <c r="CB362" s="3"/>
      <c r="CM362" s="3"/>
      <c r="CX362" s="3"/>
      <c r="DI362" s="3"/>
    </row>
    <row r="363" spans="14:113" x14ac:dyDescent="0.2">
      <c r="N363" s="3"/>
      <c r="Y363" s="3"/>
      <c r="AJ363" s="3"/>
      <c r="AU363" s="3"/>
      <c r="BF363" s="3"/>
      <c r="BQ363" s="3"/>
      <c r="CB363" s="3"/>
      <c r="CM363" s="3"/>
      <c r="CX363" s="3"/>
      <c r="DI363" s="3"/>
    </row>
    <row r="364" spans="14:113" x14ac:dyDescent="0.2">
      <c r="N364" s="3"/>
      <c r="Y364" s="3"/>
      <c r="AJ364" s="3"/>
      <c r="AU364" s="3"/>
      <c r="BF364" s="3"/>
      <c r="BQ364" s="3"/>
      <c r="CB364" s="3"/>
      <c r="CM364" s="3"/>
      <c r="CX364" s="3"/>
      <c r="DI364" s="3"/>
    </row>
    <row r="365" spans="14:113" x14ac:dyDescent="0.2">
      <c r="N365" s="3"/>
      <c r="Y365" s="3"/>
      <c r="AJ365" s="3"/>
      <c r="AU365" s="3"/>
      <c r="BF365" s="3"/>
      <c r="BQ365" s="3"/>
      <c r="CB365" s="3"/>
      <c r="CM365" s="3"/>
      <c r="CX365" s="3"/>
      <c r="DI365" s="3"/>
    </row>
    <row r="366" spans="14:113" x14ac:dyDescent="0.2">
      <c r="N366" s="3"/>
      <c r="Y366" s="3"/>
      <c r="AJ366" s="3"/>
      <c r="AU366" s="3"/>
      <c r="BF366" s="3"/>
      <c r="BQ366" s="3"/>
      <c r="CB366" s="3"/>
      <c r="CM366" s="3"/>
      <c r="CX366" s="3"/>
      <c r="DI366" s="3"/>
    </row>
    <row r="367" spans="14:113" x14ac:dyDescent="0.2">
      <c r="N367" s="3"/>
      <c r="Y367" s="3"/>
      <c r="AJ367" s="3"/>
      <c r="AU367" s="3"/>
      <c r="BF367" s="3"/>
      <c r="BQ367" s="3"/>
      <c r="CB367" s="3"/>
      <c r="CM367" s="3"/>
      <c r="CX367" s="3"/>
      <c r="DI367" s="3"/>
    </row>
  </sheetData>
  <mergeCells count="70">
    <mergeCell ref="X11:Y11"/>
    <mergeCell ref="D9:N9"/>
    <mergeCell ref="O9:Y9"/>
    <mergeCell ref="D10:G10"/>
    <mergeCell ref="H10:K10"/>
    <mergeCell ref="L10:N10"/>
    <mergeCell ref="O10:R10"/>
    <mergeCell ref="S10:V10"/>
    <mergeCell ref="W10:Y10"/>
    <mergeCell ref="F11:G11"/>
    <mergeCell ref="J11:K11"/>
    <mergeCell ref="M11:N11"/>
    <mergeCell ref="Q11:R11"/>
    <mergeCell ref="U11:V11"/>
    <mergeCell ref="Z9:AJ9"/>
    <mergeCell ref="Z10:AC10"/>
    <mergeCell ref="AD10:AG10"/>
    <mergeCell ref="AH10:AJ10"/>
    <mergeCell ref="AB11:AC11"/>
    <mergeCell ref="AF11:AG11"/>
    <mergeCell ref="AI11:AJ11"/>
    <mergeCell ref="AK9:AU9"/>
    <mergeCell ref="AK10:AN10"/>
    <mergeCell ref="AO10:AR10"/>
    <mergeCell ref="AS10:AU10"/>
    <mergeCell ref="AM11:AN11"/>
    <mergeCell ref="AQ11:AR11"/>
    <mergeCell ref="AT11:AU11"/>
    <mergeCell ref="AV9:BF9"/>
    <mergeCell ref="AV10:AY10"/>
    <mergeCell ref="AZ10:BC10"/>
    <mergeCell ref="BD10:BF10"/>
    <mergeCell ref="AX11:AY11"/>
    <mergeCell ref="BB11:BC11"/>
    <mergeCell ref="BE11:BF11"/>
    <mergeCell ref="BG10:BJ10"/>
    <mergeCell ref="BK10:BN10"/>
    <mergeCell ref="BO10:BQ10"/>
    <mergeCell ref="BR10:BU10"/>
    <mergeCell ref="BV10:BY10"/>
    <mergeCell ref="BG9:BQ9"/>
    <mergeCell ref="BR9:CB9"/>
    <mergeCell ref="CC9:CM9"/>
    <mergeCell ref="CN9:CX9"/>
    <mergeCell ref="CY9:DI9"/>
    <mergeCell ref="CV10:CX10"/>
    <mergeCell ref="CY10:DB10"/>
    <mergeCell ref="DC10:DF10"/>
    <mergeCell ref="DG10:DI10"/>
    <mergeCell ref="BI11:BJ11"/>
    <mergeCell ref="BM11:BN11"/>
    <mergeCell ref="BP11:BQ11"/>
    <mergeCell ref="BT11:BU11"/>
    <mergeCell ref="BX11:BY11"/>
    <mergeCell ref="CA11:CB11"/>
    <mergeCell ref="BZ10:CB10"/>
    <mergeCell ref="CC10:CF10"/>
    <mergeCell ref="CG10:CJ10"/>
    <mergeCell ref="CK10:CM10"/>
    <mergeCell ref="CN10:CQ10"/>
    <mergeCell ref="CR10:CU10"/>
    <mergeCell ref="DA11:DB11"/>
    <mergeCell ref="DE11:DF11"/>
    <mergeCell ref="DH11:DI11"/>
    <mergeCell ref="CE11:CF11"/>
    <mergeCell ref="CI11:CJ11"/>
    <mergeCell ref="CL11:CM11"/>
    <mergeCell ref="CP11:CQ11"/>
    <mergeCell ref="CT11:CU11"/>
    <mergeCell ref="CW11:CX11"/>
  </mergeCells>
  <conditionalFormatting sqref="G13:G14">
    <cfRule type="cellIs" dxfId="14899" priority="11879" operator="greaterThan">
      <formula>0</formula>
    </cfRule>
    <cfRule type="cellIs" dxfId="14898" priority="11880" operator="lessThanOrEqual">
      <formula>0</formula>
    </cfRule>
  </conditionalFormatting>
  <conditionalFormatting sqref="G16:G17">
    <cfRule type="cellIs" dxfId="14897" priority="11877" operator="greaterThan">
      <formula>0</formula>
    </cfRule>
    <cfRule type="cellIs" dxfId="14896" priority="11878" operator="lessThanOrEqual">
      <formula>0</formula>
    </cfRule>
  </conditionalFormatting>
  <conditionalFormatting sqref="G19:G20">
    <cfRule type="cellIs" dxfId="14895" priority="11875" operator="greaterThan">
      <formula>0</formula>
    </cfRule>
    <cfRule type="cellIs" dxfId="14894" priority="11876" operator="lessThanOrEqual">
      <formula>0</formula>
    </cfRule>
  </conditionalFormatting>
  <conditionalFormatting sqref="G29:G30">
    <cfRule type="cellIs" dxfId="14893" priority="11873" operator="greaterThan">
      <formula>0</formula>
    </cfRule>
    <cfRule type="cellIs" dxfId="14892" priority="11874" operator="lessThanOrEqual">
      <formula>0</formula>
    </cfRule>
  </conditionalFormatting>
  <conditionalFormatting sqref="G22:G23">
    <cfRule type="cellIs" dxfId="14891" priority="11871" operator="greaterThan">
      <formula>0</formula>
    </cfRule>
    <cfRule type="cellIs" dxfId="14890" priority="11872" operator="lessThanOrEqual">
      <formula>0</formula>
    </cfRule>
  </conditionalFormatting>
  <conditionalFormatting sqref="G32:G33">
    <cfRule type="cellIs" dxfId="14889" priority="11869" operator="greaterThan">
      <formula>0</formula>
    </cfRule>
    <cfRule type="cellIs" dxfId="14888" priority="11870" operator="lessThanOrEqual">
      <formula>0</formula>
    </cfRule>
  </conditionalFormatting>
  <conditionalFormatting sqref="G35:G36">
    <cfRule type="cellIs" dxfId="14887" priority="11867" operator="greaterThan">
      <formula>0</formula>
    </cfRule>
    <cfRule type="cellIs" dxfId="14886" priority="11868" operator="lessThanOrEqual">
      <formula>0</formula>
    </cfRule>
  </conditionalFormatting>
  <conditionalFormatting sqref="G38:G39">
    <cfRule type="cellIs" dxfId="14885" priority="11865" operator="greaterThan">
      <formula>0</formula>
    </cfRule>
    <cfRule type="cellIs" dxfId="14884" priority="11866" operator="lessThanOrEqual">
      <formula>0</formula>
    </cfRule>
  </conditionalFormatting>
  <conditionalFormatting sqref="G48:G49">
    <cfRule type="cellIs" dxfId="14883" priority="11863" operator="greaterThan">
      <formula>0</formula>
    </cfRule>
    <cfRule type="cellIs" dxfId="14882" priority="11864" operator="lessThanOrEqual">
      <formula>0</formula>
    </cfRule>
  </conditionalFormatting>
  <conditionalFormatting sqref="G63:G64">
    <cfRule type="cellIs" dxfId="14881" priority="11861" operator="greaterThan">
      <formula>0</formula>
    </cfRule>
    <cfRule type="cellIs" dxfId="14880" priority="11862" operator="lessThanOrEqual">
      <formula>0</formula>
    </cfRule>
  </conditionalFormatting>
  <conditionalFormatting sqref="G53:G54">
    <cfRule type="cellIs" dxfId="14879" priority="11859" operator="greaterThan">
      <formula>0</formula>
    </cfRule>
    <cfRule type="cellIs" dxfId="14878" priority="11860" operator="lessThanOrEqual">
      <formula>0</formula>
    </cfRule>
  </conditionalFormatting>
  <conditionalFormatting sqref="G15">
    <cfRule type="cellIs" dxfId="14877" priority="11857" operator="greaterThan">
      <formula>0</formula>
    </cfRule>
    <cfRule type="cellIs" dxfId="14876" priority="11858" operator="lessThanOrEqual">
      <formula>0</formula>
    </cfRule>
  </conditionalFormatting>
  <conditionalFormatting sqref="G18">
    <cfRule type="cellIs" dxfId="14875" priority="11855" operator="greaterThan">
      <formula>0</formula>
    </cfRule>
    <cfRule type="cellIs" dxfId="14874" priority="11856" operator="lessThanOrEqual">
      <formula>0</formula>
    </cfRule>
  </conditionalFormatting>
  <conditionalFormatting sqref="G21">
    <cfRule type="cellIs" dxfId="14873" priority="11853" operator="greaterThan">
      <formula>0</formula>
    </cfRule>
    <cfRule type="cellIs" dxfId="14872" priority="11854" operator="lessThanOrEqual">
      <formula>0</formula>
    </cfRule>
  </conditionalFormatting>
  <conditionalFormatting sqref="G31">
    <cfRule type="cellIs" dxfId="14871" priority="11851" operator="greaterThan">
      <formula>0</formula>
    </cfRule>
    <cfRule type="cellIs" dxfId="14870" priority="11852" operator="lessThanOrEqual">
      <formula>0</formula>
    </cfRule>
  </conditionalFormatting>
  <conditionalFormatting sqref="G24">
    <cfRule type="cellIs" dxfId="14869" priority="11849" operator="greaterThan">
      <formula>0</formula>
    </cfRule>
    <cfRule type="cellIs" dxfId="14868" priority="11850" operator="lessThanOrEqual">
      <formula>0</formula>
    </cfRule>
  </conditionalFormatting>
  <conditionalFormatting sqref="G34">
    <cfRule type="cellIs" dxfId="14867" priority="11847" operator="greaterThan">
      <formula>0</formula>
    </cfRule>
    <cfRule type="cellIs" dxfId="14866" priority="11848" operator="lessThanOrEqual">
      <formula>0</formula>
    </cfRule>
  </conditionalFormatting>
  <conditionalFormatting sqref="G37">
    <cfRule type="cellIs" dxfId="14865" priority="11845" operator="greaterThan">
      <formula>0</formula>
    </cfRule>
    <cfRule type="cellIs" dxfId="14864" priority="11846" operator="lessThanOrEqual">
      <formula>0</formula>
    </cfRule>
  </conditionalFormatting>
  <conditionalFormatting sqref="G40">
    <cfRule type="cellIs" dxfId="14863" priority="11843" operator="greaterThan">
      <formula>0</formula>
    </cfRule>
    <cfRule type="cellIs" dxfId="14862" priority="11844" operator="lessThanOrEqual">
      <formula>0</formula>
    </cfRule>
  </conditionalFormatting>
  <conditionalFormatting sqref="G26">
    <cfRule type="cellIs" dxfId="14861" priority="11841" operator="greaterThan">
      <formula>0</formula>
    </cfRule>
    <cfRule type="cellIs" dxfId="14860" priority="11842" operator="lessThanOrEqual">
      <formula>0</formula>
    </cfRule>
  </conditionalFormatting>
  <conditionalFormatting sqref="G66 G68 G71">
    <cfRule type="cellIs" dxfId="14859" priority="11839" operator="greaterThan">
      <formula>0</formula>
    </cfRule>
    <cfRule type="cellIs" dxfId="14858" priority="11840" operator="lessThanOrEqual">
      <formula>0</formula>
    </cfRule>
  </conditionalFormatting>
  <conditionalFormatting sqref="F13:F14 F16:F17 F19:F20 F22:F23 F29:F30 F32:F33 F35:F36 F38:F39 F48:F49 F53:F54">
    <cfRule type="cellIs" dxfId="14857" priority="11837" operator="lessThan">
      <formula>0</formula>
    </cfRule>
    <cfRule type="cellIs" dxfId="14856" priority="11838" operator="greaterThanOrEqual">
      <formula>0</formula>
    </cfRule>
  </conditionalFormatting>
  <conditionalFormatting sqref="F15 F18 F21 F24 F26 F31 F34 F37 F40">
    <cfRule type="cellIs" dxfId="14855" priority="11836" operator="greaterThanOrEqual">
      <formula>0</formula>
    </cfRule>
  </conditionalFormatting>
  <conditionalFormatting sqref="F15 F18 F21 F24 F26 F31 F34 F37 F40">
    <cfRule type="cellIs" dxfId="14854" priority="11835" operator="lessThan">
      <formula>0</formula>
    </cfRule>
  </conditionalFormatting>
  <conditionalFormatting sqref="G73">
    <cfRule type="cellIs" dxfId="14853" priority="11833" operator="greaterThan">
      <formula>0</formula>
    </cfRule>
    <cfRule type="cellIs" dxfId="14852" priority="11834" operator="lessThanOrEqual">
      <formula>0</formula>
    </cfRule>
  </conditionalFormatting>
  <conditionalFormatting sqref="G67">
    <cfRule type="cellIs" dxfId="14851" priority="11831" operator="greaterThan">
      <formula>0</formula>
    </cfRule>
    <cfRule type="cellIs" dxfId="14850" priority="11832" operator="lessThanOrEqual">
      <formula>0</formula>
    </cfRule>
  </conditionalFormatting>
  <conditionalFormatting sqref="F67">
    <cfRule type="cellIs" dxfId="14849" priority="11829" operator="greaterThanOrEqual">
      <formula>0</formula>
    </cfRule>
    <cfRule type="cellIs" dxfId="14848" priority="11830" operator="lessThan">
      <formula>0</formula>
    </cfRule>
  </conditionalFormatting>
  <conditionalFormatting sqref="M13:M14 M16:M17 M19:M20 M22:M23 M29:M30 M32:M33 M35:M36 M38:M39 M48:M49">
    <cfRule type="cellIs" dxfId="14847" priority="11827" operator="lessThan">
      <formula>0</formula>
    </cfRule>
    <cfRule type="cellIs" dxfId="14846" priority="11828" operator="greaterThanOrEqual">
      <formula>0</formula>
    </cfRule>
  </conditionalFormatting>
  <conditionalFormatting sqref="M15 M24 M18 M21 M31 M34 M37 M40">
    <cfRule type="cellIs" dxfId="14845" priority="11826" operator="greaterThanOrEqual">
      <formula>0</formula>
    </cfRule>
  </conditionalFormatting>
  <conditionalFormatting sqref="M15 M24 M18 M21 M31 M34 M37 M40">
    <cfRule type="cellIs" dxfId="14844" priority="11825" operator="lessThan">
      <formula>0</formula>
    </cfRule>
  </conditionalFormatting>
  <conditionalFormatting sqref="M71 M73">
    <cfRule type="cellIs" dxfId="14843" priority="11823" operator="lessThan">
      <formula>0</formula>
    </cfRule>
    <cfRule type="cellIs" dxfId="14842" priority="11824" operator="greaterThanOrEqual">
      <formula>0</formula>
    </cfRule>
  </conditionalFormatting>
  <conditionalFormatting sqref="M67">
    <cfRule type="cellIs" dxfId="14841" priority="11821" operator="greaterThanOrEqual">
      <formula>0</formula>
    </cfRule>
    <cfRule type="cellIs" dxfId="14840" priority="11822" operator="lessThan">
      <formula>0</formula>
    </cfRule>
  </conditionalFormatting>
  <conditionalFormatting sqref="N13:N14">
    <cfRule type="cellIs" dxfId="14839" priority="11819" operator="greaterThan">
      <formula>0</formula>
    </cfRule>
    <cfRule type="cellIs" dxfId="14838" priority="11820" operator="lessThanOrEqual">
      <formula>0</formula>
    </cfRule>
  </conditionalFormatting>
  <conditionalFormatting sqref="N68">
    <cfRule type="cellIs" dxfId="14837" priority="11817" operator="lessThan">
      <formula>0</formula>
    </cfRule>
    <cfRule type="cellIs" dxfId="14836" priority="11818" operator="greaterThanOrEqual">
      <formula>0</formula>
    </cfRule>
  </conditionalFormatting>
  <conditionalFormatting sqref="N15 N24 N18 N21 N31 N34 N37 N40">
    <cfRule type="cellIs" dxfId="14835" priority="11816" operator="greaterThanOrEqual">
      <formula>0</formula>
    </cfRule>
  </conditionalFormatting>
  <conditionalFormatting sqref="N15 N24 N18 N21 N31 N34 N37 N40">
    <cfRule type="cellIs" dxfId="14834" priority="11815" operator="lessThan">
      <formula>0</formula>
    </cfRule>
  </conditionalFormatting>
  <conditionalFormatting sqref="M68">
    <cfRule type="cellIs" dxfId="14833" priority="11813" operator="lessThan">
      <formula>0</formula>
    </cfRule>
    <cfRule type="cellIs" dxfId="14832" priority="11814" operator="greaterThanOrEqual">
      <formula>0</formula>
    </cfRule>
  </conditionalFormatting>
  <conditionalFormatting sqref="N71 N73">
    <cfRule type="cellIs" dxfId="14831" priority="11811" operator="lessThan">
      <formula>0</formula>
    </cfRule>
    <cfRule type="cellIs" dxfId="14830" priority="11812" operator="greaterThanOrEqual">
      <formula>0</formula>
    </cfRule>
  </conditionalFormatting>
  <conditionalFormatting sqref="N67">
    <cfRule type="cellIs" dxfId="14829" priority="11809" operator="lessThan">
      <formula>0</formula>
    </cfRule>
    <cfRule type="cellIs" dxfId="14828" priority="11810" operator="greaterThanOrEqual">
      <formula>0</formula>
    </cfRule>
  </conditionalFormatting>
  <conditionalFormatting sqref="F62">
    <cfRule type="cellIs" dxfId="14827" priority="11790" operator="greaterThanOrEqual">
      <formula>0</formula>
    </cfRule>
  </conditionalFormatting>
  <conditionalFormatting sqref="F62">
    <cfRule type="cellIs" dxfId="14826" priority="11789" operator="lessThan">
      <formula>0</formula>
    </cfRule>
  </conditionalFormatting>
  <conditionalFormatting sqref="G44">
    <cfRule type="cellIs" dxfId="14825" priority="11799" operator="greaterThan">
      <formula>0</formula>
    </cfRule>
    <cfRule type="cellIs" dxfId="14824" priority="11800" operator="lessThanOrEqual">
      <formula>0</formula>
    </cfRule>
  </conditionalFormatting>
  <conditionalFormatting sqref="G47">
    <cfRule type="cellIs" dxfId="14823" priority="11797" operator="greaterThan">
      <formula>0</formula>
    </cfRule>
    <cfRule type="cellIs" dxfId="14822" priority="11798" operator="lessThanOrEqual">
      <formula>0</formula>
    </cfRule>
  </conditionalFormatting>
  <conditionalFormatting sqref="G50">
    <cfRule type="cellIs" dxfId="14821" priority="11795" operator="greaterThan">
      <formula>0</formula>
    </cfRule>
    <cfRule type="cellIs" dxfId="14820" priority="11796" operator="lessThanOrEqual">
      <formula>0</formula>
    </cfRule>
  </conditionalFormatting>
  <conditionalFormatting sqref="G28">
    <cfRule type="cellIs" dxfId="14819" priority="11807" operator="greaterThan">
      <formula>0</formula>
    </cfRule>
    <cfRule type="cellIs" dxfId="14818" priority="11808" operator="lessThanOrEqual">
      <formula>0</formula>
    </cfRule>
  </conditionalFormatting>
  <conditionalFormatting sqref="G41">
    <cfRule type="cellIs" dxfId="14817" priority="11805" operator="greaterThan">
      <formula>0</formula>
    </cfRule>
    <cfRule type="cellIs" dxfId="14816" priority="11806" operator="lessThanOrEqual">
      <formula>0</formula>
    </cfRule>
  </conditionalFormatting>
  <conditionalFormatting sqref="J182">
    <cfRule type="cellIs" dxfId="14815" priority="11594" operator="greaterThanOrEqual">
      <formula>0</formula>
    </cfRule>
  </conditionalFormatting>
  <conditionalFormatting sqref="J182">
    <cfRule type="cellIs" dxfId="14814" priority="11593" operator="lessThan">
      <formula>0</formula>
    </cfRule>
  </conditionalFormatting>
  <conditionalFormatting sqref="G42:G43 G45:G46">
    <cfRule type="cellIs" dxfId="14813" priority="11803" operator="greaterThan">
      <formula>0</formula>
    </cfRule>
    <cfRule type="cellIs" dxfId="14812" priority="11804" operator="lessThanOrEqual">
      <formula>0</formula>
    </cfRule>
  </conditionalFormatting>
  <conditionalFormatting sqref="G57:G58 G60:G61">
    <cfRule type="cellIs" dxfId="14811" priority="11801" operator="greaterThan">
      <formula>0</formula>
    </cfRule>
    <cfRule type="cellIs" dxfId="14810" priority="11802" operator="lessThanOrEqual">
      <formula>0</formula>
    </cfRule>
  </conditionalFormatting>
  <conditionalFormatting sqref="G59">
    <cfRule type="cellIs" dxfId="14809" priority="11793" operator="greaterThan">
      <formula>0</formula>
    </cfRule>
    <cfRule type="cellIs" dxfId="14808" priority="11794" operator="lessThanOrEqual">
      <formula>0</formula>
    </cfRule>
  </conditionalFormatting>
  <conditionalFormatting sqref="G62">
    <cfRule type="cellIs" dxfId="14807" priority="11791" operator="greaterThan">
      <formula>0</formula>
    </cfRule>
    <cfRule type="cellIs" dxfId="14806" priority="11792" operator="lessThanOrEqual">
      <formula>0</formula>
    </cfRule>
  </conditionalFormatting>
  <conditionalFormatting sqref="G65">
    <cfRule type="cellIs" dxfId="14805" priority="11787" operator="greaterThan">
      <formula>0</formula>
    </cfRule>
    <cfRule type="cellIs" dxfId="14804" priority="11788" operator="lessThanOrEqual">
      <formula>0</formula>
    </cfRule>
  </conditionalFormatting>
  <conditionalFormatting sqref="K47">
    <cfRule type="cellIs" dxfId="14803" priority="11457" operator="greaterThan">
      <formula>0</formula>
    </cfRule>
    <cfRule type="cellIs" dxfId="14802" priority="11458" operator="lessThanOrEqual">
      <formula>0</formula>
    </cfRule>
  </conditionalFormatting>
  <conditionalFormatting sqref="K59">
    <cfRule type="cellIs" dxfId="14801" priority="11453" operator="greaterThan">
      <formula>0</formula>
    </cfRule>
    <cfRule type="cellIs" dxfId="14800" priority="11454" operator="lessThanOrEqual">
      <formula>0</formula>
    </cfRule>
  </conditionalFormatting>
  <conditionalFormatting sqref="J62">
    <cfRule type="cellIs" dxfId="14799" priority="11450" operator="greaterThanOrEqual">
      <formula>0</formula>
    </cfRule>
  </conditionalFormatting>
  <conditionalFormatting sqref="J62">
    <cfRule type="cellIs" dxfId="14798" priority="11449" operator="lessThan">
      <formula>0</formula>
    </cfRule>
  </conditionalFormatting>
  <conditionalFormatting sqref="G134">
    <cfRule type="cellIs" dxfId="14797" priority="11785" operator="greaterThan">
      <formula>0</formula>
    </cfRule>
    <cfRule type="cellIs" dxfId="14796" priority="11786" operator="lessThanOrEqual">
      <formula>0</formula>
    </cfRule>
  </conditionalFormatting>
  <conditionalFormatting sqref="G136:G137">
    <cfRule type="cellIs" dxfId="14795" priority="11783" operator="greaterThan">
      <formula>0</formula>
    </cfRule>
    <cfRule type="cellIs" dxfId="14794" priority="11784" operator="lessThanOrEqual">
      <formula>0</formula>
    </cfRule>
  </conditionalFormatting>
  <conditionalFormatting sqref="G173:G174">
    <cfRule type="cellIs" dxfId="14793" priority="11765" operator="greaterThan">
      <formula>0</formula>
    </cfRule>
    <cfRule type="cellIs" dxfId="14792" priority="11766" operator="lessThanOrEqual">
      <formula>0</formula>
    </cfRule>
  </conditionalFormatting>
  <conditionalFormatting sqref="G144">
    <cfRule type="cellIs" dxfId="14791" priority="11755" operator="greaterThan">
      <formula>0</formula>
    </cfRule>
    <cfRule type="cellIs" dxfId="14790" priority="11756" operator="lessThanOrEqual">
      <formula>0</formula>
    </cfRule>
  </conditionalFormatting>
  <conditionalFormatting sqref="G154">
    <cfRule type="cellIs" dxfId="14789" priority="11753" operator="greaterThan">
      <formula>0</formula>
    </cfRule>
    <cfRule type="cellIs" dxfId="14788" priority="11754" operator="lessThanOrEqual">
      <formula>0</formula>
    </cfRule>
  </conditionalFormatting>
  <conditionalFormatting sqref="G157">
    <cfRule type="cellIs" dxfId="14787" priority="11751" operator="greaterThan">
      <formula>0</formula>
    </cfRule>
    <cfRule type="cellIs" dxfId="14786" priority="11752" operator="lessThanOrEqual">
      <formula>0</formula>
    </cfRule>
  </conditionalFormatting>
  <conditionalFormatting sqref="F164">
    <cfRule type="cellIs" dxfId="14785" priority="11636" operator="greaterThanOrEqual">
      <formula>0</formula>
    </cfRule>
  </conditionalFormatting>
  <conditionalFormatting sqref="F164">
    <cfRule type="cellIs" dxfId="14784" priority="11635" operator="lessThan">
      <formula>0</formula>
    </cfRule>
  </conditionalFormatting>
  <conditionalFormatting sqref="G164">
    <cfRule type="cellIs" dxfId="14783" priority="11637" operator="greaterThan">
      <formula>0</formula>
    </cfRule>
    <cfRule type="cellIs" dxfId="14782" priority="11638" operator="lessThanOrEqual">
      <formula>0</formula>
    </cfRule>
  </conditionalFormatting>
  <conditionalFormatting sqref="J185">
    <cfRule type="cellIs" dxfId="14781" priority="11584" operator="greaterThanOrEqual">
      <formula>0</formula>
    </cfRule>
  </conditionalFormatting>
  <conditionalFormatting sqref="J185">
    <cfRule type="cellIs" dxfId="14780" priority="11583" operator="lessThan">
      <formula>0</formula>
    </cfRule>
  </conditionalFormatting>
  <conditionalFormatting sqref="N145">
    <cfRule type="cellIs" dxfId="14779" priority="11682" operator="greaterThanOrEqual">
      <formula>0</formula>
    </cfRule>
  </conditionalFormatting>
  <conditionalFormatting sqref="N145">
    <cfRule type="cellIs" dxfId="14778" priority="11681" operator="lessThan">
      <formula>0</formula>
    </cfRule>
  </conditionalFormatting>
  <conditionalFormatting sqref="J160 J186">
    <cfRule type="cellIs" dxfId="14777" priority="11734" operator="greaterThanOrEqual">
      <formula>0</formula>
    </cfRule>
  </conditionalFormatting>
  <conditionalFormatting sqref="J160 J186">
    <cfRule type="cellIs" dxfId="14776" priority="11733" operator="lessThan">
      <formula>0</formula>
    </cfRule>
  </conditionalFormatting>
  <conditionalFormatting sqref="G171">
    <cfRule type="cellIs" dxfId="14775" priority="11663" operator="greaterThan">
      <formula>0</formula>
    </cfRule>
    <cfRule type="cellIs" dxfId="14774" priority="11664" operator="lessThanOrEqual">
      <formula>0</formula>
    </cfRule>
  </conditionalFormatting>
  <conditionalFormatting sqref="F171">
    <cfRule type="cellIs" dxfId="14773" priority="11662" operator="greaterThanOrEqual">
      <formula>0</formula>
    </cfRule>
  </conditionalFormatting>
  <conditionalFormatting sqref="F171">
    <cfRule type="cellIs" dxfId="14772" priority="11661" operator="lessThan">
      <formula>0</formula>
    </cfRule>
  </conditionalFormatting>
  <conditionalFormatting sqref="N167">
    <cfRule type="cellIs" dxfId="14771" priority="11620" operator="greaterThanOrEqual">
      <formula>0</formula>
    </cfRule>
  </conditionalFormatting>
  <conditionalFormatting sqref="N167">
    <cfRule type="cellIs" dxfId="14770" priority="11619" operator="lessThan">
      <formula>0</formula>
    </cfRule>
  </conditionalFormatting>
  <conditionalFormatting sqref="G139:G140">
    <cfRule type="cellIs" dxfId="14769" priority="11781" operator="greaterThan">
      <formula>0</formula>
    </cfRule>
    <cfRule type="cellIs" dxfId="14768" priority="11782" operator="lessThanOrEqual">
      <formula>0</formula>
    </cfRule>
  </conditionalFormatting>
  <conditionalFormatting sqref="G149:G150">
    <cfRule type="cellIs" dxfId="14767" priority="11779" operator="greaterThan">
      <formula>0</formula>
    </cfRule>
    <cfRule type="cellIs" dxfId="14766" priority="11780" operator="lessThanOrEqual">
      <formula>0</formula>
    </cfRule>
  </conditionalFormatting>
  <conditionalFormatting sqref="G142:G143">
    <cfRule type="cellIs" dxfId="14765" priority="11777" operator="greaterThan">
      <formula>0</formula>
    </cfRule>
    <cfRule type="cellIs" dxfId="14764" priority="11778" operator="lessThanOrEqual">
      <formula>0</formula>
    </cfRule>
  </conditionalFormatting>
  <conditionalFormatting sqref="G152:G153">
    <cfRule type="cellIs" dxfId="14763" priority="11775" operator="greaterThan">
      <formula>0</formula>
    </cfRule>
    <cfRule type="cellIs" dxfId="14762" priority="11776" operator="lessThanOrEqual">
      <formula>0</formula>
    </cfRule>
  </conditionalFormatting>
  <conditionalFormatting sqref="G155:G156">
    <cfRule type="cellIs" dxfId="14761" priority="11773" operator="greaterThan">
      <formula>0</formula>
    </cfRule>
    <cfRule type="cellIs" dxfId="14760" priority="11774" operator="lessThanOrEqual">
      <formula>0</formula>
    </cfRule>
  </conditionalFormatting>
  <conditionalFormatting sqref="G158:G159">
    <cfRule type="cellIs" dxfId="14759" priority="11771" operator="greaterThan">
      <formula>0</formula>
    </cfRule>
    <cfRule type="cellIs" dxfId="14758" priority="11772" operator="lessThanOrEqual">
      <formula>0</formula>
    </cfRule>
  </conditionalFormatting>
  <conditionalFormatting sqref="G168:G169">
    <cfRule type="cellIs" dxfId="14757" priority="11769" operator="greaterThan">
      <formula>0</formula>
    </cfRule>
    <cfRule type="cellIs" dxfId="14756" priority="11770" operator="lessThanOrEqual">
      <formula>0</formula>
    </cfRule>
  </conditionalFormatting>
  <conditionalFormatting sqref="G183:G184">
    <cfRule type="cellIs" dxfId="14755" priority="11767" operator="greaterThan">
      <formula>0</formula>
    </cfRule>
    <cfRule type="cellIs" dxfId="14754" priority="11768" operator="lessThanOrEqual">
      <formula>0</formula>
    </cfRule>
  </conditionalFormatting>
  <conditionalFormatting sqref="G135">
    <cfRule type="cellIs" dxfId="14753" priority="11763" operator="greaterThan">
      <formula>0</formula>
    </cfRule>
    <cfRule type="cellIs" dxfId="14752" priority="11764" operator="lessThanOrEqual">
      <formula>0</formula>
    </cfRule>
  </conditionalFormatting>
  <conditionalFormatting sqref="G138">
    <cfRule type="cellIs" dxfId="14751" priority="11761" operator="greaterThan">
      <formula>0</formula>
    </cfRule>
    <cfRule type="cellIs" dxfId="14750" priority="11762" operator="lessThanOrEqual">
      <formula>0</formula>
    </cfRule>
  </conditionalFormatting>
  <conditionalFormatting sqref="G141">
    <cfRule type="cellIs" dxfId="14749" priority="11759" operator="greaterThan">
      <formula>0</formula>
    </cfRule>
    <cfRule type="cellIs" dxfId="14748" priority="11760" operator="lessThanOrEqual">
      <formula>0</formula>
    </cfRule>
  </conditionalFormatting>
  <conditionalFormatting sqref="G151">
    <cfRule type="cellIs" dxfId="14747" priority="11757" operator="greaterThan">
      <formula>0</formula>
    </cfRule>
    <cfRule type="cellIs" dxfId="14746" priority="11758" operator="lessThanOrEqual">
      <formula>0</formula>
    </cfRule>
  </conditionalFormatting>
  <conditionalFormatting sqref="G160">
    <cfRule type="cellIs" dxfId="14745" priority="11749" operator="greaterThan">
      <formula>0</formula>
    </cfRule>
    <cfRule type="cellIs" dxfId="14744" priority="11750" operator="lessThanOrEqual">
      <formula>0</formula>
    </cfRule>
  </conditionalFormatting>
  <conditionalFormatting sqref="G146">
    <cfRule type="cellIs" dxfId="14743" priority="11747" operator="greaterThan">
      <formula>0</formula>
    </cfRule>
    <cfRule type="cellIs" dxfId="14742" priority="11748" operator="lessThanOrEqual">
      <formula>0</formula>
    </cfRule>
  </conditionalFormatting>
  <conditionalFormatting sqref="G186">
    <cfRule type="cellIs" dxfId="14741" priority="11745" operator="greaterThan">
      <formula>0</formula>
    </cfRule>
    <cfRule type="cellIs" dxfId="14740" priority="11746" operator="lessThanOrEqual">
      <formula>0</formula>
    </cfRule>
  </conditionalFormatting>
  <conditionalFormatting sqref="F133:F134 F136:F137 F139:F140 F149:F150 F142:F143 F152:F153 F155:F156 F158:F159 F168:F169 F183:F184 F173:F174 J183:J184 J173:J174 M183:N184 M173:N174">
    <cfRule type="cellIs" dxfId="14739" priority="11743" operator="lessThan">
      <formula>0</formula>
    </cfRule>
    <cfRule type="cellIs" dxfId="14738" priority="11744" operator="greaterThanOrEqual">
      <formula>0</formula>
    </cfRule>
  </conditionalFormatting>
  <conditionalFormatting sqref="F135 F138 F141 F154 F157 F160 F186 J146 M146:N146 F151 F144 F146">
    <cfRule type="cellIs" dxfId="14737" priority="11742" operator="greaterThanOrEqual">
      <formula>0</formula>
    </cfRule>
  </conditionalFormatting>
  <conditionalFormatting sqref="F135 F138 F141 F154 F157 F160 F186 J146 M146:N146 F151 F144 F146">
    <cfRule type="cellIs" dxfId="14736" priority="11741" operator="lessThan">
      <formula>0</formula>
    </cfRule>
  </conditionalFormatting>
  <conditionalFormatting sqref="J133:J134 J136:J137 J139:J140 J149:J150 J142:J143 J152:J153 J155:J156">
    <cfRule type="cellIs" dxfId="14735" priority="11739" operator="lessThan">
      <formula>0</formula>
    </cfRule>
    <cfRule type="cellIs" dxfId="14734" priority="11740" operator="greaterThanOrEqual">
      <formula>0</formula>
    </cfRule>
  </conditionalFormatting>
  <conditionalFormatting sqref="J135 J138 J141 J151 J144 J154 J157">
    <cfRule type="cellIs" dxfId="14733" priority="11738" operator="greaterThanOrEqual">
      <formula>0</formula>
    </cfRule>
  </conditionalFormatting>
  <conditionalFormatting sqref="J135 J138 J141 J151 J144 J154 J157">
    <cfRule type="cellIs" dxfId="14732" priority="11737" operator="lessThan">
      <formula>0</formula>
    </cfRule>
  </conditionalFormatting>
  <conditionalFormatting sqref="J158:J159 J168:J169">
    <cfRule type="cellIs" dxfId="14731" priority="11735" operator="lessThan">
      <formula>0</formula>
    </cfRule>
    <cfRule type="cellIs" dxfId="14730" priority="11736" operator="greaterThanOrEqual">
      <formula>0</formula>
    </cfRule>
  </conditionalFormatting>
  <conditionalFormatting sqref="G187">
    <cfRule type="cellIs" dxfId="14729" priority="11731" operator="greaterThan">
      <formula>0</formula>
    </cfRule>
    <cfRule type="cellIs" dxfId="14728" priority="11732" operator="lessThanOrEqual">
      <formula>0</formula>
    </cfRule>
  </conditionalFormatting>
  <conditionalFormatting sqref="J187">
    <cfRule type="cellIs" dxfId="14727" priority="11729" operator="greaterThanOrEqual">
      <formula>0</formula>
    </cfRule>
    <cfRule type="cellIs" dxfId="14726" priority="11730" operator="lessThan">
      <formula>0</formula>
    </cfRule>
  </conditionalFormatting>
  <conditionalFormatting sqref="F187">
    <cfRule type="cellIs" dxfId="14725" priority="11727" operator="greaterThanOrEqual">
      <formula>0</formula>
    </cfRule>
    <cfRule type="cellIs" dxfId="14724" priority="11728" operator="lessThan">
      <formula>0</formula>
    </cfRule>
  </conditionalFormatting>
  <conditionalFormatting sqref="M133:M134 M136:M137 M139:M140 M149:M150 M142:M143 M152:M153 M155:M156 M158:M159 M168:M169">
    <cfRule type="cellIs" dxfId="14723" priority="11725" operator="lessThan">
      <formula>0</formula>
    </cfRule>
    <cfRule type="cellIs" dxfId="14722" priority="11726" operator="greaterThanOrEqual">
      <formula>0</formula>
    </cfRule>
  </conditionalFormatting>
  <conditionalFormatting sqref="M135 M138 M141 M151 M144 M154 M157 M160 M186">
    <cfRule type="cellIs" dxfId="14721" priority="11724" operator="greaterThanOrEqual">
      <formula>0</formula>
    </cfRule>
  </conditionalFormatting>
  <conditionalFormatting sqref="M135 M138 M141 M151 M144 M154 M157 M160 M186">
    <cfRule type="cellIs" dxfId="14720" priority="11723" operator="lessThan">
      <formula>0</formula>
    </cfRule>
  </conditionalFormatting>
  <conditionalFormatting sqref="M187">
    <cfRule type="cellIs" dxfId="14719" priority="11721" operator="greaterThanOrEqual">
      <formula>0</formula>
    </cfRule>
    <cfRule type="cellIs" dxfId="14718" priority="11722" operator="lessThan">
      <formula>0</formula>
    </cfRule>
  </conditionalFormatting>
  <conditionalFormatting sqref="N133:N134">
    <cfRule type="cellIs" dxfId="14717" priority="11719" operator="greaterThan">
      <formula>0</formula>
    </cfRule>
    <cfRule type="cellIs" dxfId="14716" priority="11720" operator="lessThanOrEqual">
      <formula>0</formula>
    </cfRule>
  </conditionalFormatting>
  <conditionalFormatting sqref="N136:N137">
    <cfRule type="cellIs" dxfId="14715" priority="11717" operator="greaterThan">
      <formula>0</formula>
    </cfRule>
    <cfRule type="cellIs" dxfId="14714" priority="11718" operator="lessThanOrEqual">
      <formula>0</formula>
    </cfRule>
  </conditionalFormatting>
  <conditionalFormatting sqref="N139:N140">
    <cfRule type="cellIs" dxfId="14713" priority="11715" operator="greaterThan">
      <formula>0</formula>
    </cfRule>
    <cfRule type="cellIs" dxfId="14712" priority="11716" operator="lessThanOrEqual">
      <formula>0</formula>
    </cfRule>
  </conditionalFormatting>
  <conditionalFormatting sqref="N149:N150">
    <cfRule type="cellIs" dxfId="14711" priority="11713" operator="greaterThan">
      <formula>0</formula>
    </cfRule>
    <cfRule type="cellIs" dxfId="14710" priority="11714" operator="lessThanOrEqual">
      <formula>0</formula>
    </cfRule>
  </conditionalFormatting>
  <conditionalFormatting sqref="N142:N143">
    <cfRule type="cellIs" dxfId="14709" priority="11711" operator="greaterThan">
      <formula>0</formula>
    </cfRule>
    <cfRule type="cellIs" dxfId="14708" priority="11712" operator="lessThanOrEqual">
      <formula>0</formula>
    </cfRule>
  </conditionalFormatting>
  <conditionalFormatting sqref="N152:N153">
    <cfRule type="cellIs" dxfId="14707" priority="11709" operator="greaterThan">
      <formula>0</formula>
    </cfRule>
    <cfRule type="cellIs" dxfId="14706" priority="11710" operator="lessThanOrEqual">
      <formula>0</formula>
    </cfRule>
  </conditionalFormatting>
  <conditionalFormatting sqref="N155:N156">
    <cfRule type="cellIs" dxfId="14705" priority="11707" operator="greaterThan">
      <formula>0</formula>
    </cfRule>
    <cfRule type="cellIs" dxfId="14704" priority="11708" operator="lessThanOrEqual">
      <formula>0</formula>
    </cfRule>
  </conditionalFormatting>
  <conditionalFormatting sqref="N158:N159 N168:N169">
    <cfRule type="cellIs" dxfId="14703" priority="11705" operator="lessThan">
      <formula>0</formula>
    </cfRule>
    <cfRule type="cellIs" dxfId="14702" priority="11706" operator="greaterThanOrEqual">
      <formula>0</formula>
    </cfRule>
  </conditionalFormatting>
  <conditionalFormatting sqref="N135 N138 N141 N151 N144 N154 N157 N160 N186">
    <cfRule type="cellIs" dxfId="14701" priority="11704" operator="greaterThanOrEqual">
      <formula>0</formula>
    </cfRule>
  </conditionalFormatting>
  <conditionalFormatting sqref="N135 N138 N141 N151 N144 N154 N157 N160 N186">
    <cfRule type="cellIs" dxfId="14700" priority="11703" operator="lessThan">
      <formula>0</formula>
    </cfRule>
  </conditionalFormatting>
  <conditionalFormatting sqref="N187">
    <cfRule type="cellIs" dxfId="14699" priority="11701" operator="lessThan">
      <formula>0</formula>
    </cfRule>
    <cfRule type="cellIs" dxfId="14698" priority="11702" operator="greaterThanOrEqual">
      <formula>0</formula>
    </cfRule>
  </conditionalFormatting>
  <conditionalFormatting sqref="G172">
    <cfRule type="cellIs" dxfId="14697" priority="11699" operator="greaterThan">
      <formula>0</formula>
    </cfRule>
    <cfRule type="cellIs" dxfId="14696" priority="11700" operator="lessThanOrEqual">
      <formula>0</formula>
    </cfRule>
  </conditionalFormatting>
  <conditionalFormatting sqref="F172">
    <cfRule type="cellIs" dxfId="14695" priority="11698" operator="greaterThanOrEqual">
      <formula>0</formula>
    </cfRule>
  </conditionalFormatting>
  <conditionalFormatting sqref="F172">
    <cfRule type="cellIs" dxfId="14694" priority="11697" operator="lessThan">
      <formula>0</formula>
    </cfRule>
  </conditionalFormatting>
  <conditionalFormatting sqref="J172">
    <cfRule type="cellIs" dxfId="14693" priority="11696" operator="greaterThanOrEqual">
      <formula>0</formula>
    </cfRule>
  </conditionalFormatting>
  <conditionalFormatting sqref="J172">
    <cfRule type="cellIs" dxfId="14692" priority="11695" operator="lessThan">
      <formula>0</formula>
    </cfRule>
  </conditionalFormatting>
  <conditionalFormatting sqref="M172">
    <cfRule type="cellIs" dxfId="14691" priority="11694" operator="greaterThanOrEqual">
      <formula>0</formula>
    </cfRule>
  </conditionalFormatting>
  <conditionalFormatting sqref="M172">
    <cfRule type="cellIs" dxfId="14690" priority="11693" operator="lessThan">
      <formula>0</formula>
    </cfRule>
  </conditionalFormatting>
  <conditionalFormatting sqref="N172">
    <cfRule type="cellIs" dxfId="14689" priority="11692" operator="greaterThanOrEqual">
      <formula>0</formula>
    </cfRule>
  </conditionalFormatting>
  <conditionalFormatting sqref="N172">
    <cfRule type="cellIs" dxfId="14688" priority="11691" operator="lessThan">
      <formula>0</formula>
    </cfRule>
  </conditionalFormatting>
  <conditionalFormatting sqref="F161">
    <cfRule type="cellIs" dxfId="14687" priority="11670" operator="greaterThanOrEqual">
      <formula>0</formula>
    </cfRule>
  </conditionalFormatting>
  <conditionalFormatting sqref="F161">
    <cfRule type="cellIs" dxfId="14686" priority="11669" operator="lessThan">
      <formula>0</formula>
    </cfRule>
  </conditionalFormatting>
  <conditionalFormatting sqref="G145">
    <cfRule type="cellIs" dxfId="14685" priority="11689" operator="greaterThan">
      <formula>0</formula>
    </cfRule>
    <cfRule type="cellIs" dxfId="14684" priority="11690" operator="lessThanOrEqual">
      <formula>0</formula>
    </cfRule>
  </conditionalFormatting>
  <conditionalFormatting sqref="F145">
    <cfRule type="cellIs" dxfId="14683" priority="11688" operator="greaterThanOrEqual">
      <formula>0</formula>
    </cfRule>
  </conditionalFormatting>
  <conditionalFormatting sqref="F145">
    <cfRule type="cellIs" dxfId="14682" priority="11687" operator="lessThan">
      <formula>0</formula>
    </cfRule>
  </conditionalFormatting>
  <conditionalFormatting sqref="J145">
    <cfRule type="cellIs" dxfId="14681" priority="11686" operator="greaterThanOrEqual">
      <formula>0</formula>
    </cfRule>
  </conditionalFormatting>
  <conditionalFormatting sqref="J145">
    <cfRule type="cellIs" dxfId="14680" priority="11685" operator="lessThan">
      <formula>0</formula>
    </cfRule>
  </conditionalFormatting>
  <conditionalFormatting sqref="M145">
    <cfRule type="cellIs" dxfId="14679" priority="11684" operator="greaterThanOrEqual">
      <formula>0</formula>
    </cfRule>
  </conditionalFormatting>
  <conditionalFormatting sqref="M145">
    <cfRule type="cellIs" dxfId="14678" priority="11683" operator="lessThan">
      <formula>0</formula>
    </cfRule>
  </conditionalFormatting>
  <conditionalFormatting sqref="J148">
    <cfRule type="cellIs" dxfId="14677" priority="11676" operator="greaterThanOrEqual">
      <formula>0</formula>
    </cfRule>
  </conditionalFormatting>
  <conditionalFormatting sqref="J148">
    <cfRule type="cellIs" dxfId="14676" priority="11675" operator="lessThan">
      <formula>0</formula>
    </cfRule>
  </conditionalFormatting>
  <conditionalFormatting sqref="M164">
    <cfRule type="cellIs" dxfId="14675" priority="11632" operator="greaterThanOrEqual">
      <formula>0</formula>
    </cfRule>
  </conditionalFormatting>
  <conditionalFormatting sqref="M164">
    <cfRule type="cellIs" dxfId="14674" priority="11631" operator="lessThan">
      <formula>0</formula>
    </cfRule>
  </conditionalFormatting>
  <conditionalFormatting sqref="M148:N148">
    <cfRule type="cellIs" dxfId="14673" priority="11674" operator="greaterThanOrEqual">
      <formula>0</formula>
    </cfRule>
  </conditionalFormatting>
  <conditionalFormatting sqref="M148:N148">
    <cfRule type="cellIs" dxfId="14672" priority="11673" operator="lessThan">
      <formula>0</formula>
    </cfRule>
  </conditionalFormatting>
  <conditionalFormatting sqref="G167">
    <cfRule type="cellIs" dxfId="14671" priority="11627" operator="greaterThan">
      <formula>0</formula>
    </cfRule>
    <cfRule type="cellIs" dxfId="14670" priority="11628" operator="lessThanOrEqual">
      <formula>0</formula>
    </cfRule>
  </conditionalFormatting>
  <conditionalFormatting sqref="F167">
    <cfRule type="cellIs" dxfId="14669" priority="11626" operator="greaterThanOrEqual">
      <formula>0</formula>
    </cfRule>
  </conditionalFormatting>
  <conditionalFormatting sqref="F167">
    <cfRule type="cellIs" dxfId="14668" priority="11625" operator="lessThan">
      <formula>0</formula>
    </cfRule>
  </conditionalFormatting>
  <conditionalFormatting sqref="G170">
    <cfRule type="cellIs" dxfId="14667" priority="11617" operator="greaterThan">
      <formula>0</formula>
    </cfRule>
    <cfRule type="cellIs" dxfId="14666" priority="11618" operator="lessThanOrEqual">
      <formula>0</formula>
    </cfRule>
  </conditionalFormatting>
  <conditionalFormatting sqref="F170">
    <cfRule type="cellIs" dxfId="14665" priority="11616" operator="greaterThanOrEqual">
      <formula>0</formula>
    </cfRule>
  </conditionalFormatting>
  <conditionalFormatting sqref="F170">
    <cfRule type="cellIs" dxfId="14664" priority="11615" operator="lessThan">
      <formula>0</formula>
    </cfRule>
  </conditionalFormatting>
  <conditionalFormatting sqref="M171:N171">
    <cfRule type="cellIs" dxfId="14663" priority="11658" operator="greaterThanOrEqual">
      <formula>0</formula>
    </cfRule>
  </conditionalFormatting>
  <conditionalFormatting sqref="M171:N171">
    <cfRule type="cellIs" dxfId="14662" priority="11657" operator="lessThan">
      <formula>0</formula>
    </cfRule>
  </conditionalFormatting>
  <conditionalFormatting sqref="F179">
    <cfRule type="cellIs" dxfId="14661" priority="11606" operator="greaterThanOrEqual">
      <formula>0</formula>
    </cfRule>
  </conditionalFormatting>
  <conditionalFormatting sqref="F179">
    <cfRule type="cellIs" dxfId="14660" priority="11605" operator="lessThan">
      <formula>0</formula>
    </cfRule>
  </conditionalFormatting>
  <conditionalFormatting sqref="G148">
    <cfRule type="cellIs" dxfId="14659" priority="11679" operator="greaterThan">
      <formula>0</formula>
    </cfRule>
    <cfRule type="cellIs" dxfId="14658" priority="11680" operator="lessThanOrEqual">
      <formula>0</formula>
    </cfRule>
  </conditionalFormatting>
  <conditionalFormatting sqref="F148">
    <cfRule type="cellIs" dxfId="14657" priority="11678" operator="greaterThanOrEqual">
      <formula>0</formula>
    </cfRule>
  </conditionalFormatting>
  <conditionalFormatting sqref="F148">
    <cfRule type="cellIs" dxfId="14656" priority="11677" operator="lessThan">
      <formula>0</formula>
    </cfRule>
  </conditionalFormatting>
  <conditionalFormatting sqref="J161">
    <cfRule type="cellIs" dxfId="14655" priority="11668" operator="greaterThanOrEqual">
      <formula>0</formula>
    </cfRule>
  </conditionalFormatting>
  <conditionalFormatting sqref="J161">
    <cfRule type="cellIs" dxfId="14654" priority="11667" operator="lessThan">
      <formula>0</formula>
    </cfRule>
  </conditionalFormatting>
  <conditionalFormatting sqref="M161:N161">
    <cfRule type="cellIs" dxfId="14653" priority="11666" operator="greaterThanOrEqual">
      <formula>0</formula>
    </cfRule>
  </conditionalFormatting>
  <conditionalFormatting sqref="M161:N161">
    <cfRule type="cellIs" dxfId="14652" priority="11665" operator="lessThan">
      <formula>0</formula>
    </cfRule>
  </conditionalFormatting>
  <conditionalFormatting sqref="G161">
    <cfRule type="cellIs" dxfId="14651" priority="11671" operator="greaterThan">
      <formula>0</formula>
    </cfRule>
    <cfRule type="cellIs" dxfId="14650" priority="11672" operator="lessThanOrEqual">
      <formula>0</formula>
    </cfRule>
  </conditionalFormatting>
  <conditionalFormatting sqref="J171">
    <cfRule type="cellIs" dxfId="14649" priority="11660" operator="greaterThanOrEqual">
      <formula>0</formula>
    </cfRule>
  </conditionalFormatting>
  <conditionalFormatting sqref="J171">
    <cfRule type="cellIs" dxfId="14648" priority="11659" operator="lessThan">
      <formula>0</formula>
    </cfRule>
  </conditionalFormatting>
  <conditionalFormatting sqref="N164">
    <cfRule type="cellIs" dxfId="14647" priority="11629" operator="lessThan">
      <formula>0</formula>
    </cfRule>
  </conditionalFormatting>
  <conditionalFormatting sqref="N170">
    <cfRule type="cellIs" dxfId="14646" priority="11609" operator="lessThan">
      <formula>0</formula>
    </cfRule>
  </conditionalFormatting>
  <conditionalFormatting sqref="J164">
    <cfRule type="cellIs" dxfId="14645" priority="11634" operator="greaterThanOrEqual">
      <formula>0</formula>
    </cfRule>
  </conditionalFormatting>
  <conditionalFormatting sqref="J164">
    <cfRule type="cellIs" dxfId="14644" priority="11633" operator="lessThan">
      <formula>0</formula>
    </cfRule>
  </conditionalFormatting>
  <conditionalFormatting sqref="N164">
    <cfRule type="cellIs" dxfId="14643" priority="11630" operator="greaterThanOrEqual">
      <formula>0</formula>
    </cfRule>
  </conditionalFormatting>
  <conditionalFormatting sqref="N179">
    <cfRule type="cellIs" dxfId="14642" priority="11599" operator="lessThan">
      <formula>0</formula>
    </cfRule>
  </conditionalFormatting>
  <conditionalFormatting sqref="G162:G163 G165:G166">
    <cfRule type="cellIs" dxfId="14641" priority="11655" operator="greaterThan">
      <formula>0</formula>
    </cfRule>
    <cfRule type="cellIs" dxfId="14640" priority="11656" operator="lessThanOrEqual">
      <formula>0</formula>
    </cfRule>
  </conditionalFormatting>
  <conditionalFormatting sqref="F162:F163 F165:F166">
    <cfRule type="cellIs" dxfId="14639" priority="11653" operator="lessThan">
      <formula>0</formula>
    </cfRule>
    <cfRule type="cellIs" dxfId="14638" priority="11654" operator="greaterThanOrEqual">
      <formula>0</formula>
    </cfRule>
  </conditionalFormatting>
  <conditionalFormatting sqref="J162:J163 J165:J166">
    <cfRule type="cellIs" dxfId="14637" priority="11651" operator="lessThan">
      <formula>0</formula>
    </cfRule>
    <cfRule type="cellIs" dxfId="14636" priority="11652" operator="greaterThanOrEqual">
      <formula>0</formula>
    </cfRule>
  </conditionalFormatting>
  <conditionalFormatting sqref="M162:M163 M165:M166">
    <cfRule type="cellIs" dxfId="14635" priority="11649" operator="lessThan">
      <formula>0</formula>
    </cfRule>
    <cfRule type="cellIs" dxfId="14634" priority="11650" operator="greaterThanOrEqual">
      <formula>0</formula>
    </cfRule>
  </conditionalFormatting>
  <conditionalFormatting sqref="N162:N163 N165:N166">
    <cfRule type="cellIs" dxfId="14633" priority="11647" operator="lessThan">
      <formula>0</formula>
    </cfRule>
    <cfRule type="cellIs" dxfId="14632" priority="11648" operator="greaterThanOrEqual">
      <formula>0</formula>
    </cfRule>
  </conditionalFormatting>
  <conditionalFormatting sqref="J177:J178 J180:J181">
    <cfRule type="cellIs" dxfId="14631" priority="11641" operator="lessThan">
      <formula>0</formula>
    </cfRule>
    <cfRule type="cellIs" dxfId="14630" priority="11642" operator="greaterThanOrEqual">
      <formula>0</formula>
    </cfRule>
  </conditionalFormatting>
  <conditionalFormatting sqref="M177:N178 M180:N181">
    <cfRule type="cellIs" dxfId="14629" priority="11639" operator="lessThan">
      <formula>0</formula>
    </cfRule>
    <cfRule type="cellIs" dxfId="14628" priority="11640" operator="greaterThanOrEqual">
      <formula>0</formula>
    </cfRule>
  </conditionalFormatting>
  <conditionalFormatting sqref="G177:G178 G180:G181">
    <cfRule type="cellIs" dxfId="14627" priority="11645" operator="greaterThan">
      <formula>0</formula>
    </cfRule>
    <cfRule type="cellIs" dxfId="14626" priority="11646" operator="lessThanOrEqual">
      <formula>0</formula>
    </cfRule>
  </conditionalFormatting>
  <conditionalFormatting sqref="F177:F178 F180:F181">
    <cfRule type="cellIs" dxfId="14625" priority="11643" operator="lessThan">
      <formula>0</formula>
    </cfRule>
    <cfRule type="cellIs" dxfId="14624" priority="11644" operator="greaterThanOrEqual">
      <formula>0</formula>
    </cfRule>
  </conditionalFormatting>
  <conditionalFormatting sqref="G179">
    <cfRule type="cellIs" dxfId="14623" priority="11607" operator="greaterThan">
      <formula>0</formula>
    </cfRule>
    <cfRule type="cellIs" dxfId="14622" priority="11608" operator="lessThanOrEqual">
      <formula>0</formula>
    </cfRule>
  </conditionalFormatting>
  <conditionalFormatting sqref="F182">
    <cfRule type="cellIs" dxfId="14621" priority="11596" operator="greaterThanOrEqual">
      <formula>0</formula>
    </cfRule>
  </conditionalFormatting>
  <conditionalFormatting sqref="F182">
    <cfRule type="cellIs" dxfId="14620" priority="11595" operator="lessThan">
      <formula>0</formula>
    </cfRule>
  </conditionalFormatting>
  <conditionalFormatting sqref="J167">
    <cfRule type="cellIs" dxfId="14619" priority="11624" operator="greaterThanOrEqual">
      <formula>0</formula>
    </cfRule>
  </conditionalFormatting>
  <conditionalFormatting sqref="J167">
    <cfRule type="cellIs" dxfId="14618" priority="11623" operator="lessThan">
      <formula>0</formula>
    </cfRule>
  </conditionalFormatting>
  <conditionalFormatting sqref="M167">
    <cfRule type="cellIs" dxfId="14617" priority="11622" operator="greaterThanOrEqual">
      <formula>0</formula>
    </cfRule>
  </conditionalFormatting>
  <conditionalFormatting sqref="M167">
    <cfRule type="cellIs" dxfId="14616" priority="11621" operator="lessThan">
      <formula>0</formula>
    </cfRule>
  </conditionalFormatting>
  <conditionalFormatting sqref="N182">
    <cfRule type="cellIs" dxfId="14615" priority="11589" operator="lessThan">
      <formula>0</formula>
    </cfRule>
  </conditionalFormatting>
  <conditionalFormatting sqref="G182">
    <cfRule type="cellIs" dxfId="14614" priority="11597" operator="greaterThan">
      <formula>0</formula>
    </cfRule>
    <cfRule type="cellIs" dxfId="14613" priority="11598" operator="lessThanOrEqual">
      <formula>0</formula>
    </cfRule>
  </conditionalFormatting>
  <conditionalFormatting sqref="F185">
    <cfRule type="cellIs" dxfId="14612" priority="11586" operator="greaterThanOrEqual">
      <formula>0</formula>
    </cfRule>
  </conditionalFormatting>
  <conditionalFormatting sqref="F185">
    <cfRule type="cellIs" dxfId="14611" priority="11585" operator="lessThan">
      <formula>0</formula>
    </cfRule>
  </conditionalFormatting>
  <conditionalFormatting sqref="M170">
    <cfRule type="cellIs" dxfId="14610" priority="11612" operator="greaterThanOrEqual">
      <formula>0</formula>
    </cfRule>
  </conditionalFormatting>
  <conditionalFormatting sqref="M170">
    <cfRule type="cellIs" dxfId="14609" priority="11611" operator="lessThan">
      <formula>0</formula>
    </cfRule>
  </conditionalFormatting>
  <conditionalFormatting sqref="N185">
    <cfRule type="cellIs" dxfId="14608" priority="11579" operator="lessThan">
      <formula>0</formula>
    </cfRule>
  </conditionalFormatting>
  <conditionalFormatting sqref="J170">
    <cfRule type="cellIs" dxfId="14607" priority="11614" operator="greaterThanOrEqual">
      <formula>0</formula>
    </cfRule>
  </conditionalFormatting>
  <conditionalFormatting sqref="J170">
    <cfRule type="cellIs" dxfId="14606" priority="11613" operator="lessThan">
      <formula>0</formula>
    </cfRule>
  </conditionalFormatting>
  <conditionalFormatting sqref="N170">
    <cfRule type="cellIs" dxfId="14605" priority="11610" operator="greaterThanOrEqual">
      <formula>0</formula>
    </cfRule>
  </conditionalFormatting>
  <conditionalFormatting sqref="G185">
    <cfRule type="cellIs" dxfId="14604" priority="11587" operator="greaterThan">
      <formula>0</formula>
    </cfRule>
    <cfRule type="cellIs" dxfId="14603" priority="11588" operator="lessThanOrEqual">
      <formula>0</formula>
    </cfRule>
  </conditionalFormatting>
  <conditionalFormatting sqref="J179">
    <cfRule type="cellIs" dxfId="14602" priority="11604" operator="greaterThanOrEqual">
      <formula>0</formula>
    </cfRule>
  </conditionalFormatting>
  <conditionalFormatting sqref="J179">
    <cfRule type="cellIs" dxfId="14601" priority="11603" operator="lessThan">
      <formula>0</formula>
    </cfRule>
  </conditionalFormatting>
  <conditionalFormatting sqref="M179">
    <cfRule type="cellIs" dxfId="14600" priority="11602" operator="greaterThanOrEqual">
      <formula>0</formula>
    </cfRule>
  </conditionalFormatting>
  <conditionalFormatting sqref="M179">
    <cfRule type="cellIs" dxfId="14599" priority="11601" operator="lessThan">
      <formula>0</formula>
    </cfRule>
  </conditionalFormatting>
  <conditionalFormatting sqref="N179">
    <cfRule type="cellIs" dxfId="14598" priority="11600" operator="greaterThanOrEqual">
      <formula>0</formula>
    </cfRule>
  </conditionalFormatting>
  <conditionalFormatting sqref="M182">
    <cfRule type="cellIs" dxfId="14597" priority="11592" operator="greaterThanOrEqual">
      <formula>0</formula>
    </cfRule>
  </conditionalFormatting>
  <conditionalFormatting sqref="M182">
    <cfRule type="cellIs" dxfId="14596" priority="11591" operator="lessThan">
      <formula>0</formula>
    </cfRule>
  </conditionalFormatting>
  <conditionalFormatting sqref="N182">
    <cfRule type="cellIs" dxfId="14595" priority="11590" operator="greaterThanOrEqual">
      <formula>0</formula>
    </cfRule>
  </conditionalFormatting>
  <conditionalFormatting sqref="M185">
    <cfRule type="cellIs" dxfId="14594" priority="11582" operator="greaterThanOrEqual">
      <formula>0</formula>
    </cfRule>
  </conditionalFormatting>
  <conditionalFormatting sqref="M185">
    <cfRule type="cellIs" dxfId="14593" priority="11581" operator="lessThan">
      <formula>0</formula>
    </cfRule>
  </conditionalFormatting>
  <conditionalFormatting sqref="N185">
    <cfRule type="cellIs" dxfId="14592" priority="11580" operator="greaterThanOrEqual">
      <formula>0</formula>
    </cfRule>
  </conditionalFormatting>
  <conditionalFormatting sqref="G25">
    <cfRule type="cellIs" dxfId="14591" priority="11577" operator="greaterThan">
      <formula>0</formula>
    </cfRule>
    <cfRule type="cellIs" dxfId="14590" priority="11578" operator="lessThanOrEqual">
      <formula>0</formula>
    </cfRule>
  </conditionalFormatting>
  <conditionalFormatting sqref="N52">
    <cfRule type="cellIs" dxfId="14589" priority="11565" operator="lessThan">
      <formula>0</formula>
    </cfRule>
  </conditionalFormatting>
  <conditionalFormatting sqref="G56">
    <cfRule type="cellIs" dxfId="14588" priority="11575" operator="greaterThan">
      <formula>0</formula>
    </cfRule>
    <cfRule type="cellIs" dxfId="14587" priority="11576" operator="lessThanOrEqual">
      <formula>0</formula>
    </cfRule>
  </conditionalFormatting>
  <conditionalFormatting sqref="F56">
    <cfRule type="cellIs" dxfId="14586" priority="11574" operator="greaterThanOrEqual">
      <formula>0</formula>
    </cfRule>
  </conditionalFormatting>
  <conditionalFormatting sqref="F56">
    <cfRule type="cellIs" dxfId="14585" priority="11573" operator="lessThan">
      <formula>0</formula>
    </cfRule>
  </conditionalFormatting>
  <conditionalFormatting sqref="G52">
    <cfRule type="cellIs" dxfId="14584" priority="11571" operator="greaterThan">
      <formula>0</formula>
    </cfRule>
    <cfRule type="cellIs" dxfId="14583" priority="11572" operator="lessThanOrEqual">
      <formula>0</formula>
    </cfRule>
  </conditionalFormatting>
  <conditionalFormatting sqref="F52">
    <cfRule type="cellIs" dxfId="14582" priority="11570" operator="greaterThanOrEqual">
      <formula>0</formula>
    </cfRule>
  </conditionalFormatting>
  <conditionalFormatting sqref="F52">
    <cfRule type="cellIs" dxfId="14581" priority="11569" operator="lessThan">
      <formula>0</formula>
    </cfRule>
  </conditionalFormatting>
  <conditionalFormatting sqref="M52">
    <cfRule type="cellIs" dxfId="14580" priority="11568" operator="greaterThanOrEqual">
      <formula>0</formula>
    </cfRule>
  </conditionalFormatting>
  <conditionalFormatting sqref="M52">
    <cfRule type="cellIs" dxfId="14579" priority="11567" operator="lessThan">
      <formula>0</formula>
    </cfRule>
  </conditionalFormatting>
  <conditionalFormatting sqref="N52">
    <cfRule type="cellIs" dxfId="14578" priority="11566" operator="greaterThanOrEqual">
      <formula>0</formula>
    </cfRule>
  </conditionalFormatting>
  <conditionalFormatting sqref="G69">
    <cfRule type="cellIs" dxfId="14577" priority="11563" operator="greaterThan">
      <formula>0</formula>
    </cfRule>
    <cfRule type="cellIs" dxfId="14576" priority="11564" operator="lessThanOrEqual">
      <formula>0</formula>
    </cfRule>
  </conditionalFormatting>
  <conditionalFormatting sqref="M69">
    <cfRule type="cellIs" dxfId="14575" priority="11561" operator="lessThan">
      <formula>0</formula>
    </cfRule>
    <cfRule type="cellIs" dxfId="14574" priority="11562" operator="greaterThanOrEqual">
      <formula>0</formula>
    </cfRule>
  </conditionalFormatting>
  <conditionalFormatting sqref="N69">
    <cfRule type="cellIs" dxfId="14573" priority="11559" operator="lessThan">
      <formula>0</formula>
    </cfRule>
    <cfRule type="cellIs" dxfId="14572" priority="11560" operator="greaterThanOrEqual">
      <formula>0</formula>
    </cfRule>
  </conditionalFormatting>
  <conditionalFormatting sqref="G70">
    <cfRule type="cellIs" dxfId="14571" priority="11557" operator="greaterThan">
      <formula>0</formula>
    </cfRule>
    <cfRule type="cellIs" dxfId="14570" priority="11558" operator="lessThanOrEqual">
      <formula>0</formula>
    </cfRule>
  </conditionalFormatting>
  <conditionalFormatting sqref="M72">
    <cfRule type="cellIs" dxfId="14569" priority="11555" operator="lessThan">
      <formula>0</formula>
    </cfRule>
    <cfRule type="cellIs" dxfId="14568" priority="11556" operator="greaterThanOrEqual">
      <formula>0</formula>
    </cfRule>
  </conditionalFormatting>
  <conditionalFormatting sqref="G72">
    <cfRule type="cellIs" dxfId="14567" priority="11553" operator="greaterThan">
      <formula>0</formula>
    </cfRule>
    <cfRule type="cellIs" dxfId="14566" priority="11554" operator="lessThanOrEqual">
      <formula>0</formula>
    </cfRule>
  </conditionalFormatting>
  <conditionalFormatting sqref="F25">
    <cfRule type="cellIs" dxfId="14565" priority="11552" operator="greaterThanOrEqual">
      <formula>0</formula>
    </cfRule>
  </conditionalFormatting>
  <conditionalFormatting sqref="F25">
    <cfRule type="cellIs" dxfId="14564" priority="11551" operator="lessThan">
      <formula>0</formula>
    </cfRule>
  </conditionalFormatting>
  <conditionalFormatting sqref="F28">
    <cfRule type="cellIs" dxfId="14563" priority="11550" operator="greaterThanOrEqual">
      <formula>0</formula>
    </cfRule>
  </conditionalFormatting>
  <conditionalFormatting sqref="F28">
    <cfRule type="cellIs" dxfId="14562" priority="11549" operator="lessThan">
      <formula>0</formula>
    </cfRule>
  </conditionalFormatting>
  <conditionalFormatting sqref="F41">
    <cfRule type="cellIs" dxfId="14561" priority="11548" operator="greaterThanOrEqual">
      <formula>0</formula>
    </cfRule>
  </conditionalFormatting>
  <conditionalFormatting sqref="F41">
    <cfRule type="cellIs" dxfId="14560" priority="11547" operator="lessThan">
      <formula>0</formula>
    </cfRule>
  </conditionalFormatting>
  <conditionalFormatting sqref="F44">
    <cfRule type="cellIs" dxfId="14559" priority="11546" operator="greaterThanOrEqual">
      <formula>0</formula>
    </cfRule>
  </conditionalFormatting>
  <conditionalFormatting sqref="F44">
    <cfRule type="cellIs" dxfId="14558" priority="11545" operator="lessThan">
      <formula>0</formula>
    </cfRule>
  </conditionalFormatting>
  <conditionalFormatting sqref="F47">
    <cfRule type="cellIs" dxfId="14557" priority="11544" operator="greaterThanOrEqual">
      <formula>0</formula>
    </cfRule>
  </conditionalFormatting>
  <conditionalFormatting sqref="F47">
    <cfRule type="cellIs" dxfId="14556" priority="11543" operator="lessThan">
      <formula>0</formula>
    </cfRule>
  </conditionalFormatting>
  <conditionalFormatting sqref="F50">
    <cfRule type="cellIs" dxfId="14555" priority="11542" operator="greaterThanOrEqual">
      <formula>0</formula>
    </cfRule>
  </conditionalFormatting>
  <conditionalFormatting sqref="F50">
    <cfRule type="cellIs" dxfId="14554" priority="11541" operator="lessThan">
      <formula>0</formula>
    </cfRule>
  </conditionalFormatting>
  <conditionalFormatting sqref="F51">
    <cfRule type="cellIs" dxfId="14553" priority="11540" operator="greaterThanOrEqual">
      <formula>0</formula>
    </cfRule>
  </conditionalFormatting>
  <conditionalFormatting sqref="F51">
    <cfRule type="cellIs" dxfId="14552" priority="11539" operator="lessThan">
      <formula>0</formula>
    </cfRule>
  </conditionalFormatting>
  <conditionalFormatting sqref="F59">
    <cfRule type="cellIs" dxfId="14551" priority="11538" operator="greaterThanOrEqual">
      <formula>0</formula>
    </cfRule>
  </conditionalFormatting>
  <conditionalFormatting sqref="F59">
    <cfRule type="cellIs" dxfId="14550" priority="11537" operator="lessThan">
      <formula>0</formula>
    </cfRule>
  </conditionalFormatting>
  <conditionalFormatting sqref="F65">
    <cfRule type="cellIs" dxfId="14549" priority="11536" operator="greaterThanOrEqual">
      <formula>0</formula>
    </cfRule>
  </conditionalFormatting>
  <conditionalFormatting sqref="F65">
    <cfRule type="cellIs" dxfId="14548" priority="11535" operator="lessThan">
      <formula>0</formula>
    </cfRule>
  </conditionalFormatting>
  <conditionalFormatting sqref="F66">
    <cfRule type="cellIs" dxfId="14547" priority="11534" operator="greaterThanOrEqual">
      <formula>0</formula>
    </cfRule>
  </conditionalFormatting>
  <conditionalFormatting sqref="F66">
    <cfRule type="cellIs" dxfId="14546" priority="11533" operator="lessThan">
      <formula>0</formula>
    </cfRule>
  </conditionalFormatting>
  <conditionalFormatting sqref="F68:F70">
    <cfRule type="cellIs" dxfId="14545" priority="11531" operator="lessThan">
      <formula>0</formula>
    </cfRule>
    <cfRule type="cellIs" dxfId="14544" priority="11532" operator="greaterThanOrEqual">
      <formula>0</formula>
    </cfRule>
  </conditionalFormatting>
  <conditionalFormatting sqref="F71:F72">
    <cfRule type="cellIs" dxfId="14543" priority="11530" operator="greaterThanOrEqual">
      <formula>0</formula>
    </cfRule>
  </conditionalFormatting>
  <conditionalFormatting sqref="F71:F72">
    <cfRule type="cellIs" dxfId="14542" priority="11529" operator="lessThan">
      <formula>0</formula>
    </cfRule>
  </conditionalFormatting>
  <conditionalFormatting sqref="F73">
    <cfRule type="cellIs" dxfId="14541" priority="11528" operator="greaterThanOrEqual">
      <formula>0</formula>
    </cfRule>
  </conditionalFormatting>
  <conditionalFormatting sqref="F73">
    <cfRule type="cellIs" dxfId="14540" priority="11527" operator="lessThan">
      <formula>0</formula>
    </cfRule>
  </conditionalFormatting>
  <conditionalFormatting sqref="F42:F43">
    <cfRule type="cellIs" dxfId="14539" priority="11525" operator="lessThan">
      <formula>0</formula>
    </cfRule>
    <cfRule type="cellIs" dxfId="14538" priority="11526" operator="greaterThanOrEqual">
      <formula>0</formula>
    </cfRule>
  </conditionalFormatting>
  <conditionalFormatting sqref="F45:F46">
    <cfRule type="cellIs" dxfId="14537" priority="11523" operator="lessThan">
      <formula>0</formula>
    </cfRule>
    <cfRule type="cellIs" dxfId="14536" priority="11524" operator="greaterThanOrEqual">
      <formula>0</formula>
    </cfRule>
  </conditionalFormatting>
  <conditionalFormatting sqref="F57:F58">
    <cfRule type="cellIs" dxfId="14535" priority="11521" operator="lessThan">
      <formula>0</formula>
    </cfRule>
    <cfRule type="cellIs" dxfId="14534" priority="11522" operator="greaterThanOrEqual">
      <formula>0</formula>
    </cfRule>
  </conditionalFormatting>
  <conditionalFormatting sqref="F60:F61">
    <cfRule type="cellIs" dxfId="14533" priority="11519" operator="lessThan">
      <formula>0</formula>
    </cfRule>
    <cfRule type="cellIs" dxfId="14532" priority="11520" operator="greaterThanOrEqual">
      <formula>0</formula>
    </cfRule>
  </conditionalFormatting>
  <conditionalFormatting sqref="F63:F64">
    <cfRule type="cellIs" dxfId="14531" priority="11517" operator="lessThan">
      <formula>0</formula>
    </cfRule>
    <cfRule type="cellIs" dxfId="14530" priority="11518" operator="greaterThanOrEqual">
      <formula>0</formula>
    </cfRule>
  </conditionalFormatting>
  <conditionalFormatting sqref="K13:K14">
    <cfRule type="cellIs" dxfId="14529" priority="11515" operator="greaterThan">
      <formula>0</formula>
    </cfRule>
    <cfRule type="cellIs" dxfId="14528" priority="11516" operator="lessThanOrEqual">
      <formula>0</formula>
    </cfRule>
  </conditionalFormatting>
  <conditionalFormatting sqref="K16:K17">
    <cfRule type="cellIs" dxfId="14527" priority="11513" operator="greaterThan">
      <formula>0</formula>
    </cfRule>
    <cfRule type="cellIs" dxfId="14526" priority="11514" operator="lessThanOrEqual">
      <formula>0</formula>
    </cfRule>
  </conditionalFormatting>
  <conditionalFormatting sqref="K19:K20">
    <cfRule type="cellIs" dxfId="14525" priority="11511" operator="greaterThan">
      <formula>0</formula>
    </cfRule>
    <cfRule type="cellIs" dxfId="14524" priority="11512" operator="lessThanOrEqual">
      <formula>0</formula>
    </cfRule>
  </conditionalFormatting>
  <conditionalFormatting sqref="K29:K30">
    <cfRule type="cellIs" dxfId="14523" priority="11509" operator="greaterThan">
      <formula>0</formula>
    </cfRule>
    <cfRule type="cellIs" dxfId="14522" priority="11510" operator="lessThanOrEqual">
      <formula>0</formula>
    </cfRule>
  </conditionalFormatting>
  <conditionalFormatting sqref="K22:K23">
    <cfRule type="cellIs" dxfId="14521" priority="11507" operator="greaterThan">
      <formula>0</formula>
    </cfRule>
    <cfRule type="cellIs" dxfId="14520" priority="11508" operator="lessThanOrEqual">
      <formula>0</formula>
    </cfRule>
  </conditionalFormatting>
  <conditionalFormatting sqref="K32:K33">
    <cfRule type="cellIs" dxfId="14519" priority="11505" operator="greaterThan">
      <formula>0</formula>
    </cfRule>
    <cfRule type="cellIs" dxfId="14518" priority="11506" operator="lessThanOrEqual">
      <formula>0</formula>
    </cfRule>
  </conditionalFormatting>
  <conditionalFormatting sqref="K35:K36">
    <cfRule type="cellIs" dxfId="14517" priority="11503" operator="greaterThan">
      <formula>0</formula>
    </cfRule>
    <cfRule type="cellIs" dxfId="14516" priority="11504" operator="lessThanOrEqual">
      <formula>0</formula>
    </cfRule>
  </conditionalFormatting>
  <conditionalFormatting sqref="K38:K39">
    <cfRule type="cellIs" dxfId="14515" priority="11501" operator="greaterThan">
      <formula>0</formula>
    </cfRule>
    <cfRule type="cellIs" dxfId="14514" priority="11502" operator="lessThanOrEqual">
      <formula>0</formula>
    </cfRule>
  </conditionalFormatting>
  <conditionalFormatting sqref="K48:K49">
    <cfRule type="cellIs" dxfId="14513" priority="11499" operator="greaterThan">
      <formula>0</formula>
    </cfRule>
    <cfRule type="cellIs" dxfId="14512" priority="11500" operator="lessThanOrEqual">
      <formula>0</formula>
    </cfRule>
  </conditionalFormatting>
  <conditionalFormatting sqref="K63:K64">
    <cfRule type="cellIs" dxfId="14511" priority="11497" operator="greaterThan">
      <formula>0</formula>
    </cfRule>
    <cfRule type="cellIs" dxfId="14510" priority="11498" operator="lessThanOrEqual">
      <formula>0</formula>
    </cfRule>
  </conditionalFormatting>
  <conditionalFormatting sqref="K53:K54">
    <cfRule type="cellIs" dxfId="14509" priority="11495" operator="greaterThan">
      <formula>0</formula>
    </cfRule>
    <cfRule type="cellIs" dxfId="14508" priority="11496" operator="lessThanOrEqual">
      <formula>0</formula>
    </cfRule>
  </conditionalFormatting>
  <conditionalFormatting sqref="K15">
    <cfRule type="cellIs" dxfId="14507" priority="11493" operator="greaterThan">
      <formula>0</formula>
    </cfRule>
    <cfRule type="cellIs" dxfId="14506" priority="11494" operator="lessThanOrEqual">
      <formula>0</formula>
    </cfRule>
  </conditionalFormatting>
  <conditionalFormatting sqref="K18">
    <cfRule type="cellIs" dxfId="14505" priority="11491" operator="greaterThan">
      <formula>0</formula>
    </cfRule>
    <cfRule type="cellIs" dxfId="14504" priority="11492" operator="lessThanOrEqual">
      <formula>0</formula>
    </cfRule>
  </conditionalFormatting>
  <conditionalFormatting sqref="K21">
    <cfRule type="cellIs" dxfId="14503" priority="11489" operator="greaterThan">
      <formula>0</formula>
    </cfRule>
    <cfRule type="cellIs" dxfId="14502" priority="11490" operator="lessThanOrEqual">
      <formula>0</formula>
    </cfRule>
  </conditionalFormatting>
  <conditionalFormatting sqref="K31">
    <cfRule type="cellIs" dxfId="14501" priority="11487" operator="greaterThan">
      <formula>0</formula>
    </cfRule>
    <cfRule type="cellIs" dxfId="14500" priority="11488" operator="lessThanOrEqual">
      <formula>0</formula>
    </cfRule>
  </conditionalFormatting>
  <conditionalFormatting sqref="K24">
    <cfRule type="cellIs" dxfId="14499" priority="11485" operator="greaterThan">
      <formula>0</formula>
    </cfRule>
    <cfRule type="cellIs" dxfId="14498" priority="11486" operator="lessThanOrEqual">
      <formula>0</formula>
    </cfRule>
  </conditionalFormatting>
  <conditionalFormatting sqref="K34">
    <cfRule type="cellIs" dxfId="14497" priority="11483" operator="greaterThan">
      <formula>0</formula>
    </cfRule>
    <cfRule type="cellIs" dxfId="14496" priority="11484" operator="lessThanOrEqual">
      <formula>0</formula>
    </cfRule>
  </conditionalFormatting>
  <conditionalFormatting sqref="K37">
    <cfRule type="cellIs" dxfId="14495" priority="11481" operator="greaterThan">
      <formula>0</formula>
    </cfRule>
    <cfRule type="cellIs" dxfId="14494" priority="11482" operator="lessThanOrEqual">
      <formula>0</formula>
    </cfRule>
  </conditionalFormatting>
  <conditionalFormatting sqref="K40">
    <cfRule type="cellIs" dxfId="14493" priority="11479" operator="greaterThan">
      <formula>0</formula>
    </cfRule>
    <cfRule type="cellIs" dxfId="14492" priority="11480" operator="lessThanOrEqual">
      <formula>0</formula>
    </cfRule>
  </conditionalFormatting>
  <conditionalFormatting sqref="K26">
    <cfRule type="cellIs" dxfId="14491" priority="11477" operator="greaterThan">
      <formula>0</formula>
    </cfRule>
    <cfRule type="cellIs" dxfId="14490" priority="11478" operator="lessThanOrEqual">
      <formula>0</formula>
    </cfRule>
  </conditionalFormatting>
  <conditionalFormatting sqref="K66">
    <cfRule type="cellIs" dxfId="14489" priority="11475" operator="greaterThan">
      <formula>0</formula>
    </cfRule>
    <cfRule type="cellIs" dxfId="14488" priority="11476" operator="lessThanOrEqual">
      <formula>0</formula>
    </cfRule>
  </conditionalFormatting>
  <conditionalFormatting sqref="J13:J14 J16:J17 J19:J20 J22:J23 J29:J30 J32:J33 J35:J36 J38:J39 J48:J49 J53:J54">
    <cfRule type="cellIs" dxfId="14487" priority="11473" operator="lessThan">
      <formula>0</formula>
    </cfRule>
    <cfRule type="cellIs" dxfId="14486" priority="11474" operator="greaterThanOrEqual">
      <formula>0</formula>
    </cfRule>
  </conditionalFormatting>
  <conditionalFormatting sqref="J15 J18 J21 J24 J26 J31 J34 J37 J40">
    <cfRule type="cellIs" dxfId="14485" priority="11472" operator="greaterThanOrEqual">
      <formula>0</formula>
    </cfRule>
  </conditionalFormatting>
  <conditionalFormatting sqref="J15 J18 J21 J24 J26 J31 J34 J37 J40">
    <cfRule type="cellIs" dxfId="14484" priority="11471" operator="lessThan">
      <formula>0</formula>
    </cfRule>
  </conditionalFormatting>
  <conditionalFormatting sqref="K51">
    <cfRule type="cellIs" dxfId="14483" priority="11465" operator="greaterThan">
      <formula>0</formula>
    </cfRule>
    <cfRule type="cellIs" dxfId="14482" priority="11466" operator="lessThanOrEqual">
      <formula>0</formula>
    </cfRule>
  </conditionalFormatting>
  <conditionalFormatting sqref="K44">
    <cfRule type="cellIs" dxfId="14481" priority="11459" operator="greaterThan">
      <formula>0</formula>
    </cfRule>
    <cfRule type="cellIs" dxfId="14480" priority="11460" operator="lessThanOrEqual">
      <formula>0</formula>
    </cfRule>
  </conditionalFormatting>
  <conditionalFormatting sqref="K50">
    <cfRule type="cellIs" dxfId="14479" priority="11455" operator="greaterThan">
      <formula>0</formula>
    </cfRule>
    <cfRule type="cellIs" dxfId="14478" priority="11456" operator="lessThanOrEqual">
      <formula>0</formula>
    </cfRule>
  </conditionalFormatting>
  <conditionalFormatting sqref="K28">
    <cfRule type="cellIs" dxfId="14477" priority="11469" operator="greaterThan">
      <formula>0</formula>
    </cfRule>
    <cfRule type="cellIs" dxfId="14476" priority="11470" operator="lessThanOrEqual">
      <formula>0</formula>
    </cfRule>
  </conditionalFormatting>
  <conditionalFormatting sqref="K41">
    <cfRule type="cellIs" dxfId="14475" priority="11467" operator="greaterThan">
      <formula>0</formula>
    </cfRule>
    <cfRule type="cellIs" dxfId="14474" priority="11468" operator="lessThanOrEqual">
      <formula>0</formula>
    </cfRule>
  </conditionalFormatting>
  <conditionalFormatting sqref="K42:K43 K45:K46">
    <cfRule type="cellIs" dxfId="14473" priority="11463" operator="greaterThan">
      <formula>0</formula>
    </cfRule>
    <cfRule type="cellIs" dxfId="14472" priority="11464" operator="lessThanOrEqual">
      <formula>0</formula>
    </cfRule>
  </conditionalFormatting>
  <conditionalFormatting sqref="K57:K58 K60:K61">
    <cfRule type="cellIs" dxfId="14471" priority="11461" operator="greaterThan">
      <formula>0</formula>
    </cfRule>
    <cfRule type="cellIs" dxfId="14470" priority="11462" operator="lessThanOrEqual">
      <formula>0</formula>
    </cfRule>
  </conditionalFormatting>
  <conditionalFormatting sqref="K62">
    <cfRule type="cellIs" dxfId="14469" priority="11451" operator="greaterThan">
      <formula>0</formula>
    </cfRule>
    <cfRule type="cellIs" dxfId="14468" priority="11452" operator="lessThanOrEqual">
      <formula>0</formula>
    </cfRule>
  </conditionalFormatting>
  <conditionalFormatting sqref="K65">
    <cfRule type="cellIs" dxfId="14467" priority="11447" operator="greaterThan">
      <formula>0</formula>
    </cfRule>
    <cfRule type="cellIs" dxfId="14466" priority="11448" operator="lessThanOrEqual">
      <formula>0</formula>
    </cfRule>
  </conditionalFormatting>
  <conditionalFormatting sqref="K25">
    <cfRule type="cellIs" dxfId="14465" priority="11445" operator="greaterThan">
      <formula>0</formula>
    </cfRule>
    <cfRule type="cellIs" dxfId="14464" priority="11446" operator="lessThanOrEqual">
      <formula>0</formula>
    </cfRule>
  </conditionalFormatting>
  <conditionalFormatting sqref="K56">
    <cfRule type="cellIs" dxfId="14463" priority="11443" operator="greaterThan">
      <formula>0</formula>
    </cfRule>
    <cfRule type="cellIs" dxfId="14462" priority="11444" operator="lessThanOrEqual">
      <formula>0</formula>
    </cfRule>
  </conditionalFormatting>
  <conditionalFormatting sqref="J56">
    <cfRule type="cellIs" dxfId="14461" priority="11442" operator="greaterThanOrEqual">
      <formula>0</formula>
    </cfRule>
  </conditionalFormatting>
  <conditionalFormatting sqref="J56">
    <cfRule type="cellIs" dxfId="14460" priority="11441" operator="lessThan">
      <formula>0</formula>
    </cfRule>
  </conditionalFormatting>
  <conditionalFormatting sqref="K52">
    <cfRule type="cellIs" dxfId="14459" priority="11439" operator="greaterThan">
      <formula>0</formula>
    </cfRule>
    <cfRule type="cellIs" dxfId="14458" priority="11440" operator="lessThanOrEqual">
      <formula>0</formula>
    </cfRule>
  </conditionalFormatting>
  <conditionalFormatting sqref="J52">
    <cfRule type="cellIs" dxfId="14457" priority="11438" operator="greaterThanOrEqual">
      <formula>0</formula>
    </cfRule>
  </conditionalFormatting>
  <conditionalFormatting sqref="J52">
    <cfRule type="cellIs" dxfId="14456" priority="11437" operator="lessThan">
      <formula>0</formula>
    </cfRule>
  </conditionalFormatting>
  <conditionalFormatting sqref="J25">
    <cfRule type="cellIs" dxfId="14455" priority="11436" operator="greaterThanOrEqual">
      <formula>0</formula>
    </cfRule>
  </conditionalFormatting>
  <conditionalFormatting sqref="J25">
    <cfRule type="cellIs" dxfId="14454" priority="11435" operator="lessThan">
      <formula>0</formula>
    </cfRule>
  </conditionalFormatting>
  <conditionalFormatting sqref="J28">
    <cfRule type="cellIs" dxfId="14453" priority="11434" operator="greaterThanOrEqual">
      <formula>0</formula>
    </cfRule>
  </conditionalFormatting>
  <conditionalFormatting sqref="J28">
    <cfRule type="cellIs" dxfId="14452" priority="11433" operator="lessThan">
      <formula>0</formula>
    </cfRule>
  </conditionalFormatting>
  <conditionalFormatting sqref="J41">
    <cfRule type="cellIs" dxfId="14451" priority="11432" operator="greaterThanOrEqual">
      <formula>0</formula>
    </cfRule>
  </conditionalFormatting>
  <conditionalFormatting sqref="J41">
    <cfRule type="cellIs" dxfId="14450" priority="11431" operator="lessThan">
      <formula>0</formula>
    </cfRule>
  </conditionalFormatting>
  <conditionalFormatting sqref="J44">
    <cfRule type="cellIs" dxfId="14449" priority="11430" operator="greaterThanOrEqual">
      <formula>0</formula>
    </cfRule>
  </conditionalFormatting>
  <conditionalFormatting sqref="J44">
    <cfRule type="cellIs" dxfId="14448" priority="11429" operator="lessThan">
      <formula>0</formula>
    </cfRule>
  </conditionalFormatting>
  <conditionalFormatting sqref="J47">
    <cfRule type="cellIs" dxfId="14447" priority="11428" operator="greaterThanOrEqual">
      <formula>0</formula>
    </cfRule>
  </conditionalFormatting>
  <conditionalFormatting sqref="J47">
    <cfRule type="cellIs" dxfId="14446" priority="11427" operator="lessThan">
      <formula>0</formula>
    </cfRule>
  </conditionalFormatting>
  <conditionalFormatting sqref="J50">
    <cfRule type="cellIs" dxfId="14445" priority="11426" operator="greaterThanOrEqual">
      <formula>0</formula>
    </cfRule>
  </conditionalFormatting>
  <conditionalFormatting sqref="J50">
    <cfRule type="cellIs" dxfId="14444" priority="11425" operator="lessThan">
      <formula>0</formula>
    </cfRule>
  </conditionalFormatting>
  <conditionalFormatting sqref="J51">
    <cfRule type="cellIs" dxfId="14443" priority="11424" operator="greaterThanOrEqual">
      <formula>0</formula>
    </cfRule>
  </conditionalFormatting>
  <conditionalFormatting sqref="J51">
    <cfRule type="cellIs" dxfId="14442" priority="11423" operator="lessThan">
      <formula>0</formula>
    </cfRule>
  </conditionalFormatting>
  <conditionalFormatting sqref="J59">
    <cfRule type="cellIs" dxfId="14441" priority="11422" operator="greaterThanOrEqual">
      <formula>0</formula>
    </cfRule>
  </conditionalFormatting>
  <conditionalFormatting sqref="J59">
    <cfRule type="cellIs" dxfId="14440" priority="11421" operator="lessThan">
      <formula>0</formula>
    </cfRule>
  </conditionalFormatting>
  <conditionalFormatting sqref="J65">
    <cfRule type="cellIs" dxfId="14439" priority="11420" operator="greaterThanOrEqual">
      <formula>0</formula>
    </cfRule>
  </conditionalFormatting>
  <conditionalFormatting sqref="J65">
    <cfRule type="cellIs" dxfId="14438" priority="11419" operator="lessThan">
      <formula>0</formula>
    </cfRule>
  </conditionalFormatting>
  <conditionalFormatting sqref="J66">
    <cfRule type="cellIs" dxfId="14437" priority="11418" operator="greaterThanOrEqual">
      <formula>0</formula>
    </cfRule>
  </conditionalFormatting>
  <conditionalFormatting sqref="J66">
    <cfRule type="cellIs" dxfId="14436" priority="11417" operator="lessThan">
      <formula>0</formula>
    </cfRule>
  </conditionalFormatting>
  <conditionalFormatting sqref="J42:J43">
    <cfRule type="cellIs" dxfId="14435" priority="11415" operator="lessThan">
      <formula>0</formula>
    </cfRule>
    <cfRule type="cellIs" dxfId="14434" priority="11416" operator="greaterThanOrEqual">
      <formula>0</formula>
    </cfRule>
  </conditionalFormatting>
  <conditionalFormatting sqref="J45:J46">
    <cfRule type="cellIs" dxfId="14433" priority="11413" operator="lessThan">
      <formula>0</formula>
    </cfRule>
    <cfRule type="cellIs" dxfId="14432" priority="11414" operator="greaterThanOrEqual">
      <formula>0</formula>
    </cfRule>
  </conditionalFormatting>
  <conditionalFormatting sqref="J57:J58">
    <cfRule type="cellIs" dxfId="14431" priority="11411" operator="lessThan">
      <formula>0</formula>
    </cfRule>
    <cfRule type="cellIs" dxfId="14430" priority="11412" operator="greaterThanOrEqual">
      <formula>0</formula>
    </cfRule>
  </conditionalFormatting>
  <conditionalFormatting sqref="J60:J61">
    <cfRule type="cellIs" dxfId="14429" priority="11409" operator="lessThan">
      <formula>0</formula>
    </cfRule>
    <cfRule type="cellIs" dxfId="14428" priority="11410" operator="greaterThanOrEqual">
      <formula>0</formula>
    </cfRule>
  </conditionalFormatting>
  <conditionalFormatting sqref="J63:J64">
    <cfRule type="cellIs" dxfId="14427" priority="11407" operator="lessThan">
      <formula>0</formula>
    </cfRule>
    <cfRule type="cellIs" dxfId="14426" priority="11408" operator="greaterThanOrEqual">
      <formula>0</formula>
    </cfRule>
  </conditionalFormatting>
  <conditionalFormatting sqref="K68 K71">
    <cfRule type="cellIs" dxfId="14425" priority="11405" operator="greaterThan">
      <formula>0</formula>
    </cfRule>
    <cfRule type="cellIs" dxfId="14424" priority="11406" operator="lessThanOrEqual">
      <formula>0</formula>
    </cfRule>
  </conditionalFormatting>
  <conditionalFormatting sqref="K73">
    <cfRule type="cellIs" dxfId="14423" priority="11403" operator="greaterThan">
      <formula>0</formula>
    </cfRule>
    <cfRule type="cellIs" dxfId="14422" priority="11404" operator="lessThanOrEqual">
      <formula>0</formula>
    </cfRule>
  </conditionalFormatting>
  <conditionalFormatting sqref="K69">
    <cfRule type="cellIs" dxfId="14421" priority="11401" operator="greaterThan">
      <formula>0</formula>
    </cfRule>
    <cfRule type="cellIs" dxfId="14420" priority="11402" operator="lessThanOrEqual">
      <formula>0</formula>
    </cfRule>
  </conditionalFormatting>
  <conditionalFormatting sqref="K70">
    <cfRule type="cellIs" dxfId="14419" priority="11399" operator="greaterThan">
      <formula>0</formula>
    </cfRule>
    <cfRule type="cellIs" dxfId="14418" priority="11400" operator="lessThanOrEqual">
      <formula>0</formula>
    </cfRule>
  </conditionalFormatting>
  <conditionalFormatting sqref="K72">
    <cfRule type="cellIs" dxfId="14417" priority="11397" operator="greaterThan">
      <formula>0</formula>
    </cfRule>
    <cfRule type="cellIs" dxfId="14416" priority="11398" operator="lessThanOrEqual">
      <formula>0</formula>
    </cfRule>
  </conditionalFormatting>
  <conditionalFormatting sqref="J68:J70">
    <cfRule type="cellIs" dxfId="14415" priority="11395" operator="lessThan">
      <formula>0</formula>
    </cfRule>
    <cfRule type="cellIs" dxfId="14414" priority="11396" operator="greaterThanOrEqual">
      <formula>0</formula>
    </cfRule>
  </conditionalFormatting>
  <conditionalFormatting sqref="J71:J72">
    <cfRule type="cellIs" dxfId="14413" priority="11394" operator="greaterThanOrEqual">
      <formula>0</formula>
    </cfRule>
  </conditionalFormatting>
  <conditionalFormatting sqref="J71:J72">
    <cfRule type="cellIs" dxfId="14412" priority="11393" operator="lessThan">
      <formula>0</formula>
    </cfRule>
  </conditionalFormatting>
  <conditionalFormatting sqref="J73">
    <cfRule type="cellIs" dxfId="14411" priority="11392" operator="greaterThanOrEqual">
      <formula>0</formula>
    </cfRule>
  </conditionalFormatting>
  <conditionalFormatting sqref="J73">
    <cfRule type="cellIs" dxfId="14410" priority="11391" operator="lessThan">
      <formula>0</formula>
    </cfRule>
  </conditionalFormatting>
  <conditionalFormatting sqref="K67">
    <cfRule type="cellIs" dxfId="14409" priority="11389" operator="greaterThan">
      <formula>0</formula>
    </cfRule>
    <cfRule type="cellIs" dxfId="14408" priority="11390" operator="lessThanOrEqual">
      <formula>0</formula>
    </cfRule>
  </conditionalFormatting>
  <conditionalFormatting sqref="J67">
    <cfRule type="cellIs" dxfId="14407" priority="11387" operator="greaterThanOrEqual">
      <formula>0</formula>
    </cfRule>
    <cfRule type="cellIs" dxfId="14406" priority="11388" operator="lessThan">
      <formula>0</formula>
    </cfRule>
  </conditionalFormatting>
  <conditionalFormatting sqref="G51">
    <cfRule type="cellIs" dxfId="14405" priority="11385" operator="greaterThan">
      <formula>0</formula>
    </cfRule>
    <cfRule type="cellIs" dxfId="14404" priority="11386" operator="lessThanOrEqual">
      <formula>0</formula>
    </cfRule>
  </conditionalFormatting>
  <conditionalFormatting sqref="M42:M43">
    <cfRule type="cellIs" dxfId="14403" priority="11383" operator="lessThan">
      <formula>0</formula>
    </cfRule>
    <cfRule type="cellIs" dxfId="14402" priority="11384" operator="greaterThanOrEqual">
      <formula>0</formula>
    </cfRule>
  </conditionalFormatting>
  <conditionalFormatting sqref="M45:M46">
    <cfRule type="cellIs" dxfId="14401" priority="11381" operator="lessThan">
      <formula>0</formula>
    </cfRule>
    <cfRule type="cellIs" dxfId="14400" priority="11382" operator="greaterThanOrEqual">
      <formula>0</formula>
    </cfRule>
  </conditionalFormatting>
  <conditionalFormatting sqref="M53:M54">
    <cfRule type="cellIs" dxfId="14399" priority="11379" operator="lessThan">
      <formula>0</formula>
    </cfRule>
    <cfRule type="cellIs" dxfId="14398" priority="11380" operator="greaterThanOrEqual">
      <formula>0</formula>
    </cfRule>
  </conditionalFormatting>
  <conditionalFormatting sqref="M57:M58">
    <cfRule type="cellIs" dxfId="14397" priority="11377" operator="lessThan">
      <formula>0</formula>
    </cfRule>
    <cfRule type="cellIs" dxfId="14396" priority="11378" operator="greaterThanOrEqual">
      <formula>0</formula>
    </cfRule>
  </conditionalFormatting>
  <conditionalFormatting sqref="M60:M61">
    <cfRule type="cellIs" dxfId="14395" priority="11375" operator="lessThan">
      <formula>0</formula>
    </cfRule>
    <cfRule type="cellIs" dxfId="14394" priority="11376" operator="greaterThanOrEqual">
      <formula>0</formula>
    </cfRule>
  </conditionalFormatting>
  <conditionalFormatting sqref="M63:M64">
    <cfRule type="cellIs" dxfId="14393" priority="11373" operator="lessThan">
      <formula>0</formula>
    </cfRule>
    <cfRule type="cellIs" dxfId="14392" priority="11374" operator="greaterThanOrEqual">
      <formula>0</formula>
    </cfRule>
  </conditionalFormatting>
  <conditionalFormatting sqref="M25">
    <cfRule type="cellIs" dxfId="14391" priority="11372" operator="greaterThanOrEqual">
      <formula>0</formula>
    </cfRule>
  </conditionalFormatting>
  <conditionalFormatting sqref="M25">
    <cfRule type="cellIs" dxfId="14390" priority="11371" operator="lessThan">
      <formula>0</formula>
    </cfRule>
  </conditionalFormatting>
  <conditionalFormatting sqref="M26">
    <cfRule type="cellIs" dxfId="14389" priority="11370" operator="greaterThanOrEqual">
      <formula>0</formula>
    </cfRule>
  </conditionalFormatting>
  <conditionalFormatting sqref="M26">
    <cfRule type="cellIs" dxfId="14388" priority="11369" operator="lessThan">
      <formula>0</formula>
    </cfRule>
  </conditionalFormatting>
  <conditionalFormatting sqref="M28">
    <cfRule type="cellIs" dxfId="14387" priority="11368" operator="greaterThanOrEqual">
      <formula>0</formula>
    </cfRule>
  </conditionalFormatting>
  <conditionalFormatting sqref="M28">
    <cfRule type="cellIs" dxfId="14386" priority="11367" operator="lessThan">
      <formula>0</formula>
    </cfRule>
  </conditionalFormatting>
  <conditionalFormatting sqref="M41">
    <cfRule type="cellIs" dxfId="14385" priority="11366" operator="greaterThanOrEqual">
      <formula>0</formula>
    </cfRule>
  </conditionalFormatting>
  <conditionalFormatting sqref="M41">
    <cfRule type="cellIs" dxfId="14384" priority="11365" operator="lessThan">
      <formula>0</formula>
    </cfRule>
  </conditionalFormatting>
  <conditionalFormatting sqref="M44">
    <cfRule type="cellIs" dxfId="14383" priority="11364" operator="greaterThanOrEqual">
      <formula>0</formula>
    </cfRule>
  </conditionalFormatting>
  <conditionalFormatting sqref="M44">
    <cfRule type="cellIs" dxfId="14382" priority="11363" operator="lessThan">
      <formula>0</formula>
    </cfRule>
  </conditionalFormatting>
  <conditionalFormatting sqref="M47">
    <cfRule type="cellIs" dxfId="14381" priority="11362" operator="greaterThanOrEqual">
      <formula>0</formula>
    </cfRule>
  </conditionalFormatting>
  <conditionalFormatting sqref="M47">
    <cfRule type="cellIs" dxfId="14380" priority="11361" operator="lessThan">
      <formula>0</formula>
    </cfRule>
  </conditionalFormatting>
  <conditionalFormatting sqref="M50">
    <cfRule type="cellIs" dxfId="14379" priority="11360" operator="greaterThanOrEqual">
      <formula>0</formula>
    </cfRule>
  </conditionalFormatting>
  <conditionalFormatting sqref="M50">
    <cfRule type="cellIs" dxfId="14378" priority="11359" operator="lessThan">
      <formula>0</formula>
    </cfRule>
  </conditionalFormatting>
  <conditionalFormatting sqref="M51">
    <cfRule type="cellIs" dxfId="14377" priority="11358" operator="greaterThanOrEqual">
      <formula>0</formula>
    </cfRule>
  </conditionalFormatting>
  <conditionalFormatting sqref="M51">
    <cfRule type="cellIs" dxfId="14376" priority="11357" operator="lessThan">
      <formula>0</formula>
    </cfRule>
  </conditionalFormatting>
  <conditionalFormatting sqref="M59">
    <cfRule type="cellIs" dxfId="14375" priority="11356" operator="greaterThanOrEqual">
      <formula>0</formula>
    </cfRule>
  </conditionalFormatting>
  <conditionalFormatting sqref="M59">
    <cfRule type="cellIs" dxfId="14374" priority="11355" operator="lessThan">
      <formula>0</formula>
    </cfRule>
  </conditionalFormatting>
  <conditionalFormatting sqref="M62">
    <cfRule type="cellIs" dxfId="14373" priority="11354" operator="greaterThanOrEqual">
      <formula>0</formula>
    </cfRule>
  </conditionalFormatting>
  <conditionalFormatting sqref="M62">
    <cfRule type="cellIs" dxfId="14372" priority="11353" operator="lessThan">
      <formula>0</formula>
    </cfRule>
  </conditionalFormatting>
  <conditionalFormatting sqref="M65">
    <cfRule type="cellIs" dxfId="14371" priority="11352" operator="greaterThanOrEqual">
      <formula>0</formula>
    </cfRule>
  </conditionalFormatting>
  <conditionalFormatting sqref="M65">
    <cfRule type="cellIs" dxfId="14370" priority="11351" operator="lessThan">
      <formula>0</formula>
    </cfRule>
  </conditionalFormatting>
  <conditionalFormatting sqref="M56">
    <cfRule type="cellIs" dxfId="14369" priority="11350" operator="greaterThanOrEqual">
      <formula>0</formula>
    </cfRule>
  </conditionalFormatting>
  <conditionalFormatting sqref="M56">
    <cfRule type="cellIs" dxfId="14368" priority="11349" operator="lessThan">
      <formula>0</formula>
    </cfRule>
  </conditionalFormatting>
  <conditionalFormatting sqref="M66">
    <cfRule type="cellIs" dxfId="14367" priority="11348" operator="greaterThanOrEqual">
      <formula>0</formula>
    </cfRule>
  </conditionalFormatting>
  <conditionalFormatting sqref="M66">
    <cfRule type="cellIs" dxfId="14366" priority="11347" operator="lessThan">
      <formula>0</formula>
    </cfRule>
  </conditionalFormatting>
  <conditionalFormatting sqref="N16:N17">
    <cfRule type="cellIs" dxfId="14365" priority="11345" operator="greaterThan">
      <formula>0</formula>
    </cfRule>
    <cfRule type="cellIs" dxfId="14364" priority="11346" operator="lessThanOrEqual">
      <formula>0</formula>
    </cfRule>
  </conditionalFormatting>
  <conditionalFormatting sqref="N19:N20">
    <cfRule type="cellIs" dxfId="14363" priority="11343" operator="greaterThan">
      <formula>0</formula>
    </cfRule>
    <cfRule type="cellIs" dxfId="14362" priority="11344" operator="lessThanOrEqual">
      <formula>0</formula>
    </cfRule>
  </conditionalFormatting>
  <conditionalFormatting sqref="N22:N23">
    <cfRule type="cellIs" dxfId="14361" priority="11341" operator="greaterThan">
      <formula>0</formula>
    </cfRule>
    <cfRule type="cellIs" dxfId="14360" priority="11342" operator="lessThanOrEqual">
      <formula>0</formula>
    </cfRule>
  </conditionalFormatting>
  <conditionalFormatting sqref="N29:N30">
    <cfRule type="cellIs" dxfId="14359" priority="11339" operator="greaterThan">
      <formula>0</formula>
    </cfRule>
    <cfRule type="cellIs" dxfId="14358" priority="11340" operator="lessThanOrEqual">
      <formula>0</formula>
    </cfRule>
  </conditionalFormatting>
  <conditionalFormatting sqref="N32:N33">
    <cfRule type="cellIs" dxfId="14357" priority="11337" operator="greaterThan">
      <formula>0</formula>
    </cfRule>
    <cfRule type="cellIs" dxfId="14356" priority="11338" operator="lessThanOrEqual">
      <formula>0</formula>
    </cfRule>
  </conditionalFormatting>
  <conditionalFormatting sqref="N35:N36">
    <cfRule type="cellIs" dxfId="14355" priority="11335" operator="greaterThan">
      <formula>0</formula>
    </cfRule>
    <cfRule type="cellIs" dxfId="14354" priority="11336" operator="lessThanOrEqual">
      <formula>0</formula>
    </cfRule>
  </conditionalFormatting>
  <conditionalFormatting sqref="N38:N39">
    <cfRule type="cellIs" dxfId="14353" priority="11333" operator="greaterThan">
      <formula>0</formula>
    </cfRule>
    <cfRule type="cellIs" dxfId="14352" priority="11334" operator="lessThanOrEqual">
      <formula>0</formula>
    </cfRule>
  </conditionalFormatting>
  <conditionalFormatting sqref="N42:N43">
    <cfRule type="cellIs" dxfId="14351" priority="11331" operator="greaterThan">
      <formula>0</formula>
    </cfRule>
    <cfRule type="cellIs" dxfId="14350" priority="11332" operator="lessThanOrEqual">
      <formula>0</formula>
    </cfRule>
  </conditionalFormatting>
  <conditionalFormatting sqref="N45:N46">
    <cfRule type="cellIs" dxfId="14349" priority="11329" operator="greaterThan">
      <formula>0</formula>
    </cfRule>
    <cfRule type="cellIs" dxfId="14348" priority="11330" operator="lessThanOrEqual">
      <formula>0</formula>
    </cfRule>
  </conditionalFormatting>
  <conditionalFormatting sqref="N48:N49">
    <cfRule type="cellIs" dxfId="14347" priority="11327" operator="greaterThan">
      <formula>0</formula>
    </cfRule>
    <cfRule type="cellIs" dxfId="14346" priority="11328" operator="lessThanOrEqual">
      <formula>0</formula>
    </cfRule>
  </conditionalFormatting>
  <conditionalFormatting sqref="N53:N54">
    <cfRule type="cellIs" dxfId="14345" priority="11325" operator="greaterThan">
      <formula>0</formula>
    </cfRule>
    <cfRule type="cellIs" dxfId="14344" priority="11326" operator="lessThanOrEqual">
      <formula>0</formula>
    </cfRule>
  </conditionalFormatting>
  <conditionalFormatting sqref="N57:N58">
    <cfRule type="cellIs" dxfId="14343" priority="11323" operator="greaterThan">
      <formula>0</formula>
    </cfRule>
    <cfRule type="cellIs" dxfId="14342" priority="11324" operator="lessThanOrEqual">
      <formula>0</formula>
    </cfRule>
  </conditionalFormatting>
  <conditionalFormatting sqref="N60:N61">
    <cfRule type="cellIs" dxfId="14341" priority="11321" operator="greaterThan">
      <formula>0</formula>
    </cfRule>
    <cfRule type="cellIs" dxfId="14340" priority="11322" operator="lessThanOrEqual">
      <formula>0</formula>
    </cfRule>
  </conditionalFormatting>
  <conditionalFormatting sqref="N63:N64">
    <cfRule type="cellIs" dxfId="14339" priority="11319" operator="greaterThan">
      <formula>0</formula>
    </cfRule>
    <cfRule type="cellIs" dxfId="14338" priority="11320" operator="lessThanOrEqual">
      <formula>0</formula>
    </cfRule>
  </conditionalFormatting>
  <conditionalFormatting sqref="N25">
    <cfRule type="cellIs" dxfId="14337" priority="11318" operator="greaterThanOrEqual">
      <formula>0</formula>
    </cfRule>
  </conditionalFormatting>
  <conditionalFormatting sqref="N25">
    <cfRule type="cellIs" dxfId="14336" priority="11317" operator="lessThan">
      <formula>0</formula>
    </cfRule>
  </conditionalFormatting>
  <conditionalFormatting sqref="N26">
    <cfRule type="cellIs" dxfId="14335" priority="11316" operator="greaterThanOrEqual">
      <formula>0</formula>
    </cfRule>
  </conditionalFormatting>
  <conditionalFormatting sqref="N26">
    <cfRule type="cellIs" dxfId="14334" priority="11315" operator="lessThan">
      <formula>0</formula>
    </cfRule>
  </conditionalFormatting>
  <conditionalFormatting sqref="N28">
    <cfRule type="cellIs" dxfId="14333" priority="11314" operator="greaterThanOrEqual">
      <formula>0</formula>
    </cfRule>
  </conditionalFormatting>
  <conditionalFormatting sqref="N28">
    <cfRule type="cellIs" dxfId="14332" priority="11313" operator="lessThan">
      <formula>0</formula>
    </cfRule>
  </conditionalFormatting>
  <conditionalFormatting sqref="N41">
    <cfRule type="cellIs" dxfId="14331" priority="11312" operator="greaterThanOrEqual">
      <formula>0</formula>
    </cfRule>
  </conditionalFormatting>
  <conditionalFormatting sqref="N41">
    <cfRule type="cellIs" dxfId="14330" priority="11311" operator="lessThan">
      <formula>0</formula>
    </cfRule>
  </conditionalFormatting>
  <conditionalFormatting sqref="N44">
    <cfRule type="cellIs" dxfId="14329" priority="11310" operator="greaterThanOrEqual">
      <formula>0</formula>
    </cfRule>
  </conditionalFormatting>
  <conditionalFormatting sqref="N44">
    <cfRule type="cellIs" dxfId="14328" priority="11309" operator="lessThan">
      <formula>0</formula>
    </cfRule>
  </conditionalFormatting>
  <conditionalFormatting sqref="N47">
    <cfRule type="cellIs" dxfId="14327" priority="11308" operator="greaterThanOrEqual">
      <formula>0</formula>
    </cfRule>
  </conditionalFormatting>
  <conditionalFormatting sqref="N47">
    <cfRule type="cellIs" dxfId="14326" priority="11307" operator="lessThan">
      <formula>0</formula>
    </cfRule>
  </conditionalFormatting>
  <conditionalFormatting sqref="N50">
    <cfRule type="cellIs" dxfId="14325" priority="11306" operator="greaterThanOrEqual">
      <formula>0</formula>
    </cfRule>
  </conditionalFormatting>
  <conditionalFormatting sqref="N50">
    <cfRule type="cellIs" dxfId="14324" priority="11305" operator="lessThan">
      <formula>0</formula>
    </cfRule>
  </conditionalFormatting>
  <conditionalFormatting sqref="N51">
    <cfRule type="cellIs" dxfId="14323" priority="11304" operator="greaterThanOrEqual">
      <formula>0</formula>
    </cfRule>
  </conditionalFormatting>
  <conditionalFormatting sqref="N51">
    <cfRule type="cellIs" dxfId="14322" priority="11303" operator="lessThan">
      <formula>0</formula>
    </cfRule>
  </conditionalFormatting>
  <conditionalFormatting sqref="J107">
    <cfRule type="cellIs" dxfId="14321" priority="11070" operator="greaterThanOrEqual">
      <formula>0</formula>
    </cfRule>
  </conditionalFormatting>
  <conditionalFormatting sqref="J107">
    <cfRule type="cellIs" dxfId="14320" priority="11069" operator="lessThan">
      <formula>0</formula>
    </cfRule>
  </conditionalFormatting>
  <conditionalFormatting sqref="N59">
    <cfRule type="cellIs" dxfId="14319" priority="11302" operator="greaterThanOrEqual">
      <formula>0</formula>
    </cfRule>
  </conditionalFormatting>
  <conditionalFormatting sqref="N59">
    <cfRule type="cellIs" dxfId="14318" priority="11301" operator="lessThan">
      <formula>0</formula>
    </cfRule>
  </conditionalFormatting>
  <conditionalFormatting sqref="N62">
    <cfRule type="cellIs" dxfId="14317" priority="11300" operator="greaterThanOrEqual">
      <formula>0</formula>
    </cfRule>
  </conditionalFormatting>
  <conditionalFormatting sqref="N62">
    <cfRule type="cellIs" dxfId="14316" priority="11299" operator="lessThan">
      <formula>0</formula>
    </cfRule>
  </conditionalFormatting>
  <conditionalFormatting sqref="N65">
    <cfRule type="cellIs" dxfId="14315" priority="11298" operator="greaterThanOrEqual">
      <formula>0</formula>
    </cfRule>
  </conditionalFormatting>
  <conditionalFormatting sqref="N65">
    <cfRule type="cellIs" dxfId="14314" priority="11297" operator="lessThan">
      <formula>0</formula>
    </cfRule>
  </conditionalFormatting>
  <conditionalFormatting sqref="N56">
    <cfRule type="cellIs" dxfId="14313" priority="11295" operator="lessThan">
      <formula>0</formula>
    </cfRule>
  </conditionalFormatting>
  <conditionalFormatting sqref="N56">
    <cfRule type="cellIs" dxfId="14312" priority="11296" operator="greaterThanOrEqual">
      <formula>0</formula>
    </cfRule>
  </conditionalFormatting>
  <conditionalFormatting sqref="N66">
    <cfRule type="cellIs" dxfId="14311" priority="11293" operator="lessThan">
      <formula>0</formula>
    </cfRule>
  </conditionalFormatting>
  <conditionalFormatting sqref="N66">
    <cfRule type="cellIs" dxfId="14310" priority="11294" operator="greaterThanOrEqual">
      <formula>0</formula>
    </cfRule>
  </conditionalFormatting>
  <conditionalFormatting sqref="M70">
    <cfRule type="cellIs" dxfId="14309" priority="11291" operator="lessThan">
      <formula>0</formula>
    </cfRule>
    <cfRule type="cellIs" dxfId="14308" priority="11292" operator="greaterThanOrEqual">
      <formula>0</formula>
    </cfRule>
  </conditionalFormatting>
  <conditionalFormatting sqref="N70">
    <cfRule type="cellIs" dxfId="14307" priority="11289" operator="lessThan">
      <formula>0</formula>
    </cfRule>
    <cfRule type="cellIs" dxfId="14306" priority="11290" operator="greaterThanOrEqual">
      <formula>0</formula>
    </cfRule>
  </conditionalFormatting>
  <conditionalFormatting sqref="N72">
    <cfRule type="cellIs" dxfId="14305" priority="11287" operator="lessThan">
      <formula>0</formula>
    </cfRule>
    <cfRule type="cellIs" dxfId="14304" priority="11288" operator="greaterThanOrEqual">
      <formula>0</formula>
    </cfRule>
  </conditionalFormatting>
  <conditionalFormatting sqref="N123:N124">
    <cfRule type="cellIs" dxfId="14303" priority="10959" operator="greaterThan">
      <formula>0</formula>
    </cfRule>
    <cfRule type="cellIs" dxfId="14302" priority="10960" operator="lessThanOrEqual">
      <formula>0</formula>
    </cfRule>
  </conditionalFormatting>
  <conditionalFormatting sqref="N119">
    <cfRule type="cellIs" dxfId="14301" priority="10934" operator="greaterThanOrEqual">
      <formula>0</formula>
    </cfRule>
  </conditionalFormatting>
  <conditionalFormatting sqref="N119">
    <cfRule type="cellIs" dxfId="14300" priority="10933" operator="lessThan">
      <formula>0</formula>
    </cfRule>
  </conditionalFormatting>
  <conditionalFormatting sqref="N129">
    <cfRule type="cellIs" dxfId="14299" priority="10932" operator="greaterThanOrEqual">
      <formula>0</formula>
    </cfRule>
  </conditionalFormatting>
  <conditionalFormatting sqref="N129">
    <cfRule type="cellIs" dxfId="14298" priority="10931" operator="lessThan">
      <formula>0</formula>
    </cfRule>
  </conditionalFormatting>
  <conditionalFormatting sqref="N118">
    <cfRule type="cellIs" dxfId="14297" priority="10928" operator="greaterThanOrEqual">
      <formula>0</formula>
    </cfRule>
  </conditionalFormatting>
  <conditionalFormatting sqref="N118">
    <cfRule type="cellIs" dxfId="14296" priority="10927" operator="lessThan">
      <formula>0</formula>
    </cfRule>
  </conditionalFormatting>
  <conditionalFormatting sqref="M76:M77 M79:M80 M82:M83 M85:M86 M92:M93 M95:M96 M98:M99 M101:M102 M111:M112">
    <cfRule type="cellIs" dxfId="14295" priority="11037" operator="lessThan">
      <formula>0</formula>
    </cfRule>
    <cfRule type="cellIs" dxfId="14294" priority="11038" operator="greaterThanOrEqual">
      <formula>0</formula>
    </cfRule>
  </conditionalFormatting>
  <conditionalFormatting sqref="K95:K96">
    <cfRule type="cellIs" dxfId="14293" priority="11145" operator="greaterThan">
      <formula>0</formula>
    </cfRule>
    <cfRule type="cellIs" dxfId="14292" priority="11146" operator="lessThanOrEqual">
      <formula>0</formula>
    </cfRule>
  </conditionalFormatting>
  <conditionalFormatting sqref="M107">
    <cfRule type="cellIs" dxfId="14291" priority="11002" operator="greaterThanOrEqual">
      <formula>0</formula>
    </cfRule>
  </conditionalFormatting>
  <conditionalFormatting sqref="M107">
    <cfRule type="cellIs" dxfId="14290" priority="11001" operator="lessThan">
      <formula>0</formula>
    </cfRule>
  </conditionalFormatting>
  <conditionalFormatting sqref="N113">
    <cfRule type="cellIs" dxfId="14289" priority="10944" operator="greaterThanOrEqual">
      <formula>0</formula>
    </cfRule>
  </conditionalFormatting>
  <conditionalFormatting sqref="N113">
    <cfRule type="cellIs" dxfId="14288" priority="10943" operator="lessThan">
      <formula>0</formula>
    </cfRule>
  </conditionalFormatting>
  <conditionalFormatting sqref="M114">
    <cfRule type="cellIs" dxfId="14287" priority="10996" operator="greaterThanOrEqual">
      <formula>0</formula>
    </cfRule>
  </conditionalFormatting>
  <conditionalFormatting sqref="M114">
    <cfRule type="cellIs" dxfId="14286" priority="10995" operator="lessThan">
      <formula>0</formula>
    </cfRule>
  </conditionalFormatting>
  <conditionalFormatting sqref="N125">
    <cfRule type="cellIs" dxfId="14285" priority="10937" operator="lessThan">
      <formula>0</formula>
    </cfRule>
  </conditionalFormatting>
  <conditionalFormatting sqref="N125">
    <cfRule type="cellIs" dxfId="14284" priority="10938" operator="greaterThanOrEqual">
      <formula>0</formula>
    </cfRule>
  </conditionalFormatting>
  <conditionalFormatting sqref="F55">
    <cfRule type="cellIs" dxfId="14283" priority="11286" operator="greaterThanOrEqual">
      <formula>0</formula>
    </cfRule>
  </conditionalFormatting>
  <conditionalFormatting sqref="F55">
    <cfRule type="cellIs" dxfId="14282" priority="11285" operator="lessThan">
      <formula>0</formula>
    </cfRule>
  </conditionalFormatting>
  <conditionalFormatting sqref="K55">
    <cfRule type="cellIs" dxfId="14281" priority="11283" operator="greaterThan">
      <formula>0</formula>
    </cfRule>
    <cfRule type="cellIs" dxfId="14280" priority="11284" operator="lessThanOrEqual">
      <formula>0</formula>
    </cfRule>
  </conditionalFormatting>
  <conditionalFormatting sqref="J55">
    <cfRule type="cellIs" dxfId="14279" priority="11282" operator="greaterThanOrEqual">
      <formula>0</formula>
    </cfRule>
  </conditionalFormatting>
  <conditionalFormatting sqref="J55">
    <cfRule type="cellIs" dxfId="14278" priority="11281" operator="lessThan">
      <formula>0</formula>
    </cfRule>
  </conditionalFormatting>
  <conditionalFormatting sqref="G55">
    <cfRule type="cellIs" dxfId="14277" priority="11279" operator="greaterThan">
      <formula>0</formula>
    </cfRule>
    <cfRule type="cellIs" dxfId="14276" priority="11280" operator="lessThanOrEqual">
      <formula>0</formula>
    </cfRule>
  </conditionalFormatting>
  <conditionalFormatting sqref="M55">
    <cfRule type="cellIs" dxfId="14275" priority="11278" operator="greaterThanOrEqual">
      <formula>0</formula>
    </cfRule>
  </conditionalFormatting>
  <conditionalFormatting sqref="M55">
    <cfRule type="cellIs" dxfId="14274" priority="11277" operator="lessThan">
      <formula>0</formula>
    </cfRule>
  </conditionalFormatting>
  <conditionalFormatting sqref="N55">
    <cfRule type="cellIs" dxfId="14273" priority="11276" operator="greaterThanOrEqual">
      <formula>0</formula>
    </cfRule>
  </conditionalFormatting>
  <conditionalFormatting sqref="N55">
    <cfRule type="cellIs" dxfId="14272" priority="11275" operator="lessThan">
      <formula>0</formula>
    </cfRule>
  </conditionalFormatting>
  <conditionalFormatting sqref="N128">
    <cfRule type="cellIs" dxfId="14271" priority="10936" operator="greaterThanOrEqual">
      <formula>0</formula>
    </cfRule>
  </conditionalFormatting>
  <conditionalFormatting sqref="N128">
    <cfRule type="cellIs" dxfId="14270" priority="10935" operator="lessThan">
      <formula>0</formula>
    </cfRule>
  </conditionalFormatting>
  <conditionalFormatting sqref="G76:G77">
    <cfRule type="cellIs" dxfId="14269" priority="11273" operator="greaterThan">
      <formula>0</formula>
    </cfRule>
    <cfRule type="cellIs" dxfId="14268" priority="11274" operator="lessThanOrEqual">
      <formula>0</formula>
    </cfRule>
  </conditionalFormatting>
  <conditionalFormatting sqref="G79:G80">
    <cfRule type="cellIs" dxfId="14267" priority="11271" operator="greaterThan">
      <formula>0</formula>
    </cfRule>
    <cfRule type="cellIs" dxfId="14266" priority="11272" operator="lessThanOrEqual">
      <formula>0</formula>
    </cfRule>
  </conditionalFormatting>
  <conditionalFormatting sqref="G82:G83">
    <cfRule type="cellIs" dxfId="14265" priority="11269" operator="greaterThan">
      <formula>0</formula>
    </cfRule>
    <cfRule type="cellIs" dxfId="14264" priority="11270" operator="lessThanOrEqual">
      <formula>0</formula>
    </cfRule>
  </conditionalFormatting>
  <conditionalFormatting sqref="G92:G93">
    <cfRule type="cellIs" dxfId="14263" priority="11267" operator="greaterThan">
      <formula>0</formula>
    </cfRule>
    <cfRule type="cellIs" dxfId="14262" priority="11268" operator="lessThanOrEqual">
      <formula>0</formula>
    </cfRule>
  </conditionalFormatting>
  <conditionalFormatting sqref="G85:G86">
    <cfRule type="cellIs" dxfId="14261" priority="11265" operator="greaterThan">
      <formula>0</formula>
    </cfRule>
    <cfRule type="cellIs" dxfId="14260" priority="11266" operator="lessThanOrEqual">
      <formula>0</formula>
    </cfRule>
  </conditionalFormatting>
  <conditionalFormatting sqref="G95:G96">
    <cfRule type="cellIs" dxfId="14259" priority="11263" operator="greaterThan">
      <formula>0</formula>
    </cfRule>
    <cfRule type="cellIs" dxfId="14258" priority="11264" operator="lessThanOrEqual">
      <formula>0</formula>
    </cfRule>
  </conditionalFormatting>
  <conditionalFormatting sqref="G98:G99">
    <cfRule type="cellIs" dxfId="14257" priority="11261" operator="greaterThan">
      <formula>0</formula>
    </cfRule>
    <cfRule type="cellIs" dxfId="14256" priority="11262" operator="lessThanOrEqual">
      <formula>0</formula>
    </cfRule>
  </conditionalFormatting>
  <conditionalFormatting sqref="G101:G102">
    <cfRule type="cellIs" dxfId="14255" priority="11259" operator="greaterThan">
      <formula>0</formula>
    </cfRule>
    <cfRule type="cellIs" dxfId="14254" priority="11260" operator="lessThanOrEqual">
      <formula>0</formula>
    </cfRule>
  </conditionalFormatting>
  <conditionalFormatting sqref="G111:G112">
    <cfRule type="cellIs" dxfId="14253" priority="11257" operator="greaterThan">
      <formula>0</formula>
    </cfRule>
    <cfRule type="cellIs" dxfId="14252" priority="11258" operator="lessThanOrEqual">
      <formula>0</formula>
    </cfRule>
  </conditionalFormatting>
  <conditionalFormatting sqref="G126:G127">
    <cfRule type="cellIs" dxfId="14251" priority="11255" operator="greaterThan">
      <formula>0</formula>
    </cfRule>
    <cfRule type="cellIs" dxfId="14250" priority="11256" operator="lessThanOrEqual">
      <formula>0</formula>
    </cfRule>
  </conditionalFormatting>
  <conditionalFormatting sqref="G116:G117">
    <cfRule type="cellIs" dxfId="14249" priority="11253" operator="greaterThan">
      <formula>0</formula>
    </cfRule>
    <cfRule type="cellIs" dxfId="14248" priority="11254" operator="lessThanOrEqual">
      <formula>0</formula>
    </cfRule>
  </conditionalFormatting>
  <conditionalFormatting sqref="G78">
    <cfRule type="cellIs" dxfId="14247" priority="11251" operator="greaterThan">
      <formula>0</formula>
    </cfRule>
    <cfRule type="cellIs" dxfId="14246" priority="11252" operator="lessThanOrEqual">
      <formula>0</formula>
    </cfRule>
  </conditionalFormatting>
  <conditionalFormatting sqref="G81">
    <cfRule type="cellIs" dxfId="14245" priority="11249" operator="greaterThan">
      <formula>0</formula>
    </cfRule>
    <cfRule type="cellIs" dxfId="14244" priority="11250" operator="lessThanOrEqual">
      <formula>0</formula>
    </cfRule>
  </conditionalFormatting>
  <conditionalFormatting sqref="G84">
    <cfRule type="cellIs" dxfId="14243" priority="11247" operator="greaterThan">
      <formula>0</formula>
    </cfRule>
    <cfRule type="cellIs" dxfId="14242" priority="11248" operator="lessThanOrEqual">
      <formula>0</formula>
    </cfRule>
  </conditionalFormatting>
  <conditionalFormatting sqref="G94">
    <cfRule type="cellIs" dxfId="14241" priority="11245" operator="greaterThan">
      <formula>0</formula>
    </cfRule>
    <cfRule type="cellIs" dxfId="14240" priority="11246" operator="lessThanOrEqual">
      <formula>0</formula>
    </cfRule>
  </conditionalFormatting>
  <conditionalFormatting sqref="G87">
    <cfRule type="cellIs" dxfId="14239" priority="11243" operator="greaterThan">
      <formula>0</formula>
    </cfRule>
    <cfRule type="cellIs" dxfId="14238" priority="11244" operator="lessThanOrEqual">
      <formula>0</formula>
    </cfRule>
  </conditionalFormatting>
  <conditionalFormatting sqref="G97">
    <cfRule type="cellIs" dxfId="14237" priority="11241" operator="greaterThan">
      <formula>0</formula>
    </cfRule>
    <cfRule type="cellIs" dxfId="14236" priority="11242" operator="lessThanOrEqual">
      <formula>0</formula>
    </cfRule>
  </conditionalFormatting>
  <conditionalFormatting sqref="G100">
    <cfRule type="cellIs" dxfId="14235" priority="11239" operator="greaterThan">
      <formula>0</formula>
    </cfRule>
    <cfRule type="cellIs" dxfId="14234" priority="11240" operator="lessThanOrEqual">
      <formula>0</formula>
    </cfRule>
  </conditionalFormatting>
  <conditionalFormatting sqref="G103">
    <cfRule type="cellIs" dxfId="14233" priority="11237" operator="greaterThan">
      <formula>0</formula>
    </cfRule>
    <cfRule type="cellIs" dxfId="14232" priority="11238" operator="lessThanOrEqual">
      <formula>0</formula>
    </cfRule>
  </conditionalFormatting>
  <conditionalFormatting sqref="G89">
    <cfRule type="cellIs" dxfId="14231" priority="11235" operator="greaterThan">
      <formula>0</formula>
    </cfRule>
    <cfRule type="cellIs" dxfId="14230" priority="11236" operator="lessThanOrEqual">
      <formula>0</formula>
    </cfRule>
  </conditionalFormatting>
  <conditionalFormatting sqref="G129">
    <cfRule type="cellIs" dxfId="14229" priority="11233" operator="greaterThan">
      <formula>0</formula>
    </cfRule>
    <cfRule type="cellIs" dxfId="14228" priority="11234" operator="lessThanOrEqual">
      <formula>0</formula>
    </cfRule>
  </conditionalFormatting>
  <conditionalFormatting sqref="F76:F77 F79:F80 F82:F83 F85:F86 F92:F93 F95:F96 F98:F99 F101:F102 F111:F112 F116:F117">
    <cfRule type="cellIs" dxfId="14227" priority="11231" operator="lessThan">
      <formula>0</formula>
    </cfRule>
    <cfRule type="cellIs" dxfId="14226" priority="11232" operator="greaterThanOrEqual">
      <formula>0</formula>
    </cfRule>
  </conditionalFormatting>
  <conditionalFormatting sqref="F78 F81 F84 F87 F89 F94 F97 F100 F103">
    <cfRule type="cellIs" dxfId="14225" priority="11230" operator="greaterThanOrEqual">
      <formula>0</formula>
    </cfRule>
  </conditionalFormatting>
  <conditionalFormatting sqref="F78 F81 F84 F87 F89 F94 F97 F100 F103">
    <cfRule type="cellIs" dxfId="14224" priority="11229" operator="lessThan">
      <formula>0</formula>
    </cfRule>
  </conditionalFormatting>
  <conditionalFormatting sqref="G130">
    <cfRule type="cellIs" dxfId="14223" priority="11227" operator="greaterThan">
      <formula>0</formula>
    </cfRule>
    <cfRule type="cellIs" dxfId="14222" priority="11228" operator="lessThanOrEqual">
      <formula>0</formula>
    </cfRule>
  </conditionalFormatting>
  <conditionalFormatting sqref="F130">
    <cfRule type="cellIs" dxfId="14221" priority="11225" operator="greaterThanOrEqual">
      <formula>0</formula>
    </cfRule>
    <cfRule type="cellIs" dxfId="14220" priority="11226" operator="lessThan">
      <formula>0</formula>
    </cfRule>
  </conditionalFormatting>
  <conditionalFormatting sqref="F125">
    <cfRule type="cellIs" dxfId="14219" priority="11206" operator="greaterThanOrEqual">
      <formula>0</formula>
    </cfRule>
  </conditionalFormatting>
  <conditionalFormatting sqref="F125">
    <cfRule type="cellIs" dxfId="14218" priority="11205" operator="lessThan">
      <formula>0</formula>
    </cfRule>
  </conditionalFormatting>
  <conditionalFormatting sqref="G107">
    <cfRule type="cellIs" dxfId="14217" priority="11215" operator="greaterThan">
      <formula>0</formula>
    </cfRule>
    <cfRule type="cellIs" dxfId="14216" priority="11216" operator="lessThanOrEqual">
      <formula>0</formula>
    </cfRule>
  </conditionalFormatting>
  <conditionalFormatting sqref="G110">
    <cfRule type="cellIs" dxfId="14215" priority="11213" operator="greaterThan">
      <formula>0</formula>
    </cfRule>
    <cfRule type="cellIs" dxfId="14214" priority="11214" operator="lessThanOrEqual">
      <formula>0</formula>
    </cfRule>
  </conditionalFormatting>
  <conditionalFormatting sqref="G113">
    <cfRule type="cellIs" dxfId="14213" priority="11211" operator="greaterThan">
      <formula>0</formula>
    </cfRule>
    <cfRule type="cellIs" dxfId="14212" priority="11212" operator="lessThanOrEqual">
      <formula>0</formula>
    </cfRule>
  </conditionalFormatting>
  <conditionalFormatting sqref="G91">
    <cfRule type="cellIs" dxfId="14211" priority="11223" operator="greaterThan">
      <formula>0</formula>
    </cfRule>
    <cfRule type="cellIs" dxfId="14210" priority="11224" operator="lessThanOrEqual">
      <formula>0</formula>
    </cfRule>
  </conditionalFormatting>
  <conditionalFormatting sqref="G104">
    <cfRule type="cellIs" dxfId="14209" priority="11221" operator="greaterThan">
      <formula>0</formula>
    </cfRule>
    <cfRule type="cellIs" dxfId="14208" priority="11222" operator="lessThanOrEqual">
      <formula>0</formula>
    </cfRule>
  </conditionalFormatting>
  <conditionalFormatting sqref="G105:G106 G108:G109">
    <cfRule type="cellIs" dxfId="14207" priority="11219" operator="greaterThan">
      <formula>0</formula>
    </cfRule>
    <cfRule type="cellIs" dxfId="14206" priority="11220" operator="lessThanOrEqual">
      <formula>0</formula>
    </cfRule>
  </conditionalFormatting>
  <conditionalFormatting sqref="G120:G121 G123:G124">
    <cfRule type="cellIs" dxfId="14205" priority="11217" operator="greaterThan">
      <formula>0</formula>
    </cfRule>
    <cfRule type="cellIs" dxfId="14204" priority="11218" operator="lessThanOrEqual">
      <formula>0</formula>
    </cfRule>
  </conditionalFormatting>
  <conditionalFormatting sqref="G122">
    <cfRule type="cellIs" dxfId="14203" priority="11209" operator="greaterThan">
      <formula>0</formula>
    </cfRule>
    <cfRule type="cellIs" dxfId="14202" priority="11210" operator="lessThanOrEqual">
      <formula>0</formula>
    </cfRule>
  </conditionalFormatting>
  <conditionalFormatting sqref="G125">
    <cfRule type="cellIs" dxfId="14201" priority="11207" operator="greaterThan">
      <formula>0</formula>
    </cfRule>
    <cfRule type="cellIs" dxfId="14200" priority="11208" operator="lessThanOrEqual">
      <formula>0</formula>
    </cfRule>
  </conditionalFormatting>
  <conditionalFormatting sqref="G128">
    <cfRule type="cellIs" dxfId="14199" priority="11203" operator="greaterThan">
      <formula>0</formula>
    </cfRule>
    <cfRule type="cellIs" dxfId="14198" priority="11204" operator="lessThanOrEqual">
      <formula>0</formula>
    </cfRule>
  </conditionalFormatting>
  <conditionalFormatting sqref="G88">
    <cfRule type="cellIs" dxfId="14197" priority="11201" operator="greaterThan">
      <formula>0</formula>
    </cfRule>
    <cfRule type="cellIs" dxfId="14196" priority="11202" operator="lessThanOrEqual">
      <formula>0</formula>
    </cfRule>
  </conditionalFormatting>
  <conditionalFormatting sqref="G119">
    <cfRule type="cellIs" dxfId="14195" priority="11199" operator="greaterThan">
      <formula>0</formula>
    </cfRule>
    <cfRule type="cellIs" dxfId="14194" priority="11200" operator="lessThanOrEqual">
      <formula>0</formula>
    </cfRule>
  </conditionalFormatting>
  <conditionalFormatting sqref="F119">
    <cfRule type="cellIs" dxfId="14193" priority="11198" operator="greaterThanOrEqual">
      <formula>0</formula>
    </cfRule>
  </conditionalFormatting>
  <conditionalFormatting sqref="F119">
    <cfRule type="cellIs" dxfId="14192" priority="11197" operator="lessThan">
      <formula>0</formula>
    </cfRule>
  </conditionalFormatting>
  <conditionalFormatting sqref="G115">
    <cfRule type="cellIs" dxfId="14191" priority="11195" operator="greaterThan">
      <formula>0</formula>
    </cfRule>
    <cfRule type="cellIs" dxfId="14190" priority="11196" operator="lessThanOrEqual">
      <formula>0</formula>
    </cfRule>
  </conditionalFormatting>
  <conditionalFormatting sqref="F115">
    <cfRule type="cellIs" dxfId="14189" priority="11194" operator="greaterThanOrEqual">
      <formula>0</formula>
    </cfRule>
  </conditionalFormatting>
  <conditionalFormatting sqref="F115">
    <cfRule type="cellIs" dxfId="14188" priority="11193" operator="lessThan">
      <formula>0</formula>
    </cfRule>
  </conditionalFormatting>
  <conditionalFormatting sqref="F88">
    <cfRule type="cellIs" dxfId="14187" priority="11192" operator="greaterThanOrEqual">
      <formula>0</formula>
    </cfRule>
  </conditionalFormatting>
  <conditionalFormatting sqref="F88">
    <cfRule type="cellIs" dxfId="14186" priority="11191" operator="lessThan">
      <formula>0</formula>
    </cfRule>
  </conditionalFormatting>
  <conditionalFormatting sqref="F91">
    <cfRule type="cellIs" dxfId="14185" priority="11190" operator="greaterThanOrEqual">
      <formula>0</formula>
    </cfRule>
  </conditionalFormatting>
  <conditionalFormatting sqref="F91">
    <cfRule type="cellIs" dxfId="14184" priority="11189" operator="lessThan">
      <formula>0</formula>
    </cfRule>
  </conditionalFormatting>
  <conditionalFormatting sqref="F104">
    <cfRule type="cellIs" dxfId="14183" priority="11188" operator="greaterThanOrEqual">
      <formula>0</formula>
    </cfRule>
  </conditionalFormatting>
  <conditionalFormatting sqref="F104">
    <cfRule type="cellIs" dxfId="14182" priority="11187" operator="lessThan">
      <formula>0</formula>
    </cfRule>
  </conditionalFormatting>
  <conditionalFormatting sqref="F107">
    <cfRule type="cellIs" dxfId="14181" priority="11186" operator="greaterThanOrEqual">
      <formula>0</formula>
    </cfRule>
  </conditionalFormatting>
  <conditionalFormatting sqref="F107">
    <cfRule type="cellIs" dxfId="14180" priority="11185" operator="lessThan">
      <formula>0</formula>
    </cfRule>
  </conditionalFormatting>
  <conditionalFormatting sqref="F110">
    <cfRule type="cellIs" dxfId="14179" priority="11184" operator="greaterThanOrEqual">
      <formula>0</formula>
    </cfRule>
  </conditionalFormatting>
  <conditionalFormatting sqref="F110">
    <cfRule type="cellIs" dxfId="14178" priority="11183" operator="lessThan">
      <formula>0</formula>
    </cfRule>
  </conditionalFormatting>
  <conditionalFormatting sqref="F113">
    <cfRule type="cellIs" dxfId="14177" priority="11182" operator="greaterThanOrEqual">
      <formula>0</formula>
    </cfRule>
  </conditionalFormatting>
  <conditionalFormatting sqref="F113">
    <cfRule type="cellIs" dxfId="14176" priority="11181" operator="lessThan">
      <formula>0</formula>
    </cfRule>
  </conditionalFormatting>
  <conditionalFormatting sqref="F114">
    <cfRule type="cellIs" dxfId="14175" priority="11180" operator="greaterThanOrEqual">
      <formula>0</formula>
    </cfRule>
  </conditionalFormatting>
  <conditionalFormatting sqref="F114">
    <cfRule type="cellIs" dxfId="14174" priority="11179" operator="lessThan">
      <formula>0</formula>
    </cfRule>
  </conditionalFormatting>
  <conditionalFormatting sqref="F122">
    <cfRule type="cellIs" dxfId="14173" priority="11178" operator="greaterThanOrEqual">
      <formula>0</formula>
    </cfRule>
  </conditionalFormatting>
  <conditionalFormatting sqref="F122">
    <cfRule type="cellIs" dxfId="14172" priority="11177" operator="lessThan">
      <formula>0</formula>
    </cfRule>
  </conditionalFormatting>
  <conditionalFormatting sqref="F128">
    <cfRule type="cellIs" dxfId="14171" priority="11176" operator="greaterThanOrEqual">
      <formula>0</formula>
    </cfRule>
  </conditionalFormatting>
  <conditionalFormatting sqref="F128">
    <cfRule type="cellIs" dxfId="14170" priority="11175" operator="lessThan">
      <formula>0</formula>
    </cfRule>
  </conditionalFormatting>
  <conditionalFormatting sqref="F129">
    <cfRule type="cellIs" dxfId="14169" priority="11174" operator="greaterThanOrEqual">
      <formula>0</formula>
    </cfRule>
  </conditionalFormatting>
  <conditionalFormatting sqref="F129">
    <cfRule type="cellIs" dxfId="14168" priority="11173" operator="lessThan">
      <formula>0</formula>
    </cfRule>
  </conditionalFormatting>
  <conditionalFormatting sqref="F105:F106">
    <cfRule type="cellIs" dxfId="14167" priority="11171" operator="lessThan">
      <formula>0</formula>
    </cfRule>
    <cfRule type="cellIs" dxfId="14166" priority="11172" operator="greaterThanOrEqual">
      <formula>0</formula>
    </cfRule>
  </conditionalFormatting>
  <conditionalFormatting sqref="F108:F109">
    <cfRule type="cellIs" dxfId="14165" priority="11169" operator="lessThan">
      <formula>0</formula>
    </cfRule>
    <cfRule type="cellIs" dxfId="14164" priority="11170" operator="greaterThanOrEqual">
      <formula>0</formula>
    </cfRule>
  </conditionalFormatting>
  <conditionalFormatting sqref="F120:F121">
    <cfRule type="cellIs" dxfId="14163" priority="11167" operator="lessThan">
      <formula>0</formula>
    </cfRule>
    <cfRule type="cellIs" dxfId="14162" priority="11168" operator="greaterThanOrEqual">
      <formula>0</formula>
    </cfRule>
  </conditionalFormatting>
  <conditionalFormatting sqref="F123:F124">
    <cfRule type="cellIs" dxfId="14161" priority="11165" operator="lessThan">
      <formula>0</formula>
    </cfRule>
    <cfRule type="cellIs" dxfId="14160" priority="11166" operator="greaterThanOrEqual">
      <formula>0</formula>
    </cfRule>
  </conditionalFormatting>
  <conditionalFormatting sqref="F126:F127">
    <cfRule type="cellIs" dxfId="14159" priority="11163" operator="lessThan">
      <formula>0</formula>
    </cfRule>
    <cfRule type="cellIs" dxfId="14158" priority="11164" operator="greaterThanOrEqual">
      <formula>0</formula>
    </cfRule>
  </conditionalFormatting>
  <conditionalFormatting sqref="G114">
    <cfRule type="cellIs" dxfId="14157" priority="11161" operator="greaterThan">
      <formula>0</formula>
    </cfRule>
    <cfRule type="cellIs" dxfId="14156" priority="11162" operator="lessThanOrEqual">
      <formula>0</formula>
    </cfRule>
  </conditionalFormatting>
  <conditionalFormatting sqref="F118">
    <cfRule type="cellIs" dxfId="14155" priority="11160" operator="greaterThanOrEqual">
      <formula>0</formula>
    </cfRule>
  </conditionalFormatting>
  <conditionalFormatting sqref="F118">
    <cfRule type="cellIs" dxfId="14154" priority="11159" operator="lessThan">
      <formula>0</formula>
    </cfRule>
  </conditionalFormatting>
  <conditionalFormatting sqref="G118">
    <cfRule type="cellIs" dxfId="14153" priority="11157" operator="greaterThan">
      <formula>0</formula>
    </cfRule>
    <cfRule type="cellIs" dxfId="14152" priority="11158" operator="lessThanOrEqual">
      <formula>0</formula>
    </cfRule>
  </conditionalFormatting>
  <conditionalFormatting sqref="K76:K77">
    <cfRule type="cellIs" dxfId="14151" priority="11155" operator="greaterThan">
      <formula>0</formula>
    </cfRule>
    <cfRule type="cellIs" dxfId="14150" priority="11156" operator="lessThanOrEqual">
      <formula>0</formula>
    </cfRule>
  </conditionalFormatting>
  <conditionalFormatting sqref="K79:K80">
    <cfRule type="cellIs" dxfId="14149" priority="11153" operator="greaterThan">
      <formula>0</formula>
    </cfRule>
    <cfRule type="cellIs" dxfId="14148" priority="11154" operator="lessThanOrEqual">
      <formula>0</formula>
    </cfRule>
  </conditionalFormatting>
  <conditionalFormatting sqref="K82:K83">
    <cfRule type="cellIs" dxfId="14147" priority="11151" operator="greaterThan">
      <formula>0</formula>
    </cfRule>
    <cfRule type="cellIs" dxfId="14146" priority="11152" operator="lessThanOrEqual">
      <formula>0</formula>
    </cfRule>
  </conditionalFormatting>
  <conditionalFormatting sqref="K92:K93">
    <cfRule type="cellIs" dxfId="14145" priority="11149" operator="greaterThan">
      <formula>0</formula>
    </cfRule>
    <cfRule type="cellIs" dxfId="14144" priority="11150" operator="lessThanOrEqual">
      <formula>0</formula>
    </cfRule>
  </conditionalFormatting>
  <conditionalFormatting sqref="K85:K86">
    <cfRule type="cellIs" dxfId="14143" priority="11147" operator="greaterThan">
      <formula>0</formula>
    </cfRule>
    <cfRule type="cellIs" dxfId="14142" priority="11148" operator="lessThanOrEqual">
      <formula>0</formula>
    </cfRule>
  </conditionalFormatting>
  <conditionalFormatting sqref="K98:K99">
    <cfRule type="cellIs" dxfId="14141" priority="11143" operator="greaterThan">
      <formula>0</formula>
    </cfRule>
    <cfRule type="cellIs" dxfId="14140" priority="11144" operator="lessThanOrEqual">
      <formula>0</formula>
    </cfRule>
  </conditionalFormatting>
  <conditionalFormatting sqref="K101:K102">
    <cfRule type="cellIs" dxfId="14139" priority="11141" operator="greaterThan">
      <formula>0</formula>
    </cfRule>
    <cfRule type="cellIs" dxfId="14138" priority="11142" operator="lessThanOrEqual">
      <formula>0</formula>
    </cfRule>
  </conditionalFormatting>
  <conditionalFormatting sqref="K111:K112">
    <cfRule type="cellIs" dxfId="14137" priority="11139" operator="greaterThan">
      <formula>0</formula>
    </cfRule>
    <cfRule type="cellIs" dxfId="14136" priority="11140" operator="lessThanOrEqual">
      <formula>0</formula>
    </cfRule>
  </conditionalFormatting>
  <conditionalFormatting sqref="K126:K127">
    <cfRule type="cellIs" dxfId="14135" priority="11137" operator="greaterThan">
      <formula>0</formula>
    </cfRule>
    <cfRule type="cellIs" dxfId="14134" priority="11138" operator="lessThanOrEqual">
      <formula>0</formula>
    </cfRule>
  </conditionalFormatting>
  <conditionalFormatting sqref="K116:K117">
    <cfRule type="cellIs" dxfId="14133" priority="11135" operator="greaterThan">
      <formula>0</formula>
    </cfRule>
    <cfRule type="cellIs" dxfId="14132" priority="11136" operator="lessThanOrEqual">
      <formula>0</formula>
    </cfRule>
  </conditionalFormatting>
  <conditionalFormatting sqref="K78">
    <cfRule type="cellIs" dxfId="14131" priority="11133" operator="greaterThan">
      <formula>0</formula>
    </cfRule>
    <cfRule type="cellIs" dxfId="14130" priority="11134" operator="lessThanOrEqual">
      <formula>0</formula>
    </cfRule>
  </conditionalFormatting>
  <conditionalFormatting sqref="K81">
    <cfRule type="cellIs" dxfId="14129" priority="11131" operator="greaterThan">
      <formula>0</formula>
    </cfRule>
    <cfRule type="cellIs" dxfId="14128" priority="11132" operator="lessThanOrEqual">
      <formula>0</formula>
    </cfRule>
  </conditionalFormatting>
  <conditionalFormatting sqref="K84">
    <cfRule type="cellIs" dxfId="14127" priority="11129" operator="greaterThan">
      <formula>0</formula>
    </cfRule>
    <cfRule type="cellIs" dxfId="14126" priority="11130" operator="lessThanOrEqual">
      <formula>0</formula>
    </cfRule>
  </conditionalFormatting>
  <conditionalFormatting sqref="K94">
    <cfRule type="cellIs" dxfId="14125" priority="11127" operator="greaterThan">
      <formula>0</formula>
    </cfRule>
    <cfRule type="cellIs" dxfId="14124" priority="11128" operator="lessThanOrEqual">
      <formula>0</formula>
    </cfRule>
  </conditionalFormatting>
  <conditionalFormatting sqref="K87">
    <cfRule type="cellIs" dxfId="14123" priority="11125" operator="greaterThan">
      <formula>0</formula>
    </cfRule>
    <cfRule type="cellIs" dxfId="14122" priority="11126" operator="lessThanOrEqual">
      <formula>0</formula>
    </cfRule>
  </conditionalFormatting>
  <conditionalFormatting sqref="K97">
    <cfRule type="cellIs" dxfId="14121" priority="11123" operator="greaterThan">
      <formula>0</formula>
    </cfRule>
    <cfRule type="cellIs" dxfId="14120" priority="11124" operator="lessThanOrEqual">
      <formula>0</formula>
    </cfRule>
  </conditionalFormatting>
  <conditionalFormatting sqref="K100">
    <cfRule type="cellIs" dxfId="14119" priority="11121" operator="greaterThan">
      <formula>0</formula>
    </cfRule>
    <cfRule type="cellIs" dxfId="14118" priority="11122" operator="lessThanOrEqual">
      <formula>0</formula>
    </cfRule>
  </conditionalFormatting>
  <conditionalFormatting sqref="K103">
    <cfRule type="cellIs" dxfId="14117" priority="11119" operator="greaterThan">
      <formula>0</formula>
    </cfRule>
    <cfRule type="cellIs" dxfId="14116" priority="11120" operator="lessThanOrEqual">
      <formula>0</formula>
    </cfRule>
  </conditionalFormatting>
  <conditionalFormatting sqref="K89">
    <cfRule type="cellIs" dxfId="14115" priority="11117" operator="greaterThan">
      <formula>0</formula>
    </cfRule>
    <cfRule type="cellIs" dxfId="14114" priority="11118" operator="lessThanOrEqual">
      <formula>0</formula>
    </cfRule>
  </conditionalFormatting>
  <conditionalFormatting sqref="K129">
    <cfRule type="cellIs" dxfId="14113" priority="11115" operator="greaterThan">
      <formula>0</formula>
    </cfRule>
    <cfRule type="cellIs" dxfId="14112" priority="11116" operator="lessThanOrEqual">
      <formula>0</formula>
    </cfRule>
  </conditionalFormatting>
  <conditionalFormatting sqref="J76:J77 J79:J80 J82:J83 J85:J86 J92:J93 J95:J96 J98:J99 J101:J102 J111:J112 J116:J117">
    <cfRule type="cellIs" dxfId="14111" priority="11113" operator="lessThan">
      <formula>0</formula>
    </cfRule>
    <cfRule type="cellIs" dxfId="14110" priority="11114" operator="greaterThanOrEqual">
      <formula>0</formula>
    </cfRule>
  </conditionalFormatting>
  <conditionalFormatting sqref="J78 J81 J84 J87 J89 J94 J97 J100 J103">
    <cfRule type="cellIs" dxfId="14109" priority="11112" operator="greaterThanOrEqual">
      <formula>0</formula>
    </cfRule>
  </conditionalFormatting>
  <conditionalFormatting sqref="J78 J81 J84 J87 J89 J94 J97 J100 J103">
    <cfRule type="cellIs" dxfId="14108" priority="11111" operator="lessThan">
      <formula>0</formula>
    </cfRule>
  </conditionalFormatting>
  <conditionalFormatting sqref="J125">
    <cfRule type="cellIs" dxfId="14107" priority="11090" operator="greaterThanOrEqual">
      <formula>0</formula>
    </cfRule>
  </conditionalFormatting>
  <conditionalFormatting sqref="J125">
    <cfRule type="cellIs" dxfId="14106" priority="11089" operator="lessThan">
      <formula>0</formula>
    </cfRule>
  </conditionalFormatting>
  <conditionalFormatting sqref="K114">
    <cfRule type="cellIs" dxfId="14105" priority="11105" operator="greaterThan">
      <formula>0</formula>
    </cfRule>
    <cfRule type="cellIs" dxfId="14104" priority="11106" operator="lessThanOrEqual">
      <formula>0</formula>
    </cfRule>
  </conditionalFormatting>
  <conditionalFormatting sqref="K107">
    <cfRule type="cellIs" dxfId="14103" priority="11099" operator="greaterThan">
      <formula>0</formula>
    </cfRule>
    <cfRule type="cellIs" dxfId="14102" priority="11100" operator="lessThanOrEqual">
      <formula>0</formula>
    </cfRule>
  </conditionalFormatting>
  <conditionalFormatting sqref="K110">
    <cfRule type="cellIs" dxfId="14101" priority="11097" operator="greaterThan">
      <formula>0</formula>
    </cfRule>
    <cfRule type="cellIs" dxfId="14100" priority="11098" operator="lessThanOrEqual">
      <formula>0</formula>
    </cfRule>
  </conditionalFormatting>
  <conditionalFormatting sqref="K113">
    <cfRule type="cellIs" dxfId="14099" priority="11095" operator="greaterThan">
      <formula>0</formula>
    </cfRule>
    <cfRule type="cellIs" dxfId="14098" priority="11096" operator="lessThanOrEqual">
      <formula>0</formula>
    </cfRule>
  </conditionalFormatting>
  <conditionalFormatting sqref="K91">
    <cfRule type="cellIs" dxfId="14097" priority="11109" operator="greaterThan">
      <formula>0</formula>
    </cfRule>
    <cfRule type="cellIs" dxfId="14096" priority="11110" operator="lessThanOrEqual">
      <formula>0</formula>
    </cfRule>
  </conditionalFormatting>
  <conditionalFormatting sqref="K104">
    <cfRule type="cellIs" dxfId="14095" priority="11107" operator="greaterThan">
      <formula>0</formula>
    </cfRule>
    <cfRule type="cellIs" dxfId="14094" priority="11108" operator="lessThanOrEqual">
      <formula>0</formula>
    </cfRule>
  </conditionalFormatting>
  <conditionalFormatting sqref="K105:K106 K108:K109">
    <cfRule type="cellIs" dxfId="14093" priority="11103" operator="greaterThan">
      <formula>0</formula>
    </cfRule>
    <cfRule type="cellIs" dxfId="14092" priority="11104" operator="lessThanOrEqual">
      <formula>0</formula>
    </cfRule>
  </conditionalFormatting>
  <conditionalFormatting sqref="K120:K121 K123:K124">
    <cfRule type="cellIs" dxfId="14091" priority="11101" operator="greaterThan">
      <formula>0</formula>
    </cfRule>
    <cfRule type="cellIs" dxfId="14090" priority="11102" operator="lessThanOrEqual">
      <formula>0</formula>
    </cfRule>
  </conditionalFormatting>
  <conditionalFormatting sqref="K122">
    <cfRule type="cellIs" dxfId="14089" priority="11093" operator="greaterThan">
      <formula>0</formula>
    </cfRule>
    <cfRule type="cellIs" dxfId="14088" priority="11094" operator="lessThanOrEqual">
      <formula>0</formula>
    </cfRule>
  </conditionalFormatting>
  <conditionalFormatting sqref="K125">
    <cfRule type="cellIs" dxfId="14087" priority="11091" operator="greaterThan">
      <formula>0</formula>
    </cfRule>
    <cfRule type="cellIs" dxfId="14086" priority="11092" operator="lessThanOrEqual">
      <formula>0</formula>
    </cfRule>
  </conditionalFormatting>
  <conditionalFormatting sqref="K128">
    <cfRule type="cellIs" dxfId="14085" priority="11087" operator="greaterThan">
      <formula>0</formula>
    </cfRule>
    <cfRule type="cellIs" dxfId="14084" priority="11088" operator="lessThanOrEqual">
      <formula>0</formula>
    </cfRule>
  </conditionalFormatting>
  <conditionalFormatting sqref="K88">
    <cfRule type="cellIs" dxfId="14083" priority="11085" operator="greaterThan">
      <formula>0</formula>
    </cfRule>
    <cfRule type="cellIs" dxfId="14082" priority="11086" operator="lessThanOrEqual">
      <formula>0</formula>
    </cfRule>
  </conditionalFormatting>
  <conditionalFormatting sqref="K119">
    <cfRule type="cellIs" dxfId="14081" priority="11083" operator="greaterThan">
      <formula>0</formula>
    </cfRule>
    <cfRule type="cellIs" dxfId="14080" priority="11084" operator="lessThanOrEqual">
      <formula>0</formula>
    </cfRule>
  </conditionalFormatting>
  <conditionalFormatting sqref="J119">
    <cfRule type="cellIs" dxfId="14079" priority="11082" operator="greaterThanOrEqual">
      <formula>0</formula>
    </cfRule>
  </conditionalFormatting>
  <conditionalFormatting sqref="J119">
    <cfRule type="cellIs" dxfId="14078" priority="11081" operator="lessThan">
      <formula>0</formula>
    </cfRule>
  </conditionalFormatting>
  <conditionalFormatting sqref="K115">
    <cfRule type="cellIs" dxfId="14077" priority="11079" operator="greaterThan">
      <formula>0</formula>
    </cfRule>
    <cfRule type="cellIs" dxfId="14076" priority="11080" operator="lessThanOrEqual">
      <formula>0</formula>
    </cfRule>
  </conditionalFormatting>
  <conditionalFormatting sqref="J115">
    <cfRule type="cellIs" dxfId="14075" priority="11078" operator="greaterThanOrEqual">
      <formula>0</formula>
    </cfRule>
  </conditionalFormatting>
  <conditionalFormatting sqref="J115">
    <cfRule type="cellIs" dxfId="14074" priority="11077" operator="lessThan">
      <formula>0</formula>
    </cfRule>
  </conditionalFormatting>
  <conditionalFormatting sqref="J88">
    <cfRule type="cellIs" dxfId="14073" priority="11076" operator="greaterThanOrEqual">
      <formula>0</formula>
    </cfRule>
  </conditionalFormatting>
  <conditionalFormatting sqref="J88">
    <cfRule type="cellIs" dxfId="14072" priority="11075" operator="lessThan">
      <formula>0</formula>
    </cfRule>
  </conditionalFormatting>
  <conditionalFormatting sqref="J91">
    <cfRule type="cellIs" dxfId="14071" priority="11074" operator="greaterThanOrEqual">
      <formula>0</formula>
    </cfRule>
  </conditionalFormatting>
  <conditionalFormatting sqref="J91">
    <cfRule type="cellIs" dxfId="14070" priority="11073" operator="lessThan">
      <formula>0</formula>
    </cfRule>
  </conditionalFormatting>
  <conditionalFormatting sqref="J104">
    <cfRule type="cellIs" dxfId="14069" priority="11072" operator="greaterThanOrEqual">
      <formula>0</formula>
    </cfRule>
  </conditionalFormatting>
  <conditionalFormatting sqref="J104">
    <cfRule type="cellIs" dxfId="14068" priority="11071" operator="lessThan">
      <formula>0</formula>
    </cfRule>
  </conditionalFormatting>
  <conditionalFormatting sqref="J110">
    <cfRule type="cellIs" dxfId="14067" priority="11068" operator="greaterThanOrEqual">
      <formula>0</formula>
    </cfRule>
  </conditionalFormatting>
  <conditionalFormatting sqref="J110">
    <cfRule type="cellIs" dxfId="14066" priority="11067" operator="lessThan">
      <formula>0</formula>
    </cfRule>
  </conditionalFormatting>
  <conditionalFormatting sqref="J113">
    <cfRule type="cellIs" dxfId="14065" priority="11066" operator="greaterThanOrEqual">
      <formula>0</formula>
    </cfRule>
  </conditionalFormatting>
  <conditionalFormatting sqref="J113">
    <cfRule type="cellIs" dxfId="14064" priority="11065" operator="lessThan">
      <formula>0</formula>
    </cfRule>
  </conditionalFormatting>
  <conditionalFormatting sqref="J114">
    <cfRule type="cellIs" dxfId="14063" priority="11064" operator="greaterThanOrEqual">
      <formula>0</formula>
    </cfRule>
  </conditionalFormatting>
  <conditionalFormatting sqref="J114">
    <cfRule type="cellIs" dxfId="14062" priority="11063" operator="lessThan">
      <formula>0</formula>
    </cfRule>
  </conditionalFormatting>
  <conditionalFormatting sqref="J122">
    <cfRule type="cellIs" dxfId="14061" priority="11062" operator="greaterThanOrEqual">
      <formula>0</formula>
    </cfRule>
  </conditionalFormatting>
  <conditionalFormatting sqref="J122">
    <cfRule type="cellIs" dxfId="14060" priority="11061" operator="lessThan">
      <formula>0</formula>
    </cfRule>
  </conditionalFormatting>
  <conditionalFormatting sqref="J128">
    <cfRule type="cellIs" dxfId="14059" priority="11060" operator="greaterThanOrEqual">
      <formula>0</formula>
    </cfRule>
  </conditionalFormatting>
  <conditionalFormatting sqref="J128">
    <cfRule type="cellIs" dxfId="14058" priority="11059" operator="lessThan">
      <formula>0</formula>
    </cfRule>
  </conditionalFormatting>
  <conditionalFormatting sqref="J129">
    <cfRule type="cellIs" dxfId="14057" priority="11058" operator="greaterThanOrEqual">
      <formula>0</formula>
    </cfRule>
  </conditionalFormatting>
  <conditionalFormatting sqref="J129">
    <cfRule type="cellIs" dxfId="14056" priority="11057" operator="lessThan">
      <formula>0</formula>
    </cfRule>
  </conditionalFormatting>
  <conditionalFormatting sqref="J105:J106">
    <cfRule type="cellIs" dxfId="14055" priority="11055" operator="lessThan">
      <formula>0</formula>
    </cfRule>
    <cfRule type="cellIs" dxfId="14054" priority="11056" operator="greaterThanOrEqual">
      <formula>0</formula>
    </cfRule>
  </conditionalFormatting>
  <conditionalFormatting sqref="J108:J109">
    <cfRule type="cellIs" dxfId="14053" priority="11053" operator="lessThan">
      <formula>0</formula>
    </cfRule>
    <cfRule type="cellIs" dxfId="14052" priority="11054" operator="greaterThanOrEqual">
      <formula>0</formula>
    </cfRule>
  </conditionalFormatting>
  <conditionalFormatting sqref="J120:J121">
    <cfRule type="cellIs" dxfId="14051" priority="11051" operator="lessThan">
      <formula>0</formula>
    </cfRule>
    <cfRule type="cellIs" dxfId="14050" priority="11052" operator="greaterThanOrEqual">
      <formula>0</formula>
    </cfRule>
  </conditionalFormatting>
  <conditionalFormatting sqref="J123:J124">
    <cfRule type="cellIs" dxfId="14049" priority="11049" operator="lessThan">
      <formula>0</formula>
    </cfRule>
    <cfRule type="cellIs" dxfId="14048" priority="11050" operator="greaterThanOrEqual">
      <formula>0</formula>
    </cfRule>
  </conditionalFormatting>
  <conditionalFormatting sqref="J126:J127">
    <cfRule type="cellIs" dxfId="14047" priority="11047" operator="lessThan">
      <formula>0</formula>
    </cfRule>
    <cfRule type="cellIs" dxfId="14046" priority="11048" operator="greaterThanOrEqual">
      <formula>0</formula>
    </cfRule>
  </conditionalFormatting>
  <conditionalFormatting sqref="K130">
    <cfRule type="cellIs" dxfId="14045" priority="11045" operator="greaterThan">
      <formula>0</formula>
    </cfRule>
    <cfRule type="cellIs" dxfId="14044" priority="11046" operator="lessThanOrEqual">
      <formula>0</formula>
    </cfRule>
  </conditionalFormatting>
  <conditionalFormatting sqref="J130">
    <cfRule type="cellIs" dxfId="14043" priority="11043" operator="greaterThanOrEqual">
      <formula>0</formula>
    </cfRule>
    <cfRule type="cellIs" dxfId="14042" priority="11044" operator="lessThan">
      <formula>0</formula>
    </cfRule>
  </conditionalFormatting>
  <conditionalFormatting sqref="K118">
    <cfRule type="cellIs" dxfId="14041" priority="11041" operator="greaterThan">
      <formula>0</formula>
    </cfRule>
    <cfRule type="cellIs" dxfId="14040" priority="11042" operator="lessThanOrEqual">
      <formula>0</formula>
    </cfRule>
  </conditionalFormatting>
  <conditionalFormatting sqref="J118">
    <cfRule type="cellIs" dxfId="14039" priority="11040" operator="greaterThanOrEqual">
      <formula>0</formula>
    </cfRule>
  </conditionalFormatting>
  <conditionalFormatting sqref="J118">
    <cfRule type="cellIs" dxfId="14038" priority="11039" operator="lessThan">
      <formula>0</formula>
    </cfRule>
  </conditionalFormatting>
  <conditionalFormatting sqref="M78 M87 M81 M84 M94 M97 M100 M103">
    <cfRule type="cellIs" dxfId="14037" priority="11036" operator="greaterThanOrEqual">
      <formula>0</formula>
    </cfRule>
  </conditionalFormatting>
  <conditionalFormatting sqref="M78 M87 M81 M84 M94 M97 M100 M103">
    <cfRule type="cellIs" dxfId="14036" priority="11035" operator="lessThan">
      <formula>0</formula>
    </cfRule>
  </conditionalFormatting>
  <conditionalFormatting sqref="M130">
    <cfRule type="cellIs" dxfId="14035" priority="11033" operator="greaterThanOrEqual">
      <formula>0</formula>
    </cfRule>
    <cfRule type="cellIs" dxfId="14034" priority="11034" operator="lessThan">
      <formula>0</formula>
    </cfRule>
  </conditionalFormatting>
  <conditionalFormatting sqref="N76:N77">
    <cfRule type="cellIs" dxfId="14033" priority="11031" operator="greaterThan">
      <formula>0</formula>
    </cfRule>
    <cfRule type="cellIs" dxfId="14032" priority="11032" operator="lessThanOrEqual">
      <formula>0</formula>
    </cfRule>
  </conditionalFormatting>
  <conditionalFormatting sqref="N78 N87 N81 N84 N94 N97 N100 N103">
    <cfRule type="cellIs" dxfId="14031" priority="11030" operator="greaterThanOrEqual">
      <formula>0</formula>
    </cfRule>
  </conditionalFormatting>
  <conditionalFormatting sqref="N78 N87 N81 N84 N94 N97 N100 N103">
    <cfRule type="cellIs" dxfId="14030" priority="11029" operator="lessThan">
      <formula>0</formula>
    </cfRule>
  </conditionalFormatting>
  <conditionalFormatting sqref="N130">
    <cfRule type="cellIs" dxfId="14029" priority="11027" operator="lessThan">
      <formula>0</formula>
    </cfRule>
    <cfRule type="cellIs" dxfId="14028" priority="11028" operator="greaterThanOrEqual">
      <formula>0</formula>
    </cfRule>
  </conditionalFormatting>
  <conditionalFormatting sqref="N115">
    <cfRule type="cellIs" dxfId="14027" priority="11023" operator="lessThan">
      <formula>0</formula>
    </cfRule>
  </conditionalFormatting>
  <conditionalFormatting sqref="M115">
    <cfRule type="cellIs" dxfId="14026" priority="11026" operator="greaterThanOrEqual">
      <formula>0</formula>
    </cfRule>
  </conditionalFormatting>
  <conditionalFormatting sqref="M115">
    <cfRule type="cellIs" dxfId="14025" priority="11025" operator="lessThan">
      <formula>0</formula>
    </cfRule>
  </conditionalFormatting>
  <conditionalFormatting sqref="N115">
    <cfRule type="cellIs" dxfId="14024" priority="11024" operator="greaterThanOrEqual">
      <formula>0</formula>
    </cfRule>
  </conditionalFormatting>
  <conditionalFormatting sqref="M105:M106">
    <cfRule type="cellIs" dxfId="14023" priority="11021" operator="lessThan">
      <formula>0</formula>
    </cfRule>
    <cfRule type="cellIs" dxfId="14022" priority="11022" operator="greaterThanOrEqual">
      <formula>0</formula>
    </cfRule>
  </conditionalFormatting>
  <conditionalFormatting sqref="M108:M109">
    <cfRule type="cellIs" dxfId="14021" priority="11019" operator="lessThan">
      <formula>0</formula>
    </cfRule>
    <cfRule type="cellIs" dxfId="14020" priority="11020" operator="greaterThanOrEqual">
      <formula>0</formula>
    </cfRule>
  </conditionalFormatting>
  <conditionalFormatting sqref="M116:M117">
    <cfRule type="cellIs" dxfId="14019" priority="11017" operator="lessThan">
      <formula>0</formula>
    </cfRule>
    <cfRule type="cellIs" dxfId="14018" priority="11018" operator="greaterThanOrEqual">
      <formula>0</formula>
    </cfRule>
  </conditionalFormatting>
  <conditionalFormatting sqref="M120:M121">
    <cfRule type="cellIs" dxfId="14017" priority="11015" operator="lessThan">
      <formula>0</formula>
    </cfRule>
    <cfRule type="cellIs" dxfId="14016" priority="11016" operator="greaterThanOrEqual">
      <formula>0</formula>
    </cfRule>
  </conditionalFormatting>
  <conditionalFormatting sqref="M123:M124">
    <cfRule type="cellIs" dxfId="14015" priority="11013" operator="lessThan">
      <formula>0</formula>
    </cfRule>
    <cfRule type="cellIs" dxfId="14014" priority="11014" operator="greaterThanOrEqual">
      <formula>0</formula>
    </cfRule>
  </conditionalFormatting>
  <conditionalFormatting sqref="M126:M127">
    <cfRule type="cellIs" dxfId="14013" priority="11011" operator="lessThan">
      <formula>0</formula>
    </cfRule>
    <cfRule type="cellIs" dxfId="14012" priority="11012" operator="greaterThanOrEqual">
      <formula>0</formula>
    </cfRule>
  </conditionalFormatting>
  <conditionalFormatting sqref="M88">
    <cfRule type="cellIs" dxfId="14011" priority="11010" operator="greaterThanOrEqual">
      <formula>0</formula>
    </cfRule>
  </conditionalFormatting>
  <conditionalFormatting sqref="M88">
    <cfRule type="cellIs" dxfId="14010" priority="11009" operator="lessThan">
      <formula>0</formula>
    </cfRule>
  </conditionalFormatting>
  <conditionalFormatting sqref="M89">
    <cfRule type="cellIs" dxfId="14009" priority="11008" operator="greaterThanOrEqual">
      <formula>0</formula>
    </cfRule>
  </conditionalFormatting>
  <conditionalFormatting sqref="M89">
    <cfRule type="cellIs" dxfId="14008" priority="11007" operator="lessThan">
      <formula>0</formula>
    </cfRule>
  </conditionalFormatting>
  <conditionalFormatting sqref="M91">
    <cfRule type="cellIs" dxfId="14007" priority="11006" operator="greaterThanOrEqual">
      <formula>0</formula>
    </cfRule>
  </conditionalFormatting>
  <conditionalFormatting sqref="M91">
    <cfRule type="cellIs" dxfId="14006" priority="11005" operator="lessThan">
      <formula>0</formula>
    </cfRule>
  </conditionalFormatting>
  <conditionalFormatting sqref="M104">
    <cfRule type="cellIs" dxfId="14005" priority="11004" operator="greaterThanOrEqual">
      <formula>0</formula>
    </cfRule>
  </conditionalFormatting>
  <conditionalFormatting sqref="M104">
    <cfRule type="cellIs" dxfId="14004" priority="11003" operator="lessThan">
      <formula>0</formula>
    </cfRule>
  </conditionalFormatting>
  <conditionalFormatting sqref="M110">
    <cfRule type="cellIs" dxfId="14003" priority="11000" operator="greaterThanOrEqual">
      <formula>0</formula>
    </cfRule>
  </conditionalFormatting>
  <conditionalFormatting sqref="M110">
    <cfRule type="cellIs" dxfId="14002" priority="10999" operator="lessThan">
      <formula>0</formula>
    </cfRule>
  </conditionalFormatting>
  <conditionalFormatting sqref="M113">
    <cfRule type="cellIs" dxfId="14001" priority="10998" operator="greaterThanOrEqual">
      <formula>0</formula>
    </cfRule>
  </conditionalFormatting>
  <conditionalFormatting sqref="M113">
    <cfRule type="cellIs" dxfId="14000" priority="10997" operator="lessThan">
      <formula>0</formula>
    </cfRule>
  </conditionalFormatting>
  <conditionalFormatting sqref="M122">
    <cfRule type="cellIs" dxfId="13999" priority="10994" operator="greaterThanOrEqual">
      <formula>0</formula>
    </cfRule>
  </conditionalFormatting>
  <conditionalFormatting sqref="M122">
    <cfRule type="cellIs" dxfId="13998" priority="10993" operator="lessThan">
      <formula>0</formula>
    </cfRule>
  </conditionalFormatting>
  <conditionalFormatting sqref="M125">
    <cfRule type="cellIs" dxfId="13997" priority="10992" operator="greaterThanOrEqual">
      <formula>0</formula>
    </cfRule>
  </conditionalFormatting>
  <conditionalFormatting sqref="M125">
    <cfRule type="cellIs" dxfId="13996" priority="10991" operator="lessThan">
      <formula>0</formula>
    </cfRule>
  </conditionalFormatting>
  <conditionalFormatting sqref="M128">
    <cfRule type="cellIs" dxfId="13995" priority="10990" operator="greaterThanOrEqual">
      <formula>0</formula>
    </cfRule>
  </conditionalFormatting>
  <conditionalFormatting sqref="M128">
    <cfRule type="cellIs" dxfId="13994" priority="10989" operator="lessThan">
      <formula>0</formula>
    </cfRule>
  </conditionalFormatting>
  <conditionalFormatting sqref="M119">
    <cfRule type="cellIs" dxfId="13993" priority="10988" operator="greaterThanOrEqual">
      <formula>0</formula>
    </cfRule>
  </conditionalFormatting>
  <conditionalFormatting sqref="M119">
    <cfRule type="cellIs" dxfId="13992" priority="10987" operator="lessThan">
      <formula>0</formula>
    </cfRule>
  </conditionalFormatting>
  <conditionalFormatting sqref="M129">
    <cfRule type="cellIs" dxfId="13991" priority="10986" operator="greaterThanOrEqual">
      <formula>0</formula>
    </cfRule>
  </conditionalFormatting>
  <conditionalFormatting sqref="M129">
    <cfRule type="cellIs" dxfId="13990" priority="10985" operator="lessThan">
      <formula>0</formula>
    </cfRule>
  </conditionalFormatting>
  <conditionalFormatting sqref="N79:N80">
    <cfRule type="cellIs" dxfId="13989" priority="10983" operator="greaterThan">
      <formula>0</formula>
    </cfRule>
    <cfRule type="cellIs" dxfId="13988" priority="10984" operator="lessThanOrEqual">
      <formula>0</formula>
    </cfRule>
  </conditionalFormatting>
  <conditionalFormatting sqref="N82:N83">
    <cfRule type="cellIs" dxfId="13987" priority="10981" operator="greaterThan">
      <formula>0</formula>
    </cfRule>
    <cfRule type="cellIs" dxfId="13986" priority="10982" operator="lessThanOrEqual">
      <formula>0</formula>
    </cfRule>
  </conditionalFormatting>
  <conditionalFormatting sqref="N85:N86">
    <cfRule type="cellIs" dxfId="13985" priority="10979" operator="greaterThan">
      <formula>0</formula>
    </cfRule>
    <cfRule type="cellIs" dxfId="13984" priority="10980" operator="lessThanOrEqual">
      <formula>0</formula>
    </cfRule>
  </conditionalFormatting>
  <conditionalFormatting sqref="N92:N93">
    <cfRule type="cellIs" dxfId="13983" priority="10977" operator="greaterThan">
      <formula>0</formula>
    </cfRule>
    <cfRule type="cellIs" dxfId="13982" priority="10978" operator="lessThanOrEqual">
      <formula>0</formula>
    </cfRule>
  </conditionalFormatting>
  <conditionalFormatting sqref="N95:N96">
    <cfRule type="cellIs" dxfId="13981" priority="10975" operator="greaterThan">
      <formula>0</formula>
    </cfRule>
    <cfRule type="cellIs" dxfId="13980" priority="10976" operator="lessThanOrEqual">
      <formula>0</formula>
    </cfRule>
  </conditionalFormatting>
  <conditionalFormatting sqref="N98:N99">
    <cfRule type="cellIs" dxfId="13979" priority="10973" operator="greaterThan">
      <formula>0</formula>
    </cfRule>
    <cfRule type="cellIs" dxfId="13978" priority="10974" operator="lessThanOrEqual">
      <formula>0</formula>
    </cfRule>
  </conditionalFormatting>
  <conditionalFormatting sqref="N101:N102">
    <cfRule type="cellIs" dxfId="13977" priority="10971" operator="greaterThan">
      <formula>0</formula>
    </cfRule>
    <cfRule type="cellIs" dxfId="13976" priority="10972" operator="lessThanOrEqual">
      <formula>0</formula>
    </cfRule>
  </conditionalFormatting>
  <conditionalFormatting sqref="N105:N106">
    <cfRule type="cellIs" dxfId="13975" priority="10969" operator="greaterThan">
      <formula>0</formula>
    </cfRule>
    <cfRule type="cellIs" dxfId="13974" priority="10970" operator="lessThanOrEqual">
      <formula>0</formula>
    </cfRule>
  </conditionalFormatting>
  <conditionalFormatting sqref="N108:N109">
    <cfRule type="cellIs" dxfId="13973" priority="10967" operator="greaterThan">
      <formula>0</formula>
    </cfRule>
    <cfRule type="cellIs" dxfId="13972" priority="10968" operator="lessThanOrEqual">
      <formula>0</formula>
    </cfRule>
  </conditionalFormatting>
  <conditionalFormatting sqref="N111:N112">
    <cfRule type="cellIs" dxfId="13971" priority="10965" operator="greaterThan">
      <formula>0</formula>
    </cfRule>
    <cfRule type="cellIs" dxfId="13970" priority="10966" operator="lessThanOrEqual">
      <formula>0</formula>
    </cfRule>
  </conditionalFormatting>
  <conditionalFormatting sqref="N116:N117">
    <cfRule type="cellIs" dxfId="13969" priority="10963" operator="greaterThan">
      <formula>0</formula>
    </cfRule>
    <cfRule type="cellIs" dxfId="13968" priority="10964" operator="lessThanOrEqual">
      <formula>0</formula>
    </cfRule>
  </conditionalFormatting>
  <conditionalFormatting sqref="N120:N121">
    <cfRule type="cellIs" dxfId="13967" priority="10961" operator="greaterThan">
      <formula>0</formula>
    </cfRule>
    <cfRule type="cellIs" dxfId="13966" priority="10962" operator="lessThanOrEqual">
      <formula>0</formula>
    </cfRule>
  </conditionalFormatting>
  <conditionalFormatting sqref="N126:N127">
    <cfRule type="cellIs" dxfId="13965" priority="10957" operator="greaterThan">
      <formula>0</formula>
    </cfRule>
    <cfRule type="cellIs" dxfId="13964" priority="10958" operator="lessThanOrEqual">
      <formula>0</formula>
    </cfRule>
  </conditionalFormatting>
  <conditionalFormatting sqref="N88">
    <cfRule type="cellIs" dxfId="13963" priority="10956" operator="greaterThanOrEqual">
      <formula>0</formula>
    </cfRule>
  </conditionalFormatting>
  <conditionalFormatting sqref="N88">
    <cfRule type="cellIs" dxfId="13962" priority="10955" operator="lessThan">
      <formula>0</formula>
    </cfRule>
  </conditionalFormatting>
  <conditionalFormatting sqref="N89">
    <cfRule type="cellIs" dxfId="13961" priority="10954" operator="greaterThanOrEqual">
      <formula>0</formula>
    </cfRule>
  </conditionalFormatting>
  <conditionalFormatting sqref="N89">
    <cfRule type="cellIs" dxfId="13960" priority="10953" operator="lessThan">
      <formula>0</formula>
    </cfRule>
  </conditionalFormatting>
  <conditionalFormatting sqref="N91">
    <cfRule type="cellIs" dxfId="13959" priority="10952" operator="greaterThanOrEqual">
      <formula>0</formula>
    </cfRule>
  </conditionalFormatting>
  <conditionalFormatting sqref="N91">
    <cfRule type="cellIs" dxfId="13958" priority="10951" operator="lessThan">
      <formula>0</formula>
    </cfRule>
  </conditionalFormatting>
  <conditionalFormatting sqref="N104">
    <cfRule type="cellIs" dxfId="13957" priority="10950" operator="greaterThanOrEqual">
      <formula>0</formula>
    </cfRule>
  </conditionalFormatting>
  <conditionalFormatting sqref="N104">
    <cfRule type="cellIs" dxfId="13956" priority="10949" operator="lessThan">
      <formula>0</formula>
    </cfRule>
  </conditionalFormatting>
  <conditionalFormatting sqref="N107">
    <cfRule type="cellIs" dxfId="13955" priority="10948" operator="greaterThanOrEqual">
      <formula>0</formula>
    </cfRule>
  </conditionalFormatting>
  <conditionalFormatting sqref="N107">
    <cfRule type="cellIs" dxfId="13954" priority="10947" operator="lessThan">
      <formula>0</formula>
    </cfRule>
  </conditionalFormatting>
  <conditionalFormatting sqref="N110">
    <cfRule type="cellIs" dxfId="13953" priority="10946" operator="greaterThanOrEqual">
      <formula>0</formula>
    </cfRule>
  </conditionalFormatting>
  <conditionalFormatting sqref="N110">
    <cfRule type="cellIs" dxfId="13952" priority="10945" operator="lessThan">
      <formula>0</formula>
    </cfRule>
  </conditionalFormatting>
  <conditionalFormatting sqref="N114">
    <cfRule type="cellIs" dxfId="13951" priority="10942" operator="greaterThanOrEqual">
      <formula>0</formula>
    </cfRule>
  </conditionalFormatting>
  <conditionalFormatting sqref="N114">
    <cfRule type="cellIs" dxfId="13950" priority="10941" operator="lessThan">
      <formula>0</formula>
    </cfRule>
  </conditionalFormatting>
  <conditionalFormatting sqref="N122">
    <cfRule type="cellIs" dxfId="13949" priority="10940" operator="greaterThanOrEqual">
      <formula>0</formula>
    </cfRule>
  </conditionalFormatting>
  <conditionalFormatting sqref="N122">
    <cfRule type="cellIs" dxfId="13948" priority="10939" operator="lessThan">
      <formula>0</formula>
    </cfRule>
  </conditionalFormatting>
  <conditionalFormatting sqref="M118">
    <cfRule type="cellIs" dxfId="13947" priority="10930" operator="greaterThanOrEqual">
      <formula>0</formula>
    </cfRule>
  </conditionalFormatting>
  <conditionalFormatting sqref="M118">
    <cfRule type="cellIs" dxfId="13946" priority="10929" operator="lessThan">
      <formula>0</formula>
    </cfRule>
  </conditionalFormatting>
  <conditionalFormatting sqref="G133">
    <cfRule type="cellIs" dxfId="13945" priority="10925" operator="lessThan">
      <formula>0</formula>
    </cfRule>
    <cfRule type="cellIs" dxfId="13944" priority="10926" operator="greaterThanOrEqual">
      <formula>0</formula>
    </cfRule>
  </conditionalFormatting>
  <conditionalFormatting sqref="G176">
    <cfRule type="cellIs" dxfId="13943" priority="10923" operator="greaterThan">
      <formula>0</formula>
    </cfRule>
    <cfRule type="cellIs" dxfId="13942" priority="10924" operator="lessThanOrEqual">
      <formula>0</formula>
    </cfRule>
  </conditionalFormatting>
  <conditionalFormatting sqref="F176">
    <cfRule type="cellIs" dxfId="13941" priority="10922" operator="greaterThanOrEqual">
      <formula>0</formula>
    </cfRule>
  </conditionalFormatting>
  <conditionalFormatting sqref="F176">
    <cfRule type="cellIs" dxfId="13940" priority="10921" operator="lessThan">
      <formula>0</formula>
    </cfRule>
  </conditionalFormatting>
  <conditionalFormatting sqref="J176">
    <cfRule type="cellIs" dxfId="13939" priority="10920" operator="greaterThanOrEqual">
      <formula>0</formula>
    </cfRule>
  </conditionalFormatting>
  <conditionalFormatting sqref="J176">
    <cfRule type="cellIs" dxfId="13938" priority="10919" operator="lessThan">
      <formula>0</formula>
    </cfRule>
  </conditionalFormatting>
  <conditionalFormatting sqref="M176">
    <cfRule type="cellIs" dxfId="13937" priority="10918" operator="greaterThanOrEqual">
      <formula>0</formula>
    </cfRule>
  </conditionalFormatting>
  <conditionalFormatting sqref="M176">
    <cfRule type="cellIs" dxfId="13936" priority="10917" operator="lessThan">
      <formula>0</formula>
    </cfRule>
  </conditionalFormatting>
  <conditionalFormatting sqref="N176">
    <cfRule type="cellIs" dxfId="13935" priority="10916" operator="greaterThanOrEqual">
      <formula>0</formula>
    </cfRule>
  </conditionalFormatting>
  <conditionalFormatting sqref="N176">
    <cfRule type="cellIs" dxfId="13934" priority="10915" operator="lessThan">
      <formula>0</formula>
    </cfRule>
  </conditionalFormatting>
  <conditionalFormatting sqref="G175">
    <cfRule type="cellIs" dxfId="13933" priority="10913" operator="greaterThan">
      <formula>0</formula>
    </cfRule>
    <cfRule type="cellIs" dxfId="13932" priority="10914" operator="lessThanOrEqual">
      <formula>0</formula>
    </cfRule>
  </conditionalFormatting>
  <conditionalFormatting sqref="F175">
    <cfRule type="cellIs" dxfId="13931" priority="10912" operator="greaterThanOrEqual">
      <formula>0</formula>
    </cfRule>
  </conditionalFormatting>
  <conditionalFormatting sqref="F175">
    <cfRule type="cellIs" dxfId="13930" priority="10911" operator="lessThan">
      <formula>0</formula>
    </cfRule>
  </conditionalFormatting>
  <conditionalFormatting sqref="M175:N175">
    <cfRule type="cellIs" dxfId="13929" priority="10908" operator="greaterThanOrEqual">
      <formula>0</formula>
    </cfRule>
  </conditionalFormatting>
  <conditionalFormatting sqref="M175:N175">
    <cfRule type="cellIs" dxfId="13928" priority="10907" operator="lessThan">
      <formula>0</formula>
    </cfRule>
  </conditionalFormatting>
  <conditionalFormatting sqref="J175">
    <cfRule type="cellIs" dxfId="13927" priority="10910" operator="greaterThanOrEqual">
      <formula>0</formula>
    </cfRule>
  </conditionalFormatting>
  <conditionalFormatting sqref="J175">
    <cfRule type="cellIs" dxfId="13926" priority="10909" operator="lessThan">
      <formula>0</formula>
    </cfRule>
  </conditionalFormatting>
  <conditionalFormatting sqref="K134">
    <cfRule type="cellIs" dxfId="13925" priority="10905" operator="greaterThan">
      <formula>0</formula>
    </cfRule>
    <cfRule type="cellIs" dxfId="13924" priority="10906" operator="lessThanOrEqual">
      <formula>0</formula>
    </cfRule>
  </conditionalFormatting>
  <conditionalFormatting sqref="K136:K137">
    <cfRule type="cellIs" dxfId="13923" priority="10903" operator="greaterThan">
      <formula>0</formula>
    </cfRule>
    <cfRule type="cellIs" dxfId="13922" priority="10904" operator="lessThanOrEqual">
      <formula>0</formula>
    </cfRule>
  </conditionalFormatting>
  <conditionalFormatting sqref="K173:K174">
    <cfRule type="cellIs" dxfId="13921" priority="10885" operator="greaterThan">
      <formula>0</formula>
    </cfRule>
    <cfRule type="cellIs" dxfId="13920" priority="10886" operator="lessThanOrEqual">
      <formula>0</formula>
    </cfRule>
  </conditionalFormatting>
  <conditionalFormatting sqref="K144">
    <cfRule type="cellIs" dxfId="13919" priority="10875" operator="greaterThan">
      <formula>0</formula>
    </cfRule>
    <cfRule type="cellIs" dxfId="13918" priority="10876" operator="lessThanOrEqual">
      <formula>0</formula>
    </cfRule>
  </conditionalFormatting>
  <conditionalFormatting sqref="K154">
    <cfRule type="cellIs" dxfId="13917" priority="10873" operator="greaterThan">
      <formula>0</formula>
    </cfRule>
    <cfRule type="cellIs" dxfId="13916" priority="10874" operator="lessThanOrEqual">
      <formula>0</formula>
    </cfRule>
  </conditionalFormatting>
  <conditionalFormatting sqref="K157">
    <cfRule type="cellIs" dxfId="13915" priority="10871" operator="greaterThan">
      <formula>0</formula>
    </cfRule>
    <cfRule type="cellIs" dxfId="13914" priority="10872" operator="lessThanOrEqual">
      <formula>0</formula>
    </cfRule>
  </conditionalFormatting>
  <conditionalFormatting sqref="K164">
    <cfRule type="cellIs" dxfId="13913" priority="10847" operator="greaterThan">
      <formula>0</formula>
    </cfRule>
    <cfRule type="cellIs" dxfId="13912" priority="10848" operator="lessThanOrEqual">
      <formula>0</formula>
    </cfRule>
  </conditionalFormatting>
  <conditionalFormatting sqref="K171">
    <cfRule type="cellIs" dxfId="13911" priority="10853" operator="greaterThan">
      <formula>0</formula>
    </cfRule>
    <cfRule type="cellIs" dxfId="13910" priority="10854" operator="lessThanOrEqual">
      <formula>0</formula>
    </cfRule>
  </conditionalFormatting>
  <conditionalFormatting sqref="K139:K140">
    <cfRule type="cellIs" dxfId="13909" priority="10901" operator="greaterThan">
      <formula>0</formula>
    </cfRule>
    <cfRule type="cellIs" dxfId="13908" priority="10902" operator="lessThanOrEqual">
      <formula>0</formula>
    </cfRule>
  </conditionalFormatting>
  <conditionalFormatting sqref="K149:K150">
    <cfRule type="cellIs" dxfId="13907" priority="10899" operator="greaterThan">
      <formula>0</formula>
    </cfRule>
    <cfRule type="cellIs" dxfId="13906" priority="10900" operator="lessThanOrEqual">
      <formula>0</formula>
    </cfRule>
  </conditionalFormatting>
  <conditionalFormatting sqref="K142:K143">
    <cfRule type="cellIs" dxfId="13905" priority="10897" operator="greaterThan">
      <formula>0</formula>
    </cfRule>
    <cfRule type="cellIs" dxfId="13904" priority="10898" operator="lessThanOrEqual">
      <formula>0</formula>
    </cfRule>
  </conditionalFormatting>
  <conditionalFormatting sqref="K152:K153">
    <cfRule type="cellIs" dxfId="13903" priority="10895" operator="greaterThan">
      <formula>0</formula>
    </cfRule>
    <cfRule type="cellIs" dxfId="13902" priority="10896" operator="lessThanOrEqual">
      <formula>0</formula>
    </cfRule>
  </conditionalFormatting>
  <conditionalFormatting sqref="K155:K156">
    <cfRule type="cellIs" dxfId="13901" priority="10893" operator="greaterThan">
      <formula>0</formula>
    </cfRule>
    <cfRule type="cellIs" dxfId="13900" priority="10894" operator="lessThanOrEqual">
      <formula>0</formula>
    </cfRule>
  </conditionalFormatting>
  <conditionalFormatting sqref="K158:K159">
    <cfRule type="cellIs" dxfId="13899" priority="10891" operator="greaterThan">
      <formula>0</formula>
    </cfRule>
    <cfRule type="cellIs" dxfId="13898" priority="10892" operator="lessThanOrEqual">
      <formula>0</formula>
    </cfRule>
  </conditionalFormatting>
  <conditionalFormatting sqref="K168:K169">
    <cfRule type="cellIs" dxfId="13897" priority="10889" operator="greaterThan">
      <formula>0</formula>
    </cfRule>
    <cfRule type="cellIs" dxfId="13896" priority="10890" operator="lessThanOrEqual">
      <formula>0</formula>
    </cfRule>
  </conditionalFormatting>
  <conditionalFormatting sqref="K183:K184">
    <cfRule type="cellIs" dxfId="13895" priority="10887" operator="greaterThan">
      <formula>0</formula>
    </cfRule>
    <cfRule type="cellIs" dxfId="13894" priority="10888" operator="lessThanOrEqual">
      <formula>0</formula>
    </cfRule>
  </conditionalFormatting>
  <conditionalFormatting sqref="K135">
    <cfRule type="cellIs" dxfId="13893" priority="10883" operator="greaterThan">
      <formula>0</formula>
    </cfRule>
    <cfRule type="cellIs" dxfId="13892" priority="10884" operator="lessThanOrEqual">
      <formula>0</formula>
    </cfRule>
  </conditionalFormatting>
  <conditionalFormatting sqref="K138">
    <cfRule type="cellIs" dxfId="13891" priority="10881" operator="greaterThan">
      <formula>0</formula>
    </cfRule>
    <cfRule type="cellIs" dxfId="13890" priority="10882" operator="lessThanOrEqual">
      <formula>0</formula>
    </cfRule>
  </conditionalFormatting>
  <conditionalFormatting sqref="K141">
    <cfRule type="cellIs" dxfId="13889" priority="10879" operator="greaterThan">
      <formula>0</formula>
    </cfRule>
    <cfRule type="cellIs" dxfId="13888" priority="10880" operator="lessThanOrEqual">
      <formula>0</formula>
    </cfRule>
  </conditionalFormatting>
  <conditionalFormatting sqref="K151">
    <cfRule type="cellIs" dxfId="13887" priority="10877" operator="greaterThan">
      <formula>0</formula>
    </cfRule>
    <cfRule type="cellIs" dxfId="13886" priority="10878" operator="lessThanOrEqual">
      <formula>0</formula>
    </cfRule>
  </conditionalFormatting>
  <conditionalFormatting sqref="K160">
    <cfRule type="cellIs" dxfId="13885" priority="10869" operator="greaterThan">
      <formula>0</formula>
    </cfRule>
    <cfRule type="cellIs" dxfId="13884" priority="10870" operator="lessThanOrEqual">
      <formula>0</formula>
    </cfRule>
  </conditionalFormatting>
  <conditionalFormatting sqref="K146">
    <cfRule type="cellIs" dxfId="13883" priority="10867" operator="greaterThan">
      <formula>0</formula>
    </cfRule>
    <cfRule type="cellIs" dxfId="13882" priority="10868" operator="lessThanOrEqual">
      <formula>0</formula>
    </cfRule>
  </conditionalFormatting>
  <conditionalFormatting sqref="K186">
    <cfRule type="cellIs" dxfId="13881" priority="10865" operator="greaterThan">
      <formula>0</formula>
    </cfRule>
    <cfRule type="cellIs" dxfId="13880" priority="10866" operator="lessThanOrEqual">
      <formula>0</formula>
    </cfRule>
  </conditionalFormatting>
  <conditionalFormatting sqref="K187">
    <cfRule type="cellIs" dxfId="13879" priority="10863" operator="greaterThan">
      <formula>0</formula>
    </cfRule>
    <cfRule type="cellIs" dxfId="13878" priority="10864" operator="lessThanOrEqual">
      <formula>0</formula>
    </cfRule>
  </conditionalFormatting>
  <conditionalFormatting sqref="K172">
    <cfRule type="cellIs" dxfId="13877" priority="10861" operator="greaterThan">
      <formula>0</formula>
    </cfRule>
    <cfRule type="cellIs" dxfId="13876" priority="10862" operator="lessThanOrEqual">
      <formula>0</formula>
    </cfRule>
  </conditionalFormatting>
  <conditionalFormatting sqref="K145">
    <cfRule type="cellIs" dxfId="13875" priority="10859" operator="greaterThan">
      <formula>0</formula>
    </cfRule>
    <cfRule type="cellIs" dxfId="13874" priority="10860" operator="lessThanOrEqual">
      <formula>0</formula>
    </cfRule>
  </conditionalFormatting>
  <conditionalFormatting sqref="K167">
    <cfRule type="cellIs" dxfId="13873" priority="10845" operator="greaterThan">
      <formula>0</formula>
    </cfRule>
    <cfRule type="cellIs" dxfId="13872" priority="10846" operator="lessThanOrEqual">
      <formula>0</formula>
    </cfRule>
  </conditionalFormatting>
  <conditionalFormatting sqref="K170">
    <cfRule type="cellIs" dxfId="13871" priority="10843" operator="greaterThan">
      <formula>0</formula>
    </cfRule>
    <cfRule type="cellIs" dxfId="13870" priority="10844" operator="lessThanOrEqual">
      <formula>0</formula>
    </cfRule>
  </conditionalFormatting>
  <conditionalFormatting sqref="K148">
    <cfRule type="cellIs" dxfId="13869" priority="10857" operator="greaterThan">
      <formula>0</formula>
    </cfRule>
    <cfRule type="cellIs" dxfId="13868" priority="10858" operator="lessThanOrEqual">
      <formula>0</formula>
    </cfRule>
  </conditionalFormatting>
  <conditionalFormatting sqref="K161">
    <cfRule type="cellIs" dxfId="13867" priority="10855" operator="greaterThan">
      <formula>0</formula>
    </cfRule>
    <cfRule type="cellIs" dxfId="13866" priority="10856" operator="lessThanOrEqual">
      <formula>0</formula>
    </cfRule>
  </conditionalFormatting>
  <conditionalFormatting sqref="K162:K163 K165:K166">
    <cfRule type="cellIs" dxfId="13865" priority="10851" operator="greaterThan">
      <formula>0</formula>
    </cfRule>
    <cfRule type="cellIs" dxfId="13864" priority="10852" operator="lessThanOrEqual">
      <formula>0</formula>
    </cfRule>
  </conditionalFormatting>
  <conditionalFormatting sqref="K177:K178 K180:K181">
    <cfRule type="cellIs" dxfId="13863" priority="10849" operator="greaterThan">
      <formula>0</formula>
    </cfRule>
    <cfRule type="cellIs" dxfId="13862" priority="10850" operator="lessThanOrEqual">
      <formula>0</formula>
    </cfRule>
  </conditionalFormatting>
  <conditionalFormatting sqref="K179">
    <cfRule type="cellIs" dxfId="13861" priority="10841" operator="greaterThan">
      <formula>0</formula>
    </cfRule>
    <cfRule type="cellIs" dxfId="13860" priority="10842" operator="lessThanOrEqual">
      <formula>0</formula>
    </cfRule>
  </conditionalFormatting>
  <conditionalFormatting sqref="K182">
    <cfRule type="cellIs" dxfId="13859" priority="10839" operator="greaterThan">
      <formula>0</formula>
    </cfRule>
    <cfRule type="cellIs" dxfId="13858" priority="10840" operator="lessThanOrEqual">
      <formula>0</formula>
    </cfRule>
  </conditionalFormatting>
  <conditionalFormatting sqref="K185">
    <cfRule type="cellIs" dxfId="13857" priority="10837" operator="greaterThan">
      <formula>0</formula>
    </cfRule>
    <cfRule type="cellIs" dxfId="13856" priority="10838" operator="lessThanOrEqual">
      <formula>0</formula>
    </cfRule>
  </conditionalFormatting>
  <conditionalFormatting sqref="K133">
    <cfRule type="cellIs" dxfId="13855" priority="10835" operator="lessThan">
      <formula>0</formula>
    </cfRule>
    <cfRule type="cellIs" dxfId="13854" priority="10836" operator="greaterThanOrEqual">
      <formula>0</formula>
    </cfRule>
  </conditionalFormatting>
  <conditionalFormatting sqref="K176">
    <cfRule type="cellIs" dxfId="13853" priority="10833" operator="greaterThan">
      <formula>0</formula>
    </cfRule>
    <cfRule type="cellIs" dxfId="13852" priority="10834" operator="lessThanOrEqual">
      <formula>0</formula>
    </cfRule>
  </conditionalFormatting>
  <conditionalFormatting sqref="K175">
    <cfRule type="cellIs" dxfId="13851" priority="10831" operator="greaterThan">
      <formula>0</formula>
    </cfRule>
    <cfRule type="cellIs" dxfId="13850" priority="10832" operator="lessThanOrEqual">
      <formula>0</formula>
    </cfRule>
  </conditionalFormatting>
  <conditionalFormatting sqref="G27">
    <cfRule type="cellIs" dxfId="13849" priority="10829" operator="greaterThan">
      <formula>0</formula>
    </cfRule>
    <cfRule type="cellIs" dxfId="13848" priority="10830" operator="lessThanOrEqual">
      <formula>0</formula>
    </cfRule>
  </conditionalFormatting>
  <conditionalFormatting sqref="F27">
    <cfRule type="cellIs" dxfId="13847" priority="10828" operator="greaterThanOrEqual">
      <formula>0</formula>
    </cfRule>
  </conditionalFormatting>
  <conditionalFormatting sqref="F27">
    <cfRule type="cellIs" dxfId="13846" priority="10827" operator="lessThan">
      <formula>0</formula>
    </cfRule>
  </conditionalFormatting>
  <conditionalFormatting sqref="K27">
    <cfRule type="cellIs" dxfId="13845" priority="10825" operator="greaterThan">
      <formula>0</formula>
    </cfRule>
    <cfRule type="cellIs" dxfId="13844" priority="10826" operator="lessThanOrEqual">
      <formula>0</formula>
    </cfRule>
  </conditionalFormatting>
  <conditionalFormatting sqref="J27">
    <cfRule type="cellIs" dxfId="13843" priority="10824" operator="greaterThanOrEqual">
      <formula>0</formula>
    </cfRule>
  </conditionalFormatting>
  <conditionalFormatting sqref="J27">
    <cfRule type="cellIs" dxfId="13842" priority="10823" operator="lessThan">
      <formula>0</formula>
    </cfRule>
  </conditionalFormatting>
  <conditionalFormatting sqref="M27">
    <cfRule type="cellIs" dxfId="13841" priority="10822" operator="greaterThanOrEqual">
      <formula>0</formula>
    </cfRule>
  </conditionalFormatting>
  <conditionalFormatting sqref="M27">
    <cfRule type="cellIs" dxfId="13840" priority="10821" operator="lessThan">
      <formula>0</formula>
    </cfRule>
  </conditionalFormatting>
  <conditionalFormatting sqref="N27">
    <cfRule type="cellIs" dxfId="13839" priority="10820" operator="greaterThanOrEqual">
      <formula>0</formula>
    </cfRule>
  </conditionalFormatting>
  <conditionalFormatting sqref="N27">
    <cfRule type="cellIs" dxfId="13838" priority="10819" operator="lessThan">
      <formula>0</formula>
    </cfRule>
  </conditionalFormatting>
  <conditionalFormatting sqref="G90">
    <cfRule type="cellIs" dxfId="13837" priority="10817" operator="greaterThan">
      <formula>0</formula>
    </cfRule>
    <cfRule type="cellIs" dxfId="13836" priority="10818" operator="lessThanOrEqual">
      <formula>0</formula>
    </cfRule>
  </conditionalFormatting>
  <conditionalFormatting sqref="F90">
    <cfRule type="cellIs" dxfId="13835" priority="10816" operator="greaterThanOrEqual">
      <formula>0</formula>
    </cfRule>
  </conditionalFormatting>
  <conditionalFormatting sqref="F90">
    <cfRule type="cellIs" dxfId="13834" priority="10815" operator="lessThan">
      <formula>0</formula>
    </cfRule>
  </conditionalFormatting>
  <conditionalFormatting sqref="K90">
    <cfRule type="cellIs" dxfId="13833" priority="10813" operator="greaterThan">
      <formula>0</formula>
    </cfRule>
    <cfRule type="cellIs" dxfId="13832" priority="10814" operator="lessThanOrEqual">
      <formula>0</formula>
    </cfRule>
  </conditionalFormatting>
  <conditionalFormatting sqref="J90">
    <cfRule type="cellIs" dxfId="13831" priority="10812" operator="greaterThanOrEqual">
      <formula>0</formula>
    </cfRule>
  </conditionalFormatting>
  <conditionalFormatting sqref="J90">
    <cfRule type="cellIs" dxfId="13830" priority="10811" operator="lessThan">
      <formula>0</formula>
    </cfRule>
  </conditionalFormatting>
  <conditionalFormatting sqref="M90">
    <cfRule type="cellIs" dxfId="13829" priority="10810" operator="greaterThanOrEqual">
      <formula>0</formula>
    </cfRule>
  </conditionalFormatting>
  <conditionalFormatting sqref="M90">
    <cfRule type="cellIs" dxfId="13828" priority="10809" operator="lessThan">
      <formula>0</formula>
    </cfRule>
  </conditionalFormatting>
  <conditionalFormatting sqref="N90">
    <cfRule type="cellIs" dxfId="13827" priority="10808" operator="greaterThanOrEqual">
      <formula>0</formula>
    </cfRule>
  </conditionalFormatting>
  <conditionalFormatting sqref="N90">
    <cfRule type="cellIs" dxfId="13826" priority="10807" operator="lessThan">
      <formula>0</formula>
    </cfRule>
  </conditionalFormatting>
  <conditionalFormatting sqref="G147">
    <cfRule type="cellIs" dxfId="13825" priority="10805" operator="greaterThan">
      <formula>0</formula>
    </cfRule>
    <cfRule type="cellIs" dxfId="13824" priority="10806" operator="lessThanOrEqual">
      <formula>0</formula>
    </cfRule>
  </conditionalFormatting>
  <conditionalFormatting sqref="J147 M147:N147 F147">
    <cfRule type="cellIs" dxfId="13823" priority="10804" operator="greaterThanOrEqual">
      <formula>0</formula>
    </cfRule>
  </conditionalFormatting>
  <conditionalFormatting sqref="J147 M147:N147 F147">
    <cfRule type="cellIs" dxfId="13822" priority="10803" operator="lessThan">
      <formula>0</formula>
    </cfRule>
  </conditionalFormatting>
  <conditionalFormatting sqref="K147">
    <cfRule type="cellIs" dxfId="13821" priority="10801" operator="greaterThan">
      <formula>0</formula>
    </cfRule>
    <cfRule type="cellIs" dxfId="13820" priority="10802" operator="lessThanOrEqual">
      <formula>0</formula>
    </cfRule>
  </conditionalFormatting>
  <conditionalFormatting sqref="R13:R14">
    <cfRule type="cellIs" dxfId="13819" priority="10799" operator="greaterThan">
      <formula>0</formula>
    </cfRule>
    <cfRule type="cellIs" dxfId="13818" priority="10800" operator="lessThanOrEqual">
      <formula>0</formula>
    </cfRule>
  </conditionalFormatting>
  <conditionalFormatting sqref="R16:R17">
    <cfRule type="cellIs" dxfId="13817" priority="10797" operator="greaterThan">
      <formula>0</formula>
    </cfRule>
    <cfRule type="cellIs" dxfId="13816" priority="10798" operator="lessThanOrEqual">
      <formula>0</formula>
    </cfRule>
  </conditionalFormatting>
  <conditionalFormatting sqref="R19:R20">
    <cfRule type="cellIs" dxfId="13815" priority="10795" operator="greaterThan">
      <formula>0</formula>
    </cfRule>
    <cfRule type="cellIs" dxfId="13814" priority="10796" operator="lessThanOrEqual">
      <formula>0</formula>
    </cfRule>
  </conditionalFormatting>
  <conditionalFormatting sqref="R29:R30">
    <cfRule type="cellIs" dxfId="13813" priority="10793" operator="greaterThan">
      <formula>0</formula>
    </cfRule>
    <cfRule type="cellIs" dxfId="13812" priority="10794" operator="lessThanOrEqual">
      <formula>0</formula>
    </cfRule>
  </conditionalFormatting>
  <conditionalFormatting sqref="R22:R23">
    <cfRule type="cellIs" dxfId="13811" priority="10791" operator="greaterThan">
      <formula>0</formula>
    </cfRule>
    <cfRule type="cellIs" dxfId="13810" priority="10792" operator="lessThanOrEqual">
      <formula>0</formula>
    </cfRule>
  </conditionalFormatting>
  <conditionalFormatting sqref="R32:R33">
    <cfRule type="cellIs" dxfId="13809" priority="10789" operator="greaterThan">
      <formula>0</formula>
    </cfRule>
    <cfRule type="cellIs" dxfId="13808" priority="10790" operator="lessThanOrEqual">
      <formula>0</formula>
    </cfRule>
  </conditionalFormatting>
  <conditionalFormatting sqref="R35:R36">
    <cfRule type="cellIs" dxfId="13807" priority="10787" operator="greaterThan">
      <formula>0</formula>
    </cfRule>
    <cfRule type="cellIs" dxfId="13806" priority="10788" operator="lessThanOrEqual">
      <formula>0</formula>
    </cfRule>
  </conditionalFormatting>
  <conditionalFormatting sqref="R38:R39">
    <cfRule type="cellIs" dxfId="13805" priority="10785" operator="greaterThan">
      <formula>0</formula>
    </cfRule>
    <cfRule type="cellIs" dxfId="13804" priority="10786" operator="lessThanOrEqual">
      <formula>0</formula>
    </cfRule>
  </conditionalFormatting>
  <conditionalFormatting sqref="R48:R49">
    <cfRule type="cellIs" dxfId="13803" priority="10783" operator="greaterThan">
      <formula>0</formula>
    </cfRule>
    <cfRule type="cellIs" dxfId="13802" priority="10784" operator="lessThanOrEqual">
      <formula>0</formula>
    </cfRule>
  </conditionalFormatting>
  <conditionalFormatting sqref="R63:R64">
    <cfRule type="cellIs" dxfId="13801" priority="10781" operator="greaterThan">
      <formula>0</formula>
    </cfRule>
    <cfRule type="cellIs" dxfId="13800" priority="10782" operator="lessThanOrEqual">
      <formula>0</formula>
    </cfRule>
  </conditionalFormatting>
  <conditionalFormatting sqref="R53:R54">
    <cfRule type="cellIs" dxfId="13799" priority="10779" operator="greaterThan">
      <formula>0</formula>
    </cfRule>
    <cfRule type="cellIs" dxfId="13798" priority="10780" operator="lessThanOrEqual">
      <formula>0</formula>
    </cfRule>
  </conditionalFormatting>
  <conditionalFormatting sqref="R15">
    <cfRule type="cellIs" dxfId="13797" priority="10777" operator="greaterThan">
      <formula>0</formula>
    </cfRule>
    <cfRule type="cellIs" dxfId="13796" priority="10778" operator="lessThanOrEqual">
      <formula>0</formula>
    </cfRule>
  </conditionalFormatting>
  <conditionalFormatting sqref="R18">
    <cfRule type="cellIs" dxfId="13795" priority="10775" operator="greaterThan">
      <formula>0</formula>
    </cfRule>
    <cfRule type="cellIs" dxfId="13794" priority="10776" operator="lessThanOrEqual">
      <formula>0</formula>
    </cfRule>
  </conditionalFormatting>
  <conditionalFormatting sqref="R21">
    <cfRule type="cellIs" dxfId="13793" priority="10773" operator="greaterThan">
      <formula>0</formula>
    </cfRule>
    <cfRule type="cellIs" dxfId="13792" priority="10774" operator="lessThanOrEqual">
      <formula>0</formula>
    </cfRule>
  </conditionalFormatting>
  <conditionalFormatting sqref="R31">
    <cfRule type="cellIs" dxfId="13791" priority="10771" operator="greaterThan">
      <formula>0</formula>
    </cfRule>
    <cfRule type="cellIs" dxfId="13790" priority="10772" operator="lessThanOrEqual">
      <formula>0</formula>
    </cfRule>
  </conditionalFormatting>
  <conditionalFormatting sqref="R24">
    <cfRule type="cellIs" dxfId="13789" priority="10769" operator="greaterThan">
      <formula>0</formula>
    </cfRule>
    <cfRule type="cellIs" dxfId="13788" priority="10770" operator="lessThanOrEqual">
      <formula>0</formula>
    </cfRule>
  </conditionalFormatting>
  <conditionalFormatting sqref="R34">
    <cfRule type="cellIs" dxfId="13787" priority="10767" operator="greaterThan">
      <formula>0</formula>
    </cfRule>
    <cfRule type="cellIs" dxfId="13786" priority="10768" operator="lessThanOrEqual">
      <formula>0</formula>
    </cfRule>
  </conditionalFormatting>
  <conditionalFormatting sqref="R37">
    <cfRule type="cellIs" dxfId="13785" priority="10765" operator="greaterThan">
      <formula>0</formula>
    </cfRule>
    <cfRule type="cellIs" dxfId="13784" priority="10766" operator="lessThanOrEqual">
      <formula>0</formula>
    </cfRule>
  </conditionalFormatting>
  <conditionalFormatting sqref="R40">
    <cfRule type="cellIs" dxfId="13783" priority="10763" operator="greaterThan">
      <formula>0</formula>
    </cfRule>
    <cfRule type="cellIs" dxfId="13782" priority="10764" operator="lessThanOrEqual">
      <formula>0</formula>
    </cfRule>
  </conditionalFormatting>
  <conditionalFormatting sqref="R26">
    <cfRule type="cellIs" dxfId="13781" priority="10761" operator="greaterThan">
      <formula>0</formula>
    </cfRule>
    <cfRule type="cellIs" dxfId="13780" priority="10762" operator="lessThanOrEqual">
      <formula>0</formula>
    </cfRule>
  </conditionalFormatting>
  <conditionalFormatting sqref="R66 R68 R71">
    <cfRule type="cellIs" dxfId="13779" priority="10759" operator="greaterThan">
      <formula>0</formula>
    </cfRule>
    <cfRule type="cellIs" dxfId="13778" priority="10760" operator="lessThanOrEqual">
      <formula>0</formula>
    </cfRule>
  </conditionalFormatting>
  <conditionalFormatting sqref="Q13:Q14 Q16:Q17 Q19:Q20 Q22:Q23 Q29:Q30 Q32:Q33 Q35:Q36 Q38:Q39 Q48:Q49 Q53:Q54">
    <cfRule type="cellIs" dxfId="13777" priority="10757" operator="lessThan">
      <formula>0</formula>
    </cfRule>
    <cfRule type="cellIs" dxfId="13776" priority="10758" operator="greaterThanOrEqual">
      <formula>0</formula>
    </cfRule>
  </conditionalFormatting>
  <conditionalFormatting sqref="Q15 Q18 Q21 Q24 Q26 Q31 Q34 Q37 Q40">
    <cfRule type="cellIs" dxfId="13775" priority="10756" operator="greaterThanOrEqual">
      <formula>0</formula>
    </cfRule>
  </conditionalFormatting>
  <conditionalFormatting sqref="Q15 Q18 Q21 Q24 Q26 Q31 Q34 Q37 Q40">
    <cfRule type="cellIs" dxfId="13774" priority="10755" operator="lessThan">
      <formula>0</formula>
    </cfRule>
  </conditionalFormatting>
  <conditionalFormatting sqref="R73">
    <cfRule type="cellIs" dxfId="13773" priority="10753" operator="greaterThan">
      <formula>0</formula>
    </cfRule>
    <cfRule type="cellIs" dxfId="13772" priority="10754" operator="lessThanOrEqual">
      <formula>0</formula>
    </cfRule>
  </conditionalFormatting>
  <conditionalFormatting sqref="R67">
    <cfRule type="cellIs" dxfId="13771" priority="10751" operator="greaterThan">
      <formula>0</formula>
    </cfRule>
    <cfRule type="cellIs" dxfId="13770" priority="10752" operator="lessThanOrEqual">
      <formula>0</formula>
    </cfRule>
  </conditionalFormatting>
  <conditionalFormatting sqref="Q67">
    <cfRule type="cellIs" dxfId="13769" priority="10749" operator="greaterThanOrEqual">
      <formula>0</formula>
    </cfRule>
    <cfRule type="cellIs" dxfId="13768" priority="10750" operator="lessThan">
      <formula>0</formula>
    </cfRule>
  </conditionalFormatting>
  <conditionalFormatting sqref="X13:X14 X16:X17 X19:X20 X22:X23 X29:X30 X32:X33 X35:X36 X38:X39 X48:X49">
    <cfRule type="cellIs" dxfId="13767" priority="10747" operator="lessThan">
      <formula>0</formula>
    </cfRule>
    <cfRule type="cellIs" dxfId="13766" priority="10748" operator="greaterThanOrEqual">
      <formula>0</formula>
    </cfRule>
  </conditionalFormatting>
  <conditionalFormatting sqref="X15 X24 X18 X21 X31 X34 X37 X40">
    <cfRule type="cellIs" dxfId="13765" priority="10746" operator="greaterThanOrEqual">
      <formula>0</formula>
    </cfRule>
  </conditionalFormatting>
  <conditionalFormatting sqref="X15 X24 X18 X21 X31 X34 X37 X40">
    <cfRule type="cellIs" dxfId="13764" priority="10745" operator="lessThan">
      <formula>0</formula>
    </cfRule>
  </conditionalFormatting>
  <conditionalFormatting sqref="X71 X73">
    <cfRule type="cellIs" dxfId="13763" priority="10743" operator="lessThan">
      <formula>0</formula>
    </cfRule>
    <cfRule type="cellIs" dxfId="13762" priority="10744" operator="greaterThanOrEqual">
      <formula>0</formula>
    </cfRule>
  </conditionalFormatting>
  <conditionalFormatting sqref="X67">
    <cfRule type="cellIs" dxfId="13761" priority="10741" operator="greaterThanOrEqual">
      <formula>0</formula>
    </cfRule>
    <cfRule type="cellIs" dxfId="13760" priority="10742" operator="lessThan">
      <formula>0</formula>
    </cfRule>
  </conditionalFormatting>
  <conditionalFormatting sqref="Y13:Y14">
    <cfRule type="cellIs" dxfId="13759" priority="10739" operator="greaterThan">
      <formula>0</formula>
    </cfRule>
    <cfRule type="cellIs" dxfId="13758" priority="10740" operator="lessThanOrEqual">
      <formula>0</formula>
    </cfRule>
  </conditionalFormatting>
  <conditionalFormatting sqref="Y68">
    <cfRule type="cellIs" dxfId="13757" priority="10737" operator="lessThan">
      <formula>0</formula>
    </cfRule>
    <cfRule type="cellIs" dxfId="13756" priority="10738" operator="greaterThanOrEqual">
      <formula>0</formula>
    </cfRule>
  </conditionalFormatting>
  <conditionalFormatting sqref="Y15 Y24 Y18 Y21 Y31 Y34 Y37 Y40">
    <cfRule type="cellIs" dxfId="13755" priority="10736" operator="greaterThanOrEqual">
      <formula>0</formula>
    </cfRule>
  </conditionalFormatting>
  <conditionalFormatting sqref="Y15 Y24 Y18 Y21 Y31 Y34 Y37 Y40">
    <cfRule type="cellIs" dxfId="13754" priority="10735" operator="lessThan">
      <formula>0</formula>
    </cfRule>
  </conditionalFormatting>
  <conditionalFormatting sqref="X68">
    <cfRule type="cellIs" dxfId="13753" priority="10733" operator="lessThan">
      <formula>0</formula>
    </cfRule>
    <cfRule type="cellIs" dxfId="13752" priority="10734" operator="greaterThanOrEqual">
      <formula>0</formula>
    </cfRule>
  </conditionalFormatting>
  <conditionalFormatting sqref="Y71 Y73">
    <cfRule type="cellIs" dxfId="13751" priority="10731" operator="lessThan">
      <formula>0</formula>
    </cfRule>
    <cfRule type="cellIs" dxfId="13750" priority="10732" operator="greaterThanOrEqual">
      <formula>0</formula>
    </cfRule>
  </conditionalFormatting>
  <conditionalFormatting sqref="Y67">
    <cfRule type="cellIs" dxfId="13749" priority="10729" operator="lessThan">
      <formula>0</formula>
    </cfRule>
    <cfRule type="cellIs" dxfId="13748" priority="10730" operator="greaterThanOrEqual">
      <formula>0</formula>
    </cfRule>
  </conditionalFormatting>
  <conditionalFormatting sqref="Q62">
    <cfRule type="cellIs" dxfId="13747" priority="10710" operator="greaterThanOrEqual">
      <formula>0</formula>
    </cfRule>
  </conditionalFormatting>
  <conditionalFormatting sqref="Q62">
    <cfRule type="cellIs" dxfId="13746" priority="10709" operator="lessThan">
      <formula>0</formula>
    </cfRule>
  </conditionalFormatting>
  <conditionalFormatting sqref="R44">
    <cfRule type="cellIs" dxfId="13745" priority="10719" operator="greaterThan">
      <formula>0</formula>
    </cfRule>
    <cfRule type="cellIs" dxfId="13744" priority="10720" operator="lessThanOrEqual">
      <formula>0</formula>
    </cfRule>
  </conditionalFormatting>
  <conditionalFormatting sqref="R47">
    <cfRule type="cellIs" dxfId="13743" priority="10717" operator="greaterThan">
      <formula>0</formula>
    </cfRule>
    <cfRule type="cellIs" dxfId="13742" priority="10718" operator="lessThanOrEqual">
      <formula>0</formula>
    </cfRule>
  </conditionalFormatting>
  <conditionalFormatting sqref="R50">
    <cfRule type="cellIs" dxfId="13741" priority="10715" operator="greaterThan">
      <formula>0</formula>
    </cfRule>
    <cfRule type="cellIs" dxfId="13740" priority="10716" operator="lessThanOrEqual">
      <formula>0</formula>
    </cfRule>
  </conditionalFormatting>
  <conditionalFormatting sqref="R28">
    <cfRule type="cellIs" dxfId="13739" priority="10727" operator="greaterThan">
      <formula>0</formula>
    </cfRule>
    <cfRule type="cellIs" dxfId="13738" priority="10728" operator="lessThanOrEqual">
      <formula>0</formula>
    </cfRule>
  </conditionalFormatting>
  <conditionalFormatting sqref="R41">
    <cfRule type="cellIs" dxfId="13737" priority="10725" operator="greaterThan">
      <formula>0</formula>
    </cfRule>
    <cfRule type="cellIs" dxfId="13736" priority="10726" operator="lessThanOrEqual">
      <formula>0</formula>
    </cfRule>
  </conditionalFormatting>
  <conditionalFormatting sqref="U182">
    <cfRule type="cellIs" dxfId="13735" priority="10514" operator="greaterThanOrEqual">
      <formula>0</formula>
    </cfRule>
  </conditionalFormatting>
  <conditionalFormatting sqref="U182">
    <cfRule type="cellIs" dxfId="13734" priority="10513" operator="lessThan">
      <formula>0</formula>
    </cfRule>
  </conditionalFormatting>
  <conditionalFormatting sqref="R42:R43 R45:R46">
    <cfRule type="cellIs" dxfId="13733" priority="10723" operator="greaterThan">
      <formula>0</formula>
    </cfRule>
    <cfRule type="cellIs" dxfId="13732" priority="10724" operator="lessThanOrEqual">
      <formula>0</formula>
    </cfRule>
  </conditionalFormatting>
  <conditionalFormatting sqref="R57:R58 R60:R61">
    <cfRule type="cellIs" dxfId="13731" priority="10721" operator="greaterThan">
      <formula>0</formula>
    </cfRule>
    <cfRule type="cellIs" dxfId="13730" priority="10722" operator="lessThanOrEqual">
      <formula>0</formula>
    </cfRule>
  </conditionalFormatting>
  <conditionalFormatting sqref="R59">
    <cfRule type="cellIs" dxfId="13729" priority="10713" operator="greaterThan">
      <formula>0</formula>
    </cfRule>
    <cfRule type="cellIs" dxfId="13728" priority="10714" operator="lessThanOrEqual">
      <formula>0</formula>
    </cfRule>
  </conditionalFormatting>
  <conditionalFormatting sqref="R62">
    <cfRule type="cellIs" dxfId="13727" priority="10711" operator="greaterThan">
      <formula>0</formula>
    </cfRule>
    <cfRule type="cellIs" dxfId="13726" priority="10712" operator="lessThanOrEqual">
      <formula>0</formula>
    </cfRule>
  </conditionalFormatting>
  <conditionalFormatting sqref="R65">
    <cfRule type="cellIs" dxfId="13725" priority="10707" operator="greaterThan">
      <formula>0</formula>
    </cfRule>
    <cfRule type="cellIs" dxfId="13724" priority="10708" operator="lessThanOrEqual">
      <formula>0</formula>
    </cfRule>
  </conditionalFormatting>
  <conditionalFormatting sqref="V47">
    <cfRule type="cellIs" dxfId="13723" priority="10377" operator="greaterThan">
      <formula>0</formula>
    </cfRule>
    <cfRule type="cellIs" dxfId="13722" priority="10378" operator="lessThanOrEqual">
      <formula>0</formula>
    </cfRule>
  </conditionalFormatting>
  <conditionalFormatting sqref="V59">
    <cfRule type="cellIs" dxfId="13721" priority="10373" operator="greaterThan">
      <formula>0</formula>
    </cfRule>
    <cfRule type="cellIs" dxfId="13720" priority="10374" operator="lessThanOrEqual">
      <formula>0</formula>
    </cfRule>
  </conditionalFormatting>
  <conditionalFormatting sqref="U62">
    <cfRule type="cellIs" dxfId="13719" priority="10370" operator="greaterThanOrEqual">
      <formula>0</formula>
    </cfRule>
  </conditionalFormatting>
  <conditionalFormatting sqref="U62">
    <cfRule type="cellIs" dxfId="13718" priority="10369" operator="lessThan">
      <formula>0</formula>
    </cfRule>
  </conditionalFormatting>
  <conditionalFormatting sqref="R134">
    <cfRule type="cellIs" dxfId="13717" priority="10705" operator="greaterThan">
      <formula>0</formula>
    </cfRule>
    <cfRule type="cellIs" dxfId="13716" priority="10706" operator="lessThanOrEqual">
      <formula>0</formula>
    </cfRule>
  </conditionalFormatting>
  <conditionalFormatting sqref="R136:R137">
    <cfRule type="cellIs" dxfId="13715" priority="10703" operator="greaterThan">
      <formula>0</formula>
    </cfRule>
    <cfRule type="cellIs" dxfId="13714" priority="10704" operator="lessThanOrEqual">
      <formula>0</formula>
    </cfRule>
  </conditionalFormatting>
  <conditionalFormatting sqref="R173:R174">
    <cfRule type="cellIs" dxfId="13713" priority="10685" operator="greaterThan">
      <formula>0</formula>
    </cfRule>
    <cfRule type="cellIs" dxfId="13712" priority="10686" operator="lessThanOrEqual">
      <formula>0</formula>
    </cfRule>
  </conditionalFormatting>
  <conditionalFormatting sqref="R144">
    <cfRule type="cellIs" dxfId="13711" priority="10675" operator="greaterThan">
      <formula>0</formula>
    </cfRule>
    <cfRule type="cellIs" dxfId="13710" priority="10676" operator="lessThanOrEqual">
      <formula>0</formula>
    </cfRule>
  </conditionalFormatting>
  <conditionalFormatting sqref="R154">
    <cfRule type="cellIs" dxfId="13709" priority="10673" operator="greaterThan">
      <formula>0</formula>
    </cfRule>
    <cfRule type="cellIs" dxfId="13708" priority="10674" operator="lessThanOrEqual">
      <formula>0</formula>
    </cfRule>
  </conditionalFormatting>
  <conditionalFormatting sqref="R157">
    <cfRule type="cellIs" dxfId="13707" priority="10671" operator="greaterThan">
      <formula>0</formula>
    </cfRule>
    <cfRule type="cellIs" dxfId="13706" priority="10672" operator="lessThanOrEqual">
      <formula>0</formula>
    </cfRule>
  </conditionalFormatting>
  <conditionalFormatting sqref="Q164">
    <cfRule type="cellIs" dxfId="13705" priority="10556" operator="greaterThanOrEqual">
      <formula>0</formula>
    </cfRule>
  </conditionalFormatting>
  <conditionalFormatting sqref="Q164">
    <cfRule type="cellIs" dxfId="13704" priority="10555" operator="lessThan">
      <formula>0</formula>
    </cfRule>
  </conditionalFormatting>
  <conditionalFormatting sqref="R164">
    <cfRule type="cellIs" dxfId="13703" priority="10557" operator="greaterThan">
      <formula>0</formula>
    </cfRule>
    <cfRule type="cellIs" dxfId="13702" priority="10558" operator="lessThanOrEqual">
      <formula>0</formula>
    </cfRule>
  </conditionalFormatting>
  <conditionalFormatting sqref="U185">
    <cfRule type="cellIs" dxfId="13701" priority="10504" operator="greaterThanOrEqual">
      <formula>0</formula>
    </cfRule>
  </conditionalFormatting>
  <conditionalFormatting sqref="U185">
    <cfRule type="cellIs" dxfId="13700" priority="10503" operator="lessThan">
      <formula>0</formula>
    </cfRule>
  </conditionalFormatting>
  <conditionalFormatting sqref="Y145">
    <cfRule type="cellIs" dxfId="13699" priority="10602" operator="greaterThanOrEqual">
      <formula>0</formula>
    </cfRule>
  </conditionalFormatting>
  <conditionalFormatting sqref="Y145">
    <cfRule type="cellIs" dxfId="13698" priority="10601" operator="lessThan">
      <formula>0</formula>
    </cfRule>
  </conditionalFormatting>
  <conditionalFormatting sqref="U160 U186">
    <cfRule type="cellIs" dxfId="13697" priority="10654" operator="greaterThanOrEqual">
      <formula>0</formula>
    </cfRule>
  </conditionalFormatting>
  <conditionalFormatting sqref="U160 U186">
    <cfRule type="cellIs" dxfId="13696" priority="10653" operator="lessThan">
      <formula>0</formula>
    </cfRule>
  </conditionalFormatting>
  <conditionalFormatting sqref="R171">
    <cfRule type="cellIs" dxfId="13695" priority="10583" operator="greaterThan">
      <formula>0</formula>
    </cfRule>
    <cfRule type="cellIs" dxfId="13694" priority="10584" operator="lessThanOrEqual">
      <formula>0</formula>
    </cfRule>
  </conditionalFormatting>
  <conditionalFormatting sqref="Q171">
    <cfRule type="cellIs" dxfId="13693" priority="10582" operator="greaterThanOrEqual">
      <formula>0</formula>
    </cfRule>
  </conditionalFormatting>
  <conditionalFormatting sqref="Q171">
    <cfRule type="cellIs" dxfId="13692" priority="10581" operator="lessThan">
      <formula>0</formula>
    </cfRule>
  </conditionalFormatting>
  <conditionalFormatting sqref="Y167">
    <cfRule type="cellIs" dxfId="13691" priority="10540" operator="greaterThanOrEqual">
      <formula>0</formula>
    </cfRule>
  </conditionalFormatting>
  <conditionalFormatting sqref="Y167">
    <cfRule type="cellIs" dxfId="13690" priority="10539" operator="lessThan">
      <formula>0</formula>
    </cfRule>
  </conditionalFormatting>
  <conditionalFormatting sqref="R139:R140">
    <cfRule type="cellIs" dxfId="13689" priority="10701" operator="greaterThan">
      <formula>0</formula>
    </cfRule>
    <cfRule type="cellIs" dxfId="13688" priority="10702" operator="lessThanOrEqual">
      <formula>0</formula>
    </cfRule>
  </conditionalFormatting>
  <conditionalFormatting sqref="R149:R150">
    <cfRule type="cellIs" dxfId="13687" priority="10699" operator="greaterThan">
      <formula>0</formula>
    </cfRule>
    <cfRule type="cellIs" dxfId="13686" priority="10700" operator="lessThanOrEqual">
      <formula>0</formula>
    </cfRule>
  </conditionalFormatting>
  <conditionalFormatting sqref="R142:R143">
    <cfRule type="cellIs" dxfId="13685" priority="10697" operator="greaterThan">
      <formula>0</formula>
    </cfRule>
    <cfRule type="cellIs" dxfId="13684" priority="10698" operator="lessThanOrEqual">
      <formula>0</formula>
    </cfRule>
  </conditionalFormatting>
  <conditionalFormatting sqref="R152:R153">
    <cfRule type="cellIs" dxfId="13683" priority="10695" operator="greaterThan">
      <formula>0</formula>
    </cfRule>
    <cfRule type="cellIs" dxfId="13682" priority="10696" operator="lessThanOrEqual">
      <formula>0</formula>
    </cfRule>
  </conditionalFormatting>
  <conditionalFormatting sqref="R155:R156">
    <cfRule type="cellIs" dxfId="13681" priority="10693" operator="greaterThan">
      <formula>0</formula>
    </cfRule>
    <cfRule type="cellIs" dxfId="13680" priority="10694" operator="lessThanOrEqual">
      <formula>0</formula>
    </cfRule>
  </conditionalFormatting>
  <conditionalFormatting sqref="R158:R159">
    <cfRule type="cellIs" dxfId="13679" priority="10691" operator="greaterThan">
      <formula>0</formula>
    </cfRule>
    <cfRule type="cellIs" dxfId="13678" priority="10692" operator="lessThanOrEqual">
      <formula>0</formula>
    </cfRule>
  </conditionalFormatting>
  <conditionalFormatting sqref="R168:R169">
    <cfRule type="cellIs" dxfId="13677" priority="10689" operator="greaterThan">
      <formula>0</formula>
    </cfRule>
    <cfRule type="cellIs" dxfId="13676" priority="10690" operator="lessThanOrEqual">
      <formula>0</formula>
    </cfRule>
  </conditionalFormatting>
  <conditionalFormatting sqref="R183:R184">
    <cfRule type="cellIs" dxfId="13675" priority="10687" operator="greaterThan">
      <formula>0</formula>
    </cfRule>
    <cfRule type="cellIs" dxfId="13674" priority="10688" operator="lessThanOrEqual">
      <formula>0</formula>
    </cfRule>
  </conditionalFormatting>
  <conditionalFormatting sqref="R135">
    <cfRule type="cellIs" dxfId="13673" priority="10683" operator="greaterThan">
      <formula>0</formula>
    </cfRule>
    <cfRule type="cellIs" dxfId="13672" priority="10684" operator="lessThanOrEqual">
      <formula>0</formula>
    </cfRule>
  </conditionalFormatting>
  <conditionalFormatting sqref="R138">
    <cfRule type="cellIs" dxfId="13671" priority="10681" operator="greaterThan">
      <formula>0</formula>
    </cfRule>
    <cfRule type="cellIs" dxfId="13670" priority="10682" operator="lessThanOrEqual">
      <formula>0</formula>
    </cfRule>
  </conditionalFormatting>
  <conditionalFormatting sqref="R141">
    <cfRule type="cellIs" dxfId="13669" priority="10679" operator="greaterThan">
      <formula>0</formula>
    </cfRule>
    <cfRule type="cellIs" dxfId="13668" priority="10680" operator="lessThanOrEqual">
      <formula>0</formula>
    </cfRule>
  </conditionalFormatting>
  <conditionalFormatting sqref="R151">
    <cfRule type="cellIs" dxfId="13667" priority="10677" operator="greaterThan">
      <formula>0</formula>
    </cfRule>
    <cfRule type="cellIs" dxfId="13666" priority="10678" operator="lessThanOrEqual">
      <formula>0</formula>
    </cfRule>
  </conditionalFormatting>
  <conditionalFormatting sqref="R160">
    <cfRule type="cellIs" dxfId="13665" priority="10669" operator="greaterThan">
      <formula>0</formula>
    </cfRule>
    <cfRule type="cellIs" dxfId="13664" priority="10670" operator="lessThanOrEqual">
      <formula>0</formula>
    </cfRule>
  </conditionalFormatting>
  <conditionalFormatting sqref="R146">
    <cfRule type="cellIs" dxfId="13663" priority="10667" operator="greaterThan">
      <formula>0</formula>
    </cfRule>
    <cfRule type="cellIs" dxfId="13662" priority="10668" operator="lessThanOrEqual">
      <formula>0</formula>
    </cfRule>
  </conditionalFormatting>
  <conditionalFormatting sqref="R186">
    <cfRule type="cellIs" dxfId="13661" priority="10665" operator="greaterThan">
      <formula>0</formula>
    </cfRule>
    <cfRule type="cellIs" dxfId="13660" priority="10666" operator="lessThanOrEqual">
      <formula>0</formula>
    </cfRule>
  </conditionalFormatting>
  <conditionalFormatting sqref="Q133:Q134 Q136:Q137 Q139:Q140 Q149:Q150 Q142:Q143 Q152:Q153 Q155:Q156 Q158:Q159 Q168:Q169 Q183:Q184 Q173:Q174 U183:U184 U173:U174 X183:Y184 X173:Y174">
    <cfRule type="cellIs" dxfId="13659" priority="10663" operator="lessThan">
      <formula>0</formula>
    </cfRule>
    <cfRule type="cellIs" dxfId="13658" priority="10664" operator="greaterThanOrEqual">
      <formula>0</formula>
    </cfRule>
  </conditionalFormatting>
  <conditionalFormatting sqref="Q135 Q138 Q141 Q154 Q157 Q160 Q186 U146 X146:Y146 Q151 Q144 Q146">
    <cfRule type="cellIs" dxfId="13657" priority="10662" operator="greaterThanOrEqual">
      <formula>0</formula>
    </cfRule>
  </conditionalFormatting>
  <conditionalFormatting sqref="Q135 Q138 Q141 Q154 Q157 Q160 Q186 U146 X146:Y146 Q151 Q144 Q146">
    <cfRule type="cellIs" dxfId="13656" priority="10661" operator="lessThan">
      <formula>0</formula>
    </cfRule>
  </conditionalFormatting>
  <conditionalFormatting sqref="U133:U134 U136:U137 U139:U140 U149:U150 U142:U143 U152:U153 U155:U156">
    <cfRule type="cellIs" dxfId="13655" priority="10659" operator="lessThan">
      <formula>0</formula>
    </cfRule>
    <cfRule type="cellIs" dxfId="13654" priority="10660" operator="greaterThanOrEqual">
      <formula>0</formula>
    </cfRule>
  </conditionalFormatting>
  <conditionalFormatting sqref="U135 U138 U141 U151 U144 U154 U157">
    <cfRule type="cellIs" dxfId="13653" priority="10658" operator="greaterThanOrEqual">
      <formula>0</formula>
    </cfRule>
  </conditionalFormatting>
  <conditionalFormatting sqref="U135 U138 U141 U151 U144 U154 U157">
    <cfRule type="cellIs" dxfId="13652" priority="10657" operator="lessThan">
      <formula>0</formula>
    </cfRule>
  </conditionalFormatting>
  <conditionalFormatting sqref="U158:U159 U168:U169">
    <cfRule type="cellIs" dxfId="13651" priority="10655" operator="lessThan">
      <formula>0</formula>
    </cfRule>
    <cfRule type="cellIs" dxfId="13650" priority="10656" operator="greaterThanOrEqual">
      <formula>0</formula>
    </cfRule>
  </conditionalFormatting>
  <conditionalFormatting sqref="R187">
    <cfRule type="cellIs" dxfId="13649" priority="10651" operator="greaterThan">
      <formula>0</formula>
    </cfRule>
    <cfRule type="cellIs" dxfId="13648" priority="10652" operator="lessThanOrEqual">
      <formula>0</formula>
    </cfRule>
  </conditionalFormatting>
  <conditionalFormatting sqref="U187">
    <cfRule type="cellIs" dxfId="13647" priority="10649" operator="greaterThanOrEqual">
      <formula>0</formula>
    </cfRule>
    <cfRule type="cellIs" dxfId="13646" priority="10650" operator="lessThan">
      <formula>0</formula>
    </cfRule>
  </conditionalFormatting>
  <conditionalFormatting sqref="Q187">
    <cfRule type="cellIs" dxfId="13645" priority="10647" operator="greaterThanOrEqual">
      <formula>0</formula>
    </cfRule>
    <cfRule type="cellIs" dxfId="13644" priority="10648" operator="lessThan">
      <formula>0</formula>
    </cfRule>
  </conditionalFormatting>
  <conditionalFormatting sqref="X133:X134 X136:X137 X139:X140 X149:X150 X142:X143 X152:X153 X155:X156 X158:X159 X168:X169">
    <cfRule type="cellIs" dxfId="13643" priority="10645" operator="lessThan">
      <formula>0</formula>
    </cfRule>
    <cfRule type="cellIs" dxfId="13642" priority="10646" operator="greaterThanOrEqual">
      <formula>0</formula>
    </cfRule>
  </conditionalFormatting>
  <conditionalFormatting sqref="X135 X138 X141 X151 X144 X154 X157 X160 X186">
    <cfRule type="cellIs" dxfId="13641" priority="10644" operator="greaterThanOrEqual">
      <formula>0</formula>
    </cfRule>
  </conditionalFormatting>
  <conditionalFormatting sqref="X135 X138 X141 X151 X144 X154 X157 X160 X186">
    <cfRule type="cellIs" dxfId="13640" priority="10643" operator="lessThan">
      <formula>0</formula>
    </cfRule>
  </conditionalFormatting>
  <conditionalFormatting sqref="X187">
    <cfRule type="cellIs" dxfId="13639" priority="10641" operator="greaterThanOrEqual">
      <formula>0</formula>
    </cfRule>
    <cfRule type="cellIs" dxfId="13638" priority="10642" operator="lessThan">
      <formula>0</formula>
    </cfRule>
  </conditionalFormatting>
  <conditionalFormatting sqref="Y133:Y134">
    <cfRule type="cellIs" dxfId="13637" priority="10639" operator="greaterThan">
      <formula>0</formula>
    </cfRule>
    <cfRule type="cellIs" dxfId="13636" priority="10640" operator="lessThanOrEqual">
      <formula>0</formula>
    </cfRule>
  </conditionalFormatting>
  <conditionalFormatting sqref="Y136:Y137">
    <cfRule type="cellIs" dxfId="13635" priority="10637" operator="greaterThan">
      <formula>0</formula>
    </cfRule>
    <cfRule type="cellIs" dxfId="13634" priority="10638" operator="lessThanOrEqual">
      <formula>0</formula>
    </cfRule>
  </conditionalFormatting>
  <conditionalFormatting sqref="Y139:Y140">
    <cfRule type="cellIs" dxfId="13633" priority="10635" operator="greaterThan">
      <formula>0</formula>
    </cfRule>
    <cfRule type="cellIs" dxfId="13632" priority="10636" operator="lessThanOrEqual">
      <formula>0</formula>
    </cfRule>
  </conditionalFormatting>
  <conditionalFormatting sqref="Y149:Y150">
    <cfRule type="cellIs" dxfId="13631" priority="10633" operator="greaterThan">
      <formula>0</formula>
    </cfRule>
    <cfRule type="cellIs" dxfId="13630" priority="10634" operator="lessThanOrEqual">
      <formula>0</formula>
    </cfRule>
  </conditionalFormatting>
  <conditionalFormatting sqref="Y142:Y143">
    <cfRule type="cellIs" dxfId="13629" priority="10631" operator="greaterThan">
      <formula>0</formula>
    </cfRule>
    <cfRule type="cellIs" dxfId="13628" priority="10632" operator="lessThanOrEqual">
      <formula>0</formula>
    </cfRule>
  </conditionalFormatting>
  <conditionalFormatting sqref="Y152:Y153">
    <cfRule type="cellIs" dxfId="13627" priority="10629" operator="greaterThan">
      <formula>0</formula>
    </cfRule>
    <cfRule type="cellIs" dxfId="13626" priority="10630" operator="lessThanOrEqual">
      <formula>0</formula>
    </cfRule>
  </conditionalFormatting>
  <conditionalFormatting sqref="Y155:Y156">
    <cfRule type="cellIs" dxfId="13625" priority="10627" operator="greaterThan">
      <formula>0</formula>
    </cfRule>
    <cfRule type="cellIs" dxfId="13624" priority="10628" operator="lessThanOrEqual">
      <formula>0</formula>
    </cfRule>
  </conditionalFormatting>
  <conditionalFormatting sqref="Y158:Y159 Y168:Y169">
    <cfRule type="cellIs" dxfId="13623" priority="10625" operator="lessThan">
      <formula>0</formula>
    </cfRule>
    <cfRule type="cellIs" dxfId="13622" priority="10626" operator="greaterThanOrEqual">
      <formula>0</formula>
    </cfRule>
  </conditionalFormatting>
  <conditionalFormatting sqref="Y135 Y138 Y141 Y151 Y144 Y154 Y157 Y160 Y186">
    <cfRule type="cellIs" dxfId="13621" priority="10624" operator="greaterThanOrEqual">
      <formula>0</formula>
    </cfRule>
  </conditionalFormatting>
  <conditionalFormatting sqref="Y135 Y138 Y141 Y151 Y144 Y154 Y157 Y160 Y186">
    <cfRule type="cellIs" dxfId="13620" priority="10623" operator="lessThan">
      <formula>0</formula>
    </cfRule>
  </conditionalFormatting>
  <conditionalFormatting sqref="Y187">
    <cfRule type="cellIs" dxfId="13619" priority="10621" operator="lessThan">
      <formula>0</formula>
    </cfRule>
    <cfRule type="cellIs" dxfId="13618" priority="10622" operator="greaterThanOrEqual">
      <formula>0</formula>
    </cfRule>
  </conditionalFormatting>
  <conditionalFormatting sqref="R172">
    <cfRule type="cellIs" dxfId="13617" priority="10619" operator="greaterThan">
      <formula>0</formula>
    </cfRule>
    <cfRule type="cellIs" dxfId="13616" priority="10620" operator="lessThanOrEqual">
      <formula>0</formula>
    </cfRule>
  </conditionalFormatting>
  <conditionalFormatting sqref="Q172">
    <cfRule type="cellIs" dxfId="13615" priority="10618" operator="greaterThanOrEqual">
      <formula>0</formula>
    </cfRule>
  </conditionalFormatting>
  <conditionalFormatting sqref="Q172">
    <cfRule type="cellIs" dxfId="13614" priority="10617" operator="lessThan">
      <formula>0</formula>
    </cfRule>
  </conditionalFormatting>
  <conditionalFormatting sqref="U172">
    <cfRule type="cellIs" dxfId="13613" priority="10616" operator="greaterThanOrEqual">
      <formula>0</formula>
    </cfRule>
  </conditionalFormatting>
  <conditionalFormatting sqref="U172">
    <cfRule type="cellIs" dxfId="13612" priority="10615" operator="lessThan">
      <formula>0</formula>
    </cfRule>
  </conditionalFormatting>
  <conditionalFormatting sqref="X172">
    <cfRule type="cellIs" dxfId="13611" priority="10614" operator="greaterThanOrEqual">
      <formula>0</formula>
    </cfRule>
  </conditionalFormatting>
  <conditionalFormatting sqref="X172">
    <cfRule type="cellIs" dxfId="13610" priority="10613" operator="lessThan">
      <formula>0</formula>
    </cfRule>
  </conditionalFormatting>
  <conditionalFormatting sqref="Y172">
    <cfRule type="cellIs" dxfId="13609" priority="10612" operator="greaterThanOrEqual">
      <formula>0</formula>
    </cfRule>
  </conditionalFormatting>
  <conditionalFormatting sqref="Y172">
    <cfRule type="cellIs" dxfId="13608" priority="10611" operator="lessThan">
      <formula>0</formula>
    </cfRule>
  </conditionalFormatting>
  <conditionalFormatting sqref="Q161">
    <cfRule type="cellIs" dxfId="13607" priority="10590" operator="greaterThanOrEqual">
      <formula>0</formula>
    </cfRule>
  </conditionalFormatting>
  <conditionalFormatting sqref="Q161">
    <cfRule type="cellIs" dxfId="13606" priority="10589" operator="lessThan">
      <formula>0</formula>
    </cfRule>
  </conditionalFormatting>
  <conditionalFormatting sqref="R145">
    <cfRule type="cellIs" dxfId="13605" priority="10609" operator="greaterThan">
      <formula>0</formula>
    </cfRule>
    <cfRule type="cellIs" dxfId="13604" priority="10610" operator="lessThanOrEqual">
      <formula>0</formula>
    </cfRule>
  </conditionalFormatting>
  <conditionalFormatting sqref="Q145">
    <cfRule type="cellIs" dxfId="13603" priority="10608" operator="greaterThanOrEqual">
      <formula>0</formula>
    </cfRule>
  </conditionalFormatting>
  <conditionalFormatting sqref="Q145">
    <cfRule type="cellIs" dxfId="13602" priority="10607" operator="lessThan">
      <formula>0</formula>
    </cfRule>
  </conditionalFormatting>
  <conditionalFormatting sqref="U145">
    <cfRule type="cellIs" dxfId="13601" priority="10606" operator="greaterThanOrEqual">
      <formula>0</formula>
    </cfRule>
  </conditionalFormatting>
  <conditionalFormatting sqref="U145">
    <cfRule type="cellIs" dxfId="13600" priority="10605" operator="lessThan">
      <formula>0</formula>
    </cfRule>
  </conditionalFormatting>
  <conditionalFormatting sqref="X145">
    <cfRule type="cellIs" dxfId="13599" priority="10604" operator="greaterThanOrEqual">
      <formula>0</formula>
    </cfRule>
  </conditionalFormatting>
  <conditionalFormatting sqref="X145">
    <cfRule type="cellIs" dxfId="13598" priority="10603" operator="lessThan">
      <formula>0</formula>
    </cfRule>
  </conditionalFormatting>
  <conditionalFormatting sqref="U148">
    <cfRule type="cellIs" dxfId="13597" priority="10596" operator="greaterThanOrEqual">
      <formula>0</formula>
    </cfRule>
  </conditionalFormatting>
  <conditionalFormatting sqref="U148">
    <cfRule type="cellIs" dxfId="13596" priority="10595" operator="lessThan">
      <formula>0</formula>
    </cfRule>
  </conditionalFormatting>
  <conditionalFormatting sqref="X164">
    <cfRule type="cellIs" dxfId="13595" priority="10552" operator="greaterThanOrEqual">
      <formula>0</formula>
    </cfRule>
  </conditionalFormatting>
  <conditionalFormatting sqref="X164">
    <cfRule type="cellIs" dxfId="13594" priority="10551" operator="lessThan">
      <formula>0</formula>
    </cfRule>
  </conditionalFormatting>
  <conditionalFormatting sqref="X148:Y148">
    <cfRule type="cellIs" dxfId="13593" priority="10594" operator="greaterThanOrEqual">
      <formula>0</formula>
    </cfRule>
  </conditionalFormatting>
  <conditionalFormatting sqref="X148:Y148">
    <cfRule type="cellIs" dxfId="13592" priority="10593" operator="lessThan">
      <formula>0</formula>
    </cfRule>
  </conditionalFormatting>
  <conditionalFormatting sqref="R167">
    <cfRule type="cellIs" dxfId="13591" priority="10547" operator="greaterThan">
      <formula>0</formula>
    </cfRule>
    <cfRule type="cellIs" dxfId="13590" priority="10548" operator="lessThanOrEqual">
      <formula>0</formula>
    </cfRule>
  </conditionalFormatting>
  <conditionalFormatting sqref="Q167">
    <cfRule type="cellIs" dxfId="13589" priority="10546" operator="greaterThanOrEqual">
      <formula>0</formula>
    </cfRule>
  </conditionalFormatting>
  <conditionalFormatting sqref="Q167">
    <cfRule type="cellIs" dxfId="13588" priority="10545" operator="lessThan">
      <formula>0</formula>
    </cfRule>
  </conditionalFormatting>
  <conditionalFormatting sqref="R170">
    <cfRule type="cellIs" dxfId="13587" priority="10537" operator="greaterThan">
      <formula>0</formula>
    </cfRule>
    <cfRule type="cellIs" dxfId="13586" priority="10538" operator="lessThanOrEqual">
      <formula>0</formula>
    </cfRule>
  </conditionalFormatting>
  <conditionalFormatting sqref="Q170">
    <cfRule type="cellIs" dxfId="13585" priority="10536" operator="greaterThanOrEqual">
      <formula>0</formula>
    </cfRule>
  </conditionalFormatting>
  <conditionalFormatting sqref="Q170">
    <cfRule type="cellIs" dxfId="13584" priority="10535" operator="lessThan">
      <formula>0</formula>
    </cfRule>
  </conditionalFormatting>
  <conditionalFormatting sqref="X171:Y171">
    <cfRule type="cellIs" dxfId="13583" priority="10578" operator="greaterThanOrEqual">
      <formula>0</formula>
    </cfRule>
  </conditionalFormatting>
  <conditionalFormatting sqref="X171:Y171">
    <cfRule type="cellIs" dxfId="13582" priority="10577" operator="lessThan">
      <formula>0</formula>
    </cfRule>
  </conditionalFormatting>
  <conditionalFormatting sqref="Q179">
    <cfRule type="cellIs" dxfId="13581" priority="10526" operator="greaterThanOrEqual">
      <formula>0</formula>
    </cfRule>
  </conditionalFormatting>
  <conditionalFormatting sqref="Q179">
    <cfRule type="cellIs" dxfId="13580" priority="10525" operator="lessThan">
      <formula>0</formula>
    </cfRule>
  </conditionalFormatting>
  <conditionalFormatting sqref="R148">
    <cfRule type="cellIs" dxfId="13579" priority="10599" operator="greaterThan">
      <formula>0</formula>
    </cfRule>
    <cfRule type="cellIs" dxfId="13578" priority="10600" operator="lessThanOrEqual">
      <formula>0</formula>
    </cfRule>
  </conditionalFormatting>
  <conditionalFormatting sqref="Q148">
    <cfRule type="cellIs" dxfId="13577" priority="10598" operator="greaterThanOrEqual">
      <formula>0</formula>
    </cfRule>
  </conditionalFormatting>
  <conditionalFormatting sqref="Q148">
    <cfRule type="cellIs" dxfId="13576" priority="10597" operator="lessThan">
      <formula>0</formula>
    </cfRule>
  </conditionalFormatting>
  <conditionalFormatting sqref="U161">
    <cfRule type="cellIs" dxfId="13575" priority="10588" operator="greaterThanOrEqual">
      <formula>0</formula>
    </cfRule>
  </conditionalFormatting>
  <conditionalFormatting sqref="U161">
    <cfRule type="cellIs" dxfId="13574" priority="10587" operator="lessThan">
      <formula>0</formula>
    </cfRule>
  </conditionalFormatting>
  <conditionalFormatting sqref="X161:Y161">
    <cfRule type="cellIs" dxfId="13573" priority="10586" operator="greaterThanOrEqual">
      <formula>0</formula>
    </cfRule>
  </conditionalFormatting>
  <conditionalFormatting sqref="X161:Y161">
    <cfRule type="cellIs" dxfId="13572" priority="10585" operator="lessThan">
      <formula>0</formula>
    </cfRule>
  </conditionalFormatting>
  <conditionalFormatting sqref="R161">
    <cfRule type="cellIs" dxfId="13571" priority="10591" operator="greaterThan">
      <formula>0</formula>
    </cfRule>
    <cfRule type="cellIs" dxfId="13570" priority="10592" operator="lessThanOrEqual">
      <formula>0</formula>
    </cfRule>
  </conditionalFormatting>
  <conditionalFormatting sqref="U171">
    <cfRule type="cellIs" dxfId="13569" priority="10580" operator="greaterThanOrEqual">
      <formula>0</formula>
    </cfRule>
  </conditionalFormatting>
  <conditionalFormatting sqref="U171">
    <cfRule type="cellIs" dxfId="13568" priority="10579" operator="lessThan">
      <formula>0</formula>
    </cfRule>
  </conditionalFormatting>
  <conditionalFormatting sqref="Y164">
    <cfRule type="cellIs" dxfId="13567" priority="10549" operator="lessThan">
      <formula>0</formula>
    </cfRule>
  </conditionalFormatting>
  <conditionalFormatting sqref="Y170">
    <cfRule type="cellIs" dxfId="13566" priority="10529" operator="lessThan">
      <formula>0</formula>
    </cfRule>
  </conditionalFormatting>
  <conditionalFormatting sqref="U164">
    <cfRule type="cellIs" dxfId="13565" priority="10554" operator="greaterThanOrEqual">
      <formula>0</formula>
    </cfRule>
  </conditionalFormatting>
  <conditionalFormatting sqref="U164">
    <cfRule type="cellIs" dxfId="13564" priority="10553" operator="lessThan">
      <formula>0</formula>
    </cfRule>
  </conditionalFormatting>
  <conditionalFormatting sqref="Y164">
    <cfRule type="cellIs" dxfId="13563" priority="10550" operator="greaterThanOrEqual">
      <formula>0</formula>
    </cfRule>
  </conditionalFormatting>
  <conditionalFormatting sqref="Y179">
    <cfRule type="cellIs" dxfId="13562" priority="10519" operator="lessThan">
      <formula>0</formula>
    </cfRule>
  </conditionalFormatting>
  <conditionalFormatting sqref="R162:R163 R165:R166">
    <cfRule type="cellIs" dxfId="13561" priority="10575" operator="greaterThan">
      <formula>0</formula>
    </cfRule>
    <cfRule type="cellIs" dxfId="13560" priority="10576" operator="lessThanOrEqual">
      <formula>0</formula>
    </cfRule>
  </conditionalFormatting>
  <conditionalFormatting sqref="Q162:Q163 Q165:Q166">
    <cfRule type="cellIs" dxfId="13559" priority="10573" operator="lessThan">
      <formula>0</formula>
    </cfRule>
    <cfRule type="cellIs" dxfId="13558" priority="10574" operator="greaterThanOrEqual">
      <formula>0</formula>
    </cfRule>
  </conditionalFormatting>
  <conditionalFormatting sqref="U162:U163 U165:U166">
    <cfRule type="cellIs" dxfId="13557" priority="10571" operator="lessThan">
      <formula>0</formula>
    </cfRule>
    <cfRule type="cellIs" dxfId="13556" priority="10572" operator="greaterThanOrEqual">
      <formula>0</formula>
    </cfRule>
  </conditionalFormatting>
  <conditionalFormatting sqref="X162:X163 X165:X166">
    <cfRule type="cellIs" dxfId="13555" priority="10569" operator="lessThan">
      <formula>0</formula>
    </cfRule>
    <cfRule type="cellIs" dxfId="13554" priority="10570" operator="greaterThanOrEqual">
      <formula>0</formula>
    </cfRule>
  </conditionalFormatting>
  <conditionalFormatting sqref="Y162:Y163 Y165:Y166">
    <cfRule type="cellIs" dxfId="13553" priority="10567" operator="lessThan">
      <formula>0</formula>
    </cfRule>
    <cfRule type="cellIs" dxfId="13552" priority="10568" operator="greaterThanOrEqual">
      <formula>0</formula>
    </cfRule>
  </conditionalFormatting>
  <conditionalFormatting sqref="U177:U178 U180:U181">
    <cfRule type="cellIs" dxfId="13551" priority="10561" operator="lessThan">
      <formula>0</formula>
    </cfRule>
    <cfRule type="cellIs" dxfId="13550" priority="10562" operator="greaterThanOrEqual">
      <formula>0</formula>
    </cfRule>
  </conditionalFormatting>
  <conditionalFormatting sqref="X177:Y178 X180:Y181">
    <cfRule type="cellIs" dxfId="13549" priority="10559" operator="lessThan">
      <formula>0</formula>
    </cfRule>
    <cfRule type="cellIs" dxfId="13548" priority="10560" operator="greaterThanOrEqual">
      <formula>0</formula>
    </cfRule>
  </conditionalFormatting>
  <conditionalFormatting sqref="R177:R178 R180:R181">
    <cfRule type="cellIs" dxfId="13547" priority="10565" operator="greaterThan">
      <formula>0</formula>
    </cfRule>
    <cfRule type="cellIs" dxfId="13546" priority="10566" operator="lessThanOrEqual">
      <formula>0</formula>
    </cfRule>
  </conditionalFormatting>
  <conditionalFormatting sqref="Q177:Q178 Q180:Q181">
    <cfRule type="cellIs" dxfId="13545" priority="10563" operator="lessThan">
      <formula>0</formula>
    </cfRule>
    <cfRule type="cellIs" dxfId="13544" priority="10564" operator="greaterThanOrEqual">
      <formula>0</formula>
    </cfRule>
  </conditionalFormatting>
  <conditionalFormatting sqref="R179">
    <cfRule type="cellIs" dxfId="13543" priority="10527" operator="greaterThan">
      <formula>0</formula>
    </cfRule>
    <cfRule type="cellIs" dxfId="13542" priority="10528" operator="lessThanOrEqual">
      <formula>0</formula>
    </cfRule>
  </conditionalFormatting>
  <conditionalFormatting sqref="Q182">
    <cfRule type="cellIs" dxfId="13541" priority="10516" operator="greaterThanOrEqual">
      <formula>0</formula>
    </cfRule>
  </conditionalFormatting>
  <conditionalFormatting sqref="Q182">
    <cfRule type="cellIs" dxfId="13540" priority="10515" operator="lessThan">
      <formula>0</formula>
    </cfRule>
  </conditionalFormatting>
  <conditionalFormatting sqref="U167">
    <cfRule type="cellIs" dxfId="13539" priority="10544" operator="greaterThanOrEqual">
      <formula>0</formula>
    </cfRule>
  </conditionalFormatting>
  <conditionalFormatting sqref="U167">
    <cfRule type="cellIs" dxfId="13538" priority="10543" operator="lessThan">
      <formula>0</formula>
    </cfRule>
  </conditionalFormatting>
  <conditionalFormatting sqref="X167">
    <cfRule type="cellIs" dxfId="13537" priority="10542" operator="greaterThanOrEqual">
      <formula>0</formula>
    </cfRule>
  </conditionalFormatting>
  <conditionalFormatting sqref="X167">
    <cfRule type="cellIs" dxfId="13536" priority="10541" operator="lessThan">
      <formula>0</formula>
    </cfRule>
  </conditionalFormatting>
  <conditionalFormatting sqref="Y182">
    <cfRule type="cellIs" dxfId="13535" priority="10509" operator="lessThan">
      <formula>0</formula>
    </cfRule>
  </conditionalFormatting>
  <conditionalFormatting sqref="R182">
    <cfRule type="cellIs" dxfId="13534" priority="10517" operator="greaterThan">
      <formula>0</formula>
    </cfRule>
    <cfRule type="cellIs" dxfId="13533" priority="10518" operator="lessThanOrEqual">
      <formula>0</formula>
    </cfRule>
  </conditionalFormatting>
  <conditionalFormatting sqref="Q185">
    <cfRule type="cellIs" dxfId="13532" priority="10506" operator="greaterThanOrEqual">
      <formula>0</formula>
    </cfRule>
  </conditionalFormatting>
  <conditionalFormatting sqref="Q185">
    <cfRule type="cellIs" dxfId="13531" priority="10505" operator="lessThan">
      <formula>0</formula>
    </cfRule>
  </conditionalFormatting>
  <conditionalFormatting sqref="X170">
    <cfRule type="cellIs" dxfId="13530" priority="10532" operator="greaterThanOrEqual">
      <formula>0</formula>
    </cfRule>
  </conditionalFormatting>
  <conditionalFormatting sqref="X170">
    <cfRule type="cellIs" dxfId="13529" priority="10531" operator="lessThan">
      <formula>0</formula>
    </cfRule>
  </conditionalFormatting>
  <conditionalFormatting sqref="Y185">
    <cfRule type="cellIs" dxfId="13528" priority="10499" operator="lessThan">
      <formula>0</formula>
    </cfRule>
  </conditionalFormatting>
  <conditionalFormatting sqref="U170">
    <cfRule type="cellIs" dxfId="13527" priority="10534" operator="greaterThanOrEqual">
      <formula>0</formula>
    </cfRule>
  </conditionalFormatting>
  <conditionalFormatting sqref="U170">
    <cfRule type="cellIs" dxfId="13526" priority="10533" operator="lessThan">
      <formula>0</formula>
    </cfRule>
  </conditionalFormatting>
  <conditionalFormatting sqref="Y170">
    <cfRule type="cellIs" dxfId="13525" priority="10530" operator="greaterThanOrEqual">
      <formula>0</formula>
    </cfRule>
  </conditionalFormatting>
  <conditionalFormatting sqref="R185">
    <cfRule type="cellIs" dxfId="13524" priority="10507" operator="greaterThan">
      <formula>0</formula>
    </cfRule>
    <cfRule type="cellIs" dxfId="13523" priority="10508" operator="lessThanOrEqual">
      <formula>0</formula>
    </cfRule>
  </conditionalFormatting>
  <conditionalFormatting sqref="U179">
    <cfRule type="cellIs" dxfId="13522" priority="10524" operator="greaterThanOrEqual">
      <formula>0</formula>
    </cfRule>
  </conditionalFormatting>
  <conditionalFormatting sqref="U179">
    <cfRule type="cellIs" dxfId="13521" priority="10523" operator="lessThan">
      <formula>0</formula>
    </cfRule>
  </conditionalFormatting>
  <conditionalFormatting sqref="X179">
    <cfRule type="cellIs" dxfId="13520" priority="10522" operator="greaterThanOrEqual">
      <formula>0</formula>
    </cfRule>
  </conditionalFormatting>
  <conditionalFormatting sqref="X179">
    <cfRule type="cellIs" dxfId="13519" priority="10521" operator="lessThan">
      <formula>0</formula>
    </cfRule>
  </conditionalFormatting>
  <conditionalFormatting sqref="Y179">
    <cfRule type="cellIs" dxfId="13518" priority="10520" operator="greaterThanOrEqual">
      <formula>0</formula>
    </cfRule>
  </conditionalFormatting>
  <conditionalFormatting sqref="X182">
    <cfRule type="cellIs" dxfId="13517" priority="10512" operator="greaterThanOrEqual">
      <formula>0</formula>
    </cfRule>
  </conditionalFormatting>
  <conditionalFormatting sqref="X182">
    <cfRule type="cellIs" dxfId="13516" priority="10511" operator="lessThan">
      <formula>0</formula>
    </cfRule>
  </conditionalFormatting>
  <conditionalFormatting sqref="Y182">
    <cfRule type="cellIs" dxfId="13515" priority="10510" operator="greaterThanOrEqual">
      <formula>0</formula>
    </cfRule>
  </conditionalFormatting>
  <conditionalFormatting sqref="X185">
    <cfRule type="cellIs" dxfId="13514" priority="10502" operator="greaterThanOrEqual">
      <formula>0</formula>
    </cfRule>
  </conditionalFormatting>
  <conditionalFormatting sqref="X185">
    <cfRule type="cellIs" dxfId="13513" priority="10501" operator="lessThan">
      <formula>0</formula>
    </cfRule>
  </conditionalFormatting>
  <conditionalFormatting sqref="Y185">
    <cfRule type="cellIs" dxfId="13512" priority="10500" operator="greaterThanOrEqual">
      <formula>0</formula>
    </cfRule>
  </conditionalFormatting>
  <conditionalFormatting sqref="R25">
    <cfRule type="cellIs" dxfId="13511" priority="10497" operator="greaterThan">
      <formula>0</formula>
    </cfRule>
    <cfRule type="cellIs" dxfId="13510" priority="10498" operator="lessThanOrEqual">
      <formula>0</formula>
    </cfRule>
  </conditionalFormatting>
  <conditionalFormatting sqref="Y52">
    <cfRule type="cellIs" dxfId="13509" priority="10485" operator="lessThan">
      <formula>0</formula>
    </cfRule>
  </conditionalFormatting>
  <conditionalFormatting sqref="R56">
    <cfRule type="cellIs" dxfId="13508" priority="10495" operator="greaterThan">
      <formula>0</formula>
    </cfRule>
    <cfRule type="cellIs" dxfId="13507" priority="10496" operator="lessThanOrEqual">
      <formula>0</formula>
    </cfRule>
  </conditionalFormatting>
  <conditionalFormatting sqref="Q56">
    <cfRule type="cellIs" dxfId="13506" priority="10494" operator="greaterThanOrEqual">
      <formula>0</formula>
    </cfRule>
  </conditionalFormatting>
  <conditionalFormatting sqref="Q56">
    <cfRule type="cellIs" dxfId="13505" priority="10493" operator="lessThan">
      <formula>0</formula>
    </cfRule>
  </conditionalFormatting>
  <conditionalFormatting sqref="R52">
    <cfRule type="cellIs" dxfId="13504" priority="10491" operator="greaterThan">
      <formula>0</formula>
    </cfRule>
    <cfRule type="cellIs" dxfId="13503" priority="10492" operator="lessThanOrEqual">
      <formula>0</formula>
    </cfRule>
  </conditionalFormatting>
  <conditionalFormatting sqref="Q52">
    <cfRule type="cellIs" dxfId="13502" priority="10490" operator="greaterThanOrEqual">
      <formula>0</formula>
    </cfRule>
  </conditionalFormatting>
  <conditionalFormatting sqref="Q52">
    <cfRule type="cellIs" dxfId="13501" priority="10489" operator="lessThan">
      <formula>0</formula>
    </cfRule>
  </conditionalFormatting>
  <conditionalFormatting sqref="X52">
    <cfRule type="cellIs" dxfId="13500" priority="10488" operator="greaterThanOrEqual">
      <formula>0</formula>
    </cfRule>
  </conditionalFormatting>
  <conditionalFormatting sqref="X52">
    <cfRule type="cellIs" dxfId="13499" priority="10487" operator="lessThan">
      <formula>0</formula>
    </cfRule>
  </conditionalFormatting>
  <conditionalFormatting sqref="Y52">
    <cfRule type="cellIs" dxfId="13498" priority="10486" operator="greaterThanOrEqual">
      <formula>0</formula>
    </cfRule>
  </conditionalFormatting>
  <conditionalFormatting sqref="R69">
    <cfRule type="cellIs" dxfId="13497" priority="10483" operator="greaterThan">
      <formula>0</formula>
    </cfRule>
    <cfRule type="cellIs" dxfId="13496" priority="10484" operator="lessThanOrEqual">
      <formula>0</formula>
    </cfRule>
  </conditionalFormatting>
  <conditionalFormatting sqref="X69">
    <cfRule type="cellIs" dxfId="13495" priority="10481" operator="lessThan">
      <formula>0</formula>
    </cfRule>
    <cfRule type="cellIs" dxfId="13494" priority="10482" operator="greaterThanOrEqual">
      <formula>0</formula>
    </cfRule>
  </conditionalFormatting>
  <conditionalFormatting sqref="Y69">
    <cfRule type="cellIs" dxfId="13493" priority="10479" operator="lessThan">
      <formula>0</formula>
    </cfRule>
    <cfRule type="cellIs" dxfId="13492" priority="10480" operator="greaterThanOrEqual">
      <formula>0</formula>
    </cfRule>
  </conditionalFormatting>
  <conditionalFormatting sqref="R70">
    <cfRule type="cellIs" dxfId="13491" priority="10477" operator="greaterThan">
      <formula>0</formula>
    </cfRule>
    <cfRule type="cellIs" dxfId="13490" priority="10478" operator="lessThanOrEqual">
      <formula>0</formula>
    </cfRule>
  </conditionalFormatting>
  <conditionalFormatting sqref="X72">
    <cfRule type="cellIs" dxfId="13489" priority="10475" operator="lessThan">
      <formula>0</formula>
    </cfRule>
    <cfRule type="cellIs" dxfId="13488" priority="10476" operator="greaterThanOrEqual">
      <formula>0</formula>
    </cfRule>
  </conditionalFormatting>
  <conditionalFormatting sqref="R72">
    <cfRule type="cellIs" dxfId="13487" priority="10473" operator="greaterThan">
      <formula>0</formula>
    </cfRule>
    <cfRule type="cellIs" dxfId="13486" priority="10474" operator="lessThanOrEqual">
      <formula>0</formula>
    </cfRule>
  </conditionalFormatting>
  <conditionalFormatting sqref="Q25">
    <cfRule type="cellIs" dxfId="13485" priority="10472" operator="greaterThanOrEqual">
      <formula>0</formula>
    </cfRule>
  </conditionalFormatting>
  <conditionalFormatting sqref="Q25">
    <cfRule type="cellIs" dxfId="13484" priority="10471" operator="lessThan">
      <formula>0</formula>
    </cfRule>
  </conditionalFormatting>
  <conditionalFormatting sqref="Q28">
    <cfRule type="cellIs" dxfId="13483" priority="10470" operator="greaterThanOrEqual">
      <formula>0</formula>
    </cfRule>
  </conditionalFormatting>
  <conditionalFormatting sqref="Q28">
    <cfRule type="cellIs" dxfId="13482" priority="10469" operator="lessThan">
      <formula>0</formula>
    </cfRule>
  </conditionalFormatting>
  <conditionalFormatting sqref="Q41">
    <cfRule type="cellIs" dxfId="13481" priority="10468" operator="greaterThanOrEqual">
      <formula>0</formula>
    </cfRule>
  </conditionalFormatting>
  <conditionalFormatting sqref="Q41">
    <cfRule type="cellIs" dxfId="13480" priority="10467" operator="lessThan">
      <formula>0</formula>
    </cfRule>
  </conditionalFormatting>
  <conditionalFormatting sqref="Q44">
    <cfRule type="cellIs" dxfId="13479" priority="10466" operator="greaterThanOrEqual">
      <formula>0</formula>
    </cfRule>
  </conditionalFormatting>
  <conditionalFormatting sqref="Q44">
    <cfRule type="cellIs" dxfId="13478" priority="10465" operator="lessThan">
      <formula>0</formula>
    </cfRule>
  </conditionalFormatting>
  <conditionalFormatting sqref="Q47">
    <cfRule type="cellIs" dxfId="13477" priority="10464" operator="greaterThanOrEqual">
      <formula>0</formula>
    </cfRule>
  </conditionalFormatting>
  <conditionalFormatting sqref="Q47">
    <cfRule type="cellIs" dxfId="13476" priority="10463" operator="lessThan">
      <formula>0</formula>
    </cfRule>
  </conditionalFormatting>
  <conditionalFormatting sqref="Q50">
    <cfRule type="cellIs" dxfId="13475" priority="10462" operator="greaterThanOrEqual">
      <formula>0</formula>
    </cfRule>
  </conditionalFormatting>
  <conditionalFormatting sqref="Q50">
    <cfRule type="cellIs" dxfId="13474" priority="10461" operator="lessThan">
      <formula>0</formula>
    </cfRule>
  </conditionalFormatting>
  <conditionalFormatting sqref="Q51">
    <cfRule type="cellIs" dxfId="13473" priority="10460" operator="greaterThanOrEqual">
      <formula>0</formula>
    </cfRule>
  </conditionalFormatting>
  <conditionalFormatting sqref="Q51">
    <cfRule type="cellIs" dxfId="13472" priority="10459" operator="lessThan">
      <formula>0</formula>
    </cfRule>
  </conditionalFormatting>
  <conditionalFormatting sqref="Q59">
    <cfRule type="cellIs" dxfId="13471" priority="10458" operator="greaterThanOrEqual">
      <formula>0</formula>
    </cfRule>
  </conditionalFormatting>
  <conditionalFormatting sqref="Q59">
    <cfRule type="cellIs" dxfId="13470" priority="10457" operator="lessThan">
      <formula>0</formula>
    </cfRule>
  </conditionalFormatting>
  <conditionalFormatting sqref="Q65">
    <cfRule type="cellIs" dxfId="13469" priority="10456" operator="greaterThanOrEqual">
      <formula>0</formula>
    </cfRule>
  </conditionalFormatting>
  <conditionalFormatting sqref="Q65">
    <cfRule type="cellIs" dxfId="13468" priority="10455" operator="lessThan">
      <formula>0</formula>
    </cfRule>
  </conditionalFormatting>
  <conditionalFormatting sqref="Q66">
    <cfRule type="cellIs" dxfId="13467" priority="10454" operator="greaterThanOrEqual">
      <formula>0</formula>
    </cfRule>
  </conditionalFormatting>
  <conditionalFormatting sqref="Q66">
    <cfRule type="cellIs" dxfId="13466" priority="10453" operator="lessThan">
      <formula>0</formula>
    </cfRule>
  </conditionalFormatting>
  <conditionalFormatting sqref="Q68:Q70">
    <cfRule type="cellIs" dxfId="13465" priority="10451" operator="lessThan">
      <formula>0</formula>
    </cfRule>
    <cfRule type="cellIs" dxfId="13464" priority="10452" operator="greaterThanOrEqual">
      <formula>0</formula>
    </cfRule>
  </conditionalFormatting>
  <conditionalFormatting sqref="Q71:Q72">
    <cfRule type="cellIs" dxfId="13463" priority="10450" operator="greaterThanOrEqual">
      <formula>0</formula>
    </cfRule>
  </conditionalFormatting>
  <conditionalFormatting sqref="Q71:Q72">
    <cfRule type="cellIs" dxfId="13462" priority="10449" operator="lessThan">
      <formula>0</formula>
    </cfRule>
  </conditionalFormatting>
  <conditionalFormatting sqref="Q73">
    <cfRule type="cellIs" dxfId="13461" priority="10448" operator="greaterThanOrEqual">
      <formula>0</formula>
    </cfRule>
  </conditionalFormatting>
  <conditionalFormatting sqref="Q73">
    <cfRule type="cellIs" dxfId="13460" priority="10447" operator="lessThan">
      <formula>0</formula>
    </cfRule>
  </conditionalFormatting>
  <conditionalFormatting sqref="Q42:Q43">
    <cfRule type="cellIs" dxfId="13459" priority="10445" operator="lessThan">
      <formula>0</formula>
    </cfRule>
    <cfRule type="cellIs" dxfId="13458" priority="10446" operator="greaterThanOrEqual">
      <formula>0</formula>
    </cfRule>
  </conditionalFormatting>
  <conditionalFormatting sqref="Q45:Q46">
    <cfRule type="cellIs" dxfId="13457" priority="10443" operator="lessThan">
      <formula>0</formula>
    </cfRule>
    <cfRule type="cellIs" dxfId="13456" priority="10444" operator="greaterThanOrEqual">
      <formula>0</formula>
    </cfRule>
  </conditionalFormatting>
  <conditionalFormatting sqref="Q57:Q58">
    <cfRule type="cellIs" dxfId="13455" priority="10441" operator="lessThan">
      <formula>0</formula>
    </cfRule>
    <cfRule type="cellIs" dxfId="13454" priority="10442" operator="greaterThanOrEqual">
      <formula>0</formula>
    </cfRule>
  </conditionalFormatting>
  <conditionalFormatting sqref="Q60:Q61">
    <cfRule type="cellIs" dxfId="13453" priority="10439" operator="lessThan">
      <formula>0</formula>
    </cfRule>
    <cfRule type="cellIs" dxfId="13452" priority="10440" operator="greaterThanOrEqual">
      <formula>0</formula>
    </cfRule>
  </conditionalFormatting>
  <conditionalFormatting sqref="Q63:Q64">
    <cfRule type="cellIs" dxfId="13451" priority="10437" operator="lessThan">
      <formula>0</formula>
    </cfRule>
    <cfRule type="cellIs" dxfId="13450" priority="10438" operator="greaterThanOrEqual">
      <formula>0</formula>
    </cfRule>
  </conditionalFormatting>
  <conditionalFormatting sqref="V13:V14">
    <cfRule type="cellIs" dxfId="13449" priority="10435" operator="greaterThan">
      <formula>0</formula>
    </cfRule>
    <cfRule type="cellIs" dxfId="13448" priority="10436" operator="lessThanOrEqual">
      <formula>0</formula>
    </cfRule>
  </conditionalFormatting>
  <conditionalFormatting sqref="V16:V17">
    <cfRule type="cellIs" dxfId="13447" priority="10433" operator="greaterThan">
      <formula>0</formula>
    </cfRule>
    <cfRule type="cellIs" dxfId="13446" priority="10434" operator="lessThanOrEqual">
      <formula>0</formula>
    </cfRule>
  </conditionalFormatting>
  <conditionalFormatting sqref="V19:V20">
    <cfRule type="cellIs" dxfId="13445" priority="10431" operator="greaterThan">
      <formula>0</formula>
    </cfRule>
    <cfRule type="cellIs" dxfId="13444" priority="10432" operator="lessThanOrEqual">
      <formula>0</formula>
    </cfRule>
  </conditionalFormatting>
  <conditionalFormatting sqref="V29:V30">
    <cfRule type="cellIs" dxfId="13443" priority="10429" operator="greaterThan">
      <formula>0</formula>
    </cfRule>
    <cfRule type="cellIs" dxfId="13442" priority="10430" operator="lessThanOrEqual">
      <formula>0</formula>
    </cfRule>
  </conditionalFormatting>
  <conditionalFormatting sqref="V22:V23">
    <cfRule type="cellIs" dxfId="13441" priority="10427" operator="greaterThan">
      <formula>0</formula>
    </cfRule>
    <cfRule type="cellIs" dxfId="13440" priority="10428" operator="lessThanOrEqual">
      <formula>0</formula>
    </cfRule>
  </conditionalFormatting>
  <conditionalFormatting sqref="V32:V33">
    <cfRule type="cellIs" dxfId="13439" priority="10425" operator="greaterThan">
      <formula>0</formula>
    </cfRule>
    <cfRule type="cellIs" dxfId="13438" priority="10426" operator="lessThanOrEqual">
      <formula>0</formula>
    </cfRule>
  </conditionalFormatting>
  <conditionalFormatting sqref="V35:V36">
    <cfRule type="cellIs" dxfId="13437" priority="10423" operator="greaterThan">
      <formula>0</formula>
    </cfRule>
    <cfRule type="cellIs" dxfId="13436" priority="10424" operator="lessThanOrEqual">
      <formula>0</formula>
    </cfRule>
  </conditionalFormatting>
  <conditionalFormatting sqref="V38:V39">
    <cfRule type="cellIs" dxfId="13435" priority="10421" operator="greaterThan">
      <formula>0</formula>
    </cfRule>
    <cfRule type="cellIs" dxfId="13434" priority="10422" operator="lessThanOrEqual">
      <formula>0</formula>
    </cfRule>
  </conditionalFormatting>
  <conditionalFormatting sqref="V48:V49">
    <cfRule type="cellIs" dxfId="13433" priority="10419" operator="greaterThan">
      <formula>0</formula>
    </cfRule>
    <cfRule type="cellIs" dxfId="13432" priority="10420" operator="lessThanOrEqual">
      <formula>0</formula>
    </cfRule>
  </conditionalFormatting>
  <conditionalFormatting sqref="V63:V64">
    <cfRule type="cellIs" dxfId="13431" priority="10417" operator="greaterThan">
      <formula>0</formula>
    </cfRule>
    <cfRule type="cellIs" dxfId="13430" priority="10418" operator="lessThanOrEqual">
      <formula>0</formula>
    </cfRule>
  </conditionalFormatting>
  <conditionalFormatting sqref="V53:V54">
    <cfRule type="cellIs" dxfId="13429" priority="10415" operator="greaterThan">
      <formula>0</formula>
    </cfRule>
    <cfRule type="cellIs" dxfId="13428" priority="10416" operator="lessThanOrEqual">
      <formula>0</formula>
    </cfRule>
  </conditionalFormatting>
  <conditionalFormatting sqref="V15">
    <cfRule type="cellIs" dxfId="13427" priority="10413" operator="greaterThan">
      <formula>0</formula>
    </cfRule>
    <cfRule type="cellIs" dxfId="13426" priority="10414" operator="lessThanOrEqual">
      <formula>0</formula>
    </cfRule>
  </conditionalFormatting>
  <conditionalFormatting sqref="V18">
    <cfRule type="cellIs" dxfId="13425" priority="10411" operator="greaterThan">
      <formula>0</formula>
    </cfRule>
    <cfRule type="cellIs" dxfId="13424" priority="10412" operator="lessThanOrEqual">
      <formula>0</formula>
    </cfRule>
  </conditionalFormatting>
  <conditionalFormatting sqref="V21">
    <cfRule type="cellIs" dxfId="13423" priority="10409" operator="greaterThan">
      <formula>0</formula>
    </cfRule>
    <cfRule type="cellIs" dxfId="13422" priority="10410" operator="lessThanOrEqual">
      <formula>0</formula>
    </cfRule>
  </conditionalFormatting>
  <conditionalFormatting sqref="V31">
    <cfRule type="cellIs" dxfId="13421" priority="10407" operator="greaterThan">
      <formula>0</formula>
    </cfRule>
    <cfRule type="cellIs" dxfId="13420" priority="10408" operator="lessThanOrEqual">
      <formula>0</formula>
    </cfRule>
  </conditionalFormatting>
  <conditionalFormatting sqref="V24">
    <cfRule type="cellIs" dxfId="13419" priority="10405" operator="greaterThan">
      <formula>0</formula>
    </cfRule>
    <cfRule type="cellIs" dxfId="13418" priority="10406" operator="lessThanOrEqual">
      <formula>0</formula>
    </cfRule>
  </conditionalFormatting>
  <conditionalFormatting sqref="V34">
    <cfRule type="cellIs" dxfId="13417" priority="10403" operator="greaterThan">
      <formula>0</formula>
    </cfRule>
    <cfRule type="cellIs" dxfId="13416" priority="10404" operator="lessThanOrEqual">
      <formula>0</formula>
    </cfRule>
  </conditionalFormatting>
  <conditionalFormatting sqref="V37">
    <cfRule type="cellIs" dxfId="13415" priority="10401" operator="greaterThan">
      <formula>0</formula>
    </cfRule>
    <cfRule type="cellIs" dxfId="13414" priority="10402" operator="lessThanOrEqual">
      <formula>0</formula>
    </cfRule>
  </conditionalFormatting>
  <conditionalFormatting sqref="V40">
    <cfRule type="cellIs" dxfId="13413" priority="10399" operator="greaterThan">
      <formula>0</formula>
    </cfRule>
    <cfRule type="cellIs" dxfId="13412" priority="10400" operator="lessThanOrEqual">
      <formula>0</formula>
    </cfRule>
  </conditionalFormatting>
  <conditionalFormatting sqref="V26">
    <cfRule type="cellIs" dxfId="13411" priority="10397" operator="greaterThan">
      <formula>0</formula>
    </cfRule>
    <cfRule type="cellIs" dxfId="13410" priority="10398" operator="lessThanOrEqual">
      <formula>0</formula>
    </cfRule>
  </conditionalFormatting>
  <conditionalFormatting sqref="V66">
    <cfRule type="cellIs" dxfId="13409" priority="10395" operator="greaterThan">
      <formula>0</formula>
    </cfRule>
    <cfRule type="cellIs" dxfId="13408" priority="10396" operator="lessThanOrEqual">
      <formula>0</formula>
    </cfRule>
  </conditionalFormatting>
  <conditionalFormatting sqref="U13:U14 U16:U17 U19:U20 U22:U23 U29:U30 U32:U33 U35:U36 U38:U39 U48:U49 U53:U54">
    <cfRule type="cellIs" dxfId="13407" priority="10393" operator="lessThan">
      <formula>0</formula>
    </cfRule>
    <cfRule type="cellIs" dxfId="13406" priority="10394" operator="greaterThanOrEqual">
      <formula>0</formula>
    </cfRule>
  </conditionalFormatting>
  <conditionalFormatting sqref="U15 U18 U21 U24 U26 U31 U34 U37 U40">
    <cfRule type="cellIs" dxfId="13405" priority="10392" operator="greaterThanOrEqual">
      <formula>0</formula>
    </cfRule>
  </conditionalFormatting>
  <conditionalFormatting sqref="U15 U18 U21 U24 U26 U31 U34 U37 U40">
    <cfRule type="cellIs" dxfId="13404" priority="10391" operator="lessThan">
      <formula>0</formula>
    </cfRule>
  </conditionalFormatting>
  <conditionalFormatting sqref="V51">
    <cfRule type="cellIs" dxfId="13403" priority="10385" operator="greaterThan">
      <formula>0</formula>
    </cfRule>
    <cfRule type="cellIs" dxfId="13402" priority="10386" operator="lessThanOrEqual">
      <formula>0</formula>
    </cfRule>
  </conditionalFormatting>
  <conditionalFormatting sqref="V44">
    <cfRule type="cellIs" dxfId="13401" priority="10379" operator="greaterThan">
      <formula>0</formula>
    </cfRule>
    <cfRule type="cellIs" dxfId="13400" priority="10380" operator="lessThanOrEqual">
      <formula>0</formula>
    </cfRule>
  </conditionalFormatting>
  <conditionalFormatting sqref="V50">
    <cfRule type="cellIs" dxfId="13399" priority="10375" operator="greaterThan">
      <formula>0</formula>
    </cfRule>
    <cfRule type="cellIs" dxfId="13398" priority="10376" operator="lessThanOrEqual">
      <formula>0</formula>
    </cfRule>
  </conditionalFormatting>
  <conditionalFormatting sqref="V28">
    <cfRule type="cellIs" dxfId="13397" priority="10389" operator="greaterThan">
      <formula>0</formula>
    </cfRule>
    <cfRule type="cellIs" dxfId="13396" priority="10390" operator="lessThanOrEqual">
      <formula>0</formula>
    </cfRule>
  </conditionalFormatting>
  <conditionalFormatting sqref="V41">
    <cfRule type="cellIs" dxfId="13395" priority="10387" operator="greaterThan">
      <formula>0</formula>
    </cfRule>
    <cfRule type="cellIs" dxfId="13394" priority="10388" operator="lessThanOrEqual">
      <formula>0</formula>
    </cfRule>
  </conditionalFormatting>
  <conditionalFormatting sqref="V42:V43 V45:V46">
    <cfRule type="cellIs" dxfId="13393" priority="10383" operator="greaterThan">
      <formula>0</formula>
    </cfRule>
    <cfRule type="cellIs" dxfId="13392" priority="10384" operator="lessThanOrEqual">
      <formula>0</formula>
    </cfRule>
  </conditionalFormatting>
  <conditionalFormatting sqref="V57:V58 V60:V61">
    <cfRule type="cellIs" dxfId="13391" priority="10381" operator="greaterThan">
      <formula>0</formula>
    </cfRule>
    <cfRule type="cellIs" dxfId="13390" priority="10382" operator="lessThanOrEqual">
      <formula>0</formula>
    </cfRule>
  </conditionalFormatting>
  <conditionalFormatting sqref="V62">
    <cfRule type="cellIs" dxfId="13389" priority="10371" operator="greaterThan">
      <formula>0</formula>
    </cfRule>
    <cfRule type="cellIs" dxfId="13388" priority="10372" operator="lessThanOrEqual">
      <formula>0</formula>
    </cfRule>
  </conditionalFormatting>
  <conditionalFormatting sqref="V65">
    <cfRule type="cellIs" dxfId="13387" priority="10367" operator="greaterThan">
      <formula>0</formula>
    </cfRule>
    <cfRule type="cellIs" dxfId="13386" priority="10368" operator="lessThanOrEqual">
      <formula>0</formula>
    </cfRule>
  </conditionalFormatting>
  <conditionalFormatting sqref="V25">
    <cfRule type="cellIs" dxfId="13385" priority="10365" operator="greaterThan">
      <formula>0</formula>
    </cfRule>
    <cfRule type="cellIs" dxfId="13384" priority="10366" operator="lessThanOrEqual">
      <formula>0</formula>
    </cfRule>
  </conditionalFormatting>
  <conditionalFormatting sqref="V56">
    <cfRule type="cellIs" dxfId="13383" priority="10363" operator="greaterThan">
      <formula>0</formula>
    </cfRule>
    <cfRule type="cellIs" dxfId="13382" priority="10364" operator="lessThanOrEqual">
      <formula>0</formula>
    </cfRule>
  </conditionalFormatting>
  <conditionalFormatting sqref="U56">
    <cfRule type="cellIs" dxfId="13381" priority="10362" operator="greaterThanOrEqual">
      <formula>0</formula>
    </cfRule>
  </conditionalFormatting>
  <conditionalFormatting sqref="U56">
    <cfRule type="cellIs" dxfId="13380" priority="10361" operator="lessThan">
      <formula>0</formula>
    </cfRule>
  </conditionalFormatting>
  <conditionalFormatting sqref="V52">
    <cfRule type="cellIs" dxfId="13379" priority="10359" operator="greaterThan">
      <formula>0</formula>
    </cfRule>
    <cfRule type="cellIs" dxfId="13378" priority="10360" operator="lessThanOrEqual">
      <formula>0</formula>
    </cfRule>
  </conditionalFormatting>
  <conditionalFormatting sqref="U52">
    <cfRule type="cellIs" dxfId="13377" priority="10358" operator="greaterThanOrEqual">
      <formula>0</formula>
    </cfRule>
  </conditionalFormatting>
  <conditionalFormatting sqref="U52">
    <cfRule type="cellIs" dxfId="13376" priority="10357" operator="lessThan">
      <formula>0</formula>
    </cfRule>
  </conditionalFormatting>
  <conditionalFormatting sqref="U25">
    <cfRule type="cellIs" dxfId="13375" priority="10356" operator="greaterThanOrEqual">
      <formula>0</formula>
    </cfRule>
  </conditionalFormatting>
  <conditionalFormatting sqref="U25">
    <cfRule type="cellIs" dxfId="13374" priority="10355" operator="lessThan">
      <formula>0</formula>
    </cfRule>
  </conditionalFormatting>
  <conditionalFormatting sqref="U28">
    <cfRule type="cellIs" dxfId="13373" priority="10354" operator="greaterThanOrEqual">
      <formula>0</formula>
    </cfRule>
  </conditionalFormatting>
  <conditionalFormatting sqref="U28">
    <cfRule type="cellIs" dxfId="13372" priority="10353" operator="lessThan">
      <formula>0</formula>
    </cfRule>
  </conditionalFormatting>
  <conditionalFormatting sqref="U41">
    <cfRule type="cellIs" dxfId="13371" priority="10352" operator="greaterThanOrEqual">
      <formula>0</formula>
    </cfRule>
  </conditionalFormatting>
  <conditionalFormatting sqref="U41">
    <cfRule type="cellIs" dxfId="13370" priority="10351" operator="lessThan">
      <formula>0</formula>
    </cfRule>
  </conditionalFormatting>
  <conditionalFormatting sqref="U44">
    <cfRule type="cellIs" dxfId="13369" priority="10350" operator="greaterThanOrEqual">
      <formula>0</formula>
    </cfRule>
  </conditionalFormatting>
  <conditionalFormatting sqref="U44">
    <cfRule type="cellIs" dxfId="13368" priority="10349" operator="lessThan">
      <formula>0</formula>
    </cfRule>
  </conditionalFormatting>
  <conditionalFormatting sqref="U47">
    <cfRule type="cellIs" dxfId="13367" priority="10348" operator="greaterThanOrEqual">
      <formula>0</formula>
    </cfRule>
  </conditionalFormatting>
  <conditionalFormatting sqref="U47">
    <cfRule type="cellIs" dxfId="13366" priority="10347" operator="lessThan">
      <formula>0</formula>
    </cfRule>
  </conditionalFormatting>
  <conditionalFormatting sqref="U50">
    <cfRule type="cellIs" dxfId="13365" priority="10346" operator="greaterThanOrEqual">
      <formula>0</formula>
    </cfRule>
  </conditionalFormatting>
  <conditionalFormatting sqref="U50">
    <cfRule type="cellIs" dxfId="13364" priority="10345" operator="lessThan">
      <formula>0</formula>
    </cfRule>
  </conditionalFormatting>
  <conditionalFormatting sqref="U51">
    <cfRule type="cellIs" dxfId="13363" priority="10344" operator="greaterThanOrEqual">
      <formula>0</formula>
    </cfRule>
  </conditionalFormatting>
  <conditionalFormatting sqref="U51">
    <cfRule type="cellIs" dxfId="13362" priority="10343" operator="lessThan">
      <formula>0</formula>
    </cfRule>
  </conditionalFormatting>
  <conditionalFormatting sqref="U59">
    <cfRule type="cellIs" dxfId="13361" priority="10342" operator="greaterThanOrEqual">
      <formula>0</formula>
    </cfRule>
  </conditionalFormatting>
  <conditionalFormatting sqref="U59">
    <cfRule type="cellIs" dxfId="13360" priority="10341" operator="lessThan">
      <formula>0</formula>
    </cfRule>
  </conditionalFormatting>
  <conditionalFormatting sqref="U65">
    <cfRule type="cellIs" dxfId="13359" priority="10340" operator="greaterThanOrEqual">
      <formula>0</formula>
    </cfRule>
  </conditionalFormatting>
  <conditionalFormatting sqref="U65">
    <cfRule type="cellIs" dxfId="13358" priority="10339" operator="lessThan">
      <formula>0</formula>
    </cfRule>
  </conditionalFormatting>
  <conditionalFormatting sqref="U66">
    <cfRule type="cellIs" dxfId="13357" priority="10338" operator="greaterThanOrEqual">
      <formula>0</formula>
    </cfRule>
  </conditionalFormatting>
  <conditionalFormatting sqref="U66">
    <cfRule type="cellIs" dxfId="13356" priority="10337" operator="lessThan">
      <formula>0</formula>
    </cfRule>
  </conditionalFormatting>
  <conditionalFormatting sqref="U42:U43">
    <cfRule type="cellIs" dxfId="13355" priority="10335" operator="lessThan">
      <formula>0</formula>
    </cfRule>
    <cfRule type="cellIs" dxfId="13354" priority="10336" operator="greaterThanOrEqual">
      <formula>0</formula>
    </cfRule>
  </conditionalFormatting>
  <conditionalFormatting sqref="U45:U46">
    <cfRule type="cellIs" dxfId="13353" priority="10333" operator="lessThan">
      <formula>0</formula>
    </cfRule>
    <cfRule type="cellIs" dxfId="13352" priority="10334" operator="greaterThanOrEqual">
      <formula>0</formula>
    </cfRule>
  </conditionalFormatting>
  <conditionalFormatting sqref="U57:U58">
    <cfRule type="cellIs" dxfId="13351" priority="10331" operator="lessThan">
      <formula>0</formula>
    </cfRule>
    <cfRule type="cellIs" dxfId="13350" priority="10332" operator="greaterThanOrEqual">
      <formula>0</formula>
    </cfRule>
  </conditionalFormatting>
  <conditionalFormatting sqref="U60:U61">
    <cfRule type="cellIs" dxfId="13349" priority="10329" operator="lessThan">
      <formula>0</formula>
    </cfRule>
    <cfRule type="cellIs" dxfId="13348" priority="10330" operator="greaterThanOrEqual">
      <formula>0</formula>
    </cfRule>
  </conditionalFormatting>
  <conditionalFormatting sqref="U63:U64">
    <cfRule type="cellIs" dxfId="13347" priority="10327" operator="lessThan">
      <formula>0</formula>
    </cfRule>
    <cfRule type="cellIs" dxfId="13346" priority="10328" operator="greaterThanOrEqual">
      <formula>0</formula>
    </cfRule>
  </conditionalFormatting>
  <conditionalFormatting sqref="V68 V71">
    <cfRule type="cellIs" dxfId="13345" priority="10325" operator="greaterThan">
      <formula>0</formula>
    </cfRule>
    <cfRule type="cellIs" dxfId="13344" priority="10326" operator="lessThanOrEqual">
      <formula>0</formula>
    </cfRule>
  </conditionalFormatting>
  <conditionalFormatting sqref="V73">
    <cfRule type="cellIs" dxfId="13343" priority="10323" operator="greaterThan">
      <formula>0</formula>
    </cfRule>
    <cfRule type="cellIs" dxfId="13342" priority="10324" operator="lessThanOrEqual">
      <formula>0</formula>
    </cfRule>
  </conditionalFormatting>
  <conditionalFormatting sqref="V69">
    <cfRule type="cellIs" dxfId="13341" priority="10321" operator="greaterThan">
      <formula>0</formula>
    </cfRule>
    <cfRule type="cellIs" dxfId="13340" priority="10322" operator="lessThanOrEqual">
      <formula>0</formula>
    </cfRule>
  </conditionalFormatting>
  <conditionalFormatting sqref="V70">
    <cfRule type="cellIs" dxfId="13339" priority="10319" operator="greaterThan">
      <formula>0</formula>
    </cfRule>
    <cfRule type="cellIs" dxfId="13338" priority="10320" operator="lessThanOrEqual">
      <formula>0</formula>
    </cfRule>
  </conditionalFormatting>
  <conditionalFormatting sqref="V72">
    <cfRule type="cellIs" dxfId="13337" priority="10317" operator="greaterThan">
      <formula>0</formula>
    </cfRule>
    <cfRule type="cellIs" dxfId="13336" priority="10318" operator="lessThanOrEqual">
      <formula>0</formula>
    </cfRule>
  </conditionalFormatting>
  <conditionalFormatting sqref="U68:U70">
    <cfRule type="cellIs" dxfId="13335" priority="10315" operator="lessThan">
      <formula>0</formula>
    </cfRule>
    <cfRule type="cellIs" dxfId="13334" priority="10316" operator="greaterThanOrEqual">
      <formula>0</formula>
    </cfRule>
  </conditionalFormatting>
  <conditionalFormatting sqref="U71:U72">
    <cfRule type="cellIs" dxfId="13333" priority="10314" operator="greaterThanOrEqual">
      <formula>0</formula>
    </cfRule>
  </conditionalFormatting>
  <conditionalFormatting sqref="U71:U72">
    <cfRule type="cellIs" dxfId="13332" priority="10313" operator="lessThan">
      <formula>0</formula>
    </cfRule>
  </conditionalFormatting>
  <conditionalFormatting sqref="U73">
    <cfRule type="cellIs" dxfId="13331" priority="10312" operator="greaterThanOrEqual">
      <formula>0</formula>
    </cfRule>
  </conditionalFormatting>
  <conditionalFormatting sqref="U73">
    <cfRule type="cellIs" dxfId="13330" priority="10311" operator="lessThan">
      <formula>0</formula>
    </cfRule>
  </conditionalFormatting>
  <conditionalFormatting sqref="V67">
    <cfRule type="cellIs" dxfId="13329" priority="10309" operator="greaterThan">
      <formula>0</formula>
    </cfRule>
    <cfRule type="cellIs" dxfId="13328" priority="10310" operator="lessThanOrEqual">
      <formula>0</formula>
    </cfRule>
  </conditionalFormatting>
  <conditionalFormatting sqref="U67">
    <cfRule type="cellIs" dxfId="13327" priority="10307" operator="greaterThanOrEqual">
      <formula>0</formula>
    </cfRule>
    <cfRule type="cellIs" dxfId="13326" priority="10308" operator="lessThan">
      <formula>0</formula>
    </cfRule>
  </conditionalFormatting>
  <conditionalFormatting sqref="R51">
    <cfRule type="cellIs" dxfId="13325" priority="10305" operator="greaterThan">
      <formula>0</formula>
    </cfRule>
    <cfRule type="cellIs" dxfId="13324" priority="10306" operator="lessThanOrEqual">
      <formula>0</formula>
    </cfRule>
  </conditionalFormatting>
  <conditionalFormatting sqref="X42:X43">
    <cfRule type="cellIs" dxfId="13323" priority="10303" operator="lessThan">
      <formula>0</formula>
    </cfRule>
    <cfRule type="cellIs" dxfId="13322" priority="10304" operator="greaterThanOrEqual">
      <formula>0</formula>
    </cfRule>
  </conditionalFormatting>
  <conditionalFormatting sqref="X45:X46">
    <cfRule type="cellIs" dxfId="13321" priority="10301" operator="lessThan">
      <formula>0</formula>
    </cfRule>
    <cfRule type="cellIs" dxfId="13320" priority="10302" operator="greaterThanOrEqual">
      <formula>0</formula>
    </cfRule>
  </conditionalFormatting>
  <conditionalFormatting sqref="X53:X54">
    <cfRule type="cellIs" dxfId="13319" priority="10299" operator="lessThan">
      <formula>0</formula>
    </cfRule>
    <cfRule type="cellIs" dxfId="13318" priority="10300" operator="greaterThanOrEqual">
      <formula>0</formula>
    </cfRule>
  </conditionalFormatting>
  <conditionalFormatting sqref="X57:X58">
    <cfRule type="cellIs" dxfId="13317" priority="10297" operator="lessThan">
      <formula>0</formula>
    </cfRule>
    <cfRule type="cellIs" dxfId="13316" priority="10298" operator="greaterThanOrEqual">
      <formula>0</formula>
    </cfRule>
  </conditionalFormatting>
  <conditionalFormatting sqref="X60:X61">
    <cfRule type="cellIs" dxfId="13315" priority="10295" operator="lessThan">
      <formula>0</formula>
    </cfRule>
    <cfRule type="cellIs" dxfId="13314" priority="10296" operator="greaterThanOrEqual">
      <formula>0</formula>
    </cfRule>
  </conditionalFormatting>
  <conditionalFormatting sqref="X63:X64">
    <cfRule type="cellIs" dxfId="13313" priority="10293" operator="lessThan">
      <formula>0</formula>
    </cfRule>
    <cfRule type="cellIs" dxfId="13312" priority="10294" operator="greaterThanOrEqual">
      <formula>0</formula>
    </cfRule>
  </conditionalFormatting>
  <conditionalFormatting sqref="X25">
    <cfRule type="cellIs" dxfId="13311" priority="10292" operator="greaterThanOrEqual">
      <formula>0</formula>
    </cfRule>
  </conditionalFormatting>
  <conditionalFormatting sqref="X25">
    <cfRule type="cellIs" dxfId="13310" priority="10291" operator="lessThan">
      <formula>0</formula>
    </cfRule>
  </conditionalFormatting>
  <conditionalFormatting sqref="X26">
    <cfRule type="cellIs" dxfId="13309" priority="10290" operator="greaterThanOrEqual">
      <formula>0</formula>
    </cfRule>
  </conditionalFormatting>
  <conditionalFormatting sqref="X26">
    <cfRule type="cellIs" dxfId="13308" priority="10289" operator="lessThan">
      <formula>0</formula>
    </cfRule>
  </conditionalFormatting>
  <conditionalFormatting sqref="X28">
    <cfRule type="cellIs" dxfId="13307" priority="10288" operator="greaterThanOrEqual">
      <formula>0</formula>
    </cfRule>
  </conditionalFormatting>
  <conditionalFormatting sqref="X28">
    <cfRule type="cellIs" dxfId="13306" priority="10287" operator="lessThan">
      <formula>0</formula>
    </cfRule>
  </conditionalFormatting>
  <conditionalFormatting sqref="X41">
    <cfRule type="cellIs" dxfId="13305" priority="10286" operator="greaterThanOrEqual">
      <formula>0</formula>
    </cfRule>
  </conditionalFormatting>
  <conditionalFormatting sqref="X41">
    <cfRule type="cellIs" dxfId="13304" priority="10285" operator="lessThan">
      <formula>0</formula>
    </cfRule>
  </conditionalFormatting>
  <conditionalFormatting sqref="X44">
    <cfRule type="cellIs" dxfId="13303" priority="10284" operator="greaterThanOrEqual">
      <formula>0</formula>
    </cfRule>
  </conditionalFormatting>
  <conditionalFormatting sqref="X44">
    <cfRule type="cellIs" dxfId="13302" priority="10283" operator="lessThan">
      <formula>0</formula>
    </cfRule>
  </conditionalFormatting>
  <conditionalFormatting sqref="X47">
    <cfRule type="cellIs" dxfId="13301" priority="10282" operator="greaterThanOrEqual">
      <formula>0</formula>
    </cfRule>
  </conditionalFormatting>
  <conditionalFormatting sqref="X47">
    <cfRule type="cellIs" dxfId="13300" priority="10281" operator="lessThan">
      <formula>0</formula>
    </cfRule>
  </conditionalFormatting>
  <conditionalFormatting sqref="X50">
    <cfRule type="cellIs" dxfId="13299" priority="10280" operator="greaterThanOrEqual">
      <formula>0</formula>
    </cfRule>
  </conditionalFormatting>
  <conditionalFormatting sqref="X50">
    <cfRule type="cellIs" dxfId="13298" priority="10279" operator="lessThan">
      <formula>0</formula>
    </cfRule>
  </conditionalFormatting>
  <conditionalFormatting sqref="X51">
    <cfRule type="cellIs" dxfId="13297" priority="10278" operator="greaterThanOrEqual">
      <formula>0</formula>
    </cfRule>
  </conditionalFormatting>
  <conditionalFormatting sqref="X51">
    <cfRule type="cellIs" dxfId="13296" priority="10277" operator="lessThan">
      <formula>0</formula>
    </cfRule>
  </conditionalFormatting>
  <conditionalFormatting sqref="X59">
    <cfRule type="cellIs" dxfId="13295" priority="10276" operator="greaterThanOrEqual">
      <formula>0</formula>
    </cfRule>
  </conditionalFormatting>
  <conditionalFormatting sqref="X59">
    <cfRule type="cellIs" dxfId="13294" priority="10275" operator="lessThan">
      <formula>0</formula>
    </cfRule>
  </conditionalFormatting>
  <conditionalFormatting sqref="X62">
    <cfRule type="cellIs" dxfId="13293" priority="10274" operator="greaterThanOrEqual">
      <formula>0</formula>
    </cfRule>
  </conditionalFormatting>
  <conditionalFormatting sqref="X62">
    <cfRule type="cellIs" dxfId="13292" priority="10273" operator="lessThan">
      <formula>0</formula>
    </cfRule>
  </conditionalFormatting>
  <conditionalFormatting sqref="X65">
    <cfRule type="cellIs" dxfId="13291" priority="10272" operator="greaterThanOrEqual">
      <formula>0</formula>
    </cfRule>
  </conditionalFormatting>
  <conditionalFormatting sqref="X65">
    <cfRule type="cellIs" dxfId="13290" priority="10271" operator="lessThan">
      <formula>0</formula>
    </cfRule>
  </conditionalFormatting>
  <conditionalFormatting sqref="X56">
    <cfRule type="cellIs" dxfId="13289" priority="10270" operator="greaterThanOrEqual">
      <formula>0</formula>
    </cfRule>
  </conditionalFormatting>
  <conditionalFormatting sqref="X56">
    <cfRule type="cellIs" dxfId="13288" priority="10269" operator="lessThan">
      <formula>0</formula>
    </cfRule>
  </conditionalFormatting>
  <conditionalFormatting sqref="X66">
    <cfRule type="cellIs" dxfId="13287" priority="10268" operator="greaterThanOrEqual">
      <formula>0</formula>
    </cfRule>
  </conditionalFormatting>
  <conditionalFormatting sqref="X66">
    <cfRule type="cellIs" dxfId="13286" priority="10267" operator="lessThan">
      <formula>0</formula>
    </cfRule>
  </conditionalFormatting>
  <conditionalFormatting sqref="Y16:Y17">
    <cfRule type="cellIs" dxfId="13285" priority="10265" operator="greaterThan">
      <formula>0</formula>
    </cfRule>
    <cfRule type="cellIs" dxfId="13284" priority="10266" operator="lessThanOrEqual">
      <formula>0</formula>
    </cfRule>
  </conditionalFormatting>
  <conditionalFormatting sqref="Y19:Y20">
    <cfRule type="cellIs" dxfId="13283" priority="10263" operator="greaterThan">
      <formula>0</formula>
    </cfRule>
    <cfRule type="cellIs" dxfId="13282" priority="10264" operator="lessThanOrEqual">
      <formula>0</formula>
    </cfRule>
  </conditionalFormatting>
  <conditionalFormatting sqref="Y22:Y23">
    <cfRule type="cellIs" dxfId="13281" priority="10261" operator="greaterThan">
      <formula>0</formula>
    </cfRule>
    <cfRule type="cellIs" dxfId="13280" priority="10262" operator="lessThanOrEqual">
      <formula>0</formula>
    </cfRule>
  </conditionalFormatting>
  <conditionalFormatting sqref="Y29:Y30">
    <cfRule type="cellIs" dxfId="13279" priority="10259" operator="greaterThan">
      <formula>0</formula>
    </cfRule>
    <cfRule type="cellIs" dxfId="13278" priority="10260" operator="lessThanOrEqual">
      <formula>0</formula>
    </cfRule>
  </conditionalFormatting>
  <conditionalFormatting sqref="Y32:Y33">
    <cfRule type="cellIs" dxfId="13277" priority="10257" operator="greaterThan">
      <formula>0</formula>
    </cfRule>
    <cfRule type="cellIs" dxfId="13276" priority="10258" operator="lessThanOrEqual">
      <formula>0</formula>
    </cfRule>
  </conditionalFormatting>
  <conditionalFormatting sqref="Y35:Y36">
    <cfRule type="cellIs" dxfId="13275" priority="10255" operator="greaterThan">
      <formula>0</formula>
    </cfRule>
    <cfRule type="cellIs" dxfId="13274" priority="10256" operator="lessThanOrEqual">
      <formula>0</formula>
    </cfRule>
  </conditionalFormatting>
  <conditionalFormatting sqref="Y38:Y39">
    <cfRule type="cellIs" dxfId="13273" priority="10253" operator="greaterThan">
      <formula>0</formula>
    </cfRule>
    <cfRule type="cellIs" dxfId="13272" priority="10254" operator="lessThanOrEqual">
      <formula>0</formula>
    </cfRule>
  </conditionalFormatting>
  <conditionalFormatting sqref="Y42:Y43">
    <cfRule type="cellIs" dxfId="13271" priority="10251" operator="greaterThan">
      <formula>0</formula>
    </cfRule>
    <cfRule type="cellIs" dxfId="13270" priority="10252" operator="lessThanOrEqual">
      <formula>0</formula>
    </cfRule>
  </conditionalFormatting>
  <conditionalFormatting sqref="Y45:Y46">
    <cfRule type="cellIs" dxfId="13269" priority="10249" operator="greaterThan">
      <formula>0</formula>
    </cfRule>
    <cfRule type="cellIs" dxfId="13268" priority="10250" operator="lessThanOrEqual">
      <formula>0</formula>
    </cfRule>
  </conditionalFormatting>
  <conditionalFormatting sqref="Y48:Y49">
    <cfRule type="cellIs" dxfId="13267" priority="10247" operator="greaterThan">
      <formula>0</formula>
    </cfRule>
    <cfRule type="cellIs" dxfId="13266" priority="10248" operator="lessThanOrEqual">
      <formula>0</formula>
    </cfRule>
  </conditionalFormatting>
  <conditionalFormatting sqref="Y53:Y54">
    <cfRule type="cellIs" dxfId="13265" priority="10245" operator="greaterThan">
      <formula>0</formula>
    </cfRule>
    <cfRule type="cellIs" dxfId="13264" priority="10246" operator="lessThanOrEqual">
      <formula>0</formula>
    </cfRule>
  </conditionalFormatting>
  <conditionalFormatting sqref="Y57:Y58">
    <cfRule type="cellIs" dxfId="13263" priority="10243" operator="greaterThan">
      <formula>0</formula>
    </cfRule>
    <cfRule type="cellIs" dxfId="13262" priority="10244" operator="lessThanOrEqual">
      <formula>0</formula>
    </cfRule>
  </conditionalFormatting>
  <conditionalFormatting sqref="Y60:Y61">
    <cfRule type="cellIs" dxfId="13261" priority="10241" operator="greaterThan">
      <formula>0</formula>
    </cfRule>
    <cfRule type="cellIs" dxfId="13260" priority="10242" operator="lessThanOrEqual">
      <formula>0</formula>
    </cfRule>
  </conditionalFormatting>
  <conditionalFormatting sqref="Y63:Y64">
    <cfRule type="cellIs" dxfId="13259" priority="10239" operator="greaterThan">
      <formula>0</formula>
    </cfRule>
    <cfRule type="cellIs" dxfId="13258" priority="10240" operator="lessThanOrEqual">
      <formula>0</formula>
    </cfRule>
  </conditionalFormatting>
  <conditionalFormatting sqref="Y25">
    <cfRule type="cellIs" dxfId="13257" priority="10238" operator="greaterThanOrEqual">
      <formula>0</formula>
    </cfRule>
  </conditionalFormatting>
  <conditionalFormatting sqref="Y25">
    <cfRule type="cellIs" dxfId="13256" priority="10237" operator="lessThan">
      <formula>0</formula>
    </cfRule>
  </conditionalFormatting>
  <conditionalFormatting sqref="Y26">
    <cfRule type="cellIs" dxfId="13255" priority="10236" operator="greaterThanOrEqual">
      <formula>0</formula>
    </cfRule>
  </conditionalFormatting>
  <conditionalFormatting sqref="Y26">
    <cfRule type="cellIs" dxfId="13254" priority="10235" operator="lessThan">
      <formula>0</formula>
    </cfRule>
  </conditionalFormatting>
  <conditionalFormatting sqref="Y28">
    <cfRule type="cellIs" dxfId="13253" priority="10234" operator="greaterThanOrEqual">
      <formula>0</formula>
    </cfRule>
  </conditionalFormatting>
  <conditionalFormatting sqref="Y28">
    <cfRule type="cellIs" dxfId="13252" priority="10233" operator="lessThan">
      <formula>0</formula>
    </cfRule>
  </conditionalFormatting>
  <conditionalFormatting sqref="Y41">
    <cfRule type="cellIs" dxfId="13251" priority="10232" operator="greaterThanOrEqual">
      <formula>0</formula>
    </cfRule>
  </conditionalFormatting>
  <conditionalFormatting sqref="Y41">
    <cfRule type="cellIs" dxfId="13250" priority="10231" operator="lessThan">
      <formula>0</formula>
    </cfRule>
  </conditionalFormatting>
  <conditionalFormatting sqref="Y44">
    <cfRule type="cellIs" dxfId="13249" priority="10230" operator="greaterThanOrEqual">
      <formula>0</formula>
    </cfRule>
  </conditionalFormatting>
  <conditionalFormatting sqref="Y44">
    <cfRule type="cellIs" dxfId="13248" priority="10229" operator="lessThan">
      <formula>0</formula>
    </cfRule>
  </conditionalFormatting>
  <conditionalFormatting sqref="Y47">
    <cfRule type="cellIs" dxfId="13247" priority="10228" operator="greaterThanOrEqual">
      <formula>0</formula>
    </cfRule>
  </conditionalFormatting>
  <conditionalFormatting sqref="Y47">
    <cfRule type="cellIs" dxfId="13246" priority="10227" operator="lessThan">
      <formula>0</formula>
    </cfRule>
  </conditionalFormatting>
  <conditionalFormatting sqref="Y50">
    <cfRule type="cellIs" dxfId="13245" priority="10226" operator="greaterThanOrEqual">
      <formula>0</formula>
    </cfRule>
  </conditionalFormatting>
  <conditionalFormatting sqref="Y50">
    <cfRule type="cellIs" dxfId="13244" priority="10225" operator="lessThan">
      <formula>0</formula>
    </cfRule>
  </conditionalFormatting>
  <conditionalFormatting sqref="Y51">
    <cfRule type="cellIs" dxfId="13243" priority="10224" operator="greaterThanOrEqual">
      <formula>0</formula>
    </cfRule>
  </conditionalFormatting>
  <conditionalFormatting sqref="Y51">
    <cfRule type="cellIs" dxfId="13242" priority="10223" operator="lessThan">
      <formula>0</formula>
    </cfRule>
  </conditionalFormatting>
  <conditionalFormatting sqref="U107">
    <cfRule type="cellIs" dxfId="13241" priority="9990" operator="greaterThanOrEqual">
      <formula>0</formula>
    </cfRule>
  </conditionalFormatting>
  <conditionalFormatting sqref="U107">
    <cfRule type="cellIs" dxfId="13240" priority="9989" operator="lessThan">
      <formula>0</formula>
    </cfRule>
  </conditionalFormatting>
  <conditionalFormatting sqref="Y59">
    <cfRule type="cellIs" dxfId="13239" priority="10222" operator="greaterThanOrEqual">
      <formula>0</formula>
    </cfRule>
  </conditionalFormatting>
  <conditionalFormatting sqref="Y59">
    <cfRule type="cellIs" dxfId="13238" priority="10221" operator="lessThan">
      <formula>0</formula>
    </cfRule>
  </conditionalFormatting>
  <conditionalFormatting sqref="Y62">
    <cfRule type="cellIs" dxfId="13237" priority="10220" operator="greaterThanOrEqual">
      <formula>0</formula>
    </cfRule>
  </conditionalFormatting>
  <conditionalFormatting sqref="Y62">
    <cfRule type="cellIs" dxfId="13236" priority="10219" operator="lessThan">
      <formula>0</formula>
    </cfRule>
  </conditionalFormatting>
  <conditionalFormatting sqref="Y65">
    <cfRule type="cellIs" dxfId="13235" priority="10218" operator="greaterThanOrEqual">
      <formula>0</formula>
    </cfRule>
  </conditionalFormatting>
  <conditionalFormatting sqref="Y65">
    <cfRule type="cellIs" dxfId="13234" priority="10217" operator="lessThan">
      <formula>0</formula>
    </cfRule>
  </conditionalFormatting>
  <conditionalFormatting sqref="Y56">
    <cfRule type="cellIs" dxfId="13233" priority="10215" operator="lessThan">
      <formula>0</formula>
    </cfRule>
  </conditionalFormatting>
  <conditionalFormatting sqref="Y56">
    <cfRule type="cellIs" dxfId="13232" priority="10216" operator="greaterThanOrEqual">
      <formula>0</formula>
    </cfRule>
  </conditionalFormatting>
  <conditionalFormatting sqref="Y66">
    <cfRule type="cellIs" dxfId="13231" priority="10213" operator="lessThan">
      <formula>0</formula>
    </cfRule>
  </conditionalFormatting>
  <conditionalFormatting sqref="Y66">
    <cfRule type="cellIs" dxfId="13230" priority="10214" operator="greaterThanOrEqual">
      <formula>0</formula>
    </cfRule>
  </conditionalFormatting>
  <conditionalFormatting sqref="X70">
    <cfRule type="cellIs" dxfId="13229" priority="10211" operator="lessThan">
      <formula>0</formula>
    </cfRule>
    <cfRule type="cellIs" dxfId="13228" priority="10212" operator="greaterThanOrEqual">
      <formula>0</formula>
    </cfRule>
  </conditionalFormatting>
  <conditionalFormatting sqref="Y70">
    <cfRule type="cellIs" dxfId="13227" priority="10209" operator="lessThan">
      <formula>0</formula>
    </cfRule>
    <cfRule type="cellIs" dxfId="13226" priority="10210" operator="greaterThanOrEqual">
      <formula>0</formula>
    </cfRule>
  </conditionalFormatting>
  <conditionalFormatting sqref="Y72">
    <cfRule type="cellIs" dxfId="13225" priority="10207" operator="lessThan">
      <formula>0</formula>
    </cfRule>
    <cfRule type="cellIs" dxfId="13224" priority="10208" operator="greaterThanOrEqual">
      <formula>0</formula>
    </cfRule>
  </conditionalFormatting>
  <conditionalFormatting sqref="Y123:Y124">
    <cfRule type="cellIs" dxfId="13223" priority="9879" operator="greaterThan">
      <formula>0</formula>
    </cfRule>
    <cfRule type="cellIs" dxfId="13222" priority="9880" operator="lessThanOrEqual">
      <formula>0</formula>
    </cfRule>
  </conditionalFormatting>
  <conditionalFormatting sqref="Y119">
    <cfRule type="cellIs" dxfId="13221" priority="9854" operator="greaterThanOrEqual">
      <formula>0</formula>
    </cfRule>
  </conditionalFormatting>
  <conditionalFormatting sqref="Y119">
    <cfRule type="cellIs" dxfId="13220" priority="9853" operator="lessThan">
      <formula>0</formula>
    </cfRule>
  </conditionalFormatting>
  <conditionalFormatting sqref="Y129">
    <cfRule type="cellIs" dxfId="13219" priority="9852" operator="greaterThanOrEqual">
      <formula>0</formula>
    </cfRule>
  </conditionalFormatting>
  <conditionalFormatting sqref="Y129">
    <cfRule type="cellIs" dxfId="13218" priority="9851" operator="lessThan">
      <formula>0</formula>
    </cfRule>
  </conditionalFormatting>
  <conditionalFormatting sqref="Y118">
    <cfRule type="cellIs" dxfId="13217" priority="9848" operator="greaterThanOrEqual">
      <formula>0</formula>
    </cfRule>
  </conditionalFormatting>
  <conditionalFormatting sqref="Y118">
    <cfRule type="cellIs" dxfId="13216" priority="9847" operator="lessThan">
      <formula>0</formula>
    </cfRule>
  </conditionalFormatting>
  <conditionalFormatting sqref="X76:X77 X79:X80 X82:X83 X85:X86 X92:X93 X95:X96 X98:X99 X101:X102 X111:X112">
    <cfRule type="cellIs" dxfId="13215" priority="9957" operator="lessThan">
      <formula>0</formula>
    </cfRule>
    <cfRule type="cellIs" dxfId="13214" priority="9958" operator="greaterThanOrEqual">
      <formula>0</formula>
    </cfRule>
  </conditionalFormatting>
  <conditionalFormatting sqref="V95:V96">
    <cfRule type="cellIs" dxfId="13213" priority="10065" operator="greaterThan">
      <formula>0</formula>
    </cfRule>
    <cfRule type="cellIs" dxfId="13212" priority="10066" operator="lessThanOrEqual">
      <formula>0</formula>
    </cfRule>
  </conditionalFormatting>
  <conditionalFormatting sqref="X107">
    <cfRule type="cellIs" dxfId="13211" priority="9922" operator="greaterThanOrEqual">
      <formula>0</formula>
    </cfRule>
  </conditionalFormatting>
  <conditionalFormatting sqref="X107">
    <cfRule type="cellIs" dxfId="13210" priority="9921" operator="lessThan">
      <formula>0</formula>
    </cfRule>
  </conditionalFormatting>
  <conditionalFormatting sqref="Y113">
    <cfRule type="cellIs" dxfId="13209" priority="9864" operator="greaterThanOrEqual">
      <formula>0</formula>
    </cfRule>
  </conditionalFormatting>
  <conditionalFormatting sqref="Y113">
    <cfRule type="cellIs" dxfId="13208" priority="9863" operator="lessThan">
      <formula>0</formula>
    </cfRule>
  </conditionalFormatting>
  <conditionalFormatting sqref="X114">
    <cfRule type="cellIs" dxfId="13207" priority="9916" operator="greaterThanOrEqual">
      <formula>0</formula>
    </cfRule>
  </conditionalFormatting>
  <conditionalFormatting sqref="X114">
    <cfRule type="cellIs" dxfId="13206" priority="9915" operator="lessThan">
      <formula>0</formula>
    </cfRule>
  </conditionalFormatting>
  <conditionalFormatting sqref="Y125">
    <cfRule type="cellIs" dxfId="13205" priority="9857" operator="lessThan">
      <formula>0</formula>
    </cfRule>
  </conditionalFormatting>
  <conditionalFormatting sqref="Y125">
    <cfRule type="cellIs" dxfId="13204" priority="9858" operator="greaterThanOrEqual">
      <formula>0</formula>
    </cfRule>
  </conditionalFormatting>
  <conditionalFormatting sqref="Q55">
    <cfRule type="cellIs" dxfId="13203" priority="10206" operator="greaterThanOrEqual">
      <formula>0</formula>
    </cfRule>
  </conditionalFormatting>
  <conditionalFormatting sqref="Q55">
    <cfRule type="cellIs" dxfId="13202" priority="10205" operator="lessThan">
      <formula>0</formula>
    </cfRule>
  </conditionalFormatting>
  <conditionalFormatting sqref="V55">
    <cfRule type="cellIs" dxfId="13201" priority="10203" operator="greaterThan">
      <formula>0</formula>
    </cfRule>
    <cfRule type="cellIs" dxfId="13200" priority="10204" operator="lessThanOrEqual">
      <formula>0</formula>
    </cfRule>
  </conditionalFormatting>
  <conditionalFormatting sqref="U55">
    <cfRule type="cellIs" dxfId="13199" priority="10202" operator="greaterThanOrEqual">
      <formula>0</formula>
    </cfRule>
  </conditionalFormatting>
  <conditionalFormatting sqref="U55">
    <cfRule type="cellIs" dxfId="13198" priority="10201" operator="lessThan">
      <formula>0</formula>
    </cfRule>
  </conditionalFormatting>
  <conditionalFormatting sqref="R55">
    <cfRule type="cellIs" dxfId="13197" priority="10199" operator="greaterThan">
      <formula>0</formula>
    </cfRule>
    <cfRule type="cellIs" dxfId="13196" priority="10200" operator="lessThanOrEqual">
      <formula>0</formula>
    </cfRule>
  </conditionalFormatting>
  <conditionalFormatting sqref="X55">
    <cfRule type="cellIs" dxfId="13195" priority="10198" operator="greaterThanOrEqual">
      <formula>0</formula>
    </cfRule>
  </conditionalFormatting>
  <conditionalFormatting sqref="X55">
    <cfRule type="cellIs" dxfId="13194" priority="10197" operator="lessThan">
      <formula>0</formula>
    </cfRule>
  </conditionalFormatting>
  <conditionalFormatting sqref="Y55">
    <cfRule type="cellIs" dxfId="13193" priority="10196" operator="greaterThanOrEqual">
      <formula>0</formula>
    </cfRule>
  </conditionalFormatting>
  <conditionalFormatting sqref="Y55">
    <cfRule type="cellIs" dxfId="13192" priority="10195" operator="lessThan">
      <formula>0</formula>
    </cfRule>
  </conditionalFormatting>
  <conditionalFormatting sqref="Y128">
    <cfRule type="cellIs" dxfId="13191" priority="9856" operator="greaterThanOrEqual">
      <formula>0</formula>
    </cfRule>
  </conditionalFormatting>
  <conditionalFormatting sqref="Y128">
    <cfRule type="cellIs" dxfId="13190" priority="9855" operator="lessThan">
      <formula>0</formula>
    </cfRule>
  </conditionalFormatting>
  <conditionalFormatting sqref="R76:R77">
    <cfRule type="cellIs" dxfId="13189" priority="10193" operator="greaterThan">
      <formula>0</formula>
    </cfRule>
    <cfRule type="cellIs" dxfId="13188" priority="10194" operator="lessThanOrEqual">
      <formula>0</formula>
    </cfRule>
  </conditionalFormatting>
  <conditionalFormatting sqref="R79:R80">
    <cfRule type="cellIs" dxfId="13187" priority="10191" operator="greaterThan">
      <formula>0</formula>
    </cfRule>
    <cfRule type="cellIs" dxfId="13186" priority="10192" operator="lessThanOrEqual">
      <formula>0</formula>
    </cfRule>
  </conditionalFormatting>
  <conditionalFormatting sqref="R82:R83">
    <cfRule type="cellIs" dxfId="13185" priority="10189" operator="greaterThan">
      <formula>0</formula>
    </cfRule>
    <cfRule type="cellIs" dxfId="13184" priority="10190" operator="lessThanOrEqual">
      <formula>0</formula>
    </cfRule>
  </conditionalFormatting>
  <conditionalFormatting sqref="R92:R93">
    <cfRule type="cellIs" dxfId="13183" priority="10187" operator="greaterThan">
      <formula>0</formula>
    </cfRule>
    <cfRule type="cellIs" dxfId="13182" priority="10188" operator="lessThanOrEqual">
      <formula>0</formula>
    </cfRule>
  </conditionalFormatting>
  <conditionalFormatting sqref="R85:R86">
    <cfRule type="cellIs" dxfId="13181" priority="10185" operator="greaterThan">
      <formula>0</formula>
    </cfRule>
    <cfRule type="cellIs" dxfId="13180" priority="10186" operator="lessThanOrEqual">
      <formula>0</formula>
    </cfRule>
  </conditionalFormatting>
  <conditionalFormatting sqref="R95:R96">
    <cfRule type="cellIs" dxfId="13179" priority="10183" operator="greaterThan">
      <formula>0</formula>
    </cfRule>
    <cfRule type="cellIs" dxfId="13178" priority="10184" operator="lessThanOrEqual">
      <formula>0</formula>
    </cfRule>
  </conditionalFormatting>
  <conditionalFormatting sqref="R98:R99">
    <cfRule type="cellIs" dxfId="13177" priority="10181" operator="greaterThan">
      <formula>0</formula>
    </cfRule>
    <cfRule type="cellIs" dxfId="13176" priority="10182" operator="lessThanOrEqual">
      <formula>0</formula>
    </cfRule>
  </conditionalFormatting>
  <conditionalFormatting sqref="R101:R102">
    <cfRule type="cellIs" dxfId="13175" priority="10179" operator="greaterThan">
      <formula>0</formula>
    </cfRule>
    <cfRule type="cellIs" dxfId="13174" priority="10180" operator="lessThanOrEqual">
      <formula>0</formula>
    </cfRule>
  </conditionalFormatting>
  <conditionalFormatting sqref="R111:R112">
    <cfRule type="cellIs" dxfId="13173" priority="10177" operator="greaterThan">
      <formula>0</formula>
    </cfRule>
    <cfRule type="cellIs" dxfId="13172" priority="10178" operator="lessThanOrEqual">
      <formula>0</formula>
    </cfRule>
  </conditionalFormatting>
  <conditionalFormatting sqref="R126:R127">
    <cfRule type="cellIs" dxfId="13171" priority="10175" operator="greaterThan">
      <formula>0</formula>
    </cfRule>
    <cfRule type="cellIs" dxfId="13170" priority="10176" operator="lessThanOrEqual">
      <formula>0</formula>
    </cfRule>
  </conditionalFormatting>
  <conditionalFormatting sqref="R116:R117">
    <cfRule type="cellIs" dxfId="13169" priority="10173" operator="greaterThan">
      <formula>0</formula>
    </cfRule>
    <cfRule type="cellIs" dxfId="13168" priority="10174" operator="lessThanOrEqual">
      <formula>0</formula>
    </cfRule>
  </conditionalFormatting>
  <conditionalFormatting sqref="R78">
    <cfRule type="cellIs" dxfId="13167" priority="10171" operator="greaterThan">
      <formula>0</formula>
    </cfRule>
    <cfRule type="cellIs" dxfId="13166" priority="10172" operator="lessThanOrEqual">
      <formula>0</formula>
    </cfRule>
  </conditionalFormatting>
  <conditionalFormatting sqref="R81">
    <cfRule type="cellIs" dxfId="13165" priority="10169" operator="greaterThan">
      <formula>0</formula>
    </cfRule>
    <cfRule type="cellIs" dxfId="13164" priority="10170" operator="lessThanOrEqual">
      <formula>0</formula>
    </cfRule>
  </conditionalFormatting>
  <conditionalFormatting sqref="R84">
    <cfRule type="cellIs" dxfId="13163" priority="10167" operator="greaterThan">
      <formula>0</formula>
    </cfRule>
    <cfRule type="cellIs" dxfId="13162" priority="10168" operator="lessThanOrEqual">
      <formula>0</formula>
    </cfRule>
  </conditionalFormatting>
  <conditionalFormatting sqref="R94">
    <cfRule type="cellIs" dxfId="13161" priority="10165" operator="greaterThan">
      <formula>0</formula>
    </cfRule>
    <cfRule type="cellIs" dxfId="13160" priority="10166" operator="lessThanOrEqual">
      <formula>0</formula>
    </cfRule>
  </conditionalFormatting>
  <conditionalFormatting sqref="R87">
    <cfRule type="cellIs" dxfId="13159" priority="10163" operator="greaterThan">
      <formula>0</formula>
    </cfRule>
    <cfRule type="cellIs" dxfId="13158" priority="10164" operator="lessThanOrEqual">
      <formula>0</formula>
    </cfRule>
  </conditionalFormatting>
  <conditionalFormatting sqref="R97">
    <cfRule type="cellIs" dxfId="13157" priority="10161" operator="greaterThan">
      <formula>0</formula>
    </cfRule>
    <cfRule type="cellIs" dxfId="13156" priority="10162" operator="lessThanOrEqual">
      <formula>0</formula>
    </cfRule>
  </conditionalFormatting>
  <conditionalFormatting sqref="R100">
    <cfRule type="cellIs" dxfId="13155" priority="10159" operator="greaterThan">
      <formula>0</formula>
    </cfRule>
    <cfRule type="cellIs" dxfId="13154" priority="10160" operator="lessThanOrEqual">
      <formula>0</formula>
    </cfRule>
  </conditionalFormatting>
  <conditionalFormatting sqref="R103">
    <cfRule type="cellIs" dxfId="13153" priority="10157" operator="greaterThan">
      <formula>0</formula>
    </cfRule>
    <cfRule type="cellIs" dxfId="13152" priority="10158" operator="lessThanOrEqual">
      <formula>0</formula>
    </cfRule>
  </conditionalFormatting>
  <conditionalFormatting sqref="R89">
    <cfRule type="cellIs" dxfId="13151" priority="10155" operator="greaterThan">
      <formula>0</formula>
    </cfRule>
    <cfRule type="cellIs" dxfId="13150" priority="10156" operator="lessThanOrEqual">
      <formula>0</formula>
    </cfRule>
  </conditionalFormatting>
  <conditionalFormatting sqref="R129">
    <cfRule type="cellIs" dxfId="13149" priority="10153" operator="greaterThan">
      <formula>0</formula>
    </cfRule>
    <cfRule type="cellIs" dxfId="13148" priority="10154" operator="lessThanOrEqual">
      <formula>0</formula>
    </cfRule>
  </conditionalFormatting>
  <conditionalFormatting sqref="Q76:Q77 Q79:Q80 Q82:Q83 Q85:Q86 Q92:Q93 Q95:Q96 Q98:Q99 Q101:Q102 Q111:Q112 Q116:Q117">
    <cfRule type="cellIs" dxfId="13147" priority="10151" operator="lessThan">
      <formula>0</formula>
    </cfRule>
    <cfRule type="cellIs" dxfId="13146" priority="10152" operator="greaterThanOrEqual">
      <formula>0</formula>
    </cfRule>
  </conditionalFormatting>
  <conditionalFormatting sqref="Q78 Q81 Q84 Q87 Q89 Q94 Q97 Q100 Q103">
    <cfRule type="cellIs" dxfId="13145" priority="10150" operator="greaterThanOrEqual">
      <formula>0</formula>
    </cfRule>
  </conditionalFormatting>
  <conditionalFormatting sqref="Q78 Q81 Q84 Q87 Q89 Q94 Q97 Q100 Q103">
    <cfRule type="cellIs" dxfId="13144" priority="10149" operator="lessThan">
      <formula>0</formula>
    </cfRule>
  </conditionalFormatting>
  <conditionalFormatting sqref="R130">
    <cfRule type="cellIs" dxfId="13143" priority="10147" operator="greaterThan">
      <formula>0</formula>
    </cfRule>
    <cfRule type="cellIs" dxfId="13142" priority="10148" operator="lessThanOrEqual">
      <formula>0</formula>
    </cfRule>
  </conditionalFormatting>
  <conditionalFormatting sqref="Q130">
    <cfRule type="cellIs" dxfId="13141" priority="10145" operator="greaterThanOrEqual">
      <formula>0</formula>
    </cfRule>
    <cfRule type="cellIs" dxfId="13140" priority="10146" operator="lessThan">
      <formula>0</formula>
    </cfRule>
  </conditionalFormatting>
  <conditionalFormatting sqref="Q125">
    <cfRule type="cellIs" dxfId="13139" priority="10126" operator="greaterThanOrEqual">
      <formula>0</formula>
    </cfRule>
  </conditionalFormatting>
  <conditionalFormatting sqref="Q125">
    <cfRule type="cellIs" dxfId="13138" priority="10125" operator="lessThan">
      <formula>0</formula>
    </cfRule>
  </conditionalFormatting>
  <conditionalFormatting sqref="R107">
    <cfRule type="cellIs" dxfId="13137" priority="10135" operator="greaterThan">
      <formula>0</formula>
    </cfRule>
    <cfRule type="cellIs" dxfId="13136" priority="10136" operator="lessThanOrEqual">
      <formula>0</formula>
    </cfRule>
  </conditionalFormatting>
  <conditionalFormatting sqref="R110">
    <cfRule type="cellIs" dxfId="13135" priority="10133" operator="greaterThan">
      <formula>0</formula>
    </cfRule>
    <cfRule type="cellIs" dxfId="13134" priority="10134" operator="lessThanOrEqual">
      <formula>0</formula>
    </cfRule>
  </conditionalFormatting>
  <conditionalFormatting sqref="R113">
    <cfRule type="cellIs" dxfId="13133" priority="10131" operator="greaterThan">
      <formula>0</formula>
    </cfRule>
    <cfRule type="cellIs" dxfId="13132" priority="10132" operator="lessThanOrEqual">
      <formula>0</formula>
    </cfRule>
  </conditionalFormatting>
  <conditionalFormatting sqref="R91">
    <cfRule type="cellIs" dxfId="13131" priority="10143" operator="greaterThan">
      <formula>0</formula>
    </cfRule>
    <cfRule type="cellIs" dxfId="13130" priority="10144" operator="lessThanOrEqual">
      <formula>0</formula>
    </cfRule>
  </conditionalFormatting>
  <conditionalFormatting sqref="R104">
    <cfRule type="cellIs" dxfId="13129" priority="10141" operator="greaterThan">
      <formula>0</formula>
    </cfRule>
    <cfRule type="cellIs" dxfId="13128" priority="10142" operator="lessThanOrEqual">
      <formula>0</formula>
    </cfRule>
  </conditionalFormatting>
  <conditionalFormatting sqref="R105:R106 R108:R109">
    <cfRule type="cellIs" dxfId="13127" priority="10139" operator="greaterThan">
      <formula>0</formula>
    </cfRule>
    <cfRule type="cellIs" dxfId="13126" priority="10140" operator="lessThanOrEqual">
      <formula>0</formula>
    </cfRule>
  </conditionalFormatting>
  <conditionalFormatting sqref="R120:R121 R123:R124">
    <cfRule type="cellIs" dxfId="13125" priority="10137" operator="greaterThan">
      <formula>0</formula>
    </cfRule>
    <cfRule type="cellIs" dxfId="13124" priority="10138" operator="lessThanOrEqual">
      <formula>0</formula>
    </cfRule>
  </conditionalFormatting>
  <conditionalFormatting sqref="R122">
    <cfRule type="cellIs" dxfId="13123" priority="10129" operator="greaterThan">
      <formula>0</formula>
    </cfRule>
    <cfRule type="cellIs" dxfId="13122" priority="10130" operator="lessThanOrEqual">
      <formula>0</formula>
    </cfRule>
  </conditionalFormatting>
  <conditionalFormatting sqref="R125">
    <cfRule type="cellIs" dxfId="13121" priority="10127" operator="greaterThan">
      <formula>0</formula>
    </cfRule>
    <cfRule type="cellIs" dxfId="13120" priority="10128" operator="lessThanOrEqual">
      <formula>0</formula>
    </cfRule>
  </conditionalFormatting>
  <conditionalFormatting sqref="R128">
    <cfRule type="cellIs" dxfId="13119" priority="10123" operator="greaterThan">
      <formula>0</formula>
    </cfRule>
    <cfRule type="cellIs" dxfId="13118" priority="10124" operator="lessThanOrEqual">
      <formula>0</formula>
    </cfRule>
  </conditionalFormatting>
  <conditionalFormatting sqref="R88">
    <cfRule type="cellIs" dxfId="13117" priority="10121" operator="greaterThan">
      <formula>0</formula>
    </cfRule>
    <cfRule type="cellIs" dxfId="13116" priority="10122" operator="lessThanOrEqual">
      <formula>0</formula>
    </cfRule>
  </conditionalFormatting>
  <conditionalFormatting sqref="R119">
    <cfRule type="cellIs" dxfId="13115" priority="10119" operator="greaterThan">
      <formula>0</formula>
    </cfRule>
    <cfRule type="cellIs" dxfId="13114" priority="10120" operator="lessThanOrEqual">
      <formula>0</formula>
    </cfRule>
  </conditionalFormatting>
  <conditionalFormatting sqref="Q119">
    <cfRule type="cellIs" dxfId="13113" priority="10118" operator="greaterThanOrEqual">
      <formula>0</formula>
    </cfRule>
  </conditionalFormatting>
  <conditionalFormatting sqref="Q119">
    <cfRule type="cellIs" dxfId="13112" priority="10117" operator="lessThan">
      <formula>0</formula>
    </cfRule>
  </conditionalFormatting>
  <conditionalFormatting sqref="R115">
    <cfRule type="cellIs" dxfId="13111" priority="10115" operator="greaterThan">
      <formula>0</formula>
    </cfRule>
    <cfRule type="cellIs" dxfId="13110" priority="10116" operator="lessThanOrEqual">
      <formula>0</formula>
    </cfRule>
  </conditionalFormatting>
  <conditionalFormatting sqref="Q115">
    <cfRule type="cellIs" dxfId="13109" priority="10114" operator="greaterThanOrEqual">
      <formula>0</formula>
    </cfRule>
  </conditionalFormatting>
  <conditionalFormatting sqref="Q115">
    <cfRule type="cellIs" dxfId="13108" priority="10113" operator="lessThan">
      <formula>0</formula>
    </cfRule>
  </conditionalFormatting>
  <conditionalFormatting sqref="Q88">
    <cfRule type="cellIs" dxfId="13107" priority="10112" operator="greaterThanOrEqual">
      <formula>0</formula>
    </cfRule>
  </conditionalFormatting>
  <conditionalFormatting sqref="Q88">
    <cfRule type="cellIs" dxfId="13106" priority="10111" operator="lessThan">
      <formula>0</formula>
    </cfRule>
  </conditionalFormatting>
  <conditionalFormatting sqref="Q91">
    <cfRule type="cellIs" dxfId="13105" priority="10110" operator="greaterThanOrEqual">
      <formula>0</formula>
    </cfRule>
  </conditionalFormatting>
  <conditionalFormatting sqref="Q91">
    <cfRule type="cellIs" dxfId="13104" priority="10109" operator="lessThan">
      <formula>0</formula>
    </cfRule>
  </conditionalFormatting>
  <conditionalFormatting sqref="Q104">
    <cfRule type="cellIs" dxfId="13103" priority="10108" operator="greaterThanOrEqual">
      <formula>0</formula>
    </cfRule>
  </conditionalFormatting>
  <conditionalFormatting sqref="Q104">
    <cfRule type="cellIs" dxfId="13102" priority="10107" operator="lessThan">
      <formula>0</formula>
    </cfRule>
  </conditionalFormatting>
  <conditionalFormatting sqref="Q107">
    <cfRule type="cellIs" dxfId="13101" priority="10106" operator="greaterThanOrEqual">
      <formula>0</formula>
    </cfRule>
  </conditionalFormatting>
  <conditionalFormatting sqref="Q107">
    <cfRule type="cellIs" dxfId="13100" priority="10105" operator="lessThan">
      <formula>0</formula>
    </cfRule>
  </conditionalFormatting>
  <conditionalFormatting sqref="Q110">
    <cfRule type="cellIs" dxfId="13099" priority="10104" operator="greaterThanOrEqual">
      <formula>0</formula>
    </cfRule>
  </conditionalFormatting>
  <conditionalFormatting sqref="Q110">
    <cfRule type="cellIs" dxfId="13098" priority="10103" operator="lessThan">
      <formula>0</formula>
    </cfRule>
  </conditionalFormatting>
  <conditionalFormatting sqref="Q113">
    <cfRule type="cellIs" dxfId="13097" priority="10102" operator="greaterThanOrEqual">
      <formula>0</formula>
    </cfRule>
  </conditionalFormatting>
  <conditionalFormatting sqref="Q113">
    <cfRule type="cellIs" dxfId="13096" priority="10101" operator="lessThan">
      <formula>0</formula>
    </cfRule>
  </conditionalFormatting>
  <conditionalFormatting sqref="Q114">
    <cfRule type="cellIs" dxfId="13095" priority="10100" operator="greaterThanOrEqual">
      <formula>0</formula>
    </cfRule>
  </conditionalFormatting>
  <conditionalFormatting sqref="Q114">
    <cfRule type="cellIs" dxfId="13094" priority="10099" operator="lessThan">
      <formula>0</formula>
    </cfRule>
  </conditionalFormatting>
  <conditionalFormatting sqref="Q122">
    <cfRule type="cellIs" dxfId="13093" priority="10098" operator="greaterThanOrEqual">
      <formula>0</formula>
    </cfRule>
  </conditionalFormatting>
  <conditionalFormatting sqref="Q122">
    <cfRule type="cellIs" dxfId="13092" priority="10097" operator="lessThan">
      <formula>0</formula>
    </cfRule>
  </conditionalFormatting>
  <conditionalFormatting sqref="Q128">
    <cfRule type="cellIs" dxfId="13091" priority="10096" operator="greaterThanOrEqual">
      <formula>0</formula>
    </cfRule>
  </conditionalFormatting>
  <conditionalFormatting sqref="Q128">
    <cfRule type="cellIs" dxfId="13090" priority="10095" operator="lessThan">
      <formula>0</formula>
    </cfRule>
  </conditionalFormatting>
  <conditionalFormatting sqref="Q129">
    <cfRule type="cellIs" dxfId="13089" priority="10094" operator="greaterThanOrEqual">
      <formula>0</formula>
    </cfRule>
  </conditionalFormatting>
  <conditionalFormatting sqref="Q129">
    <cfRule type="cellIs" dxfId="13088" priority="10093" operator="lessThan">
      <formula>0</formula>
    </cfRule>
  </conditionalFormatting>
  <conditionalFormatting sqref="Q105:Q106">
    <cfRule type="cellIs" dxfId="13087" priority="10091" operator="lessThan">
      <formula>0</formula>
    </cfRule>
    <cfRule type="cellIs" dxfId="13086" priority="10092" operator="greaterThanOrEqual">
      <formula>0</formula>
    </cfRule>
  </conditionalFormatting>
  <conditionalFormatting sqref="Q108:Q109">
    <cfRule type="cellIs" dxfId="13085" priority="10089" operator="lessThan">
      <formula>0</formula>
    </cfRule>
    <cfRule type="cellIs" dxfId="13084" priority="10090" operator="greaterThanOrEqual">
      <formula>0</formula>
    </cfRule>
  </conditionalFormatting>
  <conditionalFormatting sqref="Q120:Q121">
    <cfRule type="cellIs" dxfId="13083" priority="10087" operator="lessThan">
      <formula>0</formula>
    </cfRule>
    <cfRule type="cellIs" dxfId="13082" priority="10088" operator="greaterThanOrEqual">
      <formula>0</formula>
    </cfRule>
  </conditionalFormatting>
  <conditionalFormatting sqref="Q123:Q124">
    <cfRule type="cellIs" dxfId="13081" priority="10085" operator="lessThan">
      <formula>0</formula>
    </cfRule>
    <cfRule type="cellIs" dxfId="13080" priority="10086" operator="greaterThanOrEqual">
      <formula>0</formula>
    </cfRule>
  </conditionalFormatting>
  <conditionalFormatting sqref="Q126:Q127">
    <cfRule type="cellIs" dxfId="13079" priority="10083" operator="lessThan">
      <formula>0</formula>
    </cfRule>
    <cfRule type="cellIs" dxfId="13078" priority="10084" operator="greaterThanOrEqual">
      <formula>0</formula>
    </cfRule>
  </conditionalFormatting>
  <conditionalFormatting sqref="R114">
    <cfRule type="cellIs" dxfId="13077" priority="10081" operator="greaterThan">
      <formula>0</formula>
    </cfRule>
    <cfRule type="cellIs" dxfId="13076" priority="10082" operator="lessThanOrEqual">
      <formula>0</formula>
    </cfRule>
  </conditionalFormatting>
  <conditionalFormatting sqref="Q118">
    <cfRule type="cellIs" dxfId="13075" priority="10080" operator="greaterThanOrEqual">
      <formula>0</formula>
    </cfRule>
  </conditionalFormatting>
  <conditionalFormatting sqref="Q118">
    <cfRule type="cellIs" dxfId="13074" priority="10079" operator="lessThan">
      <formula>0</formula>
    </cfRule>
  </conditionalFormatting>
  <conditionalFormatting sqref="R118">
    <cfRule type="cellIs" dxfId="13073" priority="10077" operator="greaterThan">
      <formula>0</formula>
    </cfRule>
    <cfRule type="cellIs" dxfId="13072" priority="10078" operator="lessThanOrEqual">
      <formula>0</formula>
    </cfRule>
  </conditionalFormatting>
  <conditionalFormatting sqref="V76:V77">
    <cfRule type="cellIs" dxfId="13071" priority="10075" operator="greaterThan">
      <formula>0</formula>
    </cfRule>
    <cfRule type="cellIs" dxfId="13070" priority="10076" operator="lessThanOrEqual">
      <formula>0</formula>
    </cfRule>
  </conditionalFormatting>
  <conditionalFormatting sqref="V79:V80">
    <cfRule type="cellIs" dxfId="13069" priority="10073" operator="greaterThan">
      <formula>0</formula>
    </cfRule>
    <cfRule type="cellIs" dxfId="13068" priority="10074" operator="lessThanOrEqual">
      <formula>0</formula>
    </cfRule>
  </conditionalFormatting>
  <conditionalFormatting sqref="V82:V83">
    <cfRule type="cellIs" dxfId="13067" priority="10071" operator="greaterThan">
      <formula>0</formula>
    </cfRule>
    <cfRule type="cellIs" dxfId="13066" priority="10072" operator="lessThanOrEqual">
      <formula>0</formula>
    </cfRule>
  </conditionalFormatting>
  <conditionalFormatting sqref="V92:V93">
    <cfRule type="cellIs" dxfId="13065" priority="10069" operator="greaterThan">
      <formula>0</formula>
    </cfRule>
    <cfRule type="cellIs" dxfId="13064" priority="10070" operator="lessThanOrEqual">
      <formula>0</formula>
    </cfRule>
  </conditionalFormatting>
  <conditionalFormatting sqref="V85:V86">
    <cfRule type="cellIs" dxfId="13063" priority="10067" operator="greaterThan">
      <formula>0</formula>
    </cfRule>
    <cfRule type="cellIs" dxfId="13062" priority="10068" operator="lessThanOrEqual">
      <formula>0</formula>
    </cfRule>
  </conditionalFormatting>
  <conditionalFormatting sqref="V98:V99">
    <cfRule type="cellIs" dxfId="13061" priority="10063" operator="greaterThan">
      <formula>0</formula>
    </cfRule>
    <cfRule type="cellIs" dxfId="13060" priority="10064" operator="lessThanOrEqual">
      <formula>0</formula>
    </cfRule>
  </conditionalFormatting>
  <conditionalFormatting sqref="V101:V102">
    <cfRule type="cellIs" dxfId="13059" priority="10061" operator="greaterThan">
      <formula>0</formula>
    </cfRule>
    <cfRule type="cellIs" dxfId="13058" priority="10062" operator="lessThanOrEqual">
      <formula>0</formula>
    </cfRule>
  </conditionalFormatting>
  <conditionalFormatting sqref="V111:V112">
    <cfRule type="cellIs" dxfId="13057" priority="10059" operator="greaterThan">
      <formula>0</formula>
    </cfRule>
    <cfRule type="cellIs" dxfId="13056" priority="10060" operator="lessThanOrEqual">
      <formula>0</formula>
    </cfRule>
  </conditionalFormatting>
  <conditionalFormatting sqref="V126:V127">
    <cfRule type="cellIs" dxfId="13055" priority="10057" operator="greaterThan">
      <formula>0</formula>
    </cfRule>
    <cfRule type="cellIs" dxfId="13054" priority="10058" operator="lessThanOrEqual">
      <formula>0</formula>
    </cfRule>
  </conditionalFormatting>
  <conditionalFormatting sqref="V116:V117">
    <cfRule type="cellIs" dxfId="13053" priority="10055" operator="greaterThan">
      <formula>0</formula>
    </cfRule>
    <cfRule type="cellIs" dxfId="13052" priority="10056" operator="lessThanOrEqual">
      <formula>0</formula>
    </cfRule>
  </conditionalFormatting>
  <conditionalFormatting sqref="V78">
    <cfRule type="cellIs" dxfId="13051" priority="10053" operator="greaterThan">
      <formula>0</formula>
    </cfRule>
    <cfRule type="cellIs" dxfId="13050" priority="10054" operator="lessThanOrEqual">
      <formula>0</formula>
    </cfRule>
  </conditionalFormatting>
  <conditionalFormatting sqref="V81">
    <cfRule type="cellIs" dxfId="13049" priority="10051" operator="greaterThan">
      <formula>0</formula>
    </cfRule>
    <cfRule type="cellIs" dxfId="13048" priority="10052" operator="lessThanOrEqual">
      <formula>0</formula>
    </cfRule>
  </conditionalFormatting>
  <conditionalFormatting sqref="V84">
    <cfRule type="cellIs" dxfId="13047" priority="10049" operator="greaterThan">
      <formula>0</formula>
    </cfRule>
    <cfRule type="cellIs" dxfId="13046" priority="10050" operator="lessThanOrEqual">
      <formula>0</formula>
    </cfRule>
  </conditionalFormatting>
  <conditionalFormatting sqref="V94">
    <cfRule type="cellIs" dxfId="13045" priority="10047" operator="greaterThan">
      <formula>0</formula>
    </cfRule>
    <cfRule type="cellIs" dxfId="13044" priority="10048" operator="lessThanOrEqual">
      <formula>0</formula>
    </cfRule>
  </conditionalFormatting>
  <conditionalFormatting sqref="V87">
    <cfRule type="cellIs" dxfId="13043" priority="10045" operator="greaterThan">
      <formula>0</formula>
    </cfRule>
    <cfRule type="cellIs" dxfId="13042" priority="10046" operator="lessThanOrEqual">
      <formula>0</formula>
    </cfRule>
  </conditionalFormatting>
  <conditionalFormatting sqref="V97">
    <cfRule type="cellIs" dxfId="13041" priority="10043" operator="greaterThan">
      <formula>0</formula>
    </cfRule>
    <cfRule type="cellIs" dxfId="13040" priority="10044" operator="lessThanOrEqual">
      <formula>0</formula>
    </cfRule>
  </conditionalFormatting>
  <conditionalFormatting sqref="V100">
    <cfRule type="cellIs" dxfId="13039" priority="10041" operator="greaterThan">
      <formula>0</formula>
    </cfRule>
    <cfRule type="cellIs" dxfId="13038" priority="10042" operator="lessThanOrEqual">
      <formula>0</formula>
    </cfRule>
  </conditionalFormatting>
  <conditionalFormatting sqref="V103">
    <cfRule type="cellIs" dxfId="13037" priority="10039" operator="greaterThan">
      <formula>0</formula>
    </cfRule>
    <cfRule type="cellIs" dxfId="13036" priority="10040" operator="lessThanOrEqual">
      <formula>0</formula>
    </cfRule>
  </conditionalFormatting>
  <conditionalFormatting sqref="V89">
    <cfRule type="cellIs" dxfId="13035" priority="10037" operator="greaterThan">
      <formula>0</formula>
    </cfRule>
    <cfRule type="cellIs" dxfId="13034" priority="10038" operator="lessThanOrEqual">
      <formula>0</formula>
    </cfRule>
  </conditionalFormatting>
  <conditionalFormatting sqref="V129">
    <cfRule type="cellIs" dxfId="13033" priority="10035" operator="greaterThan">
      <formula>0</formula>
    </cfRule>
    <cfRule type="cellIs" dxfId="13032" priority="10036" operator="lessThanOrEqual">
      <formula>0</formula>
    </cfRule>
  </conditionalFormatting>
  <conditionalFormatting sqref="U76:U77 U79:U80 U82:U83 U85:U86 U92:U93 U95:U96 U98:U99 U101:U102 U111:U112 U116:U117">
    <cfRule type="cellIs" dxfId="13031" priority="10033" operator="lessThan">
      <formula>0</formula>
    </cfRule>
    <cfRule type="cellIs" dxfId="13030" priority="10034" operator="greaterThanOrEqual">
      <formula>0</formula>
    </cfRule>
  </conditionalFormatting>
  <conditionalFormatting sqref="U78 U81 U84 U87 U89 U94 U97 U100 U103">
    <cfRule type="cellIs" dxfId="13029" priority="10032" operator="greaterThanOrEqual">
      <formula>0</formula>
    </cfRule>
  </conditionalFormatting>
  <conditionalFormatting sqref="U78 U81 U84 U87 U89 U94 U97 U100 U103">
    <cfRule type="cellIs" dxfId="13028" priority="10031" operator="lessThan">
      <formula>0</formula>
    </cfRule>
  </conditionalFormatting>
  <conditionalFormatting sqref="U125">
    <cfRule type="cellIs" dxfId="13027" priority="10010" operator="greaterThanOrEqual">
      <formula>0</formula>
    </cfRule>
  </conditionalFormatting>
  <conditionalFormatting sqref="U125">
    <cfRule type="cellIs" dxfId="13026" priority="10009" operator="lessThan">
      <formula>0</formula>
    </cfRule>
  </conditionalFormatting>
  <conditionalFormatting sqref="V114">
    <cfRule type="cellIs" dxfId="13025" priority="10025" operator="greaterThan">
      <formula>0</formula>
    </cfRule>
    <cfRule type="cellIs" dxfId="13024" priority="10026" operator="lessThanOrEqual">
      <formula>0</formula>
    </cfRule>
  </conditionalFormatting>
  <conditionalFormatting sqref="V107">
    <cfRule type="cellIs" dxfId="13023" priority="10019" operator="greaterThan">
      <formula>0</formula>
    </cfRule>
    <cfRule type="cellIs" dxfId="13022" priority="10020" operator="lessThanOrEqual">
      <formula>0</formula>
    </cfRule>
  </conditionalFormatting>
  <conditionalFormatting sqref="V110">
    <cfRule type="cellIs" dxfId="13021" priority="10017" operator="greaterThan">
      <formula>0</formula>
    </cfRule>
    <cfRule type="cellIs" dxfId="13020" priority="10018" operator="lessThanOrEqual">
      <formula>0</formula>
    </cfRule>
  </conditionalFormatting>
  <conditionalFormatting sqref="V113">
    <cfRule type="cellIs" dxfId="13019" priority="10015" operator="greaterThan">
      <formula>0</formula>
    </cfRule>
    <cfRule type="cellIs" dxfId="13018" priority="10016" operator="lessThanOrEqual">
      <formula>0</formula>
    </cfRule>
  </conditionalFormatting>
  <conditionalFormatting sqref="V91">
    <cfRule type="cellIs" dxfId="13017" priority="10029" operator="greaterThan">
      <formula>0</formula>
    </cfRule>
    <cfRule type="cellIs" dxfId="13016" priority="10030" operator="lessThanOrEqual">
      <formula>0</formula>
    </cfRule>
  </conditionalFormatting>
  <conditionalFormatting sqref="V104">
    <cfRule type="cellIs" dxfId="13015" priority="10027" operator="greaterThan">
      <formula>0</formula>
    </cfRule>
    <cfRule type="cellIs" dxfId="13014" priority="10028" operator="lessThanOrEqual">
      <formula>0</formula>
    </cfRule>
  </conditionalFormatting>
  <conditionalFormatting sqref="V105:V106 V108:V109">
    <cfRule type="cellIs" dxfId="13013" priority="10023" operator="greaterThan">
      <formula>0</formula>
    </cfRule>
    <cfRule type="cellIs" dxfId="13012" priority="10024" operator="lessThanOrEqual">
      <formula>0</formula>
    </cfRule>
  </conditionalFormatting>
  <conditionalFormatting sqref="V120:V121 V123:V124">
    <cfRule type="cellIs" dxfId="13011" priority="10021" operator="greaterThan">
      <formula>0</formula>
    </cfRule>
    <cfRule type="cellIs" dxfId="13010" priority="10022" operator="lessThanOrEqual">
      <formula>0</formula>
    </cfRule>
  </conditionalFormatting>
  <conditionalFormatting sqref="V122">
    <cfRule type="cellIs" dxfId="13009" priority="10013" operator="greaterThan">
      <formula>0</formula>
    </cfRule>
    <cfRule type="cellIs" dxfId="13008" priority="10014" operator="lessThanOrEqual">
      <formula>0</formula>
    </cfRule>
  </conditionalFormatting>
  <conditionalFormatting sqref="V125">
    <cfRule type="cellIs" dxfId="13007" priority="10011" operator="greaterThan">
      <formula>0</formula>
    </cfRule>
    <cfRule type="cellIs" dxfId="13006" priority="10012" operator="lessThanOrEqual">
      <formula>0</formula>
    </cfRule>
  </conditionalFormatting>
  <conditionalFormatting sqref="V128">
    <cfRule type="cellIs" dxfId="13005" priority="10007" operator="greaterThan">
      <formula>0</formula>
    </cfRule>
    <cfRule type="cellIs" dxfId="13004" priority="10008" operator="lessThanOrEqual">
      <formula>0</formula>
    </cfRule>
  </conditionalFormatting>
  <conditionalFormatting sqref="V88">
    <cfRule type="cellIs" dxfId="13003" priority="10005" operator="greaterThan">
      <formula>0</formula>
    </cfRule>
    <cfRule type="cellIs" dxfId="13002" priority="10006" operator="lessThanOrEqual">
      <formula>0</formula>
    </cfRule>
  </conditionalFormatting>
  <conditionalFormatting sqref="V119">
    <cfRule type="cellIs" dxfId="13001" priority="10003" operator="greaterThan">
      <formula>0</formula>
    </cfRule>
    <cfRule type="cellIs" dxfId="13000" priority="10004" operator="lessThanOrEqual">
      <formula>0</formula>
    </cfRule>
  </conditionalFormatting>
  <conditionalFormatting sqref="U119">
    <cfRule type="cellIs" dxfId="12999" priority="10002" operator="greaterThanOrEqual">
      <formula>0</formula>
    </cfRule>
  </conditionalFormatting>
  <conditionalFormatting sqref="U119">
    <cfRule type="cellIs" dxfId="12998" priority="10001" operator="lessThan">
      <formula>0</formula>
    </cfRule>
  </conditionalFormatting>
  <conditionalFormatting sqref="V115">
    <cfRule type="cellIs" dxfId="12997" priority="9999" operator="greaterThan">
      <formula>0</formula>
    </cfRule>
    <cfRule type="cellIs" dxfId="12996" priority="10000" operator="lessThanOrEqual">
      <formula>0</formula>
    </cfRule>
  </conditionalFormatting>
  <conditionalFormatting sqref="U115">
    <cfRule type="cellIs" dxfId="12995" priority="9998" operator="greaterThanOrEqual">
      <formula>0</formula>
    </cfRule>
  </conditionalFormatting>
  <conditionalFormatting sqref="U115">
    <cfRule type="cellIs" dxfId="12994" priority="9997" operator="lessThan">
      <formula>0</formula>
    </cfRule>
  </conditionalFormatting>
  <conditionalFormatting sqref="U88">
    <cfRule type="cellIs" dxfId="12993" priority="9996" operator="greaterThanOrEqual">
      <formula>0</formula>
    </cfRule>
  </conditionalFormatting>
  <conditionalFormatting sqref="U88">
    <cfRule type="cellIs" dxfId="12992" priority="9995" operator="lessThan">
      <formula>0</formula>
    </cfRule>
  </conditionalFormatting>
  <conditionalFormatting sqref="U91">
    <cfRule type="cellIs" dxfId="12991" priority="9994" operator="greaterThanOrEqual">
      <formula>0</formula>
    </cfRule>
  </conditionalFormatting>
  <conditionalFormatting sqref="U91">
    <cfRule type="cellIs" dxfId="12990" priority="9993" operator="lessThan">
      <formula>0</formula>
    </cfRule>
  </conditionalFormatting>
  <conditionalFormatting sqref="U104">
    <cfRule type="cellIs" dxfId="12989" priority="9992" operator="greaterThanOrEqual">
      <formula>0</formula>
    </cfRule>
  </conditionalFormatting>
  <conditionalFormatting sqref="U104">
    <cfRule type="cellIs" dxfId="12988" priority="9991" operator="lessThan">
      <formula>0</formula>
    </cfRule>
  </conditionalFormatting>
  <conditionalFormatting sqref="U110">
    <cfRule type="cellIs" dxfId="12987" priority="9988" operator="greaterThanOrEqual">
      <formula>0</formula>
    </cfRule>
  </conditionalFormatting>
  <conditionalFormatting sqref="U110">
    <cfRule type="cellIs" dxfId="12986" priority="9987" operator="lessThan">
      <formula>0</formula>
    </cfRule>
  </conditionalFormatting>
  <conditionalFormatting sqref="U113">
    <cfRule type="cellIs" dxfId="12985" priority="9986" operator="greaterThanOrEqual">
      <formula>0</formula>
    </cfRule>
  </conditionalFormatting>
  <conditionalFormatting sqref="U113">
    <cfRule type="cellIs" dxfId="12984" priority="9985" operator="lessThan">
      <formula>0</formula>
    </cfRule>
  </conditionalFormatting>
  <conditionalFormatting sqref="U114">
    <cfRule type="cellIs" dxfId="12983" priority="9984" operator="greaterThanOrEqual">
      <formula>0</formula>
    </cfRule>
  </conditionalFormatting>
  <conditionalFormatting sqref="U114">
    <cfRule type="cellIs" dxfId="12982" priority="9983" operator="lessThan">
      <formula>0</formula>
    </cfRule>
  </conditionalFormatting>
  <conditionalFormatting sqref="U122">
    <cfRule type="cellIs" dxfId="12981" priority="9982" operator="greaterThanOrEqual">
      <formula>0</formula>
    </cfRule>
  </conditionalFormatting>
  <conditionalFormatting sqref="U122">
    <cfRule type="cellIs" dxfId="12980" priority="9981" operator="lessThan">
      <formula>0</formula>
    </cfRule>
  </conditionalFormatting>
  <conditionalFormatting sqref="U128">
    <cfRule type="cellIs" dxfId="12979" priority="9980" operator="greaterThanOrEqual">
      <formula>0</formula>
    </cfRule>
  </conditionalFormatting>
  <conditionalFormatting sqref="U128">
    <cfRule type="cellIs" dxfId="12978" priority="9979" operator="lessThan">
      <formula>0</formula>
    </cfRule>
  </conditionalFormatting>
  <conditionalFormatting sqref="U129">
    <cfRule type="cellIs" dxfId="12977" priority="9978" operator="greaterThanOrEqual">
      <formula>0</formula>
    </cfRule>
  </conditionalFormatting>
  <conditionalFormatting sqref="U129">
    <cfRule type="cellIs" dxfId="12976" priority="9977" operator="lessThan">
      <formula>0</formula>
    </cfRule>
  </conditionalFormatting>
  <conditionalFormatting sqref="U105:U106">
    <cfRule type="cellIs" dxfId="12975" priority="9975" operator="lessThan">
      <formula>0</formula>
    </cfRule>
    <cfRule type="cellIs" dxfId="12974" priority="9976" operator="greaterThanOrEqual">
      <formula>0</formula>
    </cfRule>
  </conditionalFormatting>
  <conditionalFormatting sqref="U108:U109">
    <cfRule type="cellIs" dxfId="12973" priority="9973" operator="lessThan">
      <formula>0</formula>
    </cfRule>
    <cfRule type="cellIs" dxfId="12972" priority="9974" operator="greaterThanOrEqual">
      <formula>0</formula>
    </cfRule>
  </conditionalFormatting>
  <conditionalFormatting sqref="U120:U121">
    <cfRule type="cellIs" dxfId="12971" priority="9971" operator="lessThan">
      <formula>0</formula>
    </cfRule>
    <cfRule type="cellIs" dxfId="12970" priority="9972" operator="greaterThanOrEqual">
      <formula>0</formula>
    </cfRule>
  </conditionalFormatting>
  <conditionalFormatting sqref="U123:U124">
    <cfRule type="cellIs" dxfId="12969" priority="9969" operator="lessThan">
      <formula>0</formula>
    </cfRule>
    <cfRule type="cellIs" dxfId="12968" priority="9970" operator="greaterThanOrEqual">
      <formula>0</formula>
    </cfRule>
  </conditionalFormatting>
  <conditionalFormatting sqref="U126:U127">
    <cfRule type="cellIs" dxfId="12967" priority="9967" operator="lessThan">
      <formula>0</formula>
    </cfRule>
    <cfRule type="cellIs" dxfId="12966" priority="9968" operator="greaterThanOrEqual">
      <formula>0</formula>
    </cfRule>
  </conditionalFormatting>
  <conditionalFormatting sqref="V130">
    <cfRule type="cellIs" dxfId="12965" priority="9965" operator="greaterThan">
      <formula>0</formula>
    </cfRule>
    <cfRule type="cellIs" dxfId="12964" priority="9966" operator="lessThanOrEqual">
      <formula>0</formula>
    </cfRule>
  </conditionalFormatting>
  <conditionalFormatting sqref="U130">
    <cfRule type="cellIs" dxfId="12963" priority="9963" operator="greaterThanOrEqual">
      <formula>0</formula>
    </cfRule>
    <cfRule type="cellIs" dxfId="12962" priority="9964" operator="lessThan">
      <formula>0</formula>
    </cfRule>
  </conditionalFormatting>
  <conditionalFormatting sqref="V118">
    <cfRule type="cellIs" dxfId="12961" priority="9961" operator="greaterThan">
      <formula>0</formula>
    </cfRule>
    <cfRule type="cellIs" dxfId="12960" priority="9962" operator="lessThanOrEqual">
      <formula>0</formula>
    </cfRule>
  </conditionalFormatting>
  <conditionalFormatting sqref="U118">
    <cfRule type="cellIs" dxfId="12959" priority="9960" operator="greaterThanOrEqual">
      <formula>0</formula>
    </cfRule>
  </conditionalFormatting>
  <conditionalFormatting sqref="U118">
    <cfRule type="cellIs" dxfId="12958" priority="9959" operator="lessThan">
      <formula>0</formula>
    </cfRule>
  </conditionalFormatting>
  <conditionalFormatting sqref="X78 X87 X81 X84 X94 X97 X100 X103">
    <cfRule type="cellIs" dxfId="12957" priority="9956" operator="greaterThanOrEqual">
      <formula>0</formula>
    </cfRule>
  </conditionalFormatting>
  <conditionalFormatting sqref="X78 X87 X81 X84 X94 X97 X100 X103">
    <cfRule type="cellIs" dxfId="12956" priority="9955" operator="lessThan">
      <formula>0</formula>
    </cfRule>
  </conditionalFormatting>
  <conditionalFormatting sqref="X130">
    <cfRule type="cellIs" dxfId="12955" priority="9953" operator="greaterThanOrEqual">
      <formula>0</formula>
    </cfRule>
    <cfRule type="cellIs" dxfId="12954" priority="9954" operator="lessThan">
      <formula>0</formula>
    </cfRule>
  </conditionalFormatting>
  <conditionalFormatting sqref="Y76:Y77">
    <cfRule type="cellIs" dxfId="12953" priority="9951" operator="greaterThan">
      <formula>0</formula>
    </cfRule>
    <cfRule type="cellIs" dxfId="12952" priority="9952" operator="lessThanOrEqual">
      <formula>0</formula>
    </cfRule>
  </conditionalFormatting>
  <conditionalFormatting sqref="Y78 Y87 Y81 Y84 Y94 Y97 Y100 Y103">
    <cfRule type="cellIs" dxfId="12951" priority="9950" operator="greaterThanOrEqual">
      <formula>0</formula>
    </cfRule>
  </conditionalFormatting>
  <conditionalFormatting sqref="Y78 Y87 Y81 Y84 Y94 Y97 Y100 Y103">
    <cfRule type="cellIs" dxfId="12950" priority="9949" operator="lessThan">
      <formula>0</formula>
    </cfRule>
  </conditionalFormatting>
  <conditionalFormatting sqref="Y130">
    <cfRule type="cellIs" dxfId="12949" priority="9947" operator="lessThan">
      <formula>0</formula>
    </cfRule>
    <cfRule type="cellIs" dxfId="12948" priority="9948" operator="greaterThanOrEqual">
      <formula>0</formula>
    </cfRule>
  </conditionalFormatting>
  <conditionalFormatting sqref="Y115">
    <cfRule type="cellIs" dxfId="12947" priority="9943" operator="lessThan">
      <formula>0</formula>
    </cfRule>
  </conditionalFormatting>
  <conditionalFormatting sqref="X115">
    <cfRule type="cellIs" dxfId="12946" priority="9946" operator="greaterThanOrEqual">
      <formula>0</formula>
    </cfRule>
  </conditionalFormatting>
  <conditionalFormatting sqref="X115">
    <cfRule type="cellIs" dxfId="12945" priority="9945" operator="lessThan">
      <formula>0</formula>
    </cfRule>
  </conditionalFormatting>
  <conditionalFormatting sqref="Y115">
    <cfRule type="cellIs" dxfId="12944" priority="9944" operator="greaterThanOrEqual">
      <formula>0</formula>
    </cfRule>
  </conditionalFormatting>
  <conditionalFormatting sqref="X105:X106">
    <cfRule type="cellIs" dxfId="12943" priority="9941" operator="lessThan">
      <formula>0</formula>
    </cfRule>
    <cfRule type="cellIs" dxfId="12942" priority="9942" operator="greaterThanOrEqual">
      <formula>0</formula>
    </cfRule>
  </conditionalFormatting>
  <conditionalFormatting sqref="X108:X109">
    <cfRule type="cellIs" dxfId="12941" priority="9939" operator="lessThan">
      <formula>0</formula>
    </cfRule>
    <cfRule type="cellIs" dxfId="12940" priority="9940" operator="greaterThanOrEqual">
      <formula>0</formula>
    </cfRule>
  </conditionalFormatting>
  <conditionalFormatting sqref="X116:X117">
    <cfRule type="cellIs" dxfId="12939" priority="9937" operator="lessThan">
      <formula>0</formula>
    </cfRule>
    <cfRule type="cellIs" dxfId="12938" priority="9938" operator="greaterThanOrEqual">
      <formula>0</formula>
    </cfRule>
  </conditionalFormatting>
  <conditionalFormatting sqref="X120:X121">
    <cfRule type="cellIs" dxfId="12937" priority="9935" operator="lessThan">
      <formula>0</formula>
    </cfRule>
    <cfRule type="cellIs" dxfId="12936" priority="9936" operator="greaterThanOrEqual">
      <formula>0</formula>
    </cfRule>
  </conditionalFormatting>
  <conditionalFormatting sqref="X123:X124">
    <cfRule type="cellIs" dxfId="12935" priority="9933" operator="lessThan">
      <formula>0</formula>
    </cfRule>
    <cfRule type="cellIs" dxfId="12934" priority="9934" operator="greaterThanOrEqual">
      <formula>0</formula>
    </cfRule>
  </conditionalFormatting>
  <conditionalFormatting sqref="X126:X127">
    <cfRule type="cellIs" dxfId="12933" priority="9931" operator="lessThan">
      <formula>0</formula>
    </cfRule>
    <cfRule type="cellIs" dxfId="12932" priority="9932" operator="greaterThanOrEqual">
      <formula>0</formula>
    </cfRule>
  </conditionalFormatting>
  <conditionalFormatting sqref="X88">
    <cfRule type="cellIs" dxfId="12931" priority="9930" operator="greaterThanOrEqual">
      <formula>0</formula>
    </cfRule>
  </conditionalFormatting>
  <conditionalFormatting sqref="X88">
    <cfRule type="cellIs" dxfId="12930" priority="9929" operator="lessThan">
      <formula>0</formula>
    </cfRule>
  </conditionalFormatting>
  <conditionalFormatting sqref="X89">
    <cfRule type="cellIs" dxfId="12929" priority="9928" operator="greaterThanOrEqual">
      <formula>0</formula>
    </cfRule>
  </conditionalFormatting>
  <conditionalFormatting sqref="X89">
    <cfRule type="cellIs" dxfId="12928" priority="9927" operator="lessThan">
      <formula>0</formula>
    </cfRule>
  </conditionalFormatting>
  <conditionalFormatting sqref="X91">
    <cfRule type="cellIs" dxfId="12927" priority="9926" operator="greaterThanOrEqual">
      <formula>0</formula>
    </cfRule>
  </conditionalFormatting>
  <conditionalFormatting sqref="X91">
    <cfRule type="cellIs" dxfId="12926" priority="9925" operator="lessThan">
      <formula>0</formula>
    </cfRule>
  </conditionalFormatting>
  <conditionalFormatting sqref="X104">
    <cfRule type="cellIs" dxfId="12925" priority="9924" operator="greaterThanOrEqual">
      <formula>0</formula>
    </cfRule>
  </conditionalFormatting>
  <conditionalFormatting sqref="X104">
    <cfRule type="cellIs" dxfId="12924" priority="9923" operator="lessThan">
      <formula>0</formula>
    </cfRule>
  </conditionalFormatting>
  <conditionalFormatting sqref="X110">
    <cfRule type="cellIs" dxfId="12923" priority="9920" operator="greaterThanOrEqual">
      <formula>0</formula>
    </cfRule>
  </conditionalFormatting>
  <conditionalFormatting sqref="X110">
    <cfRule type="cellIs" dxfId="12922" priority="9919" operator="lessThan">
      <formula>0</formula>
    </cfRule>
  </conditionalFormatting>
  <conditionalFormatting sqref="X113">
    <cfRule type="cellIs" dxfId="12921" priority="9918" operator="greaterThanOrEqual">
      <formula>0</formula>
    </cfRule>
  </conditionalFormatting>
  <conditionalFormatting sqref="X113">
    <cfRule type="cellIs" dxfId="12920" priority="9917" operator="lessThan">
      <formula>0</formula>
    </cfRule>
  </conditionalFormatting>
  <conditionalFormatting sqref="X122">
    <cfRule type="cellIs" dxfId="12919" priority="9914" operator="greaterThanOrEqual">
      <formula>0</formula>
    </cfRule>
  </conditionalFormatting>
  <conditionalFormatting sqref="X122">
    <cfRule type="cellIs" dxfId="12918" priority="9913" operator="lessThan">
      <formula>0</formula>
    </cfRule>
  </conditionalFormatting>
  <conditionalFormatting sqref="X125">
    <cfRule type="cellIs" dxfId="12917" priority="9912" operator="greaterThanOrEqual">
      <formula>0</formula>
    </cfRule>
  </conditionalFormatting>
  <conditionalFormatting sqref="X125">
    <cfRule type="cellIs" dxfId="12916" priority="9911" operator="lessThan">
      <formula>0</formula>
    </cfRule>
  </conditionalFormatting>
  <conditionalFormatting sqref="X128">
    <cfRule type="cellIs" dxfId="12915" priority="9910" operator="greaterThanOrEqual">
      <formula>0</formula>
    </cfRule>
  </conditionalFormatting>
  <conditionalFormatting sqref="X128">
    <cfRule type="cellIs" dxfId="12914" priority="9909" operator="lessThan">
      <formula>0</formula>
    </cfRule>
  </conditionalFormatting>
  <conditionalFormatting sqref="X119">
    <cfRule type="cellIs" dxfId="12913" priority="9908" operator="greaterThanOrEqual">
      <formula>0</formula>
    </cfRule>
  </conditionalFormatting>
  <conditionalFormatting sqref="X119">
    <cfRule type="cellIs" dxfId="12912" priority="9907" operator="lessThan">
      <formula>0</formula>
    </cfRule>
  </conditionalFormatting>
  <conditionalFormatting sqref="X129">
    <cfRule type="cellIs" dxfId="12911" priority="9906" operator="greaterThanOrEqual">
      <formula>0</formula>
    </cfRule>
  </conditionalFormatting>
  <conditionalFormatting sqref="X129">
    <cfRule type="cellIs" dxfId="12910" priority="9905" operator="lessThan">
      <formula>0</formula>
    </cfRule>
  </conditionalFormatting>
  <conditionalFormatting sqref="Y79:Y80">
    <cfRule type="cellIs" dxfId="12909" priority="9903" operator="greaterThan">
      <formula>0</formula>
    </cfRule>
    <cfRule type="cellIs" dxfId="12908" priority="9904" operator="lessThanOrEqual">
      <formula>0</formula>
    </cfRule>
  </conditionalFormatting>
  <conditionalFormatting sqref="Y82:Y83">
    <cfRule type="cellIs" dxfId="12907" priority="9901" operator="greaterThan">
      <formula>0</formula>
    </cfRule>
    <cfRule type="cellIs" dxfId="12906" priority="9902" operator="lessThanOrEqual">
      <formula>0</formula>
    </cfRule>
  </conditionalFormatting>
  <conditionalFormatting sqref="Y85:Y86">
    <cfRule type="cellIs" dxfId="12905" priority="9899" operator="greaterThan">
      <formula>0</formula>
    </cfRule>
    <cfRule type="cellIs" dxfId="12904" priority="9900" operator="lessThanOrEqual">
      <formula>0</formula>
    </cfRule>
  </conditionalFormatting>
  <conditionalFormatting sqref="Y92:Y93">
    <cfRule type="cellIs" dxfId="12903" priority="9897" operator="greaterThan">
      <formula>0</formula>
    </cfRule>
    <cfRule type="cellIs" dxfId="12902" priority="9898" operator="lessThanOrEqual">
      <formula>0</formula>
    </cfRule>
  </conditionalFormatting>
  <conditionalFormatting sqref="Y95:Y96">
    <cfRule type="cellIs" dxfId="12901" priority="9895" operator="greaterThan">
      <formula>0</formula>
    </cfRule>
    <cfRule type="cellIs" dxfId="12900" priority="9896" operator="lessThanOrEqual">
      <formula>0</formula>
    </cfRule>
  </conditionalFormatting>
  <conditionalFormatting sqref="Y98:Y99">
    <cfRule type="cellIs" dxfId="12899" priority="9893" operator="greaterThan">
      <formula>0</formula>
    </cfRule>
    <cfRule type="cellIs" dxfId="12898" priority="9894" operator="lessThanOrEqual">
      <formula>0</formula>
    </cfRule>
  </conditionalFormatting>
  <conditionalFormatting sqref="Y101:Y102">
    <cfRule type="cellIs" dxfId="12897" priority="9891" operator="greaterThan">
      <formula>0</formula>
    </cfRule>
    <cfRule type="cellIs" dxfId="12896" priority="9892" operator="lessThanOrEqual">
      <formula>0</formula>
    </cfRule>
  </conditionalFormatting>
  <conditionalFormatting sqref="Y105:Y106">
    <cfRule type="cellIs" dxfId="12895" priority="9889" operator="greaterThan">
      <formula>0</formula>
    </cfRule>
    <cfRule type="cellIs" dxfId="12894" priority="9890" operator="lessThanOrEqual">
      <formula>0</formula>
    </cfRule>
  </conditionalFormatting>
  <conditionalFormatting sqref="Y108:Y109">
    <cfRule type="cellIs" dxfId="12893" priority="9887" operator="greaterThan">
      <formula>0</formula>
    </cfRule>
    <cfRule type="cellIs" dxfId="12892" priority="9888" operator="lessThanOrEqual">
      <formula>0</formula>
    </cfRule>
  </conditionalFormatting>
  <conditionalFormatting sqref="Y111:Y112">
    <cfRule type="cellIs" dxfId="12891" priority="9885" operator="greaterThan">
      <formula>0</formula>
    </cfRule>
    <cfRule type="cellIs" dxfId="12890" priority="9886" operator="lessThanOrEqual">
      <formula>0</formula>
    </cfRule>
  </conditionalFormatting>
  <conditionalFormatting sqref="Y116:Y117">
    <cfRule type="cellIs" dxfId="12889" priority="9883" operator="greaterThan">
      <formula>0</formula>
    </cfRule>
    <cfRule type="cellIs" dxfId="12888" priority="9884" operator="lessThanOrEqual">
      <formula>0</formula>
    </cfRule>
  </conditionalFormatting>
  <conditionalFormatting sqref="Y120:Y121">
    <cfRule type="cellIs" dxfId="12887" priority="9881" operator="greaterThan">
      <formula>0</formula>
    </cfRule>
    <cfRule type="cellIs" dxfId="12886" priority="9882" operator="lessThanOrEqual">
      <formula>0</formula>
    </cfRule>
  </conditionalFormatting>
  <conditionalFormatting sqref="Y126:Y127">
    <cfRule type="cellIs" dxfId="12885" priority="9877" operator="greaterThan">
      <formula>0</formula>
    </cfRule>
    <cfRule type="cellIs" dxfId="12884" priority="9878" operator="lessThanOrEqual">
      <formula>0</formula>
    </cfRule>
  </conditionalFormatting>
  <conditionalFormatting sqref="Y88">
    <cfRule type="cellIs" dxfId="12883" priority="9876" operator="greaterThanOrEqual">
      <formula>0</formula>
    </cfRule>
  </conditionalFormatting>
  <conditionalFormatting sqref="Y88">
    <cfRule type="cellIs" dxfId="12882" priority="9875" operator="lessThan">
      <formula>0</formula>
    </cfRule>
  </conditionalFormatting>
  <conditionalFormatting sqref="Y89">
    <cfRule type="cellIs" dxfId="12881" priority="9874" operator="greaterThanOrEqual">
      <formula>0</formula>
    </cfRule>
  </conditionalFormatting>
  <conditionalFormatting sqref="Y89">
    <cfRule type="cellIs" dxfId="12880" priority="9873" operator="lessThan">
      <formula>0</formula>
    </cfRule>
  </conditionalFormatting>
  <conditionalFormatting sqref="Y91">
    <cfRule type="cellIs" dxfId="12879" priority="9872" operator="greaterThanOrEqual">
      <formula>0</formula>
    </cfRule>
  </conditionalFormatting>
  <conditionalFormatting sqref="Y91">
    <cfRule type="cellIs" dxfId="12878" priority="9871" operator="lessThan">
      <formula>0</formula>
    </cfRule>
  </conditionalFormatting>
  <conditionalFormatting sqref="Y104">
    <cfRule type="cellIs" dxfId="12877" priority="9870" operator="greaterThanOrEqual">
      <formula>0</formula>
    </cfRule>
  </conditionalFormatting>
  <conditionalFormatting sqref="Y104">
    <cfRule type="cellIs" dxfId="12876" priority="9869" operator="lessThan">
      <formula>0</formula>
    </cfRule>
  </conditionalFormatting>
  <conditionalFormatting sqref="Y107">
    <cfRule type="cellIs" dxfId="12875" priority="9868" operator="greaterThanOrEqual">
      <formula>0</formula>
    </cfRule>
  </conditionalFormatting>
  <conditionalFormatting sqref="Y107">
    <cfRule type="cellIs" dxfId="12874" priority="9867" operator="lessThan">
      <formula>0</formula>
    </cfRule>
  </conditionalFormatting>
  <conditionalFormatting sqref="Y110">
    <cfRule type="cellIs" dxfId="12873" priority="9866" operator="greaterThanOrEqual">
      <formula>0</formula>
    </cfRule>
  </conditionalFormatting>
  <conditionalFormatting sqref="Y110">
    <cfRule type="cellIs" dxfId="12872" priority="9865" operator="lessThan">
      <formula>0</formula>
    </cfRule>
  </conditionalFormatting>
  <conditionalFormatting sqref="Y114">
    <cfRule type="cellIs" dxfId="12871" priority="9862" operator="greaterThanOrEqual">
      <formula>0</formula>
    </cfRule>
  </conditionalFormatting>
  <conditionalFormatting sqref="Y114">
    <cfRule type="cellIs" dxfId="12870" priority="9861" operator="lessThan">
      <formula>0</formula>
    </cfRule>
  </conditionalFormatting>
  <conditionalFormatting sqref="Y122">
    <cfRule type="cellIs" dxfId="12869" priority="9860" operator="greaterThanOrEqual">
      <formula>0</formula>
    </cfRule>
  </conditionalFormatting>
  <conditionalFormatting sqref="Y122">
    <cfRule type="cellIs" dxfId="12868" priority="9859" operator="lessThan">
      <formula>0</formula>
    </cfRule>
  </conditionalFormatting>
  <conditionalFormatting sqref="X118">
    <cfRule type="cellIs" dxfId="12867" priority="9850" operator="greaterThanOrEqual">
      <formula>0</formula>
    </cfRule>
  </conditionalFormatting>
  <conditionalFormatting sqref="X118">
    <cfRule type="cellIs" dxfId="12866" priority="9849" operator="lessThan">
      <formula>0</formula>
    </cfRule>
  </conditionalFormatting>
  <conditionalFormatting sqref="R133">
    <cfRule type="cellIs" dxfId="12865" priority="9845" operator="lessThan">
      <formula>0</formula>
    </cfRule>
    <cfRule type="cellIs" dxfId="12864" priority="9846" operator="greaterThanOrEqual">
      <formula>0</formula>
    </cfRule>
  </conditionalFormatting>
  <conditionalFormatting sqref="R176">
    <cfRule type="cellIs" dxfId="12863" priority="9843" operator="greaterThan">
      <formula>0</formula>
    </cfRule>
    <cfRule type="cellIs" dxfId="12862" priority="9844" operator="lessThanOrEqual">
      <formula>0</formula>
    </cfRule>
  </conditionalFormatting>
  <conditionalFormatting sqref="Q176">
    <cfRule type="cellIs" dxfId="12861" priority="9842" operator="greaterThanOrEqual">
      <formula>0</formula>
    </cfRule>
  </conditionalFormatting>
  <conditionalFormatting sqref="Q176">
    <cfRule type="cellIs" dxfId="12860" priority="9841" operator="lessThan">
      <formula>0</formula>
    </cfRule>
  </conditionalFormatting>
  <conditionalFormatting sqref="U176">
    <cfRule type="cellIs" dxfId="12859" priority="9840" operator="greaterThanOrEqual">
      <formula>0</formula>
    </cfRule>
  </conditionalFormatting>
  <conditionalFormatting sqref="U176">
    <cfRule type="cellIs" dxfId="12858" priority="9839" operator="lessThan">
      <formula>0</formula>
    </cfRule>
  </conditionalFormatting>
  <conditionalFormatting sqref="X176">
    <cfRule type="cellIs" dxfId="12857" priority="9838" operator="greaterThanOrEqual">
      <formula>0</formula>
    </cfRule>
  </conditionalFormatting>
  <conditionalFormatting sqref="X176">
    <cfRule type="cellIs" dxfId="12856" priority="9837" operator="lessThan">
      <formula>0</formula>
    </cfRule>
  </conditionalFormatting>
  <conditionalFormatting sqref="Y176">
    <cfRule type="cellIs" dxfId="12855" priority="9836" operator="greaterThanOrEqual">
      <formula>0</formula>
    </cfRule>
  </conditionalFormatting>
  <conditionalFormatting sqref="Y176">
    <cfRule type="cellIs" dxfId="12854" priority="9835" operator="lessThan">
      <formula>0</formula>
    </cfRule>
  </conditionalFormatting>
  <conditionalFormatting sqref="R175">
    <cfRule type="cellIs" dxfId="12853" priority="9833" operator="greaterThan">
      <formula>0</formula>
    </cfRule>
    <cfRule type="cellIs" dxfId="12852" priority="9834" operator="lessThanOrEqual">
      <formula>0</formula>
    </cfRule>
  </conditionalFormatting>
  <conditionalFormatting sqref="Q175">
    <cfRule type="cellIs" dxfId="12851" priority="9832" operator="greaterThanOrEqual">
      <formula>0</formula>
    </cfRule>
  </conditionalFormatting>
  <conditionalFormatting sqref="Q175">
    <cfRule type="cellIs" dxfId="12850" priority="9831" operator="lessThan">
      <formula>0</formula>
    </cfRule>
  </conditionalFormatting>
  <conditionalFormatting sqref="X175:Y175">
    <cfRule type="cellIs" dxfId="12849" priority="9828" operator="greaterThanOrEqual">
      <formula>0</formula>
    </cfRule>
  </conditionalFormatting>
  <conditionalFormatting sqref="X175:Y175">
    <cfRule type="cellIs" dxfId="12848" priority="9827" operator="lessThan">
      <formula>0</formula>
    </cfRule>
  </conditionalFormatting>
  <conditionalFormatting sqref="U175">
    <cfRule type="cellIs" dxfId="12847" priority="9830" operator="greaterThanOrEqual">
      <formula>0</formula>
    </cfRule>
  </conditionalFormatting>
  <conditionalFormatting sqref="U175">
    <cfRule type="cellIs" dxfId="12846" priority="9829" operator="lessThan">
      <formula>0</formula>
    </cfRule>
  </conditionalFormatting>
  <conditionalFormatting sqref="V134">
    <cfRule type="cellIs" dxfId="12845" priority="9825" operator="greaterThan">
      <formula>0</formula>
    </cfRule>
    <cfRule type="cellIs" dxfId="12844" priority="9826" operator="lessThanOrEqual">
      <formula>0</formula>
    </cfRule>
  </conditionalFormatting>
  <conditionalFormatting sqref="V136:V137">
    <cfRule type="cellIs" dxfId="12843" priority="9823" operator="greaterThan">
      <formula>0</formula>
    </cfRule>
    <cfRule type="cellIs" dxfId="12842" priority="9824" operator="lessThanOrEqual">
      <formula>0</formula>
    </cfRule>
  </conditionalFormatting>
  <conditionalFormatting sqref="V173:V174">
    <cfRule type="cellIs" dxfId="12841" priority="9805" operator="greaterThan">
      <formula>0</formula>
    </cfRule>
    <cfRule type="cellIs" dxfId="12840" priority="9806" operator="lessThanOrEqual">
      <formula>0</formula>
    </cfRule>
  </conditionalFormatting>
  <conditionalFormatting sqref="V144">
    <cfRule type="cellIs" dxfId="12839" priority="9795" operator="greaterThan">
      <formula>0</formula>
    </cfRule>
    <cfRule type="cellIs" dxfId="12838" priority="9796" operator="lessThanOrEqual">
      <formula>0</formula>
    </cfRule>
  </conditionalFormatting>
  <conditionalFormatting sqref="V154">
    <cfRule type="cellIs" dxfId="12837" priority="9793" operator="greaterThan">
      <formula>0</formula>
    </cfRule>
    <cfRule type="cellIs" dxfId="12836" priority="9794" operator="lessThanOrEqual">
      <formula>0</formula>
    </cfRule>
  </conditionalFormatting>
  <conditionalFormatting sqref="V157">
    <cfRule type="cellIs" dxfId="12835" priority="9791" operator="greaterThan">
      <formula>0</formula>
    </cfRule>
    <cfRule type="cellIs" dxfId="12834" priority="9792" operator="lessThanOrEqual">
      <formula>0</formula>
    </cfRule>
  </conditionalFormatting>
  <conditionalFormatting sqref="V164">
    <cfRule type="cellIs" dxfId="12833" priority="9767" operator="greaterThan">
      <formula>0</formula>
    </cfRule>
    <cfRule type="cellIs" dxfId="12832" priority="9768" operator="lessThanOrEqual">
      <formula>0</formula>
    </cfRule>
  </conditionalFormatting>
  <conditionalFormatting sqref="V171">
    <cfRule type="cellIs" dxfId="12831" priority="9773" operator="greaterThan">
      <formula>0</formula>
    </cfRule>
    <cfRule type="cellIs" dxfId="12830" priority="9774" operator="lessThanOrEqual">
      <formula>0</formula>
    </cfRule>
  </conditionalFormatting>
  <conditionalFormatting sqref="V139:V140">
    <cfRule type="cellIs" dxfId="12829" priority="9821" operator="greaterThan">
      <formula>0</formula>
    </cfRule>
    <cfRule type="cellIs" dxfId="12828" priority="9822" operator="lessThanOrEqual">
      <formula>0</formula>
    </cfRule>
  </conditionalFormatting>
  <conditionalFormatting sqref="V149:V150">
    <cfRule type="cellIs" dxfId="12827" priority="9819" operator="greaterThan">
      <formula>0</formula>
    </cfRule>
    <cfRule type="cellIs" dxfId="12826" priority="9820" operator="lessThanOrEqual">
      <formula>0</formula>
    </cfRule>
  </conditionalFormatting>
  <conditionalFormatting sqref="V142:V143">
    <cfRule type="cellIs" dxfId="12825" priority="9817" operator="greaterThan">
      <formula>0</formula>
    </cfRule>
    <cfRule type="cellIs" dxfId="12824" priority="9818" operator="lessThanOrEqual">
      <formula>0</formula>
    </cfRule>
  </conditionalFormatting>
  <conditionalFormatting sqref="V152:V153">
    <cfRule type="cellIs" dxfId="12823" priority="9815" operator="greaterThan">
      <formula>0</formula>
    </cfRule>
    <cfRule type="cellIs" dxfId="12822" priority="9816" operator="lessThanOrEqual">
      <formula>0</formula>
    </cfRule>
  </conditionalFormatting>
  <conditionalFormatting sqref="V155:V156">
    <cfRule type="cellIs" dxfId="12821" priority="9813" operator="greaterThan">
      <formula>0</formula>
    </cfRule>
    <cfRule type="cellIs" dxfId="12820" priority="9814" operator="lessThanOrEqual">
      <formula>0</formula>
    </cfRule>
  </conditionalFormatting>
  <conditionalFormatting sqref="V158:V159">
    <cfRule type="cellIs" dxfId="12819" priority="9811" operator="greaterThan">
      <formula>0</formula>
    </cfRule>
    <cfRule type="cellIs" dxfId="12818" priority="9812" operator="lessThanOrEqual">
      <formula>0</formula>
    </cfRule>
  </conditionalFormatting>
  <conditionalFormatting sqref="V168:V169">
    <cfRule type="cellIs" dxfId="12817" priority="9809" operator="greaterThan">
      <formula>0</formula>
    </cfRule>
    <cfRule type="cellIs" dxfId="12816" priority="9810" operator="lessThanOrEqual">
      <formula>0</formula>
    </cfRule>
  </conditionalFormatting>
  <conditionalFormatting sqref="V183:V184">
    <cfRule type="cellIs" dxfId="12815" priority="9807" operator="greaterThan">
      <formula>0</formula>
    </cfRule>
    <cfRule type="cellIs" dxfId="12814" priority="9808" operator="lessThanOrEqual">
      <formula>0</formula>
    </cfRule>
  </conditionalFormatting>
  <conditionalFormatting sqref="V135">
    <cfRule type="cellIs" dxfId="12813" priority="9803" operator="greaterThan">
      <formula>0</formula>
    </cfRule>
    <cfRule type="cellIs" dxfId="12812" priority="9804" operator="lessThanOrEqual">
      <formula>0</formula>
    </cfRule>
  </conditionalFormatting>
  <conditionalFormatting sqref="V138">
    <cfRule type="cellIs" dxfId="12811" priority="9801" operator="greaterThan">
      <formula>0</formula>
    </cfRule>
    <cfRule type="cellIs" dxfId="12810" priority="9802" operator="lessThanOrEqual">
      <formula>0</formula>
    </cfRule>
  </conditionalFormatting>
  <conditionalFormatting sqref="V141">
    <cfRule type="cellIs" dxfId="12809" priority="9799" operator="greaterThan">
      <formula>0</formula>
    </cfRule>
    <cfRule type="cellIs" dxfId="12808" priority="9800" operator="lessThanOrEqual">
      <formula>0</formula>
    </cfRule>
  </conditionalFormatting>
  <conditionalFormatting sqref="V151">
    <cfRule type="cellIs" dxfId="12807" priority="9797" operator="greaterThan">
      <formula>0</formula>
    </cfRule>
    <cfRule type="cellIs" dxfId="12806" priority="9798" operator="lessThanOrEqual">
      <formula>0</formula>
    </cfRule>
  </conditionalFormatting>
  <conditionalFormatting sqref="V160">
    <cfRule type="cellIs" dxfId="12805" priority="9789" operator="greaterThan">
      <formula>0</formula>
    </cfRule>
    <cfRule type="cellIs" dxfId="12804" priority="9790" operator="lessThanOrEqual">
      <formula>0</formula>
    </cfRule>
  </conditionalFormatting>
  <conditionalFormatting sqref="V146">
    <cfRule type="cellIs" dxfId="12803" priority="9787" operator="greaterThan">
      <formula>0</formula>
    </cfRule>
    <cfRule type="cellIs" dxfId="12802" priority="9788" operator="lessThanOrEqual">
      <formula>0</formula>
    </cfRule>
  </conditionalFormatting>
  <conditionalFormatting sqref="V186">
    <cfRule type="cellIs" dxfId="12801" priority="9785" operator="greaterThan">
      <formula>0</formula>
    </cfRule>
    <cfRule type="cellIs" dxfId="12800" priority="9786" operator="lessThanOrEqual">
      <formula>0</formula>
    </cfRule>
  </conditionalFormatting>
  <conditionalFormatting sqref="V187">
    <cfRule type="cellIs" dxfId="12799" priority="9783" operator="greaterThan">
      <formula>0</formula>
    </cfRule>
    <cfRule type="cellIs" dxfId="12798" priority="9784" operator="lessThanOrEqual">
      <formula>0</formula>
    </cfRule>
  </conditionalFormatting>
  <conditionalFormatting sqref="V172">
    <cfRule type="cellIs" dxfId="12797" priority="9781" operator="greaterThan">
      <formula>0</formula>
    </cfRule>
    <cfRule type="cellIs" dxfId="12796" priority="9782" operator="lessThanOrEqual">
      <formula>0</formula>
    </cfRule>
  </conditionalFormatting>
  <conditionalFormatting sqref="V145">
    <cfRule type="cellIs" dxfId="12795" priority="9779" operator="greaterThan">
      <formula>0</formula>
    </cfRule>
    <cfRule type="cellIs" dxfId="12794" priority="9780" operator="lessThanOrEqual">
      <formula>0</formula>
    </cfRule>
  </conditionalFormatting>
  <conditionalFormatting sqref="V167">
    <cfRule type="cellIs" dxfId="12793" priority="9765" operator="greaterThan">
      <formula>0</formula>
    </cfRule>
    <cfRule type="cellIs" dxfId="12792" priority="9766" operator="lessThanOrEqual">
      <formula>0</formula>
    </cfRule>
  </conditionalFormatting>
  <conditionalFormatting sqref="V170">
    <cfRule type="cellIs" dxfId="12791" priority="9763" operator="greaterThan">
      <formula>0</formula>
    </cfRule>
    <cfRule type="cellIs" dxfId="12790" priority="9764" operator="lessThanOrEqual">
      <formula>0</formula>
    </cfRule>
  </conditionalFormatting>
  <conditionalFormatting sqref="V148">
    <cfRule type="cellIs" dxfId="12789" priority="9777" operator="greaterThan">
      <formula>0</formula>
    </cfRule>
    <cfRule type="cellIs" dxfId="12788" priority="9778" operator="lessThanOrEqual">
      <formula>0</formula>
    </cfRule>
  </conditionalFormatting>
  <conditionalFormatting sqref="V161">
    <cfRule type="cellIs" dxfId="12787" priority="9775" operator="greaterThan">
      <formula>0</formula>
    </cfRule>
    <cfRule type="cellIs" dxfId="12786" priority="9776" operator="lessThanOrEqual">
      <formula>0</formula>
    </cfRule>
  </conditionalFormatting>
  <conditionalFormatting sqref="V162:V163 V165:V166">
    <cfRule type="cellIs" dxfId="12785" priority="9771" operator="greaterThan">
      <formula>0</formula>
    </cfRule>
    <cfRule type="cellIs" dxfId="12784" priority="9772" operator="lessThanOrEqual">
      <formula>0</formula>
    </cfRule>
  </conditionalFormatting>
  <conditionalFormatting sqref="V177:V178 V180:V181">
    <cfRule type="cellIs" dxfId="12783" priority="9769" operator="greaterThan">
      <formula>0</formula>
    </cfRule>
    <cfRule type="cellIs" dxfId="12782" priority="9770" operator="lessThanOrEqual">
      <formula>0</formula>
    </cfRule>
  </conditionalFormatting>
  <conditionalFormatting sqref="V179">
    <cfRule type="cellIs" dxfId="12781" priority="9761" operator="greaterThan">
      <formula>0</formula>
    </cfRule>
    <cfRule type="cellIs" dxfId="12780" priority="9762" operator="lessThanOrEqual">
      <formula>0</formula>
    </cfRule>
  </conditionalFormatting>
  <conditionalFormatting sqref="V182">
    <cfRule type="cellIs" dxfId="12779" priority="9759" operator="greaterThan">
      <formula>0</formula>
    </cfRule>
    <cfRule type="cellIs" dxfId="12778" priority="9760" operator="lessThanOrEqual">
      <formula>0</formula>
    </cfRule>
  </conditionalFormatting>
  <conditionalFormatting sqref="V185">
    <cfRule type="cellIs" dxfId="12777" priority="9757" operator="greaterThan">
      <formula>0</formula>
    </cfRule>
    <cfRule type="cellIs" dxfId="12776" priority="9758" operator="lessThanOrEqual">
      <formula>0</formula>
    </cfRule>
  </conditionalFormatting>
  <conditionalFormatting sqref="V133">
    <cfRule type="cellIs" dxfId="12775" priority="9755" operator="lessThan">
      <formula>0</formula>
    </cfRule>
    <cfRule type="cellIs" dxfId="12774" priority="9756" operator="greaterThanOrEqual">
      <formula>0</formula>
    </cfRule>
  </conditionalFormatting>
  <conditionalFormatting sqref="V176">
    <cfRule type="cellIs" dxfId="12773" priority="9753" operator="greaterThan">
      <formula>0</formula>
    </cfRule>
    <cfRule type="cellIs" dxfId="12772" priority="9754" operator="lessThanOrEqual">
      <formula>0</formula>
    </cfRule>
  </conditionalFormatting>
  <conditionalFormatting sqref="V175">
    <cfRule type="cellIs" dxfId="12771" priority="9751" operator="greaterThan">
      <formula>0</formula>
    </cfRule>
    <cfRule type="cellIs" dxfId="12770" priority="9752" operator="lessThanOrEqual">
      <formula>0</formula>
    </cfRule>
  </conditionalFormatting>
  <conditionalFormatting sqref="R27">
    <cfRule type="cellIs" dxfId="12769" priority="9749" operator="greaterThan">
      <formula>0</formula>
    </cfRule>
    <cfRule type="cellIs" dxfId="12768" priority="9750" operator="lessThanOrEqual">
      <formula>0</formula>
    </cfRule>
  </conditionalFormatting>
  <conditionalFormatting sqref="Q27">
    <cfRule type="cellIs" dxfId="12767" priority="9748" operator="greaterThanOrEqual">
      <formula>0</formula>
    </cfRule>
  </conditionalFormatting>
  <conditionalFormatting sqref="Q27">
    <cfRule type="cellIs" dxfId="12766" priority="9747" operator="lessThan">
      <formula>0</formula>
    </cfRule>
  </conditionalFormatting>
  <conditionalFormatting sqref="V27">
    <cfRule type="cellIs" dxfId="12765" priority="9745" operator="greaterThan">
      <formula>0</formula>
    </cfRule>
    <cfRule type="cellIs" dxfId="12764" priority="9746" operator="lessThanOrEqual">
      <formula>0</formula>
    </cfRule>
  </conditionalFormatting>
  <conditionalFormatting sqref="U27">
    <cfRule type="cellIs" dxfId="12763" priority="9744" operator="greaterThanOrEqual">
      <formula>0</formula>
    </cfRule>
  </conditionalFormatting>
  <conditionalFormatting sqref="U27">
    <cfRule type="cellIs" dxfId="12762" priority="9743" operator="lessThan">
      <formula>0</formula>
    </cfRule>
  </conditionalFormatting>
  <conditionalFormatting sqref="X27">
    <cfRule type="cellIs" dxfId="12761" priority="9742" operator="greaterThanOrEqual">
      <formula>0</formula>
    </cfRule>
  </conditionalFormatting>
  <conditionalFormatting sqref="X27">
    <cfRule type="cellIs" dxfId="12760" priority="9741" operator="lessThan">
      <formula>0</formula>
    </cfRule>
  </conditionalFormatting>
  <conditionalFormatting sqref="Y27">
    <cfRule type="cellIs" dxfId="12759" priority="9740" operator="greaterThanOrEqual">
      <formula>0</formula>
    </cfRule>
  </conditionalFormatting>
  <conditionalFormatting sqref="Y27">
    <cfRule type="cellIs" dxfId="12758" priority="9739" operator="lessThan">
      <formula>0</formula>
    </cfRule>
  </conditionalFormatting>
  <conditionalFormatting sqref="R90">
    <cfRule type="cellIs" dxfId="12757" priority="9737" operator="greaterThan">
      <formula>0</formula>
    </cfRule>
    <cfRule type="cellIs" dxfId="12756" priority="9738" operator="lessThanOrEqual">
      <formula>0</formula>
    </cfRule>
  </conditionalFormatting>
  <conditionalFormatting sqref="Q90">
    <cfRule type="cellIs" dxfId="12755" priority="9736" operator="greaterThanOrEqual">
      <formula>0</formula>
    </cfRule>
  </conditionalFormatting>
  <conditionalFormatting sqref="Q90">
    <cfRule type="cellIs" dxfId="12754" priority="9735" operator="lessThan">
      <formula>0</formula>
    </cfRule>
  </conditionalFormatting>
  <conditionalFormatting sqref="V90">
    <cfRule type="cellIs" dxfId="12753" priority="9733" operator="greaterThan">
      <formula>0</formula>
    </cfRule>
    <cfRule type="cellIs" dxfId="12752" priority="9734" operator="lessThanOrEqual">
      <formula>0</formula>
    </cfRule>
  </conditionalFormatting>
  <conditionalFormatting sqref="U90">
    <cfRule type="cellIs" dxfId="12751" priority="9732" operator="greaterThanOrEqual">
      <formula>0</formula>
    </cfRule>
  </conditionalFormatting>
  <conditionalFormatting sqref="U90">
    <cfRule type="cellIs" dxfId="12750" priority="9731" operator="lessThan">
      <formula>0</formula>
    </cfRule>
  </conditionalFormatting>
  <conditionalFormatting sqref="X90">
    <cfRule type="cellIs" dxfId="12749" priority="9730" operator="greaterThanOrEqual">
      <formula>0</formula>
    </cfRule>
  </conditionalFormatting>
  <conditionalFormatting sqref="X90">
    <cfRule type="cellIs" dxfId="12748" priority="9729" operator="lessThan">
      <formula>0</formula>
    </cfRule>
  </conditionalFormatting>
  <conditionalFormatting sqref="Y90">
    <cfRule type="cellIs" dxfId="12747" priority="9728" operator="greaterThanOrEqual">
      <formula>0</formula>
    </cfRule>
  </conditionalFormatting>
  <conditionalFormatting sqref="Y90">
    <cfRule type="cellIs" dxfId="12746" priority="9727" operator="lessThan">
      <formula>0</formula>
    </cfRule>
  </conditionalFormatting>
  <conditionalFormatting sqref="R147">
    <cfRule type="cellIs" dxfId="12745" priority="9725" operator="greaterThan">
      <formula>0</formula>
    </cfRule>
    <cfRule type="cellIs" dxfId="12744" priority="9726" operator="lessThanOrEqual">
      <formula>0</formula>
    </cfRule>
  </conditionalFormatting>
  <conditionalFormatting sqref="U147 X147:Y147 Q147">
    <cfRule type="cellIs" dxfId="12743" priority="9724" operator="greaterThanOrEqual">
      <formula>0</formula>
    </cfRule>
  </conditionalFormatting>
  <conditionalFormatting sqref="U147 X147:Y147 Q147">
    <cfRule type="cellIs" dxfId="12742" priority="9723" operator="lessThan">
      <formula>0</formula>
    </cfRule>
  </conditionalFormatting>
  <conditionalFormatting sqref="V147">
    <cfRule type="cellIs" dxfId="12741" priority="9721" operator="greaterThan">
      <formula>0</formula>
    </cfRule>
    <cfRule type="cellIs" dxfId="12740" priority="9722" operator="lessThanOrEqual">
      <formula>0</formula>
    </cfRule>
  </conditionalFormatting>
  <conditionalFormatting sqref="AC13:AC14">
    <cfRule type="cellIs" dxfId="12739" priority="8639" operator="greaterThan">
      <formula>0</formula>
    </cfRule>
    <cfRule type="cellIs" dxfId="12738" priority="8640" operator="lessThanOrEqual">
      <formula>0</formula>
    </cfRule>
  </conditionalFormatting>
  <conditionalFormatting sqref="AC16:AC17">
    <cfRule type="cellIs" dxfId="12737" priority="8637" operator="greaterThan">
      <formula>0</formula>
    </cfRule>
    <cfRule type="cellIs" dxfId="12736" priority="8638" operator="lessThanOrEqual">
      <formula>0</formula>
    </cfRule>
  </conditionalFormatting>
  <conditionalFormatting sqref="AC19:AC20">
    <cfRule type="cellIs" dxfId="12735" priority="8635" operator="greaterThan">
      <formula>0</formula>
    </cfRule>
    <cfRule type="cellIs" dxfId="12734" priority="8636" operator="lessThanOrEqual">
      <formula>0</formula>
    </cfRule>
  </conditionalFormatting>
  <conditionalFormatting sqref="AC29:AC30">
    <cfRule type="cellIs" dxfId="12733" priority="8633" operator="greaterThan">
      <formula>0</formula>
    </cfRule>
    <cfRule type="cellIs" dxfId="12732" priority="8634" operator="lessThanOrEqual">
      <formula>0</formula>
    </cfRule>
  </conditionalFormatting>
  <conditionalFormatting sqref="AC22:AC23">
    <cfRule type="cellIs" dxfId="12731" priority="8631" operator="greaterThan">
      <formula>0</formula>
    </cfRule>
    <cfRule type="cellIs" dxfId="12730" priority="8632" operator="lessThanOrEqual">
      <formula>0</formula>
    </cfRule>
  </conditionalFormatting>
  <conditionalFormatting sqref="AC32:AC33">
    <cfRule type="cellIs" dxfId="12729" priority="8629" operator="greaterThan">
      <formula>0</formula>
    </cfRule>
    <cfRule type="cellIs" dxfId="12728" priority="8630" operator="lessThanOrEqual">
      <formula>0</formula>
    </cfRule>
  </conditionalFormatting>
  <conditionalFormatting sqref="AC35:AC36">
    <cfRule type="cellIs" dxfId="12727" priority="8627" operator="greaterThan">
      <formula>0</formula>
    </cfRule>
    <cfRule type="cellIs" dxfId="12726" priority="8628" operator="lessThanOrEqual">
      <formula>0</formula>
    </cfRule>
  </conditionalFormatting>
  <conditionalFormatting sqref="AC38:AC39">
    <cfRule type="cellIs" dxfId="12725" priority="8625" operator="greaterThan">
      <formula>0</formula>
    </cfRule>
    <cfRule type="cellIs" dxfId="12724" priority="8626" operator="lessThanOrEqual">
      <formula>0</formula>
    </cfRule>
  </conditionalFormatting>
  <conditionalFormatting sqref="AC48:AC49">
    <cfRule type="cellIs" dxfId="12723" priority="8623" operator="greaterThan">
      <formula>0</formula>
    </cfRule>
    <cfRule type="cellIs" dxfId="12722" priority="8624" operator="lessThanOrEqual">
      <formula>0</formula>
    </cfRule>
  </conditionalFormatting>
  <conditionalFormatting sqref="AC63:AC64">
    <cfRule type="cellIs" dxfId="12721" priority="8621" operator="greaterThan">
      <formula>0</formula>
    </cfRule>
    <cfRule type="cellIs" dxfId="12720" priority="8622" operator="lessThanOrEqual">
      <formula>0</formula>
    </cfRule>
  </conditionalFormatting>
  <conditionalFormatting sqref="AC53:AC54">
    <cfRule type="cellIs" dxfId="12719" priority="8619" operator="greaterThan">
      <formula>0</formula>
    </cfRule>
    <cfRule type="cellIs" dxfId="12718" priority="8620" operator="lessThanOrEqual">
      <formula>0</formula>
    </cfRule>
  </conditionalFormatting>
  <conditionalFormatting sqref="AC15">
    <cfRule type="cellIs" dxfId="12717" priority="8617" operator="greaterThan">
      <formula>0</formula>
    </cfRule>
    <cfRule type="cellIs" dxfId="12716" priority="8618" operator="lessThanOrEqual">
      <formula>0</formula>
    </cfRule>
  </conditionalFormatting>
  <conditionalFormatting sqref="AC18">
    <cfRule type="cellIs" dxfId="12715" priority="8615" operator="greaterThan">
      <formula>0</formula>
    </cfRule>
    <cfRule type="cellIs" dxfId="12714" priority="8616" operator="lessThanOrEqual">
      <formula>0</formula>
    </cfRule>
  </conditionalFormatting>
  <conditionalFormatting sqref="AC21">
    <cfRule type="cellIs" dxfId="12713" priority="8613" operator="greaterThan">
      <formula>0</formula>
    </cfRule>
    <cfRule type="cellIs" dxfId="12712" priority="8614" operator="lessThanOrEqual">
      <formula>0</formula>
    </cfRule>
  </conditionalFormatting>
  <conditionalFormatting sqref="AC31">
    <cfRule type="cellIs" dxfId="12711" priority="8611" operator="greaterThan">
      <formula>0</formula>
    </cfRule>
    <cfRule type="cellIs" dxfId="12710" priority="8612" operator="lessThanOrEqual">
      <formula>0</formula>
    </cfRule>
  </conditionalFormatting>
  <conditionalFormatting sqref="AC24">
    <cfRule type="cellIs" dxfId="12709" priority="8609" operator="greaterThan">
      <formula>0</formula>
    </cfRule>
    <cfRule type="cellIs" dxfId="12708" priority="8610" operator="lessThanOrEqual">
      <formula>0</formula>
    </cfRule>
  </conditionalFormatting>
  <conditionalFormatting sqref="AC34">
    <cfRule type="cellIs" dxfId="12707" priority="8607" operator="greaterThan">
      <formula>0</formula>
    </cfRule>
    <cfRule type="cellIs" dxfId="12706" priority="8608" operator="lessThanOrEqual">
      <formula>0</formula>
    </cfRule>
  </conditionalFormatting>
  <conditionalFormatting sqref="AC37">
    <cfRule type="cellIs" dxfId="12705" priority="8605" operator="greaterThan">
      <formula>0</formula>
    </cfRule>
    <cfRule type="cellIs" dxfId="12704" priority="8606" operator="lessThanOrEqual">
      <formula>0</formula>
    </cfRule>
  </conditionalFormatting>
  <conditionalFormatting sqref="AC40">
    <cfRule type="cellIs" dxfId="12703" priority="8603" operator="greaterThan">
      <formula>0</formula>
    </cfRule>
    <cfRule type="cellIs" dxfId="12702" priority="8604" operator="lessThanOrEqual">
      <formula>0</formula>
    </cfRule>
  </conditionalFormatting>
  <conditionalFormatting sqref="AC26">
    <cfRule type="cellIs" dxfId="12701" priority="8601" operator="greaterThan">
      <formula>0</formula>
    </cfRule>
    <cfRule type="cellIs" dxfId="12700" priority="8602" operator="lessThanOrEqual">
      <formula>0</formula>
    </cfRule>
  </conditionalFormatting>
  <conditionalFormatting sqref="AC66 AC68 AC71">
    <cfRule type="cellIs" dxfId="12699" priority="8599" operator="greaterThan">
      <formula>0</formula>
    </cfRule>
    <cfRule type="cellIs" dxfId="12698" priority="8600" operator="lessThanOrEqual">
      <formula>0</formula>
    </cfRule>
  </conditionalFormatting>
  <conditionalFormatting sqref="AB13:AB14 AB16:AB17 AB19:AB20 AB22:AB23 AB29:AB30 AB32:AB33 AB35:AB36 AB38:AB39 AB48:AB49 AB53:AB54">
    <cfRule type="cellIs" dxfId="12697" priority="8597" operator="lessThan">
      <formula>0</formula>
    </cfRule>
    <cfRule type="cellIs" dxfId="12696" priority="8598" operator="greaterThanOrEqual">
      <formula>0</formula>
    </cfRule>
  </conditionalFormatting>
  <conditionalFormatting sqref="AB15 AB18 AB21 AB24 AB26 AB31 AB34 AB37 AB40">
    <cfRule type="cellIs" dxfId="12695" priority="8596" operator="greaterThanOrEqual">
      <formula>0</formula>
    </cfRule>
  </conditionalFormatting>
  <conditionalFormatting sqref="AB15 AB18 AB21 AB24 AB26 AB31 AB34 AB37 AB40">
    <cfRule type="cellIs" dxfId="12694" priority="8595" operator="lessThan">
      <formula>0</formula>
    </cfRule>
  </conditionalFormatting>
  <conditionalFormatting sqref="AC73">
    <cfRule type="cellIs" dxfId="12693" priority="8593" operator="greaterThan">
      <formula>0</formula>
    </cfRule>
    <cfRule type="cellIs" dxfId="12692" priority="8594" operator="lessThanOrEqual">
      <formula>0</formula>
    </cfRule>
  </conditionalFormatting>
  <conditionalFormatting sqref="AC67">
    <cfRule type="cellIs" dxfId="12691" priority="8591" operator="greaterThan">
      <formula>0</formula>
    </cfRule>
    <cfRule type="cellIs" dxfId="12690" priority="8592" operator="lessThanOrEqual">
      <formula>0</formula>
    </cfRule>
  </conditionalFormatting>
  <conditionalFormatting sqref="AB67">
    <cfRule type="cellIs" dxfId="12689" priority="8589" operator="greaterThanOrEqual">
      <formula>0</formula>
    </cfRule>
    <cfRule type="cellIs" dxfId="12688" priority="8590" operator="lessThan">
      <formula>0</formula>
    </cfRule>
  </conditionalFormatting>
  <conditionalFormatting sqref="AI13:AI14 AI16:AI17 AI19:AI20 AI22:AI23 AI29:AI30 AI32:AI33 AI35:AI36 AI38:AI39 AI48:AI49">
    <cfRule type="cellIs" dxfId="12687" priority="8587" operator="lessThan">
      <formula>0</formula>
    </cfRule>
    <cfRule type="cellIs" dxfId="12686" priority="8588" operator="greaterThanOrEqual">
      <formula>0</formula>
    </cfRule>
  </conditionalFormatting>
  <conditionalFormatting sqref="AI15 AI24 AI18 AI21 AI31 AI34 AI37 AI40">
    <cfRule type="cellIs" dxfId="12685" priority="8586" operator="greaterThanOrEqual">
      <formula>0</formula>
    </cfRule>
  </conditionalFormatting>
  <conditionalFormatting sqref="AI15 AI24 AI18 AI21 AI31 AI34 AI37 AI40">
    <cfRule type="cellIs" dxfId="12684" priority="8585" operator="lessThan">
      <formula>0</formula>
    </cfRule>
  </conditionalFormatting>
  <conditionalFormatting sqref="AI71 AI73">
    <cfRule type="cellIs" dxfId="12683" priority="8583" operator="lessThan">
      <formula>0</formula>
    </cfRule>
    <cfRule type="cellIs" dxfId="12682" priority="8584" operator="greaterThanOrEqual">
      <formula>0</formula>
    </cfRule>
  </conditionalFormatting>
  <conditionalFormatting sqref="AI67">
    <cfRule type="cellIs" dxfId="12681" priority="8581" operator="greaterThanOrEqual">
      <formula>0</formula>
    </cfRule>
    <cfRule type="cellIs" dxfId="12680" priority="8582" operator="lessThan">
      <formula>0</formula>
    </cfRule>
  </conditionalFormatting>
  <conditionalFormatting sqref="AJ13:AJ14">
    <cfRule type="cellIs" dxfId="12679" priority="8579" operator="greaterThan">
      <formula>0</formula>
    </cfRule>
    <cfRule type="cellIs" dxfId="12678" priority="8580" operator="lessThanOrEqual">
      <formula>0</formula>
    </cfRule>
  </conditionalFormatting>
  <conditionalFormatting sqref="AJ68">
    <cfRule type="cellIs" dxfId="12677" priority="8577" operator="lessThan">
      <formula>0</formula>
    </cfRule>
    <cfRule type="cellIs" dxfId="12676" priority="8578" operator="greaterThanOrEqual">
      <formula>0</formula>
    </cfRule>
  </conditionalFormatting>
  <conditionalFormatting sqref="AJ15 AJ24 AJ18 AJ21 AJ31 AJ34 AJ37 AJ40">
    <cfRule type="cellIs" dxfId="12675" priority="8576" operator="greaterThanOrEqual">
      <formula>0</formula>
    </cfRule>
  </conditionalFormatting>
  <conditionalFormatting sqref="AJ15 AJ24 AJ18 AJ21 AJ31 AJ34 AJ37 AJ40">
    <cfRule type="cellIs" dxfId="12674" priority="8575" operator="lessThan">
      <formula>0</formula>
    </cfRule>
  </conditionalFormatting>
  <conditionalFormatting sqref="AI68">
    <cfRule type="cellIs" dxfId="12673" priority="8573" operator="lessThan">
      <formula>0</formula>
    </cfRule>
    <cfRule type="cellIs" dxfId="12672" priority="8574" operator="greaterThanOrEqual">
      <formula>0</formula>
    </cfRule>
  </conditionalFormatting>
  <conditionalFormatting sqref="AJ71 AJ73">
    <cfRule type="cellIs" dxfId="12671" priority="8571" operator="lessThan">
      <formula>0</formula>
    </cfRule>
    <cfRule type="cellIs" dxfId="12670" priority="8572" operator="greaterThanOrEqual">
      <formula>0</formula>
    </cfRule>
  </conditionalFormatting>
  <conditionalFormatting sqref="AJ67">
    <cfRule type="cellIs" dxfId="12669" priority="8569" operator="lessThan">
      <formula>0</formula>
    </cfRule>
    <cfRule type="cellIs" dxfId="12668" priority="8570" operator="greaterThanOrEqual">
      <formula>0</formula>
    </cfRule>
  </conditionalFormatting>
  <conditionalFormatting sqref="AB62">
    <cfRule type="cellIs" dxfId="12667" priority="8550" operator="greaterThanOrEqual">
      <formula>0</formula>
    </cfRule>
  </conditionalFormatting>
  <conditionalFormatting sqref="AB62">
    <cfRule type="cellIs" dxfId="12666" priority="8549" operator="lessThan">
      <formula>0</formula>
    </cfRule>
  </conditionalFormatting>
  <conditionalFormatting sqref="AC44">
    <cfRule type="cellIs" dxfId="12665" priority="8559" operator="greaterThan">
      <formula>0</formula>
    </cfRule>
    <cfRule type="cellIs" dxfId="12664" priority="8560" operator="lessThanOrEqual">
      <formula>0</formula>
    </cfRule>
  </conditionalFormatting>
  <conditionalFormatting sqref="AC47">
    <cfRule type="cellIs" dxfId="12663" priority="8557" operator="greaterThan">
      <formula>0</formula>
    </cfRule>
    <cfRule type="cellIs" dxfId="12662" priority="8558" operator="lessThanOrEqual">
      <formula>0</formula>
    </cfRule>
  </conditionalFormatting>
  <conditionalFormatting sqref="AC50">
    <cfRule type="cellIs" dxfId="12661" priority="8555" operator="greaterThan">
      <formula>0</formula>
    </cfRule>
    <cfRule type="cellIs" dxfId="12660" priority="8556" operator="lessThanOrEqual">
      <formula>0</formula>
    </cfRule>
  </conditionalFormatting>
  <conditionalFormatting sqref="AC28">
    <cfRule type="cellIs" dxfId="12659" priority="8567" operator="greaterThan">
      <formula>0</formula>
    </cfRule>
    <cfRule type="cellIs" dxfId="12658" priority="8568" operator="lessThanOrEqual">
      <formula>0</formula>
    </cfRule>
  </conditionalFormatting>
  <conditionalFormatting sqref="AC41">
    <cfRule type="cellIs" dxfId="12657" priority="8565" operator="greaterThan">
      <formula>0</formula>
    </cfRule>
    <cfRule type="cellIs" dxfId="12656" priority="8566" operator="lessThanOrEqual">
      <formula>0</formula>
    </cfRule>
  </conditionalFormatting>
  <conditionalFormatting sqref="AF182">
    <cfRule type="cellIs" dxfId="12655" priority="8354" operator="greaterThanOrEqual">
      <formula>0</formula>
    </cfRule>
  </conditionalFormatting>
  <conditionalFormatting sqref="AF182">
    <cfRule type="cellIs" dxfId="12654" priority="8353" operator="lessThan">
      <formula>0</formula>
    </cfRule>
  </conditionalFormatting>
  <conditionalFormatting sqref="AC42:AC43 AC45:AC46">
    <cfRule type="cellIs" dxfId="12653" priority="8563" operator="greaterThan">
      <formula>0</formula>
    </cfRule>
    <cfRule type="cellIs" dxfId="12652" priority="8564" operator="lessThanOrEqual">
      <formula>0</formula>
    </cfRule>
  </conditionalFormatting>
  <conditionalFormatting sqref="AC57:AC58 AC60:AC61">
    <cfRule type="cellIs" dxfId="12651" priority="8561" operator="greaterThan">
      <formula>0</formula>
    </cfRule>
    <cfRule type="cellIs" dxfId="12650" priority="8562" operator="lessThanOrEqual">
      <formula>0</formula>
    </cfRule>
  </conditionalFormatting>
  <conditionalFormatting sqref="AC59">
    <cfRule type="cellIs" dxfId="12649" priority="8553" operator="greaterThan">
      <formula>0</formula>
    </cfRule>
    <cfRule type="cellIs" dxfId="12648" priority="8554" operator="lessThanOrEqual">
      <formula>0</formula>
    </cfRule>
  </conditionalFormatting>
  <conditionalFormatting sqref="AC62">
    <cfRule type="cellIs" dxfId="12647" priority="8551" operator="greaterThan">
      <formula>0</formula>
    </cfRule>
    <cfRule type="cellIs" dxfId="12646" priority="8552" operator="lessThanOrEqual">
      <formula>0</formula>
    </cfRule>
  </conditionalFormatting>
  <conditionalFormatting sqref="AC65">
    <cfRule type="cellIs" dxfId="12645" priority="8547" operator="greaterThan">
      <formula>0</formula>
    </cfRule>
    <cfRule type="cellIs" dxfId="12644" priority="8548" operator="lessThanOrEqual">
      <formula>0</formula>
    </cfRule>
  </conditionalFormatting>
  <conditionalFormatting sqref="AG47">
    <cfRule type="cellIs" dxfId="12643" priority="8217" operator="greaterThan">
      <formula>0</formula>
    </cfRule>
    <cfRule type="cellIs" dxfId="12642" priority="8218" operator="lessThanOrEqual">
      <formula>0</formula>
    </cfRule>
  </conditionalFormatting>
  <conditionalFormatting sqref="AG59">
    <cfRule type="cellIs" dxfId="12641" priority="8213" operator="greaterThan">
      <formula>0</formula>
    </cfRule>
    <cfRule type="cellIs" dxfId="12640" priority="8214" operator="lessThanOrEqual">
      <formula>0</formula>
    </cfRule>
  </conditionalFormatting>
  <conditionalFormatting sqref="AF62">
    <cfRule type="cellIs" dxfId="12639" priority="8210" operator="greaterThanOrEqual">
      <formula>0</formula>
    </cfRule>
  </conditionalFormatting>
  <conditionalFormatting sqref="AF62">
    <cfRule type="cellIs" dxfId="12638" priority="8209" operator="lessThan">
      <formula>0</formula>
    </cfRule>
  </conditionalFormatting>
  <conditionalFormatting sqref="AC134">
    <cfRule type="cellIs" dxfId="12637" priority="8545" operator="greaterThan">
      <formula>0</formula>
    </cfRule>
    <cfRule type="cellIs" dxfId="12636" priority="8546" operator="lessThanOrEqual">
      <formula>0</formula>
    </cfRule>
  </conditionalFormatting>
  <conditionalFormatting sqref="AC136:AC137">
    <cfRule type="cellIs" dxfId="12635" priority="8543" operator="greaterThan">
      <formula>0</formula>
    </cfRule>
    <cfRule type="cellIs" dxfId="12634" priority="8544" operator="lessThanOrEqual">
      <formula>0</formula>
    </cfRule>
  </conditionalFormatting>
  <conditionalFormatting sqref="AC173:AC174">
    <cfRule type="cellIs" dxfId="12633" priority="8525" operator="greaterThan">
      <formula>0</formula>
    </cfRule>
    <cfRule type="cellIs" dxfId="12632" priority="8526" operator="lessThanOrEqual">
      <formula>0</formula>
    </cfRule>
  </conditionalFormatting>
  <conditionalFormatting sqref="AC144">
    <cfRule type="cellIs" dxfId="12631" priority="8515" operator="greaterThan">
      <formula>0</formula>
    </cfRule>
    <cfRule type="cellIs" dxfId="12630" priority="8516" operator="lessThanOrEqual">
      <formula>0</formula>
    </cfRule>
  </conditionalFormatting>
  <conditionalFormatting sqref="AC154">
    <cfRule type="cellIs" dxfId="12629" priority="8513" operator="greaterThan">
      <formula>0</formula>
    </cfRule>
    <cfRule type="cellIs" dxfId="12628" priority="8514" operator="lessThanOrEqual">
      <formula>0</formula>
    </cfRule>
  </conditionalFormatting>
  <conditionalFormatting sqref="AC157">
    <cfRule type="cellIs" dxfId="12627" priority="8511" operator="greaterThan">
      <formula>0</formula>
    </cfRule>
    <cfRule type="cellIs" dxfId="12626" priority="8512" operator="lessThanOrEqual">
      <formula>0</formula>
    </cfRule>
  </conditionalFormatting>
  <conditionalFormatting sqref="AB164">
    <cfRule type="cellIs" dxfId="12625" priority="8396" operator="greaterThanOrEqual">
      <formula>0</formula>
    </cfRule>
  </conditionalFormatting>
  <conditionalFormatting sqref="AB164">
    <cfRule type="cellIs" dxfId="12624" priority="8395" operator="lessThan">
      <formula>0</formula>
    </cfRule>
  </conditionalFormatting>
  <conditionalFormatting sqref="AC164">
    <cfRule type="cellIs" dxfId="12623" priority="8397" operator="greaterThan">
      <formula>0</formula>
    </cfRule>
    <cfRule type="cellIs" dxfId="12622" priority="8398" operator="lessThanOrEqual">
      <formula>0</formula>
    </cfRule>
  </conditionalFormatting>
  <conditionalFormatting sqref="AF185">
    <cfRule type="cellIs" dxfId="12621" priority="8344" operator="greaterThanOrEqual">
      <formula>0</formula>
    </cfRule>
  </conditionalFormatting>
  <conditionalFormatting sqref="AF185">
    <cfRule type="cellIs" dxfId="12620" priority="8343" operator="lessThan">
      <formula>0</formula>
    </cfRule>
  </conditionalFormatting>
  <conditionalFormatting sqref="AJ145">
    <cfRule type="cellIs" dxfId="12619" priority="8442" operator="greaterThanOrEqual">
      <formula>0</formula>
    </cfRule>
  </conditionalFormatting>
  <conditionalFormatting sqref="AJ145">
    <cfRule type="cellIs" dxfId="12618" priority="8441" operator="lessThan">
      <formula>0</formula>
    </cfRule>
  </conditionalFormatting>
  <conditionalFormatting sqref="AF160 AF186">
    <cfRule type="cellIs" dxfId="12617" priority="8494" operator="greaterThanOrEqual">
      <formula>0</formula>
    </cfRule>
  </conditionalFormatting>
  <conditionalFormatting sqref="AF160 AF186">
    <cfRule type="cellIs" dxfId="12616" priority="8493" operator="lessThan">
      <formula>0</formula>
    </cfRule>
  </conditionalFormatting>
  <conditionalFormatting sqref="AC171">
    <cfRule type="cellIs" dxfId="12615" priority="8423" operator="greaterThan">
      <formula>0</formula>
    </cfRule>
    <cfRule type="cellIs" dxfId="12614" priority="8424" operator="lessThanOrEqual">
      <formula>0</formula>
    </cfRule>
  </conditionalFormatting>
  <conditionalFormatting sqref="AB171">
    <cfRule type="cellIs" dxfId="12613" priority="8422" operator="greaterThanOrEqual">
      <formula>0</formula>
    </cfRule>
  </conditionalFormatting>
  <conditionalFormatting sqref="AB171">
    <cfRule type="cellIs" dxfId="12612" priority="8421" operator="lessThan">
      <formula>0</formula>
    </cfRule>
  </conditionalFormatting>
  <conditionalFormatting sqref="AJ167">
    <cfRule type="cellIs" dxfId="12611" priority="8380" operator="greaterThanOrEqual">
      <formula>0</formula>
    </cfRule>
  </conditionalFormatting>
  <conditionalFormatting sqref="AJ167">
    <cfRule type="cellIs" dxfId="12610" priority="8379" operator="lessThan">
      <formula>0</formula>
    </cfRule>
  </conditionalFormatting>
  <conditionalFormatting sqref="AC139:AC140">
    <cfRule type="cellIs" dxfId="12609" priority="8541" operator="greaterThan">
      <formula>0</formula>
    </cfRule>
    <cfRule type="cellIs" dxfId="12608" priority="8542" operator="lessThanOrEqual">
      <formula>0</formula>
    </cfRule>
  </conditionalFormatting>
  <conditionalFormatting sqref="AC149:AC150">
    <cfRule type="cellIs" dxfId="12607" priority="8539" operator="greaterThan">
      <formula>0</formula>
    </cfRule>
    <cfRule type="cellIs" dxfId="12606" priority="8540" operator="lessThanOrEqual">
      <formula>0</formula>
    </cfRule>
  </conditionalFormatting>
  <conditionalFormatting sqref="AC142:AC143">
    <cfRule type="cellIs" dxfId="12605" priority="8537" operator="greaterThan">
      <formula>0</formula>
    </cfRule>
    <cfRule type="cellIs" dxfId="12604" priority="8538" operator="lessThanOrEqual">
      <formula>0</formula>
    </cfRule>
  </conditionalFormatting>
  <conditionalFormatting sqref="AC152:AC153">
    <cfRule type="cellIs" dxfId="12603" priority="8535" operator="greaterThan">
      <formula>0</formula>
    </cfRule>
    <cfRule type="cellIs" dxfId="12602" priority="8536" operator="lessThanOrEqual">
      <formula>0</formula>
    </cfRule>
  </conditionalFormatting>
  <conditionalFormatting sqref="AC155:AC156">
    <cfRule type="cellIs" dxfId="12601" priority="8533" operator="greaterThan">
      <formula>0</formula>
    </cfRule>
    <cfRule type="cellIs" dxfId="12600" priority="8534" operator="lessThanOrEqual">
      <formula>0</formula>
    </cfRule>
  </conditionalFormatting>
  <conditionalFormatting sqref="AC158:AC159">
    <cfRule type="cellIs" dxfId="12599" priority="8531" operator="greaterThan">
      <formula>0</formula>
    </cfRule>
    <cfRule type="cellIs" dxfId="12598" priority="8532" operator="lessThanOrEqual">
      <formula>0</formula>
    </cfRule>
  </conditionalFormatting>
  <conditionalFormatting sqref="AC168:AC169">
    <cfRule type="cellIs" dxfId="12597" priority="8529" operator="greaterThan">
      <formula>0</formula>
    </cfRule>
    <cfRule type="cellIs" dxfId="12596" priority="8530" operator="lessThanOrEqual">
      <formula>0</formula>
    </cfRule>
  </conditionalFormatting>
  <conditionalFormatting sqref="AC183:AC184">
    <cfRule type="cellIs" dxfId="12595" priority="8527" operator="greaterThan">
      <formula>0</formula>
    </cfRule>
    <cfRule type="cellIs" dxfId="12594" priority="8528" operator="lessThanOrEqual">
      <formula>0</formula>
    </cfRule>
  </conditionalFormatting>
  <conditionalFormatting sqref="AC135">
    <cfRule type="cellIs" dxfId="12593" priority="8523" operator="greaterThan">
      <formula>0</formula>
    </cfRule>
    <cfRule type="cellIs" dxfId="12592" priority="8524" operator="lessThanOrEqual">
      <formula>0</formula>
    </cfRule>
  </conditionalFormatting>
  <conditionalFormatting sqref="AC138">
    <cfRule type="cellIs" dxfId="12591" priority="8521" operator="greaterThan">
      <formula>0</formula>
    </cfRule>
    <cfRule type="cellIs" dxfId="12590" priority="8522" operator="lessThanOrEqual">
      <formula>0</formula>
    </cfRule>
  </conditionalFormatting>
  <conditionalFormatting sqref="AC141">
    <cfRule type="cellIs" dxfId="12589" priority="8519" operator="greaterThan">
      <formula>0</formula>
    </cfRule>
    <cfRule type="cellIs" dxfId="12588" priority="8520" operator="lessThanOrEqual">
      <formula>0</formula>
    </cfRule>
  </conditionalFormatting>
  <conditionalFormatting sqref="AC151">
    <cfRule type="cellIs" dxfId="12587" priority="8517" operator="greaterThan">
      <formula>0</formula>
    </cfRule>
    <cfRule type="cellIs" dxfId="12586" priority="8518" operator="lessThanOrEqual">
      <formula>0</formula>
    </cfRule>
  </conditionalFormatting>
  <conditionalFormatting sqref="AC160">
    <cfRule type="cellIs" dxfId="12585" priority="8509" operator="greaterThan">
      <formula>0</formula>
    </cfRule>
    <cfRule type="cellIs" dxfId="12584" priority="8510" operator="lessThanOrEqual">
      <formula>0</formula>
    </cfRule>
  </conditionalFormatting>
  <conditionalFormatting sqref="AC146">
    <cfRule type="cellIs" dxfId="12583" priority="8507" operator="greaterThan">
      <formula>0</formula>
    </cfRule>
    <cfRule type="cellIs" dxfId="12582" priority="8508" operator="lessThanOrEqual">
      <formula>0</formula>
    </cfRule>
  </conditionalFormatting>
  <conditionalFormatting sqref="AC186">
    <cfRule type="cellIs" dxfId="12581" priority="8505" operator="greaterThan">
      <formula>0</formula>
    </cfRule>
    <cfRule type="cellIs" dxfId="12580" priority="8506" operator="lessThanOrEqual">
      <formula>0</formula>
    </cfRule>
  </conditionalFormatting>
  <conditionalFormatting sqref="AB133:AB134 AB136:AB137 AB139:AB140 AB149:AB150 AB142:AB143 AB152:AB153 AB155:AB156 AB158:AB159 AB168:AB169 AB183:AB184 AB173:AB174 AF183:AF184 AF173:AF174 AI183:AJ184 AI173:AJ174">
    <cfRule type="cellIs" dxfId="12579" priority="8503" operator="lessThan">
      <formula>0</formula>
    </cfRule>
    <cfRule type="cellIs" dxfId="12578" priority="8504" operator="greaterThanOrEqual">
      <formula>0</formula>
    </cfRule>
  </conditionalFormatting>
  <conditionalFormatting sqref="AB135 AB138 AB141 AB154 AB157 AB160 AB186 AF146 AI146:AJ146 AB151 AB144 AB146">
    <cfRule type="cellIs" dxfId="12577" priority="8502" operator="greaterThanOrEqual">
      <formula>0</formula>
    </cfRule>
  </conditionalFormatting>
  <conditionalFormatting sqref="AB135 AB138 AB141 AB154 AB157 AB160 AB186 AF146 AI146:AJ146 AB151 AB144 AB146">
    <cfRule type="cellIs" dxfId="12576" priority="8501" operator="lessThan">
      <formula>0</formula>
    </cfRule>
  </conditionalFormatting>
  <conditionalFormatting sqref="AF133:AF134 AF136:AF137 AF139:AF140 AF149:AF150 AF142:AF143 AF152:AF153 AF155:AF156">
    <cfRule type="cellIs" dxfId="12575" priority="8499" operator="lessThan">
      <formula>0</formula>
    </cfRule>
    <cfRule type="cellIs" dxfId="12574" priority="8500" operator="greaterThanOrEqual">
      <formula>0</formula>
    </cfRule>
  </conditionalFormatting>
  <conditionalFormatting sqref="AF135 AF138 AF141 AF151 AF144 AF154 AF157">
    <cfRule type="cellIs" dxfId="12573" priority="8498" operator="greaterThanOrEqual">
      <formula>0</formula>
    </cfRule>
  </conditionalFormatting>
  <conditionalFormatting sqref="AF135 AF138 AF141 AF151 AF144 AF154 AF157">
    <cfRule type="cellIs" dxfId="12572" priority="8497" operator="lessThan">
      <formula>0</formula>
    </cfRule>
  </conditionalFormatting>
  <conditionalFormatting sqref="AF158:AF159 AF168:AF169">
    <cfRule type="cellIs" dxfId="12571" priority="8495" operator="lessThan">
      <formula>0</formula>
    </cfRule>
    <cfRule type="cellIs" dxfId="12570" priority="8496" operator="greaterThanOrEqual">
      <formula>0</formula>
    </cfRule>
  </conditionalFormatting>
  <conditionalFormatting sqref="AC187">
    <cfRule type="cellIs" dxfId="12569" priority="8491" operator="greaterThan">
      <formula>0</formula>
    </cfRule>
    <cfRule type="cellIs" dxfId="12568" priority="8492" operator="lessThanOrEqual">
      <formula>0</formula>
    </cfRule>
  </conditionalFormatting>
  <conditionalFormatting sqref="AF187">
    <cfRule type="cellIs" dxfId="12567" priority="8489" operator="greaterThanOrEqual">
      <formula>0</formula>
    </cfRule>
    <cfRule type="cellIs" dxfId="12566" priority="8490" operator="lessThan">
      <formula>0</formula>
    </cfRule>
  </conditionalFormatting>
  <conditionalFormatting sqref="AB187">
    <cfRule type="cellIs" dxfId="12565" priority="8487" operator="greaterThanOrEqual">
      <formula>0</formula>
    </cfRule>
    <cfRule type="cellIs" dxfId="12564" priority="8488" operator="lessThan">
      <formula>0</formula>
    </cfRule>
  </conditionalFormatting>
  <conditionalFormatting sqref="AI133:AI134 AI136:AI137 AI139:AI140 AI149:AI150 AI142:AI143 AI152:AI153 AI155:AI156 AI158:AI159 AI168:AI169">
    <cfRule type="cellIs" dxfId="12563" priority="8485" operator="lessThan">
      <formula>0</formula>
    </cfRule>
    <cfRule type="cellIs" dxfId="12562" priority="8486" operator="greaterThanOrEqual">
      <formula>0</formula>
    </cfRule>
  </conditionalFormatting>
  <conditionalFormatting sqref="AI135 AI138 AI141 AI151 AI144 AI154 AI157 AI160 AI186">
    <cfRule type="cellIs" dxfId="12561" priority="8484" operator="greaterThanOrEqual">
      <formula>0</formula>
    </cfRule>
  </conditionalFormatting>
  <conditionalFormatting sqref="AI135 AI138 AI141 AI151 AI144 AI154 AI157 AI160 AI186">
    <cfRule type="cellIs" dxfId="12560" priority="8483" operator="lessThan">
      <formula>0</formula>
    </cfRule>
  </conditionalFormatting>
  <conditionalFormatting sqref="AI187">
    <cfRule type="cellIs" dxfId="12559" priority="8481" operator="greaterThanOrEqual">
      <formula>0</formula>
    </cfRule>
    <cfRule type="cellIs" dxfId="12558" priority="8482" operator="lessThan">
      <formula>0</formula>
    </cfRule>
  </conditionalFormatting>
  <conditionalFormatting sqref="AJ133:AJ134">
    <cfRule type="cellIs" dxfId="12557" priority="8479" operator="greaterThan">
      <formula>0</formula>
    </cfRule>
    <cfRule type="cellIs" dxfId="12556" priority="8480" operator="lessThanOrEqual">
      <formula>0</formula>
    </cfRule>
  </conditionalFormatting>
  <conditionalFormatting sqref="AJ136:AJ137">
    <cfRule type="cellIs" dxfId="12555" priority="8477" operator="greaterThan">
      <formula>0</formula>
    </cfRule>
    <cfRule type="cellIs" dxfId="12554" priority="8478" operator="lessThanOrEqual">
      <formula>0</formula>
    </cfRule>
  </conditionalFormatting>
  <conditionalFormatting sqref="AJ139:AJ140">
    <cfRule type="cellIs" dxfId="12553" priority="8475" operator="greaterThan">
      <formula>0</formula>
    </cfRule>
    <cfRule type="cellIs" dxfId="12552" priority="8476" operator="lessThanOrEqual">
      <formula>0</formula>
    </cfRule>
  </conditionalFormatting>
  <conditionalFormatting sqref="AJ149:AJ150">
    <cfRule type="cellIs" dxfId="12551" priority="8473" operator="greaterThan">
      <formula>0</formula>
    </cfRule>
    <cfRule type="cellIs" dxfId="12550" priority="8474" operator="lessThanOrEqual">
      <formula>0</formula>
    </cfRule>
  </conditionalFormatting>
  <conditionalFormatting sqref="AJ142:AJ143">
    <cfRule type="cellIs" dxfId="12549" priority="8471" operator="greaterThan">
      <formula>0</formula>
    </cfRule>
    <cfRule type="cellIs" dxfId="12548" priority="8472" operator="lessThanOrEqual">
      <formula>0</formula>
    </cfRule>
  </conditionalFormatting>
  <conditionalFormatting sqref="AJ152:AJ153">
    <cfRule type="cellIs" dxfId="12547" priority="8469" operator="greaterThan">
      <formula>0</formula>
    </cfRule>
    <cfRule type="cellIs" dxfId="12546" priority="8470" operator="lessThanOrEqual">
      <formula>0</formula>
    </cfRule>
  </conditionalFormatting>
  <conditionalFormatting sqref="AJ155:AJ156">
    <cfRule type="cellIs" dxfId="12545" priority="8467" operator="greaterThan">
      <formula>0</formula>
    </cfRule>
    <cfRule type="cellIs" dxfId="12544" priority="8468" operator="lessThanOrEqual">
      <formula>0</formula>
    </cfRule>
  </conditionalFormatting>
  <conditionalFormatting sqref="AJ158:AJ159 AJ168:AJ169">
    <cfRule type="cellIs" dxfId="12543" priority="8465" operator="lessThan">
      <formula>0</formula>
    </cfRule>
    <cfRule type="cellIs" dxfId="12542" priority="8466" operator="greaterThanOrEqual">
      <formula>0</formula>
    </cfRule>
  </conditionalFormatting>
  <conditionalFormatting sqref="AJ135 AJ138 AJ141 AJ151 AJ144 AJ154 AJ157 AJ160 AJ186">
    <cfRule type="cellIs" dxfId="12541" priority="8464" operator="greaterThanOrEqual">
      <formula>0</formula>
    </cfRule>
  </conditionalFormatting>
  <conditionalFormatting sqref="AJ135 AJ138 AJ141 AJ151 AJ144 AJ154 AJ157 AJ160 AJ186">
    <cfRule type="cellIs" dxfId="12540" priority="8463" operator="lessThan">
      <formula>0</formula>
    </cfRule>
  </conditionalFormatting>
  <conditionalFormatting sqref="AJ187">
    <cfRule type="cellIs" dxfId="12539" priority="8461" operator="lessThan">
      <formula>0</formula>
    </cfRule>
    <cfRule type="cellIs" dxfId="12538" priority="8462" operator="greaterThanOrEqual">
      <formula>0</formula>
    </cfRule>
  </conditionalFormatting>
  <conditionalFormatting sqref="AC172">
    <cfRule type="cellIs" dxfId="12537" priority="8459" operator="greaterThan">
      <formula>0</formula>
    </cfRule>
    <cfRule type="cellIs" dxfId="12536" priority="8460" operator="lessThanOrEqual">
      <formula>0</formula>
    </cfRule>
  </conditionalFormatting>
  <conditionalFormatting sqref="AB172">
    <cfRule type="cellIs" dxfId="12535" priority="8458" operator="greaterThanOrEqual">
      <formula>0</formula>
    </cfRule>
  </conditionalFormatting>
  <conditionalFormatting sqref="AB172">
    <cfRule type="cellIs" dxfId="12534" priority="8457" operator="lessThan">
      <formula>0</formula>
    </cfRule>
  </conditionalFormatting>
  <conditionalFormatting sqref="AF172">
    <cfRule type="cellIs" dxfId="12533" priority="8456" operator="greaterThanOrEqual">
      <formula>0</formula>
    </cfRule>
  </conditionalFormatting>
  <conditionalFormatting sqref="AF172">
    <cfRule type="cellIs" dxfId="12532" priority="8455" operator="lessThan">
      <formula>0</formula>
    </cfRule>
  </conditionalFormatting>
  <conditionalFormatting sqref="AI172">
    <cfRule type="cellIs" dxfId="12531" priority="8454" operator="greaterThanOrEqual">
      <formula>0</formula>
    </cfRule>
  </conditionalFormatting>
  <conditionalFormatting sqref="AI172">
    <cfRule type="cellIs" dxfId="12530" priority="8453" operator="lessThan">
      <formula>0</formula>
    </cfRule>
  </conditionalFormatting>
  <conditionalFormatting sqref="AJ172">
    <cfRule type="cellIs" dxfId="12529" priority="8452" operator="greaterThanOrEqual">
      <formula>0</formula>
    </cfRule>
  </conditionalFormatting>
  <conditionalFormatting sqref="AJ172">
    <cfRule type="cellIs" dxfId="12528" priority="8451" operator="lessThan">
      <formula>0</formula>
    </cfRule>
  </conditionalFormatting>
  <conditionalFormatting sqref="AB161">
    <cfRule type="cellIs" dxfId="12527" priority="8430" operator="greaterThanOrEqual">
      <formula>0</formula>
    </cfRule>
  </conditionalFormatting>
  <conditionalFormatting sqref="AB161">
    <cfRule type="cellIs" dxfId="12526" priority="8429" operator="lessThan">
      <formula>0</formula>
    </cfRule>
  </conditionalFormatting>
  <conditionalFormatting sqref="AC145">
    <cfRule type="cellIs" dxfId="12525" priority="8449" operator="greaterThan">
      <formula>0</formula>
    </cfRule>
    <cfRule type="cellIs" dxfId="12524" priority="8450" operator="lessThanOrEqual">
      <formula>0</formula>
    </cfRule>
  </conditionalFormatting>
  <conditionalFormatting sqref="AB145">
    <cfRule type="cellIs" dxfId="12523" priority="8448" operator="greaterThanOrEqual">
      <formula>0</formula>
    </cfRule>
  </conditionalFormatting>
  <conditionalFormatting sqref="AB145">
    <cfRule type="cellIs" dxfId="12522" priority="8447" operator="lessThan">
      <formula>0</formula>
    </cfRule>
  </conditionalFormatting>
  <conditionalFormatting sqref="AF145">
    <cfRule type="cellIs" dxfId="12521" priority="8446" operator="greaterThanOrEqual">
      <formula>0</formula>
    </cfRule>
  </conditionalFormatting>
  <conditionalFormatting sqref="AF145">
    <cfRule type="cellIs" dxfId="12520" priority="8445" operator="lessThan">
      <formula>0</formula>
    </cfRule>
  </conditionalFormatting>
  <conditionalFormatting sqref="AI145">
    <cfRule type="cellIs" dxfId="12519" priority="8444" operator="greaterThanOrEqual">
      <formula>0</formula>
    </cfRule>
  </conditionalFormatting>
  <conditionalFormatting sqref="AI145">
    <cfRule type="cellIs" dxfId="12518" priority="8443" operator="lessThan">
      <formula>0</formula>
    </cfRule>
  </conditionalFormatting>
  <conditionalFormatting sqref="AF148">
    <cfRule type="cellIs" dxfId="12517" priority="8436" operator="greaterThanOrEqual">
      <formula>0</formula>
    </cfRule>
  </conditionalFormatting>
  <conditionalFormatting sqref="AF148">
    <cfRule type="cellIs" dxfId="12516" priority="8435" operator="lessThan">
      <formula>0</formula>
    </cfRule>
  </conditionalFormatting>
  <conditionalFormatting sqref="AI164">
    <cfRule type="cellIs" dxfId="12515" priority="8392" operator="greaterThanOrEqual">
      <formula>0</formula>
    </cfRule>
  </conditionalFormatting>
  <conditionalFormatting sqref="AI164">
    <cfRule type="cellIs" dxfId="12514" priority="8391" operator="lessThan">
      <formula>0</formula>
    </cfRule>
  </conditionalFormatting>
  <conditionalFormatting sqref="AI148:AJ148">
    <cfRule type="cellIs" dxfId="12513" priority="8434" operator="greaterThanOrEqual">
      <formula>0</formula>
    </cfRule>
  </conditionalFormatting>
  <conditionalFormatting sqref="AI148:AJ148">
    <cfRule type="cellIs" dxfId="12512" priority="8433" operator="lessThan">
      <formula>0</formula>
    </cfRule>
  </conditionalFormatting>
  <conditionalFormatting sqref="AC167">
    <cfRule type="cellIs" dxfId="12511" priority="8387" operator="greaterThan">
      <formula>0</formula>
    </cfRule>
    <cfRule type="cellIs" dxfId="12510" priority="8388" operator="lessThanOrEqual">
      <formula>0</formula>
    </cfRule>
  </conditionalFormatting>
  <conditionalFormatting sqref="AB167">
    <cfRule type="cellIs" dxfId="12509" priority="8386" operator="greaterThanOrEqual">
      <formula>0</formula>
    </cfRule>
  </conditionalFormatting>
  <conditionalFormatting sqref="AB167">
    <cfRule type="cellIs" dxfId="12508" priority="8385" operator="lessThan">
      <formula>0</formula>
    </cfRule>
  </conditionalFormatting>
  <conditionalFormatting sqref="AC170">
    <cfRule type="cellIs" dxfId="12507" priority="8377" operator="greaterThan">
      <formula>0</formula>
    </cfRule>
    <cfRule type="cellIs" dxfId="12506" priority="8378" operator="lessThanOrEqual">
      <formula>0</formula>
    </cfRule>
  </conditionalFormatting>
  <conditionalFormatting sqref="AB170">
    <cfRule type="cellIs" dxfId="12505" priority="8376" operator="greaterThanOrEqual">
      <formula>0</formula>
    </cfRule>
  </conditionalFormatting>
  <conditionalFormatting sqref="AB170">
    <cfRule type="cellIs" dxfId="12504" priority="8375" operator="lessThan">
      <formula>0</formula>
    </cfRule>
  </conditionalFormatting>
  <conditionalFormatting sqref="AI171:AJ171">
    <cfRule type="cellIs" dxfId="12503" priority="8418" operator="greaterThanOrEqual">
      <formula>0</formula>
    </cfRule>
  </conditionalFormatting>
  <conditionalFormatting sqref="AI171:AJ171">
    <cfRule type="cellIs" dxfId="12502" priority="8417" operator="lessThan">
      <formula>0</formula>
    </cfRule>
  </conditionalFormatting>
  <conditionalFormatting sqref="AB179">
    <cfRule type="cellIs" dxfId="12501" priority="8366" operator="greaterThanOrEqual">
      <formula>0</formula>
    </cfRule>
  </conditionalFormatting>
  <conditionalFormatting sqref="AB179">
    <cfRule type="cellIs" dxfId="12500" priority="8365" operator="lessThan">
      <formula>0</formula>
    </cfRule>
  </conditionalFormatting>
  <conditionalFormatting sqref="AC148">
    <cfRule type="cellIs" dxfId="12499" priority="8439" operator="greaterThan">
      <formula>0</formula>
    </cfRule>
    <cfRule type="cellIs" dxfId="12498" priority="8440" operator="lessThanOrEqual">
      <formula>0</formula>
    </cfRule>
  </conditionalFormatting>
  <conditionalFormatting sqref="AB148">
    <cfRule type="cellIs" dxfId="12497" priority="8438" operator="greaterThanOrEqual">
      <formula>0</formula>
    </cfRule>
  </conditionalFormatting>
  <conditionalFormatting sqref="AB148">
    <cfRule type="cellIs" dxfId="12496" priority="8437" operator="lessThan">
      <formula>0</formula>
    </cfRule>
  </conditionalFormatting>
  <conditionalFormatting sqref="AF161">
    <cfRule type="cellIs" dxfId="12495" priority="8428" operator="greaterThanOrEqual">
      <formula>0</formula>
    </cfRule>
  </conditionalFormatting>
  <conditionalFormatting sqref="AF161">
    <cfRule type="cellIs" dxfId="12494" priority="8427" operator="lessThan">
      <formula>0</formula>
    </cfRule>
  </conditionalFormatting>
  <conditionalFormatting sqref="AI161:AJ161">
    <cfRule type="cellIs" dxfId="12493" priority="8426" operator="greaterThanOrEqual">
      <formula>0</formula>
    </cfRule>
  </conditionalFormatting>
  <conditionalFormatting sqref="AI161:AJ161">
    <cfRule type="cellIs" dxfId="12492" priority="8425" operator="lessThan">
      <formula>0</formula>
    </cfRule>
  </conditionalFormatting>
  <conditionalFormatting sqref="AC161">
    <cfRule type="cellIs" dxfId="12491" priority="8431" operator="greaterThan">
      <formula>0</formula>
    </cfRule>
    <cfRule type="cellIs" dxfId="12490" priority="8432" operator="lessThanOrEqual">
      <formula>0</formula>
    </cfRule>
  </conditionalFormatting>
  <conditionalFormatting sqref="AF171">
    <cfRule type="cellIs" dxfId="12489" priority="8420" operator="greaterThanOrEqual">
      <formula>0</formula>
    </cfRule>
  </conditionalFormatting>
  <conditionalFormatting sqref="AF171">
    <cfRule type="cellIs" dxfId="12488" priority="8419" operator="lessThan">
      <formula>0</formula>
    </cfRule>
  </conditionalFormatting>
  <conditionalFormatting sqref="AJ164">
    <cfRule type="cellIs" dxfId="12487" priority="8389" operator="lessThan">
      <formula>0</formula>
    </cfRule>
  </conditionalFormatting>
  <conditionalFormatting sqref="AJ170">
    <cfRule type="cellIs" dxfId="12486" priority="8369" operator="lessThan">
      <formula>0</formula>
    </cfRule>
  </conditionalFormatting>
  <conditionalFormatting sqref="AF164">
    <cfRule type="cellIs" dxfId="12485" priority="8394" operator="greaterThanOrEqual">
      <formula>0</formula>
    </cfRule>
  </conditionalFormatting>
  <conditionalFormatting sqref="AF164">
    <cfRule type="cellIs" dxfId="12484" priority="8393" operator="lessThan">
      <formula>0</formula>
    </cfRule>
  </conditionalFormatting>
  <conditionalFormatting sqref="AJ164">
    <cfRule type="cellIs" dxfId="12483" priority="8390" operator="greaterThanOrEqual">
      <formula>0</formula>
    </cfRule>
  </conditionalFormatting>
  <conditionalFormatting sqref="AJ179">
    <cfRule type="cellIs" dxfId="12482" priority="8359" operator="lessThan">
      <formula>0</formula>
    </cfRule>
  </conditionalFormatting>
  <conditionalFormatting sqref="AC162:AC163 AC165:AC166">
    <cfRule type="cellIs" dxfId="12481" priority="8415" operator="greaterThan">
      <formula>0</formula>
    </cfRule>
    <cfRule type="cellIs" dxfId="12480" priority="8416" operator="lessThanOrEqual">
      <formula>0</formula>
    </cfRule>
  </conditionalFormatting>
  <conditionalFormatting sqref="AB162:AB163 AB165:AB166">
    <cfRule type="cellIs" dxfId="12479" priority="8413" operator="lessThan">
      <formula>0</formula>
    </cfRule>
    <cfRule type="cellIs" dxfId="12478" priority="8414" operator="greaterThanOrEqual">
      <formula>0</formula>
    </cfRule>
  </conditionalFormatting>
  <conditionalFormatting sqref="AF162:AF163 AF165:AF166">
    <cfRule type="cellIs" dxfId="12477" priority="8411" operator="lessThan">
      <formula>0</formula>
    </cfRule>
    <cfRule type="cellIs" dxfId="12476" priority="8412" operator="greaterThanOrEqual">
      <formula>0</formula>
    </cfRule>
  </conditionalFormatting>
  <conditionalFormatting sqref="AI162:AI163 AI165:AI166">
    <cfRule type="cellIs" dxfId="12475" priority="8409" operator="lessThan">
      <formula>0</formula>
    </cfRule>
    <cfRule type="cellIs" dxfId="12474" priority="8410" operator="greaterThanOrEqual">
      <formula>0</formula>
    </cfRule>
  </conditionalFormatting>
  <conditionalFormatting sqref="AJ162:AJ163 AJ165:AJ166">
    <cfRule type="cellIs" dxfId="12473" priority="8407" operator="lessThan">
      <formula>0</formula>
    </cfRule>
    <cfRule type="cellIs" dxfId="12472" priority="8408" operator="greaterThanOrEqual">
      <formula>0</formula>
    </cfRule>
  </conditionalFormatting>
  <conditionalFormatting sqref="AF177:AF178 AF180:AF181">
    <cfRule type="cellIs" dxfId="12471" priority="8401" operator="lessThan">
      <formula>0</formula>
    </cfRule>
    <cfRule type="cellIs" dxfId="12470" priority="8402" operator="greaterThanOrEqual">
      <formula>0</formula>
    </cfRule>
  </conditionalFormatting>
  <conditionalFormatting sqref="AI177:AJ178 AI180:AJ181">
    <cfRule type="cellIs" dxfId="12469" priority="8399" operator="lessThan">
      <formula>0</formula>
    </cfRule>
    <cfRule type="cellIs" dxfId="12468" priority="8400" operator="greaterThanOrEqual">
      <formula>0</formula>
    </cfRule>
  </conditionalFormatting>
  <conditionalFormatting sqref="AC177:AC178 AC180:AC181">
    <cfRule type="cellIs" dxfId="12467" priority="8405" operator="greaterThan">
      <formula>0</formula>
    </cfRule>
    <cfRule type="cellIs" dxfId="12466" priority="8406" operator="lessThanOrEqual">
      <formula>0</formula>
    </cfRule>
  </conditionalFormatting>
  <conditionalFormatting sqref="AB177:AB178 AB180:AB181">
    <cfRule type="cellIs" dxfId="12465" priority="8403" operator="lessThan">
      <formula>0</formula>
    </cfRule>
    <cfRule type="cellIs" dxfId="12464" priority="8404" operator="greaterThanOrEqual">
      <formula>0</formula>
    </cfRule>
  </conditionalFormatting>
  <conditionalFormatting sqref="AC179">
    <cfRule type="cellIs" dxfId="12463" priority="8367" operator="greaterThan">
      <formula>0</formula>
    </cfRule>
    <cfRule type="cellIs" dxfId="12462" priority="8368" operator="lessThanOrEqual">
      <formula>0</formula>
    </cfRule>
  </conditionalFormatting>
  <conditionalFormatting sqref="AB182">
    <cfRule type="cellIs" dxfId="12461" priority="8356" operator="greaterThanOrEqual">
      <formula>0</formula>
    </cfRule>
  </conditionalFormatting>
  <conditionalFormatting sqref="AB182">
    <cfRule type="cellIs" dxfId="12460" priority="8355" operator="lessThan">
      <formula>0</formula>
    </cfRule>
  </conditionalFormatting>
  <conditionalFormatting sqref="AF167">
    <cfRule type="cellIs" dxfId="12459" priority="8384" operator="greaterThanOrEqual">
      <formula>0</formula>
    </cfRule>
  </conditionalFormatting>
  <conditionalFormatting sqref="AF167">
    <cfRule type="cellIs" dxfId="12458" priority="8383" operator="lessThan">
      <formula>0</formula>
    </cfRule>
  </conditionalFormatting>
  <conditionalFormatting sqref="AI167">
    <cfRule type="cellIs" dxfId="12457" priority="8382" operator="greaterThanOrEqual">
      <formula>0</formula>
    </cfRule>
  </conditionalFormatting>
  <conditionalFormatting sqref="AI167">
    <cfRule type="cellIs" dxfId="12456" priority="8381" operator="lessThan">
      <formula>0</formula>
    </cfRule>
  </conditionalFormatting>
  <conditionalFormatting sqref="AJ182">
    <cfRule type="cellIs" dxfId="12455" priority="8349" operator="lessThan">
      <formula>0</formula>
    </cfRule>
  </conditionalFormatting>
  <conditionalFormatting sqref="AC182">
    <cfRule type="cellIs" dxfId="12454" priority="8357" operator="greaterThan">
      <formula>0</formula>
    </cfRule>
    <cfRule type="cellIs" dxfId="12453" priority="8358" operator="lessThanOrEqual">
      <formula>0</formula>
    </cfRule>
  </conditionalFormatting>
  <conditionalFormatting sqref="AB185">
    <cfRule type="cellIs" dxfId="12452" priority="8346" operator="greaterThanOrEqual">
      <formula>0</formula>
    </cfRule>
  </conditionalFormatting>
  <conditionalFormatting sqref="AB185">
    <cfRule type="cellIs" dxfId="12451" priority="8345" operator="lessThan">
      <formula>0</formula>
    </cfRule>
  </conditionalFormatting>
  <conditionalFormatting sqref="AI170">
    <cfRule type="cellIs" dxfId="12450" priority="8372" operator="greaterThanOrEqual">
      <formula>0</formula>
    </cfRule>
  </conditionalFormatting>
  <conditionalFormatting sqref="AI170">
    <cfRule type="cellIs" dxfId="12449" priority="8371" operator="lessThan">
      <formula>0</formula>
    </cfRule>
  </conditionalFormatting>
  <conditionalFormatting sqref="AJ185">
    <cfRule type="cellIs" dxfId="12448" priority="8339" operator="lessThan">
      <formula>0</formula>
    </cfRule>
  </conditionalFormatting>
  <conditionalFormatting sqref="AF170">
    <cfRule type="cellIs" dxfId="12447" priority="8374" operator="greaterThanOrEqual">
      <formula>0</formula>
    </cfRule>
  </conditionalFormatting>
  <conditionalFormatting sqref="AF170">
    <cfRule type="cellIs" dxfId="12446" priority="8373" operator="lessThan">
      <formula>0</formula>
    </cfRule>
  </conditionalFormatting>
  <conditionalFormatting sqref="AJ170">
    <cfRule type="cellIs" dxfId="12445" priority="8370" operator="greaterThanOrEqual">
      <formula>0</formula>
    </cfRule>
  </conditionalFormatting>
  <conditionalFormatting sqref="AC185">
    <cfRule type="cellIs" dxfId="12444" priority="8347" operator="greaterThan">
      <formula>0</formula>
    </cfRule>
    <cfRule type="cellIs" dxfId="12443" priority="8348" operator="lessThanOrEqual">
      <formula>0</formula>
    </cfRule>
  </conditionalFormatting>
  <conditionalFormatting sqref="AF179">
    <cfRule type="cellIs" dxfId="12442" priority="8364" operator="greaterThanOrEqual">
      <formula>0</formula>
    </cfRule>
  </conditionalFormatting>
  <conditionalFormatting sqref="AF179">
    <cfRule type="cellIs" dxfId="12441" priority="8363" operator="lessThan">
      <formula>0</formula>
    </cfRule>
  </conditionalFormatting>
  <conditionalFormatting sqref="AI179">
    <cfRule type="cellIs" dxfId="12440" priority="8362" operator="greaterThanOrEqual">
      <formula>0</formula>
    </cfRule>
  </conditionalFormatting>
  <conditionalFormatting sqref="AI179">
    <cfRule type="cellIs" dxfId="12439" priority="8361" operator="lessThan">
      <formula>0</formula>
    </cfRule>
  </conditionalFormatting>
  <conditionalFormatting sqref="AJ179">
    <cfRule type="cellIs" dxfId="12438" priority="8360" operator="greaterThanOrEqual">
      <formula>0</formula>
    </cfRule>
  </conditionalFormatting>
  <conditionalFormatting sqref="AI182">
    <cfRule type="cellIs" dxfId="12437" priority="8352" operator="greaterThanOrEqual">
      <formula>0</formula>
    </cfRule>
  </conditionalFormatting>
  <conditionalFormatting sqref="AI182">
    <cfRule type="cellIs" dxfId="12436" priority="8351" operator="lessThan">
      <formula>0</formula>
    </cfRule>
  </conditionalFormatting>
  <conditionalFormatting sqref="AJ182">
    <cfRule type="cellIs" dxfId="12435" priority="8350" operator="greaterThanOrEqual">
      <formula>0</formula>
    </cfRule>
  </conditionalFormatting>
  <conditionalFormatting sqref="AI185">
    <cfRule type="cellIs" dxfId="12434" priority="8342" operator="greaterThanOrEqual">
      <formula>0</formula>
    </cfRule>
  </conditionalFormatting>
  <conditionalFormatting sqref="AI185">
    <cfRule type="cellIs" dxfId="12433" priority="8341" operator="lessThan">
      <formula>0</formula>
    </cfRule>
  </conditionalFormatting>
  <conditionalFormatting sqref="AJ185">
    <cfRule type="cellIs" dxfId="12432" priority="8340" operator="greaterThanOrEqual">
      <formula>0</formula>
    </cfRule>
  </conditionalFormatting>
  <conditionalFormatting sqref="AC25">
    <cfRule type="cellIs" dxfId="12431" priority="8337" operator="greaterThan">
      <formula>0</formula>
    </cfRule>
    <cfRule type="cellIs" dxfId="12430" priority="8338" operator="lessThanOrEqual">
      <formula>0</formula>
    </cfRule>
  </conditionalFormatting>
  <conditionalFormatting sqref="AJ52">
    <cfRule type="cellIs" dxfId="12429" priority="8325" operator="lessThan">
      <formula>0</formula>
    </cfRule>
  </conditionalFormatting>
  <conditionalFormatting sqref="AC56">
    <cfRule type="cellIs" dxfId="12428" priority="8335" operator="greaterThan">
      <formula>0</formula>
    </cfRule>
    <cfRule type="cellIs" dxfId="12427" priority="8336" operator="lessThanOrEqual">
      <formula>0</formula>
    </cfRule>
  </conditionalFormatting>
  <conditionalFormatting sqref="AB56">
    <cfRule type="cellIs" dxfId="12426" priority="8334" operator="greaterThanOrEqual">
      <formula>0</formula>
    </cfRule>
  </conditionalFormatting>
  <conditionalFormatting sqref="AB56">
    <cfRule type="cellIs" dxfId="12425" priority="8333" operator="lessThan">
      <formula>0</formula>
    </cfRule>
  </conditionalFormatting>
  <conditionalFormatting sqref="AC52">
    <cfRule type="cellIs" dxfId="12424" priority="8331" operator="greaterThan">
      <formula>0</formula>
    </cfRule>
    <cfRule type="cellIs" dxfId="12423" priority="8332" operator="lessThanOrEqual">
      <formula>0</formula>
    </cfRule>
  </conditionalFormatting>
  <conditionalFormatting sqref="AB52">
    <cfRule type="cellIs" dxfId="12422" priority="8330" operator="greaterThanOrEqual">
      <formula>0</formula>
    </cfRule>
  </conditionalFormatting>
  <conditionalFormatting sqref="AB52">
    <cfRule type="cellIs" dxfId="12421" priority="8329" operator="lessThan">
      <formula>0</formula>
    </cfRule>
  </conditionalFormatting>
  <conditionalFormatting sqref="AI52">
    <cfRule type="cellIs" dxfId="12420" priority="8328" operator="greaterThanOrEqual">
      <formula>0</formula>
    </cfRule>
  </conditionalFormatting>
  <conditionalFormatting sqref="AI52">
    <cfRule type="cellIs" dxfId="12419" priority="8327" operator="lessThan">
      <formula>0</formula>
    </cfRule>
  </conditionalFormatting>
  <conditionalFormatting sqref="AJ52">
    <cfRule type="cellIs" dxfId="12418" priority="8326" operator="greaterThanOrEqual">
      <formula>0</formula>
    </cfRule>
  </conditionalFormatting>
  <conditionalFormatting sqref="AC69">
    <cfRule type="cellIs" dxfId="12417" priority="8323" operator="greaterThan">
      <formula>0</formula>
    </cfRule>
    <cfRule type="cellIs" dxfId="12416" priority="8324" operator="lessThanOrEqual">
      <formula>0</formula>
    </cfRule>
  </conditionalFormatting>
  <conditionalFormatting sqref="AI69">
    <cfRule type="cellIs" dxfId="12415" priority="8321" operator="lessThan">
      <formula>0</formula>
    </cfRule>
    <cfRule type="cellIs" dxfId="12414" priority="8322" operator="greaterThanOrEqual">
      <formula>0</formula>
    </cfRule>
  </conditionalFormatting>
  <conditionalFormatting sqref="AJ69">
    <cfRule type="cellIs" dxfId="12413" priority="8319" operator="lessThan">
      <formula>0</formula>
    </cfRule>
    <cfRule type="cellIs" dxfId="12412" priority="8320" operator="greaterThanOrEqual">
      <formula>0</formula>
    </cfRule>
  </conditionalFormatting>
  <conditionalFormatting sqref="AC70">
    <cfRule type="cellIs" dxfId="12411" priority="8317" operator="greaterThan">
      <formula>0</formula>
    </cfRule>
    <cfRule type="cellIs" dxfId="12410" priority="8318" operator="lessThanOrEqual">
      <formula>0</formula>
    </cfRule>
  </conditionalFormatting>
  <conditionalFormatting sqref="AI72">
    <cfRule type="cellIs" dxfId="12409" priority="8315" operator="lessThan">
      <formula>0</formula>
    </cfRule>
    <cfRule type="cellIs" dxfId="12408" priority="8316" operator="greaterThanOrEqual">
      <formula>0</formula>
    </cfRule>
  </conditionalFormatting>
  <conditionalFormatting sqref="AC72">
    <cfRule type="cellIs" dxfId="12407" priority="8313" operator="greaterThan">
      <formula>0</formula>
    </cfRule>
    <cfRule type="cellIs" dxfId="12406" priority="8314" operator="lessThanOrEqual">
      <formula>0</formula>
    </cfRule>
  </conditionalFormatting>
  <conditionalFormatting sqref="AB25">
    <cfRule type="cellIs" dxfId="12405" priority="8312" operator="greaterThanOrEqual">
      <formula>0</formula>
    </cfRule>
  </conditionalFormatting>
  <conditionalFormatting sqref="AB25">
    <cfRule type="cellIs" dxfId="12404" priority="8311" operator="lessThan">
      <formula>0</formula>
    </cfRule>
  </conditionalFormatting>
  <conditionalFormatting sqref="AB28">
    <cfRule type="cellIs" dxfId="12403" priority="8310" operator="greaterThanOrEqual">
      <formula>0</formula>
    </cfRule>
  </conditionalFormatting>
  <conditionalFormatting sqref="AB28">
    <cfRule type="cellIs" dxfId="12402" priority="8309" operator="lessThan">
      <formula>0</formula>
    </cfRule>
  </conditionalFormatting>
  <conditionalFormatting sqref="AB41">
    <cfRule type="cellIs" dxfId="12401" priority="8308" operator="greaterThanOrEqual">
      <formula>0</formula>
    </cfRule>
  </conditionalFormatting>
  <conditionalFormatting sqref="AB41">
    <cfRule type="cellIs" dxfId="12400" priority="8307" operator="lessThan">
      <formula>0</formula>
    </cfRule>
  </conditionalFormatting>
  <conditionalFormatting sqref="AB44">
    <cfRule type="cellIs" dxfId="12399" priority="8306" operator="greaterThanOrEqual">
      <formula>0</formula>
    </cfRule>
  </conditionalFormatting>
  <conditionalFormatting sqref="AB44">
    <cfRule type="cellIs" dxfId="12398" priority="8305" operator="lessThan">
      <formula>0</formula>
    </cfRule>
  </conditionalFormatting>
  <conditionalFormatting sqref="AB47">
    <cfRule type="cellIs" dxfId="12397" priority="8304" operator="greaterThanOrEqual">
      <formula>0</formula>
    </cfRule>
  </conditionalFormatting>
  <conditionalFormatting sqref="AB47">
    <cfRule type="cellIs" dxfId="12396" priority="8303" operator="lessThan">
      <formula>0</formula>
    </cfRule>
  </conditionalFormatting>
  <conditionalFormatting sqref="AB50">
    <cfRule type="cellIs" dxfId="12395" priority="8302" operator="greaterThanOrEqual">
      <formula>0</formula>
    </cfRule>
  </conditionalFormatting>
  <conditionalFormatting sqref="AB50">
    <cfRule type="cellIs" dxfId="12394" priority="8301" operator="lessThan">
      <formula>0</formula>
    </cfRule>
  </conditionalFormatting>
  <conditionalFormatting sqref="AB51">
    <cfRule type="cellIs" dxfId="12393" priority="8300" operator="greaterThanOrEqual">
      <formula>0</formula>
    </cfRule>
  </conditionalFormatting>
  <conditionalFormatting sqref="AB51">
    <cfRule type="cellIs" dxfId="12392" priority="8299" operator="lessThan">
      <formula>0</formula>
    </cfRule>
  </conditionalFormatting>
  <conditionalFormatting sqref="AB59">
    <cfRule type="cellIs" dxfId="12391" priority="8298" operator="greaterThanOrEqual">
      <formula>0</formula>
    </cfRule>
  </conditionalFormatting>
  <conditionalFormatting sqref="AB59">
    <cfRule type="cellIs" dxfId="12390" priority="8297" operator="lessThan">
      <formula>0</formula>
    </cfRule>
  </conditionalFormatting>
  <conditionalFormatting sqref="AB65">
    <cfRule type="cellIs" dxfId="12389" priority="8296" operator="greaterThanOrEqual">
      <formula>0</formula>
    </cfRule>
  </conditionalFormatting>
  <conditionalFormatting sqref="AB65">
    <cfRule type="cellIs" dxfId="12388" priority="8295" operator="lessThan">
      <formula>0</formula>
    </cfRule>
  </conditionalFormatting>
  <conditionalFormatting sqref="AB66">
    <cfRule type="cellIs" dxfId="12387" priority="8294" operator="greaterThanOrEqual">
      <formula>0</formula>
    </cfRule>
  </conditionalFormatting>
  <conditionalFormatting sqref="AB66">
    <cfRule type="cellIs" dxfId="12386" priority="8293" operator="lessThan">
      <formula>0</formula>
    </cfRule>
  </conditionalFormatting>
  <conditionalFormatting sqref="AB68:AB70">
    <cfRule type="cellIs" dxfId="12385" priority="8291" operator="lessThan">
      <formula>0</formula>
    </cfRule>
    <cfRule type="cellIs" dxfId="12384" priority="8292" operator="greaterThanOrEqual">
      <formula>0</formula>
    </cfRule>
  </conditionalFormatting>
  <conditionalFormatting sqref="AB71:AB72">
    <cfRule type="cellIs" dxfId="12383" priority="8290" operator="greaterThanOrEqual">
      <formula>0</formula>
    </cfRule>
  </conditionalFormatting>
  <conditionalFormatting sqref="AB71:AB72">
    <cfRule type="cellIs" dxfId="12382" priority="8289" operator="lessThan">
      <formula>0</formula>
    </cfRule>
  </conditionalFormatting>
  <conditionalFormatting sqref="AB73">
    <cfRule type="cellIs" dxfId="12381" priority="8288" operator="greaterThanOrEqual">
      <formula>0</formula>
    </cfRule>
  </conditionalFormatting>
  <conditionalFormatting sqref="AB73">
    <cfRule type="cellIs" dxfId="12380" priority="8287" operator="lessThan">
      <formula>0</formula>
    </cfRule>
  </conditionalFormatting>
  <conditionalFormatting sqref="AB42:AB43">
    <cfRule type="cellIs" dxfId="12379" priority="8285" operator="lessThan">
      <formula>0</formula>
    </cfRule>
    <cfRule type="cellIs" dxfId="12378" priority="8286" operator="greaterThanOrEqual">
      <formula>0</formula>
    </cfRule>
  </conditionalFormatting>
  <conditionalFormatting sqref="AB45:AB46">
    <cfRule type="cellIs" dxfId="12377" priority="8283" operator="lessThan">
      <formula>0</formula>
    </cfRule>
    <cfRule type="cellIs" dxfId="12376" priority="8284" operator="greaterThanOrEqual">
      <formula>0</formula>
    </cfRule>
  </conditionalFormatting>
  <conditionalFormatting sqref="AB57:AB58">
    <cfRule type="cellIs" dxfId="12375" priority="8281" operator="lessThan">
      <formula>0</formula>
    </cfRule>
    <cfRule type="cellIs" dxfId="12374" priority="8282" operator="greaterThanOrEqual">
      <formula>0</formula>
    </cfRule>
  </conditionalFormatting>
  <conditionalFormatting sqref="AB60:AB61">
    <cfRule type="cellIs" dxfId="12373" priority="8279" operator="lessThan">
      <formula>0</formula>
    </cfRule>
    <cfRule type="cellIs" dxfId="12372" priority="8280" operator="greaterThanOrEqual">
      <formula>0</formula>
    </cfRule>
  </conditionalFormatting>
  <conditionalFormatting sqref="AB63:AB64">
    <cfRule type="cellIs" dxfId="12371" priority="8277" operator="lessThan">
      <formula>0</formula>
    </cfRule>
    <cfRule type="cellIs" dxfId="12370" priority="8278" operator="greaterThanOrEqual">
      <formula>0</formula>
    </cfRule>
  </conditionalFormatting>
  <conditionalFormatting sqref="AG13:AG14">
    <cfRule type="cellIs" dxfId="12369" priority="8275" operator="greaterThan">
      <formula>0</formula>
    </cfRule>
    <cfRule type="cellIs" dxfId="12368" priority="8276" operator="lessThanOrEqual">
      <formula>0</formula>
    </cfRule>
  </conditionalFormatting>
  <conditionalFormatting sqref="AG16:AG17">
    <cfRule type="cellIs" dxfId="12367" priority="8273" operator="greaterThan">
      <formula>0</formula>
    </cfRule>
    <cfRule type="cellIs" dxfId="12366" priority="8274" operator="lessThanOrEqual">
      <formula>0</formula>
    </cfRule>
  </conditionalFormatting>
  <conditionalFormatting sqref="AG19:AG20">
    <cfRule type="cellIs" dxfId="12365" priority="8271" operator="greaterThan">
      <formula>0</formula>
    </cfRule>
    <cfRule type="cellIs" dxfId="12364" priority="8272" operator="lessThanOrEqual">
      <formula>0</formula>
    </cfRule>
  </conditionalFormatting>
  <conditionalFormatting sqref="AG29:AG30">
    <cfRule type="cellIs" dxfId="12363" priority="8269" operator="greaterThan">
      <formula>0</formula>
    </cfRule>
    <cfRule type="cellIs" dxfId="12362" priority="8270" operator="lessThanOrEqual">
      <formula>0</formula>
    </cfRule>
  </conditionalFormatting>
  <conditionalFormatting sqref="AG22:AG23">
    <cfRule type="cellIs" dxfId="12361" priority="8267" operator="greaterThan">
      <formula>0</formula>
    </cfRule>
    <cfRule type="cellIs" dxfId="12360" priority="8268" operator="lessThanOrEqual">
      <formula>0</formula>
    </cfRule>
  </conditionalFormatting>
  <conditionalFormatting sqref="AG32:AG33">
    <cfRule type="cellIs" dxfId="12359" priority="8265" operator="greaterThan">
      <formula>0</formula>
    </cfRule>
    <cfRule type="cellIs" dxfId="12358" priority="8266" operator="lessThanOrEqual">
      <formula>0</formula>
    </cfRule>
  </conditionalFormatting>
  <conditionalFormatting sqref="AG35:AG36">
    <cfRule type="cellIs" dxfId="12357" priority="8263" operator="greaterThan">
      <formula>0</formula>
    </cfRule>
    <cfRule type="cellIs" dxfId="12356" priority="8264" operator="lessThanOrEqual">
      <formula>0</formula>
    </cfRule>
  </conditionalFormatting>
  <conditionalFormatting sqref="AG38:AG39">
    <cfRule type="cellIs" dxfId="12355" priority="8261" operator="greaterThan">
      <formula>0</formula>
    </cfRule>
    <cfRule type="cellIs" dxfId="12354" priority="8262" operator="lessThanOrEqual">
      <formula>0</formula>
    </cfRule>
  </conditionalFormatting>
  <conditionalFormatting sqref="AG48:AG49">
    <cfRule type="cellIs" dxfId="12353" priority="8259" operator="greaterThan">
      <formula>0</formula>
    </cfRule>
    <cfRule type="cellIs" dxfId="12352" priority="8260" operator="lessThanOrEqual">
      <formula>0</formula>
    </cfRule>
  </conditionalFormatting>
  <conditionalFormatting sqref="AG63:AG64">
    <cfRule type="cellIs" dxfId="12351" priority="8257" operator="greaterThan">
      <formula>0</formula>
    </cfRule>
    <cfRule type="cellIs" dxfId="12350" priority="8258" operator="lessThanOrEqual">
      <formula>0</formula>
    </cfRule>
  </conditionalFormatting>
  <conditionalFormatting sqref="AG53:AG54">
    <cfRule type="cellIs" dxfId="12349" priority="8255" operator="greaterThan">
      <formula>0</formula>
    </cfRule>
    <cfRule type="cellIs" dxfId="12348" priority="8256" operator="lessThanOrEqual">
      <formula>0</formula>
    </cfRule>
  </conditionalFormatting>
  <conditionalFormatting sqref="AG15">
    <cfRule type="cellIs" dxfId="12347" priority="8253" operator="greaterThan">
      <formula>0</formula>
    </cfRule>
    <cfRule type="cellIs" dxfId="12346" priority="8254" operator="lessThanOrEqual">
      <formula>0</formula>
    </cfRule>
  </conditionalFormatting>
  <conditionalFormatting sqref="AG18">
    <cfRule type="cellIs" dxfId="12345" priority="8251" operator="greaterThan">
      <formula>0</formula>
    </cfRule>
    <cfRule type="cellIs" dxfId="12344" priority="8252" operator="lessThanOrEqual">
      <formula>0</formula>
    </cfRule>
  </conditionalFormatting>
  <conditionalFormatting sqref="AG21">
    <cfRule type="cellIs" dxfId="12343" priority="8249" operator="greaterThan">
      <formula>0</formula>
    </cfRule>
    <cfRule type="cellIs" dxfId="12342" priority="8250" operator="lessThanOrEqual">
      <formula>0</formula>
    </cfRule>
  </conditionalFormatting>
  <conditionalFormatting sqref="AG31">
    <cfRule type="cellIs" dxfId="12341" priority="8247" operator="greaterThan">
      <formula>0</formula>
    </cfRule>
    <cfRule type="cellIs" dxfId="12340" priority="8248" operator="lessThanOrEqual">
      <formula>0</formula>
    </cfRule>
  </conditionalFormatting>
  <conditionalFormatting sqref="AG24">
    <cfRule type="cellIs" dxfId="12339" priority="8245" operator="greaterThan">
      <formula>0</formula>
    </cfRule>
    <cfRule type="cellIs" dxfId="12338" priority="8246" operator="lessThanOrEqual">
      <formula>0</formula>
    </cfRule>
  </conditionalFormatting>
  <conditionalFormatting sqref="AG34">
    <cfRule type="cellIs" dxfId="12337" priority="8243" operator="greaterThan">
      <formula>0</formula>
    </cfRule>
    <cfRule type="cellIs" dxfId="12336" priority="8244" operator="lessThanOrEqual">
      <formula>0</formula>
    </cfRule>
  </conditionalFormatting>
  <conditionalFormatting sqref="AG37">
    <cfRule type="cellIs" dxfId="12335" priority="8241" operator="greaterThan">
      <formula>0</formula>
    </cfRule>
    <cfRule type="cellIs" dxfId="12334" priority="8242" operator="lessThanOrEqual">
      <formula>0</formula>
    </cfRule>
  </conditionalFormatting>
  <conditionalFormatting sqref="AG40">
    <cfRule type="cellIs" dxfId="12333" priority="8239" operator="greaterThan">
      <formula>0</formula>
    </cfRule>
    <cfRule type="cellIs" dxfId="12332" priority="8240" operator="lessThanOrEqual">
      <formula>0</formula>
    </cfRule>
  </conditionalFormatting>
  <conditionalFormatting sqref="AG26">
    <cfRule type="cellIs" dxfId="12331" priority="8237" operator="greaterThan">
      <formula>0</formula>
    </cfRule>
    <cfRule type="cellIs" dxfId="12330" priority="8238" operator="lessThanOrEqual">
      <formula>0</formula>
    </cfRule>
  </conditionalFormatting>
  <conditionalFormatting sqref="AG66">
    <cfRule type="cellIs" dxfId="12329" priority="8235" operator="greaterThan">
      <formula>0</formula>
    </cfRule>
    <cfRule type="cellIs" dxfId="12328" priority="8236" operator="lessThanOrEqual">
      <formula>0</formula>
    </cfRule>
  </conditionalFormatting>
  <conditionalFormatting sqref="AF13:AF14 AF16:AF17 AF19:AF20 AF22:AF23 AF29:AF30 AF32:AF33 AF35:AF36 AF38:AF39 AF48:AF49 AF53:AF54">
    <cfRule type="cellIs" dxfId="12327" priority="8233" operator="lessThan">
      <formula>0</formula>
    </cfRule>
    <cfRule type="cellIs" dxfId="12326" priority="8234" operator="greaterThanOrEqual">
      <formula>0</formula>
    </cfRule>
  </conditionalFormatting>
  <conditionalFormatting sqref="AF15 AF18 AF21 AF24 AF26 AF31 AF34 AF37 AF40">
    <cfRule type="cellIs" dxfId="12325" priority="8232" operator="greaterThanOrEqual">
      <formula>0</formula>
    </cfRule>
  </conditionalFormatting>
  <conditionalFormatting sqref="AF15 AF18 AF21 AF24 AF26 AF31 AF34 AF37 AF40">
    <cfRule type="cellIs" dxfId="12324" priority="8231" operator="lessThan">
      <formula>0</formula>
    </cfRule>
  </conditionalFormatting>
  <conditionalFormatting sqref="AG51">
    <cfRule type="cellIs" dxfId="12323" priority="8225" operator="greaterThan">
      <formula>0</formula>
    </cfRule>
    <cfRule type="cellIs" dxfId="12322" priority="8226" operator="lessThanOrEqual">
      <formula>0</formula>
    </cfRule>
  </conditionalFormatting>
  <conditionalFormatting sqref="AG44">
    <cfRule type="cellIs" dxfId="12321" priority="8219" operator="greaterThan">
      <formula>0</formula>
    </cfRule>
    <cfRule type="cellIs" dxfId="12320" priority="8220" operator="lessThanOrEqual">
      <formula>0</formula>
    </cfRule>
  </conditionalFormatting>
  <conditionalFormatting sqref="AG50">
    <cfRule type="cellIs" dxfId="12319" priority="8215" operator="greaterThan">
      <formula>0</formula>
    </cfRule>
    <cfRule type="cellIs" dxfId="12318" priority="8216" operator="lessThanOrEqual">
      <formula>0</formula>
    </cfRule>
  </conditionalFormatting>
  <conditionalFormatting sqref="AG28">
    <cfRule type="cellIs" dxfId="12317" priority="8229" operator="greaterThan">
      <formula>0</formula>
    </cfRule>
    <cfRule type="cellIs" dxfId="12316" priority="8230" operator="lessThanOrEqual">
      <formula>0</formula>
    </cfRule>
  </conditionalFormatting>
  <conditionalFormatting sqref="AG41">
    <cfRule type="cellIs" dxfId="12315" priority="8227" operator="greaterThan">
      <formula>0</formula>
    </cfRule>
    <cfRule type="cellIs" dxfId="12314" priority="8228" operator="lessThanOrEqual">
      <formula>0</formula>
    </cfRule>
  </conditionalFormatting>
  <conditionalFormatting sqref="AG42:AG43 AG45:AG46">
    <cfRule type="cellIs" dxfId="12313" priority="8223" operator="greaterThan">
      <formula>0</formula>
    </cfRule>
    <cfRule type="cellIs" dxfId="12312" priority="8224" operator="lessThanOrEqual">
      <formula>0</formula>
    </cfRule>
  </conditionalFormatting>
  <conditionalFormatting sqref="AG57:AG58 AG60:AG61">
    <cfRule type="cellIs" dxfId="12311" priority="8221" operator="greaterThan">
      <formula>0</formula>
    </cfRule>
    <cfRule type="cellIs" dxfId="12310" priority="8222" operator="lessThanOrEqual">
      <formula>0</formula>
    </cfRule>
  </conditionalFormatting>
  <conditionalFormatting sqref="AG62">
    <cfRule type="cellIs" dxfId="12309" priority="8211" operator="greaterThan">
      <formula>0</formula>
    </cfRule>
    <cfRule type="cellIs" dxfId="12308" priority="8212" operator="lessThanOrEqual">
      <formula>0</formula>
    </cfRule>
  </conditionalFormatting>
  <conditionalFormatting sqref="AG65">
    <cfRule type="cellIs" dxfId="12307" priority="8207" operator="greaterThan">
      <formula>0</formula>
    </cfRule>
    <cfRule type="cellIs" dxfId="12306" priority="8208" operator="lessThanOrEqual">
      <formula>0</formula>
    </cfRule>
  </conditionalFormatting>
  <conditionalFormatting sqref="AG25">
    <cfRule type="cellIs" dxfId="12305" priority="8205" operator="greaterThan">
      <formula>0</formula>
    </cfRule>
    <cfRule type="cellIs" dxfId="12304" priority="8206" operator="lessThanOrEqual">
      <formula>0</formula>
    </cfRule>
  </conditionalFormatting>
  <conditionalFormatting sqref="AG56">
    <cfRule type="cellIs" dxfId="12303" priority="8203" operator="greaterThan">
      <formula>0</formula>
    </cfRule>
    <cfRule type="cellIs" dxfId="12302" priority="8204" operator="lessThanOrEqual">
      <formula>0</formula>
    </cfRule>
  </conditionalFormatting>
  <conditionalFormatting sqref="AF56">
    <cfRule type="cellIs" dxfId="12301" priority="8202" operator="greaterThanOrEqual">
      <formula>0</formula>
    </cfRule>
  </conditionalFormatting>
  <conditionalFormatting sqref="AF56">
    <cfRule type="cellIs" dxfId="12300" priority="8201" operator="lessThan">
      <formula>0</formula>
    </cfRule>
  </conditionalFormatting>
  <conditionalFormatting sqref="AG52">
    <cfRule type="cellIs" dxfId="12299" priority="8199" operator="greaterThan">
      <formula>0</formula>
    </cfRule>
    <cfRule type="cellIs" dxfId="12298" priority="8200" operator="lessThanOrEqual">
      <formula>0</formula>
    </cfRule>
  </conditionalFormatting>
  <conditionalFormatting sqref="AF52">
    <cfRule type="cellIs" dxfId="12297" priority="8198" operator="greaterThanOrEqual">
      <formula>0</formula>
    </cfRule>
  </conditionalFormatting>
  <conditionalFormatting sqref="AF52">
    <cfRule type="cellIs" dxfId="12296" priority="8197" operator="lessThan">
      <formula>0</formula>
    </cfRule>
  </conditionalFormatting>
  <conditionalFormatting sqref="AF25">
    <cfRule type="cellIs" dxfId="12295" priority="8196" operator="greaterThanOrEqual">
      <formula>0</formula>
    </cfRule>
  </conditionalFormatting>
  <conditionalFormatting sqref="AF25">
    <cfRule type="cellIs" dxfId="12294" priority="8195" operator="lessThan">
      <formula>0</formula>
    </cfRule>
  </conditionalFormatting>
  <conditionalFormatting sqref="AF28">
    <cfRule type="cellIs" dxfId="12293" priority="8194" operator="greaterThanOrEqual">
      <formula>0</formula>
    </cfRule>
  </conditionalFormatting>
  <conditionalFormatting sqref="AF28">
    <cfRule type="cellIs" dxfId="12292" priority="8193" operator="lessThan">
      <formula>0</formula>
    </cfRule>
  </conditionalFormatting>
  <conditionalFormatting sqref="AF41">
    <cfRule type="cellIs" dxfId="12291" priority="8192" operator="greaterThanOrEqual">
      <formula>0</formula>
    </cfRule>
  </conditionalFormatting>
  <conditionalFormatting sqref="AF41">
    <cfRule type="cellIs" dxfId="12290" priority="8191" operator="lessThan">
      <formula>0</formula>
    </cfRule>
  </conditionalFormatting>
  <conditionalFormatting sqref="AF44">
    <cfRule type="cellIs" dxfId="12289" priority="8190" operator="greaterThanOrEqual">
      <formula>0</formula>
    </cfRule>
  </conditionalFormatting>
  <conditionalFormatting sqref="AF44">
    <cfRule type="cellIs" dxfId="12288" priority="8189" operator="lessThan">
      <formula>0</formula>
    </cfRule>
  </conditionalFormatting>
  <conditionalFormatting sqref="AF47">
    <cfRule type="cellIs" dxfId="12287" priority="8188" operator="greaterThanOrEqual">
      <formula>0</formula>
    </cfRule>
  </conditionalFormatting>
  <conditionalFormatting sqref="AF47">
    <cfRule type="cellIs" dxfId="12286" priority="8187" operator="lessThan">
      <formula>0</formula>
    </cfRule>
  </conditionalFormatting>
  <conditionalFormatting sqref="AF50">
    <cfRule type="cellIs" dxfId="12285" priority="8186" operator="greaterThanOrEqual">
      <formula>0</formula>
    </cfRule>
  </conditionalFormatting>
  <conditionalFormatting sqref="AF50">
    <cfRule type="cellIs" dxfId="12284" priority="8185" operator="lessThan">
      <formula>0</formula>
    </cfRule>
  </conditionalFormatting>
  <conditionalFormatting sqref="AF51">
    <cfRule type="cellIs" dxfId="12283" priority="8184" operator="greaterThanOrEqual">
      <formula>0</formula>
    </cfRule>
  </conditionalFormatting>
  <conditionalFormatting sqref="AF51">
    <cfRule type="cellIs" dxfId="12282" priority="8183" operator="lessThan">
      <formula>0</formula>
    </cfRule>
  </conditionalFormatting>
  <conditionalFormatting sqref="AF59">
    <cfRule type="cellIs" dxfId="12281" priority="8182" operator="greaterThanOrEqual">
      <formula>0</formula>
    </cfRule>
  </conditionalFormatting>
  <conditionalFormatting sqref="AF59">
    <cfRule type="cellIs" dxfId="12280" priority="8181" operator="lessThan">
      <formula>0</formula>
    </cfRule>
  </conditionalFormatting>
  <conditionalFormatting sqref="AF65">
    <cfRule type="cellIs" dxfId="12279" priority="8180" operator="greaterThanOrEqual">
      <formula>0</formula>
    </cfRule>
  </conditionalFormatting>
  <conditionalFormatting sqref="AF65">
    <cfRule type="cellIs" dxfId="12278" priority="8179" operator="lessThan">
      <formula>0</formula>
    </cfRule>
  </conditionalFormatting>
  <conditionalFormatting sqref="AF66">
    <cfRule type="cellIs" dxfId="12277" priority="8178" operator="greaterThanOrEqual">
      <formula>0</formula>
    </cfRule>
  </conditionalFormatting>
  <conditionalFormatting sqref="AF66">
    <cfRule type="cellIs" dxfId="12276" priority="8177" operator="lessThan">
      <formula>0</formula>
    </cfRule>
  </conditionalFormatting>
  <conditionalFormatting sqref="AF42:AF43">
    <cfRule type="cellIs" dxfId="12275" priority="8175" operator="lessThan">
      <formula>0</formula>
    </cfRule>
    <cfRule type="cellIs" dxfId="12274" priority="8176" operator="greaterThanOrEqual">
      <formula>0</formula>
    </cfRule>
  </conditionalFormatting>
  <conditionalFormatting sqref="AF45:AF46">
    <cfRule type="cellIs" dxfId="12273" priority="8173" operator="lessThan">
      <formula>0</formula>
    </cfRule>
    <cfRule type="cellIs" dxfId="12272" priority="8174" operator="greaterThanOrEqual">
      <formula>0</formula>
    </cfRule>
  </conditionalFormatting>
  <conditionalFormatting sqref="AF57:AF58">
    <cfRule type="cellIs" dxfId="12271" priority="8171" operator="lessThan">
      <formula>0</formula>
    </cfRule>
    <cfRule type="cellIs" dxfId="12270" priority="8172" operator="greaterThanOrEqual">
      <formula>0</formula>
    </cfRule>
  </conditionalFormatting>
  <conditionalFormatting sqref="AF60:AF61">
    <cfRule type="cellIs" dxfId="12269" priority="8169" operator="lessThan">
      <formula>0</formula>
    </cfRule>
    <cfRule type="cellIs" dxfId="12268" priority="8170" operator="greaterThanOrEqual">
      <formula>0</formula>
    </cfRule>
  </conditionalFormatting>
  <conditionalFormatting sqref="AF63:AF64">
    <cfRule type="cellIs" dxfId="12267" priority="8167" operator="lessThan">
      <formula>0</formula>
    </cfRule>
    <cfRule type="cellIs" dxfId="12266" priority="8168" operator="greaterThanOrEqual">
      <formula>0</formula>
    </cfRule>
  </conditionalFormatting>
  <conditionalFormatting sqref="AG68 AG71">
    <cfRule type="cellIs" dxfId="12265" priority="8165" operator="greaterThan">
      <formula>0</formula>
    </cfRule>
    <cfRule type="cellIs" dxfId="12264" priority="8166" operator="lessThanOrEqual">
      <formula>0</formula>
    </cfRule>
  </conditionalFormatting>
  <conditionalFormatting sqref="AG73">
    <cfRule type="cellIs" dxfId="12263" priority="8163" operator="greaterThan">
      <formula>0</formula>
    </cfRule>
    <cfRule type="cellIs" dxfId="12262" priority="8164" operator="lessThanOrEqual">
      <formula>0</formula>
    </cfRule>
  </conditionalFormatting>
  <conditionalFormatting sqref="AG69">
    <cfRule type="cellIs" dxfId="12261" priority="8161" operator="greaterThan">
      <formula>0</formula>
    </cfRule>
    <cfRule type="cellIs" dxfId="12260" priority="8162" operator="lessThanOrEqual">
      <formula>0</formula>
    </cfRule>
  </conditionalFormatting>
  <conditionalFormatting sqref="AG70">
    <cfRule type="cellIs" dxfId="12259" priority="8159" operator="greaterThan">
      <formula>0</formula>
    </cfRule>
    <cfRule type="cellIs" dxfId="12258" priority="8160" operator="lessThanOrEqual">
      <formula>0</formula>
    </cfRule>
  </conditionalFormatting>
  <conditionalFormatting sqref="AG72">
    <cfRule type="cellIs" dxfId="12257" priority="8157" operator="greaterThan">
      <formula>0</formula>
    </cfRule>
    <cfRule type="cellIs" dxfId="12256" priority="8158" operator="lessThanOrEqual">
      <formula>0</formula>
    </cfRule>
  </conditionalFormatting>
  <conditionalFormatting sqref="AF68:AF70">
    <cfRule type="cellIs" dxfId="12255" priority="8155" operator="lessThan">
      <formula>0</formula>
    </cfRule>
    <cfRule type="cellIs" dxfId="12254" priority="8156" operator="greaterThanOrEqual">
      <formula>0</formula>
    </cfRule>
  </conditionalFormatting>
  <conditionalFormatting sqref="AF71:AF72">
    <cfRule type="cellIs" dxfId="12253" priority="8154" operator="greaterThanOrEqual">
      <formula>0</formula>
    </cfRule>
  </conditionalFormatting>
  <conditionalFormatting sqref="AF71:AF72">
    <cfRule type="cellIs" dxfId="12252" priority="8153" operator="lessThan">
      <formula>0</formula>
    </cfRule>
  </conditionalFormatting>
  <conditionalFormatting sqref="AF73">
    <cfRule type="cellIs" dxfId="12251" priority="8152" operator="greaterThanOrEqual">
      <formula>0</formula>
    </cfRule>
  </conditionalFormatting>
  <conditionalFormatting sqref="AF73">
    <cfRule type="cellIs" dxfId="12250" priority="8151" operator="lessThan">
      <formula>0</formula>
    </cfRule>
  </conditionalFormatting>
  <conditionalFormatting sqref="AG67">
    <cfRule type="cellIs" dxfId="12249" priority="8149" operator="greaterThan">
      <formula>0</formula>
    </cfRule>
    <cfRule type="cellIs" dxfId="12248" priority="8150" operator="lessThanOrEqual">
      <formula>0</formula>
    </cfRule>
  </conditionalFormatting>
  <conditionalFormatting sqref="AF67">
    <cfRule type="cellIs" dxfId="12247" priority="8147" operator="greaterThanOrEqual">
      <formula>0</formula>
    </cfRule>
    <cfRule type="cellIs" dxfId="12246" priority="8148" operator="lessThan">
      <formula>0</formula>
    </cfRule>
  </conditionalFormatting>
  <conditionalFormatting sqref="AC51">
    <cfRule type="cellIs" dxfId="12245" priority="8145" operator="greaterThan">
      <formula>0</formula>
    </cfRule>
    <cfRule type="cellIs" dxfId="12244" priority="8146" operator="lessThanOrEqual">
      <formula>0</formula>
    </cfRule>
  </conditionalFormatting>
  <conditionalFormatting sqref="AI42:AI43">
    <cfRule type="cellIs" dxfId="12243" priority="8143" operator="lessThan">
      <formula>0</formula>
    </cfRule>
    <cfRule type="cellIs" dxfId="12242" priority="8144" operator="greaterThanOrEqual">
      <formula>0</formula>
    </cfRule>
  </conditionalFormatting>
  <conditionalFormatting sqref="AI45:AI46">
    <cfRule type="cellIs" dxfId="12241" priority="8141" operator="lessThan">
      <formula>0</formula>
    </cfRule>
    <cfRule type="cellIs" dxfId="12240" priority="8142" operator="greaterThanOrEqual">
      <formula>0</formula>
    </cfRule>
  </conditionalFormatting>
  <conditionalFormatting sqref="AI53:AI54">
    <cfRule type="cellIs" dxfId="12239" priority="8139" operator="lessThan">
      <formula>0</formula>
    </cfRule>
    <cfRule type="cellIs" dxfId="12238" priority="8140" operator="greaterThanOrEqual">
      <formula>0</formula>
    </cfRule>
  </conditionalFormatting>
  <conditionalFormatting sqref="AI57:AI58">
    <cfRule type="cellIs" dxfId="12237" priority="8137" operator="lessThan">
      <formula>0</formula>
    </cfRule>
    <cfRule type="cellIs" dxfId="12236" priority="8138" operator="greaterThanOrEqual">
      <formula>0</formula>
    </cfRule>
  </conditionalFormatting>
  <conditionalFormatting sqref="AI60:AI61">
    <cfRule type="cellIs" dxfId="12235" priority="8135" operator="lessThan">
      <formula>0</formula>
    </cfRule>
    <cfRule type="cellIs" dxfId="12234" priority="8136" operator="greaterThanOrEqual">
      <formula>0</formula>
    </cfRule>
  </conditionalFormatting>
  <conditionalFormatting sqref="AI63:AI64">
    <cfRule type="cellIs" dxfId="12233" priority="8133" operator="lessThan">
      <formula>0</formula>
    </cfRule>
    <cfRule type="cellIs" dxfId="12232" priority="8134" operator="greaterThanOrEqual">
      <formula>0</formula>
    </cfRule>
  </conditionalFormatting>
  <conditionalFormatting sqref="AI25">
    <cfRule type="cellIs" dxfId="12231" priority="8132" operator="greaterThanOrEqual">
      <formula>0</formula>
    </cfRule>
  </conditionalFormatting>
  <conditionalFormatting sqref="AI25">
    <cfRule type="cellIs" dxfId="12230" priority="8131" operator="lessThan">
      <formula>0</formula>
    </cfRule>
  </conditionalFormatting>
  <conditionalFormatting sqref="AI26">
    <cfRule type="cellIs" dxfId="12229" priority="8130" operator="greaterThanOrEqual">
      <formula>0</formula>
    </cfRule>
  </conditionalFormatting>
  <conditionalFormatting sqref="AI26">
    <cfRule type="cellIs" dxfId="12228" priority="8129" operator="lessThan">
      <formula>0</formula>
    </cfRule>
  </conditionalFormatting>
  <conditionalFormatting sqref="AI28">
    <cfRule type="cellIs" dxfId="12227" priority="8128" operator="greaterThanOrEqual">
      <formula>0</formula>
    </cfRule>
  </conditionalFormatting>
  <conditionalFormatting sqref="AI28">
    <cfRule type="cellIs" dxfId="12226" priority="8127" operator="lessThan">
      <formula>0</formula>
    </cfRule>
  </conditionalFormatting>
  <conditionalFormatting sqref="AI41">
    <cfRule type="cellIs" dxfId="12225" priority="8126" operator="greaterThanOrEqual">
      <formula>0</formula>
    </cfRule>
  </conditionalFormatting>
  <conditionalFormatting sqref="AI41">
    <cfRule type="cellIs" dxfId="12224" priority="8125" operator="lessThan">
      <formula>0</formula>
    </cfRule>
  </conditionalFormatting>
  <conditionalFormatting sqref="AI44">
    <cfRule type="cellIs" dxfId="12223" priority="8124" operator="greaterThanOrEqual">
      <formula>0</formula>
    </cfRule>
  </conditionalFormatting>
  <conditionalFormatting sqref="AI44">
    <cfRule type="cellIs" dxfId="12222" priority="8123" operator="lessThan">
      <formula>0</formula>
    </cfRule>
  </conditionalFormatting>
  <conditionalFormatting sqref="AI47">
    <cfRule type="cellIs" dxfId="12221" priority="8122" operator="greaterThanOrEqual">
      <formula>0</formula>
    </cfRule>
  </conditionalFormatting>
  <conditionalFormatting sqref="AI47">
    <cfRule type="cellIs" dxfId="12220" priority="8121" operator="lessThan">
      <formula>0</formula>
    </cfRule>
  </conditionalFormatting>
  <conditionalFormatting sqref="AI50">
    <cfRule type="cellIs" dxfId="12219" priority="8120" operator="greaterThanOrEqual">
      <formula>0</formula>
    </cfRule>
  </conditionalFormatting>
  <conditionalFormatting sqref="AI50">
    <cfRule type="cellIs" dxfId="12218" priority="8119" operator="lessThan">
      <formula>0</formula>
    </cfRule>
  </conditionalFormatting>
  <conditionalFormatting sqref="AI51">
    <cfRule type="cellIs" dxfId="12217" priority="8118" operator="greaterThanOrEqual">
      <formula>0</formula>
    </cfRule>
  </conditionalFormatting>
  <conditionalFormatting sqref="AI51">
    <cfRule type="cellIs" dxfId="12216" priority="8117" operator="lessThan">
      <formula>0</formula>
    </cfRule>
  </conditionalFormatting>
  <conditionalFormatting sqref="AI59">
    <cfRule type="cellIs" dxfId="12215" priority="8116" operator="greaterThanOrEqual">
      <formula>0</formula>
    </cfRule>
  </conditionalFormatting>
  <conditionalFormatting sqref="AI59">
    <cfRule type="cellIs" dxfId="12214" priority="8115" operator="lessThan">
      <formula>0</formula>
    </cfRule>
  </conditionalFormatting>
  <conditionalFormatting sqref="AI62">
    <cfRule type="cellIs" dxfId="12213" priority="8114" operator="greaterThanOrEqual">
      <formula>0</formula>
    </cfRule>
  </conditionalFormatting>
  <conditionalFormatting sqref="AI62">
    <cfRule type="cellIs" dxfId="12212" priority="8113" operator="lessThan">
      <formula>0</formula>
    </cfRule>
  </conditionalFormatting>
  <conditionalFormatting sqref="AI65">
    <cfRule type="cellIs" dxfId="12211" priority="8112" operator="greaterThanOrEqual">
      <formula>0</formula>
    </cfRule>
  </conditionalFormatting>
  <conditionalFormatting sqref="AI65">
    <cfRule type="cellIs" dxfId="12210" priority="8111" operator="lessThan">
      <formula>0</formula>
    </cfRule>
  </conditionalFormatting>
  <conditionalFormatting sqref="AI56">
    <cfRule type="cellIs" dxfId="12209" priority="8110" operator="greaterThanOrEqual">
      <formula>0</formula>
    </cfRule>
  </conditionalFormatting>
  <conditionalFormatting sqref="AI56">
    <cfRule type="cellIs" dxfId="12208" priority="8109" operator="lessThan">
      <formula>0</formula>
    </cfRule>
  </conditionalFormatting>
  <conditionalFormatting sqref="AI66">
    <cfRule type="cellIs" dxfId="12207" priority="8108" operator="greaterThanOrEqual">
      <formula>0</formula>
    </cfRule>
  </conditionalFormatting>
  <conditionalFormatting sqref="AI66">
    <cfRule type="cellIs" dxfId="12206" priority="8107" operator="lessThan">
      <formula>0</formula>
    </cfRule>
  </conditionalFormatting>
  <conditionalFormatting sqref="AJ16:AJ17">
    <cfRule type="cellIs" dxfId="12205" priority="8105" operator="greaterThan">
      <formula>0</formula>
    </cfRule>
    <cfRule type="cellIs" dxfId="12204" priority="8106" operator="lessThanOrEqual">
      <formula>0</formula>
    </cfRule>
  </conditionalFormatting>
  <conditionalFormatting sqref="AJ19:AJ20">
    <cfRule type="cellIs" dxfId="12203" priority="8103" operator="greaterThan">
      <formula>0</formula>
    </cfRule>
    <cfRule type="cellIs" dxfId="12202" priority="8104" operator="lessThanOrEqual">
      <formula>0</formula>
    </cfRule>
  </conditionalFormatting>
  <conditionalFormatting sqref="AJ22:AJ23">
    <cfRule type="cellIs" dxfId="12201" priority="8101" operator="greaterThan">
      <formula>0</formula>
    </cfRule>
    <cfRule type="cellIs" dxfId="12200" priority="8102" operator="lessThanOrEqual">
      <formula>0</formula>
    </cfRule>
  </conditionalFormatting>
  <conditionalFormatting sqref="AJ29:AJ30">
    <cfRule type="cellIs" dxfId="12199" priority="8099" operator="greaterThan">
      <formula>0</formula>
    </cfRule>
    <cfRule type="cellIs" dxfId="12198" priority="8100" operator="lessThanOrEqual">
      <formula>0</formula>
    </cfRule>
  </conditionalFormatting>
  <conditionalFormatting sqref="AJ32:AJ33">
    <cfRule type="cellIs" dxfId="12197" priority="8097" operator="greaterThan">
      <formula>0</formula>
    </cfRule>
    <cfRule type="cellIs" dxfId="12196" priority="8098" operator="lessThanOrEqual">
      <formula>0</formula>
    </cfRule>
  </conditionalFormatting>
  <conditionalFormatting sqref="AJ35:AJ36">
    <cfRule type="cellIs" dxfId="12195" priority="8095" operator="greaterThan">
      <formula>0</formula>
    </cfRule>
    <cfRule type="cellIs" dxfId="12194" priority="8096" operator="lessThanOrEqual">
      <formula>0</formula>
    </cfRule>
  </conditionalFormatting>
  <conditionalFormatting sqref="AJ38:AJ39">
    <cfRule type="cellIs" dxfId="12193" priority="8093" operator="greaterThan">
      <formula>0</formula>
    </cfRule>
    <cfRule type="cellIs" dxfId="12192" priority="8094" operator="lessThanOrEqual">
      <formula>0</formula>
    </cfRule>
  </conditionalFormatting>
  <conditionalFormatting sqref="AJ42:AJ43">
    <cfRule type="cellIs" dxfId="12191" priority="8091" operator="greaterThan">
      <formula>0</formula>
    </cfRule>
    <cfRule type="cellIs" dxfId="12190" priority="8092" operator="lessThanOrEqual">
      <formula>0</formula>
    </cfRule>
  </conditionalFormatting>
  <conditionalFormatting sqref="AJ45:AJ46">
    <cfRule type="cellIs" dxfId="12189" priority="8089" operator="greaterThan">
      <formula>0</formula>
    </cfRule>
    <cfRule type="cellIs" dxfId="12188" priority="8090" operator="lessThanOrEqual">
      <formula>0</formula>
    </cfRule>
  </conditionalFormatting>
  <conditionalFormatting sqref="AJ48:AJ49">
    <cfRule type="cellIs" dxfId="12187" priority="8087" operator="greaterThan">
      <formula>0</formula>
    </cfRule>
    <cfRule type="cellIs" dxfId="12186" priority="8088" operator="lessThanOrEqual">
      <formula>0</formula>
    </cfRule>
  </conditionalFormatting>
  <conditionalFormatting sqref="AJ53:AJ54">
    <cfRule type="cellIs" dxfId="12185" priority="8085" operator="greaterThan">
      <formula>0</formula>
    </cfRule>
    <cfRule type="cellIs" dxfId="12184" priority="8086" operator="lessThanOrEqual">
      <formula>0</formula>
    </cfRule>
  </conditionalFormatting>
  <conditionalFormatting sqref="AJ57:AJ58">
    <cfRule type="cellIs" dxfId="12183" priority="8083" operator="greaterThan">
      <formula>0</formula>
    </cfRule>
    <cfRule type="cellIs" dxfId="12182" priority="8084" operator="lessThanOrEqual">
      <formula>0</formula>
    </cfRule>
  </conditionalFormatting>
  <conditionalFormatting sqref="AJ60:AJ61">
    <cfRule type="cellIs" dxfId="12181" priority="8081" operator="greaterThan">
      <formula>0</formula>
    </cfRule>
    <cfRule type="cellIs" dxfId="12180" priority="8082" operator="lessThanOrEqual">
      <formula>0</formula>
    </cfRule>
  </conditionalFormatting>
  <conditionalFormatting sqref="AJ63:AJ64">
    <cfRule type="cellIs" dxfId="12179" priority="8079" operator="greaterThan">
      <formula>0</formula>
    </cfRule>
    <cfRule type="cellIs" dxfId="12178" priority="8080" operator="lessThanOrEqual">
      <formula>0</formula>
    </cfRule>
  </conditionalFormatting>
  <conditionalFormatting sqref="AJ25">
    <cfRule type="cellIs" dxfId="12177" priority="8078" operator="greaterThanOrEqual">
      <formula>0</formula>
    </cfRule>
  </conditionalFormatting>
  <conditionalFormatting sqref="AJ25">
    <cfRule type="cellIs" dxfId="12176" priority="8077" operator="lessThan">
      <formula>0</formula>
    </cfRule>
  </conditionalFormatting>
  <conditionalFormatting sqref="AJ26">
    <cfRule type="cellIs" dxfId="12175" priority="8076" operator="greaterThanOrEqual">
      <formula>0</formula>
    </cfRule>
  </conditionalFormatting>
  <conditionalFormatting sqref="AJ26">
    <cfRule type="cellIs" dxfId="12174" priority="8075" operator="lessThan">
      <formula>0</formula>
    </cfRule>
  </conditionalFormatting>
  <conditionalFormatting sqref="AJ28">
    <cfRule type="cellIs" dxfId="12173" priority="8074" operator="greaterThanOrEqual">
      <formula>0</formula>
    </cfRule>
  </conditionalFormatting>
  <conditionalFormatting sqref="AJ28">
    <cfRule type="cellIs" dxfId="12172" priority="8073" operator="lessThan">
      <formula>0</formula>
    </cfRule>
  </conditionalFormatting>
  <conditionalFormatting sqref="AJ41">
    <cfRule type="cellIs" dxfId="12171" priority="8072" operator="greaterThanOrEqual">
      <formula>0</formula>
    </cfRule>
  </conditionalFormatting>
  <conditionalFormatting sqref="AJ41">
    <cfRule type="cellIs" dxfId="12170" priority="8071" operator="lessThan">
      <formula>0</formula>
    </cfRule>
  </conditionalFormatting>
  <conditionalFormatting sqref="AJ44">
    <cfRule type="cellIs" dxfId="12169" priority="8070" operator="greaterThanOrEqual">
      <formula>0</formula>
    </cfRule>
  </conditionalFormatting>
  <conditionalFormatting sqref="AJ44">
    <cfRule type="cellIs" dxfId="12168" priority="8069" operator="lessThan">
      <formula>0</formula>
    </cfRule>
  </conditionalFormatting>
  <conditionalFormatting sqref="AJ47">
    <cfRule type="cellIs" dxfId="12167" priority="8068" operator="greaterThanOrEqual">
      <formula>0</formula>
    </cfRule>
  </conditionalFormatting>
  <conditionalFormatting sqref="AJ47">
    <cfRule type="cellIs" dxfId="12166" priority="8067" operator="lessThan">
      <formula>0</formula>
    </cfRule>
  </conditionalFormatting>
  <conditionalFormatting sqref="AJ50">
    <cfRule type="cellIs" dxfId="12165" priority="8066" operator="greaterThanOrEqual">
      <formula>0</formula>
    </cfRule>
  </conditionalFormatting>
  <conditionalFormatting sqref="AJ50">
    <cfRule type="cellIs" dxfId="12164" priority="8065" operator="lessThan">
      <formula>0</formula>
    </cfRule>
  </conditionalFormatting>
  <conditionalFormatting sqref="AJ51">
    <cfRule type="cellIs" dxfId="12163" priority="8064" operator="greaterThanOrEqual">
      <formula>0</formula>
    </cfRule>
  </conditionalFormatting>
  <conditionalFormatting sqref="AJ51">
    <cfRule type="cellIs" dxfId="12162" priority="8063" operator="lessThan">
      <formula>0</formula>
    </cfRule>
  </conditionalFormatting>
  <conditionalFormatting sqref="AF107">
    <cfRule type="cellIs" dxfId="12161" priority="7830" operator="greaterThanOrEqual">
      <formula>0</formula>
    </cfRule>
  </conditionalFormatting>
  <conditionalFormatting sqref="AF107">
    <cfRule type="cellIs" dxfId="12160" priority="7829" operator="lessThan">
      <formula>0</formula>
    </cfRule>
  </conditionalFormatting>
  <conditionalFormatting sqref="AJ59">
    <cfRule type="cellIs" dxfId="12159" priority="8062" operator="greaterThanOrEqual">
      <formula>0</formula>
    </cfRule>
  </conditionalFormatting>
  <conditionalFormatting sqref="AJ59">
    <cfRule type="cellIs" dxfId="12158" priority="8061" operator="lessThan">
      <formula>0</formula>
    </cfRule>
  </conditionalFormatting>
  <conditionalFormatting sqref="AJ62">
    <cfRule type="cellIs" dxfId="12157" priority="8060" operator="greaterThanOrEqual">
      <formula>0</formula>
    </cfRule>
  </conditionalFormatting>
  <conditionalFormatting sqref="AJ62">
    <cfRule type="cellIs" dxfId="12156" priority="8059" operator="lessThan">
      <formula>0</formula>
    </cfRule>
  </conditionalFormatting>
  <conditionalFormatting sqref="AJ65">
    <cfRule type="cellIs" dxfId="12155" priority="8058" operator="greaterThanOrEqual">
      <formula>0</formula>
    </cfRule>
  </conditionalFormatting>
  <conditionalFormatting sqref="AJ65">
    <cfRule type="cellIs" dxfId="12154" priority="8057" operator="lessThan">
      <formula>0</formula>
    </cfRule>
  </conditionalFormatting>
  <conditionalFormatting sqref="AJ56">
    <cfRule type="cellIs" dxfId="12153" priority="8055" operator="lessThan">
      <formula>0</formula>
    </cfRule>
  </conditionalFormatting>
  <conditionalFormatting sqref="AJ56">
    <cfRule type="cellIs" dxfId="12152" priority="8056" operator="greaterThanOrEqual">
      <formula>0</formula>
    </cfRule>
  </conditionalFormatting>
  <conditionalFormatting sqref="AJ66">
    <cfRule type="cellIs" dxfId="12151" priority="8053" operator="lessThan">
      <formula>0</formula>
    </cfRule>
  </conditionalFormatting>
  <conditionalFormatting sqref="AJ66">
    <cfRule type="cellIs" dxfId="12150" priority="8054" operator="greaterThanOrEqual">
      <formula>0</formula>
    </cfRule>
  </conditionalFormatting>
  <conditionalFormatting sqref="AI70">
    <cfRule type="cellIs" dxfId="12149" priority="8051" operator="lessThan">
      <formula>0</formula>
    </cfRule>
    <cfRule type="cellIs" dxfId="12148" priority="8052" operator="greaterThanOrEqual">
      <formula>0</formula>
    </cfRule>
  </conditionalFormatting>
  <conditionalFormatting sqref="AJ70">
    <cfRule type="cellIs" dxfId="12147" priority="8049" operator="lessThan">
      <formula>0</formula>
    </cfRule>
    <cfRule type="cellIs" dxfId="12146" priority="8050" operator="greaterThanOrEqual">
      <formula>0</formula>
    </cfRule>
  </conditionalFormatting>
  <conditionalFormatting sqref="AJ72">
    <cfRule type="cellIs" dxfId="12145" priority="8047" operator="lessThan">
      <formula>0</formula>
    </cfRule>
    <cfRule type="cellIs" dxfId="12144" priority="8048" operator="greaterThanOrEqual">
      <formula>0</formula>
    </cfRule>
  </conditionalFormatting>
  <conditionalFormatting sqref="AJ123:AJ124">
    <cfRule type="cellIs" dxfId="12143" priority="7719" operator="greaterThan">
      <formula>0</formula>
    </cfRule>
    <cfRule type="cellIs" dxfId="12142" priority="7720" operator="lessThanOrEqual">
      <formula>0</formula>
    </cfRule>
  </conditionalFormatting>
  <conditionalFormatting sqref="AJ119">
    <cfRule type="cellIs" dxfId="12141" priority="7694" operator="greaterThanOrEqual">
      <formula>0</formula>
    </cfRule>
  </conditionalFormatting>
  <conditionalFormatting sqref="AJ119">
    <cfRule type="cellIs" dxfId="12140" priority="7693" operator="lessThan">
      <formula>0</formula>
    </cfRule>
  </conditionalFormatting>
  <conditionalFormatting sqref="AJ129">
    <cfRule type="cellIs" dxfId="12139" priority="7692" operator="greaterThanOrEqual">
      <formula>0</formula>
    </cfRule>
  </conditionalFormatting>
  <conditionalFormatting sqref="AJ129">
    <cfRule type="cellIs" dxfId="12138" priority="7691" operator="lessThan">
      <formula>0</formula>
    </cfRule>
  </conditionalFormatting>
  <conditionalFormatting sqref="AJ118">
    <cfRule type="cellIs" dxfId="12137" priority="7688" operator="greaterThanOrEqual">
      <formula>0</formula>
    </cfRule>
  </conditionalFormatting>
  <conditionalFormatting sqref="AJ118">
    <cfRule type="cellIs" dxfId="12136" priority="7687" operator="lessThan">
      <formula>0</formula>
    </cfRule>
  </conditionalFormatting>
  <conditionalFormatting sqref="AI76:AI77 AI79:AI80 AI82:AI83 AI85:AI86 AI92:AI93 AI95:AI96 AI98:AI99 AI101:AI102 AI111:AI112">
    <cfRule type="cellIs" dxfId="12135" priority="7797" operator="lessThan">
      <formula>0</formula>
    </cfRule>
    <cfRule type="cellIs" dxfId="12134" priority="7798" operator="greaterThanOrEqual">
      <formula>0</formula>
    </cfRule>
  </conditionalFormatting>
  <conditionalFormatting sqref="AG95:AG96">
    <cfRule type="cellIs" dxfId="12133" priority="7905" operator="greaterThan">
      <formula>0</formula>
    </cfRule>
    <cfRule type="cellIs" dxfId="12132" priority="7906" operator="lessThanOrEqual">
      <formula>0</formula>
    </cfRule>
  </conditionalFormatting>
  <conditionalFormatting sqref="AI107">
    <cfRule type="cellIs" dxfId="12131" priority="7762" operator="greaterThanOrEqual">
      <formula>0</formula>
    </cfRule>
  </conditionalFormatting>
  <conditionalFormatting sqref="AI107">
    <cfRule type="cellIs" dxfId="12130" priority="7761" operator="lessThan">
      <formula>0</formula>
    </cfRule>
  </conditionalFormatting>
  <conditionalFormatting sqref="AJ113">
    <cfRule type="cellIs" dxfId="12129" priority="7704" operator="greaterThanOrEqual">
      <formula>0</formula>
    </cfRule>
  </conditionalFormatting>
  <conditionalFormatting sqref="AJ113">
    <cfRule type="cellIs" dxfId="12128" priority="7703" operator="lessThan">
      <formula>0</formula>
    </cfRule>
  </conditionalFormatting>
  <conditionalFormatting sqref="AI114">
    <cfRule type="cellIs" dxfId="12127" priority="7756" operator="greaterThanOrEqual">
      <formula>0</formula>
    </cfRule>
  </conditionalFormatting>
  <conditionalFormatting sqref="AI114">
    <cfRule type="cellIs" dxfId="12126" priority="7755" operator="lessThan">
      <formula>0</formula>
    </cfRule>
  </conditionalFormatting>
  <conditionalFormatting sqref="AJ125">
    <cfRule type="cellIs" dxfId="12125" priority="7697" operator="lessThan">
      <formula>0</formula>
    </cfRule>
  </conditionalFormatting>
  <conditionalFormatting sqref="AJ125">
    <cfRule type="cellIs" dxfId="12124" priority="7698" operator="greaterThanOrEqual">
      <formula>0</formula>
    </cfRule>
  </conditionalFormatting>
  <conditionalFormatting sqref="AB55">
    <cfRule type="cellIs" dxfId="12123" priority="8046" operator="greaterThanOrEqual">
      <formula>0</formula>
    </cfRule>
  </conditionalFormatting>
  <conditionalFormatting sqref="AB55">
    <cfRule type="cellIs" dxfId="12122" priority="8045" operator="lessThan">
      <formula>0</formula>
    </cfRule>
  </conditionalFormatting>
  <conditionalFormatting sqref="AG55">
    <cfRule type="cellIs" dxfId="12121" priority="8043" operator="greaterThan">
      <formula>0</formula>
    </cfRule>
    <cfRule type="cellIs" dxfId="12120" priority="8044" operator="lessThanOrEqual">
      <formula>0</formula>
    </cfRule>
  </conditionalFormatting>
  <conditionalFormatting sqref="AF55">
    <cfRule type="cellIs" dxfId="12119" priority="8042" operator="greaterThanOrEqual">
      <formula>0</formula>
    </cfRule>
  </conditionalFormatting>
  <conditionalFormatting sqref="AF55">
    <cfRule type="cellIs" dxfId="12118" priority="8041" operator="lessThan">
      <formula>0</formula>
    </cfRule>
  </conditionalFormatting>
  <conditionalFormatting sqref="AC55">
    <cfRule type="cellIs" dxfId="12117" priority="8039" operator="greaterThan">
      <formula>0</formula>
    </cfRule>
    <cfRule type="cellIs" dxfId="12116" priority="8040" operator="lessThanOrEqual">
      <formula>0</formula>
    </cfRule>
  </conditionalFormatting>
  <conditionalFormatting sqref="AI55">
    <cfRule type="cellIs" dxfId="12115" priority="8038" operator="greaterThanOrEqual">
      <formula>0</formula>
    </cfRule>
  </conditionalFormatting>
  <conditionalFormatting sqref="AI55">
    <cfRule type="cellIs" dxfId="12114" priority="8037" operator="lessThan">
      <formula>0</formula>
    </cfRule>
  </conditionalFormatting>
  <conditionalFormatting sqref="AJ55">
    <cfRule type="cellIs" dxfId="12113" priority="8036" operator="greaterThanOrEqual">
      <formula>0</formula>
    </cfRule>
  </conditionalFormatting>
  <conditionalFormatting sqref="AJ55">
    <cfRule type="cellIs" dxfId="12112" priority="8035" operator="lessThan">
      <formula>0</formula>
    </cfRule>
  </conditionalFormatting>
  <conditionalFormatting sqref="AJ128">
    <cfRule type="cellIs" dxfId="12111" priority="7696" operator="greaterThanOrEqual">
      <formula>0</formula>
    </cfRule>
  </conditionalFormatting>
  <conditionalFormatting sqref="AJ128">
    <cfRule type="cellIs" dxfId="12110" priority="7695" operator="lessThan">
      <formula>0</formula>
    </cfRule>
  </conditionalFormatting>
  <conditionalFormatting sqref="AC76:AC77">
    <cfRule type="cellIs" dxfId="12109" priority="8033" operator="greaterThan">
      <formula>0</formula>
    </cfRule>
    <cfRule type="cellIs" dxfId="12108" priority="8034" operator="lessThanOrEqual">
      <formula>0</formula>
    </cfRule>
  </conditionalFormatting>
  <conditionalFormatting sqref="AC79:AC80">
    <cfRule type="cellIs" dxfId="12107" priority="8031" operator="greaterThan">
      <formula>0</formula>
    </cfRule>
    <cfRule type="cellIs" dxfId="12106" priority="8032" operator="lessThanOrEqual">
      <formula>0</formula>
    </cfRule>
  </conditionalFormatting>
  <conditionalFormatting sqref="AC82:AC83">
    <cfRule type="cellIs" dxfId="12105" priority="8029" operator="greaterThan">
      <formula>0</formula>
    </cfRule>
    <cfRule type="cellIs" dxfId="12104" priority="8030" operator="lessThanOrEqual">
      <formula>0</formula>
    </cfRule>
  </conditionalFormatting>
  <conditionalFormatting sqref="AC92:AC93">
    <cfRule type="cellIs" dxfId="12103" priority="8027" operator="greaterThan">
      <formula>0</formula>
    </cfRule>
    <cfRule type="cellIs" dxfId="12102" priority="8028" operator="lessThanOrEqual">
      <formula>0</formula>
    </cfRule>
  </conditionalFormatting>
  <conditionalFormatting sqref="AC85:AC86">
    <cfRule type="cellIs" dxfId="12101" priority="8025" operator="greaterThan">
      <formula>0</formula>
    </cfRule>
    <cfRule type="cellIs" dxfId="12100" priority="8026" operator="lessThanOrEqual">
      <formula>0</formula>
    </cfRule>
  </conditionalFormatting>
  <conditionalFormatting sqref="AC95:AC96">
    <cfRule type="cellIs" dxfId="12099" priority="8023" operator="greaterThan">
      <formula>0</formula>
    </cfRule>
    <cfRule type="cellIs" dxfId="12098" priority="8024" operator="lessThanOrEqual">
      <formula>0</formula>
    </cfRule>
  </conditionalFormatting>
  <conditionalFormatting sqref="AC98:AC99">
    <cfRule type="cellIs" dxfId="12097" priority="8021" operator="greaterThan">
      <formula>0</formula>
    </cfRule>
    <cfRule type="cellIs" dxfId="12096" priority="8022" operator="lessThanOrEqual">
      <formula>0</formula>
    </cfRule>
  </conditionalFormatting>
  <conditionalFormatting sqref="AC101:AC102">
    <cfRule type="cellIs" dxfId="12095" priority="8019" operator="greaterThan">
      <formula>0</formula>
    </cfRule>
    <cfRule type="cellIs" dxfId="12094" priority="8020" operator="lessThanOrEqual">
      <formula>0</formula>
    </cfRule>
  </conditionalFormatting>
  <conditionalFormatting sqref="AC111:AC112">
    <cfRule type="cellIs" dxfId="12093" priority="8017" operator="greaterThan">
      <formula>0</formula>
    </cfRule>
    <cfRule type="cellIs" dxfId="12092" priority="8018" operator="lessThanOrEqual">
      <formula>0</formula>
    </cfRule>
  </conditionalFormatting>
  <conditionalFormatting sqref="AC126:AC127">
    <cfRule type="cellIs" dxfId="12091" priority="8015" operator="greaterThan">
      <formula>0</formula>
    </cfRule>
    <cfRule type="cellIs" dxfId="12090" priority="8016" operator="lessThanOrEqual">
      <formula>0</formula>
    </cfRule>
  </conditionalFormatting>
  <conditionalFormatting sqref="AC116:AC117">
    <cfRule type="cellIs" dxfId="12089" priority="8013" operator="greaterThan">
      <formula>0</formula>
    </cfRule>
    <cfRule type="cellIs" dxfId="12088" priority="8014" operator="lessThanOrEqual">
      <formula>0</formula>
    </cfRule>
  </conditionalFormatting>
  <conditionalFormatting sqref="AC78">
    <cfRule type="cellIs" dxfId="12087" priority="8011" operator="greaterThan">
      <formula>0</formula>
    </cfRule>
    <cfRule type="cellIs" dxfId="12086" priority="8012" operator="lessThanOrEqual">
      <formula>0</formula>
    </cfRule>
  </conditionalFormatting>
  <conditionalFormatting sqref="AC81">
    <cfRule type="cellIs" dxfId="12085" priority="8009" operator="greaterThan">
      <formula>0</formula>
    </cfRule>
    <cfRule type="cellIs" dxfId="12084" priority="8010" operator="lessThanOrEqual">
      <formula>0</formula>
    </cfRule>
  </conditionalFormatting>
  <conditionalFormatting sqref="AC84">
    <cfRule type="cellIs" dxfId="12083" priority="8007" operator="greaterThan">
      <formula>0</formula>
    </cfRule>
    <cfRule type="cellIs" dxfId="12082" priority="8008" operator="lessThanOrEqual">
      <formula>0</formula>
    </cfRule>
  </conditionalFormatting>
  <conditionalFormatting sqref="AC94">
    <cfRule type="cellIs" dxfId="12081" priority="8005" operator="greaterThan">
      <formula>0</formula>
    </cfRule>
    <cfRule type="cellIs" dxfId="12080" priority="8006" operator="lessThanOrEqual">
      <formula>0</formula>
    </cfRule>
  </conditionalFormatting>
  <conditionalFormatting sqref="AC87">
    <cfRule type="cellIs" dxfId="12079" priority="8003" operator="greaterThan">
      <formula>0</formula>
    </cfRule>
    <cfRule type="cellIs" dxfId="12078" priority="8004" operator="lessThanOrEqual">
      <formula>0</formula>
    </cfRule>
  </conditionalFormatting>
  <conditionalFormatting sqref="AC97">
    <cfRule type="cellIs" dxfId="12077" priority="8001" operator="greaterThan">
      <formula>0</formula>
    </cfRule>
    <cfRule type="cellIs" dxfId="12076" priority="8002" operator="lessThanOrEqual">
      <formula>0</formula>
    </cfRule>
  </conditionalFormatting>
  <conditionalFormatting sqref="AC100">
    <cfRule type="cellIs" dxfId="12075" priority="7999" operator="greaterThan">
      <formula>0</formula>
    </cfRule>
    <cfRule type="cellIs" dxfId="12074" priority="8000" operator="lessThanOrEqual">
      <formula>0</formula>
    </cfRule>
  </conditionalFormatting>
  <conditionalFormatting sqref="AC103">
    <cfRule type="cellIs" dxfId="12073" priority="7997" operator="greaterThan">
      <formula>0</formula>
    </cfRule>
    <cfRule type="cellIs" dxfId="12072" priority="7998" operator="lessThanOrEqual">
      <formula>0</formula>
    </cfRule>
  </conditionalFormatting>
  <conditionalFormatting sqref="AC89">
    <cfRule type="cellIs" dxfId="12071" priority="7995" operator="greaterThan">
      <formula>0</formula>
    </cfRule>
    <cfRule type="cellIs" dxfId="12070" priority="7996" operator="lessThanOrEqual">
      <formula>0</formula>
    </cfRule>
  </conditionalFormatting>
  <conditionalFormatting sqref="AC129">
    <cfRule type="cellIs" dxfId="12069" priority="7993" operator="greaterThan">
      <formula>0</formula>
    </cfRule>
    <cfRule type="cellIs" dxfId="12068" priority="7994" operator="lessThanOrEqual">
      <formula>0</formula>
    </cfRule>
  </conditionalFormatting>
  <conditionalFormatting sqref="AB76:AB77 AB79:AB80 AB82:AB83 AB85:AB86 AB92:AB93 AB95:AB96 AB98:AB99 AB101:AB102 AB111:AB112 AB116:AB117">
    <cfRule type="cellIs" dxfId="12067" priority="7991" operator="lessThan">
      <formula>0</formula>
    </cfRule>
    <cfRule type="cellIs" dxfId="12066" priority="7992" operator="greaterThanOrEqual">
      <formula>0</formula>
    </cfRule>
  </conditionalFormatting>
  <conditionalFormatting sqref="AB78 AB81 AB84 AB87 AB89 AB94 AB97 AB100 AB103">
    <cfRule type="cellIs" dxfId="12065" priority="7990" operator="greaterThanOrEqual">
      <formula>0</formula>
    </cfRule>
  </conditionalFormatting>
  <conditionalFormatting sqref="AB78 AB81 AB84 AB87 AB89 AB94 AB97 AB100 AB103">
    <cfRule type="cellIs" dxfId="12064" priority="7989" operator="lessThan">
      <formula>0</formula>
    </cfRule>
  </conditionalFormatting>
  <conditionalFormatting sqref="AC130">
    <cfRule type="cellIs" dxfId="12063" priority="7987" operator="greaterThan">
      <formula>0</formula>
    </cfRule>
    <cfRule type="cellIs" dxfId="12062" priority="7988" operator="lessThanOrEqual">
      <formula>0</formula>
    </cfRule>
  </conditionalFormatting>
  <conditionalFormatting sqref="AB130">
    <cfRule type="cellIs" dxfId="12061" priority="7985" operator="greaterThanOrEqual">
      <formula>0</formula>
    </cfRule>
    <cfRule type="cellIs" dxfId="12060" priority="7986" operator="lessThan">
      <formula>0</formula>
    </cfRule>
  </conditionalFormatting>
  <conditionalFormatting sqref="AB125">
    <cfRule type="cellIs" dxfId="12059" priority="7966" operator="greaterThanOrEqual">
      <formula>0</formula>
    </cfRule>
  </conditionalFormatting>
  <conditionalFormatting sqref="AB125">
    <cfRule type="cellIs" dxfId="12058" priority="7965" operator="lessThan">
      <formula>0</formula>
    </cfRule>
  </conditionalFormatting>
  <conditionalFormatting sqref="AC107">
    <cfRule type="cellIs" dxfId="12057" priority="7975" operator="greaterThan">
      <formula>0</formula>
    </cfRule>
    <cfRule type="cellIs" dxfId="12056" priority="7976" operator="lessThanOrEqual">
      <formula>0</formula>
    </cfRule>
  </conditionalFormatting>
  <conditionalFormatting sqref="AC110">
    <cfRule type="cellIs" dxfId="12055" priority="7973" operator="greaterThan">
      <formula>0</formula>
    </cfRule>
    <cfRule type="cellIs" dxfId="12054" priority="7974" operator="lessThanOrEqual">
      <formula>0</formula>
    </cfRule>
  </conditionalFormatting>
  <conditionalFormatting sqref="AC113">
    <cfRule type="cellIs" dxfId="12053" priority="7971" operator="greaterThan">
      <formula>0</formula>
    </cfRule>
    <cfRule type="cellIs" dxfId="12052" priority="7972" operator="lessThanOrEqual">
      <formula>0</formula>
    </cfRule>
  </conditionalFormatting>
  <conditionalFormatting sqref="AC91">
    <cfRule type="cellIs" dxfId="12051" priority="7983" operator="greaterThan">
      <formula>0</formula>
    </cfRule>
    <cfRule type="cellIs" dxfId="12050" priority="7984" operator="lessThanOrEqual">
      <formula>0</formula>
    </cfRule>
  </conditionalFormatting>
  <conditionalFormatting sqref="AC104">
    <cfRule type="cellIs" dxfId="12049" priority="7981" operator="greaterThan">
      <formula>0</formula>
    </cfRule>
    <cfRule type="cellIs" dxfId="12048" priority="7982" operator="lessThanOrEqual">
      <formula>0</formula>
    </cfRule>
  </conditionalFormatting>
  <conditionalFormatting sqref="AC105:AC106 AC108:AC109">
    <cfRule type="cellIs" dxfId="12047" priority="7979" operator="greaterThan">
      <formula>0</formula>
    </cfRule>
    <cfRule type="cellIs" dxfId="12046" priority="7980" operator="lessThanOrEqual">
      <formula>0</formula>
    </cfRule>
  </conditionalFormatting>
  <conditionalFormatting sqref="AC120:AC121 AC123:AC124">
    <cfRule type="cellIs" dxfId="12045" priority="7977" operator="greaterThan">
      <formula>0</formula>
    </cfRule>
    <cfRule type="cellIs" dxfId="12044" priority="7978" operator="lessThanOrEqual">
      <formula>0</formula>
    </cfRule>
  </conditionalFormatting>
  <conditionalFormatting sqref="AC122">
    <cfRule type="cellIs" dxfId="12043" priority="7969" operator="greaterThan">
      <formula>0</formula>
    </cfRule>
    <cfRule type="cellIs" dxfId="12042" priority="7970" operator="lessThanOrEqual">
      <formula>0</formula>
    </cfRule>
  </conditionalFormatting>
  <conditionalFormatting sqref="AC125">
    <cfRule type="cellIs" dxfId="12041" priority="7967" operator="greaterThan">
      <formula>0</formula>
    </cfRule>
    <cfRule type="cellIs" dxfId="12040" priority="7968" operator="lessThanOrEqual">
      <formula>0</formula>
    </cfRule>
  </conditionalFormatting>
  <conditionalFormatting sqref="AC128">
    <cfRule type="cellIs" dxfId="12039" priority="7963" operator="greaterThan">
      <formula>0</formula>
    </cfRule>
    <cfRule type="cellIs" dxfId="12038" priority="7964" operator="lessThanOrEqual">
      <formula>0</formula>
    </cfRule>
  </conditionalFormatting>
  <conditionalFormatting sqref="AC88">
    <cfRule type="cellIs" dxfId="12037" priority="7961" operator="greaterThan">
      <formula>0</formula>
    </cfRule>
    <cfRule type="cellIs" dxfId="12036" priority="7962" operator="lessThanOrEqual">
      <formula>0</formula>
    </cfRule>
  </conditionalFormatting>
  <conditionalFormatting sqref="AC119">
    <cfRule type="cellIs" dxfId="12035" priority="7959" operator="greaterThan">
      <formula>0</formula>
    </cfRule>
    <cfRule type="cellIs" dxfId="12034" priority="7960" operator="lessThanOrEqual">
      <formula>0</formula>
    </cfRule>
  </conditionalFormatting>
  <conditionalFormatting sqref="AB119">
    <cfRule type="cellIs" dxfId="12033" priority="7958" operator="greaterThanOrEqual">
      <formula>0</formula>
    </cfRule>
  </conditionalFormatting>
  <conditionalFormatting sqref="AB119">
    <cfRule type="cellIs" dxfId="12032" priority="7957" operator="lessThan">
      <formula>0</formula>
    </cfRule>
  </conditionalFormatting>
  <conditionalFormatting sqref="AC115">
    <cfRule type="cellIs" dxfId="12031" priority="7955" operator="greaterThan">
      <formula>0</formula>
    </cfRule>
    <cfRule type="cellIs" dxfId="12030" priority="7956" operator="lessThanOrEqual">
      <formula>0</formula>
    </cfRule>
  </conditionalFormatting>
  <conditionalFormatting sqref="AB115">
    <cfRule type="cellIs" dxfId="12029" priority="7954" operator="greaterThanOrEqual">
      <formula>0</formula>
    </cfRule>
  </conditionalFormatting>
  <conditionalFormatting sqref="AB115">
    <cfRule type="cellIs" dxfId="12028" priority="7953" operator="lessThan">
      <formula>0</formula>
    </cfRule>
  </conditionalFormatting>
  <conditionalFormatting sqref="AB88">
    <cfRule type="cellIs" dxfId="12027" priority="7952" operator="greaterThanOrEqual">
      <formula>0</formula>
    </cfRule>
  </conditionalFormatting>
  <conditionalFormatting sqref="AB88">
    <cfRule type="cellIs" dxfId="12026" priority="7951" operator="lessThan">
      <formula>0</formula>
    </cfRule>
  </conditionalFormatting>
  <conditionalFormatting sqref="AB91">
    <cfRule type="cellIs" dxfId="12025" priority="7950" operator="greaterThanOrEqual">
      <formula>0</formula>
    </cfRule>
  </conditionalFormatting>
  <conditionalFormatting sqref="AB91">
    <cfRule type="cellIs" dxfId="12024" priority="7949" operator="lessThan">
      <formula>0</formula>
    </cfRule>
  </conditionalFormatting>
  <conditionalFormatting sqref="AB104">
    <cfRule type="cellIs" dxfId="12023" priority="7948" operator="greaterThanOrEqual">
      <formula>0</formula>
    </cfRule>
  </conditionalFormatting>
  <conditionalFormatting sqref="AB104">
    <cfRule type="cellIs" dxfId="12022" priority="7947" operator="lessThan">
      <formula>0</formula>
    </cfRule>
  </conditionalFormatting>
  <conditionalFormatting sqref="AB107">
    <cfRule type="cellIs" dxfId="12021" priority="7946" operator="greaterThanOrEqual">
      <formula>0</formula>
    </cfRule>
  </conditionalFormatting>
  <conditionalFormatting sqref="AB107">
    <cfRule type="cellIs" dxfId="12020" priority="7945" operator="lessThan">
      <formula>0</formula>
    </cfRule>
  </conditionalFormatting>
  <conditionalFormatting sqref="AB110">
    <cfRule type="cellIs" dxfId="12019" priority="7944" operator="greaterThanOrEqual">
      <formula>0</formula>
    </cfRule>
  </conditionalFormatting>
  <conditionalFormatting sqref="AB110">
    <cfRule type="cellIs" dxfId="12018" priority="7943" operator="lessThan">
      <formula>0</formula>
    </cfRule>
  </conditionalFormatting>
  <conditionalFormatting sqref="AB113">
    <cfRule type="cellIs" dxfId="12017" priority="7942" operator="greaterThanOrEqual">
      <formula>0</formula>
    </cfRule>
  </conditionalFormatting>
  <conditionalFormatting sqref="AB113">
    <cfRule type="cellIs" dxfId="12016" priority="7941" operator="lessThan">
      <formula>0</formula>
    </cfRule>
  </conditionalFormatting>
  <conditionalFormatting sqref="AB114">
    <cfRule type="cellIs" dxfId="12015" priority="7940" operator="greaterThanOrEqual">
      <formula>0</formula>
    </cfRule>
  </conditionalFormatting>
  <conditionalFormatting sqref="AB114">
    <cfRule type="cellIs" dxfId="12014" priority="7939" operator="lessThan">
      <formula>0</formula>
    </cfRule>
  </conditionalFormatting>
  <conditionalFormatting sqref="AB122">
    <cfRule type="cellIs" dxfId="12013" priority="7938" operator="greaterThanOrEqual">
      <formula>0</formula>
    </cfRule>
  </conditionalFormatting>
  <conditionalFormatting sqref="AB122">
    <cfRule type="cellIs" dxfId="12012" priority="7937" operator="lessThan">
      <formula>0</formula>
    </cfRule>
  </conditionalFormatting>
  <conditionalFormatting sqref="AB128">
    <cfRule type="cellIs" dxfId="12011" priority="7936" operator="greaterThanOrEqual">
      <formula>0</formula>
    </cfRule>
  </conditionalFormatting>
  <conditionalFormatting sqref="AB128">
    <cfRule type="cellIs" dxfId="12010" priority="7935" operator="lessThan">
      <formula>0</formula>
    </cfRule>
  </conditionalFormatting>
  <conditionalFormatting sqref="AB129">
    <cfRule type="cellIs" dxfId="12009" priority="7934" operator="greaterThanOrEqual">
      <formula>0</formula>
    </cfRule>
  </conditionalFormatting>
  <conditionalFormatting sqref="AB129">
    <cfRule type="cellIs" dxfId="12008" priority="7933" operator="lessThan">
      <formula>0</formula>
    </cfRule>
  </conditionalFormatting>
  <conditionalFormatting sqref="AB105:AB106">
    <cfRule type="cellIs" dxfId="12007" priority="7931" operator="lessThan">
      <formula>0</formula>
    </cfRule>
    <cfRule type="cellIs" dxfId="12006" priority="7932" operator="greaterThanOrEqual">
      <formula>0</formula>
    </cfRule>
  </conditionalFormatting>
  <conditionalFormatting sqref="AB108:AB109">
    <cfRule type="cellIs" dxfId="12005" priority="7929" operator="lessThan">
      <formula>0</formula>
    </cfRule>
    <cfRule type="cellIs" dxfId="12004" priority="7930" operator="greaterThanOrEqual">
      <formula>0</formula>
    </cfRule>
  </conditionalFormatting>
  <conditionalFormatting sqref="AB120:AB121">
    <cfRule type="cellIs" dxfId="12003" priority="7927" operator="lessThan">
      <formula>0</formula>
    </cfRule>
    <cfRule type="cellIs" dxfId="12002" priority="7928" operator="greaterThanOrEqual">
      <formula>0</formula>
    </cfRule>
  </conditionalFormatting>
  <conditionalFormatting sqref="AB123:AB124">
    <cfRule type="cellIs" dxfId="12001" priority="7925" operator="lessThan">
      <formula>0</formula>
    </cfRule>
    <cfRule type="cellIs" dxfId="12000" priority="7926" operator="greaterThanOrEqual">
      <formula>0</formula>
    </cfRule>
  </conditionalFormatting>
  <conditionalFormatting sqref="AB126:AB127">
    <cfRule type="cellIs" dxfId="11999" priority="7923" operator="lessThan">
      <formula>0</formula>
    </cfRule>
    <cfRule type="cellIs" dxfId="11998" priority="7924" operator="greaterThanOrEqual">
      <formula>0</formula>
    </cfRule>
  </conditionalFormatting>
  <conditionalFormatting sqref="AC114">
    <cfRule type="cellIs" dxfId="11997" priority="7921" operator="greaterThan">
      <formula>0</formula>
    </cfRule>
    <cfRule type="cellIs" dxfId="11996" priority="7922" operator="lessThanOrEqual">
      <formula>0</formula>
    </cfRule>
  </conditionalFormatting>
  <conditionalFormatting sqref="AB118">
    <cfRule type="cellIs" dxfId="11995" priority="7920" operator="greaterThanOrEqual">
      <formula>0</formula>
    </cfRule>
  </conditionalFormatting>
  <conditionalFormatting sqref="AB118">
    <cfRule type="cellIs" dxfId="11994" priority="7919" operator="lessThan">
      <formula>0</formula>
    </cfRule>
  </conditionalFormatting>
  <conditionalFormatting sqref="AC118">
    <cfRule type="cellIs" dxfId="11993" priority="7917" operator="greaterThan">
      <formula>0</formula>
    </cfRule>
    <cfRule type="cellIs" dxfId="11992" priority="7918" operator="lessThanOrEqual">
      <formula>0</formula>
    </cfRule>
  </conditionalFormatting>
  <conditionalFormatting sqref="AG76:AG77">
    <cfRule type="cellIs" dxfId="11991" priority="7915" operator="greaterThan">
      <formula>0</formula>
    </cfRule>
    <cfRule type="cellIs" dxfId="11990" priority="7916" operator="lessThanOrEqual">
      <formula>0</formula>
    </cfRule>
  </conditionalFormatting>
  <conditionalFormatting sqref="AG79:AG80">
    <cfRule type="cellIs" dxfId="11989" priority="7913" operator="greaterThan">
      <formula>0</formula>
    </cfRule>
    <cfRule type="cellIs" dxfId="11988" priority="7914" operator="lessThanOrEqual">
      <formula>0</formula>
    </cfRule>
  </conditionalFormatting>
  <conditionalFormatting sqref="AG82:AG83">
    <cfRule type="cellIs" dxfId="11987" priority="7911" operator="greaterThan">
      <formula>0</formula>
    </cfRule>
    <cfRule type="cellIs" dxfId="11986" priority="7912" operator="lessThanOrEqual">
      <formula>0</formula>
    </cfRule>
  </conditionalFormatting>
  <conditionalFormatting sqref="AG92:AG93">
    <cfRule type="cellIs" dxfId="11985" priority="7909" operator="greaterThan">
      <formula>0</formula>
    </cfRule>
    <cfRule type="cellIs" dxfId="11984" priority="7910" operator="lessThanOrEqual">
      <formula>0</formula>
    </cfRule>
  </conditionalFormatting>
  <conditionalFormatting sqref="AG85:AG86">
    <cfRule type="cellIs" dxfId="11983" priority="7907" operator="greaterThan">
      <formula>0</formula>
    </cfRule>
    <cfRule type="cellIs" dxfId="11982" priority="7908" operator="lessThanOrEqual">
      <formula>0</formula>
    </cfRule>
  </conditionalFormatting>
  <conditionalFormatting sqref="AG98:AG99">
    <cfRule type="cellIs" dxfId="11981" priority="7903" operator="greaterThan">
      <formula>0</formula>
    </cfRule>
    <cfRule type="cellIs" dxfId="11980" priority="7904" operator="lessThanOrEqual">
      <formula>0</formula>
    </cfRule>
  </conditionalFormatting>
  <conditionalFormatting sqref="AG101:AG102">
    <cfRule type="cellIs" dxfId="11979" priority="7901" operator="greaterThan">
      <formula>0</formula>
    </cfRule>
    <cfRule type="cellIs" dxfId="11978" priority="7902" operator="lessThanOrEqual">
      <formula>0</formula>
    </cfRule>
  </conditionalFormatting>
  <conditionalFormatting sqref="AG111:AG112">
    <cfRule type="cellIs" dxfId="11977" priority="7899" operator="greaterThan">
      <formula>0</formula>
    </cfRule>
    <cfRule type="cellIs" dxfId="11976" priority="7900" operator="lessThanOrEqual">
      <formula>0</formula>
    </cfRule>
  </conditionalFormatting>
  <conditionalFormatting sqref="AG126:AG127">
    <cfRule type="cellIs" dxfId="11975" priority="7897" operator="greaterThan">
      <formula>0</formula>
    </cfRule>
    <cfRule type="cellIs" dxfId="11974" priority="7898" operator="lessThanOrEqual">
      <formula>0</formula>
    </cfRule>
  </conditionalFormatting>
  <conditionalFormatting sqref="AG116:AG117">
    <cfRule type="cellIs" dxfId="11973" priority="7895" operator="greaterThan">
      <formula>0</formula>
    </cfRule>
    <cfRule type="cellIs" dxfId="11972" priority="7896" operator="lessThanOrEqual">
      <formula>0</formula>
    </cfRule>
  </conditionalFormatting>
  <conditionalFormatting sqref="AG78">
    <cfRule type="cellIs" dxfId="11971" priority="7893" operator="greaterThan">
      <formula>0</formula>
    </cfRule>
    <cfRule type="cellIs" dxfId="11970" priority="7894" operator="lessThanOrEqual">
      <formula>0</formula>
    </cfRule>
  </conditionalFormatting>
  <conditionalFormatting sqref="AG81">
    <cfRule type="cellIs" dxfId="11969" priority="7891" operator="greaterThan">
      <formula>0</formula>
    </cfRule>
    <cfRule type="cellIs" dxfId="11968" priority="7892" operator="lessThanOrEqual">
      <formula>0</formula>
    </cfRule>
  </conditionalFormatting>
  <conditionalFormatting sqref="AG84">
    <cfRule type="cellIs" dxfId="11967" priority="7889" operator="greaterThan">
      <formula>0</formula>
    </cfRule>
    <cfRule type="cellIs" dxfId="11966" priority="7890" operator="lessThanOrEqual">
      <formula>0</formula>
    </cfRule>
  </conditionalFormatting>
  <conditionalFormatting sqref="AG94">
    <cfRule type="cellIs" dxfId="11965" priority="7887" operator="greaterThan">
      <formula>0</formula>
    </cfRule>
    <cfRule type="cellIs" dxfId="11964" priority="7888" operator="lessThanOrEqual">
      <formula>0</formula>
    </cfRule>
  </conditionalFormatting>
  <conditionalFormatting sqref="AG87">
    <cfRule type="cellIs" dxfId="11963" priority="7885" operator="greaterThan">
      <formula>0</formula>
    </cfRule>
    <cfRule type="cellIs" dxfId="11962" priority="7886" operator="lessThanOrEqual">
      <formula>0</formula>
    </cfRule>
  </conditionalFormatting>
  <conditionalFormatting sqref="AG97">
    <cfRule type="cellIs" dxfId="11961" priority="7883" operator="greaterThan">
      <formula>0</formula>
    </cfRule>
    <cfRule type="cellIs" dxfId="11960" priority="7884" operator="lessThanOrEqual">
      <formula>0</formula>
    </cfRule>
  </conditionalFormatting>
  <conditionalFormatting sqref="AG100">
    <cfRule type="cellIs" dxfId="11959" priority="7881" operator="greaterThan">
      <formula>0</formula>
    </cfRule>
    <cfRule type="cellIs" dxfId="11958" priority="7882" operator="lessThanOrEqual">
      <formula>0</formula>
    </cfRule>
  </conditionalFormatting>
  <conditionalFormatting sqref="AG103">
    <cfRule type="cellIs" dxfId="11957" priority="7879" operator="greaterThan">
      <formula>0</formula>
    </cfRule>
    <cfRule type="cellIs" dxfId="11956" priority="7880" operator="lessThanOrEqual">
      <formula>0</formula>
    </cfRule>
  </conditionalFormatting>
  <conditionalFormatting sqref="AG89">
    <cfRule type="cellIs" dxfId="11955" priority="7877" operator="greaterThan">
      <formula>0</formula>
    </cfRule>
    <cfRule type="cellIs" dxfId="11954" priority="7878" operator="lessThanOrEqual">
      <formula>0</formula>
    </cfRule>
  </conditionalFormatting>
  <conditionalFormatting sqref="AG129">
    <cfRule type="cellIs" dxfId="11953" priority="7875" operator="greaterThan">
      <formula>0</formula>
    </cfRule>
    <cfRule type="cellIs" dxfId="11952" priority="7876" operator="lessThanOrEqual">
      <formula>0</formula>
    </cfRule>
  </conditionalFormatting>
  <conditionalFormatting sqref="AF76:AF77 AF79:AF80 AF82:AF83 AF85:AF86 AF92:AF93 AF95:AF96 AF98:AF99 AF101:AF102 AF111:AF112 AF116:AF117">
    <cfRule type="cellIs" dxfId="11951" priority="7873" operator="lessThan">
      <formula>0</formula>
    </cfRule>
    <cfRule type="cellIs" dxfId="11950" priority="7874" operator="greaterThanOrEqual">
      <formula>0</formula>
    </cfRule>
  </conditionalFormatting>
  <conditionalFormatting sqref="AF78 AF81 AF84 AF87 AF89 AF94 AF97 AF100 AF103">
    <cfRule type="cellIs" dxfId="11949" priority="7872" operator="greaterThanOrEqual">
      <formula>0</formula>
    </cfRule>
  </conditionalFormatting>
  <conditionalFormatting sqref="AF78 AF81 AF84 AF87 AF89 AF94 AF97 AF100 AF103">
    <cfRule type="cellIs" dxfId="11948" priority="7871" operator="lessThan">
      <formula>0</formula>
    </cfRule>
  </conditionalFormatting>
  <conditionalFormatting sqref="AF125">
    <cfRule type="cellIs" dxfId="11947" priority="7850" operator="greaterThanOrEqual">
      <formula>0</formula>
    </cfRule>
  </conditionalFormatting>
  <conditionalFormatting sqref="AF125">
    <cfRule type="cellIs" dxfId="11946" priority="7849" operator="lessThan">
      <formula>0</formula>
    </cfRule>
  </conditionalFormatting>
  <conditionalFormatting sqref="AG114">
    <cfRule type="cellIs" dxfId="11945" priority="7865" operator="greaterThan">
      <formula>0</formula>
    </cfRule>
    <cfRule type="cellIs" dxfId="11944" priority="7866" operator="lessThanOrEqual">
      <formula>0</formula>
    </cfRule>
  </conditionalFormatting>
  <conditionalFormatting sqref="AG107">
    <cfRule type="cellIs" dxfId="11943" priority="7859" operator="greaterThan">
      <formula>0</formula>
    </cfRule>
    <cfRule type="cellIs" dxfId="11942" priority="7860" operator="lessThanOrEqual">
      <formula>0</formula>
    </cfRule>
  </conditionalFormatting>
  <conditionalFormatting sqref="AG110">
    <cfRule type="cellIs" dxfId="11941" priority="7857" operator="greaterThan">
      <formula>0</formula>
    </cfRule>
    <cfRule type="cellIs" dxfId="11940" priority="7858" operator="lessThanOrEqual">
      <formula>0</formula>
    </cfRule>
  </conditionalFormatting>
  <conditionalFormatting sqref="AG113">
    <cfRule type="cellIs" dxfId="11939" priority="7855" operator="greaterThan">
      <formula>0</formula>
    </cfRule>
    <cfRule type="cellIs" dxfId="11938" priority="7856" operator="lessThanOrEqual">
      <formula>0</formula>
    </cfRule>
  </conditionalFormatting>
  <conditionalFormatting sqref="AG91">
    <cfRule type="cellIs" dxfId="11937" priority="7869" operator="greaterThan">
      <formula>0</formula>
    </cfRule>
    <cfRule type="cellIs" dxfId="11936" priority="7870" operator="lessThanOrEqual">
      <formula>0</formula>
    </cfRule>
  </conditionalFormatting>
  <conditionalFormatting sqref="AG104">
    <cfRule type="cellIs" dxfId="11935" priority="7867" operator="greaterThan">
      <formula>0</formula>
    </cfRule>
    <cfRule type="cellIs" dxfId="11934" priority="7868" operator="lessThanOrEqual">
      <formula>0</formula>
    </cfRule>
  </conditionalFormatting>
  <conditionalFormatting sqref="AG105:AG106 AG108:AG109">
    <cfRule type="cellIs" dxfId="11933" priority="7863" operator="greaterThan">
      <formula>0</formula>
    </cfRule>
    <cfRule type="cellIs" dxfId="11932" priority="7864" operator="lessThanOrEqual">
      <formula>0</formula>
    </cfRule>
  </conditionalFormatting>
  <conditionalFormatting sqref="AG120:AG121 AG123:AG124">
    <cfRule type="cellIs" dxfId="11931" priority="7861" operator="greaterThan">
      <formula>0</formula>
    </cfRule>
    <cfRule type="cellIs" dxfId="11930" priority="7862" operator="lessThanOrEqual">
      <formula>0</formula>
    </cfRule>
  </conditionalFormatting>
  <conditionalFormatting sqref="AG122">
    <cfRule type="cellIs" dxfId="11929" priority="7853" operator="greaterThan">
      <formula>0</formula>
    </cfRule>
    <cfRule type="cellIs" dxfId="11928" priority="7854" operator="lessThanOrEqual">
      <formula>0</formula>
    </cfRule>
  </conditionalFormatting>
  <conditionalFormatting sqref="AG125">
    <cfRule type="cellIs" dxfId="11927" priority="7851" operator="greaterThan">
      <formula>0</formula>
    </cfRule>
    <cfRule type="cellIs" dxfId="11926" priority="7852" operator="lessThanOrEqual">
      <formula>0</formula>
    </cfRule>
  </conditionalFormatting>
  <conditionalFormatting sqref="AG128">
    <cfRule type="cellIs" dxfId="11925" priority="7847" operator="greaterThan">
      <formula>0</formula>
    </cfRule>
    <cfRule type="cellIs" dxfId="11924" priority="7848" operator="lessThanOrEqual">
      <formula>0</formula>
    </cfRule>
  </conditionalFormatting>
  <conditionalFormatting sqref="AG88">
    <cfRule type="cellIs" dxfId="11923" priority="7845" operator="greaterThan">
      <formula>0</formula>
    </cfRule>
    <cfRule type="cellIs" dxfId="11922" priority="7846" operator="lessThanOrEqual">
      <formula>0</formula>
    </cfRule>
  </conditionalFormatting>
  <conditionalFormatting sqref="AG119">
    <cfRule type="cellIs" dxfId="11921" priority="7843" operator="greaterThan">
      <formula>0</formula>
    </cfRule>
    <cfRule type="cellIs" dxfId="11920" priority="7844" operator="lessThanOrEqual">
      <formula>0</formula>
    </cfRule>
  </conditionalFormatting>
  <conditionalFormatting sqref="AF119">
    <cfRule type="cellIs" dxfId="11919" priority="7842" operator="greaterThanOrEqual">
      <formula>0</formula>
    </cfRule>
  </conditionalFormatting>
  <conditionalFormatting sqref="AF119">
    <cfRule type="cellIs" dxfId="11918" priority="7841" operator="lessThan">
      <formula>0</formula>
    </cfRule>
  </conditionalFormatting>
  <conditionalFormatting sqref="AG115">
    <cfRule type="cellIs" dxfId="11917" priority="7839" operator="greaterThan">
      <formula>0</formula>
    </cfRule>
    <cfRule type="cellIs" dxfId="11916" priority="7840" operator="lessThanOrEqual">
      <formula>0</formula>
    </cfRule>
  </conditionalFormatting>
  <conditionalFormatting sqref="AF115">
    <cfRule type="cellIs" dxfId="11915" priority="7838" operator="greaterThanOrEqual">
      <formula>0</formula>
    </cfRule>
  </conditionalFormatting>
  <conditionalFormatting sqref="AF115">
    <cfRule type="cellIs" dxfId="11914" priority="7837" operator="lessThan">
      <formula>0</formula>
    </cfRule>
  </conditionalFormatting>
  <conditionalFormatting sqref="AF88">
    <cfRule type="cellIs" dxfId="11913" priority="7836" operator="greaterThanOrEqual">
      <formula>0</formula>
    </cfRule>
  </conditionalFormatting>
  <conditionalFormatting sqref="AF88">
    <cfRule type="cellIs" dxfId="11912" priority="7835" operator="lessThan">
      <formula>0</formula>
    </cfRule>
  </conditionalFormatting>
  <conditionalFormatting sqref="AF91">
    <cfRule type="cellIs" dxfId="11911" priority="7834" operator="greaterThanOrEqual">
      <formula>0</formula>
    </cfRule>
  </conditionalFormatting>
  <conditionalFormatting sqref="AF91">
    <cfRule type="cellIs" dxfId="11910" priority="7833" operator="lessThan">
      <formula>0</formula>
    </cfRule>
  </conditionalFormatting>
  <conditionalFormatting sqref="AF104">
    <cfRule type="cellIs" dxfId="11909" priority="7832" operator="greaterThanOrEqual">
      <formula>0</formula>
    </cfRule>
  </conditionalFormatting>
  <conditionalFormatting sqref="AF104">
    <cfRule type="cellIs" dxfId="11908" priority="7831" operator="lessThan">
      <formula>0</formula>
    </cfRule>
  </conditionalFormatting>
  <conditionalFormatting sqref="AF110">
    <cfRule type="cellIs" dxfId="11907" priority="7828" operator="greaterThanOrEqual">
      <formula>0</formula>
    </cfRule>
  </conditionalFormatting>
  <conditionalFormatting sqref="AF110">
    <cfRule type="cellIs" dxfId="11906" priority="7827" operator="lessThan">
      <formula>0</formula>
    </cfRule>
  </conditionalFormatting>
  <conditionalFormatting sqref="AF113">
    <cfRule type="cellIs" dxfId="11905" priority="7826" operator="greaterThanOrEqual">
      <formula>0</formula>
    </cfRule>
  </conditionalFormatting>
  <conditionalFormatting sqref="AF113">
    <cfRule type="cellIs" dxfId="11904" priority="7825" operator="lessThan">
      <formula>0</formula>
    </cfRule>
  </conditionalFormatting>
  <conditionalFormatting sqref="AF114">
    <cfRule type="cellIs" dxfId="11903" priority="7824" operator="greaterThanOrEqual">
      <formula>0</formula>
    </cfRule>
  </conditionalFormatting>
  <conditionalFormatting sqref="AF114">
    <cfRule type="cellIs" dxfId="11902" priority="7823" operator="lessThan">
      <formula>0</formula>
    </cfRule>
  </conditionalFormatting>
  <conditionalFormatting sqref="AF122">
    <cfRule type="cellIs" dxfId="11901" priority="7822" operator="greaterThanOrEqual">
      <formula>0</formula>
    </cfRule>
  </conditionalFormatting>
  <conditionalFormatting sqref="AF122">
    <cfRule type="cellIs" dxfId="11900" priority="7821" operator="lessThan">
      <formula>0</formula>
    </cfRule>
  </conditionalFormatting>
  <conditionalFormatting sqref="AF128">
    <cfRule type="cellIs" dxfId="11899" priority="7820" operator="greaterThanOrEqual">
      <formula>0</formula>
    </cfRule>
  </conditionalFormatting>
  <conditionalFormatting sqref="AF128">
    <cfRule type="cellIs" dxfId="11898" priority="7819" operator="lessThan">
      <formula>0</formula>
    </cfRule>
  </conditionalFormatting>
  <conditionalFormatting sqref="AF129">
    <cfRule type="cellIs" dxfId="11897" priority="7818" operator="greaterThanOrEqual">
      <formula>0</formula>
    </cfRule>
  </conditionalFormatting>
  <conditionalFormatting sqref="AF129">
    <cfRule type="cellIs" dxfId="11896" priority="7817" operator="lessThan">
      <formula>0</formula>
    </cfRule>
  </conditionalFormatting>
  <conditionalFormatting sqref="AF105:AF106">
    <cfRule type="cellIs" dxfId="11895" priority="7815" operator="lessThan">
      <formula>0</formula>
    </cfRule>
    <cfRule type="cellIs" dxfId="11894" priority="7816" operator="greaterThanOrEqual">
      <formula>0</formula>
    </cfRule>
  </conditionalFormatting>
  <conditionalFormatting sqref="AF108:AF109">
    <cfRule type="cellIs" dxfId="11893" priority="7813" operator="lessThan">
      <formula>0</formula>
    </cfRule>
    <cfRule type="cellIs" dxfId="11892" priority="7814" operator="greaterThanOrEqual">
      <formula>0</formula>
    </cfRule>
  </conditionalFormatting>
  <conditionalFormatting sqref="AF120:AF121">
    <cfRule type="cellIs" dxfId="11891" priority="7811" operator="lessThan">
      <formula>0</formula>
    </cfRule>
    <cfRule type="cellIs" dxfId="11890" priority="7812" operator="greaterThanOrEqual">
      <formula>0</formula>
    </cfRule>
  </conditionalFormatting>
  <conditionalFormatting sqref="AF123:AF124">
    <cfRule type="cellIs" dxfId="11889" priority="7809" operator="lessThan">
      <formula>0</formula>
    </cfRule>
    <cfRule type="cellIs" dxfId="11888" priority="7810" operator="greaterThanOrEqual">
      <formula>0</formula>
    </cfRule>
  </conditionalFormatting>
  <conditionalFormatting sqref="AF126:AF127">
    <cfRule type="cellIs" dxfId="11887" priority="7807" operator="lessThan">
      <formula>0</formula>
    </cfRule>
    <cfRule type="cellIs" dxfId="11886" priority="7808" operator="greaterThanOrEqual">
      <formula>0</formula>
    </cfRule>
  </conditionalFormatting>
  <conditionalFormatting sqref="AG130">
    <cfRule type="cellIs" dxfId="11885" priority="7805" operator="greaterThan">
      <formula>0</formula>
    </cfRule>
    <cfRule type="cellIs" dxfId="11884" priority="7806" operator="lessThanOrEqual">
      <formula>0</formula>
    </cfRule>
  </conditionalFormatting>
  <conditionalFormatting sqref="AF130">
    <cfRule type="cellIs" dxfId="11883" priority="7803" operator="greaterThanOrEqual">
      <formula>0</formula>
    </cfRule>
    <cfRule type="cellIs" dxfId="11882" priority="7804" operator="lessThan">
      <formula>0</formula>
    </cfRule>
  </conditionalFormatting>
  <conditionalFormatting sqref="AG118">
    <cfRule type="cellIs" dxfId="11881" priority="7801" operator="greaterThan">
      <formula>0</formula>
    </cfRule>
    <cfRule type="cellIs" dxfId="11880" priority="7802" operator="lessThanOrEqual">
      <formula>0</formula>
    </cfRule>
  </conditionalFormatting>
  <conditionalFormatting sqref="AF118">
    <cfRule type="cellIs" dxfId="11879" priority="7800" operator="greaterThanOrEqual">
      <formula>0</formula>
    </cfRule>
  </conditionalFormatting>
  <conditionalFormatting sqref="AF118">
    <cfRule type="cellIs" dxfId="11878" priority="7799" operator="lessThan">
      <formula>0</formula>
    </cfRule>
  </conditionalFormatting>
  <conditionalFormatting sqref="AI78 AI87 AI81 AI84 AI94 AI97 AI100 AI103">
    <cfRule type="cellIs" dxfId="11877" priority="7796" operator="greaterThanOrEqual">
      <formula>0</formula>
    </cfRule>
  </conditionalFormatting>
  <conditionalFormatting sqref="AI78 AI87 AI81 AI84 AI94 AI97 AI100 AI103">
    <cfRule type="cellIs" dxfId="11876" priority="7795" operator="lessThan">
      <formula>0</formula>
    </cfRule>
  </conditionalFormatting>
  <conditionalFormatting sqref="AI130">
    <cfRule type="cellIs" dxfId="11875" priority="7793" operator="greaterThanOrEqual">
      <formula>0</formula>
    </cfRule>
    <cfRule type="cellIs" dxfId="11874" priority="7794" operator="lessThan">
      <formula>0</formula>
    </cfRule>
  </conditionalFormatting>
  <conditionalFormatting sqref="AJ76:AJ77">
    <cfRule type="cellIs" dxfId="11873" priority="7791" operator="greaterThan">
      <formula>0</formula>
    </cfRule>
    <cfRule type="cellIs" dxfId="11872" priority="7792" operator="lessThanOrEqual">
      <formula>0</formula>
    </cfRule>
  </conditionalFormatting>
  <conditionalFormatting sqref="AJ78 AJ87 AJ81 AJ84 AJ94 AJ97 AJ100 AJ103">
    <cfRule type="cellIs" dxfId="11871" priority="7790" operator="greaterThanOrEqual">
      <formula>0</formula>
    </cfRule>
  </conditionalFormatting>
  <conditionalFormatting sqref="AJ78 AJ87 AJ81 AJ84 AJ94 AJ97 AJ100 AJ103">
    <cfRule type="cellIs" dxfId="11870" priority="7789" operator="lessThan">
      <formula>0</formula>
    </cfRule>
  </conditionalFormatting>
  <conditionalFormatting sqref="AJ130">
    <cfRule type="cellIs" dxfId="11869" priority="7787" operator="lessThan">
      <formula>0</formula>
    </cfRule>
    <cfRule type="cellIs" dxfId="11868" priority="7788" operator="greaterThanOrEqual">
      <formula>0</formula>
    </cfRule>
  </conditionalFormatting>
  <conditionalFormatting sqref="AJ115">
    <cfRule type="cellIs" dxfId="11867" priority="7783" operator="lessThan">
      <formula>0</formula>
    </cfRule>
  </conditionalFormatting>
  <conditionalFormatting sqref="AI115">
    <cfRule type="cellIs" dxfId="11866" priority="7786" operator="greaterThanOrEqual">
      <formula>0</formula>
    </cfRule>
  </conditionalFormatting>
  <conditionalFormatting sqref="AI115">
    <cfRule type="cellIs" dxfId="11865" priority="7785" operator="lessThan">
      <formula>0</formula>
    </cfRule>
  </conditionalFormatting>
  <conditionalFormatting sqref="AJ115">
    <cfRule type="cellIs" dxfId="11864" priority="7784" operator="greaterThanOrEqual">
      <formula>0</formula>
    </cfRule>
  </conditionalFormatting>
  <conditionalFormatting sqref="AI105:AI106">
    <cfRule type="cellIs" dxfId="11863" priority="7781" operator="lessThan">
      <formula>0</formula>
    </cfRule>
    <cfRule type="cellIs" dxfId="11862" priority="7782" operator="greaterThanOrEqual">
      <formula>0</formula>
    </cfRule>
  </conditionalFormatting>
  <conditionalFormatting sqref="AI108:AI109">
    <cfRule type="cellIs" dxfId="11861" priority="7779" operator="lessThan">
      <formula>0</formula>
    </cfRule>
    <cfRule type="cellIs" dxfId="11860" priority="7780" operator="greaterThanOrEqual">
      <formula>0</formula>
    </cfRule>
  </conditionalFormatting>
  <conditionalFormatting sqref="AI116:AI117">
    <cfRule type="cellIs" dxfId="11859" priority="7777" operator="lessThan">
      <formula>0</formula>
    </cfRule>
    <cfRule type="cellIs" dxfId="11858" priority="7778" operator="greaterThanOrEqual">
      <formula>0</formula>
    </cfRule>
  </conditionalFormatting>
  <conditionalFormatting sqref="AI120:AI121">
    <cfRule type="cellIs" dxfId="11857" priority="7775" operator="lessThan">
      <formula>0</formula>
    </cfRule>
    <cfRule type="cellIs" dxfId="11856" priority="7776" operator="greaterThanOrEqual">
      <formula>0</formula>
    </cfRule>
  </conditionalFormatting>
  <conditionalFormatting sqref="AI123:AI124">
    <cfRule type="cellIs" dxfId="11855" priority="7773" operator="lessThan">
      <formula>0</formula>
    </cfRule>
    <cfRule type="cellIs" dxfId="11854" priority="7774" operator="greaterThanOrEqual">
      <formula>0</formula>
    </cfRule>
  </conditionalFormatting>
  <conditionalFormatting sqref="AI126:AI127">
    <cfRule type="cellIs" dxfId="11853" priority="7771" operator="lessThan">
      <formula>0</formula>
    </cfRule>
    <cfRule type="cellIs" dxfId="11852" priority="7772" operator="greaterThanOrEqual">
      <formula>0</formula>
    </cfRule>
  </conditionalFormatting>
  <conditionalFormatting sqref="AI88">
    <cfRule type="cellIs" dxfId="11851" priority="7770" operator="greaterThanOrEqual">
      <formula>0</formula>
    </cfRule>
  </conditionalFormatting>
  <conditionalFormatting sqref="AI88">
    <cfRule type="cellIs" dxfId="11850" priority="7769" operator="lessThan">
      <formula>0</formula>
    </cfRule>
  </conditionalFormatting>
  <conditionalFormatting sqref="AI89">
    <cfRule type="cellIs" dxfId="11849" priority="7768" operator="greaterThanOrEqual">
      <formula>0</formula>
    </cfRule>
  </conditionalFormatting>
  <conditionalFormatting sqref="AI89">
    <cfRule type="cellIs" dxfId="11848" priority="7767" operator="lessThan">
      <formula>0</formula>
    </cfRule>
  </conditionalFormatting>
  <conditionalFormatting sqref="AI91">
    <cfRule type="cellIs" dxfId="11847" priority="7766" operator="greaterThanOrEqual">
      <formula>0</formula>
    </cfRule>
  </conditionalFormatting>
  <conditionalFormatting sqref="AI91">
    <cfRule type="cellIs" dxfId="11846" priority="7765" operator="lessThan">
      <formula>0</formula>
    </cfRule>
  </conditionalFormatting>
  <conditionalFormatting sqref="AI104">
    <cfRule type="cellIs" dxfId="11845" priority="7764" operator="greaterThanOrEqual">
      <formula>0</formula>
    </cfRule>
  </conditionalFormatting>
  <conditionalFormatting sqref="AI104">
    <cfRule type="cellIs" dxfId="11844" priority="7763" operator="lessThan">
      <formula>0</formula>
    </cfRule>
  </conditionalFormatting>
  <conditionalFormatting sqref="AI110">
    <cfRule type="cellIs" dxfId="11843" priority="7760" operator="greaterThanOrEqual">
      <formula>0</formula>
    </cfRule>
  </conditionalFormatting>
  <conditionalFormatting sqref="AI110">
    <cfRule type="cellIs" dxfId="11842" priority="7759" operator="lessThan">
      <formula>0</formula>
    </cfRule>
  </conditionalFormatting>
  <conditionalFormatting sqref="AI113">
    <cfRule type="cellIs" dxfId="11841" priority="7758" operator="greaterThanOrEqual">
      <formula>0</formula>
    </cfRule>
  </conditionalFormatting>
  <conditionalFormatting sqref="AI113">
    <cfRule type="cellIs" dxfId="11840" priority="7757" operator="lessThan">
      <formula>0</formula>
    </cfRule>
  </conditionalFormatting>
  <conditionalFormatting sqref="AI122">
    <cfRule type="cellIs" dxfId="11839" priority="7754" operator="greaterThanOrEqual">
      <formula>0</formula>
    </cfRule>
  </conditionalFormatting>
  <conditionalFormatting sqref="AI122">
    <cfRule type="cellIs" dxfId="11838" priority="7753" operator="lessThan">
      <formula>0</formula>
    </cfRule>
  </conditionalFormatting>
  <conditionalFormatting sqref="AI125">
    <cfRule type="cellIs" dxfId="11837" priority="7752" operator="greaterThanOrEqual">
      <formula>0</formula>
    </cfRule>
  </conditionalFormatting>
  <conditionalFormatting sqref="AI125">
    <cfRule type="cellIs" dxfId="11836" priority="7751" operator="lessThan">
      <formula>0</formula>
    </cfRule>
  </conditionalFormatting>
  <conditionalFormatting sqref="AI128">
    <cfRule type="cellIs" dxfId="11835" priority="7750" operator="greaterThanOrEqual">
      <formula>0</formula>
    </cfRule>
  </conditionalFormatting>
  <conditionalFormatting sqref="AI128">
    <cfRule type="cellIs" dxfId="11834" priority="7749" operator="lessThan">
      <formula>0</formula>
    </cfRule>
  </conditionalFormatting>
  <conditionalFormatting sqref="AI119">
    <cfRule type="cellIs" dxfId="11833" priority="7748" operator="greaterThanOrEqual">
      <formula>0</formula>
    </cfRule>
  </conditionalFormatting>
  <conditionalFormatting sqref="AI119">
    <cfRule type="cellIs" dxfId="11832" priority="7747" operator="lessThan">
      <formula>0</formula>
    </cfRule>
  </conditionalFormatting>
  <conditionalFormatting sqref="AI129">
    <cfRule type="cellIs" dxfId="11831" priority="7746" operator="greaterThanOrEqual">
      <formula>0</formula>
    </cfRule>
  </conditionalFormatting>
  <conditionalFormatting sqref="AI129">
    <cfRule type="cellIs" dxfId="11830" priority="7745" operator="lessThan">
      <formula>0</formula>
    </cfRule>
  </conditionalFormatting>
  <conditionalFormatting sqref="AJ79:AJ80">
    <cfRule type="cellIs" dxfId="11829" priority="7743" operator="greaterThan">
      <formula>0</formula>
    </cfRule>
    <cfRule type="cellIs" dxfId="11828" priority="7744" operator="lessThanOrEqual">
      <formula>0</formula>
    </cfRule>
  </conditionalFormatting>
  <conditionalFormatting sqref="AJ82:AJ83">
    <cfRule type="cellIs" dxfId="11827" priority="7741" operator="greaterThan">
      <formula>0</formula>
    </cfRule>
    <cfRule type="cellIs" dxfId="11826" priority="7742" operator="lessThanOrEqual">
      <formula>0</formula>
    </cfRule>
  </conditionalFormatting>
  <conditionalFormatting sqref="AJ85:AJ86">
    <cfRule type="cellIs" dxfId="11825" priority="7739" operator="greaterThan">
      <formula>0</formula>
    </cfRule>
    <cfRule type="cellIs" dxfId="11824" priority="7740" operator="lessThanOrEqual">
      <formula>0</formula>
    </cfRule>
  </conditionalFormatting>
  <conditionalFormatting sqref="AJ92:AJ93">
    <cfRule type="cellIs" dxfId="11823" priority="7737" operator="greaterThan">
      <formula>0</formula>
    </cfRule>
    <cfRule type="cellIs" dxfId="11822" priority="7738" operator="lessThanOrEqual">
      <formula>0</formula>
    </cfRule>
  </conditionalFormatting>
  <conditionalFormatting sqref="AJ95:AJ96">
    <cfRule type="cellIs" dxfId="11821" priority="7735" operator="greaterThan">
      <formula>0</formula>
    </cfRule>
    <cfRule type="cellIs" dxfId="11820" priority="7736" operator="lessThanOrEqual">
      <formula>0</formula>
    </cfRule>
  </conditionalFormatting>
  <conditionalFormatting sqref="AJ98:AJ99">
    <cfRule type="cellIs" dxfId="11819" priority="7733" operator="greaterThan">
      <formula>0</formula>
    </cfRule>
    <cfRule type="cellIs" dxfId="11818" priority="7734" operator="lessThanOrEqual">
      <formula>0</formula>
    </cfRule>
  </conditionalFormatting>
  <conditionalFormatting sqref="AJ101:AJ102">
    <cfRule type="cellIs" dxfId="11817" priority="7731" operator="greaterThan">
      <formula>0</formula>
    </cfRule>
    <cfRule type="cellIs" dxfId="11816" priority="7732" operator="lessThanOrEqual">
      <formula>0</formula>
    </cfRule>
  </conditionalFormatting>
  <conditionalFormatting sqref="AJ105:AJ106">
    <cfRule type="cellIs" dxfId="11815" priority="7729" operator="greaterThan">
      <formula>0</formula>
    </cfRule>
    <cfRule type="cellIs" dxfId="11814" priority="7730" operator="lessThanOrEqual">
      <formula>0</formula>
    </cfRule>
  </conditionalFormatting>
  <conditionalFormatting sqref="AJ108:AJ109">
    <cfRule type="cellIs" dxfId="11813" priority="7727" operator="greaterThan">
      <formula>0</formula>
    </cfRule>
    <cfRule type="cellIs" dxfId="11812" priority="7728" operator="lessThanOrEqual">
      <formula>0</formula>
    </cfRule>
  </conditionalFormatting>
  <conditionalFormatting sqref="AJ111:AJ112">
    <cfRule type="cellIs" dxfId="11811" priority="7725" operator="greaterThan">
      <formula>0</formula>
    </cfRule>
    <cfRule type="cellIs" dxfId="11810" priority="7726" operator="lessThanOrEqual">
      <formula>0</formula>
    </cfRule>
  </conditionalFormatting>
  <conditionalFormatting sqref="AJ116:AJ117">
    <cfRule type="cellIs" dxfId="11809" priority="7723" operator="greaterThan">
      <formula>0</formula>
    </cfRule>
    <cfRule type="cellIs" dxfId="11808" priority="7724" operator="lessThanOrEqual">
      <formula>0</formula>
    </cfRule>
  </conditionalFormatting>
  <conditionalFormatting sqref="AJ120:AJ121">
    <cfRule type="cellIs" dxfId="11807" priority="7721" operator="greaterThan">
      <formula>0</formula>
    </cfRule>
    <cfRule type="cellIs" dxfId="11806" priority="7722" operator="lessThanOrEqual">
      <formula>0</formula>
    </cfRule>
  </conditionalFormatting>
  <conditionalFormatting sqref="AJ126:AJ127">
    <cfRule type="cellIs" dxfId="11805" priority="7717" operator="greaterThan">
      <formula>0</formula>
    </cfRule>
    <cfRule type="cellIs" dxfId="11804" priority="7718" operator="lessThanOrEqual">
      <formula>0</formula>
    </cfRule>
  </conditionalFormatting>
  <conditionalFormatting sqref="AJ88">
    <cfRule type="cellIs" dxfId="11803" priority="7716" operator="greaterThanOrEqual">
      <formula>0</formula>
    </cfRule>
  </conditionalFormatting>
  <conditionalFormatting sqref="AJ88">
    <cfRule type="cellIs" dxfId="11802" priority="7715" operator="lessThan">
      <formula>0</formula>
    </cfRule>
  </conditionalFormatting>
  <conditionalFormatting sqref="AJ89">
    <cfRule type="cellIs" dxfId="11801" priority="7714" operator="greaterThanOrEqual">
      <formula>0</formula>
    </cfRule>
  </conditionalFormatting>
  <conditionalFormatting sqref="AJ89">
    <cfRule type="cellIs" dxfId="11800" priority="7713" operator="lessThan">
      <formula>0</formula>
    </cfRule>
  </conditionalFormatting>
  <conditionalFormatting sqref="AJ91">
    <cfRule type="cellIs" dxfId="11799" priority="7712" operator="greaterThanOrEqual">
      <formula>0</formula>
    </cfRule>
  </conditionalFormatting>
  <conditionalFormatting sqref="AJ91">
    <cfRule type="cellIs" dxfId="11798" priority="7711" operator="lessThan">
      <formula>0</formula>
    </cfRule>
  </conditionalFormatting>
  <conditionalFormatting sqref="AJ104">
    <cfRule type="cellIs" dxfId="11797" priority="7710" operator="greaterThanOrEqual">
      <formula>0</formula>
    </cfRule>
  </conditionalFormatting>
  <conditionalFormatting sqref="AJ104">
    <cfRule type="cellIs" dxfId="11796" priority="7709" operator="lessThan">
      <formula>0</formula>
    </cfRule>
  </conditionalFormatting>
  <conditionalFormatting sqref="AJ107">
    <cfRule type="cellIs" dxfId="11795" priority="7708" operator="greaterThanOrEqual">
      <formula>0</formula>
    </cfRule>
  </conditionalFormatting>
  <conditionalFormatting sqref="AJ107">
    <cfRule type="cellIs" dxfId="11794" priority="7707" operator="lessThan">
      <formula>0</formula>
    </cfRule>
  </conditionalFormatting>
  <conditionalFormatting sqref="AJ110">
    <cfRule type="cellIs" dxfId="11793" priority="7706" operator="greaterThanOrEqual">
      <formula>0</formula>
    </cfRule>
  </conditionalFormatting>
  <conditionalFormatting sqref="AJ110">
    <cfRule type="cellIs" dxfId="11792" priority="7705" operator="lessThan">
      <formula>0</formula>
    </cfRule>
  </conditionalFormatting>
  <conditionalFormatting sqref="AJ114">
    <cfRule type="cellIs" dxfId="11791" priority="7702" operator="greaterThanOrEqual">
      <formula>0</formula>
    </cfRule>
  </conditionalFormatting>
  <conditionalFormatting sqref="AJ114">
    <cfRule type="cellIs" dxfId="11790" priority="7701" operator="lessThan">
      <formula>0</formula>
    </cfRule>
  </conditionalFormatting>
  <conditionalFormatting sqref="AJ122">
    <cfRule type="cellIs" dxfId="11789" priority="7700" operator="greaterThanOrEqual">
      <formula>0</formula>
    </cfRule>
  </conditionalFormatting>
  <conditionalFormatting sqref="AJ122">
    <cfRule type="cellIs" dxfId="11788" priority="7699" operator="lessThan">
      <formula>0</formula>
    </cfRule>
  </conditionalFormatting>
  <conditionalFormatting sqref="AI118">
    <cfRule type="cellIs" dxfId="11787" priority="7690" operator="greaterThanOrEqual">
      <formula>0</formula>
    </cfRule>
  </conditionalFormatting>
  <conditionalFormatting sqref="AI118">
    <cfRule type="cellIs" dxfId="11786" priority="7689" operator="lessThan">
      <formula>0</formula>
    </cfRule>
  </conditionalFormatting>
  <conditionalFormatting sqref="AC133">
    <cfRule type="cellIs" dxfId="11785" priority="7685" operator="lessThan">
      <formula>0</formula>
    </cfRule>
    <cfRule type="cellIs" dxfId="11784" priority="7686" operator="greaterThanOrEqual">
      <formula>0</formula>
    </cfRule>
  </conditionalFormatting>
  <conditionalFormatting sqref="AC176">
    <cfRule type="cellIs" dxfId="11783" priority="7683" operator="greaterThan">
      <formula>0</formula>
    </cfRule>
    <cfRule type="cellIs" dxfId="11782" priority="7684" operator="lessThanOrEqual">
      <formula>0</formula>
    </cfRule>
  </conditionalFormatting>
  <conditionalFormatting sqref="AB176">
    <cfRule type="cellIs" dxfId="11781" priority="7682" operator="greaterThanOrEqual">
      <formula>0</formula>
    </cfRule>
  </conditionalFormatting>
  <conditionalFormatting sqref="AB176">
    <cfRule type="cellIs" dxfId="11780" priority="7681" operator="lessThan">
      <formula>0</formula>
    </cfRule>
  </conditionalFormatting>
  <conditionalFormatting sqref="AF176">
    <cfRule type="cellIs" dxfId="11779" priority="7680" operator="greaterThanOrEqual">
      <formula>0</formula>
    </cfRule>
  </conditionalFormatting>
  <conditionalFormatting sqref="AF176">
    <cfRule type="cellIs" dxfId="11778" priority="7679" operator="lessThan">
      <formula>0</formula>
    </cfRule>
  </conditionalFormatting>
  <conditionalFormatting sqref="AI176">
    <cfRule type="cellIs" dxfId="11777" priority="7678" operator="greaterThanOrEqual">
      <formula>0</formula>
    </cfRule>
  </conditionalFormatting>
  <conditionalFormatting sqref="AI176">
    <cfRule type="cellIs" dxfId="11776" priority="7677" operator="lessThan">
      <formula>0</formula>
    </cfRule>
  </conditionalFormatting>
  <conditionalFormatting sqref="AJ176">
    <cfRule type="cellIs" dxfId="11775" priority="7676" operator="greaterThanOrEqual">
      <formula>0</formula>
    </cfRule>
  </conditionalFormatting>
  <conditionalFormatting sqref="AJ176">
    <cfRule type="cellIs" dxfId="11774" priority="7675" operator="lessThan">
      <formula>0</formula>
    </cfRule>
  </conditionalFormatting>
  <conditionalFormatting sqref="AC175">
    <cfRule type="cellIs" dxfId="11773" priority="7673" operator="greaterThan">
      <formula>0</formula>
    </cfRule>
    <cfRule type="cellIs" dxfId="11772" priority="7674" operator="lessThanOrEqual">
      <formula>0</formula>
    </cfRule>
  </conditionalFormatting>
  <conditionalFormatting sqref="AB175">
    <cfRule type="cellIs" dxfId="11771" priority="7672" operator="greaterThanOrEqual">
      <formula>0</formula>
    </cfRule>
  </conditionalFormatting>
  <conditionalFormatting sqref="AB175">
    <cfRule type="cellIs" dxfId="11770" priority="7671" operator="lessThan">
      <formula>0</formula>
    </cfRule>
  </conditionalFormatting>
  <conditionalFormatting sqref="AI175:AJ175">
    <cfRule type="cellIs" dxfId="11769" priority="7668" operator="greaterThanOrEqual">
      <formula>0</formula>
    </cfRule>
  </conditionalFormatting>
  <conditionalFormatting sqref="AI175:AJ175">
    <cfRule type="cellIs" dxfId="11768" priority="7667" operator="lessThan">
      <formula>0</formula>
    </cfRule>
  </conditionalFormatting>
  <conditionalFormatting sqref="AF175">
    <cfRule type="cellIs" dxfId="11767" priority="7670" operator="greaterThanOrEqual">
      <formula>0</formula>
    </cfRule>
  </conditionalFormatting>
  <conditionalFormatting sqref="AF175">
    <cfRule type="cellIs" dxfId="11766" priority="7669" operator="lessThan">
      <formula>0</formula>
    </cfRule>
  </conditionalFormatting>
  <conditionalFormatting sqref="AG134">
    <cfRule type="cellIs" dxfId="11765" priority="7665" operator="greaterThan">
      <formula>0</formula>
    </cfRule>
    <cfRule type="cellIs" dxfId="11764" priority="7666" operator="lessThanOrEqual">
      <formula>0</formula>
    </cfRule>
  </conditionalFormatting>
  <conditionalFormatting sqref="AG136:AG137">
    <cfRule type="cellIs" dxfId="11763" priority="7663" operator="greaterThan">
      <formula>0</formula>
    </cfRule>
    <cfRule type="cellIs" dxfId="11762" priority="7664" operator="lessThanOrEqual">
      <formula>0</formula>
    </cfRule>
  </conditionalFormatting>
  <conditionalFormatting sqref="AG173:AG174">
    <cfRule type="cellIs" dxfId="11761" priority="7645" operator="greaterThan">
      <formula>0</formula>
    </cfRule>
    <cfRule type="cellIs" dxfId="11760" priority="7646" operator="lessThanOrEqual">
      <formula>0</formula>
    </cfRule>
  </conditionalFormatting>
  <conditionalFormatting sqref="AG144">
    <cfRule type="cellIs" dxfId="11759" priority="7635" operator="greaterThan">
      <formula>0</formula>
    </cfRule>
    <cfRule type="cellIs" dxfId="11758" priority="7636" operator="lessThanOrEqual">
      <formula>0</formula>
    </cfRule>
  </conditionalFormatting>
  <conditionalFormatting sqref="AG154">
    <cfRule type="cellIs" dxfId="11757" priority="7633" operator="greaterThan">
      <formula>0</formula>
    </cfRule>
    <cfRule type="cellIs" dxfId="11756" priority="7634" operator="lessThanOrEqual">
      <formula>0</formula>
    </cfRule>
  </conditionalFormatting>
  <conditionalFormatting sqref="AG157">
    <cfRule type="cellIs" dxfId="11755" priority="7631" operator="greaterThan">
      <formula>0</formula>
    </cfRule>
    <cfRule type="cellIs" dxfId="11754" priority="7632" operator="lessThanOrEqual">
      <formula>0</formula>
    </cfRule>
  </conditionalFormatting>
  <conditionalFormatting sqref="AG164">
    <cfRule type="cellIs" dxfId="11753" priority="7607" operator="greaterThan">
      <formula>0</formula>
    </cfRule>
    <cfRule type="cellIs" dxfId="11752" priority="7608" operator="lessThanOrEqual">
      <formula>0</formula>
    </cfRule>
  </conditionalFormatting>
  <conditionalFormatting sqref="AG171">
    <cfRule type="cellIs" dxfId="11751" priority="7613" operator="greaterThan">
      <formula>0</formula>
    </cfRule>
    <cfRule type="cellIs" dxfId="11750" priority="7614" operator="lessThanOrEqual">
      <formula>0</formula>
    </cfRule>
  </conditionalFormatting>
  <conditionalFormatting sqref="AG139:AG140">
    <cfRule type="cellIs" dxfId="11749" priority="7661" operator="greaterThan">
      <formula>0</formula>
    </cfRule>
    <cfRule type="cellIs" dxfId="11748" priority="7662" operator="lessThanOrEqual">
      <formula>0</formula>
    </cfRule>
  </conditionalFormatting>
  <conditionalFormatting sqref="AG149:AG150">
    <cfRule type="cellIs" dxfId="11747" priority="7659" operator="greaterThan">
      <formula>0</formula>
    </cfRule>
    <cfRule type="cellIs" dxfId="11746" priority="7660" operator="lessThanOrEqual">
      <formula>0</formula>
    </cfRule>
  </conditionalFormatting>
  <conditionalFormatting sqref="AG142:AG143">
    <cfRule type="cellIs" dxfId="11745" priority="7657" operator="greaterThan">
      <formula>0</formula>
    </cfRule>
    <cfRule type="cellIs" dxfId="11744" priority="7658" operator="lessThanOrEqual">
      <formula>0</formula>
    </cfRule>
  </conditionalFormatting>
  <conditionalFormatting sqref="AG152:AG153">
    <cfRule type="cellIs" dxfId="11743" priority="7655" operator="greaterThan">
      <formula>0</formula>
    </cfRule>
    <cfRule type="cellIs" dxfId="11742" priority="7656" operator="lessThanOrEqual">
      <formula>0</formula>
    </cfRule>
  </conditionalFormatting>
  <conditionalFormatting sqref="AG155:AG156">
    <cfRule type="cellIs" dxfId="11741" priority="7653" operator="greaterThan">
      <formula>0</formula>
    </cfRule>
    <cfRule type="cellIs" dxfId="11740" priority="7654" operator="lessThanOrEqual">
      <formula>0</formula>
    </cfRule>
  </conditionalFormatting>
  <conditionalFormatting sqref="AG158:AG159">
    <cfRule type="cellIs" dxfId="11739" priority="7651" operator="greaterThan">
      <formula>0</formula>
    </cfRule>
    <cfRule type="cellIs" dxfId="11738" priority="7652" operator="lessThanOrEqual">
      <formula>0</formula>
    </cfRule>
  </conditionalFormatting>
  <conditionalFormatting sqref="AG168:AG169">
    <cfRule type="cellIs" dxfId="11737" priority="7649" operator="greaterThan">
      <formula>0</formula>
    </cfRule>
    <cfRule type="cellIs" dxfId="11736" priority="7650" operator="lessThanOrEqual">
      <formula>0</formula>
    </cfRule>
  </conditionalFormatting>
  <conditionalFormatting sqref="AG183:AG184">
    <cfRule type="cellIs" dxfId="11735" priority="7647" operator="greaterThan">
      <formula>0</formula>
    </cfRule>
    <cfRule type="cellIs" dxfId="11734" priority="7648" operator="lessThanOrEqual">
      <formula>0</formula>
    </cfRule>
  </conditionalFormatting>
  <conditionalFormatting sqref="AG135">
    <cfRule type="cellIs" dxfId="11733" priority="7643" operator="greaterThan">
      <formula>0</formula>
    </cfRule>
    <cfRule type="cellIs" dxfId="11732" priority="7644" operator="lessThanOrEqual">
      <formula>0</formula>
    </cfRule>
  </conditionalFormatting>
  <conditionalFormatting sqref="AG138">
    <cfRule type="cellIs" dxfId="11731" priority="7641" operator="greaterThan">
      <formula>0</formula>
    </cfRule>
    <cfRule type="cellIs" dxfId="11730" priority="7642" operator="lessThanOrEqual">
      <formula>0</formula>
    </cfRule>
  </conditionalFormatting>
  <conditionalFormatting sqref="AG141">
    <cfRule type="cellIs" dxfId="11729" priority="7639" operator="greaterThan">
      <formula>0</formula>
    </cfRule>
    <cfRule type="cellIs" dxfId="11728" priority="7640" operator="lessThanOrEqual">
      <formula>0</formula>
    </cfRule>
  </conditionalFormatting>
  <conditionalFormatting sqref="AG151">
    <cfRule type="cellIs" dxfId="11727" priority="7637" operator="greaterThan">
      <formula>0</formula>
    </cfRule>
    <cfRule type="cellIs" dxfId="11726" priority="7638" operator="lessThanOrEqual">
      <formula>0</formula>
    </cfRule>
  </conditionalFormatting>
  <conditionalFormatting sqref="AG160">
    <cfRule type="cellIs" dxfId="11725" priority="7629" operator="greaterThan">
      <formula>0</formula>
    </cfRule>
    <cfRule type="cellIs" dxfId="11724" priority="7630" operator="lessThanOrEqual">
      <formula>0</formula>
    </cfRule>
  </conditionalFormatting>
  <conditionalFormatting sqref="AG146">
    <cfRule type="cellIs" dxfId="11723" priority="7627" operator="greaterThan">
      <formula>0</formula>
    </cfRule>
    <cfRule type="cellIs" dxfId="11722" priority="7628" operator="lessThanOrEqual">
      <formula>0</formula>
    </cfRule>
  </conditionalFormatting>
  <conditionalFormatting sqref="AG186">
    <cfRule type="cellIs" dxfId="11721" priority="7625" operator="greaterThan">
      <formula>0</formula>
    </cfRule>
    <cfRule type="cellIs" dxfId="11720" priority="7626" operator="lessThanOrEqual">
      <formula>0</formula>
    </cfRule>
  </conditionalFormatting>
  <conditionalFormatting sqref="AG187">
    <cfRule type="cellIs" dxfId="11719" priority="7623" operator="greaterThan">
      <formula>0</formula>
    </cfRule>
    <cfRule type="cellIs" dxfId="11718" priority="7624" operator="lessThanOrEqual">
      <formula>0</formula>
    </cfRule>
  </conditionalFormatting>
  <conditionalFormatting sqref="AG172">
    <cfRule type="cellIs" dxfId="11717" priority="7621" operator="greaterThan">
      <formula>0</formula>
    </cfRule>
    <cfRule type="cellIs" dxfId="11716" priority="7622" operator="lessThanOrEqual">
      <formula>0</formula>
    </cfRule>
  </conditionalFormatting>
  <conditionalFormatting sqref="AG145">
    <cfRule type="cellIs" dxfId="11715" priority="7619" operator="greaterThan">
      <formula>0</formula>
    </cfRule>
    <cfRule type="cellIs" dxfId="11714" priority="7620" operator="lessThanOrEqual">
      <formula>0</formula>
    </cfRule>
  </conditionalFormatting>
  <conditionalFormatting sqref="AG167">
    <cfRule type="cellIs" dxfId="11713" priority="7605" operator="greaterThan">
      <formula>0</formula>
    </cfRule>
    <cfRule type="cellIs" dxfId="11712" priority="7606" operator="lessThanOrEqual">
      <formula>0</formula>
    </cfRule>
  </conditionalFormatting>
  <conditionalFormatting sqref="AG170">
    <cfRule type="cellIs" dxfId="11711" priority="7603" operator="greaterThan">
      <formula>0</formula>
    </cfRule>
    <cfRule type="cellIs" dxfId="11710" priority="7604" operator="lessThanOrEqual">
      <formula>0</formula>
    </cfRule>
  </conditionalFormatting>
  <conditionalFormatting sqref="AG148">
    <cfRule type="cellIs" dxfId="11709" priority="7617" operator="greaterThan">
      <formula>0</formula>
    </cfRule>
    <cfRule type="cellIs" dxfId="11708" priority="7618" operator="lessThanOrEqual">
      <formula>0</formula>
    </cfRule>
  </conditionalFormatting>
  <conditionalFormatting sqref="AG161">
    <cfRule type="cellIs" dxfId="11707" priority="7615" operator="greaterThan">
      <formula>0</formula>
    </cfRule>
    <cfRule type="cellIs" dxfId="11706" priority="7616" operator="lessThanOrEqual">
      <formula>0</formula>
    </cfRule>
  </conditionalFormatting>
  <conditionalFormatting sqref="AG162:AG163 AG165:AG166">
    <cfRule type="cellIs" dxfId="11705" priority="7611" operator="greaterThan">
      <formula>0</formula>
    </cfRule>
    <cfRule type="cellIs" dxfId="11704" priority="7612" operator="lessThanOrEqual">
      <formula>0</formula>
    </cfRule>
  </conditionalFormatting>
  <conditionalFormatting sqref="AG177:AG178 AG180:AG181">
    <cfRule type="cellIs" dxfId="11703" priority="7609" operator="greaterThan">
      <formula>0</formula>
    </cfRule>
    <cfRule type="cellIs" dxfId="11702" priority="7610" operator="lessThanOrEqual">
      <formula>0</formula>
    </cfRule>
  </conditionalFormatting>
  <conditionalFormatting sqref="AG179">
    <cfRule type="cellIs" dxfId="11701" priority="7601" operator="greaterThan">
      <formula>0</formula>
    </cfRule>
    <cfRule type="cellIs" dxfId="11700" priority="7602" operator="lessThanOrEqual">
      <formula>0</formula>
    </cfRule>
  </conditionalFormatting>
  <conditionalFormatting sqref="AG182">
    <cfRule type="cellIs" dxfId="11699" priority="7599" operator="greaterThan">
      <formula>0</formula>
    </cfRule>
    <cfRule type="cellIs" dxfId="11698" priority="7600" operator="lessThanOrEqual">
      <formula>0</formula>
    </cfRule>
  </conditionalFormatting>
  <conditionalFormatting sqref="AG185">
    <cfRule type="cellIs" dxfId="11697" priority="7597" operator="greaterThan">
      <formula>0</formula>
    </cfRule>
    <cfRule type="cellIs" dxfId="11696" priority="7598" operator="lessThanOrEqual">
      <formula>0</formula>
    </cfRule>
  </conditionalFormatting>
  <conditionalFormatting sqref="AG133">
    <cfRule type="cellIs" dxfId="11695" priority="7595" operator="lessThan">
      <formula>0</formula>
    </cfRule>
    <cfRule type="cellIs" dxfId="11694" priority="7596" operator="greaterThanOrEqual">
      <formula>0</formula>
    </cfRule>
  </conditionalFormatting>
  <conditionalFormatting sqref="AG176">
    <cfRule type="cellIs" dxfId="11693" priority="7593" operator="greaterThan">
      <formula>0</formula>
    </cfRule>
    <cfRule type="cellIs" dxfId="11692" priority="7594" operator="lessThanOrEqual">
      <formula>0</formula>
    </cfRule>
  </conditionalFormatting>
  <conditionalFormatting sqref="AG175">
    <cfRule type="cellIs" dxfId="11691" priority="7591" operator="greaterThan">
      <formula>0</formula>
    </cfRule>
    <cfRule type="cellIs" dxfId="11690" priority="7592" operator="lessThanOrEqual">
      <formula>0</formula>
    </cfRule>
  </conditionalFormatting>
  <conditionalFormatting sqref="AC27">
    <cfRule type="cellIs" dxfId="11689" priority="7589" operator="greaterThan">
      <formula>0</formula>
    </cfRule>
    <cfRule type="cellIs" dxfId="11688" priority="7590" operator="lessThanOrEqual">
      <formula>0</formula>
    </cfRule>
  </conditionalFormatting>
  <conditionalFormatting sqref="AB27">
    <cfRule type="cellIs" dxfId="11687" priority="7588" operator="greaterThanOrEqual">
      <formula>0</formula>
    </cfRule>
  </conditionalFormatting>
  <conditionalFormatting sqref="AB27">
    <cfRule type="cellIs" dxfId="11686" priority="7587" operator="lessThan">
      <formula>0</formula>
    </cfRule>
  </conditionalFormatting>
  <conditionalFormatting sqref="AG27">
    <cfRule type="cellIs" dxfId="11685" priority="7585" operator="greaterThan">
      <formula>0</formula>
    </cfRule>
    <cfRule type="cellIs" dxfId="11684" priority="7586" operator="lessThanOrEqual">
      <formula>0</formula>
    </cfRule>
  </conditionalFormatting>
  <conditionalFormatting sqref="AF27">
    <cfRule type="cellIs" dxfId="11683" priority="7584" operator="greaterThanOrEqual">
      <formula>0</formula>
    </cfRule>
  </conditionalFormatting>
  <conditionalFormatting sqref="AF27">
    <cfRule type="cellIs" dxfId="11682" priority="7583" operator="lessThan">
      <formula>0</formula>
    </cfRule>
  </conditionalFormatting>
  <conditionalFormatting sqref="AI27">
    <cfRule type="cellIs" dxfId="11681" priority="7582" operator="greaterThanOrEqual">
      <formula>0</formula>
    </cfRule>
  </conditionalFormatting>
  <conditionalFormatting sqref="AI27">
    <cfRule type="cellIs" dxfId="11680" priority="7581" operator="lessThan">
      <formula>0</formula>
    </cfRule>
  </conditionalFormatting>
  <conditionalFormatting sqref="AJ27">
    <cfRule type="cellIs" dxfId="11679" priority="7580" operator="greaterThanOrEqual">
      <formula>0</formula>
    </cfRule>
  </conditionalFormatting>
  <conditionalFormatting sqref="AJ27">
    <cfRule type="cellIs" dxfId="11678" priority="7579" operator="lessThan">
      <formula>0</formula>
    </cfRule>
  </conditionalFormatting>
  <conditionalFormatting sqref="AC90">
    <cfRule type="cellIs" dxfId="11677" priority="7577" operator="greaterThan">
      <formula>0</formula>
    </cfRule>
    <cfRule type="cellIs" dxfId="11676" priority="7578" operator="lessThanOrEqual">
      <formula>0</formula>
    </cfRule>
  </conditionalFormatting>
  <conditionalFormatting sqref="AB90">
    <cfRule type="cellIs" dxfId="11675" priority="7576" operator="greaterThanOrEqual">
      <formula>0</formula>
    </cfRule>
  </conditionalFormatting>
  <conditionalFormatting sqref="AB90">
    <cfRule type="cellIs" dxfId="11674" priority="7575" operator="lessThan">
      <formula>0</formula>
    </cfRule>
  </conditionalFormatting>
  <conditionalFormatting sqref="AG90">
    <cfRule type="cellIs" dxfId="11673" priority="7573" operator="greaterThan">
      <formula>0</formula>
    </cfRule>
    <cfRule type="cellIs" dxfId="11672" priority="7574" operator="lessThanOrEqual">
      <formula>0</formula>
    </cfRule>
  </conditionalFormatting>
  <conditionalFormatting sqref="AF90">
    <cfRule type="cellIs" dxfId="11671" priority="7572" operator="greaterThanOrEqual">
      <formula>0</formula>
    </cfRule>
  </conditionalFormatting>
  <conditionalFormatting sqref="AF90">
    <cfRule type="cellIs" dxfId="11670" priority="7571" operator="lessThan">
      <formula>0</formula>
    </cfRule>
  </conditionalFormatting>
  <conditionalFormatting sqref="AI90">
    <cfRule type="cellIs" dxfId="11669" priority="7570" operator="greaterThanOrEqual">
      <formula>0</formula>
    </cfRule>
  </conditionalFormatting>
  <conditionalFormatting sqref="AI90">
    <cfRule type="cellIs" dxfId="11668" priority="7569" operator="lessThan">
      <formula>0</formula>
    </cfRule>
  </conditionalFormatting>
  <conditionalFormatting sqref="AJ90">
    <cfRule type="cellIs" dxfId="11667" priority="7568" operator="greaterThanOrEqual">
      <formula>0</formula>
    </cfRule>
  </conditionalFormatting>
  <conditionalFormatting sqref="AJ90">
    <cfRule type="cellIs" dxfId="11666" priority="7567" operator="lessThan">
      <formula>0</formula>
    </cfRule>
  </conditionalFormatting>
  <conditionalFormatting sqref="AC147">
    <cfRule type="cellIs" dxfId="11665" priority="7565" operator="greaterThan">
      <formula>0</formula>
    </cfRule>
    <cfRule type="cellIs" dxfId="11664" priority="7566" operator="lessThanOrEqual">
      <formula>0</formula>
    </cfRule>
  </conditionalFormatting>
  <conditionalFormatting sqref="AF147 AI147:AJ147 AB147">
    <cfRule type="cellIs" dxfId="11663" priority="7564" operator="greaterThanOrEqual">
      <formula>0</formula>
    </cfRule>
  </conditionalFormatting>
  <conditionalFormatting sqref="AF147 AI147:AJ147 AB147">
    <cfRule type="cellIs" dxfId="11662" priority="7563" operator="lessThan">
      <formula>0</formula>
    </cfRule>
  </conditionalFormatting>
  <conditionalFormatting sqref="AG147">
    <cfRule type="cellIs" dxfId="11661" priority="7561" operator="greaterThan">
      <formula>0</formula>
    </cfRule>
    <cfRule type="cellIs" dxfId="11660" priority="7562" operator="lessThanOrEqual">
      <formula>0</formula>
    </cfRule>
  </conditionalFormatting>
  <conditionalFormatting sqref="AN13:AN14">
    <cfRule type="cellIs" dxfId="11659" priority="7559" operator="greaterThan">
      <formula>0</formula>
    </cfRule>
    <cfRule type="cellIs" dxfId="11658" priority="7560" operator="lessThanOrEqual">
      <formula>0</formula>
    </cfRule>
  </conditionalFormatting>
  <conditionalFormatting sqref="AN16:AN17">
    <cfRule type="cellIs" dxfId="11657" priority="7557" operator="greaterThan">
      <formula>0</formula>
    </cfRule>
    <cfRule type="cellIs" dxfId="11656" priority="7558" operator="lessThanOrEqual">
      <formula>0</formula>
    </cfRule>
  </conditionalFormatting>
  <conditionalFormatting sqref="AN19:AN20">
    <cfRule type="cellIs" dxfId="11655" priority="7555" operator="greaterThan">
      <formula>0</formula>
    </cfRule>
    <cfRule type="cellIs" dxfId="11654" priority="7556" operator="lessThanOrEqual">
      <formula>0</formula>
    </cfRule>
  </conditionalFormatting>
  <conditionalFormatting sqref="AN29:AN30">
    <cfRule type="cellIs" dxfId="11653" priority="7553" operator="greaterThan">
      <formula>0</formula>
    </cfRule>
    <cfRule type="cellIs" dxfId="11652" priority="7554" operator="lessThanOrEqual">
      <formula>0</formula>
    </cfRule>
  </conditionalFormatting>
  <conditionalFormatting sqref="AN22:AN23">
    <cfRule type="cellIs" dxfId="11651" priority="7551" operator="greaterThan">
      <formula>0</formula>
    </cfRule>
    <cfRule type="cellIs" dxfId="11650" priority="7552" operator="lessThanOrEqual">
      <formula>0</formula>
    </cfRule>
  </conditionalFormatting>
  <conditionalFormatting sqref="AN32:AN33">
    <cfRule type="cellIs" dxfId="11649" priority="7549" operator="greaterThan">
      <formula>0</formula>
    </cfRule>
    <cfRule type="cellIs" dxfId="11648" priority="7550" operator="lessThanOrEqual">
      <formula>0</formula>
    </cfRule>
  </conditionalFormatting>
  <conditionalFormatting sqref="AN35:AN36">
    <cfRule type="cellIs" dxfId="11647" priority="7547" operator="greaterThan">
      <formula>0</formula>
    </cfRule>
    <cfRule type="cellIs" dxfId="11646" priority="7548" operator="lessThanOrEqual">
      <formula>0</formula>
    </cfRule>
  </conditionalFormatting>
  <conditionalFormatting sqref="AN38:AN39">
    <cfRule type="cellIs" dxfId="11645" priority="7545" operator="greaterThan">
      <formula>0</formula>
    </cfRule>
    <cfRule type="cellIs" dxfId="11644" priority="7546" operator="lessThanOrEqual">
      <formula>0</formula>
    </cfRule>
  </conditionalFormatting>
  <conditionalFormatting sqref="AN48:AN49">
    <cfRule type="cellIs" dxfId="11643" priority="7543" operator="greaterThan">
      <formula>0</formula>
    </cfRule>
    <cfRule type="cellIs" dxfId="11642" priority="7544" operator="lessThanOrEqual">
      <formula>0</formula>
    </cfRule>
  </conditionalFormatting>
  <conditionalFormatting sqref="AN63:AN64">
    <cfRule type="cellIs" dxfId="11641" priority="7541" operator="greaterThan">
      <formula>0</formula>
    </cfRule>
    <cfRule type="cellIs" dxfId="11640" priority="7542" operator="lessThanOrEqual">
      <formula>0</formula>
    </cfRule>
  </conditionalFormatting>
  <conditionalFormatting sqref="AN53:AN54">
    <cfRule type="cellIs" dxfId="11639" priority="7539" operator="greaterThan">
      <formula>0</formula>
    </cfRule>
    <cfRule type="cellIs" dxfId="11638" priority="7540" operator="lessThanOrEqual">
      <formula>0</formula>
    </cfRule>
  </conditionalFormatting>
  <conditionalFormatting sqref="AN15">
    <cfRule type="cellIs" dxfId="11637" priority="7537" operator="greaterThan">
      <formula>0</formula>
    </cfRule>
    <cfRule type="cellIs" dxfId="11636" priority="7538" operator="lessThanOrEqual">
      <formula>0</formula>
    </cfRule>
  </conditionalFormatting>
  <conditionalFormatting sqref="AN18">
    <cfRule type="cellIs" dxfId="11635" priority="7535" operator="greaterThan">
      <formula>0</formula>
    </cfRule>
    <cfRule type="cellIs" dxfId="11634" priority="7536" operator="lessThanOrEqual">
      <formula>0</formula>
    </cfRule>
  </conditionalFormatting>
  <conditionalFormatting sqref="AN21">
    <cfRule type="cellIs" dxfId="11633" priority="7533" operator="greaterThan">
      <formula>0</formula>
    </cfRule>
    <cfRule type="cellIs" dxfId="11632" priority="7534" operator="lessThanOrEqual">
      <formula>0</formula>
    </cfRule>
  </conditionalFormatting>
  <conditionalFormatting sqref="AN31">
    <cfRule type="cellIs" dxfId="11631" priority="7531" operator="greaterThan">
      <formula>0</formula>
    </cfRule>
    <cfRule type="cellIs" dxfId="11630" priority="7532" operator="lessThanOrEqual">
      <formula>0</formula>
    </cfRule>
  </conditionalFormatting>
  <conditionalFormatting sqref="AN24">
    <cfRule type="cellIs" dxfId="11629" priority="7529" operator="greaterThan">
      <formula>0</formula>
    </cfRule>
    <cfRule type="cellIs" dxfId="11628" priority="7530" operator="lessThanOrEqual">
      <formula>0</formula>
    </cfRule>
  </conditionalFormatting>
  <conditionalFormatting sqref="AN34">
    <cfRule type="cellIs" dxfId="11627" priority="7527" operator="greaterThan">
      <formula>0</formula>
    </cfRule>
    <cfRule type="cellIs" dxfId="11626" priority="7528" operator="lessThanOrEqual">
      <formula>0</formula>
    </cfRule>
  </conditionalFormatting>
  <conditionalFormatting sqref="AN37">
    <cfRule type="cellIs" dxfId="11625" priority="7525" operator="greaterThan">
      <formula>0</formula>
    </cfRule>
    <cfRule type="cellIs" dxfId="11624" priority="7526" operator="lessThanOrEqual">
      <formula>0</formula>
    </cfRule>
  </conditionalFormatting>
  <conditionalFormatting sqref="AN40">
    <cfRule type="cellIs" dxfId="11623" priority="7523" operator="greaterThan">
      <formula>0</formula>
    </cfRule>
    <cfRule type="cellIs" dxfId="11622" priority="7524" operator="lessThanOrEqual">
      <formula>0</formula>
    </cfRule>
  </conditionalFormatting>
  <conditionalFormatting sqref="AN26">
    <cfRule type="cellIs" dxfId="11621" priority="7521" operator="greaterThan">
      <formula>0</formula>
    </cfRule>
    <cfRule type="cellIs" dxfId="11620" priority="7522" operator="lessThanOrEqual">
      <formula>0</formula>
    </cfRule>
  </conditionalFormatting>
  <conditionalFormatting sqref="AN66 AN68 AN71">
    <cfRule type="cellIs" dxfId="11619" priority="7519" operator="greaterThan">
      <formula>0</formula>
    </cfRule>
    <cfRule type="cellIs" dxfId="11618" priority="7520" operator="lessThanOrEqual">
      <formula>0</formula>
    </cfRule>
  </conditionalFormatting>
  <conditionalFormatting sqref="AM13:AM14 AM16:AM17 AM19:AM20 AM22:AM23 AM29:AM30 AM32:AM33 AM35:AM36 AM38:AM39 AM48:AM49 AM53:AM54">
    <cfRule type="cellIs" dxfId="11617" priority="7517" operator="lessThan">
      <formula>0</formula>
    </cfRule>
    <cfRule type="cellIs" dxfId="11616" priority="7518" operator="greaterThanOrEqual">
      <formula>0</formula>
    </cfRule>
  </conditionalFormatting>
  <conditionalFormatting sqref="AM15 AM18 AM21 AM24 AM26 AM31 AM34 AM37 AM40">
    <cfRule type="cellIs" dxfId="11615" priority="7516" operator="greaterThanOrEqual">
      <formula>0</formula>
    </cfRule>
  </conditionalFormatting>
  <conditionalFormatting sqref="AM15 AM18 AM21 AM24 AM26 AM31 AM34 AM37 AM40">
    <cfRule type="cellIs" dxfId="11614" priority="7515" operator="lessThan">
      <formula>0</formula>
    </cfRule>
  </conditionalFormatting>
  <conditionalFormatting sqref="AN73">
    <cfRule type="cellIs" dxfId="11613" priority="7513" operator="greaterThan">
      <formula>0</formula>
    </cfRule>
    <cfRule type="cellIs" dxfId="11612" priority="7514" operator="lessThanOrEqual">
      <formula>0</formula>
    </cfRule>
  </conditionalFormatting>
  <conditionalFormatting sqref="AN67">
    <cfRule type="cellIs" dxfId="11611" priority="7511" operator="greaterThan">
      <formula>0</formula>
    </cfRule>
    <cfRule type="cellIs" dxfId="11610" priority="7512" operator="lessThanOrEqual">
      <formula>0</formula>
    </cfRule>
  </conditionalFormatting>
  <conditionalFormatting sqref="AM67">
    <cfRule type="cellIs" dxfId="11609" priority="7509" operator="greaterThanOrEqual">
      <formula>0</formula>
    </cfRule>
    <cfRule type="cellIs" dxfId="11608" priority="7510" operator="lessThan">
      <formula>0</formula>
    </cfRule>
  </conditionalFormatting>
  <conditionalFormatting sqref="AT13:AT14 AT16:AT17 AT19:AT20 AT22:AT23 AT29:AT30 AT32:AT33 AT35:AT36 AT38:AT39 AT48:AT49">
    <cfRule type="cellIs" dxfId="11607" priority="7507" operator="lessThan">
      <formula>0</formula>
    </cfRule>
    <cfRule type="cellIs" dxfId="11606" priority="7508" operator="greaterThanOrEqual">
      <formula>0</formula>
    </cfRule>
  </conditionalFormatting>
  <conditionalFormatting sqref="AT15 AT24 AT18 AT21 AT31 AT34 AT37 AT40">
    <cfRule type="cellIs" dxfId="11605" priority="7506" operator="greaterThanOrEqual">
      <formula>0</formula>
    </cfRule>
  </conditionalFormatting>
  <conditionalFormatting sqref="AT15 AT24 AT18 AT21 AT31 AT34 AT37 AT40">
    <cfRule type="cellIs" dxfId="11604" priority="7505" operator="lessThan">
      <formula>0</formula>
    </cfRule>
  </conditionalFormatting>
  <conditionalFormatting sqref="AT71 AT73">
    <cfRule type="cellIs" dxfId="11603" priority="7503" operator="lessThan">
      <formula>0</formula>
    </cfRule>
    <cfRule type="cellIs" dxfId="11602" priority="7504" operator="greaterThanOrEqual">
      <formula>0</formula>
    </cfRule>
  </conditionalFormatting>
  <conditionalFormatting sqref="AT67">
    <cfRule type="cellIs" dxfId="11601" priority="7501" operator="greaterThanOrEqual">
      <formula>0</formula>
    </cfRule>
    <cfRule type="cellIs" dxfId="11600" priority="7502" operator="lessThan">
      <formula>0</formula>
    </cfRule>
  </conditionalFormatting>
  <conditionalFormatting sqref="AU13:AU14">
    <cfRule type="cellIs" dxfId="11599" priority="7499" operator="greaterThan">
      <formula>0</formula>
    </cfRule>
    <cfRule type="cellIs" dxfId="11598" priority="7500" operator="lessThanOrEqual">
      <formula>0</formula>
    </cfRule>
  </conditionalFormatting>
  <conditionalFormatting sqref="AU68">
    <cfRule type="cellIs" dxfId="11597" priority="7497" operator="lessThan">
      <formula>0</formula>
    </cfRule>
    <cfRule type="cellIs" dxfId="11596" priority="7498" operator="greaterThanOrEqual">
      <formula>0</formula>
    </cfRule>
  </conditionalFormatting>
  <conditionalFormatting sqref="AU15 AU24 AU18 AU21 AU31 AU34 AU37 AU40">
    <cfRule type="cellIs" dxfId="11595" priority="7496" operator="greaterThanOrEqual">
      <formula>0</formula>
    </cfRule>
  </conditionalFormatting>
  <conditionalFormatting sqref="AU15 AU24 AU18 AU21 AU31 AU34 AU37 AU40">
    <cfRule type="cellIs" dxfId="11594" priority="7495" operator="lessThan">
      <formula>0</formula>
    </cfRule>
  </conditionalFormatting>
  <conditionalFormatting sqref="AT68">
    <cfRule type="cellIs" dxfId="11593" priority="7493" operator="lessThan">
      <formula>0</formula>
    </cfRule>
    <cfRule type="cellIs" dxfId="11592" priority="7494" operator="greaterThanOrEqual">
      <formula>0</formula>
    </cfRule>
  </conditionalFormatting>
  <conditionalFormatting sqref="AU71 AU73">
    <cfRule type="cellIs" dxfId="11591" priority="7491" operator="lessThan">
      <formula>0</formula>
    </cfRule>
    <cfRule type="cellIs" dxfId="11590" priority="7492" operator="greaterThanOrEqual">
      <formula>0</formula>
    </cfRule>
  </conditionalFormatting>
  <conditionalFormatting sqref="AU67">
    <cfRule type="cellIs" dxfId="11589" priority="7489" operator="lessThan">
      <formula>0</formula>
    </cfRule>
    <cfRule type="cellIs" dxfId="11588" priority="7490" operator="greaterThanOrEqual">
      <formula>0</formula>
    </cfRule>
  </conditionalFormatting>
  <conditionalFormatting sqref="AM62">
    <cfRule type="cellIs" dxfId="11587" priority="7470" operator="greaterThanOrEqual">
      <formula>0</formula>
    </cfRule>
  </conditionalFormatting>
  <conditionalFormatting sqref="AM62">
    <cfRule type="cellIs" dxfId="11586" priority="7469" operator="lessThan">
      <formula>0</formula>
    </cfRule>
  </conditionalFormatting>
  <conditionalFormatting sqref="AN44">
    <cfRule type="cellIs" dxfId="11585" priority="7479" operator="greaterThan">
      <formula>0</formula>
    </cfRule>
    <cfRule type="cellIs" dxfId="11584" priority="7480" operator="lessThanOrEqual">
      <formula>0</formula>
    </cfRule>
  </conditionalFormatting>
  <conditionalFormatting sqref="AN47">
    <cfRule type="cellIs" dxfId="11583" priority="7477" operator="greaterThan">
      <formula>0</formula>
    </cfRule>
    <cfRule type="cellIs" dxfId="11582" priority="7478" operator="lessThanOrEqual">
      <formula>0</formula>
    </cfRule>
  </conditionalFormatting>
  <conditionalFormatting sqref="AN50">
    <cfRule type="cellIs" dxfId="11581" priority="7475" operator="greaterThan">
      <formula>0</formula>
    </cfRule>
    <cfRule type="cellIs" dxfId="11580" priority="7476" operator="lessThanOrEqual">
      <formula>0</formula>
    </cfRule>
  </conditionalFormatting>
  <conditionalFormatting sqref="AN28">
    <cfRule type="cellIs" dxfId="11579" priority="7487" operator="greaterThan">
      <formula>0</formula>
    </cfRule>
    <cfRule type="cellIs" dxfId="11578" priority="7488" operator="lessThanOrEqual">
      <formula>0</formula>
    </cfRule>
  </conditionalFormatting>
  <conditionalFormatting sqref="AN41">
    <cfRule type="cellIs" dxfId="11577" priority="7485" operator="greaterThan">
      <formula>0</formula>
    </cfRule>
    <cfRule type="cellIs" dxfId="11576" priority="7486" operator="lessThanOrEqual">
      <formula>0</formula>
    </cfRule>
  </conditionalFormatting>
  <conditionalFormatting sqref="AQ182">
    <cfRule type="cellIs" dxfId="11575" priority="7274" operator="greaterThanOrEqual">
      <formula>0</formula>
    </cfRule>
  </conditionalFormatting>
  <conditionalFormatting sqref="AQ182">
    <cfRule type="cellIs" dxfId="11574" priority="7273" operator="lessThan">
      <formula>0</formula>
    </cfRule>
  </conditionalFormatting>
  <conditionalFormatting sqref="AN42:AN43 AN45:AN46">
    <cfRule type="cellIs" dxfId="11573" priority="7483" operator="greaterThan">
      <formula>0</formula>
    </cfRule>
    <cfRule type="cellIs" dxfId="11572" priority="7484" operator="lessThanOrEqual">
      <formula>0</formula>
    </cfRule>
  </conditionalFormatting>
  <conditionalFormatting sqref="AN57:AN58 AN60:AN61">
    <cfRule type="cellIs" dxfId="11571" priority="7481" operator="greaterThan">
      <formula>0</formula>
    </cfRule>
    <cfRule type="cellIs" dxfId="11570" priority="7482" operator="lessThanOrEqual">
      <formula>0</formula>
    </cfRule>
  </conditionalFormatting>
  <conditionalFormatting sqref="AN59">
    <cfRule type="cellIs" dxfId="11569" priority="7473" operator="greaterThan">
      <formula>0</formula>
    </cfRule>
    <cfRule type="cellIs" dxfId="11568" priority="7474" operator="lessThanOrEqual">
      <formula>0</formula>
    </cfRule>
  </conditionalFormatting>
  <conditionalFormatting sqref="AN62">
    <cfRule type="cellIs" dxfId="11567" priority="7471" operator="greaterThan">
      <formula>0</formula>
    </cfRule>
    <cfRule type="cellIs" dxfId="11566" priority="7472" operator="lessThanOrEqual">
      <formula>0</formula>
    </cfRule>
  </conditionalFormatting>
  <conditionalFormatting sqref="AN65">
    <cfRule type="cellIs" dxfId="11565" priority="7467" operator="greaterThan">
      <formula>0</formula>
    </cfRule>
    <cfRule type="cellIs" dxfId="11564" priority="7468" operator="lessThanOrEqual">
      <formula>0</formula>
    </cfRule>
  </conditionalFormatting>
  <conditionalFormatting sqref="AR47">
    <cfRule type="cellIs" dxfId="11563" priority="7137" operator="greaterThan">
      <formula>0</formula>
    </cfRule>
    <cfRule type="cellIs" dxfId="11562" priority="7138" operator="lessThanOrEqual">
      <formula>0</formula>
    </cfRule>
  </conditionalFormatting>
  <conditionalFormatting sqref="AR59">
    <cfRule type="cellIs" dxfId="11561" priority="7133" operator="greaterThan">
      <formula>0</formula>
    </cfRule>
    <cfRule type="cellIs" dxfId="11560" priority="7134" operator="lessThanOrEqual">
      <formula>0</formula>
    </cfRule>
  </conditionalFormatting>
  <conditionalFormatting sqref="AQ62">
    <cfRule type="cellIs" dxfId="11559" priority="7130" operator="greaterThanOrEqual">
      <formula>0</formula>
    </cfRule>
  </conditionalFormatting>
  <conditionalFormatting sqref="AQ62">
    <cfRule type="cellIs" dxfId="11558" priority="7129" operator="lessThan">
      <formula>0</formula>
    </cfRule>
  </conditionalFormatting>
  <conditionalFormatting sqref="AN134">
    <cfRule type="cellIs" dxfId="11557" priority="7465" operator="greaterThan">
      <formula>0</formula>
    </cfRule>
    <cfRule type="cellIs" dxfId="11556" priority="7466" operator="lessThanOrEqual">
      <formula>0</formula>
    </cfRule>
  </conditionalFormatting>
  <conditionalFormatting sqref="AN136:AN137">
    <cfRule type="cellIs" dxfId="11555" priority="7463" operator="greaterThan">
      <formula>0</formula>
    </cfRule>
    <cfRule type="cellIs" dxfId="11554" priority="7464" operator="lessThanOrEqual">
      <formula>0</formula>
    </cfRule>
  </conditionalFormatting>
  <conditionalFormatting sqref="AN173:AN174">
    <cfRule type="cellIs" dxfId="11553" priority="7445" operator="greaterThan">
      <formula>0</formula>
    </cfRule>
    <cfRule type="cellIs" dxfId="11552" priority="7446" operator="lessThanOrEqual">
      <formula>0</formula>
    </cfRule>
  </conditionalFormatting>
  <conditionalFormatting sqref="AN144">
    <cfRule type="cellIs" dxfId="11551" priority="7435" operator="greaterThan">
      <formula>0</formula>
    </cfRule>
    <cfRule type="cellIs" dxfId="11550" priority="7436" operator="lessThanOrEqual">
      <formula>0</formula>
    </cfRule>
  </conditionalFormatting>
  <conditionalFormatting sqref="AN154">
    <cfRule type="cellIs" dxfId="11549" priority="7433" operator="greaterThan">
      <formula>0</formula>
    </cfRule>
    <cfRule type="cellIs" dxfId="11548" priority="7434" operator="lessThanOrEqual">
      <formula>0</formula>
    </cfRule>
  </conditionalFormatting>
  <conditionalFormatting sqref="AN157">
    <cfRule type="cellIs" dxfId="11547" priority="7431" operator="greaterThan">
      <formula>0</formula>
    </cfRule>
    <cfRule type="cellIs" dxfId="11546" priority="7432" operator="lessThanOrEqual">
      <formula>0</formula>
    </cfRule>
  </conditionalFormatting>
  <conditionalFormatting sqref="AM164">
    <cfRule type="cellIs" dxfId="11545" priority="7316" operator="greaterThanOrEqual">
      <formula>0</formula>
    </cfRule>
  </conditionalFormatting>
  <conditionalFormatting sqref="AM164">
    <cfRule type="cellIs" dxfId="11544" priority="7315" operator="lessThan">
      <formula>0</formula>
    </cfRule>
  </conditionalFormatting>
  <conditionalFormatting sqref="AN164">
    <cfRule type="cellIs" dxfId="11543" priority="7317" operator="greaterThan">
      <formula>0</formula>
    </cfRule>
    <cfRule type="cellIs" dxfId="11542" priority="7318" operator="lessThanOrEqual">
      <formula>0</formula>
    </cfRule>
  </conditionalFormatting>
  <conditionalFormatting sqref="AQ185">
    <cfRule type="cellIs" dxfId="11541" priority="7264" operator="greaterThanOrEqual">
      <formula>0</formula>
    </cfRule>
  </conditionalFormatting>
  <conditionalFormatting sqref="AQ185">
    <cfRule type="cellIs" dxfId="11540" priority="7263" operator="lessThan">
      <formula>0</formula>
    </cfRule>
  </conditionalFormatting>
  <conditionalFormatting sqref="AU145">
    <cfRule type="cellIs" dxfId="11539" priority="7362" operator="greaterThanOrEqual">
      <formula>0</formula>
    </cfRule>
  </conditionalFormatting>
  <conditionalFormatting sqref="AU145">
    <cfRule type="cellIs" dxfId="11538" priority="7361" operator="lessThan">
      <formula>0</formula>
    </cfRule>
  </conditionalFormatting>
  <conditionalFormatting sqref="AQ160 AQ186">
    <cfRule type="cellIs" dxfId="11537" priority="7414" operator="greaterThanOrEqual">
      <formula>0</formula>
    </cfRule>
  </conditionalFormatting>
  <conditionalFormatting sqref="AQ160 AQ186">
    <cfRule type="cellIs" dxfId="11536" priority="7413" operator="lessThan">
      <formula>0</formula>
    </cfRule>
  </conditionalFormatting>
  <conditionalFormatting sqref="AN171">
    <cfRule type="cellIs" dxfId="11535" priority="7343" operator="greaterThan">
      <formula>0</formula>
    </cfRule>
    <cfRule type="cellIs" dxfId="11534" priority="7344" operator="lessThanOrEqual">
      <formula>0</formula>
    </cfRule>
  </conditionalFormatting>
  <conditionalFormatting sqref="AM171">
    <cfRule type="cellIs" dxfId="11533" priority="7342" operator="greaterThanOrEqual">
      <formula>0</formula>
    </cfRule>
  </conditionalFormatting>
  <conditionalFormatting sqref="AM171">
    <cfRule type="cellIs" dxfId="11532" priority="7341" operator="lessThan">
      <formula>0</formula>
    </cfRule>
  </conditionalFormatting>
  <conditionalFormatting sqref="AU167">
    <cfRule type="cellIs" dxfId="11531" priority="7300" operator="greaterThanOrEqual">
      <formula>0</formula>
    </cfRule>
  </conditionalFormatting>
  <conditionalFormatting sqref="AU167">
    <cfRule type="cellIs" dxfId="11530" priority="7299" operator="lessThan">
      <formula>0</formula>
    </cfRule>
  </conditionalFormatting>
  <conditionalFormatting sqref="AN139:AN140">
    <cfRule type="cellIs" dxfId="11529" priority="7461" operator="greaterThan">
      <formula>0</formula>
    </cfRule>
    <cfRule type="cellIs" dxfId="11528" priority="7462" operator="lessThanOrEqual">
      <formula>0</formula>
    </cfRule>
  </conditionalFormatting>
  <conditionalFormatting sqref="AN149:AN150">
    <cfRule type="cellIs" dxfId="11527" priority="7459" operator="greaterThan">
      <formula>0</formula>
    </cfRule>
    <cfRule type="cellIs" dxfId="11526" priority="7460" operator="lessThanOrEqual">
      <formula>0</formula>
    </cfRule>
  </conditionalFormatting>
  <conditionalFormatting sqref="AN142:AN143">
    <cfRule type="cellIs" dxfId="11525" priority="7457" operator="greaterThan">
      <formula>0</formula>
    </cfRule>
    <cfRule type="cellIs" dxfId="11524" priority="7458" operator="lessThanOrEqual">
      <formula>0</formula>
    </cfRule>
  </conditionalFormatting>
  <conditionalFormatting sqref="AN152:AN153">
    <cfRule type="cellIs" dxfId="11523" priority="7455" operator="greaterThan">
      <formula>0</formula>
    </cfRule>
    <cfRule type="cellIs" dxfId="11522" priority="7456" operator="lessThanOrEqual">
      <formula>0</formula>
    </cfRule>
  </conditionalFormatting>
  <conditionalFormatting sqref="AN155:AN156">
    <cfRule type="cellIs" dxfId="11521" priority="7453" operator="greaterThan">
      <formula>0</formula>
    </cfRule>
    <cfRule type="cellIs" dxfId="11520" priority="7454" operator="lessThanOrEqual">
      <formula>0</formula>
    </cfRule>
  </conditionalFormatting>
  <conditionalFormatting sqref="AN158:AN159">
    <cfRule type="cellIs" dxfId="11519" priority="7451" operator="greaterThan">
      <formula>0</formula>
    </cfRule>
    <cfRule type="cellIs" dxfId="11518" priority="7452" operator="lessThanOrEqual">
      <formula>0</formula>
    </cfRule>
  </conditionalFormatting>
  <conditionalFormatting sqref="AN168:AN169">
    <cfRule type="cellIs" dxfId="11517" priority="7449" operator="greaterThan">
      <formula>0</formula>
    </cfRule>
    <cfRule type="cellIs" dxfId="11516" priority="7450" operator="lessThanOrEqual">
      <formula>0</formula>
    </cfRule>
  </conditionalFormatting>
  <conditionalFormatting sqref="AN183:AN184">
    <cfRule type="cellIs" dxfId="11515" priority="7447" operator="greaterThan">
      <formula>0</formula>
    </cfRule>
    <cfRule type="cellIs" dxfId="11514" priority="7448" operator="lessThanOrEqual">
      <formula>0</formula>
    </cfRule>
  </conditionalFormatting>
  <conditionalFormatting sqref="AN135">
    <cfRule type="cellIs" dxfId="11513" priority="7443" operator="greaterThan">
      <formula>0</formula>
    </cfRule>
    <cfRule type="cellIs" dxfId="11512" priority="7444" operator="lessThanOrEqual">
      <formula>0</formula>
    </cfRule>
  </conditionalFormatting>
  <conditionalFormatting sqref="AN138">
    <cfRule type="cellIs" dxfId="11511" priority="7441" operator="greaterThan">
      <formula>0</formula>
    </cfRule>
    <cfRule type="cellIs" dxfId="11510" priority="7442" operator="lessThanOrEqual">
      <formula>0</formula>
    </cfRule>
  </conditionalFormatting>
  <conditionalFormatting sqref="AN141">
    <cfRule type="cellIs" dxfId="11509" priority="7439" operator="greaterThan">
      <formula>0</formula>
    </cfRule>
    <cfRule type="cellIs" dxfId="11508" priority="7440" operator="lessThanOrEqual">
      <formula>0</formula>
    </cfRule>
  </conditionalFormatting>
  <conditionalFormatting sqref="AN151">
    <cfRule type="cellIs" dxfId="11507" priority="7437" operator="greaterThan">
      <formula>0</formula>
    </cfRule>
    <cfRule type="cellIs" dxfId="11506" priority="7438" operator="lessThanOrEqual">
      <formula>0</formula>
    </cfRule>
  </conditionalFormatting>
  <conditionalFormatting sqref="AN160">
    <cfRule type="cellIs" dxfId="11505" priority="7429" operator="greaterThan">
      <formula>0</formula>
    </cfRule>
    <cfRule type="cellIs" dxfId="11504" priority="7430" operator="lessThanOrEqual">
      <formula>0</formula>
    </cfRule>
  </conditionalFormatting>
  <conditionalFormatting sqref="AN146">
    <cfRule type="cellIs" dxfId="11503" priority="7427" operator="greaterThan">
      <formula>0</formula>
    </cfRule>
    <cfRule type="cellIs" dxfId="11502" priority="7428" operator="lessThanOrEqual">
      <formula>0</formula>
    </cfRule>
  </conditionalFormatting>
  <conditionalFormatting sqref="AN186">
    <cfRule type="cellIs" dxfId="11501" priority="7425" operator="greaterThan">
      <formula>0</formula>
    </cfRule>
    <cfRule type="cellIs" dxfId="11500" priority="7426" operator="lessThanOrEqual">
      <formula>0</formula>
    </cfRule>
  </conditionalFormatting>
  <conditionalFormatting sqref="AM133:AM134 AM136:AM137 AM139:AM140 AM149:AM150 AM142:AM143 AM152:AM153 AM155:AM156 AM158:AM159 AM168:AM169 AM183:AM184 AM173:AM174 AQ183:AQ184 AQ173:AQ174 AT183:AU184 AT173:AU174">
    <cfRule type="cellIs" dxfId="11499" priority="7423" operator="lessThan">
      <formula>0</formula>
    </cfRule>
    <cfRule type="cellIs" dxfId="11498" priority="7424" operator="greaterThanOrEqual">
      <formula>0</formula>
    </cfRule>
  </conditionalFormatting>
  <conditionalFormatting sqref="AM135 AM138 AM141 AM154 AM157 AM160 AM186 AQ146 AT146:AU146 AM151 AM144 AM146">
    <cfRule type="cellIs" dxfId="11497" priority="7422" operator="greaterThanOrEqual">
      <formula>0</formula>
    </cfRule>
  </conditionalFormatting>
  <conditionalFormatting sqref="AM135 AM138 AM141 AM154 AM157 AM160 AM186 AQ146 AT146:AU146 AM151 AM144 AM146">
    <cfRule type="cellIs" dxfId="11496" priority="7421" operator="lessThan">
      <formula>0</formula>
    </cfRule>
  </conditionalFormatting>
  <conditionalFormatting sqref="AQ133:AQ134 AQ136:AQ137 AQ139:AQ140 AQ149:AQ150 AQ142:AQ143 AQ152:AQ153 AQ155:AQ156">
    <cfRule type="cellIs" dxfId="11495" priority="7419" operator="lessThan">
      <formula>0</formula>
    </cfRule>
    <cfRule type="cellIs" dxfId="11494" priority="7420" operator="greaterThanOrEqual">
      <formula>0</formula>
    </cfRule>
  </conditionalFormatting>
  <conditionalFormatting sqref="AQ135 AQ138 AQ141 AQ151 AQ144 AQ154 AQ157">
    <cfRule type="cellIs" dxfId="11493" priority="7418" operator="greaterThanOrEqual">
      <formula>0</formula>
    </cfRule>
  </conditionalFormatting>
  <conditionalFormatting sqref="AQ135 AQ138 AQ141 AQ151 AQ144 AQ154 AQ157">
    <cfRule type="cellIs" dxfId="11492" priority="7417" operator="lessThan">
      <formula>0</formula>
    </cfRule>
  </conditionalFormatting>
  <conditionalFormatting sqref="AQ158:AQ159 AQ168:AQ169">
    <cfRule type="cellIs" dxfId="11491" priority="7415" operator="lessThan">
      <formula>0</formula>
    </cfRule>
    <cfRule type="cellIs" dxfId="11490" priority="7416" operator="greaterThanOrEqual">
      <formula>0</formula>
    </cfRule>
  </conditionalFormatting>
  <conditionalFormatting sqref="AN187">
    <cfRule type="cellIs" dxfId="11489" priority="7411" operator="greaterThan">
      <formula>0</formula>
    </cfRule>
    <cfRule type="cellIs" dxfId="11488" priority="7412" operator="lessThanOrEqual">
      <formula>0</formula>
    </cfRule>
  </conditionalFormatting>
  <conditionalFormatting sqref="AQ187">
    <cfRule type="cellIs" dxfId="11487" priority="7409" operator="greaterThanOrEqual">
      <formula>0</formula>
    </cfRule>
    <cfRule type="cellIs" dxfId="11486" priority="7410" operator="lessThan">
      <formula>0</formula>
    </cfRule>
  </conditionalFormatting>
  <conditionalFormatting sqref="AM187">
    <cfRule type="cellIs" dxfId="11485" priority="7407" operator="greaterThanOrEqual">
      <formula>0</formula>
    </cfRule>
    <cfRule type="cellIs" dxfId="11484" priority="7408" operator="lessThan">
      <formula>0</formula>
    </cfRule>
  </conditionalFormatting>
  <conditionalFormatting sqref="AT133:AT134 AT136:AT137 AT139:AT140 AT149:AT150 AT142:AT143 AT152:AT153 AT155:AT156 AT158:AT159 AT168:AT169">
    <cfRule type="cellIs" dxfId="11483" priority="7405" operator="lessThan">
      <formula>0</formula>
    </cfRule>
    <cfRule type="cellIs" dxfId="11482" priority="7406" operator="greaterThanOrEqual">
      <formula>0</formula>
    </cfRule>
  </conditionalFormatting>
  <conditionalFormatting sqref="AT135 AT138 AT141 AT151 AT144 AT154 AT157 AT160 AT186">
    <cfRule type="cellIs" dxfId="11481" priority="7404" operator="greaterThanOrEqual">
      <formula>0</formula>
    </cfRule>
  </conditionalFormatting>
  <conditionalFormatting sqref="AT135 AT138 AT141 AT151 AT144 AT154 AT157 AT160 AT186">
    <cfRule type="cellIs" dxfId="11480" priority="7403" operator="lessThan">
      <formula>0</formula>
    </cfRule>
  </conditionalFormatting>
  <conditionalFormatting sqref="AT187">
    <cfRule type="cellIs" dxfId="11479" priority="7401" operator="greaterThanOrEqual">
      <formula>0</formula>
    </cfRule>
    <cfRule type="cellIs" dxfId="11478" priority="7402" operator="lessThan">
      <formula>0</formula>
    </cfRule>
  </conditionalFormatting>
  <conditionalFormatting sqref="AU133:AU134">
    <cfRule type="cellIs" dxfId="11477" priority="7399" operator="greaterThan">
      <formula>0</formula>
    </cfRule>
    <cfRule type="cellIs" dxfId="11476" priority="7400" operator="lessThanOrEqual">
      <formula>0</formula>
    </cfRule>
  </conditionalFormatting>
  <conditionalFormatting sqref="AU136:AU137">
    <cfRule type="cellIs" dxfId="11475" priority="7397" operator="greaterThan">
      <formula>0</formula>
    </cfRule>
    <cfRule type="cellIs" dxfId="11474" priority="7398" operator="lessThanOrEqual">
      <formula>0</formula>
    </cfRule>
  </conditionalFormatting>
  <conditionalFormatting sqref="AU139:AU140">
    <cfRule type="cellIs" dxfId="11473" priority="7395" operator="greaterThan">
      <formula>0</formula>
    </cfRule>
    <cfRule type="cellIs" dxfId="11472" priority="7396" operator="lessThanOrEqual">
      <formula>0</formula>
    </cfRule>
  </conditionalFormatting>
  <conditionalFormatting sqref="AU149:AU150">
    <cfRule type="cellIs" dxfId="11471" priority="7393" operator="greaterThan">
      <formula>0</formula>
    </cfRule>
    <cfRule type="cellIs" dxfId="11470" priority="7394" operator="lessThanOrEqual">
      <formula>0</formula>
    </cfRule>
  </conditionalFormatting>
  <conditionalFormatting sqref="AU142:AU143">
    <cfRule type="cellIs" dxfId="11469" priority="7391" operator="greaterThan">
      <formula>0</formula>
    </cfRule>
    <cfRule type="cellIs" dxfId="11468" priority="7392" operator="lessThanOrEqual">
      <formula>0</formula>
    </cfRule>
  </conditionalFormatting>
  <conditionalFormatting sqref="AU152:AU153">
    <cfRule type="cellIs" dxfId="11467" priority="7389" operator="greaterThan">
      <formula>0</formula>
    </cfRule>
    <cfRule type="cellIs" dxfId="11466" priority="7390" operator="lessThanOrEqual">
      <formula>0</formula>
    </cfRule>
  </conditionalFormatting>
  <conditionalFormatting sqref="AU155:AU156">
    <cfRule type="cellIs" dxfId="11465" priority="7387" operator="greaterThan">
      <formula>0</formula>
    </cfRule>
    <cfRule type="cellIs" dxfId="11464" priority="7388" operator="lessThanOrEqual">
      <formula>0</formula>
    </cfRule>
  </conditionalFormatting>
  <conditionalFormatting sqref="AU158:AU159 AU168:AU169">
    <cfRule type="cellIs" dxfId="11463" priority="7385" operator="lessThan">
      <formula>0</formula>
    </cfRule>
    <cfRule type="cellIs" dxfId="11462" priority="7386" operator="greaterThanOrEqual">
      <formula>0</formula>
    </cfRule>
  </conditionalFormatting>
  <conditionalFormatting sqref="AU135 AU138 AU141 AU151 AU144 AU154 AU157 AU160 AU186">
    <cfRule type="cellIs" dxfId="11461" priority="7384" operator="greaterThanOrEqual">
      <formula>0</formula>
    </cfRule>
  </conditionalFormatting>
  <conditionalFormatting sqref="AU135 AU138 AU141 AU151 AU144 AU154 AU157 AU160 AU186">
    <cfRule type="cellIs" dxfId="11460" priority="7383" operator="lessThan">
      <formula>0</formula>
    </cfRule>
  </conditionalFormatting>
  <conditionalFormatting sqref="AU187">
    <cfRule type="cellIs" dxfId="11459" priority="7381" operator="lessThan">
      <formula>0</formula>
    </cfRule>
    <cfRule type="cellIs" dxfId="11458" priority="7382" operator="greaterThanOrEqual">
      <formula>0</formula>
    </cfRule>
  </conditionalFormatting>
  <conditionalFormatting sqref="AN172">
    <cfRule type="cellIs" dxfId="11457" priority="7379" operator="greaterThan">
      <formula>0</formula>
    </cfRule>
    <cfRule type="cellIs" dxfId="11456" priority="7380" operator="lessThanOrEqual">
      <formula>0</formula>
    </cfRule>
  </conditionalFormatting>
  <conditionalFormatting sqref="AM172">
    <cfRule type="cellIs" dxfId="11455" priority="7378" operator="greaterThanOrEqual">
      <formula>0</formula>
    </cfRule>
  </conditionalFormatting>
  <conditionalFormatting sqref="AM172">
    <cfRule type="cellIs" dxfId="11454" priority="7377" operator="lessThan">
      <formula>0</formula>
    </cfRule>
  </conditionalFormatting>
  <conditionalFormatting sqref="AQ172">
    <cfRule type="cellIs" dxfId="11453" priority="7376" operator="greaterThanOrEqual">
      <formula>0</formula>
    </cfRule>
  </conditionalFormatting>
  <conditionalFormatting sqref="AQ172">
    <cfRule type="cellIs" dxfId="11452" priority="7375" operator="lessThan">
      <formula>0</formula>
    </cfRule>
  </conditionalFormatting>
  <conditionalFormatting sqref="AT172">
    <cfRule type="cellIs" dxfId="11451" priority="7374" operator="greaterThanOrEqual">
      <formula>0</formula>
    </cfRule>
  </conditionalFormatting>
  <conditionalFormatting sqref="AT172">
    <cfRule type="cellIs" dxfId="11450" priority="7373" operator="lessThan">
      <formula>0</formula>
    </cfRule>
  </conditionalFormatting>
  <conditionalFormatting sqref="AU172">
    <cfRule type="cellIs" dxfId="11449" priority="7372" operator="greaterThanOrEqual">
      <formula>0</formula>
    </cfRule>
  </conditionalFormatting>
  <conditionalFormatting sqref="AU172">
    <cfRule type="cellIs" dxfId="11448" priority="7371" operator="lessThan">
      <formula>0</formula>
    </cfRule>
  </conditionalFormatting>
  <conditionalFormatting sqref="AM161">
    <cfRule type="cellIs" dxfId="11447" priority="7350" operator="greaterThanOrEqual">
      <formula>0</formula>
    </cfRule>
  </conditionalFormatting>
  <conditionalFormatting sqref="AM161">
    <cfRule type="cellIs" dxfId="11446" priority="7349" operator="lessThan">
      <formula>0</formula>
    </cfRule>
  </conditionalFormatting>
  <conditionalFormatting sqref="AN145">
    <cfRule type="cellIs" dxfId="11445" priority="7369" operator="greaterThan">
      <formula>0</formula>
    </cfRule>
    <cfRule type="cellIs" dxfId="11444" priority="7370" operator="lessThanOrEqual">
      <formula>0</formula>
    </cfRule>
  </conditionalFormatting>
  <conditionalFormatting sqref="AM145">
    <cfRule type="cellIs" dxfId="11443" priority="7368" operator="greaterThanOrEqual">
      <formula>0</formula>
    </cfRule>
  </conditionalFormatting>
  <conditionalFormatting sqref="AM145">
    <cfRule type="cellIs" dxfId="11442" priority="7367" operator="lessThan">
      <formula>0</formula>
    </cfRule>
  </conditionalFormatting>
  <conditionalFormatting sqref="AQ145">
    <cfRule type="cellIs" dxfId="11441" priority="7366" operator="greaterThanOrEqual">
      <formula>0</formula>
    </cfRule>
  </conditionalFormatting>
  <conditionalFormatting sqref="AQ145">
    <cfRule type="cellIs" dxfId="11440" priority="7365" operator="lessThan">
      <formula>0</formula>
    </cfRule>
  </conditionalFormatting>
  <conditionalFormatting sqref="AT145">
    <cfRule type="cellIs" dxfId="11439" priority="7364" operator="greaterThanOrEqual">
      <formula>0</formula>
    </cfRule>
  </conditionalFormatting>
  <conditionalFormatting sqref="AT145">
    <cfRule type="cellIs" dxfId="11438" priority="7363" operator="lessThan">
      <formula>0</formula>
    </cfRule>
  </conditionalFormatting>
  <conditionalFormatting sqref="AQ148">
    <cfRule type="cellIs" dxfId="11437" priority="7356" operator="greaterThanOrEqual">
      <formula>0</formula>
    </cfRule>
  </conditionalFormatting>
  <conditionalFormatting sqref="AQ148">
    <cfRule type="cellIs" dxfId="11436" priority="7355" operator="lessThan">
      <formula>0</formula>
    </cfRule>
  </conditionalFormatting>
  <conditionalFormatting sqref="AT164">
    <cfRule type="cellIs" dxfId="11435" priority="7312" operator="greaterThanOrEqual">
      <formula>0</formula>
    </cfRule>
  </conditionalFormatting>
  <conditionalFormatting sqref="AT164">
    <cfRule type="cellIs" dxfId="11434" priority="7311" operator="lessThan">
      <formula>0</formula>
    </cfRule>
  </conditionalFormatting>
  <conditionalFormatting sqref="AT148:AU148">
    <cfRule type="cellIs" dxfId="11433" priority="7354" operator="greaterThanOrEqual">
      <formula>0</formula>
    </cfRule>
  </conditionalFormatting>
  <conditionalFormatting sqref="AT148:AU148">
    <cfRule type="cellIs" dxfId="11432" priority="7353" operator="lessThan">
      <formula>0</formula>
    </cfRule>
  </conditionalFormatting>
  <conditionalFormatting sqref="AN167">
    <cfRule type="cellIs" dxfId="11431" priority="7307" operator="greaterThan">
      <formula>0</formula>
    </cfRule>
    <cfRule type="cellIs" dxfId="11430" priority="7308" operator="lessThanOrEqual">
      <formula>0</formula>
    </cfRule>
  </conditionalFormatting>
  <conditionalFormatting sqref="AM167">
    <cfRule type="cellIs" dxfId="11429" priority="7306" operator="greaterThanOrEqual">
      <formula>0</formula>
    </cfRule>
  </conditionalFormatting>
  <conditionalFormatting sqref="AM167">
    <cfRule type="cellIs" dxfId="11428" priority="7305" operator="lessThan">
      <formula>0</formula>
    </cfRule>
  </conditionalFormatting>
  <conditionalFormatting sqref="AN170">
    <cfRule type="cellIs" dxfId="11427" priority="7297" operator="greaterThan">
      <formula>0</formula>
    </cfRule>
    <cfRule type="cellIs" dxfId="11426" priority="7298" operator="lessThanOrEqual">
      <formula>0</formula>
    </cfRule>
  </conditionalFormatting>
  <conditionalFormatting sqref="AM170">
    <cfRule type="cellIs" dxfId="11425" priority="7296" operator="greaterThanOrEqual">
      <formula>0</formula>
    </cfRule>
  </conditionalFormatting>
  <conditionalFormatting sqref="AM170">
    <cfRule type="cellIs" dxfId="11424" priority="7295" operator="lessThan">
      <formula>0</formula>
    </cfRule>
  </conditionalFormatting>
  <conditionalFormatting sqref="AT171:AU171">
    <cfRule type="cellIs" dxfId="11423" priority="7338" operator="greaterThanOrEqual">
      <formula>0</formula>
    </cfRule>
  </conditionalFormatting>
  <conditionalFormatting sqref="AT171:AU171">
    <cfRule type="cellIs" dxfId="11422" priority="7337" operator="lessThan">
      <formula>0</formula>
    </cfRule>
  </conditionalFormatting>
  <conditionalFormatting sqref="AM179">
    <cfRule type="cellIs" dxfId="11421" priority="7286" operator="greaterThanOrEqual">
      <formula>0</formula>
    </cfRule>
  </conditionalFormatting>
  <conditionalFormatting sqref="AM179">
    <cfRule type="cellIs" dxfId="11420" priority="7285" operator="lessThan">
      <formula>0</formula>
    </cfRule>
  </conditionalFormatting>
  <conditionalFormatting sqref="AN148">
    <cfRule type="cellIs" dxfId="11419" priority="7359" operator="greaterThan">
      <formula>0</formula>
    </cfRule>
    <cfRule type="cellIs" dxfId="11418" priority="7360" operator="lessThanOrEqual">
      <formula>0</formula>
    </cfRule>
  </conditionalFormatting>
  <conditionalFormatting sqref="AM148">
    <cfRule type="cellIs" dxfId="11417" priority="7358" operator="greaterThanOrEqual">
      <formula>0</formula>
    </cfRule>
  </conditionalFormatting>
  <conditionalFormatting sqref="AM148">
    <cfRule type="cellIs" dxfId="11416" priority="7357" operator="lessThan">
      <formula>0</formula>
    </cfRule>
  </conditionalFormatting>
  <conditionalFormatting sqref="AQ161">
    <cfRule type="cellIs" dxfId="11415" priority="7348" operator="greaterThanOrEqual">
      <formula>0</formula>
    </cfRule>
  </conditionalFormatting>
  <conditionalFormatting sqref="AQ161">
    <cfRule type="cellIs" dxfId="11414" priority="7347" operator="lessThan">
      <formula>0</formula>
    </cfRule>
  </conditionalFormatting>
  <conditionalFormatting sqref="AT161:AU161">
    <cfRule type="cellIs" dxfId="11413" priority="7346" operator="greaterThanOrEqual">
      <formula>0</formula>
    </cfRule>
  </conditionalFormatting>
  <conditionalFormatting sqref="AT161:AU161">
    <cfRule type="cellIs" dxfId="11412" priority="7345" operator="lessThan">
      <formula>0</formula>
    </cfRule>
  </conditionalFormatting>
  <conditionalFormatting sqref="AN161">
    <cfRule type="cellIs" dxfId="11411" priority="7351" operator="greaterThan">
      <formula>0</formula>
    </cfRule>
    <cfRule type="cellIs" dxfId="11410" priority="7352" operator="lessThanOrEqual">
      <formula>0</formula>
    </cfRule>
  </conditionalFormatting>
  <conditionalFormatting sqref="AQ171">
    <cfRule type="cellIs" dxfId="11409" priority="7340" operator="greaterThanOrEqual">
      <formula>0</formula>
    </cfRule>
  </conditionalFormatting>
  <conditionalFormatting sqref="AQ171">
    <cfRule type="cellIs" dxfId="11408" priority="7339" operator="lessThan">
      <formula>0</formula>
    </cfRule>
  </conditionalFormatting>
  <conditionalFormatting sqref="AU164">
    <cfRule type="cellIs" dxfId="11407" priority="7309" operator="lessThan">
      <formula>0</formula>
    </cfRule>
  </conditionalFormatting>
  <conditionalFormatting sqref="AU170">
    <cfRule type="cellIs" dxfId="11406" priority="7289" operator="lessThan">
      <formula>0</formula>
    </cfRule>
  </conditionalFormatting>
  <conditionalFormatting sqref="AQ164">
    <cfRule type="cellIs" dxfId="11405" priority="7314" operator="greaterThanOrEqual">
      <formula>0</formula>
    </cfRule>
  </conditionalFormatting>
  <conditionalFormatting sqref="AQ164">
    <cfRule type="cellIs" dxfId="11404" priority="7313" operator="lessThan">
      <formula>0</formula>
    </cfRule>
  </conditionalFormatting>
  <conditionalFormatting sqref="AU164">
    <cfRule type="cellIs" dxfId="11403" priority="7310" operator="greaterThanOrEqual">
      <formula>0</formula>
    </cfRule>
  </conditionalFormatting>
  <conditionalFormatting sqref="AU179">
    <cfRule type="cellIs" dxfId="11402" priority="7279" operator="lessThan">
      <formula>0</formula>
    </cfRule>
  </conditionalFormatting>
  <conditionalFormatting sqref="AN162:AN163 AN165:AN166">
    <cfRule type="cellIs" dxfId="11401" priority="7335" operator="greaterThan">
      <formula>0</formula>
    </cfRule>
    <cfRule type="cellIs" dxfId="11400" priority="7336" operator="lessThanOrEqual">
      <formula>0</formula>
    </cfRule>
  </conditionalFormatting>
  <conditionalFormatting sqref="AM162:AM163 AM165:AM166">
    <cfRule type="cellIs" dxfId="11399" priority="7333" operator="lessThan">
      <formula>0</formula>
    </cfRule>
    <cfRule type="cellIs" dxfId="11398" priority="7334" operator="greaterThanOrEqual">
      <formula>0</formula>
    </cfRule>
  </conditionalFormatting>
  <conditionalFormatting sqref="AQ162:AQ163 AQ165:AQ166">
    <cfRule type="cellIs" dxfId="11397" priority="7331" operator="lessThan">
      <formula>0</formula>
    </cfRule>
    <cfRule type="cellIs" dxfId="11396" priority="7332" operator="greaterThanOrEqual">
      <formula>0</formula>
    </cfRule>
  </conditionalFormatting>
  <conditionalFormatting sqref="AT162:AT163 AT165:AT166">
    <cfRule type="cellIs" dxfId="11395" priority="7329" operator="lessThan">
      <formula>0</formula>
    </cfRule>
    <cfRule type="cellIs" dxfId="11394" priority="7330" operator="greaterThanOrEqual">
      <formula>0</formula>
    </cfRule>
  </conditionalFormatting>
  <conditionalFormatting sqref="AU162:AU163 AU165:AU166">
    <cfRule type="cellIs" dxfId="11393" priority="7327" operator="lessThan">
      <formula>0</formula>
    </cfRule>
    <cfRule type="cellIs" dxfId="11392" priority="7328" operator="greaterThanOrEqual">
      <formula>0</formula>
    </cfRule>
  </conditionalFormatting>
  <conditionalFormatting sqref="AQ177:AQ178 AQ180:AQ181">
    <cfRule type="cellIs" dxfId="11391" priority="7321" operator="lessThan">
      <formula>0</formula>
    </cfRule>
    <cfRule type="cellIs" dxfId="11390" priority="7322" operator="greaterThanOrEqual">
      <formula>0</formula>
    </cfRule>
  </conditionalFormatting>
  <conditionalFormatting sqref="AT177:AU178 AT180:AU181">
    <cfRule type="cellIs" dxfId="11389" priority="7319" operator="lessThan">
      <formula>0</formula>
    </cfRule>
    <cfRule type="cellIs" dxfId="11388" priority="7320" operator="greaterThanOrEqual">
      <formula>0</formula>
    </cfRule>
  </conditionalFormatting>
  <conditionalFormatting sqref="AN177:AN178 AN180:AN181">
    <cfRule type="cellIs" dxfId="11387" priority="7325" operator="greaterThan">
      <formula>0</formula>
    </cfRule>
    <cfRule type="cellIs" dxfId="11386" priority="7326" operator="lessThanOrEqual">
      <formula>0</formula>
    </cfRule>
  </conditionalFormatting>
  <conditionalFormatting sqref="AM177:AM178 AM180:AM181">
    <cfRule type="cellIs" dxfId="11385" priority="7323" operator="lessThan">
      <formula>0</formula>
    </cfRule>
    <cfRule type="cellIs" dxfId="11384" priority="7324" operator="greaterThanOrEqual">
      <formula>0</formula>
    </cfRule>
  </conditionalFormatting>
  <conditionalFormatting sqref="AN179">
    <cfRule type="cellIs" dxfId="11383" priority="7287" operator="greaterThan">
      <formula>0</formula>
    </cfRule>
    <cfRule type="cellIs" dxfId="11382" priority="7288" operator="lessThanOrEqual">
      <formula>0</formula>
    </cfRule>
  </conditionalFormatting>
  <conditionalFormatting sqref="AM182">
    <cfRule type="cellIs" dxfId="11381" priority="7276" operator="greaterThanOrEqual">
      <formula>0</formula>
    </cfRule>
  </conditionalFormatting>
  <conditionalFormatting sqref="AM182">
    <cfRule type="cellIs" dxfId="11380" priority="7275" operator="lessThan">
      <formula>0</formula>
    </cfRule>
  </conditionalFormatting>
  <conditionalFormatting sqref="AQ167">
    <cfRule type="cellIs" dxfId="11379" priority="7304" operator="greaterThanOrEqual">
      <formula>0</formula>
    </cfRule>
  </conditionalFormatting>
  <conditionalFormatting sqref="AQ167">
    <cfRule type="cellIs" dxfId="11378" priority="7303" operator="lessThan">
      <formula>0</formula>
    </cfRule>
  </conditionalFormatting>
  <conditionalFormatting sqref="AT167">
    <cfRule type="cellIs" dxfId="11377" priority="7302" operator="greaterThanOrEqual">
      <formula>0</formula>
    </cfRule>
  </conditionalFormatting>
  <conditionalFormatting sqref="AT167">
    <cfRule type="cellIs" dxfId="11376" priority="7301" operator="lessThan">
      <formula>0</formula>
    </cfRule>
  </conditionalFormatting>
  <conditionalFormatting sqref="AU182">
    <cfRule type="cellIs" dxfId="11375" priority="7269" operator="lessThan">
      <formula>0</formula>
    </cfRule>
  </conditionalFormatting>
  <conditionalFormatting sqref="AN182">
    <cfRule type="cellIs" dxfId="11374" priority="7277" operator="greaterThan">
      <formula>0</formula>
    </cfRule>
    <cfRule type="cellIs" dxfId="11373" priority="7278" operator="lessThanOrEqual">
      <formula>0</formula>
    </cfRule>
  </conditionalFormatting>
  <conditionalFormatting sqref="AM185">
    <cfRule type="cellIs" dxfId="11372" priority="7266" operator="greaterThanOrEqual">
      <formula>0</formula>
    </cfRule>
  </conditionalFormatting>
  <conditionalFormatting sqref="AM185">
    <cfRule type="cellIs" dxfId="11371" priority="7265" operator="lessThan">
      <formula>0</formula>
    </cfRule>
  </conditionalFormatting>
  <conditionalFormatting sqref="AT170">
    <cfRule type="cellIs" dxfId="11370" priority="7292" operator="greaterThanOrEqual">
      <formula>0</formula>
    </cfRule>
  </conditionalFormatting>
  <conditionalFormatting sqref="AT170">
    <cfRule type="cellIs" dxfId="11369" priority="7291" operator="lessThan">
      <formula>0</formula>
    </cfRule>
  </conditionalFormatting>
  <conditionalFormatting sqref="AU185">
    <cfRule type="cellIs" dxfId="11368" priority="7259" operator="lessThan">
      <formula>0</formula>
    </cfRule>
  </conditionalFormatting>
  <conditionalFormatting sqref="AQ170">
    <cfRule type="cellIs" dxfId="11367" priority="7294" operator="greaterThanOrEqual">
      <formula>0</formula>
    </cfRule>
  </conditionalFormatting>
  <conditionalFormatting sqref="AQ170">
    <cfRule type="cellIs" dxfId="11366" priority="7293" operator="lessThan">
      <formula>0</formula>
    </cfRule>
  </conditionalFormatting>
  <conditionalFormatting sqref="AU170">
    <cfRule type="cellIs" dxfId="11365" priority="7290" operator="greaterThanOrEqual">
      <formula>0</formula>
    </cfRule>
  </conditionalFormatting>
  <conditionalFormatting sqref="AN185">
    <cfRule type="cellIs" dxfId="11364" priority="7267" operator="greaterThan">
      <formula>0</formula>
    </cfRule>
    <cfRule type="cellIs" dxfId="11363" priority="7268" operator="lessThanOrEqual">
      <formula>0</formula>
    </cfRule>
  </conditionalFormatting>
  <conditionalFormatting sqref="AQ179">
    <cfRule type="cellIs" dxfId="11362" priority="7284" operator="greaterThanOrEqual">
      <formula>0</formula>
    </cfRule>
  </conditionalFormatting>
  <conditionalFormatting sqref="AQ179">
    <cfRule type="cellIs" dxfId="11361" priority="7283" operator="lessThan">
      <formula>0</formula>
    </cfRule>
  </conditionalFormatting>
  <conditionalFormatting sqref="AT179">
    <cfRule type="cellIs" dxfId="11360" priority="7282" operator="greaterThanOrEqual">
      <formula>0</formula>
    </cfRule>
  </conditionalFormatting>
  <conditionalFormatting sqref="AT179">
    <cfRule type="cellIs" dxfId="11359" priority="7281" operator="lessThan">
      <formula>0</formula>
    </cfRule>
  </conditionalFormatting>
  <conditionalFormatting sqref="AU179">
    <cfRule type="cellIs" dxfId="11358" priority="7280" operator="greaterThanOrEqual">
      <formula>0</formula>
    </cfRule>
  </conditionalFormatting>
  <conditionalFormatting sqref="AT182">
    <cfRule type="cellIs" dxfId="11357" priority="7272" operator="greaterThanOrEqual">
      <formula>0</formula>
    </cfRule>
  </conditionalFormatting>
  <conditionalFormatting sqref="AT182">
    <cfRule type="cellIs" dxfId="11356" priority="7271" operator="lessThan">
      <formula>0</formula>
    </cfRule>
  </conditionalFormatting>
  <conditionalFormatting sqref="AU182">
    <cfRule type="cellIs" dxfId="11355" priority="7270" operator="greaterThanOrEqual">
      <formula>0</formula>
    </cfRule>
  </conditionalFormatting>
  <conditionalFormatting sqref="AT185">
    <cfRule type="cellIs" dxfId="11354" priority="7262" operator="greaterThanOrEqual">
      <formula>0</formula>
    </cfRule>
  </conditionalFormatting>
  <conditionalFormatting sqref="AT185">
    <cfRule type="cellIs" dxfId="11353" priority="7261" operator="lessThan">
      <formula>0</formula>
    </cfRule>
  </conditionalFormatting>
  <conditionalFormatting sqref="AU185">
    <cfRule type="cellIs" dxfId="11352" priority="7260" operator="greaterThanOrEqual">
      <formula>0</formula>
    </cfRule>
  </conditionalFormatting>
  <conditionalFormatting sqref="AN25">
    <cfRule type="cellIs" dxfId="11351" priority="7257" operator="greaterThan">
      <formula>0</formula>
    </cfRule>
    <cfRule type="cellIs" dxfId="11350" priority="7258" operator="lessThanOrEqual">
      <formula>0</formula>
    </cfRule>
  </conditionalFormatting>
  <conditionalFormatting sqref="AU52">
    <cfRule type="cellIs" dxfId="11349" priority="7245" operator="lessThan">
      <formula>0</formula>
    </cfRule>
  </conditionalFormatting>
  <conditionalFormatting sqref="AN56">
    <cfRule type="cellIs" dxfId="11348" priority="7255" operator="greaterThan">
      <formula>0</formula>
    </cfRule>
    <cfRule type="cellIs" dxfId="11347" priority="7256" operator="lessThanOrEqual">
      <formula>0</formula>
    </cfRule>
  </conditionalFormatting>
  <conditionalFormatting sqref="AM56">
    <cfRule type="cellIs" dxfId="11346" priority="7254" operator="greaterThanOrEqual">
      <formula>0</formula>
    </cfRule>
  </conditionalFormatting>
  <conditionalFormatting sqref="AM56">
    <cfRule type="cellIs" dxfId="11345" priority="7253" operator="lessThan">
      <formula>0</formula>
    </cfRule>
  </conditionalFormatting>
  <conditionalFormatting sqref="AN52">
    <cfRule type="cellIs" dxfId="11344" priority="7251" operator="greaterThan">
      <formula>0</formula>
    </cfRule>
    <cfRule type="cellIs" dxfId="11343" priority="7252" operator="lessThanOrEqual">
      <formula>0</formula>
    </cfRule>
  </conditionalFormatting>
  <conditionalFormatting sqref="AM52">
    <cfRule type="cellIs" dxfId="11342" priority="7250" operator="greaterThanOrEqual">
      <formula>0</formula>
    </cfRule>
  </conditionalFormatting>
  <conditionalFormatting sqref="AM52">
    <cfRule type="cellIs" dxfId="11341" priority="7249" operator="lessThan">
      <formula>0</formula>
    </cfRule>
  </conditionalFormatting>
  <conditionalFormatting sqref="AT52">
    <cfRule type="cellIs" dxfId="11340" priority="7248" operator="greaterThanOrEqual">
      <formula>0</formula>
    </cfRule>
  </conditionalFormatting>
  <conditionalFormatting sqref="AT52">
    <cfRule type="cellIs" dxfId="11339" priority="7247" operator="lessThan">
      <formula>0</formula>
    </cfRule>
  </conditionalFormatting>
  <conditionalFormatting sqref="AU52">
    <cfRule type="cellIs" dxfId="11338" priority="7246" operator="greaterThanOrEqual">
      <formula>0</formula>
    </cfRule>
  </conditionalFormatting>
  <conditionalFormatting sqref="AN69">
    <cfRule type="cellIs" dxfId="11337" priority="7243" operator="greaterThan">
      <formula>0</formula>
    </cfRule>
    <cfRule type="cellIs" dxfId="11336" priority="7244" operator="lessThanOrEqual">
      <formula>0</formula>
    </cfRule>
  </conditionalFormatting>
  <conditionalFormatting sqref="AT69">
    <cfRule type="cellIs" dxfId="11335" priority="7241" operator="lessThan">
      <formula>0</formula>
    </cfRule>
    <cfRule type="cellIs" dxfId="11334" priority="7242" operator="greaterThanOrEqual">
      <formula>0</formula>
    </cfRule>
  </conditionalFormatting>
  <conditionalFormatting sqref="AU69">
    <cfRule type="cellIs" dxfId="11333" priority="7239" operator="lessThan">
      <formula>0</formula>
    </cfRule>
    <cfRule type="cellIs" dxfId="11332" priority="7240" operator="greaterThanOrEqual">
      <formula>0</formula>
    </cfRule>
  </conditionalFormatting>
  <conditionalFormatting sqref="AN70">
    <cfRule type="cellIs" dxfId="11331" priority="7237" operator="greaterThan">
      <formula>0</formula>
    </cfRule>
    <cfRule type="cellIs" dxfId="11330" priority="7238" operator="lessThanOrEqual">
      <formula>0</formula>
    </cfRule>
  </conditionalFormatting>
  <conditionalFormatting sqref="AT72">
    <cfRule type="cellIs" dxfId="11329" priority="7235" operator="lessThan">
      <formula>0</formula>
    </cfRule>
    <cfRule type="cellIs" dxfId="11328" priority="7236" operator="greaterThanOrEqual">
      <formula>0</formula>
    </cfRule>
  </conditionalFormatting>
  <conditionalFormatting sqref="AN72">
    <cfRule type="cellIs" dxfId="11327" priority="7233" operator="greaterThan">
      <formula>0</formula>
    </cfRule>
    <cfRule type="cellIs" dxfId="11326" priority="7234" operator="lessThanOrEqual">
      <formula>0</formula>
    </cfRule>
  </conditionalFormatting>
  <conditionalFormatting sqref="AM25">
    <cfRule type="cellIs" dxfId="11325" priority="7232" operator="greaterThanOrEqual">
      <formula>0</formula>
    </cfRule>
  </conditionalFormatting>
  <conditionalFormatting sqref="AM25">
    <cfRule type="cellIs" dxfId="11324" priority="7231" operator="lessThan">
      <formula>0</formula>
    </cfRule>
  </conditionalFormatting>
  <conditionalFormatting sqref="AM28">
    <cfRule type="cellIs" dxfId="11323" priority="7230" operator="greaterThanOrEqual">
      <formula>0</formula>
    </cfRule>
  </conditionalFormatting>
  <conditionalFormatting sqref="AM28">
    <cfRule type="cellIs" dxfId="11322" priority="7229" operator="lessThan">
      <formula>0</formula>
    </cfRule>
  </conditionalFormatting>
  <conditionalFormatting sqref="AM41">
    <cfRule type="cellIs" dxfId="11321" priority="7228" operator="greaterThanOrEqual">
      <formula>0</formula>
    </cfRule>
  </conditionalFormatting>
  <conditionalFormatting sqref="AM41">
    <cfRule type="cellIs" dxfId="11320" priority="7227" operator="lessThan">
      <formula>0</formula>
    </cfRule>
  </conditionalFormatting>
  <conditionalFormatting sqref="AM44">
    <cfRule type="cellIs" dxfId="11319" priority="7226" operator="greaterThanOrEqual">
      <formula>0</formula>
    </cfRule>
  </conditionalFormatting>
  <conditionalFormatting sqref="AM44">
    <cfRule type="cellIs" dxfId="11318" priority="7225" operator="lessThan">
      <formula>0</formula>
    </cfRule>
  </conditionalFormatting>
  <conditionalFormatting sqref="AM47">
    <cfRule type="cellIs" dxfId="11317" priority="7224" operator="greaterThanOrEqual">
      <formula>0</formula>
    </cfRule>
  </conditionalFormatting>
  <conditionalFormatting sqref="AM47">
    <cfRule type="cellIs" dxfId="11316" priority="7223" operator="lessThan">
      <formula>0</formula>
    </cfRule>
  </conditionalFormatting>
  <conditionalFormatting sqref="AM50">
    <cfRule type="cellIs" dxfId="11315" priority="7222" operator="greaterThanOrEqual">
      <formula>0</formula>
    </cfRule>
  </conditionalFormatting>
  <conditionalFormatting sqref="AM50">
    <cfRule type="cellIs" dxfId="11314" priority="7221" operator="lessThan">
      <formula>0</formula>
    </cfRule>
  </conditionalFormatting>
  <conditionalFormatting sqref="AM51">
    <cfRule type="cellIs" dxfId="11313" priority="7220" operator="greaterThanOrEqual">
      <formula>0</formula>
    </cfRule>
  </conditionalFormatting>
  <conditionalFormatting sqref="AM51">
    <cfRule type="cellIs" dxfId="11312" priority="7219" operator="lessThan">
      <formula>0</formula>
    </cfRule>
  </conditionalFormatting>
  <conditionalFormatting sqref="AM59">
    <cfRule type="cellIs" dxfId="11311" priority="7218" operator="greaterThanOrEqual">
      <formula>0</formula>
    </cfRule>
  </conditionalFormatting>
  <conditionalFormatting sqref="AM59">
    <cfRule type="cellIs" dxfId="11310" priority="7217" operator="lessThan">
      <formula>0</formula>
    </cfRule>
  </conditionalFormatting>
  <conditionalFormatting sqref="AM65">
    <cfRule type="cellIs" dxfId="11309" priority="7216" operator="greaterThanOrEqual">
      <formula>0</formula>
    </cfRule>
  </conditionalFormatting>
  <conditionalFormatting sqref="AM65">
    <cfRule type="cellIs" dxfId="11308" priority="7215" operator="lessThan">
      <formula>0</formula>
    </cfRule>
  </conditionalFormatting>
  <conditionalFormatting sqref="AM66">
    <cfRule type="cellIs" dxfId="11307" priority="7214" operator="greaterThanOrEqual">
      <formula>0</formula>
    </cfRule>
  </conditionalFormatting>
  <conditionalFormatting sqref="AM66">
    <cfRule type="cellIs" dxfId="11306" priority="7213" operator="lessThan">
      <formula>0</formula>
    </cfRule>
  </conditionalFormatting>
  <conditionalFormatting sqref="AM68:AM70">
    <cfRule type="cellIs" dxfId="11305" priority="7211" operator="lessThan">
      <formula>0</formula>
    </cfRule>
    <cfRule type="cellIs" dxfId="11304" priority="7212" operator="greaterThanOrEqual">
      <formula>0</formula>
    </cfRule>
  </conditionalFormatting>
  <conditionalFormatting sqref="AM71:AM72">
    <cfRule type="cellIs" dxfId="11303" priority="7210" operator="greaterThanOrEqual">
      <formula>0</formula>
    </cfRule>
  </conditionalFormatting>
  <conditionalFormatting sqref="AM71:AM72">
    <cfRule type="cellIs" dxfId="11302" priority="7209" operator="lessThan">
      <formula>0</formula>
    </cfRule>
  </conditionalFormatting>
  <conditionalFormatting sqref="AM73">
    <cfRule type="cellIs" dxfId="11301" priority="7208" operator="greaterThanOrEqual">
      <formula>0</formula>
    </cfRule>
  </conditionalFormatting>
  <conditionalFormatting sqref="AM73">
    <cfRule type="cellIs" dxfId="11300" priority="7207" operator="lessThan">
      <formula>0</formula>
    </cfRule>
  </conditionalFormatting>
  <conditionalFormatting sqref="AM42:AM43">
    <cfRule type="cellIs" dxfId="11299" priority="7205" operator="lessThan">
      <formula>0</formula>
    </cfRule>
    <cfRule type="cellIs" dxfId="11298" priority="7206" operator="greaterThanOrEqual">
      <formula>0</formula>
    </cfRule>
  </conditionalFormatting>
  <conditionalFormatting sqref="AM45:AM46">
    <cfRule type="cellIs" dxfId="11297" priority="7203" operator="lessThan">
      <formula>0</formula>
    </cfRule>
    <cfRule type="cellIs" dxfId="11296" priority="7204" operator="greaterThanOrEqual">
      <formula>0</formula>
    </cfRule>
  </conditionalFormatting>
  <conditionalFormatting sqref="AM57:AM58">
    <cfRule type="cellIs" dxfId="11295" priority="7201" operator="lessThan">
      <formula>0</formula>
    </cfRule>
    <cfRule type="cellIs" dxfId="11294" priority="7202" operator="greaterThanOrEqual">
      <formula>0</formula>
    </cfRule>
  </conditionalFormatting>
  <conditionalFormatting sqref="AM60:AM61">
    <cfRule type="cellIs" dxfId="11293" priority="7199" operator="lessThan">
      <formula>0</formula>
    </cfRule>
    <cfRule type="cellIs" dxfId="11292" priority="7200" operator="greaterThanOrEqual">
      <formula>0</formula>
    </cfRule>
  </conditionalFormatting>
  <conditionalFormatting sqref="AM63:AM64">
    <cfRule type="cellIs" dxfId="11291" priority="7197" operator="lessThan">
      <formula>0</formula>
    </cfRule>
    <cfRule type="cellIs" dxfId="11290" priority="7198" operator="greaterThanOrEqual">
      <formula>0</formula>
    </cfRule>
  </conditionalFormatting>
  <conditionalFormatting sqref="AR13:AR14">
    <cfRule type="cellIs" dxfId="11289" priority="7195" operator="greaterThan">
      <formula>0</formula>
    </cfRule>
    <cfRule type="cellIs" dxfId="11288" priority="7196" operator="lessThanOrEqual">
      <formula>0</formula>
    </cfRule>
  </conditionalFormatting>
  <conditionalFormatting sqref="AR16:AR17">
    <cfRule type="cellIs" dxfId="11287" priority="7193" operator="greaterThan">
      <formula>0</formula>
    </cfRule>
    <cfRule type="cellIs" dxfId="11286" priority="7194" operator="lessThanOrEqual">
      <formula>0</formula>
    </cfRule>
  </conditionalFormatting>
  <conditionalFormatting sqref="AR19:AR20">
    <cfRule type="cellIs" dxfId="11285" priority="7191" operator="greaterThan">
      <formula>0</formula>
    </cfRule>
    <cfRule type="cellIs" dxfId="11284" priority="7192" operator="lessThanOrEqual">
      <formula>0</formula>
    </cfRule>
  </conditionalFormatting>
  <conditionalFormatting sqref="AR29:AR30">
    <cfRule type="cellIs" dxfId="11283" priority="7189" operator="greaterThan">
      <formula>0</formula>
    </cfRule>
    <cfRule type="cellIs" dxfId="11282" priority="7190" operator="lessThanOrEqual">
      <formula>0</formula>
    </cfRule>
  </conditionalFormatting>
  <conditionalFormatting sqref="AR22:AR23">
    <cfRule type="cellIs" dxfId="11281" priority="7187" operator="greaterThan">
      <formula>0</formula>
    </cfRule>
    <cfRule type="cellIs" dxfId="11280" priority="7188" operator="lessThanOrEqual">
      <formula>0</formula>
    </cfRule>
  </conditionalFormatting>
  <conditionalFormatting sqref="AR32:AR33">
    <cfRule type="cellIs" dxfId="11279" priority="7185" operator="greaterThan">
      <formula>0</formula>
    </cfRule>
    <cfRule type="cellIs" dxfId="11278" priority="7186" operator="lessThanOrEqual">
      <formula>0</formula>
    </cfRule>
  </conditionalFormatting>
  <conditionalFormatting sqref="AR35:AR36">
    <cfRule type="cellIs" dxfId="11277" priority="7183" operator="greaterThan">
      <formula>0</formula>
    </cfRule>
    <cfRule type="cellIs" dxfId="11276" priority="7184" operator="lessThanOrEqual">
      <formula>0</formula>
    </cfRule>
  </conditionalFormatting>
  <conditionalFormatting sqref="AR38:AR39">
    <cfRule type="cellIs" dxfId="11275" priority="7181" operator="greaterThan">
      <formula>0</formula>
    </cfRule>
    <cfRule type="cellIs" dxfId="11274" priority="7182" operator="lessThanOrEqual">
      <formula>0</formula>
    </cfRule>
  </conditionalFormatting>
  <conditionalFormatting sqref="AR48:AR49">
    <cfRule type="cellIs" dxfId="11273" priority="7179" operator="greaterThan">
      <formula>0</formula>
    </cfRule>
    <cfRule type="cellIs" dxfId="11272" priority="7180" operator="lessThanOrEqual">
      <formula>0</formula>
    </cfRule>
  </conditionalFormatting>
  <conditionalFormatting sqref="AR63:AR64">
    <cfRule type="cellIs" dxfId="11271" priority="7177" operator="greaterThan">
      <formula>0</formula>
    </cfRule>
    <cfRule type="cellIs" dxfId="11270" priority="7178" operator="lessThanOrEqual">
      <formula>0</formula>
    </cfRule>
  </conditionalFormatting>
  <conditionalFormatting sqref="AR53:AR54">
    <cfRule type="cellIs" dxfId="11269" priority="7175" operator="greaterThan">
      <formula>0</formula>
    </cfRule>
    <cfRule type="cellIs" dxfId="11268" priority="7176" operator="lessThanOrEqual">
      <formula>0</formula>
    </cfRule>
  </conditionalFormatting>
  <conditionalFormatting sqref="AR15">
    <cfRule type="cellIs" dxfId="11267" priority="7173" operator="greaterThan">
      <formula>0</formula>
    </cfRule>
    <cfRule type="cellIs" dxfId="11266" priority="7174" operator="lessThanOrEqual">
      <formula>0</formula>
    </cfRule>
  </conditionalFormatting>
  <conditionalFormatting sqref="AR18">
    <cfRule type="cellIs" dxfId="11265" priority="7171" operator="greaterThan">
      <formula>0</formula>
    </cfRule>
    <cfRule type="cellIs" dxfId="11264" priority="7172" operator="lessThanOrEqual">
      <formula>0</formula>
    </cfRule>
  </conditionalFormatting>
  <conditionalFormatting sqref="AR21">
    <cfRule type="cellIs" dxfId="11263" priority="7169" operator="greaterThan">
      <formula>0</formula>
    </cfRule>
    <cfRule type="cellIs" dxfId="11262" priority="7170" operator="lessThanOrEqual">
      <formula>0</formula>
    </cfRule>
  </conditionalFormatting>
  <conditionalFormatting sqref="AR31">
    <cfRule type="cellIs" dxfId="11261" priority="7167" operator="greaterThan">
      <formula>0</formula>
    </cfRule>
    <cfRule type="cellIs" dxfId="11260" priority="7168" operator="lessThanOrEqual">
      <formula>0</formula>
    </cfRule>
  </conditionalFormatting>
  <conditionalFormatting sqref="AR24">
    <cfRule type="cellIs" dxfId="11259" priority="7165" operator="greaterThan">
      <formula>0</formula>
    </cfRule>
    <cfRule type="cellIs" dxfId="11258" priority="7166" operator="lessThanOrEqual">
      <formula>0</formula>
    </cfRule>
  </conditionalFormatting>
  <conditionalFormatting sqref="AR34">
    <cfRule type="cellIs" dxfId="11257" priority="7163" operator="greaterThan">
      <formula>0</formula>
    </cfRule>
    <cfRule type="cellIs" dxfId="11256" priority="7164" operator="lessThanOrEqual">
      <formula>0</formula>
    </cfRule>
  </conditionalFormatting>
  <conditionalFormatting sqref="AR37">
    <cfRule type="cellIs" dxfId="11255" priority="7161" operator="greaterThan">
      <formula>0</formula>
    </cfRule>
    <cfRule type="cellIs" dxfId="11254" priority="7162" operator="lessThanOrEqual">
      <formula>0</formula>
    </cfRule>
  </conditionalFormatting>
  <conditionalFormatting sqref="AR40">
    <cfRule type="cellIs" dxfId="11253" priority="7159" operator="greaterThan">
      <formula>0</formula>
    </cfRule>
    <cfRule type="cellIs" dxfId="11252" priority="7160" operator="lessThanOrEqual">
      <formula>0</formula>
    </cfRule>
  </conditionalFormatting>
  <conditionalFormatting sqref="AR26">
    <cfRule type="cellIs" dxfId="11251" priority="7157" operator="greaterThan">
      <formula>0</formula>
    </cfRule>
    <cfRule type="cellIs" dxfId="11250" priority="7158" operator="lessThanOrEqual">
      <formula>0</formula>
    </cfRule>
  </conditionalFormatting>
  <conditionalFormatting sqref="AR66">
    <cfRule type="cellIs" dxfId="11249" priority="7155" operator="greaterThan">
      <formula>0</formula>
    </cfRule>
    <cfRule type="cellIs" dxfId="11248" priority="7156" operator="lessThanOrEqual">
      <formula>0</formula>
    </cfRule>
  </conditionalFormatting>
  <conditionalFormatting sqref="AQ13:AQ14 AQ16:AQ17 AQ19:AQ20 AQ22:AQ23 AQ29:AQ30 AQ32:AQ33 AQ35:AQ36 AQ38:AQ39 AQ48:AQ49 AQ53:AQ54">
    <cfRule type="cellIs" dxfId="11247" priority="7153" operator="lessThan">
      <formula>0</formula>
    </cfRule>
    <cfRule type="cellIs" dxfId="11246" priority="7154" operator="greaterThanOrEqual">
      <formula>0</formula>
    </cfRule>
  </conditionalFormatting>
  <conditionalFormatting sqref="AQ15 AQ18 AQ21 AQ24 AQ26 AQ31 AQ34 AQ37 AQ40">
    <cfRule type="cellIs" dxfId="11245" priority="7152" operator="greaterThanOrEqual">
      <formula>0</formula>
    </cfRule>
  </conditionalFormatting>
  <conditionalFormatting sqref="AQ15 AQ18 AQ21 AQ24 AQ26 AQ31 AQ34 AQ37 AQ40">
    <cfRule type="cellIs" dxfId="11244" priority="7151" operator="lessThan">
      <formula>0</formula>
    </cfRule>
  </conditionalFormatting>
  <conditionalFormatting sqref="AR51">
    <cfRule type="cellIs" dxfId="11243" priority="7145" operator="greaterThan">
      <formula>0</formula>
    </cfRule>
    <cfRule type="cellIs" dxfId="11242" priority="7146" operator="lessThanOrEqual">
      <formula>0</formula>
    </cfRule>
  </conditionalFormatting>
  <conditionalFormatting sqref="AR44">
    <cfRule type="cellIs" dxfId="11241" priority="7139" operator="greaterThan">
      <formula>0</formula>
    </cfRule>
    <cfRule type="cellIs" dxfId="11240" priority="7140" operator="lessThanOrEqual">
      <formula>0</formula>
    </cfRule>
  </conditionalFormatting>
  <conditionalFormatting sqref="AR50">
    <cfRule type="cellIs" dxfId="11239" priority="7135" operator="greaterThan">
      <formula>0</formula>
    </cfRule>
    <cfRule type="cellIs" dxfId="11238" priority="7136" operator="lessThanOrEqual">
      <formula>0</formula>
    </cfRule>
  </conditionalFormatting>
  <conditionalFormatting sqref="AR28">
    <cfRule type="cellIs" dxfId="11237" priority="7149" operator="greaterThan">
      <formula>0</formula>
    </cfRule>
    <cfRule type="cellIs" dxfId="11236" priority="7150" operator="lessThanOrEqual">
      <formula>0</formula>
    </cfRule>
  </conditionalFormatting>
  <conditionalFormatting sqref="AR41">
    <cfRule type="cellIs" dxfId="11235" priority="7147" operator="greaterThan">
      <formula>0</formula>
    </cfRule>
    <cfRule type="cellIs" dxfId="11234" priority="7148" operator="lessThanOrEqual">
      <formula>0</formula>
    </cfRule>
  </conditionalFormatting>
  <conditionalFormatting sqref="AR42:AR43 AR45:AR46">
    <cfRule type="cellIs" dxfId="11233" priority="7143" operator="greaterThan">
      <formula>0</formula>
    </cfRule>
    <cfRule type="cellIs" dxfId="11232" priority="7144" operator="lessThanOrEqual">
      <formula>0</formula>
    </cfRule>
  </conditionalFormatting>
  <conditionalFormatting sqref="AR57:AR58 AR60:AR61">
    <cfRule type="cellIs" dxfId="11231" priority="7141" operator="greaterThan">
      <formula>0</formula>
    </cfRule>
    <cfRule type="cellIs" dxfId="11230" priority="7142" operator="lessThanOrEqual">
      <formula>0</formula>
    </cfRule>
  </conditionalFormatting>
  <conditionalFormatting sqref="AR62">
    <cfRule type="cellIs" dxfId="11229" priority="7131" operator="greaterThan">
      <formula>0</formula>
    </cfRule>
    <cfRule type="cellIs" dxfId="11228" priority="7132" operator="lessThanOrEqual">
      <formula>0</formula>
    </cfRule>
  </conditionalFormatting>
  <conditionalFormatting sqref="AR65">
    <cfRule type="cellIs" dxfId="11227" priority="7127" operator="greaterThan">
      <formula>0</formula>
    </cfRule>
    <cfRule type="cellIs" dxfId="11226" priority="7128" operator="lessThanOrEqual">
      <formula>0</formula>
    </cfRule>
  </conditionalFormatting>
  <conditionalFormatting sqref="AR25">
    <cfRule type="cellIs" dxfId="11225" priority="7125" operator="greaterThan">
      <formula>0</formula>
    </cfRule>
    <cfRule type="cellIs" dxfId="11224" priority="7126" operator="lessThanOrEqual">
      <formula>0</formula>
    </cfRule>
  </conditionalFormatting>
  <conditionalFormatting sqref="AR56">
    <cfRule type="cellIs" dxfId="11223" priority="7123" operator="greaterThan">
      <formula>0</formula>
    </cfRule>
    <cfRule type="cellIs" dxfId="11222" priority="7124" operator="lessThanOrEqual">
      <formula>0</formula>
    </cfRule>
  </conditionalFormatting>
  <conditionalFormatting sqref="AQ56">
    <cfRule type="cellIs" dxfId="11221" priority="7122" operator="greaterThanOrEqual">
      <formula>0</formula>
    </cfRule>
  </conditionalFormatting>
  <conditionalFormatting sqref="AQ56">
    <cfRule type="cellIs" dxfId="11220" priority="7121" operator="lessThan">
      <formula>0</formula>
    </cfRule>
  </conditionalFormatting>
  <conditionalFormatting sqref="AR52">
    <cfRule type="cellIs" dxfId="11219" priority="7119" operator="greaterThan">
      <formula>0</formula>
    </cfRule>
    <cfRule type="cellIs" dxfId="11218" priority="7120" operator="lessThanOrEqual">
      <formula>0</formula>
    </cfRule>
  </conditionalFormatting>
  <conditionalFormatting sqref="AQ52">
    <cfRule type="cellIs" dxfId="11217" priority="7118" operator="greaterThanOrEqual">
      <formula>0</formula>
    </cfRule>
  </conditionalFormatting>
  <conditionalFormatting sqref="AQ52">
    <cfRule type="cellIs" dxfId="11216" priority="7117" operator="lessThan">
      <formula>0</formula>
    </cfRule>
  </conditionalFormatting>
  <conditionalFormatting sqref="AQ25">
    <cfRule type="cellIs" dxfId="11215" priority="7116" operator="greaterThanOrEqual">
      <formula>0</formula>
    </cfRule>
  </conditionalFormatting>
  <conditionalFormatting sqref="AQ25">
    <cfRule type="cellIs" dxfId="11214" priority="7115" operator="lessThan">
      <formula>0</formula>
    </cfRule>
  </conditionalFormatting>
  <conditionalFormatting sqref="AQ28">
    <cfRule type="cellIs" dxfId="11213" priority="7114" operator="greaterThanOrEqual">
      <formula>0</formula>
    </cfRule>
  </conditionalFormatting>
  <conditionalFormatting sqref="AQ28">
    <cfRule type="cellIs" dxfId="11212" priority="7113" operator="lessThan">
      <formula>0</formula>
    </cfRule>
  </conditionalFormatting>
  <conditionalFormatting sqref="AQ41">
    <cfRule type="cellIs" dxfId="11211" priority="7112" operator="greaterThanOrEqual">
      <formula>0</formula>
    </cfRule>
  </conditionalFormatting>
  <conditionalFormatting sqref="AQ41">
    <cfRule type="cellIs" dxfId="11210" priority="7111" operator="lessThan">
      <formula>0</formula>
    </cfRule>
  </conditionalFormatting>
  <conditionalFormatting sqref="AQ44">
    <cfRule type="cellIs" dxfId="11209" priority="7110" operator="greaterThanOrEqual">
      <formula>0</formula>
    </cfRule>
  </conditionalFormatting>
  <conditionalFormatting sqref="AQ44">
    <cfRule type="cellIs" dxfId="11208" priority="7109" operator="lessThan">
      <formula>0</formula>
    </cfRule>
  </conditionalFormatting>
  <conditionalFormatting sqref="AQ47">
    <cfRule type="cellIs" dxfId="11207" priority="7108" operator="greaterThanOrEqual">
      <formula>0</formula>
    </cfRule>
  </conditionalFormatting>
  <conditionalFormatting sqref="AQ47">
    <cfRule type="cellIs" dxfId="11206" priority="7107" operator="lessThan">
      <formula>0</formula>
    </cfRule>
  </conditionalFormatting>
  <conditionalFormatting sqref="AQ50">
    <cfRule type="cellIs" dxfId="11205" priority="7106" operator="greaterThanOrEqual">
      <formula>0</formula>
    </cfRule>
  </conditionalFormatting>
  <conditionalFormatting sqref="AQ50">
    <cfRule type="cellIs" dxfId="11204" priority="7105" operator="lessThan">
      <formula>0</formula>
    </cfRule>
  </conditionalFormatting>
  <conditionalFormatting sqref="AQ51">
    <cfRule type="cellIs" dxfId="11203" priority="7104" operator="greaterThanOrEqual">
      <formula>0</formula>
    </cfRule>
  </conditionalFormatting>
  <conditionalFormatting sqref="AQ51">
    <cfRule type="cellIs" dxfId="11202" priority="7103" operator="lessThan">
      <formula>0</formula>
    </cfRule>
  </conditionalFormatting>
  <conditionalFormatting sqref="AQ59">
    <cfRule type="cellIs" dxfId="11201" priority="7102" operator="greaterThanOrEqual">
      <formula>0</formula>
    </cfRule>
  </conditionalFormatting>
  <conditionalFormatting sqref="AQ59">
    <cfRule type="cellIs" dxfId="11200" priority="7101" operator="lessThan">
      <formula>0</formula>
    </cfRule>
  </conditionalFormatting>
  <conditionalFormatting sqref="AQ65">
    <cfRule type="cellIs" dxfId="11199" priority="7100" operator="greaterThanOrEqual">
      <formula>0</formula>
    </cfRule>
  </conditionalFormatting>
  <conditionalFormatting sqref="AQ65">
    <cfRule type="cellIs" dxfId="11198" priority="7099" operator="lessThan">
      <formula>0</formula>
    </cfRule>
  </conditionalFormatting>
  <conditionalFormatting sqref="AQ66">
    <cfRule type="cellIs" dxfId="11197" priority="7098" operator="greaterThanOrEqual">
      <formula>0</formula>
    </cfRule>
  </conditionalFormatting>
  <conditionalFormatting sqref="AQ66">
    <cfRule type="cellIs" dxfId="11196" priority="7097" operator="lessThan">
      <formula>0</formula>
    </cfRule>
  </conditionalFormatting>
  <conditionalFormatting sqref="AQ42:AQ43">
    <cfRule type="cellIs" dxfId="11195" priority="7095" operator="lessThan">
      <formula>0</formula>
    </cfRule>
    <cfRule type="cellIs" dxfId="11194" priority="7096" operator="greaterThanOrEqual">
      <formula>0</formula>
    </cfRule>
  </conditionalFormatting>
  <conditionalFormatting sqref="AQ45:AQ46">
    <cfRule type="cellIs" dxfId="11193" priority="7093" operator="lessThan">
      <formula>0</formula>
    </cfRule>
    <cfRule type="cellIs" dxfId="11192" priority="7094" operator="greaterThanOrEqual">
      <formula>0</formula>
    </cfRule>
  </conditionalFormatting>
  <conditionalFormatting sqref="AQ57:AQ58">
    <cfRule type="cellIs" dxfId="11191" priority="7091" operator="lessThan">
      <formula>0</formula>
    </cfRule>
    <cfRule type="cellIs" dxfId="11190" priority="7092" operator="greaterThanOrEqual">
      <formula>0</formula>
    </cfRule>
  </conditionalFormatting>
  <conditionalFormatting sqref="AQ60:AQ61">
    <cfRule type="cellIs" dxfId="11189" priority="7089" operator="lessThan">
      <formula>0</formula>
    </cfRule>
    <cfRule type="cellIs" dxfId="11188" priority="7090" operator="greaterThanOrEqual">
      <formula>0</formula>
    </cfRule>
  </conditionalFormatting>
  <conditionalFormatting sqref="AQ63:AQ64">
    <cfRule type="cellIs" dxfId="11187" priority="7087" operator="lessThan">
      <formula>0</formula>
    </cfRule>
    <cfRule type="cellIs" dxfId="11186" priority="7088" operator="greaterThanOrEqual">
      <formula>0</formula>
    </cfRule>
  </conditionalFormatting>
  <conditionalFormatting sqref="AR68 AR71">
    <cfRule type="cellIs" dxfId="11185" priority="7085" operator="greaterThan">
      <formula>0</formula>
    </cfRule>
    <cfRule type="cellIs" dxfId="11184" priority="7086" operator="lessThanOrEqual">
      <formula>0</formula>
    </cfRule>
  </conditionalFormatting>
  <conditionalFormatting sqref="AR73">
    <cfRule type="cellIs" dxfId="11183" priority="7083" operator="greaterThan">
      <formula>0</formula>
    </cfRule>
    <cfRule type="cellIs" dxfId="11182" priority="7084" operator="lessThanOrEqual">
      <formula>0</formula>
    </cfRule>
  </conditionalFormatting>
  <conditionalFormatting sqref="AR69">
    <cfRule type="cellIs" dxfId="11181" priority="7081" operator="greaterThan">
      <formula>0</formula>
    </cfRule>
    <cfRule type="cellIs" dxfId="11180" priority="7082" operator="lessThanOrEqual">
      <formula>0</formula>
    </cfRule>
  </conditionalFormatting>
  <conditionalFormatting sqref="AR70">
    <cfRule type="cellIs" dxfId="11179" priority="7079" operator="greaterThan">
      <formula>0</formula>
    </cfRule>
    <cfRule type="cellIs" dxfId="11178" priority="7080" operator="lessThanOrEqual">
      <formula>0</formula>
    </cfRule>
  </conditionalFormatting>
  <conditionalFormatting sqref="AR72">
    <cfRule type="cellIs" dxfId="11177" priority="7077" operator="greaterThan">
      <formula>0</formula>
    </cfRule>
    <cfRule type="cellIs" dxfId="11176" priority="7078" operator="lessThanOrEqual">
      <formula>0</formula>
    </cfRule>
  </conditionalFormatting>
  <conditionalFormatting sqref="AQ68:AQ70">
    <cfRule type="cellIs" dxfId="11175" priority="7075" operator="lessThan">
      <formula>0</formula>
    </cfRule>
    <cfRule type="cellIs" dxfId="11174" priority="7076" operator="greaterThanOrEqual">
      <formula>0</formula>
    </cfRule>
  </conditionalFormatting>
  <conditionalFormatting sqref="AQ71:AQ72">
    <cfRule type="cellIs" dxfId="11173" priority="7074" operator="greaterThanOrEqual">
      <formula>0</formula>
    </cfRule>
  </conditionalFormatting>
  <conditionalFormatting sqref="AQ71:AQ72">
    <cfRule type="cellIs" dxfId="11172" priority="7073" operator="lessThan">
      <formula>0</formula>
    </cfRule>
  </conditionalFormatting>
  <conditionalFormatting sqref="AQ73">
    <cfRule type="cellIs" dxfId="11171" priority="7072" operator="greaterThanOrEqual">
      <formula>0</formula>
    </cfRule>
  </conditionalFormatting>
  <conditionalFormatting sqref="AQ73">
    <cfRule type="cellIs" dxfId="11170" priority="7071" operator="lessThan">
      <formula>0</formula>
    </cfRule>
  </conditionalFormatting>
  <conditionalFormatting sqref="AR67">
    <cfRule type="cellIs" dxfId="11169" priority="7069" operator="greaterThan">
      <formula>0</formula>
    </cfRule>
    <cfRule type="cellIs" dxfId="11168" priority="7070" operator="lessThanOrEqual">
      <formula>0</formula>
    </cfRule>
  </conditionalFormatting>
  <conditionalFormatting sqref="AQ67">
    <cfRule type="cellIs" dxfId="11167" priority="7067" operator="greaterThanOrEqual">
      <formula>0</formula>
    </cfRule>
    <cfRule type="cellIs" dxfId="11166" priority="7068" operator="lessThan">
      <formula>0</formula>
    </cfRule>
  </conditionalFormatting>
  <conditionalFormatting sqref="AN51">
    <cfRule type="cellIs" dxfId="11165" priority="7065" operator="greaterThan">
      <formula>0</formula>
    </cfRule>
    <cfRule type="cellIs" dxfId="11164" priority="7066" operator="lessThanOrEqual">
      <formula>0</formula>
    </cfRule>
  </conditionalFormatting>
  <conditionalFormatting sqref="AT42:AT43">
    <cfRule type="cellIs" dxfId="11163" priority="7063" operator="lessThan">
      <formula>0</formula>
    </cfRule>
    <cfRule type="cellIs" dxfId="11162" priority="7064" operator="greaterThanOrEqual">
      <formula>0</formula>
    </cfRule>
  </conditionalFormatting>
  <conditionalFormatting sqref="AT45:AT46">
    <cfRule type="cellIs" dxfId="11161" priority="7061" operator="lessThan">
      <formula>0</formula>
    </cfRule>
    <cfRule type="cellIs" dxfId="11160" priority="7062" operator="greaterThanOrEqual">
      <formula>0</formula>
    </cfRule>
  </conditionalFormatting>
  <conditionalFormatting sqref="AT53:AT54">
    <cfRule type="cellIs" dxfId="11159" priority="7059" operator="lessThan">
      <formula>0</formula>
    </cfRule>
    <cfRule type="cellIs" dxfId="11158" priority="7060" operator="greaterThanOrEqual">
      <formula>0</formula>
    </cfRule>
  </conditionalFormatting>
  <conditionalFormatting sqref="AT57:AT58">
    <cfRule type="cellIs" dxfId="11157" priority="7057" operator="lessThan">
      <formula>0</formula>
    </cfRule>
    <cfRule type="cellIs" dxfId="11156" priority="7058" operator="greaterThanOrEqual">
      <formula>0</formula>
    </cfRule>
  </conditionalFormatting>
  <conditionalFormatting sqref="AT60:AT61">
    <cfRule type="cellIs" dxfId="11155" priority="7055" operator="lessThan">
      <formula>0</formula>
    </cfRule>
    <cfRule type="cellIs" dxfId="11154" priority="7056" operator="greaterThanOrEqual">
      <formula>0</formula>
    </cfRule>
  </conditionalFormatting>
  <conditionalFormatting sqref="AT63:AT64">
    <cfRule type="cellIs" dxfId="11153" priority="7053" operator="lessThan">
      <formula>0</formula>
    </cfRule>
    <cfRule type="cellIs" dxfId="11152" priority="7054" operator="greaterThanOrEqual">
      <formula>0</formula>
    </cfRule>
  </conditionalFormatting>
  <conditionalFormatting sqref="AT25">
    <cfRule type="cellIs" dxfId="11151" priority="7052" operator="greaterThanOrEqual">
      <formula>0</formula>
    </cfRule>
  </conditionalFormatting>
  <conditionalFormatting sqref="AT25">
    <cfRule type="cellIs" dxfId="11150" priority="7051" operator="lessThan">
      <formula>0</formula>
    </cfRule>
  </conditionalFormatting>
  <conditionalFormatting sqref="AT26">
    <cfRule type="cellIs" dxfId="11149" priority="7050" operator="greaterThanOrEqual">
      <formula>0</formula>
    </cfRule>
  </conditionalFormatting>
  <conditionalFormatting sqref="AT26">
    <cfRule type="cellIs" dxfId="11148" priority="7049" operator="lessThan">
      <formula>0</formula>
    </cfRule>
  </conditionalFormatting>
  <conditionalFormatting sqref="AT28">
    <cfRule type="cellIs" dxfId="11147" priority="7048" operator="greaterThanOrEqual">
      <formula>0</formula>
    </cfRule>
  </conditionalFormatting>
  <conditionalFormatting sqref="AT28">
    <cfRule type="cellIs" dxfId="11146" priority="7047" operator="lessThan">
      <formula>0</formula>
    </cfRule>
  </conditionalFormatting>
  <conditionalFormatting sqref="AT41">
    <cfRule type="cellIs" dxfId="11145" priority="7046" operator="greaterThanOrEqual">
      <formula>0</formula>
    </cfRule>
  </conditionalFormatting>
  <conditionalFormatting sqref="AT41">
    <cfRule type="cellIs" dxfId="11144" priority="7045" operator="lessThan">
      <formula>0</formula>
    </cfRule>
  </conditionalFormatting>
  <conditionalFormatting sqref="AT44">
    <cfRule type="cellIs" dxfId="11143" priority="7044" operator="greaterThanOrEqual">
      <formula>0</formula>
    </cfRule>
  </conditionalFormatting>
  <conditionalFormatting sqref="AT44">
    <cfRule type="cellIs" dxfId="11142" priority="7043" operator="lessThan">
      <formula>0</formula>
    </cfRule>
  </conditionalFormatting>
  <conditionalFormatting sqref="AT47">
    <cfRule type="cellIs" dxfId="11141" priority="7042" operator="greaterThanOrEqual">
      <formula>0</formula>
    </cfRule>
  </conditionalFormatting>
  <conditionalFormatting sqref="AT47">
    <cfRule type="cellIs" dxfId="11140" priority="7041" operator="lessThan">
      <formula>0</formula>
    </cfRule>
  </conditionalFormatting>
  <conditionalFormatting sqref="AT50">
    <cfRule type="cellIs" dxfId="11139" priority="7040" operator="greaterThanOrEqual">
      <formula>0</formula>
    </cfRule>
  </conditionalFormatting>
  <conditionalFormatting sqref="AT50">
    <cfRule type="cellIs" dxfId="11138" priority="7039" operator="lessThan">
      <formula>0</formula>
    </cfRule>
  </conditionalFormatting>
  <conditionalFormatting sqref="AT51">
    <cfRule type="cellIs" dxfId="11137" priority="7038" operator="greaterThanOrEqual">
      <formula>0</formula>
    </cfRule>
  </conditionalFormatting>
  <conditionalFormatting sqref="AT51">
    <cfRule type="cellIs" dxfId="11136" priority="7037" operator="lessThan">
      <formula>0</formula>
    </cfRule>
  </conditionalFormatting>
  <conditionalFormatting sqref="AT59">
    <cfRule type="cellIs" dxfId="11135" priority="7036" operator="greaterThanOrEqual">
      <formula>0</formula>
    </cfRule>
  </conditionalFormatting>
  <conditionalFormatting sqref="AT59">
    <cfRule type="cellIs" dxfId="11134" priority="7035" operator="lessThan">
      <formula>0</formula>
    </cfRule>
  </conditionalFormatting>
  <conditionalFormatting sqref="AT62">
    <cfRule type="cellIs" dxfId="11133" priority="7034" operator="greaterThanOrEqual">
      <formula>0</formula>
    </cfRule>
  </conditionalFormatting>
  <conditionalFormatting sqref="AT62">
    <cfRule type="cellIs" dxfId="11132" priority="7033" operator="lessThan">
      <formula>0</formula>
    </cfRule>
  </conditionalFormatting>
  <conditionalFormatting sqref="AT65">
    <cfRule type="cellIs" dxfId="11131" priority="7032" operator="greaterThanOrEqual">
      <formula>0</formula>
    </cfRule>
  </conditionalFormatting>
  <conditionalFormatting sqref="AT65">
    <cfRule type="cellIs" dxfId="11130" priority="7031" operator="lessThan">
      <formula>0</formula>
    </cfRule>
  </conditionalFormatting>
  <conditionalFormatting sqref="AT56">
    <cfRule type="cellIs" dxfId="11129" priority="7030" operator="greaterThanOrEqual">
      <formula>0</formula>
    </cfRule>
  </conditionalFormatting>
  <conditionalFormatting sqref="AT56">
    <cfRule type="cellIs" dxfId="11128" priority="7029" operator="lessThan">
      <formula>0</formula>
    </cfRule>
  </conditionalFormatting>
  <conditionalFormatting sqref="AT66">
    <cfRule type="cellIs" dxfId="11127" priority="7028" operator="greaterThanOrEqual">
      <formula>0</formula>
    </cfRule>
  </conditionalFormatting>
  <conditionalFormatting sqref="AT66">
    <cfRule type="cellIs" dxfId="11126" priority="7027" operator="lessThan">
      <formula>0</formula>
    </cfRule>
  </conditionalFormatting>
  <conditionalFormatting sqref="AU16:AU17">
    <cfRule type="cellIs" dxfId="11125" priority="7025" operator="greaterThan">
      <formula>0</formula>
    </cfRule>
    <cfRule type="cellIs" dxfId="11124" priority="7026" operator="lessThanOrEqual">
      <formula>0</formula>
    </cfRule>
  </conditionalFormatting>
  <conditionalFormatting sqref="AU19:AU20">
    <cfRule type="cellIs" dxfId="11123" priority="7023" operator="greaterThan">
      <formula>0</formula>
    </cfRule>
    <cfRule type="cellIs" dxfId="11122" priority="7024" operator="lessThanOrEqual">
      <formula>0</formula>
    </cfRule>
  </conditionalFormatting>
  <conditionalFormatting sqref="AU22:AU23">
    <cfRule type="cellIs" dxfId="11121" priority="7021" operator="greaterThan">
      <formula>0</formula>
    </cfRule>
    <cfRule type="cellIs" dxfId="11120" priority="7022" operator="lessThanOrEqual">
      <formula>0</formula>
    </cfRule>
  </conditionalFormatting>
  <conditionalFormatting sqref="AU29:AU30">
    <cfRule type="cellIs" dxfId="11119" priority="7019" operator="greaterThan">
      <formula>0</formula>
    </cfRule>
    <cfRule type="cellIs" dxfId="11118" priority="7020" operator="lessThanOrEqual">
      <formula>0</formula>
    </cfRule>
  </conditionalFormatting>
  <conditionalFormatting sqref="AU32:AU33">
    <cfRule type="cellIs" dxfId="11117" priority="7017" operator="greaterThan">
      <formula>0</formula>
    </cfRule>
    <cfRule type="cellIs" dxfId="11116" priority="7018" operator="lessThanOrEqual">
      <formula>0</formula>
    </cfRule>
  </conditionalFormatting>
  <conditionalFormatting sqref="AU35:AU36">
    <cfRule type="cellIs" dxfId="11115" priority="7015" operator="greaterThan">
      <formula>0</formula>
    </cfRule>
    <cfRule type="cellIs" dxfId="11114" priority="7016" operator="lessThanOrEqual">
      <formula>0</formula>
    </cfRule>
  </conditionalFormatting>
  <conditionalFormatting sqref="AU38:AU39">
    <cfRule type="cellIs" dxfId="11113" priority="7013" operator="greaterThan">
      <formula>0</formula>
    </cfRule>
    <cfRule type="cellIs" dxfId="11112" priority="7014" operator="lessThanOrEqual">
      <formula>0</formula>
    </cfRule>
  </conditionalFormatting>
  <conditionalFormatting sqref="AU42:AU43">
    <cfRule type="cellIs" dxfId="11111" priority="7011" operator="greaterThan">
      <formula>0</formula>
    </cfRule>
    <cfRule type="cellIs" dxfId="11110" priority="7012" operator="lessThanOrEqual">
      <formula>0</formula>
    </cfRule>
  </conditionalFormatting>
  <conditionalFormatting sqref="AU45:AU46">
    <cfRule type="cellIs" dxfId="11109" priority="7009" operator="greaterThan">
      <formula>0</formula>
    </cfRule>
    <cfRule type="cellIs" dxfId="11108" priority="7010" operator="lessThanOrEqual">
      <formula>0</formula>
    </cfRule>
  </conditionalFormatting>
  <conditionalFormatting sqref="AU48:AU49">
    <cfRule type="cellIs" dxfId="11107" priority="7007" operator="greaterThan">
      <formula>0</formula>
    </cfRule>
    <cfRule type="cellIs" dxfId="11106" priority="7008" operator="lessThanOrEqual">
      <formula>0</formula>
    </cfRule>
  </conditionalFormatting>
  <conditionalFormatting sqref="AU53:AU54">
    <cfRule type="cellIs" dxfId="11105" priority="7005" operator="greaterThan">
      <formula>0</formula>
    </cfRule>
    <cfRule type="cellIs" dxfId="11104" priority="7006" operator="lessThanOrEqual">
      <formula>0</formula>
    </cfRule>
  </conditionalFormatting>
  <conditionalFormatting sqref="AU57:AU58">
    <cfRule type="cellIs" dxfId="11103" priority="7003" operator="greaterThan">
      <formula>0</formula>
    </cfRule>
    <cfRule type="cellIs" dxfId="11102" priority="7004" operator="lessThanOrEqual">
      <formula>0</formula>
    </cfRule>
  </conditionalFormatting>
  <conditionalFormatting sqref="AU60:AU61">
    <cfRule type="cellIs" dxfId="11101" priority="7001" operator="greaterThan">
      <formula>0</formula>
    </cfRule>
    <cfRule type="cellIs" dxfId="11100" priority="7002" operator="lessThanOrEqual">
      <formula>0</formula>
    </cfRule>
  </conditionalFormatting>
  <conditionalFormatting sqref="AU63:AU64">
    <cfRule type="cellIs" dxfId="11099" priority="6999" operator="greaterThan">
      <formula>0</formula>
    </cfRule>
    <cfRule type="cellIs" dxfId="11098" priority="7000" operator="lessThanOrEqual">
      <formula>0</formula>
    </cfRule>
  </conditionalFormatting>
  <conditionalFormatting sqref="AU25">
    <cfRule type="cellIs" dxfId="11097" priority="6998" operator="greaterThanOrEqual">
      <formula>0</formula>
    </cfRule>
  </conditionalFormatting>
  <conditionalFormatting sqref="AU25">
    <cfRule type="cellIs" dxfId="11096" priority="6997" operator="lessThan">
      <formula>0</formula>
    </cfRule>
  </conditionalFormatting>
  <conditionalFormatting sqref="AU26">
    <cfRule type="cellIs" dxfId="11095" priority="6996" operator="greaterThanOrEqual">
      <formula>0</formula>
    </cfRule>
  </conditionalFormatting>
  <conditionalFormatting sqref="AU26">
    <cfRule type="cellIs" dxfId="11094" priority="6995" operator="lessThan">
      <formula>0</formula>
    </cfRule>
  </conditionalFormatting>
  <conditionalFormatting sqref="AU28">
    <cfRule type="cellIs" dxfId="11093" priority="6994" operator="greaterThanOrEqual">
      <formula>0</formula>
    </cfRule>
  </conditionalFormatting>
  <conditionalFormatting sqref="AU28">
    <cfRule type="cellIs" dxfId="11092" priority="6993" operator="lessThan">
      <formula>0</formula>
    </cfRule>
  </conditionalFormatting>
  <conditionalFormatting sqref="AU41">
    <cfRule type="cellIs" dxfId="11091" priority="6992" operator="greaterThanOrEqual">
      <formula>0</formula>
    </cfRule>
  </conditionalFormatting>
  <conditionalFormatting sqref="AU41">
    <cfRule type="cellIs" dxfId="11090" priority="6991" operator="lessThan">
      <formula>0</formula>
    </cfRule>
  </conditionalFormatting>
  <conditionalFormatting sqref="AU44">
    <cfRule type="cellIs" dxfId="11089" priority="6990" operator="greaterThanOrEqual">
      <formula>0</formula>
    </cfRule>
  </conditionalFormatting>
  <conditionalFormatting sqref="AU44">
    <cfRule type="cellIs" dxfId="11088" priority="6989" operator="lessThan">
      <formula>0</formula>
    </cfRule>
  </conditionalFormatting>
  <conditionalFormatting sqref="AU47">
    <cfRule type="cellIs" dxfId="11087" priority="6988" operator="greaterThanOrEqual">
      <formula>0</formula>
    </cfRule>
  </conditionalFormatting>
  <conditionalFormatting sqref="AU47">
    <cfRule type="cellIs" dxfId="11086" priority="6987" operator="lessThan">
      <formula>0</formula>
    </cfRule>
  </conditionalFormatting>
  <conditionalFormatting sqref="AU50">
    <cfRule type="cellIs" dxfId="11085" priority="6986" operator="greaterThanOrEqual">
      <formula>0</formula>
    </cfRule>
  </conditionalFormatting>
  <conditionalFormatting sqref="AU50">
    <cfRule type="cellIs" dxfId="11084" priority="6985" operator="lessThan">
      <formula>0</formula>
    </cfRule>
  </conditionalFormatting>
  <conditionalFormatting sqref="AU51">
    <cfRule type="cellIs" dxfId="11083" priority="6984" operator="greaterThanOrEqual">
      <formula>0</formula>
    </cfRule>
  </conditionalFormatting>
  <conditionalFormatting sqref="AU51">
    <cfRule type="cellIs" dxfId="11082" priority="6983" operator="lessThan">
      <formula>0</formula>
    </cfRule>
  </conditionalFormatting>
  <conditionalFormatting sqref="AQ107">
    <cfRule type="cellIs" dxfId="11081" priority="6750" operator="greaterThanOrEqual">
      <formula>0</formula>
    </cfRule>
  </conditionalFormatting>
  <conditionalFormatting sqref="AQ107">
    <cfRule type="cellIs" dxfId="11080" priority="6749" operator="lessThan">
      <formula>0</formula>
    </cfRule>
  </conditionalFormatting>
  <conditionalFormatting sqref="AU59">
    <cfRule type="cellIs" dxfId="11079" priority="6982" operator="greaterThanOrEqual">
      <formula>0</formula>
    </cfRule>
  </conditionalFormatting>
  <conditionalFormatting sqref="AU59">
    <cfRule type="cellIs" dxfId="11078" priority="6981" operator="lessThan">
      <formula>0</formula>
    </cfRule>
  </conditionalFormatting>
  <conditionalFormatting sqref="AU62">
    <cfRule type="cellIs" dxfId="11077" priority="6980" operator="greaterThanOrEqual">
      <formula>0</formula>
    </cfRule>
  </conditionalFormatting>
  <conditionalFormatting sqref="AU62">
    <cfRule type="cellIs" dxfId="11076" priority="6979" operator="lessThan">
      <formula>0</formula>
    </cfRule>
  </conditionalFormatting>
  <conditionalFormatting sqref="AU65">
    <cfRule type="cellIs" dxfId="11075" priority="6978" operator="greaterThanOrEqual">
      <formula>0</formula>
    </cfRule>
  </conditionalFormatting>
  <conditionalFormatting sqref="AU65">
    <cfRule type="cellIs" dxfId="11074" priority="6977" operator="lessThan">
      <formula>0</formula>
    </cfRule>
  </conditionalFormatting>
  <conditionalFormatting sqref="AU56">
    <cfRule type="cellIs" dxfId="11073" priority="6975" operator="lessThan">
      <formula>0</formula>
    </cfRule>
  </conditionalFormatting>
  <conditionalFormatting sqref="AU56">
    <cfRule type="cellIs" dxfId="11072" priority="6976" operator="greaterThanOrEqual">
      <formula>0</formula>
    </cfRule>
  </conditionalFormatting>
  <conditionalFormatting sqref="AU66">
    <cfRule type="cellIs" dxfId="11071" priority="6973" operator="lessThan">
      <formula>0</formula>
    </cfRule>
  </conditionalFormatting>
  <conditionalFormatting sqref="AU66">
    <cfRule type="cellIs" dxfId="11070" priority="6974" operator="greaterThanOrEqual">
      <formula>0</formula>
    </cfRule>
  </conditionalFormatting>
  <conditionalFormatting sqref="AT70">
    <cfRule type="cellIs" dxfId="11069" priority="6971" operator="lessThan">
      <formula>0</formula>
    </cfRule>
    <cfRule type="cellIs" dxfId="11068" priority="6972" operator="greaterThanOrEqual">
      <formula>0</formula>
    </cfRule>
  </conditionalFormatting>
  <conditionalFormatting sqref="AU70">
    <cfRule type="cellIs" dxfId="11067" priority="6969" operator="lessThan">
      <formula>0</formula>
    </cfRule>
    <cfRule type="cellIs" dxfId="11066" priority="6970" operator="greaterThanOrEqual">
      <formula>0</formula>
    </cfRule>
  </conditionalFormatting>
  <conditionalFormatting sqref="AU72">
    <cfRule type="cellIs" dxfId="11065" priority="6967" operator="lessThan">
      <formula>0</formula>
    </cfRule>
    <cfRule type="cellIs" dxfId="11064" priority="6968" operator="greaterThanOrEqual">
      <formula>0</formula>
    </cfRule>
  </conditionalFormatting>
  <conditionalFormatting sqref="AU123:AU124">
    <cfRule type="cellIs" dxfId="11063" priority="6639" operator="greaterThan">
      <formula>0</formula>
    </cfRule>
    <cfRule type="cellIs" dxfId="11062" priority="6640" operator="lessThanOrEqual">
      <formula>0</formula>
    </cfRule>
  </conditionalFormatting>
  <conditionalFormatting sqref="AU119">
    <cfRule type="cellIs" dxfId="11061" priority="6614" operator="greaterThanOrEqual">
      <formula>0</formula>
    </cfRule>
  </conditionalFormatting>
  <conditionalFormatting sqref="AU119">
    <cfRule type="cellIs" dxfId="11060" priority="6613" operator="lessThan">
      <formula>0</formula>
    </cfRule>
  </conditionalFormatting>
  <conditionalFormatting sqref="AU129">
    <cfRule type="cellIs" dxfId="11059" priority="6612" operator="greaterThanOrEqual">
      <formula>0</formula>
    </cfRule>
  </conditionalFormatting>
  <conditionalFormatting sqref="AU129">
    <cfRule type="cellIs" dxfId="11058" priority="6611" operator="lessThan">
      <formula>0</formula>
    </cfRule>
  </conditionalFormatting>
  <conditionalFormatting sqref="AU118">
    <cfRule type="cellIs" dxfId="11057" priority="6608" operator="greaterThanOrEqual">
      <formula>0</formula>
    </cfRule>
  </conditionalFormatting>
  <conditionalFormatting sqref="AU118">
    <cfRule type="cellIs" dxfId="11056" priority="6607" operator="lessThan">
      <formula>0</formula>
    </cfRule>
  </conditionalFormatting>
  <conditionalFormatting sqref="AT76:AT77 AT79:AT80 AT82:AT83 AT85:AT86 AT92:AT93 AT95:AT96 AT98:AT99 AT101:AT102 AT111:AT112">
    <cfRule type="cellIs" dxfId="11055" priority="6717" operator="lessThan">
      <formula>0</formula>
    </cfRule>
    <cfRule type="cellIs" dxfId="11054" priority="6718" operator="greaterThanOrEqual">
      <formula>0</formula>
    </cfRule>
  </conditionalFormatting>
  <conditionalFormatting sqref="AR95:AR96">
    <cfRule type="cellIs" dxfId="11053" priority="6825" operator="greaterThan">
      <formula>0</formula>
    </cfRule>
    <cfRule type="cellIs" dxfId="11052" priority="6826" operator="lessThanOrEqual">
      <formula>0</formula>
    </cfRule>
  </conditionalFormatting>
  <conditionalFormatting sqref="AT107">
    <cfRule type="cellIs" dxfId="11051" priority="6682" operator="greaterThanOrEqual">
      <formula>0</formula>
    </cfRule>
  </conditionalFormatting>
  <conditionalFormatting sqref="AT107">
    <cfRule type="cellIs" dxfId="11050" priority="6681" operator="lessThan">
      <formula>0</formula>
    </cfRule>
  </conditionalFormatting>
  <conditionalFormatting sqref="AU113">
    <cfRule type="cellIs" dxfId="11049" priority="6624" operator="greaterThanOrEqual">
      <formula>0</formula>
    </cfRule>
  </conditionalFormatting>
  <conditionalFormatting sqref="AU113">
    <cfRule type="cellIs" dxfId="11048" priority="6623" operator="lessThan">
      <formula>0</formula>
    </cfRule>
  </conditionalFormatting>
  <conditionalFormatting sqref="AT114">
    <cfRule type="cellIs" dxfId="11047" priority="6676" operator="greaterThanOrEqual">
      <formula>0</formula>
    </cfRule>
  </conditionalFormatting>
  <conditionalFormatting sqref="AT114">
    <cfRule type="cellIs" dxfId="11046" priority="6675" operator="lessThan">
      <formula>0</formula>
    </cfRule>
  </conditionalFormatting>
  <conditionalFormatting sqref="AU125">
    <cfRule type="cellIs" dxfId="11045" priority="6617" operator="lessThan">
      <formula>0</formula>
    </cfRule>
  </conditionalFormatting>
  <conditionalFormatting sqref="AU125">
    <cfRule type="cellIs" dxfId="11044" priority="6618" operator="greaterThanOrEqual">
      <formula>0</formula>
    </cfRule>
  </conditionalFormatting>
  <conditionalFormatting sqref="AM55">
    <cfRule type="cellIs" dxfId="11043" priority="6966" operator="greaterThanOrEqual">
      <formula>0</formula>
    </cfRule>
  </conditionalFormatting>
  <conditionalFormatting sqref="AM55">
    <cfRule type="cellIs" dxfId="11042" priority="6965" operator="lessThan">
      <formula>0</formula>
    </cfRule>
  </conditionalFormatting>
  <conditionalFormatting sqref="AR55">
    <cfRule type="cellIs" dxfId="11041" priority="6963" operator="greaterThan">
      <formula>0</formula>
    </cfRule>
    <cfRule type="cellIs" dxfId="11040" priority="6964" operator="lessThanOrEqual">
      <formula>0</formula>
    </cfRule>
  </conditionalFormatting>
  <conditionalFormatting sqref="AQ55">
    <cfRule type="cellIs" dxfId="11039" priority="6962" operator="greaterThanOrEqual">
      <formula>0</formula>
    </cfRule>
  </conditionalFormatting>
  <conditionalFormatting sqref="AQ55">
    <cfRule type="cellIs" dxfId="11038" priority="6961" operator="lessThan">
      <formula>0</formula>
    </cfRule>
  </conditionalFormatting>
  <conditionalFormatting sqref="AN55">
    <cfRule type="cellIs" dxfId="11037" priority="6959" operator="greaterThan">
      <formula>0</formula>
    </cfRule>
    <cfRule type="cellIs" dxfId="11036" priority="6960" operator="lessThanOrEqual">
      <formula>0</formula>
    </cfRule>
  </conditionalFormatting>
  <conditionalFormatting sqref="AT55">
    <cfRule type="cellIs" dxfId="11035" priority="6958" operator="greaterThanOrEqual">
      <formula>0</formula>
    </cfRule>
  </conditionalFormatting>
  <conditionalFormatting sqref="AT55">
    <cfRule type="cellIs" dxfId="11034" priority="6957" operator="lessThan">
      <formula>0</formula>
    </cfRule>
  </conditionalFormatting>
  <conditionalFormatting sqref="AU55">
    <cfRule type="cellIs" dxfId="11033" priority="6956" operator="greaterThanOrEqual">
      <formula>0</formula>
    </cfRule>
  </conditionalFormatting>
  <conditionalFormatting sqref="AU55">
    <cfRule type="cellIs" dxfId="11032" priority="6955" operator="lessThan">
      <formula>0</formula>
    </cfRule>
  </conditionalFormatting>
  <conditionalFormatting sqref="AU128">
    <cfRule type="cellIs" dxfId="11031" priority="6616" operator="greaterThanOrEqual">
      <formula>0</formula>
    </cfRule>
  </conditionalFormatting>
  <conditionalFormatting sqref="AU128">
    <cfRule type="cellIs" dxfId="11030" priority="6615" operator="lessThan">
      <formula>0</formula>
    </cfRule>
  </conditionalFormatting>
  <conditionalFormatting sqref="AN76:AN77">
    <cfRule type="cellIs" dxfId="11029" priority="6953" operator="greaterThan">
      <formula>0</formula>
    </cfRule>
    <cfRule type="cellIs" dxfId="11028" priority="6954" operator="lessThanOrEqual">
      <formula>0</formula>
    </cfRule>
  </conditionalFormatting>
  <conditionalFormatting sqref="AN79:AN80">
    <cfRule type="cellIs" dxfId="11027" priority="6951" operator="greaterThan">
      <formula>0</formula>
    </cfRule>
    <cfRule type="cellIs" dxfId="11026" priority="6952" operator="lessThanOrEqual">
      <formula>0</formula>
    </cfRule>
  </conditionalFormatting>
  <conditionalFormatting sqref="AN82:AN83">
    <cfRule type="cellIs" dxfId="11025" priority="6949" operator="greaterThan">
      <formula>0</formula>
    </cfRule>
    <cfRule type="cellIs" dxfId="11024" priority="6950" operator="lessThanOrEqual">
      <formula>0</formula>
    </cfRule>
  </conditionalFormatting>
  <conditionalFormatting sqref="AN92:AN93">
    <cfRule type="cellIs" dxfId="11023" priority="6947" operator="greaterThan">
      <formula>0</formula>
    </cfRule>
    <cfRule type="cellIs" dxfId="11022" priority="6948" operator="lessThanOrEqual">
      <formula>0</formula>
    </cfRule>
  </conditionalFormatting>
  <conditionalFormatting sqref="AN85:AN86">
    <cfRule type="cellIs" dxfId="11021" priority="6945" operator="greaterThan">
      <formula>0</formula>
    </cfRule>
    <cfRule type="cellIs" dxfId="11020" priority="6946" operator="lessThanOrEqual">
      <formula>0</formula>
    </cfRule>
  </conditionalFormatting>
  <conditionalFormatting sqref="AN95:AN96">
    <cfRule type="cellIs" dxfId="11019" priority="6943" operator="greaterThan">
      <formula>0</formula>
    </cfRule>
    <cfRule type="cellIs" dxfId="11018" priority="6944" operator="lessThanOrEqual">
      <formula>0</formula>
    </cfRule>
  </conditionalFormatting>
  <conditionalFormatting sqref="AN98:AN99">
    <cfRule type="cellIs" dxfId="11017" priority="6941" operator="greaterThan">
      <formula>0</formula>
    </cfRule>
    <cfRule type="cellIs" dxfId="11016" priority="6942" operator="lessThanOrEqual">
      <formula>0</formula>
    </cfRule>
  </conditionalFormatting>
  <conditionalFormatting sqref="AN101:AN102">
    <cfRule type="cellIs" dxfId="11015" priority="6939" operator="greaterThan">
      <formula>0</formula>
    </cfRule>
    <cfRule type="cellIs" dxfId="11014" priority="6940" operator="lessThanOrEqual">
      <formula>0</formula>
    </cfRule>
  </conditionalFormatting>
  <conditionalFormatting sqref="AN111:AN112">
    <cfRule type="cellIs" dxfId="11013" priority="6937" operator="greaterThan">
      <formula>0</formula>
    </cfRule>
    <cfRule type="cellIs" dxfId="11012" priority="6938" operator="lessThanOrEqual">
      <formula>0</formula>
    </cfRule>
  </conditionalFormatting>
  <conditionalFormatting sqref="AN126:AN127">
    <cfRule type="cellIs" dxfId="11011" priority="6935" operator="greaterThan">
      <formula>0</formula>
    </cfRule>
    <cfRule type="cellIs" dxfId="11010" priority="6936" operator="lessThanOrEqual">
      <formula>0</formula>
    </cfRule>
  </conditionalFormatting>
  <conditionalFormatting sqref="AN116:AN117">
    <cfRule type="cellIs" dxfId="11009" priority="6933" operator="greaterThan">
      <formula>0</formula>
    </cfRule>
    <cfRule type="cellIs" dxfId="11008" priority="6934" operator="lessThanOrEqual">
      <formula>0</formula>
    </cfRule>
  </conditionalFormatting>
  <conditionalFormatting sqref="AN78">
    <cfRule type="cellIs" dxfId="11007" priority="6931" operator="greaterThan">
      <formula>0</formula>
    </cfRule>
    <cfRule type="cellIs" dxfId="11006" priority="6932" operator="lessThanOrEqual">
      <formula>0</formula>
    </cfRule>
  </conditionalFormatting>
  <conditionalFormatting sqref="AN81">
    <cfRule type="cellIs" dxfId="11005" priority="6929" operator="greaterThan">
      <formula>0</formula>
    </cfRule>
    <cfRule type="cellIs" dxfId="11004" priority="6930" operator="lessThanOrEqual">
      <formula>0</formula>
    </cfRule>
  </conditionalFormatting>
  <conditionalFormatting sqref="AN84">
    <cfRule type="cellIs" dxfId="11003" priority="6927" operator="greaterThan">
      <formula>0</formula>
    </cfRule>
    <cfRule type="cellIs" dxfId="11002" priority="6928" operator="lessThanOrEqual">
      <formula>0</formula>
    </cfRule>
  </conditionalFormatting>
  <conditionalFormatting sqref="AN94">
    <cfRule type="cellIs" dxfId="11001" priority="6925" operator="greaterThan">
      <formula>0</formula>
    </cfRule>
    <cfRule type="cellIs" dxfId="11000" priority="6926" operator="lessThanOrEqual">
      <formula>0</formula>
    </cfRule>
  </conditionalFormatting>
  <conditionalFormatting sqref="AN87">
    <cfRule type="cellIs" dxfId="10999" priority="6923" operator="greaterThan">
      <formula>0</formula>
    </cfRule>
    <cfRule type="cellIs" dxfId="10998" priority="6924" operator="lessThanOrEqual">
      <formula>0</formula>
    </cfRule>
  </conditionalFormatting>
  <conditionalFormatting sqref="AN97">
    <cfRule type="cellIs" dxfId="10997" priority="6921" operator="greaterThan">
      <formula>0</formula>
    </cfRule>
    <cfRule type="cellIs" dxfId="10996" priority="6922" operator="lessThanOrEqual">
      <formula>0</formula>
    </cfRule>
  </conditionalFormatting>
  <conditionalFormatting sqref="AN100">
    <cfRule type="cellIs" dxfId="10995" priority="6919" operator="greaterThan">
      <formula>0</formula>
    </cfRule>
    <cfRule type="cellIs" dxfId="10994" priority="6920" operator="lessThanOrEqual">
      <formula>0</formula>
    </cfRule>
  </conditionalFormatting>
  <conditionalFormatting sqref="AN103">
    <cfRule type="cellIs" dxfId="10993" priority="6917" operator="greaterThan">
      <formula>0</formula>
    </cfRule>
    <cfRule type="cellIs" dxfId="10992" priority="6918" operator="lessThanOrEqual">
      <formula>0</formula>
    </cfRule>
  </conditionalFormatting>
  <conditionalFormatting sqref="AN89">
    <cfRule type="cellIs" dxfId="10991" priority="6915" operator="greaterThan">
      <formula>0</formula>
    </cfRule>
    <cfRule type="cellIs" dxfId="10990" priority="6916" operator="lessThanOrEqual">
      <formula>0</formula>
    </cfRule>
  </conditionalFormatting>
  <conditionalFormatting sqref="AN129">
    <cfRule type="cellIs" dxfId="10989" priority="6913" operator="greaterThan">
      <formula>0</formula>
    </cfRule>
    <cfRule type="cellIs" dxfId="10988" priority="6914" operator="lessThanOrEqual">
      <formula>0</formula>
    </cfRule>
  </conditionalFormatting>
  <conditionalFormatting sqref="AM76:AM77 AM79:AM80 AM82:AM83 AM85:AM86 AM92:AM93 AM95:AM96 AM98:AM99 AM101:AM102 AM111:AM112 AM116:AM117">
    <cfRule type="cellIs" dxfId="10987" priority="6911" operator="lessThan">
      <formula>0</formula>
    </cfRule>
    <cfRule type="cellIs" dxfId="10986" priority="6912" operator="greaterThanOrEqual">
      <formula>0</formula>
    </cfRule>
  </conditionalFormatting>
  <conditionalFormatting sqref="AM78 AM81 AM84 AM87 AM89 AM94 AM97 AM100 AM103">
    <cfRule type="cellIs" dxfId="10985" priority="6910" operator="greaterThanOrEqual">
      <formula>0</formula>
    </cfRule>
  </conditionalFormatting>
  <conditionalFormatting sqref="AM78 AM81 AM84 AM87 AM89 AM94 AM97 AM100 AM103">
    <cfRule type="cellIs" dxfId="10984" priority="6909" operator="lessThan">
      <formula>0</formula>
    </cfRule>
  </conditionalFormatting>
  <conditionalFormatting sqref="AN130">
    <cfRule type="cellIs" dxfId="10983" priority="6907" operator="greaterThan">
      <formula>0</formula>
    </cfRule>
    <cfRule type="cellIs" dxfId="10982" priority="6908" operator="lessThanOrEqual">
      <formula>0</formula>
    </cfRule>
  </conditionalFormatting>
  <conditionalFormatting sqref="AM130">
    <cfRule type="cellIs" dxfId="10981" priority="6905" operator="greaterThanOrEqual">
      <formula>0</formula>
    </cfRule>
    <cfRule type="cellIs" dxfId="10980" priority="6906" operator="lessThan">
      <formula>0</formula>
    </cfRule>
  </conditionalFormatting>
  <conditionalFormatting sqref="AM125">
    <cfRule type="cellIs" dxfId="10979" priority="6886" operator="greaterThanOrEqual">
      <formula>0</formula>
    </cfRule>
  </conditionalFormatting>
  <conditionalFormatting sqref="AM125">
    <cfRule type="cellIs" dxfId="10978" priority="6885" operator="lessThan">
      <formula>0</formula>
    </cfRule>
  </conditionalFormatting>
  <conditionalFormatting sqref="AN107">
    <cfRule type="cellIs" dxfId="10977" priority="6895" operator="greaterThan">
      <formula>0</formula>
    </cfRule>
    <cfRule type="cellIs" dxfId="10976" priority="6896" operator="lessThanOrEqual">
      <formula>0</formula>
    </cfRule>
  </conditionalFormatting>
  <conditionalFormatting sqref="AN110">
    <cfRule type="cellIs" dxfId="10975" priority="6893" operator="greaterThan">
      <formula>0</formula>
    </cfRule>
    <cfRule type="cellIs" dxfId="10974" priority="6894" operator="lessThanOrEqual">
      <formula>0</formula>
    </cfRule>
  </conditionalFormatting>
  <conditionalFormatting sqref="AN113">
    <cfRule type="cellIs" dxfId="10973" priority="6891" operator="greaterThan">
      <formula>0</formula>
    </cfRule>
    <cfRule type="cellIs" dxfId="10972" priority="6892" operator="lessThanOrEqual">
      <formula>0</formula>
    </cfRule>
  </conditionalFormatting>
  <conditionalFormatting sqref="AN91">
    <cfRule type="cellIs" dxfId="10971" priority="6903" operator="greaterThan">
      <formula>0</formula>
    </cfRule>
    <cfRule type="cellIs" dxfId="10970" priority="6904" operator="lessThanOrEqual">
      <formula>0</formula>
    </cfRule>
  </conditionalFormatting>
  <conditionalFormatting sqref="AN104">
    <cfRule type="cellIs" dxfId="10969" priority="6901" operator="greaterThan">
      <formula>0</formula>
    </cfRule>
    <cfRule type="cellIs" dxfId="10968" priority="6902" operator="lessThanOrEqual">
      <formula>0</formula>
    </cfRule>
  </conditionalFormatting>
  <conditionalFormatting sqref="AN105:AN106 AN108:AN109">
    <cfRule type="cellIs" dxfId="10967" priority="6899" operator="greaterThan">
      <formula>0</formula>
    </cfRule>
    <cfRule type="cellIs" dxfId="10966" priority="6900" operator="lessThanOrEqual">
      <formula>0</formula>
    </cfRule>
  </conditionalFormatting>
  <conditionalFormatting sqref="AN120:AN121 AN123:AN124">
    <cfRule type="cellIs" dxfId="10965" priority="6897" operator="greaterThan">
      <formula>0</formula>
    </cfRule>
    <cfRule type="cellIs" dxfId="10964" priority="6898" operator="lessThanOrEqual">
      <formula>0</formula>
    </cfRule>
  </conditionalFormatting>
  <conditionalFormatting sqref="AN122">
    <cfRule type="cellIs" dxfId="10963" priority="6889" operator="greaterThan">
      <formula>0</formula>
    </cfRule>
    <cfRule type="cellIs" dxfId="10962" priority="6890" operator="lessThanOrEqual">
      <formula>0</formula>
    </cfRule>
  </conditionalFormatting>
  <conditionalFormatting sqref="AN125">
    <cfRule type="cellIs" dxfId="10961" priority="6887" operator="greaterThan">
      <formula>0</formula>
    </cfRule>
    <cfRule type="cellIs" dxfId="10960" priority="6888" operator="lessThanOrEqual">
      <formula>0</formula>
    </cfRule>
  </conditionalFormatting>
  <conditionalFormatting sqref="AN128">
    <cfRule type="cellIs" dxfId="10959" priority="6883" operator="greaterThan">
      <formula>0</formula>
    </cfRule>
    <cfRule type="cellIs" dxfId="10958" priority="6884" operator="lessThanOrEqual">
      <formula>0</formula>
    </cfRule>
  </conditionalFormatting>
  <conditionalFormatting sqref="AN88">
    <cfRule type="cellIs" dxfId="10957" priority="6881" operator="greaterThan">
      <formula>0</formula>
    </cfRule>
    <cfRule type="cellIs" dxfId="10956" priority="6882" operator="lessThanOrEqual">
      <formula>0</formula>
    </cfRule>
  </conditionalFormatting>
  <conditionalFormatting sqref="AN119">
    <cfRule type="cellIs" dxfId="10955" priority="6879" operator="greaterThan">
      <formula>0</formula>
    </cfRule>
    <cfRule type="cellIs" dxfId="10954" priority="6880" operator="lessThanOrEqual">
      <formula>0</formula>
    </cfRule>
  </conditionalFormatting>
  <conditionalFormatting sqref="AM119">
    <cfRule type="cellIs" dxfId="10953" priority="6878" operator="greaterThanOrEqual">
      <formula>0</formula>
    </cfRule>
  </conditionalFormatting>
  <conditionalFormatting sqref="AM119">
    <cfRule type="cellIs" dxfId="10952" priority="6877" operator="lessThan">
      <formula>0</formula>
    </cfRule>
  </conditionalFormatting>
  <conditionalFormatting sqref="AN115">
    <cfRule type="cellIs" dxfId="10951" priority="6875" operator="greaterThan">
      <formula>0</formula>
    </cfRule>
    <cfRule type="cellIs" dxfId="10950" priority="6876" operator="lessThanOrEqual">
      <formula>0</formula>
    </cfRule>
  </conditionalFormatting>
  <conditionalFormatting sqref="AM115">
    <cfRule type="cellIs" dxfId="10949" priority="6874" operator="greaterThanOrEqual">
      <formula>0</formula>
    </cfRule>
  </conditionalFormatting>
  <conditionalFormatting sqref="AM115">
    <cfRule type="cellIs" dxfId="10948" priority="6873" operator="lessThan">
      <formula>0</formula>
    </cfRule>
  </conditionalFormatting>
  <conditionalFormatting sqref="AM88">
    <cfRule type="cellIs" dxfId="10947" priority="6872" operator="greaterThanOrEqual">
      <formula>0</formula>
    </cfRule>
  </conditionalFormatting>
  <conditionalFormatting sqref="AM88">
    <cfRule type="cellIs" dxfId="10946" priority="6871" operator="lessThan">
      <formula>0</formula>
    </cfRule>
  </conditionalFormatting>
  <conditionalFormatting sqref="AM91">
    <cfRule type="cellIs" dxfId="10945" priority="6870" operator="greaterThanOrEqual">
      <formula>0</formula>
    </cfRule>
  </conditionalFormatting>
  <conditionalFormatting sqref="AM91">
    <cfRule type="cellIs" dxfId="10944" priority="6869" operator="lessThan">
      <formula>0</formula>
    </cfRule>
  </conditionalFormatting>
  <conditionalFormatting sqref="AM104">
    <cfRule type="cellIs" dxfId="10943" priority="6868" operator="greaterThanOrEqual">
      <formula>0</formula>
    </cfRule>
  </conditionalFormatting>
  <conditionalFormatting sqref="AM104">
    <cfRule type="cellIs" dxfId="10942" priority="6867" operator="lessThan">
      <formula>0</formula>
    </cfRule>
  </conditionalFormatting>
  <conditionalFormatting sqref="AM107">
    <cfRule type="cellIs" dxfId="10941" priority="6866" operator="greaterThanOrEqual">
      <formula>0</formula>
    </cfRule>
  </conditionalFormatting>
  <conditionalFormatting sqref="AM107">
    <cfRule type="cellIs" dxfId="10940" priority="6865" operator="lessThan">
      <formula>0</formula>
    </cfRule>
  </conditionalFormatting>
  <conditionalFormatting sqref="AM110">
    <cfRule type="cellIs" dxfId="10939" priority="6864" operator="greaterThanOrEqual">
      <formula>0</formula>
    </cfRule>
  </conditionalFormatting>
  <conditionalFormatting sqref="AM110">
    <cfRule type="cellIs" dxfId="10938" priority="6863" operator="lessThan">
      <formula>0</formula>
    </cfRule>
  </conditionalFormatting>
  <conditionalFormatting sqref="AM113">
    <cfRule type="cellIs" dxfId="10937" priority="6862" operator="greaterThanOrEqual">
      <formula>0</formula>
    </cfRule>
  </conditionalFormatting>
  <conditionalFormatting sqref="AM113">
    <cfRule type="cellIs" dxfId="10936" priority="6861" operator="lessThan">
      <formula>0</formula>
    </cfRule>
  </conditionalFormatting>
  <conditionalFormatting sqref="AM114">
    <cfRule type="cellIs" dxfId="10935" priority="6860" operator="greaterThanOrEqual">
      <formula>0</formula>
    </cfRule>
  </conditionalFormatting>
  <conditionalFormatting sqref="AM114">
    <cfRule type="cellIs" dxfId="10934" priority="6859" operator="lessThan">
      <formula>0</formula>
    </cfRule>
  </conditionalFormatting>
  <conditionalFormatting sqref="AM122">
    <cfRule type="cellIs" dxfId="10933" priority="6858" operator="greaterThanOrEqual">
      <formula>0</formula>
    </cfRule>
  </conditionalFormatting>
  <conditionalFormatting sqref="AM122">
    <cfRule type="cellIs" dxfId="10932" priority="6857" operator="lessThan">
      <formula>0</formula>
    </cfRule>
  </conditionalFormatting>
  <conditionalFormatting sqref="AM128">
    <cfRule type="cellIs" dxfId="10931" priority="6856" operator="greaterThanOrEqual">
      <formula>0</formula>
    </cfRule>
  </conditionalFormatting>
  <conditionalFormatting sqref="AM128">
    <cfRule type="cellIs" dxfId="10930" priority="6855" operator="lessThan">
      <formula>0</formula>
    </cfRule>
  </conditionalFormatting>
  <conditionalFormatting sqref="AM129">
    <cfRule type="cellIs" dxfId="10929" priority="6854" operator="greaterThanOrEqual">
      <formula>0</formula>
    </cfRule>
  </conditionalFormatting>
  <conditionalFormatting sqref="AM129">
    <cfRule type="cellIs" dxfId="10928" priority="6853" operator="lessThan">
      <formula>0</formula>
    </cfRule>
  </conditionalFormatting>
  <conditionalFormatting sqref="AM105:AM106">
    <cfRule type="cellIs" dxfId="10927" priority="6851" operator="lessThan">
      <formula>0</formula>
    </cfRule>
    <cfRule type="cellIs" dxfId="10926" priority="6852" operator="greaterThanOrEqual">
      <formula>0</formula>
    </cfRule>
  </conditionalFormatting>
  <conditionalFormatting sqref="AM108:AM109">
    <cfRule type="cellIs" dxfId="10925" priority="6849" operator="lessThan">
      <formula>0</formula>
    </cfRule>
    <cfRule type="cellIs" dxfId="10924" priority="6850" operator="greaterThanOrEqual">
      <formula>0</formula>
    </cfRule>
  </conditionalFormatting>
  <conditionalFormatting sqref="AM120:AM121">
    <cfRule type="cellIs" dxfId="10923" priority="6847" operator="lessThan">
      <formula>0</formula>
    </cfRule>
    <cfRule type="cellIs" dxfId="10922" priority="6848" operator="greaterThanOrEqual">
      <formula>0</formula>
    </cfRule>
  </conditionalFormatting>
  <conditionalFormatting sqref="AM123:AM124">
    <cfRule type="cellIs" dxfId="10921" priority="6845" operator="lessThan">
      <formula>0</formula>
    </cfRule>
    <cfRule type="cellIs" dxfId="10920" priority="6846" operator="greaterThanOrEqual">
      <formula>0</formula>
    </cfRule>
  </conditionalFormatting>
  <conditionalFormatting sqref="AM126:AM127">
    <cfRule type="cellIs" dxfId="10919" priority="6843" operator="lessThan">
      <formula>0</formula>
    </cfRule>
    <cfRule type="cellIs" dxfId="10918" priority="6844" operator="greaterThanOrEqual">
      <formula>0</formula>
    </cfRule>
  </conditionalFormatting>
  <conditionalFormatting sqref="AN114">
    <cfRule type="cellIs" dxfId="10917" priority="6841" operator="greaterThan">
      <formula>0</formula>
    </cfRule>
    <cfRule type="cellIs" dxfId="10916" priority="6842" operator="lessThanOrEqual">
      <formula>0</formula>
    </cfRule>
  </conditionalFormatting>
  <conditionalFormatting sqref="AM118">
    <cfRule type="cellIs" dxfId="10915" priority="6840" operator="greaterThanOrEqual">
      <formula>0</formula>
    </cfRule>
  </conditionalFormatting>
  <conditionalFormatting sqref="AM118">
    <cfRule type="cellIs" dxfId="10914" priority="6839" operator="lessThan">
      <formula>0</formula>
    </cfRule>
  </conditionalFormatting>
  <conditionalFormatting sqref="AN118">
    <cfRule type="cellIs" dxfId="10913" priority="6837" operator="greaterThan">
      <formula>0</formula>
    </cfRule>
    <cfRule type="cellIs" dxfId="10912" priority="6838" operator="lessThanOrEqual">
      <formula>0</formula>
    </cfRule>
  </conditionalFormatting>
  <conditionalFormatting sqref="AR76:AR77">
    <cfRule type="cellIs" dxfId="10911" priority="6835" operator="greaterThan">
      <formula>0</formula>
    </cfRule>
    <cfRule type="cellIs" dxfId="10910" priority="6836" operator="lessThanOrEqual">
      <formula>0</formula>
    </cfRule>
  </conditionalFormatting>
  <conditionalFormatting sqref="AR79:AR80">
    <cfRule type="cellIs" dxfId="10909" priority="6833" operator="greaterThan">
      <formula>0</formula>
    </cfRule>
    <cfRule type="cellIs" dxfId="10908" priority="6834" operator="lessThanOrEqual">
      <formula>0</formula>
    </cfRule>
  </conditionalFormatting>
  <conditionalFormatting sqref="AR82:AR83">
    <cfRule type="cellIs" dxfId="10907" priority="6831" operator="greaterThan">
      <formula>0</formula>
    </cfRule>
    <cfRule type="cellIs" dxfId="10906" priority="6832" operator="lessThanOrEqual">
      <formula>0</formula>
    </cfRule>
  </conditionalFormatting>
  <conditionalFormatting sqref="AR92:AR93">
    <cfRule type="cellIs" dxfId="10905" priority="6829" operator="greaterThan">
      <formula>0</formula>
    </cfRule>
    <cfRule type="cellIs" dxfId="10904" priority="6830" operator="lessThanOrEqual">
      <formula>0</formula>
    </cfRule>
  </conditionalFormatting>
  <conditionalFormatting sqref="AR85:AR86">
    <cfRule type="cellIs" dxfId="10903" priority="6827" operator="greaterThan">
      <formula>0</formula>
    </cfRule>
    <cfRule type="cellIs" dxfId="10902" priority="6828" operator="lessThanOrEqual">
      <formula>0</formula>
    </cfRule>
  </conditionalFormatting>
  <conditionalFormatting sqref="AR98:AR99">
    <cfRule type="cellIs" dxfId="10901" priority="6823" operator="greaterThan">
      <formula>0</formula>
    </cfRule>
    <cfRule type="cellIs" dxfId="10900" priority="6824" operator="lessThanOrEqual">
      <formula>0</formula>
    </cfRule>
  </conditionalFormatting>
  <conditionalFormatting sqref="AR101:AR102">
    <cfRule type="cellIs" dxfId="10899" priority="6821" operator="greaterThan">
      <formula>0</formula>
    </cfRule>
    <cfRule type="cellIs" dxfId="10898" priority="6822" operator="lessThanOrEqual">
      <formula>0</formula>
    </cfRule>
  </conditionalFormatting>
  <conditionalFormatting sqref="AR111:AR112">
    <cfRule type="cellIs" dxfId="10897" priority="6819" operator="greaterThan">
      <formula>0</formula>
    </cfRule>
    <cfRule type="cellIs" dxfId="10896" priority="6820" operator="lessThanOrEqual">
      <formula>0</formula>
    </cfRule>
  </conditionalFormatting>
  <conditionalFormatting sqref="AR126:AR127">
    <cfRule type="cellIs" dxfId="10895" priority="6817" operator="greaterThan">
      <formula>0</formula>
    </cfRule>
    <cfRule type="cellIs" dxfId="10894" priority="6818" operator="lessThanOrEqual">
      <formula>0</formula>
    </cfRule>
  </conditionalFormatting>
  <conditionalFormatting sqref="AR116:AR117">
    <cfRule type="cellIs" dxfId="10893" priority="6815" operator="greaterThan">
      <formula>0</formula>
    </cfRule>
    <cfRule type="cellIs" dxfId="10892" priority="6816" operator="lessThanOrEqual">
      <formula>0</formula>
    </cfRule>
  </conditionalFormatting>
  <conditionalFormatting sqref="AR78">
    <cfRule type="cellIs" dxfId="10891" priority="6813" operator="greaterThan">
      <formula>0</formula>
    </cfRule>
    <cfRule type="cellIs" dxfId="10890" priority="6814" operator="lessThanOrEqual">
      <formula>0</formula>
    </cfRule>
  </conditionalFormatting>
  <conditionalFormatting sqref="AR81">
    <cfRule type="cellIs" dxfId="10889" priority="6811" operator="greaterThan">
      <formula>0</formula>
    </cfRule>
    <cfRule type="cellIs" dxfId="10888" priority="6812" operator="lessThanOrEqual">
      <formula>0</formula>
    </cfRule>
  </conditionalFormatting>
  <conditionalFormatting sqref="AR84">
    <cfRule type="cellIs" dxfId="10887" priority="6809" operator="greaterThan">
      <formula>0</formula>
    </cfRule>
    <cfRule type="cellIs" dxfId="10886" priority="6810" operator="lessThanOrEqual">
      <formula>0</formula>
    </cfRule>
  </conditionalFormatting>
  <conditionalFormatting sqref="AR94">
    <cfRule type="cellIs" dxfId="10885" priority="6807" operator="greaterThan">
      <formula>0</formula>
    </cfRule>
    <cfRule type="cellIs" dxfId="10884" priority="6808" operator="lessThanOrEqual">
      <formula>0</formula>
    </cfRule>
  </conditionalFormatting>
  <conditionalFormatting sqref="AR87">
    <cfRule type="cellIs" dxfId="10883" priority="6805" operator="greaterThan">
      <formula>0</formula>
    </cfRule>
    <cfRule type="cellIs" dxfId="10882" priority="6806" operator="lessThanOrEqual">
      <formula>0</formula>
    </cfRule>
  </conditionalFormatting>
  <conditionalFormatting sqref="AR97">
    <cfRule type="cellIs" dxfId="10881" priority="6803" operator="greaterThan">
      <formula>0</formula>
    </cfRule>
    <cfRule type="cellIs" dxfId="10880" priority="6804" operator="lessThanOrEqual">
      <formula>0</formula>
    </cfRule>
  </conditionalFormatting>
  <conditionalFormatting sqref="AR100">
    <cfRule type="cellIs" dxfId="10879" priority="6801" operator="greaterThan">
      <formula>0</formula>
    </cfRule>
    <cfRule type="cellIs" dxfId="10878" priority="6802" operator="lessThanOrEqual">
      <formula>0</formula>
    </cfRule>
  </conditionalFormatting>
  <conditionalFormatting sqref="AR103">
    <cfRule type="cellIs" dxfId="10877" priority="6799" operator="greaterThan">
      <formula>0</formula>
    </cfRule>
    <cfRule type="cellIs" dxfId="10876" priority="6800" operator="lessThanOrEqual">
      <formula>0</formula>
    </cfRule>
  </conditionalFormatting>
  <conditionalFormatting sqref="AR89">
    <cfRule type="cellIs" dxfId="10875" priority="6797" operator="greaterThan">
      <formula>0</formula>
    </cfRule>
    <cfRule type="cellIs" dxfId="10874" priority="6798" operator="lessThanOrEqual">
      <formula>0</formula>
    </cfRule>
  </conditionalFormatting>
  <conditionalFormatting sqref="AR129">
    <cfRule type="cellIs" dxfId="10873" priority="6795" operator="greaterThan">
      <formula>0</formula>
    </cfRule>
    <cfRule type="cellIs" dxfId="10872" priority="6796" operator="lessThanOrEqual">
      <formula>0</formula>
    </cfRule>
  </conditionalFormatting>
  <conditionalFormatting sqref="AQ76:AQ77 AQ79:AQ80 AQ82:AQ83 AQ85:AQ86 AQ92:AQ93 AQ95:AQ96 AQ98:AQ99 AQ101:AQ102 AQ111:AQ112 AQ116:AQ117">
    <cfRule type="cellIs" dxfId="10871" priority="6793" operator="lessThan">
      <formula>0</formula>
    </cfRule>
    <cfRule type="cellIs" dxfId="10870" priority="6794" operator="greaterThanOrEqual">
      <formula>0</formula>
    </cfRule>
  </conditionalFormatting>
  <conditionalFormatting sqref="AQ78 AQ81 AQ84 AQ87 AQ89 AQ94 AQ97 AQ100 AQ103">
    <cfRule type="cellIs" dxfId="10869" priority="6792" operator="greaterThanOrEqual">
      <formula>0</formula>
    </cfRule>
  </conditionalFormatting>
  <conditionalFormatting sqref="AQ78 AQ81 AQ84 AQ87 AQ89 AQ94 AQ97 AQ100 AQ103">
    <cfRule type="cellIs" dxfId="10868" priority="6791" operator="lessThan">
      <formula>0</formula>
    </cfRule>
  </conditionalFormatting>
  <conditionalFormatting sqref="AQ125">
    <cfRule type="cellIs" dxfId="10867" priority="6770" operator="greaterThanOrEqual">
      <formula>0</formula>
    </cfRule>
  </conditionalFormatting>
  <conditionalFormatting sqref="AQ125">
    <cfRule type="cellIs" dxfId="10866" priority="6769" operator="lessThan">
      <formula>0</formula>
    </cfRule>
  </conditionalFormatting>
  <conditionalFormatting sqref="AR114">
    <cfRule type="cellIs" dxfId="10865" priority="6785" operator="greaterThan">
      <formula>0</formula>
    </cfRule>
    <cfRule type="cellIs" dxfId="10864" priority="6786" operator="lessThanOrEqual">
      <formula>0</formula>
    </cfRule>
  </conditionalFormatting>
  <conditionalFormatting sqref="AR107">
    <cfRule type="cellIs" dxfId="10863" priority="6779" operator="greaterThan">
      <formula>0</formula>
    </cfRule>
    <cfRule type="cellIs" dxfId="10862" priority="6780" operator="lessThanOrEqual">
      <formula>0</formula>
    </cfRule>
  </conditionalFormatting>
  <conditionalFormatting sqref="AR110">
    <cfRule type="cellIs" dxfId="10861" priority="6777" operator="greaterThan">
      <formula>0</formula>
    </cfRule>
    <cfRule type="cellIs" dxfId="10860" priority="6778" operator="lessThanOrEqual">
      <formula>0</formula>
    </cfRule>
  </conditionalFormatting>
  <conditionalFormatting sqref="AR113">
    <cfRule type="cellIs" dxfId="10859" priority="6775" operator="greaterThan">
      <formula>0</formula>
    </cfRule>
    <cfRule type="cellIs" dxfId="10858" priority="6776" operator="lessThanOrEqual">
      <formula>0</formula>
    </cfRule>
  </conditionalFormatting>
  <conditionalFormatting sqref="AR91">
    <cfRule type="cellIs" dxfId="10857" priority="6789" operator="greaterThan">
      <formula>0</formula>
    </cfRule>
    <cfRule type="cellIs" dxfId="10856" priority="6790" operator="lessThanOrEqual">
      <formula>0</formula>
    </cfRule>
  </conditionalFormatting>
  <conditionalFormatting sqref="AR104">
    <cfRule type="cellIs" dxfId="10855" priority="6787" operator="greaterThan">
      <formula>0</formula>
    </cfRule>
    <cfRule type="cellIs" dxfId="10854" priority="6788" operator="lessThanOrEqual">
      <formula>0</formula>
    </cfRule>
  </conditionalFormatting>
  <conditionalFormatting sqref="AR105:AR106 AR108:AR109">
    <cfRule type="cellIs" dxfId="10853" priority="6783" operator="greaterThan">
      <formula>0</formula>
    </cfRule>
    <cfRule type="cellIs" dxfId="10852" priority="6784" operator="lessThanOrEqual">
      <formula>0</formula>
    </cfRule>
  </conditionalFormatting>
  <conditionalFormatting sqref="AR120:AR121 AR123:AR124">
    <cfRule type="cellIs" dxfId="10851" priority="6781" operator="greaterThan">
      <formula>0</formula>
    </cfRule>
    <cfRule type="cellIs" dxfId="10850" priority="6782" operator="lessThanOrEqual">
      <formula>0</formula>
    </cfRule>
  </conditionalFormatting>
  <conditionalFormatting sqref="AR122">
    <cfRule type="cellIs" dxfId="10849" priority="6773" operator="greaterThan">
      <formula>0</formula>
    </cfRule>
    <cfRule type="cellIs" dxfId="10848" priority="6774" operator="lessThanOrEqual">
      <formula>0</formula>
    </cfRule>
  </conditionalFormatting>
  <conditionalFormatting sqref="AR125">
    <cfRule type="cellIs" dxfId="10847" priority="6771" operator="greaterThan">
      <formula>0</formula>
    </cfRule>
    <cfRule type="cellIs" dxfId="10846" priority="6772" operator="lessThanOrEqual">
      <formula>0</formula>
    </cfRule>
  </conditionalFormatting>
  <conditionalFormatting sqref="AR128">
    <cfRule type="cellIs" dxfId="10845" priority="6767" operator="greaterThan">
      <formula>0</formula>
    </cfRule>
    <cfRule type="cellIs" dxfId="10844" priority="6768" operator="lessThanOrEqual">
      <formula>0</formula>
    </cfRule>
  </conditionalFormatting>
  <conditionalFormatting sqref="AR88">
    <cfRule type="cellIs" dxfId="10843" priority="6765" operator="greaterThan">
      <formula>0</formula>
    </cfRule>
    <cfRule type="cellIs" dxfId="10842" priority="6766" operator="lessThanOrEqual">
      <formula>0</formula>
    </cfRule>
  </conditionalFormatting>
  <conditionalFormatting sqref="AR119">
    <cfRule type="cellIs" dxfId="10841" priority="6763" operator="greaterThan">
      <formula>0</formula>
    </cfRule>
    <cfRule type="cellIs" dxfId="10840" priority="6764" operator="lessThanOrEqual">
      <formula>0</formula>
    </cfRule>
  </conditionalFormatting>
  <conditionalFormatting sqref="AQ119">
    <cfRule type="cellIs" dxfId="10839" priority="6762" operator="greaterThanOrEqual">
      <formula>0</formula>
    </cfRule>
  </conditionalFormatting>
  <conditionalFormatting sqref="AQ119">
    <cfRule type="cellIs" dxfId="10838" priority="6761" operator="lessThan">
      <formula>0</formula>
    </cfRule>
  </conditionalFormatting>
  <conditionalFormatting sqref="AR115">
    <cfRule type="cellIs" dxfId="10837" priority="6759" operator="greaterThan">
      <formula>0</formula>
    </cfRule>
    <cfRule type="cellIs" dxfId="10836" priority="6760" operator="lessThanOrEqual">
      <formula>0</formula>
    </cfRule>
  </conditionalFormatting>
  <conditionalFormatting sqref="AQ115">
    <cfRule type="cellIs" dxfId="10835" priority="6758" operator="greaterThanOrEqual">
      <formula>0</formula>
    </cfRule>
  </conditionalFormatting>
  <conditionalFormatting sqref="AQ115">
    <cfRule type="cellIs" dxfId="10834" priority="6757" operator="lessThan">
      <formula>0</formula>
    </cfRule>
  </conditionalFormatting>
  <conditionalFormatting sqref="AQ88">
    <cfRule type="cellIs" dxfId="10833" priority="6756" operator="greaterThanOrEqual">
      <formula>0</formula>
    </cfRule>
  </conditionalFormatting>
  <conditionalFormatting sqref="AQ88">
    <cfRule type="cellIs" dxfId="10832" priority="6755" operator="lessThan">
      <formula>0</formula>
    </cfRule>
  </conditionalFormatting>
  <conditionalFormatting sqref="AQ91">
    <cfRule type="cellIs" dxfId="10831" priority="6754" operator="greaterThanOrEqual">
      <formula>0</formula>
    </cfRule>
  </conditionalFormatting>
  <conditionalFormatting sqref="AQ91">
    <cfRule type="cellIs" dxfId="10830" priority="6753" operator="lessThan">
      <formula>0</formula>
    </cfRule>
  </conditionalFormatting>
  <conditionalFormatting sqref="AQ104">
    <cfRule type="cellIs" dxfId="10829" priority="6752" operator="greaterThanOrEqual">
      <formula>0</formula>
    </cfRule>
  </conditionalFormatting>
  <conditionalFormatting sqref="AQ104">
    <cfRule type="cellIs" dxfId="10828" priority="6751" operator="lessThan">
      <formula>0</formula>
    </cfRule>
  </conditionalFormatting>
  <conditionalFormatting sqref="AQ110">
    <cfRule type="cellIs" dxfId="10827" priority="6748" operator="greaterThanOrEqual">
      <formula>0</formula>
    </cfRule>
  </conditionalFormatting>
  <conditionalFormatting sqref="AQ110">
    <cfRule type="cellIs" dxfId="10826" priority="6747" operator="lessThan">
      <formula>0</formula>
    </cfRule>
  </conditionalFormatting>
  <conditionalFormatting sqref="AQ113">
    <cfRule type="cellIs" dxfId="10825" priority="6746" operator="greaterThanOrEqual">
      <formula>0</formula>
    </cfRule>
  </conditionalFormatting>
  <conditionalFormatting sqref="AQ113">
    <cfRule type="cellIs" dxfId="10824" priority="6745" operator="lessThan">
      <formula>0</formula>
    </cfRule>
  </conditionalFormatting>
  <conditionalFormatting sqref="AQ114">
    <cfRule type="cellIs" dxfId="10823" priority="6744" operator="greaterThanOrEqual">
      <formula>0</formula>
    </cfRule>
  </conditionalFormatting>
  <conditionalFormatting sqref="AQ114">
    <cfRule type="cellIs" dxfId="10822" priority="6743" operator="lessThan">
      <formula>0</formula>
    </cfRule>
  </conditionalFormatting>
  <conditionalFormatting sqref="AQ122">
    <cfRule type="cellIs" dxfId="10821" priority="6742" operator="greaterThanOrEqual">
      <formula>0</formula>
    </cfRule>
  </conditionalFormatting>
  <conditionalFormatting sqref="AQ122">
    <cfRule type="cellIs" dxfId="10820" priority="6741" operator="lessThan">
      <formula>0</formula>
    </cfRule>
  </conditionalFormatting>
  <conditionalFormatting sqref="AQ128">
    <cfRule type="cellIs" dxfId="10819" priority="6740" operator="greaterThanOrEqual">
      <formula>0</formula>
    </cfRule>
  </conditionalFormatting>
  <conditionalFormatting sqref="AQ128">
    <cfRule type="cellIs" dxfId="10818" priority="6739" operator="lessThan">
      <formula>0</formula>
    </cfRule>
  </conditionalFormatting>
  <conditionalFormatting sqref="AQ129">
    <cfRule type="cellIs" dxfId="10817" priority="6738" operator="greaterThanOrEqual">
      <formula>0</formula>
    </cfRule>
  </conditionalFormatting>
  <conditionalFormatting sqref="AQ129">
    <cfRule type="cellIs" dxfId="10816" priority="6737" operator="lessThan">
      <formula>0</formula>
    </cfRule>
  </conditionalFormatting>
  <conditionalFormatting sqref="AQ105:AQ106">
    <cfRule type="cellIs" dxfId="10815" priority="6735" operator="lessThan">
      <formula>0</formula>
    </cfRule>
    <cfRule type="cellIs" dxfId="10814" priority="6736" operator="greaterThanOrEqual">
      <formula>0</formula>
    </cfRule>
  </conditionalFormatting>
  <conditionalFormatting sqref="AQ108:AQ109">
    <cfRule type="cellIs" dxfId="10813" priority="6733" operator="lessThan">
      <formula>0</formula>
    </cfRule>
    <cfRule type="cellIs" dxfId="10812" priority="6734" operator="greaterThanOrEqual">
      <formula>0</formula>
    </cfRule>
  </conditionalFormatting>
  <conditionalFormatting sqref="AQ120:AQ121">
    <cfRule type="cellIs" dxfId="10811" priority="6731" operator="lessThan">
      <formula>0</formula>
    </cfRule>
    <cfRule type="cellIs" dxfId="10810" priority="6732" operator="greaterThanOrEqual">
      <formula>0</formula>
    </cfRule>
  </conditionalFormatting>
  <conditionalFormatting sqref="AQ123:AQ124">
    <cfRule type="cellIs" dxfId="10809" priority="6729" operator="lessThan">
      <formula>0</formula>
    </cfRule>
    <cfRule type="cellIs" dxfId="10808" priority="6730" operator="greaterThanOrEqual">
      <formula>0</formula>
    </cfRule>
  </conditionalFormatting>
  <conditionalFormatting sqref="AQ126:AQ127">
    <cfRule type="cellIs" dxfId="10807" priority="6727" operator="lessThan">
      <formula>0</formula>
    </cfRule>
    <cfRule type="cellIs" dxfId="10806" priority="6728" operator="greaterThanOrEqual">
      <formula>0</formula>
    </cfRule>
  </conditionalFormatting>
  <conditionalFormatting sqref="AR130">
    <cfRule type="cellIs" dxfId="10805" priority="6725" operator="greaterThan">
      <formula>0</formula>
    </cfRule>
    <cfRule type="cellIs" dxfId="10804" priority="6726" operator="lessThanOrEqual">
      <formula>0</formula>
    </cfRule>
  </conditionalFormatting>
  <conditionalFormatting sqref="AQ130">
    <cfRule type="cellIs" dxfId="10803" priority="6723" operator="greaterThanOrEqual">
      <formula>0</formula>
    </cfRule>
    <cfRule type="cellIs" dxfId="10802" priority="6724" operator="lessThan">
      <formula>0</formula>
    </cfRule>
  </conditionalFormatting>
  <conditionalFormatting sqref="AR118">
    <cfRule type="cellIs" dxfId="10801" priority="6721" operator="greaterThan">
      <formula>0</formula>
    </cfRule>
    <cfRule type="cellIs" dxfId="10800" priority="6722" operator="lessThanOrEqual">
      <formula>0</formula>
    </cfRule>
  </conditionalFormatting>
  <conditionalFormatting sqref="AQ118">
    <cfRule type="cellIs" dxfId="10799" priority="6720" operator="greaterThanOrEqual">
      <formula>0</formula>
    </cfRule>
  </conditionalFormatting>
  <conditionalFormatting sqref="AQ118">
    <cfRule type="cellIs" dxfId="10798" priority="6719" operator="lessThan">
      <formula>0</formula>
    </cfRule>
  </conditionalFormatting>
  <conditionalFormatting sqref="AT78 AT87 AT81 AT84 AT94 AT97 AT100 AT103">
    <cfRule type="cellIs" dxfId="10797" priority="6716" operator="greaterThanOrEqual">
      <formula>0</formula>
    </cfRule>
  </conditionalFormatting>
  <conditionalFormatting sqref="AT78 AT87 AT81 AT84 AT94 AT97 AT100 AT103">
    <cfRule type="cellIs" dxfId="10796" priority="6715" operator="lessThan">
      <formula>0</formula>
    </cfRule>
  </conditionalFormatting>
  <conditionalFormatting sqref="AT130">
    <cfRule type="cellIs" dxfId="10795" priority="6713" operator="greaterThanOrEqual">
      <formula>0</formula>
    </cfRule>
    <cfRule type="cellIs" dxfId="10794" priority="6714" operator="lessThan">
      <formula>0</formula>
    </cfRule>
  </conditionalFormatting>
  <conditionalFormatting sqref="AU76:AU77">
    <cfRule type="cellIs" dxfId="10793" priority="6711" operator="greaterThan">
      <formula>0</formula>
    </cfRule>
    <cfRule type="cellIs" dxfId="10792" priority="6712" operator="lessThanOrEqual">
      <formula>0</formula>
    </cfRule>
  </conditionalFormatting>
  <conditionalFormatting sqref="AU78 AU87 AU81 AU84 AU94 AU97 AU100 AU103">
    <cfRule type="cellIs" dxfId="10791" priority="6710" operator="greaterThanOrEqual">
      <formula>0</formula>
    </cfRule>
  </conditionalFormatting>
  <conditionalFormatting sqref="AU78 AU87 AU81 AU84 AU94 AU97 AU100 AU103">
    <cfRule type="cellIs" dxfId="10790" priority="6709" operator="lessThan">
      <formula>0</formula>
    </cfRule>
  </conditionalFormatting>
  <conditionalFormatting sqref="AU130">
    <cfRule type="cellIs" dxfId="10789" priority="6707" operator="lessThan">
      <formula>0</formula>
    </cfRule>
    <cfRule type="cellIs" dxfId="10788" priority="6708" operator="greaterThanOrEqual">
      <formula>0</formula>
    </cfRule>
  </conditionalFormatting>
  <conditionalFormatting sqref="AU115">
    <cfRule type="cellIs" dxfId="10787" priority="6703" operator="lessThan">
      <formula>0</formula>
    </cfRule>
  </conditionalFormatting>
  <conditionalFormatting sqref="AT115">
    <cfRule type="cellIs" dxfId="10786" priority="6706" operator="greaterThanOrEqual">
      <formula>0</formula>
    </cfRule>
  </conditionalFormatting>
  <conditionalFormatting sqref="AT115">
    <cfRule type="cellIs" dxfId="10785" priority="6705" operator="lessThan">
      <formula>0</formula>
    </cfRule>
  </conditionalFormatting>
  <conditionalFormatting sqref="AU115">
    <cfRule type="cellIs" dxfId="10784" priority="6704" operator="greaterThanOrEqual">
      <formula>0</formula>
    </cfRule>
  </conditionalFormatting>
  <conditionalFormatting sqref="AT105:AT106">
    <cfRule type="cellIs" dxfId="10783" priority="6701" operator="lessThan">
      <formula>0</formula>
    </cfRule>
    <cfRule type="cellIs" dxfId="10782" priority="6702" operator="greaterThanOrEqual">
      <formula>0</formula>
    </cfRule>
  </conditionalFormatting>
  <conditionalFormatting sqref="AT108:AT109">
    <cfRule type="cellIs" dxfId="10781" priority="6699" operator="lessThan">
      <formula>0</formula>
    </cfRule>
    <cfRule type="cellIs" dxfId="10780" priority="6700" operator="greaterThanOrEqual">
      <formula>0</formula>
    </cfRule>
  </conditionalFormatting>
  <conditionalFormatting sqref="AT116:AT117">
    <cfRule type="cellIs" dxfId="10779" priority="6697" operator="lessThan">
      <formula>0</formula>
    </cfRule>
    <cfRule type="cellIs" dxfId="10778" priority="6698" operator="greaterThanOrEqual">
      <formula>0</formula>
    </cfRule>
  </conditionalFormatting>
  <conditionalFormatting sqref="AT120:AT121">
    <cfRule type="cellIs" dxfId="10777" priority="6695" operator="lessThan">
      <formula>0</formula>
    </cfRule>
    <cfRule type="cellIs" dxfId="10776" priority="6696" operator="greaterThanOrEqual">
      <formula>0</formula>
    </cfRule>
  </conditionalFormatting>
  <conditionalFormatting sqref="AT123:AT124">
    <cfRule type="cellIs" dxfId="10775" priority="6693" operator="lessThan">
      <formula>0</formula>
    </cfRule>
    <cfRule type="cellIs" dxfId="10774" priority="6694" operator="greaterThanOrEqual">
      <formula>0</formula>
    </cfRule>
  </conditionalFormatting>
  <conditionalFormatting sqref="AT126:AT127">
    <cfRule type="cellIs" dxfId="10773" priority="6691" operator="lessThan">
      <formula>0</formula>
    </cfRule>
    <cfRule type="cellIs" dxfId="10772" priority="6692" operator="greaterThanOrEqual">
      <formula>0</formula>
    </cfRule>
  </conditionalFormatting>
  <conditionalFormatting sqref="AT88">
    <cfRule type="cellIs" dxfId="10771" priority="6690" operator="greaterThanOrEqual">
      <formula>0</formula>
    </cfRule>
  </conditionalFormatting>
  <conditionalFormatting sqref="AT88">
    <cfRule type="cellIs" dxfId="10770" priority="6689" operator="lessThan">
      <formula>0</formula>
    </cfRule>
  </conditionalFormatting>
  <conditionalFormatting sqref="AT89">
    <cfRule type="cellIs" dxfId="10769" priority="6688" operator="greaterThanOrEqual">
      <formula>0</formula>
    </cfRule>
  </conditionalFormatting>
  <conditionalFormatting sqref="AT89">
    <cfRule type="cellIs" dxfId="10768" priority="6687" operator="lessThan">
      <formula>0</formula>
    </cfRule>
  </conditionalFormatting>
  <conditionalFormatting sqref="AT91">
    <cfRule type="cellIs" dxfId="10767" priority="6686" operator="greaterThanOrEqual">
      <formula>0</formula>
    </cfRule>
  </conditionalFormatting>
  <conditionalFormatting sqref="AT91">
    <cfRule type="cellIs" dxfId="10766" priority="6685" operator="lessThan">
      <formula>0</formula>
    </cfRule>
  </conditionalFormatting>
  <conditionalFormatting sqref="AT104">
    <cfRule type="cellIs" dxfId="10765" priority="6684" operator="greaterThanOrEqual">
      <formula>0</formula>
    </cfRule>
  </conditionalFormatting>
  <conditionalFormatting sqref="AT104">
    <cfRule type="cellIs" dxfId="10764" priority="6683" operator="lessThan">
      <formula>0</formula>
    </cfRule>
  </conditionalFormatting>
  <conditionalFormatting sqref="AT110">
    <cfRule type="cellIs" dxfId="10763" priority="6680" operator="greaterThanOrEqual">
      <formula>0</formula>
    </cfRule>
  </conditionalFormatting>
  <conditionalFormatting sqref="AT110">
    <cfRule type="cellIs" dxfId="10762" priority="6679" operator="lessThan">
      <formula>0</formula>
    </cfRule>
  </conditionalFormatting>
  <conditionalFormatting sqref="AT113">
    <cfRule type="cellIs" dxfId="10761" priority="6678" operator="greaterThanOrEqual">
      <formula>0</formula>
    </cfRule>
  </conditionalFormatting>
  <conditionalFormatting sqref="AT113">
    <cfRule type="cellIs" dxfId="10760" priority="6677" operator="lessThan">
      <formula>0</formula>
    </cfRule>
  </conditionalFormatting>
  <conditionalFormatting sqref="AT122">
    <cfRule type="cellIs" dxfId="10759" priority="6674" operator="greaterThanOrEqual">
      <formula>0</formula>
    </cfRule>
  </conditionalFormatting>
  <conditionalFormatting sqref="AT122">
    <cfRule type="cellIs" dxfId="10758" priority="6673" operator="lessThan">
      <formula>0</formula>
    </cfRule>
  </conditionalFormatting>
  <conditionalFormatting sqref="AT125">
    <cfRule type="cellIs" dxfId="10757" priority="6672" operator="greaterThanOrEqual">
      <formula>0</formula>
    </cfRule>
  </conditionalFormatting>
  <conditionalFormatting sqref="AT125">
    <cfRule type="cellIs" dxfId="10756" priority="6671" operator="lessThan">
      <formula>0</formula>
    </cfRule>
  </conditionalFormatting>
  <conditionalFormatting sqref="AT128">
    <cfRule type="cellIs" dxfId="10755" priority="6670" operator="greaterThanOrEqual">
      <formula>0</formula>
    </cfRule>
  </conditionalFormatting>
  <conditionalFormatting sqref="AT128">
    <cfRule type="cellIs" dxfId="10754" priority="6669" operator="lessThan">
      <formula>0</formula>
    </cfRule>
  </conditionalFormatting>
  <conditionalFormatting sqref="AT119">
    <cfRule type="cellIs" dxfId="10753" priority="6668" operator="greaterThanOrEqual">
      <formula>0</formula>
    </cfRule>
  </conditionalFormatting>
  <conditionalFormatting sqref="AT119">
    <cfRule type="cellIs" dxfId="10752" priority="6667" operator="lessThan">
      <formula>0</formula>
    </cfRule>
  </conditionalFormatting>
  <conditionalFormatting sqref="AT129">
    <cfRule type="cellIs" dxfId="10751" priority="6666" operator="greaterThanOrEqual">
      <formula>0</formula>
    </cfRule>
  </conditionalFormatting>
  <conditionalFormatting sqref="AT129">
    <cfRule type="cellIs" dxfId="10750" priority="6665" operator="lessThan">
      <formula>0</formula>
    </cfRule>
  </conditionalFormatting>
  <conditionalFormatting sqref="AU79:AU80">
    <cfRule type="cellIs" dxfId="10749" priority="6663" operator="greaterThan">
      <formula>0</formula>
    </cfRule>
    <cfRule type="cellIs" dxfId="10748" priority="6664" operator="lessThanOrEqual">
      <formula>0</formula>
    </cfRule>
  </conditionalFormatting>
  <conditionalFormatting sqref="AU82:AU83">
    <cfRule type="cellIs" dxfId="10747" priority="6661" operator="greaterThan">
      <formula>0</formula>
    </cfRule>
    <cfRule type="cellIs" dxfId="10746" priority="6662" operator="lessThanOrEqual">
      <formula>0</formula>
    </cfRule>
  </conditionalFormatting>
  <conditionalFormatting sqref="AU85:AU86">
    <cfRule type="cellIs" dxfId="10745" priority="6659" operator="greaterThan">
      <formula>0</formula>
    </cfRule>
    <cfRule type="cellIs" dxfId="10744" priority="6660" operator="lessThanOrEqual">
      <formula>0</formula>
    </cfRule>
  </conditionalFormatting>
  <conditionalFormatting sqref="AU92:AU93">
    <cfRule type="cellIs" dxfId="10743" priority="6657" operator="greaterThan">
      <formula>0</formula>
    </cfRule>
    <cfRule type="cellIs" dxfId="10742" priority="6658" operator="lessThanOrEqual">
      <formula>0</formula>
    </cfRule>
  </conditionalFormatting>
  <conditionalFormatting sqref="AU95:AU96">
    <cfRule type="cellIs" dxfId="10741" priority="6655" operator="greaterThan">
      <formula>0</formula>
    </cfRule>
    <cfRule type="cellIs" dxfId="10740" priority="6656" operator="lessThanOrEqual">
      <formula>0</formula>
    </cfRule>
  </conditionalFormatting>
  <conditionalFormatting sqref="AU98:AU99">
    <cfRule type="cellIs" dxfId="10739" priority="6653" operator="greaterThan">
      <formula>0</formula>
    </cfRule>
    <cfRule type="cellIs" dxfId="10738" priority="6654" operator="lessThanOrEqual">
      <formula>0</formula>
    </cfRule>
  </conditionalFormatting>
  <conditionalFormatting sqref="AU101:AU102">
    <cfRule type="cellIs" dxfId="10737" priority="6651" operator="greaterThan">
      <formula>0</formula>
    </cfRule>
    <cfRule type="cellIs" dxfId="10736" priority="6652" operator="lessThanOrEqual">
      <formula>0</formula>
    </cfRule>
  </conditionalFormatting>
  <conditionalFormatting sqref="AU105:AU106">
    <cfRule type="cellIs" dxfId="10735" priority="6649" operator="greaterThan">
      <formula>0</formula>
    </cfRule>
    <cfRule type="cellIs" dxfId="10734" priority="6650" operator="lessThanOrEqual">
      <formula>0</formula>
    </cfRule>
  </conditionalFormatting>
  <conditionalFormatting sqref="AU108:AU109">
    <cfRule type="cellIs" dxfId="10733" priority="6647" operator="greaterThan">
      <formula>0</formula>
    </cfRule>
    <cfRule type="cellIs" dxfId="10732" priority="6648" operator="lessThanOrEqual">
      <formula>0</formula>
    </cfRule>
  </conditionalFormatting>
  <conditionalFormatting sqref="AU111:AU112">
    <cfRule type="cellIs" dxfId="10731" priority="6645" operator="greaterThan">
      <formula>0</formula>
    </cfRule>
    <cfRule type="cellIs" dxfId="10730" priority="6646" operator="lessThanOrEqual">
      <formula>0</formula>
    </cfRule>
  </conditionalFormatting>
  <conditionalFormatting sqref="AU116:AU117">
    <cfRule type="cellIs" dxfId="10729" priority="6643" operator="greaterThan">
      <formula>0</formula>
    </cfRule>
    <cfRule type="cellIs" dxfId="10728" priority="6644" operator="lessThanOrEqual">
      <formula>0</formula>
    </cfRule>
  </conditionalFormatting>
  <conditionalFormatting sqref="AU120:AU121">
    <cfRule type="cellIs" dxfId="10727" priority="6641" operator="greaterThan">
      <formula>0</formula>
    </cfRule>
    <cfRule type="cellIs" dxfId="10726" priority="6642" operator="lessThanOrEqual">
      <formula>0</formula>
    </cfRule>
  </conditionalFormatting>
  <conditionalFormatting sqref="AU126:AU127">
    <cfRule type="cellIs" dxfId="10725" priority="6637" operator="greaterThan">
      <formula>0</formula>
    </cfRule>
    <cfRule type="cellIs" dxfId="10724" priority="6638" operator="lessThanOrEqual">
      <formula>0</formula>
    </cfRule>
  </conditionalFormatting>
  <conditionalFormatting sqref="AU88">
    <cfRule type="cellIs" dxfId="10723" priority="6636" operator="greaterThanOrEqual">
      <formula>0</formula>
    </cfRule>
  </conditionalFormatting>
  <conditionalFormatting sqref="AU88">
    <cfRule type="cellIs" dxfId="10722" priority="6635" operator="lessThan">
      <formula>0</formula>
    </cfRule>
  </conditionalFormatting>
  <conditionalFormatting sqref="AU89">
    <cfRule type="cellIs" dxfId="10721" priority="6634" operator="greaterThanOrEqual">
      <formula>0</formula>
    </cfRule>
  </conditionalFormatting>
  <conditionalFormatting sqref="AU89">
    <cfRule type="cellIs" dxfId="10720" priority="6633" operator="lessThan">
      <formula>0</formula>
    </cfRule>
  </conditionalFormatting>
  <conditionalFormatting sqref="AU91">
    <cfRule type="cellIs" dxfId="10719" priority="6632" operator="greaterThanOrEqual">
      <formula>0</formula>
    </cfRule>
  </conditionalFormatting>
  <conditionalFormatting sqref="AU91">
    <cfRule type="cellIs" dxfId="10718" priority="6631" operator="lessThan">
      <formula>0</formula>
    </cfRule>
  </conditionalFormatting>
  <conditionalFormatting sqref="AU104">
    <cfRule type="cellIs" dxfId="10717" priority="6630" operator="greaterThanOrEqual">
      <formula>0</formula>
    </cfRule>
  </conditionalFormatting>
  <conditionalFormatting sqref="AU104">
    <cfRule type="cellIs" dxfId="10716" priority="6629" operator="lessThan">
      <formula>0</formula>
    </cfRule>
  </conditionalFormatting>
  <conditionalFormatting sqref="AU107">
    <cfRule type="cellIs" dxfId="10715" priority="6628" operator="greaterThanOrEqual">
      <formula>0</formula>
    </cfRule>
  </conditionalFormatting>
  <conditionalFormatting sqref="AU107">
    <cfRule type="cellIs" dxfId="10714" priority="6627" operator="lessThan">
      <formula>0</formula>
    </cfRule>
  </conditionalFormatting>
  <conditionalFormatting sqref="AU110">
    <cfRule type="cellIs" dxfId="10713" priority="6626" operator="greaterThanOrEqual">
      <formula>0</formula>
    </cfRule>
  </conditionalFormatting>
  <conditionalFormatting sqref="AU110">
    <cfRule type="cellIs" dxfId="10712" priority="6625" operator="lessThan">
      <formula>0</formula>
    </cfRule>
  </conditionalFormatting>
  <conditionalFormatting sqref="AU114">
    <cfRule type="cellIs" dxfId="10711" priority="6622" operator="greaterThanOrEqual">
      <formula>0</formula>
    </cfRule>
  </conditionalFormatting>
  <conditionalFormatting sqref="AU114">
    <cfRule type="cellIs" dxfId="10710" priority="6621" operator="lessThan">
      <formula>0</formula>
    </cfRule>
  </conditionalFormatting>
  <conditionalFormatting sqref="AU122">
    <cfRule type="cellIs" dxfId="10709" priority="6620" operator="greaterThanOrEqual">
      <formula>0</formula>
    </cfRule>
  </conditionalFormatting>
  <conditionalFormatting sqref="AU122">
    <cfRule type="cellIs" dxfId="10708" priority="6619" operator="lessThan">
      <formula>0</formula>
    </cfRule>
  </conditionalFormatting>
  <conditionalFormatting sqref="AT118">
    <cfRule type="cellIs" dxfId="10707" priority="6610" operator="greaterThanOrEqual">
      <formula>0</formula>
    </cfRule>
  </conditionalFormatting>
  <conditionalFormatting sqref="AT118">
    <cfRule type="cellIs" dxfId="10706" priority="6609" operator="lessThan">
      <formula>0</formula>
    </cfRule>
  </conditionalFormatting>
  <conditionalFormatting sqref="AN133">
    <cfRule type="cellIs" dxfId="10705" priority="6605" operator="lessThan">
      <formula>0</formula>
    </cfRule>
    <cfRule type="cellIs" dxfId="10704" priority="6606" operator="greaterThanOrEqual">
      <formula>0</formula>
    </cfRule>
  </conditionalFormatting>
  <conditionalFormatting sqref="AN176">
    <cfRule type="cellIs" dxfId="10703" priority="6603" operator="greaterThan">
      <formula>0</formula>
    </cfRule>
    <cfRule type="cellIs" dxfId="10702" priority="6604" operator="lessThanOrEqual">
      <formula>0</formula>
    </cfRule>
  </conditionalFormatting>
  <conditionalFormatting sqref="AM176">
    <cfRule type="cellIs" dxfId="10701" priority="6602" operator="greaterThanOrEqual">
      <formula>0</formula>
    </cfRule>
  </conditionalFormatting>
  <conditionalFormatting sqref="AM176">
    <cfRule type="cellIs" dxfId="10700" priority="6601" operator="lessThan">
      <formula>0</formula>
    </cfRule>
  </conditionalFormatting>
  <conditionalFormatting sqref="AQ176">
    <cfRule type="cellIs" dxfId="10699" priority="6600" operator="greaterThanOrEqual">
      <formula>0</formula>
    </cfRule>
  </conditionalFormatting>
  <conditionalFormatting sqref="AQ176">
    <cfRule type="cellIs" dxfId="10698" priority="6599" operator="lessThan">
      <formula>0</formula>
    </cfRule>
  </conditionalFormatting>
  <conditionalFormatting sqref="AT176">
    <cfRule type="cellIs" dxfId="10697" priority="6598" operator="greaterThanOrEqual">
      <formula>0</formula>
    </cfRule>
  </conditionalFormatting>
  <conditionalFormatting sqref="AT176">
    <cfRule type="cellIs" dxfId="10696" priority="6597" operator="lessThan">
      <formula>0</formula>
    </cfRule>
  </conditionalFormatting>
  <conditionalFormatting sqref="AU176">
    <cfRule type="cellIs" dxfId="10695" priority="6596" operator="greaterThanOrEqual">
      <formula>0</formula>
    </cfRule>
  </conditionalFormatting>
  <conditionalFormatting sqref="AU176">
    <cfRule type="cellIs" dxfId="10694" priority="6595" operator="lessThan">
      <formula>0</formula>
    </cfRule>
  </conditionalFormatting>
  <conditionalFormatting sqref="AN175">
    <cfRule type="cellIs" dxfId="10693" priority="6593" operator="greaterThan">
      <formula>0</formula>
    </cfRule>
    <cfRule type="cellIs" dxfId="10692" priority="6594" operator="lessThanOrEqual">
      <formula>0</formula>
    </cfRule>
  </conditionalFormatting>
  <conditionalFormatting sqref="AM175">
    <cfRule type="cellIs" dxfId="10691" priority="6592" operator="greaterThanOrEqual">
      <formula>0</formula>
    </cfRule>
  </conditionalFormatting>
  <conditionalFormatting sqref="AM175">
    <cfRule type="cellIs" dxfId="10690" priority="6591" operator="lessThan">
      <formula>0</formula>
    </cfRule>
  </conditionalFormatting>
  <conditionalFormatting sqref="AT175:AU175">
    <cfRule type="cellIs" dxfId="10689" priority="6588" operator="greaterThanOrEqual">
      <formula>0</formula>
    </cfRule>
  </conditionalFormatting>
  <conditionalFormatting sqref="AT175:AU175">
    <cfRule type="cellIs" dxfId="10688" priority="6587" operator="lessThan">
      <formula>0</formula>
    </cfRule>
  </conditionalFormatting>
  <conditionalFormatting sqref="AQ175">
    <cfRule type="cellIs" dxfId="10687" priority="6590" operator="greaterThanOrEqual">
      <formula>0</formula>
    </cfRule>
  </conditionalFormatting>
  <conditionalFormatting sqref="AQ175">
    <cfRule type="cellIs" dxfId="10686" priority="6589" operator="lessThan">
      <formula>0</formula>
    </cfRule>
  </conditionalFormatting>
  <conditionalFormatting sqref="AR134">
    <cfRule type="cellIs" dxfId="10685" priority="6585" operator="greaterThan">
      <formula>0</formula>
    </cfRule>
    <cfRule type="cellIs" dxfId="10684" priority="6586" operator="lessThanOrEqual">
      <formula>0</formula>
    </cfRule>
  </conditionalFormatting>
  <conditionalFormatting sqref="AR136:AR137">
    <cfRule type="cellIs" dxfId="10683" priority="6583" operator="greaterThan">
      <formula>0</formula>
    </cfRule>
    <cfRule type="cellIs" dxfId="10682" priority="6584" operator="lessThanOrEqual">
      <formula>0</formula>
    </cfRule>
  </conditionalFormatting>
  <conditionalFormatting sqref="AR173:AR174">
    <cfRule type="cellIs" dxfId="10681" priority="6565" operator="greaterThan">
      <formula>0</formula>
    </cfRule>
    <cfRule type="cellIs" dxfId="10680" priority="6566" operator="lessThanOrEqual">
      <formula>0</formula>
    </cfRule>
  </conditionalFormatting>
  <conditionalFormatting sqref="AR144">
    <cfRule type="cellIs" dxfId="10679" priority="6555" operator="greaterThan">
      <formula>0</formula>
    </cfRule>
    <cfRule type="cellIs" dxfId="10678" priority="6556" operator="lessThanOrEqual">
      <formula>0</formula>
    </cfRule>
  </conditionalFormatting>
  <conditionalFormatting sqref="AR154">
    <cfRule type="cellIs" dxfId="10677" priority="6553" operator="greaterThan">
      <formula>0</formula>
    </cfRule>
    <cfRule type="cellIs" dxfId="10676" priority="6554" operator="lessThanOrEqual">
      <formula>0</formula>
    </cfRule>
  </conditionalFormatting>
  <conditionalFormatting sqref="AR157">
    <cfRule type="cellIs" dxfId="10675" priority="6551" operator="greaterThan">
      <formula>0</formula>
    </cfRule>
    <cfRule type="cellIs" dxfId="10674" priority="6552" operator="lessThanOrEqual">
      <formula>0</formula>
    </cfRule>
  </conditionalFormatting>
  <conditionalFormatting sqref="AR164">
    <cfRule type="cellIs" dxfId="10673" priority="6527" operator="greaterThan">
      <formula>0</formula>
    </cfRule>
    <cfRule type="cellIs" dxfId="10672" priority="6528" operator="lessThanOrEqual">
      <formula>0</formula>
    </cfRule>
  </conditionalFormatting>
  <conditionalFormatting sqref="AR171">
    <cfRule type="cellIs" dxfId="10671" priority="6533" operator="greaterThan">
      <formula>0</formula>
    </cfRule>
    <cfRule type="cellIs" dxfId="10670" priority="6534" operator="lessThanOrEqual">
      <formula>0</formula>
    </cfRule>
  </conditionalFormatting>
  <conditionalFormatting sqref="AR139:AR140">
    <cfRule type="cellIs" dxfId="10669" priority="6581" operator="greaterThan">
      <formula>0</formula>
    </cfRule>
    <cfRule type="cellIs" dxfId="10668" priority="6582" operator="lessThanOrEqual">
      <formula>0</formula>
    </cfRule>
  </conditionalFormatting>
  <conditionalFormatting sqref="AR149:AR150">
    <cfRule type="cellIs" dxfId="10667" priority="6579" operator="greaterThan">
      <formula>0</formula>
    </cfRule>
    <cfRule type="cellIs" dxfId="10666" priority="6580" operator="lessThanOrEqual">
      <formula>0</formula>
    </cfRule>
  </conditionalFormatting>
  <conditionalFormatting sqref="AR142:AR143">
    <cfRule type="cellIs" dxfId="10665" priority="6577" operator="greaterThan">
      <formula>0</formula>
    </cfRule>
    <cfRule type="cellIs" dxfId="10664" priority="6578" operator="lessThanOrEqual">
      <formula>0</formula>
    </cfRule>
  </conditionalFormatting>
  <conditionalFormatting sqref="AR152:AR153">
    <cfRule type="cellIs" dxfId="10663" priority="6575" operator="greaterThan">
      <formula>0</formula>
    </cfRule>
    <cfRule type="cellIs" dxfId="10662" priority="6576" operator="lessThanOrEqual">
      <formula>0</formula>
    </cfRule>
  </conditionalFormatting>
  <conditionalFormatting sqref="AR155:AR156">
    <cfRule type="cellIs" dxfId="10661" priority="6573" operator="greaterThan">
      <formula>0</formula>
    </cfRule>
    <cfRule type="cellIs" dxfId="10660" priority="6574" operator="lessThanOrEqual">
      <formula>0</formula>
    </cfRule>
  </conditionalFormatting>
  <conditionalFormatting sqref="AR158:AR159">
    <cfRule type="cellIs" dxfId="10659" priority="6571" operator="greaterThan">
      <formula>0</formula>
    </cfRule>
    <cfRule type="cellIs" dxfId="10658" priority="6572" operator="lessThanOrEqual">
      <formula>0</formula>
    </cfRule>
  </conditionalFormatting>
  <conditionalFormatting sqref="AR168:AR169">
    <cfRule type="cellIs" dxfId="10657" priority="6569" operator="greaterThan">
      <formula>0</formula>
    </cfRule>
    <cfRule type="cellIs" dxfId="10656" priority="6570" operator="lessThanOrEqual">
      <formula>0</formula>
    </cfRule>
  </conditionalFormatting>
  <conditionalFormatting sqref="AR183:AR184">
    <cfRule type="cellIs" dxfId="10655" priority="6567" operator="greaterThan">
      <formula>0</formula>
    </cfRule>
    <cfRule type="cellIs" dxfId="10654" priority="6568" operator="lessThanOrEqual">
      <formula>0</formula>
    </cfRule>
  </conditionalFormatting>
  <conditionalFormatting sqref="AR135">
    <cfRule type="cellIs" dxfId="10653" priority="6563" operator="greaterThan">
      <formula>0</formula>
    </cfRule>
    <cfRule type="cellIs" dxfId="10652" priority="6564" operator="lessThanOrEqual">
      <formula>0</formula>
    </cfRule>
  </conditionalFormatting>
  <conditionalFormatting sqref="AR138">
    <cfRule type="cellIs" dxfId="10651" priority="6561" operator="greaterThan">
      <formula>0</formula>
    </cfRule>
    <cfRule type="cellIs" dxfId="10650" priority="6562" operator="lessThanOrEqual">
      <formula>0</formula>
    </cfRule>
  </conditionalFormatting>
  <conditionalFormatting sqref="AR141">
    <cfRule type="cellIs" dxfId="10649" priority="6559" operator="greaterThan">
      <formula>0</formula>
    </cfRule>
    <cfRule type="cellIs" dxfId="10648" priority="6560" operator="lessThanOrEqual">
      <formula>0</formula>
    </cfRule>
  </conditionalFormatting>
  <conditionalFormatting sqref="AR151">
    <cfRule type="cellIs" dxfId="10647" priority="6557" operator="greaterThan">
      <formula>0</formula>
    </cfRule>
    <cfRule type="cellIs" dxfId="10646" priority="6558" operator="lessThanOrEqual">
      <formula>0</formula>
    </cfRule>
  </conditionalFormatting>
  <conditionalFormatting sqref="AR160">
    <cfRule type="cellIs" dxfId="10645" priority="6549" operator="greaterThan">
      <formula>0</formula>
    </cfRule>
    <cfRule type="cellIs" dxfId="10644" priority="6550" operator="lessThanOrEqual">
      <formula>0</formula>
    </cfRule>
  </conditionalFormatting>
  <conditionalFormatting sqref="AR146">
    <cfRule type="cellIs" dxfId="10643" priority="6547" operator="greaterThan">
      <formula>0</formula>
    </cfRule>
    <cfRule type="cellIs" dxfId="10642" priority="6548" operator="lessThanOrEqual">
      <formula>0</formula>
    </cfRule>
  </conditionalFormatting>
  <conditionalFormatting sqref="AR186">
    <cfRule type="cellIs" dxfId="10641" priority="6545" operator="greaterThan">
      <formula>0</formula>
    </cfRule>
    <cfRule type="cellIs" dxfId="10640" priority="6546" operator="lessThanOrEqual">
      <formula>0</formula>
    </cfRule>
  </conditionalFormatting>
  <conditionalFormatting sqref="AR187">
    <cfRule type="cellIs" dxfId="10639" priority="6543" operator="greaterThan">
      <formula>0</formula>
    </cfRule>
    <cfRule type="cellIs" dxfId="10638" priority="6544" operator="lessThanOrEqual">
      <formula>0</formula>
    </cfRule>
  </conditionalFormatting>
  <conditionalFormatting sqref="AR172">
    <cfRule type="cellIs" dxfId="10637" priority="6541" operator="greaterThan">
      <formula>0</formula>
    </cfRule>
    <cfRule type="cellIs" dxfId="10636" priority="6542" operator="lessThanOrEqual">
      <formula>0</formula>
    </cfRule>
  </conditionalFormatting>
  <conditionalFormatting sqref="AR145">
    <cfRule type="cellIs" dxfId="10635" priority="6539" operator="greaterThan">
      <formula>0</formula>
    </cfRule>
    <cfRule type="cellIs" dxfId="10634" priority="6540" operator="lessThanOrEqual">
      <formula>0</formula>
    </cfRule>
  </conditionalFormatting>
  <conditionalFormatting sqref="AR167">
    <cfRule type="cellIs" dxfId="10633" priority="6525" operator="greaterThan">
      <formula>0</formula>
    </cfRule>
    <cfRule type="cellIs" dxfId="10632" priority="6526" operator="lessThanOrEqual">
      <formula>0</formula>
    </cfRule>
  </conditionalFormatting>
  <conditionalFormatting sqref="AR170">
    <cfRule type="cellIs" dxfId="10631" priority="6523" operator="greaterThan">
      <formula>0</formula>
    </cfRule>
    <cfRule type="cellIs" dxfId="10630" priority="6524" operator="lessThanOrEqual">
      <formula>0</formula>
    </cfRule>
  </conditionalFormatting>
  <conditionalFormatting sqref="AR148">
    <cfRule type="cellIs" dxfId="10629" priority="6537" operator="greaterThan">
      <formula>0</formula>
    </cfRule>
    <cfRule type="cellIs" dxfId="10628" priority="6538" operator="lessThanOrEqual">
      <formula>0</formula>
    </cfRule>
  </conditionalFormatting>
  <conditionalFormatting sqref="AR161">
    <cfRule type="cellIs" dxfId="10627" priority="6535" operator="greaterThan">
      <formula>0</formula>
    </cfRule>
    <cfRule type="cellIs" dxfId="10626" priority="6536" operator="lessThanOrEqual">
      <formula>0</formula>
    </cfRule>
  </conditionalFormatting>
  <conditionalFormatting sqref="AR162:AR163 AR165:AR166">
    <cfRule type="cellIs" dxfId="10625" priority="6531" operator="greaterThan">
      <formula>0</formula>
    </cfRule>
    <cfRule type="cellIs" dxfId="10624" priority="6532" operator="lessThanOrEqual">
      <formula>0</formula>
    </cfRule>
  </conditionalFormatting>
  <conditionalFormatting sqref="AR177:AR178 AR180:AR181">
    <cfRule type="cellIs" dxfId="10623" priority="6529" operator="greaterThan">
      <formula>0</formula>
    </cfRule>
    <cfRule type="cellIs" dxfId="10622" priority="6530" operator="lessThanOrEqual">
      <formula>0</formula>
    </cfRule>
  </conditionalFormatting>
  <conditionalFormatting sqref="AR179">
    <cfRule type="cellIs" dxfId="10621" priority="6521" operator="greaterThan">
      <formula>0</formula>
    </cfRule>
    <cfRule type="cellIs" dxfId="10620" priority="6522" operator="lessThanOrEqual">
      <formula>0</formula>
    </cfRule>
  </conditionalFormatting>
  <conditionalFormatting sqref="AR182">
    <cfRule type="cellIs" dxfId="10619" priority="6519" operator="greaterThan">
      <formula>0</formula>
    </cfRule>
    <cfRule type="cellIs" dxfId="10618" priority="6520" operator="lessThanOrEqual">
      <formula>0</formula>
    </cfRule>
  </conditionalFormatting>
  <conditionalFormatting sqref="AR185">
    <cfRule type="cellIs" dxfId="10617" priority="6517" operator="greaterThan">
      <formula>0</formula>
    </cfRule>
    <cfRule type="cellIs" dxfId="10616" priority="6518" operator="lessThanOrEqual">
      <formula>0</formula>
    </cfRule>
  </conditionalFormatting>
  <conditionalFormatting sqref="AR133">
    <cfRule type="cellIs" dxfId="10615" priority="6515" operator="lessThan">
      <formula>0</formula>
    </cfRule>
    <cfRule type="cellIs" dxfId="10614" priority="6516" operator="greaterThanOrEqual">
      <formula>0</formula>
    </cfRule>
  </conditionalFormatting>
  <conditionalFormatting sqref="AR176">
    <cfRule type="cellIs" dxfId="10613" priority="6513" operator="greaterThan">
      <formula>0</formula>
    </cfRule>
    <cfRule type="cellIs" dxfId="10612" priority="6514" operator="lessThanOrEqual">
      <formula>0</formula>
    </cfRule>
  </conditionalFormatting>
  <conditionalFormatting sqref="AR175">
    <cfRule type="cellIs" dxfId="10611" priority="6511" operator="greaterThan">
      <formula>0</formula>
    </cfRule>
    <cfRule type="cellIs" dxfId="10610" priority="6512" operator="lessThanOrEqual">
      <formula>0</formula>
    </cfRule>
  </conditionalFormatting>
  <conditionalFormatting sqref="AN27">
    <cfRule type="cellIs" dxfId="10609" priority="6509" operator="greaterThan">
      <formula>0</formula>
    </cfRule>
    <cfRule type="cellIs" dxfId="10608" priority="6510" operator="lessThanOrEqual">
      <formula>0</formula>
    </cfRule>
  </conditionalFormatting>
  <conditionalFormatting sqref="AM27">
    <cfRule type="cellIs" dxfId="10607" priority="6508" operator="greaterThanOrEqual">
      <formula>0</formula>
    </cfRule>
  </conditionalFormatting>
  <conditionalFormatting sqref="AM27">
    <cfRule type="cellIs" dxfId="10606" priority="6507" operator="lessThan">
      <formula>0</formula>
    </cfRule>
  </conditionalFormatting>
  <conditionalFormatting sqref="AR27">
    <cfRule type="cellIs" dxfId="10605" priority="6505" operator="greaterThan">
      <formula>0</formula>
    </cfRule>
    <cfRule type="cellIs" dxfId="10604" priority="6506" operator="lessThanOrEqual">
      <formula>0</formula>
    </cfRule>
  </conditionalFormatting>
  <conditionalFormatting sqref="AQ27">
    <cfRule type="cellIs" dxfId="10603" priority="6504" operator="greaterThanOrEqual">
      <formula>0</formula>
    </cfRule>
  </conditionalFormatting>
  <conditionalFormatting sqref="AQ27">
    <cfRule type="cellIs" dxfId="10602" priority="6503" operator="lessThan">
      <formula>0</formula>
    </cfRule>
  </conditionalFormatting>
  <conditionalFormatting sqref="AT27">
    <cfRule type="cellIs" dxfId="10601" priority="6502" operator="greaterThanOrEqual">
      <formula>0</formula>
    </cfRule>
  </conditionalFormatting>
  <conditionalFormatting sqref="AT27">
    <cfRule type="cellIs" dxfId="10600" priority="6501" operator="lessThan">
      <formula>0</formula>
    </cfRule>
  </conditionalFormatting>
  <conditionalFormatting sqref="AU27">
    <cfRule type="cellIs" dxfId="10599" priority="6500" operator="greaterThanOrEqual">
      <formula>0</formula>
    </cfRule>
  </conditionalFormatting>
  <conditionalFormatting sqref="AU27">
    <cfRule type="cellIs" dxfId="10598" priority="6499" operator="lessThan">
      <formula>0</formula>
    </cfRule>
  </conditionalFormatting>
  <conditionalFormatting sqref="AN90">
    <cfRule type="cellIs" dxfId="10597" priority="6497" operator="greaterThan">
      <formula>0</formula>
    </cfRule>
    <cfRule type="cellIs" dxfId="10596" priority="6498" operator="lessThanOrEqual">
      <formula>0</formula>
    </cfRule>
  </conditionalFormatting>
  <conditionalFormatting sqref="AM90">
    <cfRule type="cellIs" dxfId="10595" priority="6496" operator="greaterThanOrEqual">
      <formula>0</formula>
    </cfRule>
  </conditionalFormatting>
  <conditionalFormatting sqref="AM90">
    <cfRule type="cellIs" dxfId="10594" priority="6495" operator="lessThan">
      <formula>0</formula>
    </cfRule>
  </conditionalFormatting>
  <conditionalFormatting sqref="AR90">
    <cfRule type="cellIs" dxfId="10593" priority="6493" operator="greaterThan">
      <formula>0</formula>
    </cfRule>
    <cfRule type="cellIs" dxfId="10592" priority="6494" operator="lessThanOrEqual">
      <formula>0</formula>
    </cfRule>
  </conditionalFormatting>
  <conditionalFormatting sqref="AQ90">
    <cfRule type="cellIs" dxfId="10591" priority="6492" operator="greaterThanOrEqual">
      <formula>0</formula>
    </cfRule>
  </conditionalFormatting>
  <conditionalFormatting sqref="AQ90">
    <cfRule type="cellIs" dxfId="10590" priority="6491" operator="lessThan">
      <formula>0</formula>
    </cfRule>
  </conditionalFormatting>
  <conditionalFormatting sqref="AT90">
    <cfRule type="cellIs" dxfId="10589" priority="6490" operator="greaterThanOrEqual">
      <formula>0</formula>
    </cfRule>
  </conditionalFormatting>
  <conditionalFormatting sqref="AT90">
    <cfRule type="cellIs" dxfId="10588" priority="6489" operator="lessThan">
      <formula>0</formula>
    </cfRule>
  </conditionalFormatting>
  <conditionalFormatting sqref="AU90">
    <cfRule type="cellIs" dxfId="10587" priority="6488" operator="greaterThanOrEqual">
      <formula>0</formula>
    </cfRule>
  </conditionalFormatting>
  <conditionalFormatting sqref="AU90">
    <cfRule type="cellIs" dxfId="10586" priority="6487" operator="lessThan">
      <formula>0</formula>
    </cfRule>
  </conditionalFormatting>
  <conditionalFormatting sqref="AN147">
    <cfRule type="cellIs" dxfId="10585" priority="6485" operator="greaterThan">
      <formula>0</formula>
    </cfRule>
    <cfRule type="cellIs" dxfId="10584" priority="6486" operator="lessThanOrEqual">
      <formula>0</formula>
    </cfRule>
  </conditionalFormatting>
  <conditionalFormatting sqref="AQ147 AT147:AU147 AM147">
    <cfRule type="cellIs" dxfId="10583" priority="6484" operator="greaterThanOrEqual">
      <formula>0</formula>
    </cfRule>
  </conditionalFormatting>
  <conditionalFormatting sqref="AQ147 AT147:AU147 AM147">
    <cfRule type="cellIs" dxfId="10582" priority="6483" operator="lessThan">
      <formula>0</formula>
    </cfRule>
  </conditionalFormatting>
  <conditionalFormatting sqref="AR147">
    <cfRule type="cellIs" dxfId="10581" priority="6481" operator="greaterThan">
      <formula>0</formula>
    </cfRule>
    <cfRule type="cellIs" dxfId="10580" priority="6482" operator="lessThanOrEqual">
      <formula>0</formula>
    </cfRule>
  </conditionalFormatting>
  <conditionalFormatting sqref="AY13:AY14">
    <cfRule type="cellIs" dxfId="10579" priority="6479" operator="greaterThan">
      <formula>0</formula>
    </cfRule>
    <cfRule type="cellIs" dxfId="10578" priority="6480" operator="lessThanOrEqual">
      <formula>0</formula>
    </cfRule>
  </conditionalFormatting>
  <conditionalFormatting sqref="AY16:AY17">
    <cfRule type="cellIs" dxfId="10577" priority="6477" operator="greaterThan">
      <formula>0</formula>
    </cfRule>
    <cfRule type="cellIs" dxfId="10576" priority="6478" operator="lessThanOrEqual">
      <formula>0</formula>
    </cfRule>
  </conditionalFormatting>
  <conditionalFormatting sqref="AY19:AY20">
    <cfRule type="cellIs" dxfId="10575" priority="6475" operator="greaterThan">
      <formula>0</formula>
    </cfRule>
    <cfRule type="cellIs" dxfId="10574" priority="6476" operator="lessThanOrEqual">
      <formula>0</formula>
    </cfRule>
  </conditionalFormatting>
  <conditionalFormatting sqref="AY29:AY30">
    <cfRule type="cellIs" dxfId="10573" priority="6473" operator="greaterThan">
      <formula>0</formula>
    </cfRule>
    <cfRule type="cellIs" dxfId="10572" priority="6474" operator="lessThanOrEqual">
      <formula>0</formula>
    </cfRule>
  </conditionalFormatting>
  <conditionalFormatting sqref="AY22:AY23">
    <cfRule type="cellIs" dxfId="10571" priority="6471" operator="greaterThan">
      <formula>0</formula>
    </cfRule>
    <cfRule type="cellIs" dxfId="10570" priority="6472" operator="lessThanOrEqual">
      <formula>0</formula>
    </cfRule>
  </conditionalFormatting>
  <conditionalFormatting sqref="AY32:AY33">
    <cfRule type="cellIs" dxfId="10569" priority="6469" operator="greaterThan">
      <formula>0</formula>
    </cfRule>
    <cfRule type="cellIs" dxfId="10568" priority="6470" operator="lessThanOrEqual">
      <formula>0</formula>
    </cfRule>
  </conditionalFormatting>
  <conditionalFormatting sqref="AY35:AY36">
    <cfRule type="cellIs" dxfId="10567" priority="6467" operator="greaterThan">
      <formula>0</formula>
    </cfRule>
    <cfRule type="cellIs" dxfId="10566" priority="6468" operator="lessThanOrEqual">
      <formula>0</formula>
    </cfRule>
  </conditionalFormatting>
  <conditionalFormatting sqref="AY38:AY39">
    <cfRule type="cellIs" dxfId="10565" priority="6465" operator="greaterThan">
      <formula>0</formula>
    </cfRule>
    <cfRule type="cellIs" dxfId="10564" priority="6466" operator="lessThanOrEqual">
      <formula>0</formula>
    </cfRule>
  </conditionalFormatting>
  <conditionalFormatting sqref="AY48:AY49">
    <cfRule type="cellIs" dxfId="10563" priority="6463" operator="greaterThan">
      <formula>0</formula>
    </cfRule>
    <cfRule type="cellIs" dxfId="10562" priority="6464" operator="lessThanOrEqual">
      <formula>0</formula>
    </cfRule>
  </conditionalFormatting>
  <conditionalFormatting sqref="AY63:AY64">
    <cfRule type="cellIs" dxfId="10561" priority="6461" operator="greaterThan">
      <formula>0</formula>
    </cfRule>
    <cfRule type="cellIs" dxfId="10560" priority="6462" operator="lessThanOrEqual">
      <formula>0</formula>
    </cfRule>
  </conditionalFormatting>
  <conditionalFormatting sqref="AY53:AY54">
    <cfRule type="cellIs" dxfId="10559" priority="6459" operator="greaterThan">
      <formula>0</formula>
    </cfRule>
    <cfRule type="cellIs" dxfId="10558" priority="6460" operator="lessThanOrEqual">
      <formula>0</formula>
    </cfRule>
  </conditionalFormatting>
  <conditionalFormatting sqref="AY15">
    <cfRule type="cellIs" dxfId="10557" priority="6457" operator="greaterThan">
      <formula>0</formula>
    </cfRule>
    <cfRule type="cellIs" dxfId="10556" priority="6458" operator="lessThanOrEqual">
      <formula>0</formula>
    </cfRule>
  </conditionalFormatting>
  <conditionalFormatting sqref="AY18">
    <cfRule type="cellIs" dxfId="10555" priority="6455" operator="greaterThan">
      <formula>0</formula>
    </cfRule>
    <cfRule type="cellIs" dxfId="10554" priority="6456" operator="lessThanOrEqual">
      <formula>0</formula>
    </cfRule>
  </conditionalFormatting>
  <conditionalFormatting sqref="AY21">
    <cfRule type="cellIs" dxfId="10553" priority="6453" operator="greaterThan">
      <formula>0</formula>
    </cfRule>
    <cfRule type="cellIs" dxfId="10552" priority="6454" operator="lessThanOrEqual">
      <formula>0</formula>
    </cfRule>
  </conditionalFormatting>
  <conditionalFormatting sqref="AY31">
    <cfRule type="cellIs" dxfId="10551" priority="6451" operator="greaterThan">
      <formula>0</formula>
    </cfRule>
    <cfRule type="cellIs" dxfId="10550" priority="6452" operator="lessThanOrEqual">
      <formula>0</formula>
    </cfRule>
  </conditionalFormatting>
  <conditionalFormatting sqref="AY24">
    <cfRule type="cellIs" dxfId="10549" priority="6449" operator="greaterThan">
      <formula>0</formula>
    </cfRule>
    <cfRule type="cellIs" dxfId="10548" priority="6450" operator="lessThanOrEqual">
      <formula>0</formula>
    </cfRule>
  </conditionalFormatting>
  <conditionalFormatting sqref="AY34">
    <cfRule type="cellIs" dxfId="10547" priority="6447" operator="greaterThan">
      <formula>0</formula>
    </cfRule>
    <cfRule type="cellIs" dxfId="10546" priority="6448" operator="lessThanOrEqual">
      <formula>0</formula>
    </cfRule>
  </conditionalFormatting>
  <conditionalFormatting sqref="AY37">
    <cfRule type="cellIs" dxfId="10545" priority="6445" operator="greaterThan">
      <formula>0</formula>
    </cfRule>
    <cfRule type="cellIs" dxfId="10544" priority="6446" operator="lessThanOrEqual">
      <formula>0</formula>
    </cfRule>
  </conditionalFormatting>
  <conditionalFormatting sqref="AY40">
    <cfRule type="cellIs" dxfId="10543" priority="6443" operator="greaterThan">
      <formula>0</formula>
    </cfRule>
    <cfRule type="cellIs" dxfId="10542" priority="6444" operator="lessThanOrEqual">
      <formula>0</formula>
    </cfRule>
  </conditionalFormatting>
  <conditionalFormatting sqref="AY26">
    <cfRule type="cellIs" dxfId="10541" priority="6441" operator="greaterThan">
      <formula>0</formula>
    </cfRule>
    <cfRule type="cellIs" dxfId="10540" priority="6442" operator="lessThanOrEqual">
      <formula>0</formula>
    </cfRule>
  </conditionalFormatting>
  <conditionalFormatting sqref="AY66 AY68 AY71">
    <cfRule type="cellIs" dxfId="10539" priority="6439" operator="greaterThan">
      <formula>0</formula>
    </cfRule>
    <cfRule type="cellIs" dxfId="10538" priority="6440" operator="lessThanOrEqual">
      <formula>0</formula>
    </cfRule>
  </conditionalFormatting>
  <conditionalFormatting sqref="AX13:AX14 AX16:AX17 AX19:AX20 AX22:AX23 AX29:AX30 AX32:AX33 AX35:AX36 AX38:AX39 AX48:AX49 AX53:AX54">
    <cfRule type="cellIs" dxfId="10537" priority="6437" operator="lessThan">
      <formula>0</formula>
    </cfRule>
    <cfRule type="cellIs" dxfId="10536" priority="6438" operator="greaterThanOrEqual">
      <formula>0</formula>
    </cfRule>
  </conditionalFormatting>
  <conditionalFormatting sqref="AX15 AX18 AX21 AX24 AX26 AX31 AX34 AX37 AX40">
    <cfRule type="cellIs" dxfId="10535" priority="6436" operator="greaterThanOrEqual">
      <formula>0</formula>
    </cfRule>
  </conditionalFormatting>
  <conditionalFormatting sqref="AX15 AX18 AX21 AX24 AX26 AX31 AX34 AX37 AX40">
    <cfRule type="cellIs" dxfId="10534" priority="6435" operator="lessThan">
      <formula>0</formula>
    </cfRule>
  </conditionalFormatting>
  <conditionalFormatting sqref="AY73">
    <cfRule type="cellIs" dxfId="10533" priority="6433" operator="greaterThan">
      <formula>0</formula>
    </cfRule>
    <cfRule type="cellIs" dxfId="10532" priority="6434" operator="lessThanOrEqual">
      <formula>0</formula>
    </cfRule>
  </conditionalFormatting>
  <conditionalFormatting sqref="AY67">
    <cfRule type="cellIs" dxfId="10531" priority="6431" operator="greaterThan">
      <formula>0</formula>
    </cfRule>
    <cfRule type="cellIs" dxfId="10530" priority="6432" operator="lessThanOrEqual">
      <formula>0</formula>
    </cfRule>
  </conditionalFormatting>
  <conditionalFormatting sqref="AX67">
    <cfRule type="cellIs" dxfId="10529" priority="6429" operator="greaterThanOrEqual">
      <formula>0</formula>
    </cfRule>
    <cfRule type="cellIs" dxfId="10528" priority="6430" operator="lessThan">
      <formula>0</formula>
    </cfRule>
  </conditionalFormatting>
  <conditionalFormatting sqref="BE13:BE14 BE16:BE17 BE19:BE20 BE22:BE23 BE29:BE30 BE32:BE33 BE35:BE36 BE38:BE39 BE48:BE49">
    <cfRule type="cellIs" dxfId="10527" priority="6427" operator="lessThan">
      <formula>0</formula>
    </cfRule>
    <cfRule type="cellIs" dxfId="10526" priority="6428" operator="greaterThanOrEqual">
      <formula>0</formula>
    </cfRule>
  </conditionalFormatting>
  <conditionalFormatting sqref="BE15 BE24 BE18 BE21 BE31 BE34 BE37 BE40">
    <cfRule type="cellIs" dxfId="10525" priority="6426" operator="greaterThanOrEqual">
      <formula>0</formula>
    </cfRule>
  </conditionalFormatting>
  <conditionalFormatting sqref="BE15 BE24 BE18 BE21 BE31 BE34 BE37 BE40">
    <cfRule type="cellIs" dxfId="10524" priority="6425" operator="lessThan">
      <formula>0</formula>
    </cfRule>
  </conditionalFormatting>
  <conditionalFormatting sqref="BE71 BE73">
    <cfRule type="cellIs" dxfId="10523" priority="6423" operator="lessThan">
      <formula>0</formula>
    </cfRule>
    <cfRule type="cellIs" dxfId="10522" priority="6424" operator="greaterThanOrEqual">
      <formula>0</formula>
    </cfRule>
  </conditionalFormatting>
  <conditionalFormatting sqref="BE67">
    <cfRule type="cellIs" dxfId="10521" priority="6421" operator="greaterThanOrEqual">
      <formula>0</formula>
    </cfRule>
    <cfRule type="cellIs" dxfId="10520" priority="6422" operator="lessThan">
      <formula>0</formula>
    </cfRule>
  </conditionalFormatting>
  <conditionalFormatting sqref="BF13:BF14">
    <cfRule type="cellIs" dxfId="10519" priority="6419" operator="greaterThan">
      <formula>0</formula>
    </cfRule>
    <cfRule type="cellIs" dxfId="10518" priority="6420" operator="lessThanOrEqual">
      <formula>0</formula>
    </cfRule>
  </conditionalFormatting>
  <conditionalFormatting sqref="BF68">
    <cfRule type="cellIs" dxfId="10517" priority="6417" operator="lessThan">
      <formula>0</formula>
    </cfRule>
    <cfRule type="cellIs" dxfId="10516" priority="6418" operator="greaterThanOrEqual">
      <formula>0</formula>
    </cfRule>
  </conditionalFormatting>
  <conditionalFormatting sqref="BF15 BF24 BF18 BF21 BF31 BF34 BF37 BF40">
    <cfRule type="cellIs" dxfId="10515" priority="6416" operator="greaterThanOrEqual">
      <formula>0</formula>
    </cfRule>
  </conditionalFormatting>
  <conditionalFormatting sqref="BF15 BF24 BF18 BF21 BF31 BF34 BF37 BF40">
    <cfRule type="cellIs" dxfId="10514" priority="6415" operator="lessThan">
      <formula>0</formula>
    </cfRule>
  </conditionalFormatting>
  <conditionalFormatting sqref="BE68">
    <cfRule type="cellIs" dxfId="10513" priority="6413" operator="lessThan">
      <formula>0</formula>
    </cfRule>
    <cfRule type="cellIs" dxfId="10512" priority="6414" operator="greaterThanOrEqual">
      <formula>0</formula>
    </cfRule>
  </conditionalFormatting>
  <conditionalFormatting sqref="BF71 BF73">
    <cfRule type="cellIs" dxfId="10511" priority="6411" operator="lessThan">
      <formula>0</formula>
    </cfRule>
    <cfRule type="cellIs" dxfId="10510" priority="6412" operator="greaterThanOrEqual">
      <formula>0</formula>
    </cfRule>
  </conditionalFormatting>
  <conditionalFormatting sqref="BF67">
    <cfRule type="cellIs" dxfId="10509" priority="6409" operator="lessThan">
      <formula>0</formula>
    </cfRule>
    <cfRule type="cellIs" dxfId="10508" priority="6410" operator="greaterThanOrEqual">
      <formula>0</formula>
    </cfRule>
  </conditionalFormatting>
  <conditionalFormatting sqref="AX62">
    <cfRule type="cellIs" dxfId="10507" priority="6390" operator="greaterThanOrEqual">
      <formula>0</formula>
    </cfRule>
  </conditionalFormatting>
  <conditionalFormatting sqref="AX62">
    <cfRule type="cellIs" dxfId="10506" priority="6389" operator="lessThan">
      <formula>0</formula>
    </cfRule>
  </conditionalFormatting>
  <conditionalFormatting sqref="AY44">
    <cfRule type="cellIs" dxfId="10505" priority="6399" operator="greaterThan">
      <formula>0</formula>
    </cfRule>
    <cfRule type="cellIs" dxfId="10504" priority="6400" operator="lessThanOrEqual">
      <formula>0</formula>
    </cfRule>
  </conditionalFormatting>
  <conditionalFormatting sqref="AY47">
    <cfRule type="cellIs" dxfId="10503" priority="6397" operator="greaterThan">
      <formula>0</formula>
    </cfRule>
    <cfRule type="cellIs" dxfId="10502" priority="6398" operator="lessThanOrEqual">
      <formula>0</formula>
    </cfRule>
  </conditionalFormatting>
  <conditionalFormatting sqref="AY50">
    <cfRule type="cellIs" dxfId="10501" priority="6395" operator="greaterThan">
      <formula>0</formula>
    </cfRule>
    <cfRule type="cellIs" dxfId="10500" priority="6396" operator="lessThanOrEqual">
      <formula>0</formula>
    </cfRule>
  </conditionalFormatting>
  <conditionalFormatting sqref="AY28">
    <cfRule type="cellIs" dxfId="10499" priority="6407" operator="greaterThan">
      <formula>0</formula>
    </cfRule>
    <cfRule type="cellIs" dxfId="10498" priority="6408" operator="lessThanOrEqual">
      <formula>0</formula>
    </cfRule>
  </conditionalFormatting>
  <conditionalFormatting sqref="AY41">
    <cfRule type="cellIs" dxfId="10497" priority="6405" operator="greaterThan">
      <formula>0</formula>
    </cfRule>
    <cfRule type="cellIs" dxfId="10496" priority="6406" operator="lessThanOrEqual">
      <formula>0</formula>
    </cfRule>
  </conditionalFormatting>
  <conditionalFormatting sqref="BB182">
    <cfRule type="cellIs" dxfId="10495" priority="6194" operator="greaterThanOrEqual">
      <formula>0</formula>
    </cfRule>
  </conditionalFormatting>
  <conditionalFormatting sqref="BB182">
    <cfRule type="cellIs" dxfId="10494" priority="6193" operator="lessThan">
      <formula>0</formula>
    </cfRule>
  </conditionalFormatting>
  <conditionalFormatting sqref="AY42:AY43 AY45:AY46">
    <cfRule type="cellIs" dxfId="10493" priority="6403" operator="greaterThan">
      <formula>0</formula>
    </cfRule>
    <cfRule type="cellIs" dxfId="10492" priority="6404" operator="lessThanOrEqual">
      <formula>0</formula>
    </cfRule>
  </conditionalFormatting>
  <conditionalFormatting sqref="AY57:AY58 AY60:AY61">
    <cfRule type="cellIs" dxfId="10491" priority="6401" operator="greaterThan">
      <formula>0</formula>
    </cfRule>
    <cfRule type="cellIs" dxfId="10490" priority="6402" operator="lessThanOrEqual">
      <formula>0</formula>
    </cfRule>
  </conditionalFormatting>
  <conditionalFormatting sqref="AY59">
    <cfRule type="cellIs" dxfId="10489" priority="6393" operator="greaterThan">
      <formula>0</formula>
    </cfRule>
    <cfRule type="cellIs" dxfId="10488" priority="6394" operator="lessThanOrEqual">
      <formula>0</formula>
    </cfRule>
  </conditionalFormatting>
  <conditionalFormatting sqref="AY62">
    <cfRule type="cellIs" dxfId="10487" priority="6391" operator="greaterThan">
      <formula>0</formula>
    </cfRule>
    <cfRule type="cellIs" dxfId="10486" priority="6392" operator="lessThanOrEqual">
      <formula>0</formula>
    </cfRule>
  </conditionalFormatting>
  <conditionalFormatting sqref="AY65">
    <cfRule type="cellIs" dxfId="10485" priority="6387" operator="greaterThan">
      <formula>0</formula>
    </cfRule>
    <cfRule type="cellIs" dxfId="10484" priority="6388" operator="lessThanOrEqual">
      <formula>0</formula>
    </cfRule>
  </conditionalFormatting>
  <conditionalFormatting sqref="BC47">
    <cfRule type="cellIs" dxfId="10483" priority="6057" operator="greaterThan">
      <formula>0</formula>
    </cfRule>
    <cfRule type="cellIs" dxfId="10482" priority="6058" operator="lessThanOrEqual">
      <formula>0</formula>
    </cfRule>
  </conditionalFormatting>
  <conditionalFormatting sqref="BC59">
    <cfRule type="cellIs" dxfId="10481" priority="6053" operator="greaterThan">
      <formula>0</formula>
    </cfRule>
    <cfRule type="cellIs" dxfId="10480" priority="6054" operator="lessThanOrEqual">
      <formula>0</formula>
    </cfRule>
  </conditionalFormatting>
  <conditionalFormatting sqref="BB62">
    <cfRule type="cellIs" dxfId="10479" priority="6050" operator="greaterThanOrEqual">
      <formula>0</formula>
    </cfRule>
  </conditionalFormatting>
  <conditionalFormatting sqref="BB62">
    <cfRule type="cellIs" dxfId="10478" priority="6049" operator="lessThan">
      <formula>0</formula>
    </cfRule>
  </conditionalFormatting>
  <conditionalFormatting sqref="AY134">
    <cfRule type="cellIs" dxfId="10477" priority="6385" operator="greaterThan">
      <formula>0</formula>
    </cfRule>
    <cfRule type="cellIs" dxfId="10476" priority="6386" operator="lessThanOrEqual">
      <formula>0</formula>
    </cfRule>
  </conditionalFormatting>
  <conditionalFormatting sqref="AY136:AY137">
    <cfRule type="cellIs" dxfId="10475" priority="6383" operator="greaterThan">
      <formula>0</formula>
    </cfRule>
    <cfRule type="cellIs" dxfId="10474" priority="6384" operator="lessThanOrEqual">
      <formula>0</formula>
    </cfRule>
  </conditionalFormatting>
  <conditionalFormatting sqref="AY173:AY174">
    <cfRule type="cellIs" dxfId="10473" priority="6365" operator="greaterThan">
      <formula>0</formula>
    </cfRule>
    <cfRule type="cellIs" dxfId="10472" priority="6366" operator="lessThanOrEqual">
      <formula>0</formula>
    </cfRule>
  </conditionalFormatting>
  <conditionalFormatting sqref="AY144">
    <cfRule type="cellIs" dxfId="10471" priority="6355" operator="greaterThan">
      <formula>0</formula>
    </cfRule>
    <cfRule type="cellIs" dxfId="10470" priority="6356" operator="lessThanOrEqual">
      <formula>0</formula>
    </cfRule>
  </conditionalFormatting>
  <conditionalFormatting sqref="AY154">
    <cfRule type="cellIs" dxfId="10469" priority="6353" operator="greaterThan">
      <formula>0</formula>
    </cfRule>
    <cfRule type="cellIs" dxfId="10468" priority="6354" operator="lessThanOrEqual">
      <formula>0</formula>
    </cfRule>
  </conditionalFormatting>
  <conditionalFormatting sqref="AY157">
    <cfRule type="cellIs" dxfId="10467" priority="6351" operator="greaterThan">
      <formula>0</formula>
    </cfRule>
    <cfRule type="cellIs" dxfId="10466" priority="6352" operator="lessThanOrEqual">
      <formula>0</formula>
    </cfRule>
  </conditionalFormatting>
  <conditionalFormatting sqref="AX164">
    <cfRule type="cellIs" dxfId="10465" priority="6236" operator="greaterThanOrEqual">
      <formula>0</formula>
    </cfRule>
  </conditionalFormatting>
  <conditionalFormatting sqref="AX164">
    <cfRule type="cellIs" dxfId="10464" priority="6235" operator="lessThan">
      <formula>0</formula>
    </cfRule>
  </conditionalFormatting>
  <conditionalFormatting sqref="AY164">
    <cfRule type="cellIs" dxfId="10463" priority="6237" operator="greaterThan">
      <formula>0</formula>
    </cfRule>
    <cfRule type="cellIs" dxfId="10462" priority="6238" operator="lessThanOrEqual">
      <formula>0</formula>
    </cfRule>
  </conditionalFormatting>
  <conditionalFormatting sqref="BB185">
    <cfRule type="cellIs" dxfId="10461" priority="6184" operator="greaterThanOrEqual">
      <formula>0</formula>
    </cfRule>
  </conditionalFormatting>
  <conditionalFormatting sqref="BB185">
    <cfRule type="cellIs" dxfId="10460" priority="6183" operator="lessThan">
      <formula>0</formula>
    </cfRule>
  </conditionalFormatting>
  <conditionalFormatting sqref="BF145">
    <cfRule type="cellIs" dxfId="10459" priority="6282" operator="greaterThanOrEqual">
      <formula>0</formula>
    </cfRule>
  </conditionalFormatting>
  <conditionalFormatting sqref="BF145">
    <cfRule type="cellIs" dxfId="10458" priority="6281" operator="lessThan">
      <formula>0</formula>
    </cfRule>
  </conditionalFormatting>
  <conditionalFormatting sqref="BB160 BB186">
    <cfRule type="cellIs" dxfId="10457" priority="6334" operator="greaterThanOrEqual">
      <formula>0</formula>
    </cfRule>
  </conditionalFormatting>
  <conditionalFormatting sqref="BB160 BB186">
    <cfRule type="cellIs" dxfId="10456" priority="6333" operator="lessThan">
      <formula>0</formula>
    </cfRule>
  </conditionalFormatting>
  <conditionalFormatting sqref="AY171">
    <cfRule type="cellIs" dxfId="10455" priority="6263" operator="greaterThan">
      <formula>0</formula>
    </cfRule>
    <cfRule type="cellIs" dxfId="10454" priority="6264" operator="lessThanOrEqual">
      <formula>0</formula>
    </cfRule>
  </conditionalFormatting>
  <conditionalFormatting sqref="AX171">
    <cfRule type="cellIs" dxfId="10453" priority="6262" operator="greaterThanOrEqual">
      <formula>0</formula>
    </cfRule>
  </conditionalFormatting>
  <conditionalFormatting sqref="AX171">
    <cfRule type="cellIs" dxfId="10452" priority="6261" operator="lessThan">
      <formula>0</formula>
    </cfRule>
  </conditionalFormatting>
  <conditionalFormatting sqref="BF167">
    <cfRule type="cellIs" dxfId="10451" priority="6220" operator="greaterThanOrEqual">
      <formula>0</formula>
    </cfRule>
  </conditionalFormatting>
  <conditionalFormatting sqref="BF167">
    <cfRule type="cellIs" dxfId="10450" priority="6219" operator="lessThan">
      <formula>0</formula>
    </cfRule>
  </conditionalFormatting>
  <conditionalFormatting sqref="AY139:AY140">
    <cfRule type="cellIs" dxfId="10449" priority="6381" operator="greaterThan">
      <formula>0</formula>
    </cfRule>
    <cfRule type="cellIs" dxfId="10448" priority="6382" operator="lessThanOrEqual">
      <formula>0</formula>
    </cfRule>
  </conditionalFormatting>
  <conditionalFormatting sqref="AY149:AY150">
    <cfRule type="cellIs" dxfId="10447" priority="6379" operator="greaterThan">
      <formula>0</formula>
    </cfRule>
    <cfRule type="cellIs" dxfId="10446" priority="6380" operator="lessThanOrEqual">
      <formula>0</formula>
    </cfRule>
  </conditionalFormatting>
  <conditionalFormatting sqref="AY142:AY143">
    <cfRule type="cellIs" dxfId="10445" priority="6377" operator="greaterThan">
      <formula>0</formula>
    </cfRule>
    <cfRule type="cellIs" dxfId="10444" priority="6378" operator="lessThanOrEqual">
      <formula>0</formula>
    </cfRule>
  </conditionalFormatting>
  <conditionalFormatting sqref="AY152:AY153">
    <cfRule type="cellIs" dxfId="10443" priority="6375" operator="greaterThan">
      <formula>0</formula>
    </cfRule>
    <cfRule type="cellIs" dxfId="10442" priority="6376" operator="lessThanOrEqual">
      <formula>0</formula>
    </cfRule>
  </conditionalFormatting>
  <conditionalFormatting sqref="AY155:AY156">
    <cfRule type="cellIs" dxfId="10441" priority="6373" operator="greaterThan">
      <formula>0</formula>
    </cfRule>
    <cfRule type="cellIs" dxfId="10440" priority="6374" operator="lessThanOrEqual">
      <formula>0</formula>
    </cfRule>
  </conditionalFormatting>
  <conditionalFormatting sqref="AY158:AY159">
    <cfRule type="cellIs" dxfId="10439" priority="6371" operator="greaterThan">
      <formula>0</formula>
    </cfRule>
    <cfRule type="cellIs" dxfId="10438" priority="6372" operator="lessThanOrEqual">
      <formula>0</formula>
    </cfRule>
  </conditionalFormatting>
  <conditionalFormatting sqref="AY168:AY169">
    <cfRule type="cellIs" dxfId="10437" priority="6369" operator="greaterThan">
      <formula>0</formula>
    </cfRule>
    <cfRule type="cellIs" dxfId="10436" priority="6370" operator="lessThanOrEqual">
      <formula>0</formula>
    </cfRule>
  </conditionalFormatting>
  <conditionalFormatting sqref="AY183:AY184">
    <cfRule type="cellIs" dxfId="10435" priority="6367" operator="greaterThan">
      <formula>0</formula>
    </cfRule>
    <cfRule type="cellIs" dxfId="10434" priority="6368" operator="lessThanOrEqual">
      <formula>0</formula>
    </cfRule>
  </conditionalFormatting>
  <conditionalFormatting sqref="AY135">
    <cfRule type="cellIs" dxfId="10433" priority="6363" operator="greaterThan">
      <formula>0</formula>
    </cfRule>
    <cfRule type="cellIs" dxfId="10432" priority="6364" operator="lessThanOrEqual">
      <formula>0</formula>
    </cfRule>
  </conditionalFormatting>
  <conditionalFormatting sqref="AY138">
    <cfRule type="cellIs" dxfId="10431" priority="6361" operator="greaterThan">
      <formula>0</formula>
    </cfRule>
    <cfRule type="cellIs" dxfId="10430" priority="6362" operator="lessThanOrEqual">
      <formula>0</formula>
    </cfRule>
  </conditionalFormatting>
  <conditionalFormatting sqref="AY141">
    <cfRule type="cellIs" dxfId="10429" priority="6359" operator="greaterThan">
      <formula>0</formula>
    </cfRule>
    <cfRule type="cellIs" dxfId="10428" priority="6360" operator="lessThanOrEqual">
      <formula>0</formula>
    </cfRule>
  </conditionalFormatting>
  <conditionalFormatting sqref="AY151">
    <cfRule type="cellIs" dxfId="10427" priority="6357" operator="greaterThan">
      <formula>0</formula>
    </cfRule>
    <cfRule type="cellIs" dxfId="10426" priority="6358" operator="lessThanOrEqual">
      <formula>0</formula>
    </cfRule>
  </conditionalFormatting>
  <conditionalFormatting sqref="AY160">
    <cfRule type="cellIs" dxfId="10425" priority="6349" operator="greaterThan">
      <formula>0</formula>
    </cfRule>
    <cfRule type="cellIs" dxfId="10424" priority="6350" operator="lessThanOrEqual">
      <formula>0</formula>
    </cfRule>
  </conditionalFormatting>
  <conditionalFormatting sqref="AY146">
    <cfRule type="cellIs" dxfId="10423" priority="6347" operator="greaterThan">
      <formula>0</formula>
    </cfRule>
    <cfRule type="cellIs" dxfId="10422" priority="6348" operator="lessThanOrEqual">
      <formula>0</formula>
    </cfRule>
  </conditionalFormatting>
  <conditionalFormatting sqref="AY186">
    <cfRule type="cellIs" dxfId="10421" priority="6345" operator="greaterThan">
      <formula>0</formula>
    </cfRule>
    <cfRule type="cellIs" dxfId="10420" priority="6346" operator="lessThanOrEqual">
      <formula>0</formula>
    </cfRule>
  </conditionalFormatting>
  <conditionalFormatting sqref="AX133:AX134 AX136:AX137 AX139:AX140 AX149:AX150 AX142:AX143 AX152:AX153 AX155:AX156 AX158:AX159 AX168:AX169 AX183:AX184 AX173:AX174 BB183:BB184 BB173:BB174 BE183:BF184 BE173:BF174">
    <cfRule type="cellIs" dxfId="10419" priority="6343" operator="lessThan">
      <formula>0</formula>
    </cfRule>
    <cfRule type="cellIs" dxfId="10418" priority="6344" operator="greaterThanOrEqual">
      <formula>0</formula>
    </cfRule>
  </conditionalFormatting>
  <conditionalFormatting sqref="AX135 AX138 AX141 AX154 AX157 AX160 AX186 BB146 BE146:BF146 AX151 AX144 AX146">
    <cfRule type="cellIs" dxfId="10417" priority="6342" operator="greaterThanOrEqual">
      <formula>0</formula>
    </cfRule>
  </conditionalFormatting>
  <conditionalFormatting sqref="AX135 AX138 AX141 AX154 AX157 AX160 AX186 BB146 BE146:BF146 AX151 AX144 AX146">
    <cfRule type="cellIs" dxfId="10416" priority="6341" operator="lessThan">
      <formula>0</formula>
    </cfRule>
  </conditionalFormatting>
  <conditionalFormatting sqref="BB133:BB134 BB136:BB137 BB139:BB140 BB149:BB150 BB142:BB143 BB152:BB153 BB155:BB156">
    <cfRule type="cellIs" dxfId="10415" priority="6339" operator="lessThan">
      <formula>0</formula>
    </cfRule>
    <cfRule type="cellIs" dxfId="10414" priority="6340" operator="greaterThanOrEqual">
      <formula>0</formula>
    </cfRule>
  </conditionalFormatting>
  <conditionalFormatting sqref="BB135 BB138 BB141 BB151 BB144 BB154 BB157">
    <cfRule type="cellIs" dxfId="10413" priority="6338" operator="greaterThanOrEqual">
      <formula>0</formula>
    </cfRule>
  </conditionalFormatting>
  <conditionalFormatting sqref="BB135 BB138 BB141 BB151 BB144 BB154 BB157">
    <cfRule type="cellIs" dxfId="10412" priority="6337" operator="lessThan">
      <formula>0</formula>
    </cfRule>
  </conditionalFormatting>
  <conditionalFormatting sqref="BB158:BB159 BB168:BB169">
    <cfRule type="cellIs" dxfId="10411" priority="6335" operator="lessThan">
      <formula>0</formula>
    </cfRule>
    <cfRule type="cellIs" dxfId="10410" priority="6336" operator="greaterThanOrEqual">
      <formula>0</formula>
    </cfRule>
  </conditionalFormatting>
  <conditionalFormatting sqref="AY187">
    <cfRule type="cellIs" dxfId="10409" priority="6331" operator="greaterThan">
      <formula>0</formula>
    </cfRule>
    <cfRule type="cellIs" dxfId="10408" priority="6332" operator="lessThanOrEqual">
      <formula>0</formula>
    </cfRule>
  </conditionalFormatting>
  <conditionalFormatting sqref="BB187">
    <cfRule type="cellIs" dxfId="10407" priority="6329" operator="greaterThanOrEqual">
      <formula>0</formula>
    </cfRule>
    <cfRule type="cellIs" dxfId="10406" priority="6330" operator="lessThan">
      <formula>0</formula>
    </cfRule>
  </conditionalFormatting>
  <conditionalFormatting sqref="AX187">
    <cfRule type="cellIs" dxfId="10405" priority="6327" operator="greaterThanOrEqual">
      <formula>0</formula>
    </cfRule>
    <cfRule type="cellIs" dxfId="10404" priority="6328" operator="lessThan">
      <formula>0</formula>
    </cfRule>
  </conditionalFormatting>
  <conditionalFormatting sqref="BE133:BE134 BE136:BE137 BE139:BE140 BE149:BE150 BE142:BE143 BE152:BE153 BE155:BE156 BE158:BE159 BE168:BE169">
    <cfRule type="cellIs" dxfId="10403" priority="6325" operator="lessThan">
      <formula>0</formula>
    </cfRule>
    <cfRule type="cellIs" dxfId="10402" priority="6326" operator="greaterThanOrEqual">
      <formula>0</formula>
    </cfRule>
  </conditionalFormatting>
  <conditionalFormatting sqref="BE135 BE138 BE141 BE151 BE144 BE154 BE157 BE160 BE186">
    <cfRule type="cellIs" dxfId="10401" priority="6324" operator="greaterThanOrEqual">
      <formula>0</formula>
    </cfRule>
  </conditionalFormatting>
  <conditionalFormatting sqref="BE135 BE138 BE141 BE151 BE144 BE154 BE157 BE160 BE186">
    <cfRule type="cellIs" dxfId="10400" priority="6323" operator="lessThan">
      <formula>0</formula>
    </cfRule>
  </conditionalFormatting>
  <conditionalFormatting sqref="BE187">
    <cfRule type="cellIs" dxfId="10399" priority="6321" operator="greaterThanOrEqual">
      <formula>0</formula>
    </cfRule>
    <cfRule type="cellIs" dxfId="10398" priority="6322" operator="lessThan">
      <formula>0</formula>
    </cfRule>
  </conditionalFormatting>
  <conditionalFormatting sqref="BF133:BF134">
    <cfRule type="cellIs" dxfId="10397" priority="6319" operator="greaterThan">
      <formula>0</formula>
    </cfRule>
    <cfRule type="cellIs" dxfId="10396" priority="6320" operator="lessThanOrEqual">
      <formula>0</formula>
    </cfRule>
  </conditionalFormatting>
  <conditionalFormatting sqref="BF136:BF137">
    <cfRule type="cellIs" dxfId="10395" priority="6317" operator="greaterThan">
      <formula>0</formula>
    </cfRule>
    <cfRule type="cellIs" dxfId="10394" priority="6318" operator="lessThanOrEqual">
      <formula>0</formula>
    </cfRule>
  </conditionalFormatting>
  <conditionalFormatting sqref="BF139:BF140">
    <cfRule type="cellIs" dxfId="10393" priority="6315" operator="greaterThan">
      <formula>0</formula>
    </cfRule>
    <cfRule type="cellIs" dxfId="10392" priority="6316" operator="lessThanOrEqual">
      <formula>0</formula>
    </cfRule>
  </conditionalFormatting>
  <conditionalFormatting sqref="BF149:BF150">
    <cfRule type="cellIs" dxfId="10391" priority="6313" operator="greaterThan">
      <formula>0</formula>
    </cfRule>
    <cfRule type="cellIs" dxfId="10390" priority="6314" operator="lessThanOrEqual">
      <formula>0</formula>
    </cfRule>
  </conditionalFormatting>
  <conditionalFormatting sqref="BF142:BF143">
    <cfRule type="cellIs" dxfId="10389" priority="6311" operator="greaterThan">
      <formula>0</formula>
    </cfRule>
    <cfRule type="cellIs" dxfId="10388" priority="6312" operator="lessThanOrEqual">
      <formula>0</formula>
    </cfRule>
  </conditionalFormatting>
  <conditionalFormatting sqref="BF152:BF153">
    <cfRule type="cellIs" dxfId="10387" priority="6309" operator="greaterThan">
      <formula>0</formula>
    </cfRule>
    <cfRule type="cellIs" dxfId="10386" priority="6310" operator="lessThanOrEqual">
      <formula>0</formula>
    </cfRule>
  </conditionalFormatting>
  <conditionalFormatting sqref="BF155:BF156">
    <cfRule type="cellIs" dxfId="10385" priority="6307" operator="greaterThan">
      <formula>0</formula>
    </cfRule>
    <cfRule type="cellIs" dxfId="10384" priority="6308" operator="lessThanOrEqual">
      <formula>0</formula>
    </cfRule>
  </conditionalFormatting>
  <conditionalFormatting sqref="BF158:BF159 BF168:BF169">
    <cfRule type="cellIs" dxfId="10383" priority="6305" operator="lessThan">
      <formula>0</formula>
    </cfRule>
    <cfRule type="cellIs" dxfId="10382" priority="6306" operator="greaterThanOrEqual">
      <formula>0</formula>
    </cfRule>
  </conditionalFormatting>
  <conditionalFormatting sqref="BF135 BF138 BF141 BF151 BF144 BF154 BF157 BF160 BF186">
    <cfRule type="cellIs" dxfId="10381" priority="6304" operator="greaterThanOrEqual">
      <formula>0</formula>
    </cfRule>
  </conditionalFormatting>
  <conditionalFormatting sqref="BF135 BF138 BF141 BF151 BF144 BF154 BF157 BF160 BF186">
    <cfRule type="cellIs" dxfId="10380" priority="6303" operator="lessThan">
      <formula>0</formula>
    </cfRule>
  </conditionalFormatting>
  <conditionalFormatting sqref="BF187">
    <cfRule type="cellIs" dxfId="10379" priority="6301" operator="lessThan">
      <formula>0</formula>
    </cfRule>
    <cfRule type="cellIs" dxfId="10378" priority="6302" operator="greaterThanOrEqual">
      <formula>0</formula>
    </cfRule>
  </conditionalFormatting>
  <conditionalFormatting sqref="AY172">
    <cfRule type="cellIs" dxfId="10377" priority="6299" operator="greaterThan">
      <formula>0</formula>
    </cfRule>
    <cfRule type="cellIs" dxfId="10376" priority="6300" operator="lessThanOrEqual">
      <formula>0</formula>
    </cfRule>
  </conditionalFormatting>
  <conditionalFormatting sqref="AX172">
    <cfRule type="cellIs" dxfId="10375" priority="6298" operator="greaterThanOrEqual">
      <formula>0</formula>
    </cfRule>
  </conditionalFormatting>
  <conditionalFormatting sqref="AX172">
    <cfRule type="cellIs" dxfId="10374" priority="6297" operator="lessThan">
      <formula>0</formula>
    </cfRule>
  </conditionalFormatting>
  <conditionalFormatting sqref="BB172">
    <cfRule type="cellIs" dxfId="10373" priority="6296" operator="greaterThanOrEqual">
      <formula>0</formula>
    </cfRule>
  </conditionalFormatting>
  <conditionalFormatting sqref="BB172">
    <cfRule type="cellIs" dxfId="10372" priority="6295" operator="lessThan">
      <formula>0</formula>
    </cfRule>
  </conditionalFormatting>
  <conditionalFormatting sqref="BE172">
    <cfRule type="cellIs" dxfId="10371" priority="6294" operator="greaterThanOrEqual">
      <formula>0</formula>
    </cfRule>
  </conditionalFormatting>
  <conditionalFormatting sqref="BE172">
    <cfRule type="cellIs" dxfId="10370" priority="6293" operator="lessThan">
      <formula>0</formula>
    </cfRule>
  </conditionalFormatting>
  <conditionalFormatting sqref="BF172">
    <cfRule type="cellIs" dxfId="10369" priority="6292" operator="greaterThanOrEqual">
      <formula>0</formula>
    </cfRule>
  </conditionalFormatting>
  <conditionalFormatting sqref="BF172">
    <cfRule type="cellIs" dxfId="10368" priority="6291" operator="lessThan">
      <formula>0</formula>
    </cfRule>
  </conditionalFormatting>
  <conditionalFormatting sqref="AX161">
    <cfRule type="cellIs" dxfId="10367" priority="6270" operator="greaterThanOrEqual">
      <formula>0</formula>
    </cfRule>
  </conditionalFormatting>
  <conditionalFormatting sqref="AX161">
    <cfRule type="cellIs" dxfId="10366" priority="6269" operator="lessThan">
      <formula>0</formula>
    </cfRule>
  </conditionalFormatting>
  <conditionalFormatting sqref="AY145">
    <cfRule type="cellIs" dxfId="10365" priority="6289" operator="greaterThan">
      <formula>0</formula>
    </cfRule>
    <cfRule type="cellIs" dxfId="10364" priority="6290" operator="lessThanOrEqual">
      <formula>0</formula>
    </cfRule>
  </conditionalFormatting>
  <conditionalFormatting sqref="AX145">
    <cfRule type="cellIs" dxfId="10363" priority="6288" operator="greaterThanOrEqual">
      <formula>0</formula>
    </cfRule>
  </conditionalFormatting>
  <conditionalFormatting sqref="AX145">
    <cfRule type="cellIs" dxfId="10362" priority="6287" operator="lessThan">
      <formula>0</formula>
    </cfRule>
  </conditionalFormatting>
  <conditionalFormatting sqref="BB145">
    <cfRule type="cellIs" dxfId="10361" priority="6286" operator="greaterThanOrEqual">
      <formula>0</formula>
    </cfRule>
  </conditionalFormatting>
  <conditionalFormatting sqref="BB145">
    <cfRule type="cellIs" dxfId="10360" priority="6285" operator="lessThan">
      <formula>0</formula>
    </cfRule>
  </conditionalFormatting>
  <conditionalFormatting sqref="BE145">
    <cfRule type="cellIs" dxfId="10359" priority="6284" operator="greaterThanOrEqual">
      <formula>0</formula>
    </cfRule>
  </conditionalFormatting>
  <conditionalFormatting sqref="BE145">
    <cfRule type="cellIs" dxfId="10358" priority="6283" operator="lessThan">
      <formula>0</formula>
    </cfRule>
  </conditionalFormatting>
  <conditionalFormatting sqref="BB148">
    <cfRule type="cellIs" dxfId="10357" priority="6276" operator="greaterThanOrEqual">
      <formula>0</formula>
    </cfRule>
  </conditionalFormatting>
  <conditionalFormatting sqref="BB148">
    <cfRule type="cellIs" dxfId="10356" priority="6275" operator="lessThan">
      <formula>0</formula>
    </cfRule>
  </conditionalFormatting>
  <conditionalFormatting sqref="BE164">
    <cfRule type="cellIs" dxfId="10355" priority="6232" operator="greaterThanOrEqual">
      <formula>0</formula>
    </cfRule>
  </conditionalFormatting>
  <conditionalFormatting sqref="BE164">
    <cfRule type="cellIs" dxfId="10354" priority="6231" operator="lessThan">
      <formula>0</formula>
    </cfRule>
  </conditionalFormatting>
  <conditionalFormatting sqref="BE148:BF148">
    <cfRule type="cellIs" dxfId="10353" priority="6274" operator="greaterThanOrEqual">
      <formula>0</formula>
    </cfRule>
  </conditionalFormatting>
  <conditionalFormatting sqref="BE148:BF148">
    <cfRule type="cellIs" dxfId="10352" priority="6273" operator="lessThan">
      <formula>0</formula>
    </cfRule>
  </conditionalFormatting>
  <conditionalFormatting sqref="AY167">
    <cfRule type="cellIs" dxfId="10351" priority="6227" operator="greaterThan">
      <formula>0</formula>
    </cfRule>
    <cfRule type="cellIs" dxfId="10350" priority="6228" operator="lessThanOrEqual">
      <formula>0</formula>
    </cfRule>
  </conditionalFormatting>
  <conditionalFormatting sqref="AX167">
    <cfRule type="cellIs" dxfId="10349" priority="6226" operator="greaterThanOrEqual">
      <formula>0</formula>
    </cfRule>
  </conditionalFormatting>
  <conditionalFormatting sqref="AX167">
    <cfRule type="cellIs" dxfId="10348" priority="6225" operator="lessThan">
      <formula>0</formula>
    </cfRule>
  </conditionalFormatting>
  <conditionalFormatting sqref="AY170">
    <cfRule type="cellIs" dxfId="10347" priority="6217" operator="greaterThan">
      <formula>0</formula>
    </cfRule>
    <cfRule type="cellIs" dxfId="10346" priority="6218" operator="lessThanOrEqual">
      <formula>0</formula>
    </cfRule>
  </conditionalFormatting>
  <conditionalFormatting sqref="AX170">
    <cfRule type="cellIs" dxfId="10345" priority="6216" operator="greaterThanOrEqual">
      <formula>0</formula>
    </cfRule>
  </conditionalFormatting>
  <conditionalFormatting sqref="AX170">
    <cfRule type="cellIs" dxfId="10344" priority="6215" operator="lessThan">
      <formula>0</formula>
    </cfRule>
  </conditionalFormatting>
  <conditionalFormatting sqref="BE171:BF171">
    <cfRule type="cellIs" dxfId="10343" priority="6258" operator="greaterThanOrEqual">
      <formula>0</formula>
    </cfRule>
  </conditionalFormatting>
  <conditionalFormatting sqref="BE171:BF171">
    <cfRule type="cellIs" dxfId="10342" priority="6257" operator="lessThan">
      <formula>0</formula>
    </cfRule>
  </conditionalFormatting>
  <conditionalFormatting sqref="AX179">
    <cfRule type="cellIs" dxfId="10341" priority="6206" operator="greaterThanOrEqual">
      <formula>0</formula>
    </cfRule>
  </conditionalFormatting>
  <conditionalFormatting sqref="AX179">
    <cfRule type="cellIs" dxfId="10340" priority="6205" operator="lessThan">
      <formula>0</formula>
    </cfRule>
  </conditionalFormatting>
  <conditionalFormatting sqref="AY148">
    <cfRule type="cellIs" dxfId="10339" priority="6279" operator="greaterThan">
      <formula>0</formula>
    </cfRule>
    <cfRule type="cellIs" dxfId="10338" priority="6280" operator="lessThanOrEqual">
      <formula>0</formula>
    </cfRule>
  </conditionalFormatting>
  <conditionalFormatting sqref="AX148">
    <cfRule type="cellIs" dxfId="10337" priority="6278" operator="greaterThanOrEqual">
      <formula>0</formula>
    </cfRule>
  </conditionalFormatting>
  <conditionalFormatting sqref="AX148">
    <cfRule type="cellIs" dxfId="10336" priority="6277" operator="lessThan">
      <formula>0</formula>
    </cfRule>
  </conditionalFormatting>
  <conditionalFormatting sqref="BB161">
    <cfRule type="cellIs" dxfId="10335" priority="6268" operator="greaterThanOrEqual">
      <formula>0</formula>
    </cfRule>
  </conditionalFormatting>
  <conditionalFormatting sqref="BB161">
    <cfRule type="cellIs" dxfId="10334" priority="6267" operator="lessThan">
      <formula>0</formula>
    </cfRule>
  </conditionalFormatting>
  <conditionalFormatting sqref="BE161:BF161">
    <cfRule type="cellIs" dxfId="10333" priority="6266" operator="greaterThanOrEqual">
      <formula>0</formula>
    </cfRule>
  </conditionalFormatting>
  <conditionalFormatting sqref="BE161:BF161">
    <cfRule type="cellIs" dxfId="10332" priority="6265" operator="lessThan">
      <formula>0</formula>
    </cfRule>
  </conditionalFormatting>
  <conditionalFormatting sqref="AY161">
    <cfRule type="cellIs" dxfId="10331" priority="6271" operator="greaterThan">
      <formula>0</formula>
    </cfRule>
    <cfRule type="cellIs" dxfId="10330" priority="6272" operator="lessThanOrEqual">
      <formula>0</formula>
    </cfRule>
  </conditionalFormatting>
  <conditionalFormatting sqref="BB171">
    <cfRule type="cellIs" dxfId="10329" priority="6260" operator="greaterThanOrEqual">
      <formula>0</formula>
    </cfRule>
  </conditionalFormatting>
  <conditionalFormatting sqref="BB171">
    <cfRule type="cellIs" dxfId="10328" priority="6259" operator="lessThan">
      <formula>0</formula>
    </cfRule>
  </conditionalFormatting>
  <conditionalFormatting sqref="BF164">
    <cfRule type="cellIs" dxfId="10327" priority="6229" operator="lessThan">
      <formula>0</formula>
    </cfRule>
  </conditionalFormatting>
  <conditionalFormatting sqref="BF170">
    <cfRule type="cellIs" dxfId="10326" priority="6209" operator="lessThan">
      <formula>0</formula>
    </cfRule>
  </conditionalFormatting>
  <conditionalFormatting sqref="BB164">
    <cfRule type="cellIs" dxfId="10325" priority="6234" operator="greaterThanOrEqual">
      <formula>0</formula>
    </cfRule>
  </conditionalFormatting>
  <conditionalFormatting sqref="BB164">
    <cfRule type="cellIs" dxfId="10324" priority="6233" operator="lessThan">
      <formula>0</formula>
    </cfRule>
  </conditionalFormatting>
  <conditionalFormatting sqref="BF164">
    <cfRule type="cellIs" dxfId="10323" priority="6230" operator="greaterThanOrEqual">
      <formula>0</formula>
    </cfRule>
  </conditionalFormatting>
  <conditionalFormatting sqref="BF179">
    <cfRule type="cellIs" dxfId="10322" priority="6199" operator="lessThan">
      <formula>0</formula>
    </cfRule>
  </conditionalFormatting>
  <conditionalFormatting sqref="AY162:AY163 AY165:AY166">
    <cfRule type="cellIs" dxfId="10321" priority="6255" operator="greaterThan">
      <formula>0</formula>
    </cfRule>
    <cfRule type="cellIs" dxfId="10320" priority="6256" operator="lessThanOrEqual">
      <formula>0</formula>
    </cfRule>
  </conditionalFormatting>
  <conditionalFormatting sqref="AX162:AX163 AX165:AX166">
    <cfRule type="cellIs" dxfId="10319" priority="6253" operator="lessThan">
      <formula>0</formula>
    </cfRule>
    <cfRule type="cellIs" dxfId="10318" priority="6254" operator="greaterThanOrEqual">
      <formula>0</formula>
    </cfRule>
  </conditionalFormatting>
  <conditionalFormatting sqref="BB162:BB163 BB165:BB166">
    <cfRule type="cellIs" dxfId="10317" priority="6251" operator="lessThan">
      <formula>0</formula>
    </cfRule>
    <cfRule type="cellIs" dxfId="10316" priority="6252" operator="greaterThanOrEqual">
      <formula>0</formula>
    </cfRule>
  </conditionalFormatting>
  <conditionalFormatting sqref="BE162:BE163 BE165:BE166">
    <cfRule type="cellIs" dxfId="10315" priority="6249" operator="lessThan">
      <formula>0</formula>
    </cfRule>
    <cfRule type="cellIs" dxfId="10314" priority="6250" operator="greaterThanOrEqual">
      <formula>0</formula>
    </cfRule>
  </conditionalFormatting>
  <conditionalFormatting sqref="BF162:BF163 BF165:BF166">
    <cfRule type="cellIs" dxfId="10313" priority="6247" operator="lessThan">
      <formula>0</formula>
    </cfRule>
    <cfRule type="cellIs" dxfId="10312" priority="6248" operator="greaterThanOrEqual">
      <formula>0</formula>
    </cfRule>
  </conditionalFormatting>
  <conditionalFormatting sqref="BB177:BB178 BB180:BB181">
    <cfRule type="cellIs" dxfId="10311" priority="6241" operator="lessThan">
      <formula>0</formula>
    </cfRule>
    <cfRule type="cellIs" dxfId="10310" priority="6242" operator="greaterThanOrEqual">
      <formula>0</formula>
    </cfRule>
  </conditionalFormatting>
  <conditionalFormatting sqref="BE177:BF178 BE180:BF181">
    <cfRule type="cellIs" dxfId="10309" priority="6239" operator="lessThan">
      <formula>0</formula>
    </cfRule>
    <cfRule type="cellIs" dxfId="10308" priority="6240" operator="greaterThanOrEqual">
      <formula>0</formula>
    </cfRule>
  </conditionalFormatting>
  <conditionalFormatting sqref="AY177:AY178 AY180:AY181">
    <cfRule type="cellIs" dxfId="10307" priority="6245" operator="greaterThan">
      <formula>0</formula>
    </cfRule>
    <cfRule type="cellIs" dxfId="10306" priority="6246" operator="lessThanOrEqual">
      <formula>0</formula>
    </cfRule>
  </conditionalFormatting>
  <conditionalFormatting sqref="AX177:AX178 AX180:AX181">
    <cfRule type="cellIs" dxfId="10305" priority="6243" operator="lessThan">
      <formula>0</formula>
    </cfRule>
    <cfRule type="cellIs" dxfId="10304" priority="6244" operator="greaterThanOrEqual">
      <formula>0</formula>
    </cfRule>
  </conditionalFormatting>
  <conditionalFormatting sqref="AY179">
    <cfRule type="cellIs" dxfId="10303" priority="6207" operator="greaterThan">
      <formula>0</formula>
    </cfRule>
    <cfRule type="cellIs" dxfId="10302" priority="6208" operator="lessThanOrEqual">
      <formula>0</formula>
    </cfRule>
  </conditionalFormatting>
  <conditionalFormatting sqref="AX182">
    <cfRule type="cellIs" dxfId="10301" priority="6196" operator="greaterThanOrEqual">
      <formula>0</formula>
    </cfRule>
  </conditionalFormatting>
  <conditionalFormatting sqref="AX182">
    <cfRule type="cellIs" dxfId="10300" priority="6195" operator="lessThan">
      <formula>0</formula>
    </cfRule>
  </conditionalFormatting>
  <conditionalFormatting sqref="BB167">
    <cfRule type="cellIs" dxfId="10299" priority="6224" operator="greaterThanOrEqual">
      <formula>0</formula>
    </cfRule>
  </conditionalFormatting>
  <conditionalFormatting sqref="BB167">
    <cfRule type="cellIs" dxfId="10298" priority="6223" operator="lessThan">
      <formula>0</formula>
    </cfRule>
  </conditionalFormatting>
  <conditionalFormatting sqref="BE167">
    <cfRule type="cellIs" dxfId="10297" priority="6222" operator="greaterThanOrEqual">
      <formula>0</formula>
    </cfRule>
  </conditionalFormatting>
  <conditionalFormatting sqref="BE167">
    <cfRule type="cellIs" dxfId="10296" priority="6221" operator="lessThan">
      <formula>0</formula>
    </cfRule>
  </conditionalFormatting>
  <conditionalFormatting sqref="BF182">
    <cfRule type="cellIs" dxfId="10295" priority="6189" operator="lessThan">
      <formula>0</formula>
    </cfRule>
  </conditionalFormatting>
  <conditionalFormatting sqref="AY182">
    <cfRule type="cellIs" dxfId="10294" priority="6197" operator="greaterThan">
      <formula>0</formula>
    </cfRule>
    <cfRule type="cellIs" dxfId="10293" priority="6198" operator="lessThanOrEqual">
      <formula>0</formula>
    </cfRule>
  </conditionalFormatting>
  <conditionalFormatting sqref="AX185">
    <cfRule type="cellIs" dxfId="10292" priority="6186" operator="greaterThanOrEqual">
      <formula>0</formula>
    </cfRule>
  </conditionalFormatting>
  <conditionalFormatting sqref="AX185">
    <cfRule type="cellIs" dxfId="10291" priority="6185" operator="lessThan">
      <formula>0</formula>
    </cfRule>
  </conditionalFormatting>
  <conditionalFormatting sqref="BE170">
    <cfRule type="cellIs" dxfId="10290" priority="6212" operator="greaterThanOrEqual">
      <formula>0</formula>
    </cfRule>
  </conditionalFormatting>
  <conditionalFormatting sqref="BE170">
    <cfRule type="cellIs" dxfId="10289" priority="6211" operator="lessThan">
      <formula>0</formula>
    </cfRule>
  </conditionalFormatting>
  <conditionalFormatting sqref="BF185">
    <cfRule type="cellIs" dxfId="10288" priority="6179" operator="lessThan">
      <formula>0</formula>
    </cfRule>
  </conditionalFormatting>
  <conditionalFormatting sqref="BB170">
    <cfRule type="cellIs" dxfId="10287" priority="6214" operator="greaterThanOrEqual">
      <formula>0</formula>
    </cfRule>
  </conditionalFormatting>
  <conditionalFormatting sqref="BB170">
    <cfRule type="cellIs" dxfId="10286" priority="6213" operator="lessThan">
      <formula>0</formula>
    </cfRule>
  </conditionalFormatting>
  <conditionalFormatting sqref="BF170">
    <cfRule type="cellIs" dxfId="10285" priority="6210" operator="greaterThanOrEqual">
      <formula>0</formula>
    </cfRule>
  </conditionalFormatting>
  <conditionalFormatting sqref="AY185">
    <cfRule type="cellIs" dxfId="10284" priority="6187" operator="greaterThan">
      <formula>0</formula>
    </cfRule>
    <cfRule type="cellIs" dxfId="10283" priority="6188" operator="lessThanOrEqual">
      <formula>0</formula>
    </cfRule>
  </conditionalFormatting>
  <conditionalFormatting sqref="BB179">
    <cfRule type="cellIs" dxfId="10282" priority="6204" operator="greaterThanOrEqual">
      <formula>0</formula>
    </cfRule>
  </conditionalFormatting>
  <conditionalFormatting sqref="BB179">
    <cfRule type="cellIs" dxfId="10281" priority="6203" operator="lessThan">
      <formula>0</formula>
    </cfRule>
  </conditionalFormatting>
  <conditionalFormatting sqref="BE179">
    <cfRule type="cellIs" dxfId="10280" priority="6202" operator="greaterThanOrEqual">
      <formula>0</formula>
    </cfRule>
  </conditionalFormatting>
  <conditionalFormatting sqref="BE179">
    <cfRule type="cellIs" dxfId="10279" priority="6201" operator="lessThan">
      <formula>0</formula>
    </cfRule>
  </conditionalFormatting>
  <conditionalFormatting sqref="BF179">
    <cfRule type="cellIs" dxfId="10278" priority="6200" operator="greaterThanOrEqual">
      <formula>0</formula>
    </cfRule>
  </conditionalFormatting>
  <conditionalFormatting sqref="BE182">
    <cfRule type="cellIs" dxfId="10277" priority="6192" operator="greaterThanOrEqual">
      <formula>0</formula>
    </cfRule>
  </conditionalFormatting>
  <conditionalFormatting sqref="BE182">
    <cfRule type="cellIs" dxfId="10276" priority="6191" operator="lessThan">
      <formula>0</formula>
    </cfRule>
  </conditionalFormatting>
  <conditionalFormatting sqref="BF182">
    <cfRule type="cellIs" dxfId="10275" priority="6190" operator="greaterThanOrEqual">
      <formula>0</formula>
    </cfRule>
  </conditionalFormatting>
  <conditionalFormatting sqref="BE185">
    <cfRule type="cellIs" dxfId="10274" priority="6182" operator="greaterThanOrEqual">
      <formula>0</formula>
    </cfRule>
  </conditionalFormatting>
  <conditionalFormatting sqref="BE185">
    <cfRule type="cellIs" dxfId="10273" priority="6181" operator="lessThan">
      <formula>0</formula>
    </cfRule>
  </conditionalFormatting>
  <conditionalFormatting sqref="BF185">
    <cfRule type="cellIs" dxfId="10272" priority="6180" operator="greaterThanOrEqual">
      <formula>0</formula>
    </cfRule>
  </conditionalFormatting>
  <conditionalFormatting sqref="AY25">
    <cfRule type="cellIs" dxfId="10271" priority="6177" operator="greaterThan">
      <formula>0</formula>
    </cfRule>
    <cfRule type="cellIs" dxfId="10270" priority="6178" operator="lessThanOrEqual">
      <formula>0</formula>
    </cfRule>
  </conditionalFormatting>
  <conditionalFormatting sqref="BF52">
    <cfRule type="cellIs" dxfId="10269" priority="6165" operator="lessThan">
      <formula>0</formula>
    </cfRule>
  </conditionalFormatting>
  <conditionalFormatting sqref="AY56">
    <cfRule type="cellIs" dxfId="10268" priority="6175" operator="greaterThan">
      <formula>0</formula>
    </cfRule>
    <cfRule type="cellIs" dxfId="10267" priority="6176" operator="lessThanOrEqual">
      <formula>0</formula>
    </cfRule>
  </conditionalFormatting>
  <conditionalFormatting sqref="AX56">
    <cfRule type="cellIs" dxfId="10266" priority="6174" operator="greaterThanOrEqual">
      <formula>0</formula>
    </cfRule>
  </conditionalFormatting>
  <conditionalFormatting sqref="AX56">
    <cfRule type="cellIs" dxfId="10265" priority="6173" operator="lessThan">
      <formula>0</formula>
    </cfRule>
  </conditionalFormatting>
  <conditionalFormatting sqref="AY52">
    <cfRule type="cellIs" dxfId="10264" priority="6171" operator="greaterThan">
      <formula>0</formula>
    </cfRule>
    <cfRule type="cellIs" dxfId="10263" priority="6172" operator="lessThanOrEqual">
      <formula>0</formula>
    </cfRule>
  </conditionalFormatting>
  <conditionalFormatting sqref="AX52">
    <cfRule type="cellIs" dxfId="10262" priority="6170" operator="greaterThanOrEqual">
      <formula>0</formula>
    </cfRule>
  </conditionalFormatting>
  <conditionalFormatting sqref="AX52">
    <cfRule type="cellIs" dxfId="10261" priority="6169" operator="lessThan">
      <formula>0</formula>
    </cfRule>
  </conditionalFormatting>
  <conditionalFormatting sqref="BE52">
    <cfRule type="cellIs" dxfId="10260" priority="6168" operator="greaterThanOrEqual">
      <formula>0</formula>
    </cfRule>
  </conditionalFormatting>
  <conditionalFormatting sqref="BE52">
    <cfRule type="cellIs" dxfId="10259" priority="6167" operator="lessThan">
      <formula>0</formula>
    </cfRule>
  </conditionalFormatting>
  <conditionalFormatting sqref="BF52">
    <cfRule type="cellIs" dxfId="10258" priority="6166" operator="greaterThanOrEqual">
      <formula>0</formula>
    </cfRule>
  </conditionalFormatting>
  <conditionalFormatting sqref="AY69">
    <cfRule type="cellIs" dxfId="10257" priority="6163" operator="greaterThan">
      <formula>0</formula>
    </cfRule>
    <cfRule type="cellIs" dxfId="10256" priority="6164" operator="lessThanOrEqual">
      <formula>0</formula>
    </cfRule>
  </conditionalFormatting>
  <conditionalFormatting sqref="BE69">
    <cfRule type="cellIs" dxfId="10255" priority="6161" operator="lessThan">
      <formula>0</formula>
    </cfRule>
    <cfRule type="cellIs" dxfId="10254" priority="6162" operator="greaterThanOrEqual">
      <formula>0</formula>
    </cfRule>
  </conditionalFormatting>
  <conditionalFormatting sqref="BF69">
    <cfRule type="cellIs" dxfId="10253" priority="6159" operator="lessThan">
      <formula>0</formula>
    </cfRule>
    <cfRule type="cellIs" dxfId="10252" priority="6160" operator="greaterThanOrEqual">
      <formula>0</formula>
    </cfRule>
  </conditionalFormatting>
  <conditionalFormatting sqref="AY70">
    <cfRule type="cellIs" dxfId="10251" priority="6157" operator="greaterThan">
      <formula>0</formula>
    </cfRule>
    <cfRule type="cellIs" dxfId="10250" priority="6158" operator="lessThanOrEqual">
      <formula>0</formula>
    </cfRule>
  </conditionalFormatting>
  <conditionalFormatting sqref="BE72">
    <cfRule type="cellIs" dxfId="10249" priority="6155" operator="lessThan">
      <formula>0</formula>
    </cfRule>
    <cfRule type="cellIs" dxfId="10248" priority="6156" operator="greaterThanOrEqual">
      <formula>0</formula>
    </cfRule>
  </conditionalFormatting>
  <conditionalFormatting sqref="AY72">
    <cfRule type="cellIs" dxfId="10247" priority="6153" operator="greaterThan">
      <formula>0</formula>
    </cfRule>
    <cfRule type="cellIs" dxfId="10246" priority="6154" operator="lessThanOrEqual">
      <formula>0</formula>
    </cfRule>
  </conditionalFormatting>
  <conditionalFormatting sqref="AX25">
    <cfRule type="cellIs" dxfId="10245" priority="6152" operator="greaterThanOrEqual">
      <formula>0</formula>
    </cfRule>
  </conditionalFormatting>
  <conditionalFormatting sqref="AX25">
    <cfRule type="cellIs" dxfId="10244" priority="6151" operator="lessThan">
      <formula>0</formula>
    </cfRule>
  </conditionalFormatting>
  <conditionalFormatting sqref="AX28">
    <cfRule type="cellIs" dxfId="10243" priority="6150" operator="greaterThanOrEqual">
      <formula>0</formula>
    </cfRule>
  </conditionalFormatting>
  <conditionalFormatting sqref="AX28">
    <cfRule type="cellIs" dxfId="10242" priority="6149" operator="lessThan">
      <formula>0</formula>
    </cfRule>
  </conditionalFormatting>
  <conditionalFormatting sqref="AX41">
    <cfRule type="cellIs" dxfId="10241" priority="6148" operator="greaterThanOrEqual">
      <formula>0</formula>
    </cfRule>
  </conditionalFormatting>
  <conditionalFormatting sqref="AX41">
    <cfRule type="cellIs" dxfId="10240" priority="6147" operator="lessThan">
      <formula>0</formula>
    </cfRule>
  </conditionalFormatting>
  <conditionalFormatting sqref="AX44">
    <cfRule type="cellIs" dxfId="10239" priority="6146" operator="greaterThanOrEqual">
      <formula>0</formula>
    </cfRule>
  </conditionalFormatting>
  <conditionalFormatting sqref="AX44">
    <cfRule type="cellIs" dxfId="10238" priority="6145" operator="lessThan">
      <formula>0</formula>
    </cfRule>
  </conditionalFormatting>
  <conditionalFormatting sqref="AX47">
    <cfRule type="cellIs" dxfId="10237" priority="6144" operator="greaterThanOrEqual">
      <formula>0</formula>
    </cfRule>
  </conditionalFormatting>
  <conditionalFormatting sqref="AX47">
    <cfRule type="cellIs" dxfId="10236" priority="6143" operator="lessThan">
      <formula>0</formula>
    </cfRule>
  </conditionalFormatting>
  <conditionalFormatting sqref="AX50">
    <cfRule type="cellIs" dxfId="10235" priority="6142" operator="greaterThanOrEqual">
      <formula>0</formula>
    </cfRule>
  </conditionalFormatting>
  <conditionalFormatting sqref="AX50">
    <cfRule type="cellIs" dxfId="10234" priority="6141" operator="lessThan">
      <formula>0</formula>
    </cfRule>
  </conditionalFormatting>
  <conditionalFormatting sqref="AX51">
    <cfRule type="cellIs" dxfId="10233" priority="6140" operator="greaterThanOrEqual">
      <formula>0</formula>
    </cfRule>
  </conditionalFormatting>
  <conditionalFormatting sqref="AX51">
    <cfRule type="cellIs" dxfId="10232" priority="6139" operator="lessThan">
      <formula>0</formula>
    </cfRule>
  </conditionalFormatting>
  <conditionalFormatting sqref="AX59">
    <cfRule type="cellIs" dxfId="10231" priority="6138" operator="greaterThanOrEqual">
      <formula>0</formula>
    </cfRule>
  </conditionalFormatting>
  <conditionalFormatting sqref="AX59">
    <cfRule type="cellIs" dxfId="10230" priority="6137" operator="lessThan">
      <formula>0</formula>
    </cfRule>
  </conditionalFormatting>
  <conditionalFormatting sqref="AX65">
    <cfRule type="cellIs" dxfId="10229" priority="6136" operator="greaterThanOrEqual">
      <formula>0</formula>
    </cfRule>
  </conditionalFormatting>
  <conditionalFormatting sqref="AX65">
    <cfRule type="cellIs" dxfId="10228" priority="6135" operator="lessThan">
      <formula>0</formula>
    </cfRule>
  </conditionalFormatting>
  <conditionalFormatting sqref="AX66">
    <cfRule type="cellIs" dxfId="10227" priority="6134" operator="greaterThanOrEqual">
      <formula>0</formula>
    </cfRule>
  </conditionalFormatting>
  <conditionalFormatting sqref="AX66">
    <cfRule type="cellIs" dxfId="10226" priority="6133" operator="lessThan">
      <formula>0</formula>
    </cfRule>
  </conditionalFormatting>
  <conditionalFormatting sqref="AX68:AX70">
    <cfRule type="cellIs" dxfId="10225" priority="6131" operator="lessThan">
      <formula>0</formula>
    </cfRule>
    <cfRule type="cellIs" dxfId="10224" priority="6132" operator="greaterThanOrEqual">
      <formula>0</formula>
    </cfRule>
  </conditionalFormatting>
  <conditionalFormatting sqref="AX71:AX72">
    <cfRule type="cellIs" dxfId="10223" priority="6130" operator="greaterThanOrEqual">
      <formula>0</formula>
    </cfRule>
  </conditionalFormatting>
  <conditionalFormatting sqref="AX71:AX72">
    <cfRule type="cellIs" dxfId="10222" priority="6129" operator="lessThan">
      <formula>0</formula>
    </cfRule>
  </conditionalFormatting>
  <conditionalFormatting sqref="AX73">
    <cfRule type="cellIs" dxfId="10221" priority="6128" operator="greaterThanOrEqual">
      <formula>0</formula>
    </cfRule>
  </conditionalFormatting>
  <conditionalFormatting sqref="AX73">
    <cfRule type="cellIs" dxfId="10220" priority="6127" operator="lessThan">
      <formula>0</formula>
    </cfRule>
  </conditionalFormatting>
  <conditionalFormatting sqref="AX42:AX43">
    <cfRule type="cellIs" dxfId="10219" priority="6125" operator="lessThan">
      <formula>0</formula>
    </cfRule>
    <cfRule type="cellIs" dxfId="10218" priority="6126" operator="greaterThanOrEqual">
      <formula>0</formula>
    </cfRule>
  </conditionalFormatting>
  <conditionalFormatting sqref="AX45:AX46">
    <cfRule type="cellIs" dxfId="10217" priority="6123" operator="lessThan">
      <formula>0</formula>
    </cfRule>
    <cfRule type="cellIs" dxfId="10216" priority="6124" operator="greaterThanOrEqual">
      <formula>0</formula>
    </cfRule>
  </conditionalFormatting>
  <conditionalFormatting sqref="AX57:AX58">
    <cfRule type="cellIs" dxfId="10215" priority="6121" operator="lessThan">
      <formula>0</formula>
    </cfRule>
    <cfRule type="cellIs" dxfId="10214" priority="6122" operator="greaterThanOrEqual">
      <formula>0</formula>
    </cfRule>
  </conditionalFormatting>
  <conditionalFormatting sqref="AX60:AX61">
    <cfRule type="cellIs" dxfId="10213" priority="6119" operator="lessThan">
      <formula>0</formula>
    </cfRule>
    <cfRule type="cellIs" dxfId="10212" priority="6120" operator="greaterThanOrEqual">
      <formula>0</formula>
    </cfRule>
  </conditionalFormatting>
  <conditionalFormatting sqref="AX63:AX64">
    <cfRule type="cellIs" dxfId="10211" priority="6117" operator="lessThan">
      <formula>0</formula>
    </cfRule>
    <cfRule type="cellIs" dxfId="10210" priority="6118" operator="greaterThanOrEqual">
      <formula>0</formula>
    </cfRule>
  </conditionalFormatting>
  <conditionalFormatting sqref="BC13:BC14">
    <cfRule type="cellIs" dxfId="10209" priority="6115" operator="greaterThan">
      <formula>0</formula>
    </cfRule>
    <cfRule type="cellIs" dxfId="10208" priority="6116" operator="lessThanOrEqual">
      <formula>0</formula>
    </cfRule>
  </conditionalFormatting>
  <conditionalFormatting sqref="BC16:BC17">
    <cfRule type="cellIs" dxfId="10207" priority="6113" operator="greaterThan">
      <formula>0</formula>
    </cfRule>
    <cfRule type="cellIs" dxfId="10206" priority="6114" operator="lessThanOrEqual">
      <formula>0</formula>
    </cfRule>
  </conditionalFormatting>
  <conditionalFormatting sqref="BC19:BC20">
    <cfRule type="cellIs" dxfId="10205" priority="6111" operator="greaterThan">
      <formula>0</formula>
    </cfRule>
    <cfRule type="cellIs" dxfId="10204" priority="6112" operator="lessThanOrEqual">
      <formula>0</formula>
    </cfRule>
  </conditionalFormatting>
  <conditionalFormatting sqref="BC29:BC30">
    <cfRule type="cellIs" dxfId="10203" priority="6109" operator="greaterThan">
      <formula>0</formula>
    </cfRule>
    <cfRule type="cellIs" dxfId="10202" priority="6110" operator="lessThanOrEqual">
      <formula>0</formula>
    </cfRule>
  </conditionalFormatting>
  <conditionalFormatting sqref="BC22:BC23">
    <cfRule type="cellIs" dxfId="10201" priority="6107" operator="greaterThan">
      <formula>0</formula>
    </cfRule>
    <cfRule type="cellIs" dxfId="10200" priority="6108" operator="lessThanOrEqual">
      <formula>0</formula>
    </cfRule>
  </conditionalFormatting>
  <conditionalFormatting sqref="BC32:BC33">
    <cfRule type="cellIs" dxfId="10199" priority="6105" operator="greaterThan">
      <formula>0</formula>
    </cfRule>
    <cfRule type="cellIs" dxfId="10198" priority="6106" operator="lessThanOrEqual">
      <formula>0</formula>
    </cfRule>
  </conditionalFormatting>
  <conditionalFormatting sqref="BC35:BC36">
    <cfRule type="cellIs" dxfId="10197" priority="6103" operator="greaterThan">
      <formula>0</formula>
    </cfRule>
    <cfRule type="cellIs" dxfId="10196" priority="6104" operator="lessThanOrEqual">
      <formula>0</formula>
    </cfRule>
  </conditionalFormatting>
  <conditionalFormatting sqref="BC38:BC39">
    <cfRule type="cellIs" dxfId="10195" priority="6101" operator="greaterThan">
      <formula>0</formula>
    </cfRule>
    <cfRule type="cellIs" dxfId="10194" priority="6102" operator="lessThanOrEqual">
      <formula>0</formula>
    </cfRule>
  </conditionalFormatting>
  <conditionalFormatting sqref="BC48:BC49">
    <cfRule type="cellIs" dxfId="10193" priority="6099" operator="greaterThan">
      <formula>0</formula>
    </cfRule>
    <cfRule type="cellIs" dxfId="10192" priority="6100" operator="lessThanOrEqual">
      <formula>0</formula>
    </cfRule>
  </conditionalFormatting>
  <conditionalFormatting sqref="BC63:BC64">
    <cfRule type="cellIs" dxfId="10191" priority="6097" operator="greaterThan">
      <formula>0</formula>
    </cfRule>
    <cfRule type="cellIs" dxfId="10190" priority="6098" operator="lessThanOrEqual">
      <formula>0</formula>
    </cfRule>
  </conditionalFormatting>
  <conditionalFormatting sqref="BC53:BC54">
    <cfRule type="cellIs" dxfId="10189" priority="6095" operator="greaterThan">
      <formula>0</formula>
    </cfRule>
    <cfRule type="cellIs" dxfId="10188" priority="6096" operator="lessThanOrEqual">
      <formula>0</formula>
    </cfRule>
  </conditionalFormatting>
  <conditionalFormatting sqref="BC15">
    <cfRule type="cellIs" dxfId="10187" priority="6093" operator="greaterThan">
      <formula>0</formula>
    </cfRule>
    <cfRule type="cellIs" dxfId="10186" priority="6094" operator="lessThanOrEqual">
      <formula>0</formula>
    </cfRule>
  </conditionalFormatting>
  <conditionalFormatting sqref="BC18">
    <cfRule type="cellIs" dxfId="10185" priority="6091" operator="greaterThan">
      <formula>0</formula>
    </cfRule>
    <cfRule type="cellIs" dxfId="10184" priority="6092" operator="lessThanOrEqual">
      <formula>0</formula>
    </cfRule>
  </conditionalFormatting>
  <conditionalFormatting sqref="BC21">
    <cfRule type="cellIs" dxfId="10183" priority="6089" operator="greaterThan">
      <formula>0</formula>
    </cfRule>
    <cfRule type="cellIs" dxfId="10182" priority="6090" operator="lessThanOrEqual">
      <formula>0</formula>
    </cfRule>
  </conditionalFormatting>
  <conditionalFormatting sqref="BC31">
    <cfRule type="cellIs" dxfId="10181" priority="6087" operator="greaterThan">
      <formula>0</formula>
    </cfRule>
    <cfRule type="cellIs" dxfId="10180" priority="6088" operator="lessThanOrEqual">
      <formula>0</formula>
    </cfRule>
  </conditionalFormatting>
  <conditionalFormatting sqref="BC24">
    <cfRule type="cellIs" dxfId="10179" priority="6085" operator="greaterThan">
      <formula>0</formula>
    </cfRule>
    <cfRule type="cellIs" dxfId="10178" priority="6086" operator="lessThanOrEqual">
      <formula>0</formula>
    </cfRule>
  </conditionalFormatting>
  <conditionalFormatting sqref="BC34">
    <cfRule type="cellIs" dxfId="10177" priority="6083" operator="greaterThan">
      <formula>0</formula>
    </cfRule>
    <cfRule type="cellIs" dxfId="10176" priority="6084" operator="lessThanOrEqual">
      <formula>0</formula>
    </cfRule>
  </conditionalFormatting>
  <conditionalFormatting sqref="BC37">
    <cfRule type="cellIs" dxfId="10175" priority="6081" operator="greaterThan">
      <formula>0</formula>
    </cfRule>
    <cfRule type="cellIs" dxfId="10174" priority="6082" operator="lessThanOrEqual">
      <formula>0</formula>
    </cfRule>
  </conditionalFormatting>
  <conditionalFormatting sqref="BC40">
    <cfRule type="cellIs" dxfId="10173" priority="6079" operator="greaterThan">
      <formula>0</formula>
    </cfRule>
    <cfRule type="cellIs" dxfId="10172" priority="6080" operator="lessThanOrEqual">
      <formula>0</formula>
    </cfRule>
  </conditionalFormatting>
  <conditionalFormatting sqref="BC26">
    <cfRule type="cellIs" dxfId="10171" priority="6077" operator="greaterThan">
      <formula>0</formula>
    </cfRule>
    <cfRule type="cellIs" dxfId="10170" priority="6078" operator="lessThanOrEqual">
      <formula>0</formula>
    </cfRule>
  </conditionalFormatting>
  <conditionalFormatting sqref="BC66">
    <cfRule type="cellIs" dxfId="10169" priority="6075" operator="greaterThan">
      <formula>0</formula>
    </cfRule>
    <cfRule type="cellIs" dxfId="10168" priority="6076" operator="lessThanOrEqual">
      <formula>0</formula>
    </cfRule>
  </conditionalFormatting>
  <conditionalFormatting sqref="BB13:BB14 BB16:BB17 BB19:BB20 BB22:BB23 BB29:BB30 BB32:BB33 BB35:BB36 BB38:BB39 BB48:BB49 BB53:BB54">
    <cfRule type="cellIs" dxfId="10167" priority="6073" operator="lessThan">
      <formula>0</formula>
    </cfRule>
    <cfRule type="cellIs" dxfId="10166" priority="6074" operator="greaterThanOrEqual">
      <formula>0</formula>
    </cfRule>
  </conditionalFormatting>
  <conditionalFormatting sqref="BB15 BB18 BB21 BB24 BB26 BB31 BB34 BB37 BB40">
    <cfRule type="cellIs" dxfId="10165" priority="6072" operator="greaterThanOrEqual">
      <formula>0</formula>
    </cfRule>
  </conditionalFormatting>
  <conditionalFormatting sqref="BB15 BB18 BB21 BB24 BB26 BB31 BB34 BB37 BB40">
    <cfRule type="cellIs" dxfId="10164" priority="6071" operator="lessThan">
      <formula>0</formula>
    </cfRule>
  </conditionalFormatting>
  <conditionalFormatting sqref="BC51">
    <cfRule type="cellIs" dxfId="10163" priority="6065" operator="greaterThan">
      <formula>0</formula>
    </cfRule>
    <cfRule type="cellIs" dxfId="10162" priority="6066" operator="lessThanOrEqual">
      <formula>0</formula>
    </cfRule>
  </conditionalFormatting>
  <conditionalFormatting sqref="BC44">
    <cfRule type="cellIs" dxfId="10161" priority="6059" operator="greaterThan">
      <formula>0</formula>
    </cfRule>
    <cfRule type="cellIs" dxfId="10160" priority="6060" operator="lessThanOrEqual">
      <formula>0</formula>
    </cfRule>
  </conditionalFormatting>
  <conditionalFormatting sqref="BC50">
    <cfRule type="cellIs" dxfId="10159" priority="6055" operator="greaterThan">
      <formula>0</formula>
    </cfRule>
    <cfRule type="cellIs" dxfId="10158" priority="6056" operator="lessThanOrEqual">
      <formula>0</formula>
    </cfRule>
  </conditionalFormatting>
  <conditionalFormatting sqref="BC28">
    <cfRule type="cellIs" dxfId="10157" priority="6069" operator="greaterThan">
      <formula>0</formula>
    </cfRule>
    <cfRule type="cellIs" dxfId="10156" priority="6070" operator="lessThanOrEqual">
      <formula>0</formula>
    </cfRule>
  </conditionalFormatting>
  <conditionalFormatting sqref="BC41">
    <cfRule type="cellIs" dxfId="10155" priority="6067" operator="greaterThan">
      <formula>0</formula>
    </cfRule>
    <cfRule type="cellIs" dxfId="10154" priority="6068" operator="lessThanOrEqual">
      <formula>0</formula>
    </cfRule>
  </conditionalFormatting>
  <conditionalFormatting sqref="BC42:BC43 BC45:BC46">
    <cfRule type="cellIs" dxfId="10153" priority="6063" operator="greaterThan">
      <formula>0</formula>
    </cfRule>
    <cfRule type="cellIs" dxfId="10152" priority="6064" operator="lessThanOrEqual">
      <formula>0</formula>
    </cfRule>
  </conditionalFormatting>
  <conditionalFormatting sqref="BC57:BC58 BC60:BC61">
    <cfRule type="cellIs" dxfId="10151" priority="6061" operator="greaterThan">
      <formula>0</formula>
    </cfRule>
    <cfRule type="cellIs" dxfId="10150" priority="6062" operator="lessThanOrEqual">
      <formula>0</formula>
    </cfRule>
  </conditionalFormatting>
  <conditionalFormatting sqref="BC62">
    <cfRule type="cellIs" dxfId="10149" priority="6051" operator="greaterThan">
      <formula>0</formula>
    </cfRule>
    <cfRule type="cellIs" dxfId="10148" priority="6052" operator="lessThanOrEqual">
      <formula>0</formula>
    </cfRule>
  </conditionalFormatting>
  <conditionalFormatting sqref="BC65">
    <cfRule type="cellIs" dxfId="10147" priority="6047" operator="greaterThan">
      <formula>0</formula>
    </cfRule>
    <cfRule type="cellIs" dxfId="10146" priority="6048" operator="lessThanOrEqual">
      <formula>0</formula>
    </cfRule>
  </conditionalFormatting>
  <conditionalFormatting sqref="BC25">
    <cfRule type="cellIs" dxfId="10145" priority="6045" operator="greaterThan">
      <formula>0</formula>
    </cfRule>
    <cfRule type="cellIs" dxfId="10144" priority="6046" operator="lessThanOrEqual">
      <formula>0</formula>
    </cfRule>
  </conditionalFormatting>
  <conditionalFormatting sqref="BC56">
    <cfRule type="cellIs" dxfId="10143" priority="6043" operator="greaterThan">
      <formula>0</formula>
    </cfRule>
    <cfRule type="cellIs" dxfId="10142" priority="6044" operator="lessThanOrEqual">
      <formula>0</formula>
    </cfRule>
  </conditionalFormatting>
  <conditionalFormatting sqref="BB56">
    <cfRule type="cellIs" dxfId="10141" priority="6042" operator="greaterThanOrEqual">
      <formula>0</formula>
    </cfRule>
  </conditionalFormatting>
  <conditionalFormatting sqref="BB56">
    <cfRule type="cellIs" dxfId="10140" priority="6041" operator="lessThan">
      <formula>0</formula>
    </cfRule>
  </conditionalFormatting>
  <conditionalFormatting sqref="BC52">
    <cfRule type="cellIs" dxfId="10139" priority="6039" operator="greaterThan">
      <formula>0</formula>
    </cfRule>
    <cfRule type="cellIs" dxfId="10138" priority="6040" operator="lessThanOrEqual">
      <formula>0</formula>
    </cfRule>
  </conditionalFormatting>
  <conditionalFormatting sqref="BB52">
    <cfRule type="cellIs" dxfId="10137" priority="6038" operator="greaterThanOrEqual">
      <formula>0</formula>
    </cfRule>
  </conditionalFormatting>
  <conditionalFormatting sqref="BB52">
    <cfRule type="cellIs" dxfId="10136" priority="6037" operator="lessThan">
      <formula>0</formula>
    </cfRule>
  </conditionalFormatting>
  <conditionalFormatting sqref="BB25">
    <cfRule type="cellIs" dxfId="10135" priority="6036" operator="greaterThanOrEqual">
      <formula>0</formula>
    </cfRule>
  </conditionalFormatting>
  <conditionalFormatting sqref="BB25">
    <cfRule type="cellIs" dxfId="10134" priority="6035" operator="lessThan">
      <formula>0</formula>
    </cfRule>
  </conditionalFormatting>
  <conditionalFormatting sqref="BB28">
    <cfRule type="cellIs" dxfId="10133" priority="6034" operator="greaterThanOrEqual">
      <formula>0</formula>
    </cfRule>
  </conditionalFormatting>
  <conditionalFormatting sqref="BB28">
    <cfRule type="cellIs" dxfId="10132" priority="6033" operator="lessThan">
      <formula>0</formula>
    </cfRule>
  </conditionalFormatting>
  <conditionalFormatting sqref="BB41">
    <cfRule type="cellIs" dxfId="10131" priority="6032" operator="greaterThanOrEqual">
      <formula>0</formula>
    </cfRule>
  </conditionalFormatting>
  <conditionalFormatting sqref="BB41">
    <cfRule type="cellIs" dxfId="10130" priority="6031" operator="lessThan">
      <formula>0</formula>
    </cfRule>
  </conditionalFormatting>
  <conditionalFormatting sqref="BB44">
    <cfRule type="cellIs" dxfId="10129" priority="6030" operator="greaterThanOrEqual">
      <formula>0</formula>
    </cfRule>
  </conditionalFormatting>
  <conditionalFormatting sqref="BB44">
    <cfRule type="cellIs" dxfId="10128" priority="6029" operator="lessThan">
      <formula>0</formula>
    </cfRule>
  </conditionalFormatting>
  <conditionalFormatting sqref="BB47">
    <cfRule type="cellIs" dxfId="10127" priority="6028" operator="greaterThanOrEqual">
      <formula>0</formula>
    </cfRule>
  </conditionalFormatting>
  <conditionalFormatting sqref="BB47">
    <cfRule type="cellIs" dxfId="10126" priority="6027" operator="lessThan">
      <formula>0</formula>
    </cfRule>
  </conditionalFormatting>
  <conditionalFormatting sqref="BB50">
    <cfRule type="cellIs" dxfId="10125" priority="6026" operator="greaterThanOrEqual">
      <formula>0</formula>
    </cfRule>
  </conditionalFormatting>
  <conditionalFormatting sqref="BB50">
    <cfRule type="cellIs" dxfId="10124" priority="6025" operator="lessThan">
      <formula>0</formula>
    </cfRule>
  </conditionalFormatting>
  <conditionalFormatting sqref="BB51">
    <cfRule type="cellIs" dxfId="10123" priority="6024" operator="greaterThanOrEqual">
      <formula>0</formula>
    </cfRule>
  </conditionalFormatting>
  <conditionalFormatting sqref="BB51">
    <cfRule type="cellIs" dxfId="10122" priority="6023" operator="lessThan">
      <formula>0</formula>
    </cfRule>
  </conditionalFormatting>
  <conditionalFormatting sqref="BB59">
    <cfRule type="cellIs" dxfId="10121" priority="6022" operator="greaterThanOrEqual">
      <formula>0</formula>
    </cfRule>
  </conditionalFormatting>
  <conditionalFormatting sqref="BB59">
    <cfRule type="cellIs" dxfId="10120" priority="6021" operator="lessThan">
      <formula>0</formula>
    </cfRule>
  </conditionalFormatting>
  <conditionalFormatting sqref="BB65">
    <cfRule type="cellIs" dxfId="10119" priority="6020" operator="greaterThanOrEqual">
      <formula>0</formula>
    </cfRule>
  </conditionalFormatting>
  <conditionalFormatting sqref="BB65">
    <cfRule type="cellIs" dxfId="10118" priority="6019" operator="lessThan">
      <formula>0</formula>
    </cfRule>
  </conditionalFormatting>
  <conditionalFormatting sqref="BB66">
    <cfRule type="cellIs" dxfId="10117" priority="6018" operator="greaterThanOrEqual">
      <formula>0</formula>
    </cfRule>
  </conditionalFormatting>
  <conditionalFormatting sqref="BB66">
    <cfRule type="cellIs" dxfId="10116" priority="6017" operator="lessThan">
      <formula>0</formula>
    </cfRule>
  </conditionalFormatting>
  <conditionalFormatting sqref="BB42:BB43">
    <cfRule type="cellIs" dxfId="10115" priority="6015" operator="lessThan">
      <formula>0</formula>
    </cfRule>
    <cfRule type="cellIs" dxfId="10114" priority="6016" operator="greaterThanOrEqual">
      <formula>0</formula>
    </cfRule>
  </conditionalFormatting>
  <conditionalFormatting sqref="BB45:BB46">
    <cfRule type="cellIs" dxfId="10113" priority="6013" operator="lessThan">
      <formula>0</formula>
    </cfRule>
    <cfRule type="cellIs" dxfId="10112" priority="6014" operator="greaterThanOrEqual">
      <formula>0</formula>
    </cfRule>
  </conditionalFormatting>
  <conditionalFormatting sqref="BB57:BB58">
    <cfRule type="cellIs" dxfId="10111" priority="6011" operator="lessThan">
      <formula>0</formula>
    </cfRule>
    <cfRule type="cellIs" dxfId="10110" priority="6012" operator="greaterThanOrEqual">
      <formula>0</formula>
    </cfRule>
  </conditionalFormatting>
  <conditionalFormatting sqref="BB60:BB61">
    <cfRule type="cellIs" dxfId="10109" priority="6009" operator="lessThan">
      <formula>0</formula>
    </cfRule>
    <cfRule type="cellIs" dxfId="10108" priority="6010" operator="greaterThanOrEqual">
      <formula>0</formula>
    </cfRule>
  </conditionalFormatting>
  <conditionalFormatting sqref="BB63:BB64">
    <cfRule type="cellIs" dxfId="10107" priority="6007" operator="lessThan">
      <formula>0</formula>
    </cfRule>
    <cfRule type="cellIs" dxfId="10106" priority="6008" operator="greaterThanOrEqual">
      <formula>0</formula>
    </cfRule>
  </conditionalFormatting>
  <conditionalFormatting sqref="BC68 BC71">
    <cfRule type="cellIs" dxfId="10105" priority="6005" operator="greaterThan">
      <formula>0</formula>
    </cfRule>
    <cfRule type="cellIs" dxfId="10104" priority="6006" operator="lessThanOrEqual">
      <formula>0</formula>
    </cfRule>
  </conditionalFormatting>
  <conditionalFormatting sqref="BC73">
    <cfRule type="cellIs" dxfId="10103" priority="6003" operator="greaterThan">
      <formula>0</formula>
    </cfRule>
    <cfRule type="cellIs" dxfId="10102" priority="6004" operator="lessThanOrEqual">
      <formula>0</formula>
    </cfRule>
  </conditionalFormatting>
  <conditionalFormatting sqref="BC69">
    <cfRule type="cellIs" dxfId="10101" priority="6001" operator="greaterThan">
      <formula>0</formula>
    </cfRule>
    <cfRule type="cellIs" dxfId="10100" priority="6002" operator="lessThanOrEqual">
      <formula>0</formula>
    </cfRule>
  </conditionalFormatting>
  <conditionalFormatting sqref="BC70">
    <cfRule type="cellIs" dxfId="10099" priority="5999" operator="greaterThan">
      <formula>0</formula>
    </cfRule>
    <cfRule type="cellIs" dxfId="10098" priority="6000" operator="lessThanOrEqual">
      <formula>0</formula>
    </cfRule>
  </conditionalFormatting>
  <conditionalFormatting sqref="BC72">
    <cfRule type="cellIs" dxfId="10097" priority="5997" operator="greaterThan">
      <formula>0</formula>
    </cfRule>
    <cfRule type="cellIs" dxfId="10096" priority="5998" operator="lessThanOrEqual">
      <formula>0</formula>
    </cfRule>
  </conditionalFormatting>
  <conditionalFormatting sqref="BB68:BB70">
    <cfRule type="cellIs" dxfId="10095" priority="5995" operator="lessThan">
      <formula>0</formula>
    </cfRule>
    <cfRule type="cellIs" dxfId="10094" priority="5996" operator="greaterThanOrEqual">
      <formula>0</formula>
    </cfRule>
  </conditionalFormatting>
  <conditionalFormatting sqref="BB71:BB72">
    <cfRule type="cellIs" dxfId="10093" priority="5994" operator="greaterThanOrEqual">
      <formula>0</formula>
    </cfRule>
  </conditionalFormatting>
  <conditionalFormatting sqref="BB71:BB72">
    <cfRule type="cellIs" dxfId="10092" priority="5993" operator="lessThan">
      <formula>0</formula>
    </cfRule>
  </conditionalFormatting>
  <conditionalFormatting sqref="BB73">
    <cfRule type="cellIs" dxfId="10091" priority="5992" operator="greaterThanOrEqual">
      <formula>0</formula>
    </cfRule>
  </conditionalFormatting>
  <conditionalFormatting sqref="BB73">
    <cfRule type="cellIs" dxfId="10090" priority="5991" operator="lessThan">
      <formula>0</formula>
    </cfRule>
  </conditionalFormatting>
  <conditionalFormatting sqref="BC67">
    <cfRule type="cellIs" dxfId="10089" priority="5989" operator="greaterThan">
      <formula>0</formula>
    </cfRule>
    <cfRule type="cellIs" dxfId="10088" priority="5990" operator="lessThanOrEqual">
      <formula>0</formula>
    </cfRule>
  </conditionalFormatting>
  <conditionalFormatting sqref="BB67">
    <cfRule type="cellIs" dxfId="10087" priority="5987" operator="greaterThanOrEqual">
      <formula>0</formula>
    </cfRule>
    <cfRule type="cellIs" dxfId="10086" priority="5988" operator="lessThan">
      <formula>0</formula>
    </cfRule>
  </conditionalFormatting>
  <conditionalFormatting sqref="AY51">
    <cfRule type="cellIs" dxfId="10085" priority="5985" operator="greaterThan">
      <formula>0</formula>
    </cfRule>
    <cfRule type="cellIs" dxfId="10084" priority="5986" operator="lessThanOrEqual">
      <formula>0</formula>
    </cfRule>
  </conditionalFormatting>
  <conditionalFormatting sqref="BE42:BE43">
    <cfRule type="cellIs" dxfId="10083" priority="5983" operator="lessThan">
      <formula>0</formula>
    </cfRule>
    <cfRule type="cellIs" dxfId="10082" priority="5984" operator="greaterThanOrEqual">
      <formula>0</formula>
    </cfRule>
  </conditionalFormatting>
  <conditionalFormatting sqref="BE45:BE46">
    <cfRule type="cellIs" dxfId="10081" priority="5981" operator="lessThan">
      <formula>0</formula>
    </cfRule>
    <cfRule type="cellIs" dxfId="10080" priority="5982" operator="greaterThanOrEqual">
      <formula>0</formula>
    </cfRule>
  </conditionalFormatting>
  <conditionalFormatting sqref="BE53:BE54">
    <cfRule type="cellIs" dxfId="10079" priority="5979" operator="lessThan">
      <formula>0</formula>
    </cfRule>
    <cfRule type="cellIs" dxfId="10078" priority="5980" operator="greaterThanOrEqual">
      <formula>0</formula>
    </cfRule>
  </conditionalFormatting>
  <conditionalFormatting sqref="BE57:BE58">
    <cfRule type="cellIs" dxfId="10077" priority="5977" operator="lessThan">
      <formula>0</formula>
    </cfRule>
    <cfRule type="cellIs" dxfId="10076" priority="5978" operator="greaterThanOrEqual">
      <formula>0</formula>
    </cfRule>
  </conditionalFormatting>
  <conditionalFormatting sqref="BE60:BE61">
    <cfRule type="cellIs" dxfId="10075" priority="5975" operator="lessThan">
      <formula>0</formula>
    </cfRule>
    <cfRule type="cellIs" dxfId="10074" priority="5976" operator="greaterThanOrEqual">
      <formula>0</formula>
    </cfRule>
  </conditionalFormatting>
  <conditionalFormatting sqref="BE63:BE64">
    <cfRule type="cellIs" dxfId="10073" priority="5973" operator="lessThan">
      <formula>0</formula>
    </cfRule>
    <cfRule type="cellIs" dxfId="10072" priority="5974" operator="greaterThanOrEqual">
      <formula>0</formula>
    </cfRule>
  </conditionalFormatting>
  <conditionalFormatting sqref="BE25">
    <cfRule type="cellIs" dxfId="10071" priority="5972" operator="greaterThanOrEqual">
      <formula>0</formula>
    </cfRule>
  </conditionalFormatting>
  <conditionalFormatting sqref="BE25">
    <cfRule type="cellIs" dxfId="10070" priority="5971" operator="lessThan">
      <formula>0</formula>
    </cfRule>
  </conditionalFormatting>
  <conditionalFormatting sqref="BE26">
    <cfRule type="cellIs" dxfId="10069" priority="5970" operator="greaterThanOrEqual">
      <formula>0</formula>
    </cfRule>
  </conditionalFormatting>
  <conditionalFormatting sqref="BE26">
    <cfRule type="cellIs" dxfId="10068" priority="5969" operator="lessThan">
      <formula>0</formula>
    </cfRule>
  </conditionalFormatting>
  <conditionalFormatting sqref="BE28">
    <cfRule type="cellIs" dxfId="10067" priority="5968" operator="greaterThanOrEqual">
      <formula>0</formula>
    </cfRule>
  </conditionalFormatting>
  <conditionalFormatting sqref="BE28">
    <cfRule type="cellIs" dxfId="10066" priority="5967" operator="lessThan">
      <formula>0</formula>
    </cfRule>
  </conditionalFormatting>
  <conditionalFormatting sqref="BE41">
    <cfRule type="cellIs" dxfId="10065" priority="5966" operator="greaterThanOrEqual">
      <formula>0</formula>
    </cfRule>
  </conditionalFormatting>
  <conditionalFormatting sqref="BE41">
    <cfRule type="cellIs" dxfId="10064" priority="5965" operator="lessThan">
      <formula>0</formula>
    </cfRule>
  </conditionalFormatting>
  <conditionalFormatting sqref="BE44">
    <cfRule type="cellIs" dxfId="10063" priority="5964" operator="greaterThanOrEqual">
      <formula>0</formula>
    </cfRule>
  </conditionalFormatting>
  <conditionalFormatting sqref="BE44">
    <cfRule type="cellIs" dxfId="10062" priority="5963" operator="lessThan">
      <formula>0</formula>
    </cfRule>
  </conditionalFormatting>
  <conditionalFormatting sqref="BE47">
    <cfRule type="cellIs" dxfId="10061" priority="5962" operator="greaterThanOrEqual">
      <formula>0</formula>
    </cfRule>
  </conditionalFormatting>
  <conditionalFormatting sqref="BE47">
    <cfRule type="cellIs" dxfId="10060" priority="5961" operator="lessThan">
      <formula>0</formula>
    </cfRule>
  </conditionalFormatting>
  <conditionalFormatting sqref="BE50">
    <cfRule type="cellIs" dxfId="10059" priority="5960" operator="greaterThanOrEqual">
      <formula>0</formula>
    </cfRule>
  </conditionalFormatting>
  <conditionalFormatting sqref="BE50">
    <cfRule type="cellIs" dxfId="10058" priority="5959" operator="lessThan">
      <formula>0</formula>
    </cfRule>
  </conditionalFormatting>
  <conditionalFormatting sqref="BE51">
    <cfRule type="cellIs" dxfId="10057" priority="5958" operator="greaterThanOrEqual">
      <formula>0</formula>
    </cfRule>
  </conditionalFormatting>
  <conditionalFormatting sqref="BE51">
    <cfRule type="cellIs" dxfId="10056" priority="5957" operator="lessThan">
      <formula>0</formula>
    </cfRule>
  </conditionalFormatting>
  <conditionalFormatting sqref="BE59">
    <cfRule type="cellIs" dxfId="10055" priority="5956" operator="greaterThanOrEqual">
      <formula>0</formula>
    </cfRule>
  </conditionalFormatting>
  <conditionalFormatting sqref="BE59">
    <cfRule type="cellIs" dxfId="10054" priority="5955" operator="lessThan">
      <formula>0</formula>
    </cfRule>
  </conditionalFormatting>
  <conditionalFormatting sqref="BE62">
    <cfRule type="cellIs" dxfId="10053" priority="5954" operator="greaterThanOrEqual">
      <formula>0</formula>
    </cfRule>
  </conditionalFormatting>
  <conditionalFormatting sqref="BE62">
    <cfRule type="cellIs" dxfId="10052" priority="5953" operator="lessThan">
      <formula>0</formula>
    </cfRule>
  </conditionalFormatting>
  <conditionalFormatting sqref="BE65">
    <cfRule type="cellIs" dxfId="10051" priority="5952" operator="greaterThanOrEqual">
      <formula>0</formula>
    </cfRule>
  </conditionalFormatting>
  <conditionalFormatting sqref="BE65">
    <cfRule type="cellIs" dxfId="10050" priority="5951" operator="lessThan">
      <formula>0</formula>
    </cfRule>
  </conditionalFormatting>
  <conditionalFormatting sqref="BE56">
    <cfRule type="cellIs" dxfId="10049" priority="5950" operator="greaterThanOrEqual">
      <formula>0</formula>
    </cfRule>
  </conditionalFormatting>
  <conditionalFormatting sqref="BE56">
    <cfRule type="cellIs" dxfId="10048" priority="5949" operator="lessThan">
      <formula>0</formula>
    </cfRule>
  </conditionalFormatting>
  <conditionalFormatting sqref="BE66">
    <cfRule type="cellIs" dxfId="10047" priority="5948" operator="greaterThanOrEqual">
      <formula>0</formula>
    </cfRule>
  </conditionalFormatting>
  <conditionalFormatting sqref="BE66">
    <cfRule type="cellIs" dxfId="10046" priority="5947" operator="lessThan">
      <formula>0</formula>
    </cfRule>
  </conditionalFormatting>
  <conditionalFormatting sqref="BF16:BF17">
    <cfRule type="cellIs" dxfId="10045" priority="5945" operator="greaterThan">
      <formula>0</formula>
    </cfRule>
    <cfRule type="cellIs" dxfId="10044" priority="5946" operator="lessThanOrEqual">
      <formula>0</formula>
    </cfRule>
  </conditionalFormatting>
  <conditionalFormatting sqref="BF19:BF20">
    <cfRule type="cellIs" dxfId="10043" priority="5943" operator="greaterThan">
      <formula>0</formula>
    </cfRule>
    <cfRule type="cellIs" dxfId="10042" priority="5944" operator="lessThanOrEqual">
      <formula>0</formula>
    </cfRule>
  </conditionalFormatting>
  <conditionalFormatting sqref="BF22:BF23">
    <cfRule type="cellIs" dxfId="10041" priority="5941" operator="greaterThan">
      <formula>0</formula>
    </cfRule>
    <cfRule type="cellIs" dxfId="10040" priority="5942" operator="lessThanOrEqual">
      <formula>0</formula>
    </cfRule>
  </conditionalFormatting>
  <conditionalFormatting sqref="BF29:BF30">
    <cfRule type="cellIs" dxfId="10039" priority="5939" operator="greaterThan">
      <formula>0</formula>
    </cfRule>
    <cfRule type="cellIs" dxfId="10038" priority="5940" operator="lessThanOrEqual">
      <formula>0</formula>
    </cfRule>
  </conditionalFormatting>
  <conditionalFormatting sqref="BF32:BF33">
    <cfRule type="cellIs" dxfId="10037" priority="5937" operator="greaterThan">
      <formula>0</formula>
    </cfRule>
    <cfRule type="cellIs" dxfId="10036" priority="5938" operator="lessThanOrEqual">
      <formula>0</formula>
    </cfRule>
  </conditionalFormatting>
  <conditionalFormatting sqref="BF35:BF36">
    <cfRule type="cellIs" dxfId="10035" priority="5935" operator="greaterThan">
      <formula>0</formula>
    </cfRule>
    <cfRule type="cellIs" dxfId="10034" priority="5936" operator="lessThanOrEqual">
      <formula>0</formula>
    </cfRule>
  </conditionalFormatting>
  <conditionalFormatting sqref="BF38:BF39">
    <cfRule type="cellIs" dxfId="10033" priority="5933" operator="greaterThan">
      <formula>0</formula>
    </cfRule>
    <cfRule type="cellIs" dxfId="10032" priority="5934" operator="lessThanOrEqual">
      <formula>0</formula>
    </cfRule>
  </conditionalFormatting>
  <conditionalFormatting sqref="BF42:BF43">
    <cfRule type="cellIs" dxfId="10031" priority="5931" operator="greaterThan">
      <formula>0</formula>
    </cfRule>
    <cfRule type="cellIs" dxfId="10030" priority="5932" operator="lessThanOrEqual">
      <formula>0</formula>
    </cfRule>
  </conditionalFormatting>
  <conditionalFormatting sqref="BF45:BF46">
    <cfRule type="cellIs" dxfId="10029" priority="5929" operator="greaterThan">
      <formula>0</formula>
    </cfRule>
    <cfRule type="cellIs" dxfId="10028" priority="5930" operator="lessThanOrEqual">
      <formula>0</formula>
    </cfRule>
  </conditionalFormatting>
  <conditionalFormatting sqref="BF48:BF49">
    <cfRule type="cellIs" dxfId="10027" priority="5927" operator="greaterThan">
      <formula>0</formula>
    </cfRule>
    <cfRule type="cellIs" dxfId="10026" priority="5928" operator="lessThanOrEqual">
      <formula>0</formula>
    </cfRule>
  </conditionalFormatting>
  <conditionalFormatting sqref="BF53:BF54">
    <cfRule type="cellIs" dxfId="10025" priority="5925" operator="greaterThan">
      <formula>0</formula>
    </cfRule>
    <cfRule type="cellIs" dxfId="10024" priority="5926" operator="lessThanOrEqual">
      <formula>0</formula>
    </cfRule>
  </conditionalFormatting>
  <conditionalFormatting sqref="BF57:BF58">
    <cfRule type="cellIs" dxfId="10023" priority="5923" operator="greaterThan">
      <formula>0</formula>
    </cfRule>
    <cfRule type="cellIs" dxfId="10022" priority="5924" operator="lessThanOrEqual">
      <formula>0</formula>
    </cfRule>
  </conditionalFormatting>
  <conditionalFormatting sqref="BF60:BF61">
    <cfRule type="cellIs" dxfId="10021" priority="5921" operator="greaterThan">
      <formula>0</formula>
    </cfRule>
    <cfRule type="cellIs" dxfId="10020" priority="5922" operator="lessThanOrEqual">
      <formula>0</formula>
    </cfRule>
  </conditionalFormatting>
  <conditionalFormatting sqref="BF63:BF64">
    <cfRule type="cellIs" dxfId="10019" priority="5919" operator="greaterThan">
      <formula>0</formula>
    </cfRule>
    <cfRule type="cellIs" dxfId="10018" priority="5920" operator="lessThanOrEqual">
      <formula>0</formula>
    </cfRule>
  </conditionalFormatting>
  <conditionalFormatting sqref="BF25">
    <cfRule type="cellIs" dxfId="10017" priority="5918" operator="greaterThanOrEqual">
      <formula>0</formula>
    </cfRule>
  </conditionalFormatting>
  <conditionalFormatting sqref="BF25">
    <cfRule type="cellIs" dxfId="10016" priority="5917" operator="lessThan">
      <formula>0</formula>
    </cfRule>
  </conditionalFormatting>
  <conditionalFormatting sqref="BF26">
    <cfRule type="cellIs" dxfId="10015" priority="5916" operator="greaterThanOrEqual">
      <formula>0</formula>
    </cfRule>
  </conditionalFormatting>
  <conditionalFormatting sqref="BF26">
    <cfRule type="cellIs" dxfId="10014" priority="5915" operator="lessThan">
      <formula>0</formula>
    </cfRule>
  </conditionalFormatting>
  <conditionalFormatting sqref="BF28">
    <cfRule type="cellIs" dxfId="10013" priority="5914" operator="greaterThanOrEqual">
      <formula>0</formula>
    </cfRule>
  </conditionalFormatting>
  <conditionalFormatting sqref="BF28">
    <cfRule type="cellIs" dxfId="10012" priority="5913" operator="lessThan">
      <formula>0</formula>
    </cfRule>
  </conditionalFormatting>
  <conditionalFormatting sqref="BF41">
    <cfRule type="cellIs" dxfId="10011" priority="5912" operator="greaterThanOrEqual">
      <formula>0</formula>
    </cfRule>
  </conditionalFormatting>
  <conditionalFormatting sqref="BF41">
    <cfRule type="cellIs" dxfId="10010" priority="5911" operator="lessThan">
      <formula>0</formula>
    </cfRule>
  </conditionalFormatting>
  <conditionalFormatting sqref="BF44">
    <cfRule type="cellIs" dxfId="10009" priority="5910" operator="greaterThanOrEqual">
      <formula>0</formula>
    </cfRule>
  </conditionalFormatting>
  <conditionalFormatting sqref="BF44">
    <cfRule type="cellIs" dxfId="10008" priority="5909" operator="lessThan">
      <formula>0</formula>
    </cfRule>
  </conditionalFormatting>
  <conditionalFormatting sqref="BF47">
    <cfRule type="cellIs" dxfId="10007" priority="5908" operator="greaterThanOrEqual">
      <formula>0</formula>
    </cfRule>
  </conditionalFormatting>
  <conditionalFormatting sqref="BF47">
    <cfRule type="cellIs" dxfId="10006" priority="5907" operator="lessThan">
      <formula>0</formula>
    </cfRule>
  </conditionalFormatting>
  <conditionalFormatting sqref="BF50">
    <cfRule type="cellIs" dxfId="10005" priority="5906" operator="greaterThanOrEqual">
      <formula>0</formula>
    </cfRule>
  </conditionalFormatting>
  <conditionalFormatting sqref="BF50">
    <cfRule type="cellIs" dxfId="10004" priority="5905" operator="lessThan">
      <formula>0</formula>
    </cfRule>
  </conditionalFormatting>
  <conditionalFormatting sqref="BF51">
    <cfRule type="cellIs" dxfId="10003" priority="5904" operator="greaterThanOrEqual">
      <formula>0</formula>
    </cfRule>
  </conditionalFormatting>
  <conditionalFormatting sqref="BF51">
    <cfRule type="cellIs" dxfId="10002" priority="5903" operator="lessThan">
      <formula>0</formula>
    </cfRule>
  </conditionalFormatting>
  <conditionalFormatting sqref="BB107">
    <cfRule type="cellIs" dxfId="10001" priority="5670" operator="greaterThanOrEqual">
      <formula>0</formula>
    </cfRule>
  </conditionalFormatting>
  <conditionalFormatting sqref="BB107">
    <cfRule type="cellIs" dxfId="10000" priority="5669" operator="lessThan">
      <formula>0</formula>
    </cfRule>
  </conditionalFormatting>
  <conditionalFormatting sqref="BF59">
    <cfRule type="cellIs" dxfId="9999" priority="5902" operator="greaterThanOrEqual">
      <formula>0</formula>
    </cfRule>
  </conditionalFormatting>
  <conditionalFormatting sqref="BF59">
    <cfRule type="cellIs" dxfId="9998" priority="5901" operator="lessThan">
      <formula>0</formula>
    </cfRule>
  </conditionalFormatting>
  <conditionalFormatting sqref="BF62">
    <cfRule type="cellIs" dxfId="9997" priority="5900" operator="greaterThanOrEqual">
      <formula>0</formula>
    </cfRule>
  </conditionalFormatting>
  <conditionalFormatting sqref="BF62">
    <cfRule type="cellIs" dxfId="9996" priority="5899" operator="lessThan">
      <formula>0</formula>
    </cfRule>
  </conditionalFormatting>
  <conditionalFormatting sqref="BF65">
    <cfRule type="cellIs" dxfId="9995" priority="5898" operator="greaterThanOrEqual">
      <formula>0</formula>
    </cfRule>
  </conditionalFormatting>
  <conditionalFormatting sqref="BF65">
    <cfRule type="cellIs" dxfId="9994" priority="5897" operator="lessThan">
      <formula>0</formula>
    </cfRule>
  </conditionalFormatting>
  <conditionalFormatting sqref="BF56">
    <cfRule type="cellIs" dxfId="9993" priority="5895" operator="lessThan">
      <formula>0</formula>
    </cfRule>
  </conditionalFormatting>
  <conditionalFormatting sqref="BF56">
    <cfRule type="cellIs" dxfId="9992" priority="5896" operator="greaterThanOrEqual">
      <formula>0</formula>
    </cfRule>
  </conditionalFormatting>
  <conditionalFormatting sqref="BF66">
    <cfRule type="cellIs" dxfId="9991" priority="5893" operator="lessThan">
      <formula>0</formula>
    </cfRule>
  </conditionalFormatting>
  <conditionalFormatting sqref="BF66">
    <cfRule type="cellIs" dxfId="9990" priority="5894" operator="greaterThanOrEqual">
      <formula>0</formula>
    </cfRule>
  </conditionalFormatting>
  <conditionalFormatting sqref="BE70">
    <cfRule type="cellIs" dxfId="9989" priority="5891" operator="lessThan">
      <formula>0</formula>
    </cfRule>
    <cfRule type="cellIs" dxfId="9988" priority="5892" operator="greaterThanOrEqual">
      <formula>0</formula>
    </cfRule>
  </conditionalFormatting>
  <conditionalFormatting sqref="BF70">
    <cfRule type="cellIs" dxfId="9987" priority="5889" operator="lessThan">
      <formula>0</formula>
    </cfRule>
    <cfRule type="cellIs" dxfId="9986" priority="5890" operator="greaterThanOrEqual">
      <formula>0</formula>
    </cfRule>
  </conditionalFormatting>
  <conditionalFormatting sqref="BF72">
    <cfRule type="cellIs" dxfId="9985" priority="5887" operator="lessThan">
      <formula>0</formula>
    </cfRule>
    <cfRule type="cellIs" dxfId="9984" priority="5888" operator="greaterThanOrEqual">
      <formula>0</formula>
    </cfRule>
  </conditionalFormatting>
  <conditionalFormatting sqref="BF123:BF124">
    <cfRule type="cellIs" dxfId="9983" priority="5559" operator="greaterThan">
      <formula>0</formula>
    </cfRule>
    <cfRule type="cellIs" dxfId="9982" priority="5560" operator="lessThanOrEqual">
      <formula>0</formula>
    </cfRule>
  </conditionalFormatting>
  <conditionalFormatting sqref="BF119">
    <cfRule type="cellIs" dxfId="9981" priority="5534" operator="greaterThanOrEqual">
      <formula>0</formula>
    </cfRule>
  </conditionalFormatting>
  <conditionalFormatting sqref="BF119">
    <cfRule type="cellIs" dxfId="9980" priority="5533" operator="lessThan">
      <formula>0</formula>
    </cfRule>
  </conditionalFormatting>
  <conditionalFormatting sqref="BF129">
    <cfRule type="cellIs" dxfId="9979" priority="5532" operator="greaterThanOrEqual">
      <formula>0</formula>
    </cfRule>
  </conditionalFormatting>
  <conditionalFormatting sqref="BF129">
    <cfRule type="cellIs" dxfId="9978" priority="5531" operator="lessThan">
      <formula>0</formula>
    </cfRule>
  </conditionalFormatting>
  <conditionalFormatting sqref="BF118">
    <cfRule type="cellIs" dxfId="9977" priority="5528" operator="greaterThanOrEqual">
      <formula>0</formula>
    </cfRule>
  </conditionalFormatting>
  <conditionalFormatting sqref="BF118">
    <cfRule type="cellIs" dxfId="9976" priority="5527" operator="lessThan">
      <formula>0</formula>
    </cfRule>
  </conditionalFormatting>
  <conditionalFormatting sqref="BE76:BE77 BE79:BE80 BE82:BE83 BE85:BE86 BE92:BE93 BE95:BE96 BE98:BE99 BE101:BE102 BE111:BE112">
    <cfRule type="cellIs" dxfId="9975" priority="5637" operator="lessThan">
      <formula>0</formula>
    </cfRule>
    <cfRule type="cellIs" dxfId="9974" priority="5638" operator="greaterThanOrEqual">
      <formula>0</formula>
    </cfRule>
  </conditionalFormatting>
  <conditionalFormatting sqref="BC95:BC96">
    <cfRule type="cellIs" dxfId="9973" priority="5745" operator="greaterThan">
      <formula>0</formula>
    </cfRule>
    <cfRule type="cellIs" dxfId="9972" priority="5746" operator="lessThanOrEqual">
      <formula>0</formula>
    </cfRule>
  </conditionalFormatting>
  <conditionalFormatting sqref="BE107">
    <cfRule type="cellIs" dxfId="9971" priority="5602" operator="greaterThanOrEqual">
      <formula>0</formula>
    </cfRule>
  </conditionalFormatting>
  <conditionalFormatting sqref="BE107">
    <cfRule type="cellIs" dxfId="9970" priority="5601" operator="lessThan">
      <formula>0</formula>
    </cfRule>
  </conditionalFormatting>
  <conditionalFormatting sqref="BF113">
    <cfRule type="cellIs" dxfId="9969" priority="5544" operator="greaterThanOrEqual">
      <formula>0</formula>
    </cfRule>
  </conditionalFormatting>
  <conditionalFormatting sqref="BF113">
    <cfRule type="cellIs" dxfId="9968" priority="5543" operator="lessThan">
      <formula>0</formula>
    </cfRule>
  </conditionalFormatting>
  <conditionalFormatting sqref="BE114">
    <cfRule type="cellIs" dxfId="9967" priority="5596" operator="greaterThanOrEqual">
      <formula>0</formula>
    </cfRule>
  </conditionalFormatting>
  <conditionalFormatting sqref="BE114">
    <cfRule type="cellIs" dxfId="9966" priority="5595" operator="lessThan">
      <formula>0</formula>
    </cfRule>
  </conditionalFormatting>
  <conditionalFormatting sqref="BF125">
    <cfRule type="cellIs" dxfId="9965" priority="5537" operator="lessThan">
      <formula>0</formula>
    </cfRule>
  </conditionalFormatting>
  <conditionalFormatting sqref="BF125">
    <cfRule type="cellIs" dxfId="9964" priority="5538" operator="greaterThanOrEqual">
      <formula>0</formula>
    </cfRule>
  </conditionalFormatting>
  <conditionalFormatting sqref="AX55">
    <cfRule type="cellIs" dxfId="9963" priority="5886" operator="greaterThanOrEqual">
      <formula>0</formula>
    </cfRule>
  </conditionalFormatting>
  <conditionalFormatting sqref="AX55">
    <cfRule type="cellIs" dxfId="9962" priority="5885" operator="lessThan">
      <formula>0</formula>
    </cfRule>
  </conditionalFormatting>
  <conditionalFormatting sqref="BC55">
    <cfRule type="cellIs" dxfId="9961" priority="5883" operator="greaterThan">
      <formula>0</formula>
    </cfRule>
    <cfRule type="cellIs" dxfId="9960" priority="5884" operator="lessThanOrEqual">
      <formula>0</formula>
    </cfRule>
  </conditionalFormatting>
  <conditionalFormatting sqref="BB55">
    <cfRule type="cellIs" dxfId="9959" priority="5882" operator="greaterThanOrEqual">
      <formula>0</formula>
    </cfRule>
  </conditionalFormatting>
  <conditionalFormatting sqref="BB55">
    <cfRule type="cellIs" dxfId="9958" priority="5881" operator="lessThan">
      <formula>0</formula>
    </cfRule>
  </conditionalFormatting>
  <conditionalFormatting sqref="AY55">
    <cfRule type="cellIs" dxfId="9957" priority="5879" operator="greaterThan">
      <formula>0</formula>
    </cfRule>
    <cfRule type="cellIs" dxfId="9956" priority="5880" operator="lessThanOrEqual">
      <formula>0</formula>
    </cfRule>
  </conditionalFormatting>
  <conditionalFormatting sqref="BE55">
    <cfRule type="cellIs" dxfId="9955" priority="5878" operator="greaterThanOrEqual">
      <formula>0</formula>
    </cfRule>
  </conditionalFormatting>
  <conditionalFormatting sqref="BE55">
    <cfRule type="cellIs" dxfId="9954" priority="5877" operator="lessThan">
      <formula>0</formula>
    </cfRule>
  </conditionalFormatting>
  <conditionalFormatting sqref="BF55">
    <cfRule type="cellIs" dxfId="9953" priority="5876" operator="greaterThanOrEqual">
      <formula>0</formula>
    </cfRule>
  </conditionalFormatting>
  <conditionalFormatting sqref="BF55">
    <cfRule type="cellIs" dxfId="9952" priority="5875" operator="lessThan">
      <formula>0</formula>
    </cfRule>
  </conditionalFormatting>
  <conditionalFormatting sqref="BF128">
    <cfRule type="cellIs" dxfId="9951" priority="5536" operator="greaterThanOrEqual">
      <formula>0</formula>
    </cfRule>
  </conditionalFormatting>
  <conditionalFormatting sqref="BF128">
    <cfRule type="cellIs" dxfId="9950" priority="5535" operator="lessThan">
      <formula>0</formula>
    </cfRule>
  </conditionalFormatting>
  <conditionalFormatting sqref="AY76:AY77">
    <cfRule type="cellIs" dxfId="9949" priority="5873" operator="greaterThan">
      <formula>0</formula>
    </cfRule>
    <cfRule type="cellIs" dxfId="9948" priority="5874" operator="lessThanOrEqual">
      <formula>0</formula>
    </cfRule>
  </conditionalFormatting>
  <conditionalFormatting sqref="AY79:AY80">
    <cfRule type="cellIs" dxfId="9947" priority="5871" operator="greaterThan">
      <formula>0</formula>
    </cfRule>
    <cfRule type="cellIs" dxfId="9946" priority="5872" operator="lessThanOrEqual">
      <formula>0</formula>
    </cfRule>
  </conditionalFormatting>
  <conditionalFormatting sqref="AY82:AY83">
    <cfRule type="cellIs" dxfId="9945" priority="5869" operator="greaterThan">
      <formula>0</formula>
    </cfRule>
    <cfRule type="cellIs" dxfId="9944" priority="5870" operator="lessThanOrEqual">
      <formula>0</formula>
    </cfRule>
  </conditionalFormatting>
  <conditionalFormatting sqref="AY92:AY93">
    <cfRule type="cellIs" dxfId="9943" priority="5867" operator="greaterThan">
      <formula>0</formula>
    </cfRule>
    <cfRule type="cellIs" dxfId="9942" priority="5868" operator="lessThanOrEqual">
      <formula>0</formula>
    </cfRule>
  </conditionalFormatting>
  <conditionalFormatting sqref="AY85:AY86">
    <cfRule type="cellIs" dxfId="9941" priority="5865" operator="greaterThan">
      <formula>0</formula>
    </cfRule>
    <cfRule type="cellIs" dxfId="9940" priority="5866" operator="lessThanOrEqual">
      <formula>0</formula>
    </cfRule>
  </conditionalFormatting>
  <conditionalFormatting sqref="AY95:AY96">
    <cfRule type="cellIs" dxfId="9939" priority="5863" operator="greaterThan">
      <formula>0</formula>
    </cfRule>
    <cfRule type="cellIs" dxfId="9938" priority="5864" operator="lessThanOrEqual">
      <formula>0</formula>
    </cfRule>
  </conditionalFormatting>
  <conditionalFormatting sqref="AY98:AY99">
    <cfRule type="cellIs" dxfId="9937" priority="5861" operator="greaterThan">
      <formula>0</formula>
    </cfRule>
    <cfRule type="cellIs" dxfId="9936" priority="5862" operator="lessThanOrEqual">
      <formula>0</formula>
    </cfRule>
  </conditionalFormatting>
  <conditionalFormatting sqref="AY101:AY102">
    <cfRule type="cellIs" dxfId="9935" priority="5859" operator="greaterThan">
      <formula>0</formula>
    </cfRule>
    <cfRule type="cellIs" dxfId="9934" priority="5860" operator="lessThanOrEqual">
      <formula>0</formula>
    </cfRule>
  </conditionalFormatting>
  <conditionalFormatting sqref="AY111:AY112">
    <cfRule type="cellIs" dxfId="9933" priority="5857" operator="greaterThan">
      <formula>0</formula>
    </cfRule>
    <cfRule type="cellIs" dxfId="9932" priority="5858" operator="lessThanOrEqual">
      <formula>0</formula>
    </cfRule>
  </conditionalFormatting>
  <conditionalFormatting sqref="AY126:AY127">
    <cfRule type="cellIs" dxfId="9931" priority="5855" operator="greaterThan">
      <formula>0</formula>
    </cfRule>
    <cfRule type="cellIs" dxfId="9930" priority="5856" operator="lessThanOrEqual">
      <formula>0</formula>
    </cfRule>
  </conditionalFormatting>
  <conditionalFormatting sqref="AY116:AY117">
    <cfRule type="cellIs" dxfId="9929" priority="5853" operator="greaterThan">
      <formula>0</formula>
    </cfRule>
    <cfRule type="cellIs" dxfId="9928" priority="5854" operator="lessThanOrEqual">
      <formula>0</formula>
    </cfRule>
  </conditionalFormatting>
  <conditionalFormatting sqref="AY78">
    <cfRule type="cellIs" dxfId="9927" priority="5851" operator="greaterThan">
      <formula>0</formula>
    </cfRule>
    <cfRule type="cellIs" dxfId="9926" priority="5852" operator="lessThanOrEqual">
      <formula>0</formula>
    </cfRule>
  </conditionalFormatting>
  <conditionalFormatting sqref="AY81">
    <cfRule type="cellIs" dxfId="9925" priority="5849" operator="greaterThan">
      <formula>0</formula>
    </cfRule>
    <cfRule type="cellIs" dxfId="9924" priority="5850" operator="lessThanOrEqual">
      <formula>0</formula>
    </cfRule>
  </conditionalFormatting>
  <conditionalFormatting sqref="AY84">
    <cfRule type="cellIs" dxfId="9923" priority="5847" operator="greaterThan">
      <formula>0</formula>
    </cfRule>
    <cfRule type="cellIs" dxfId="9922" priority="5848" operator="lessThanOrEqual">
      <formula>0</formula>
    </cfRule>
  </conditionalFormatting>
  <conditionalFormatting sqref="AY94">
    <cfRule type="cellIs" dxfId="9921" priority="5845" operator="greaterThan">
      <formula>0</formula>
    </cfRule>
    <cfRule type="cellIs" dxfId="9920" priority="5846" operator="lessThanOrEqual">
      <formula>0</formula>
    </cfRule>
  </conditionalFormatting>
  <conditionalFormatting sqref="AY87">
    <cfRule type="cellIs" dxfId="9919" priority="5843" operator="greaterThan">
      <formula>0</formula>
    </cfRule>
    <cfRule type="cellIs" dxfId="9918" priority="5844" operator="lessThanOrEqual">
      <formula>0</formula>
    </cfRule>
  </conditionalFormatting>
  <conditionalFormatting sqref="AY97">
    <cfRule type="cellIs" dxfId="9917" priority="5841" operator="greaterThan">
      <formula>0</formula>
    </cfRule>
    <cfRule type="cellIs" dxfId="9916" priority="5842" operator="lessThanOrEqual">
      <formula>0</formula>
    </cfRule>
  </conditionalFormatting>
  <conditionalFormatting sqref="AY100">
    <cfRule type="cellIs" dxfId="9915" priority="5839" operator="greaterThan">
      <formula>0</formula>
    </cfRule>
    <cfRule type="cellIs" dxfId="9914" priority="5840" operator="lessThanOrEqual">
      <formula>0</formula>
    </cfRule>
  </conditionalFormatting>
  <conditionalFormatting sqref="AY103">
    <cfRule type="cellIs" dxfId="9913" priority="5837" operator="greaterThan">
      <formula>0</formula>
    </cfRule>
    <cfRule type="cellIs" dxfId="9912" priority="5838" operator="lessThanOrEqual">
      <formula>0</formula>
    </cfRule>
  </conditionalFormatting>
  <conditionalFormatting sqref="AY89">
    <cfRule type="cellIs" dxfId="9911" priority="5835" operator="greaterThan">
      <formula>0</formula>
    </cfRule>
    <cfRule type="cellIs" dxfId="9910" priority="5836" operator="lessThanOrEqual">
      <formula>0</formula>
    </cfRule>
  </conditionalFormatting>
  <conditionalFormatting sqref="AY129">
    <cfRule type="cellIs" dxfId="9909" priority="5833" operator="greaterThan">
      <formula>0</formula>
    </cfRule>
    <cfRule type="cellIs" dxfId="9908" priority="5834" operator="lessThanOrEqual">
      <formula>0</formula>
    </cfRule>
  </conditionalFormatting>
  <conditionalFormatting sqref="AX76:AX77 AX79:AX80 AX82:AX83 AX85:AX86 AX92:AX93 AX95:AX96 AX98:AX99 AX101:AX102 AX111:AX112 AX116:AX117">
    <cfRule type="cellIs" dxfId="9907" priority="5831" operator="lessThan">
      <formula>0</formula>
    </cfRule>
    <cfRule type="cellIs" dxfId="9906" priority="5832" operator="greaterThanOrEqual">
      <formula>0</formula>
    </cfRule>
  </conditionalFormatting>
  <conditionalFormatting sqref="AX78 AX81 AX84 AX87 AX89 AX94 AX97 AX100 AX103">
    <cfRule type="cellIs" dxfId="9905" priority="5830" operator="greaterThanOrEqual">
      <formula>0</formula>
    </cfRule>
  </conditionalFormatting>
  <conditionalFormatting sqref="AX78 AX81 AX84 AX87 AX89 AX94 AX97 AX100 AX103">
    <cfRule type="cellIs" dxfId="9904" priority="5829" operator="lessThan">
      <formula>0</formula>
    </cfRule>
  </conditionalFormatting>
  <conditionalFormatting sqref="AY130">
    <cfRule type="cellIs" dxfId="9903" priority="5827" operator="greaterThan">
      <formula>0</formula>
    </cfRule>
    <cfRule type="cellIs" dxfId="9902" priority="5828" operator="lessThanOrEqual">
      <formula>0</formula>
    </cfRule>
  </conditionalFormatting>
  <conditionalFormatting sqref="AX130">
    <cfRule type="cellIs" dxfId="9901" priority="5825" operator="greaterThanOrEqual">
      <formula>0</formula>
    </cfRule>
    <cfRule type="cellIs" dxfId="9900" priority="5826" operator="lessThan">
      <formula>0</formula>
    </cfRule>
  </conditionalFormatting>
  <conditionalFormatting sqref="AX125">
    <cfRule type="cellIs" dxfId="9899" priority="5806" operator="greaterThanOrEqual">
      <formula>0</formula>
    </cfRule>
  </conditionalFormatting>
  <conditionalFormatting sqref="AX125">
    <cfRule type="cellIs" dxfId="9898" priority="5805" operator="lessThan">
      <formula>0</formula>
    </cfRule>
  </conditionalFormatting>
  <conditionalFormatting sqref="AY107">
    <cfRule type="cellIs" dxfId="9897" priority="5815" operator="greaterThan">
      <formula>0</formula>
    </cfRule>
    <cfRule type="cellIs" dxfId="9896" priority="5816" operator="lessThanOrEqual">
      <formula>0</formula>
    </cfRule>
  </conditionalFormatting>
  <conditionalFormatting sqref="AY110">
    <cfRule type="cellIs" dxfId="9895" priority="5813" operator="greaterThan">
      <formula>0</formula>
    </cfRule>
    <cfRule type="cellIs" dxfId="9894" priority="5814" operator="lessThanOrEqual">
      <formula>0</formula>
    </cfRule>
  </conditionalFormatting>
  <conditionalFormatting sqref="AY113">
    <cfRule type="cellIs" dxfId="9893" priority="5811" operator="greaterThan">
      <formula>0</formula>
    </cfRule>
    <cfRule type="cellIs" dxfId="9892" priority="5812" operator="lessThanOrEqual">
      <formula>0</formula>
    </cfRule>
  </conditionalFormatting>
  <conditionalFormatting sqref="AY91">
    <cfRule type="cellIs" dxfId="9891" priority="5823" operator="greaterThan">
      <formula>0</formula>
    </cfRule>
    <cfRule type="cellIs" dxfId="9890" priority="5824" operator="lessThanOrEqual">
      <formula>0</formula>
    </cfRule>
  </conditionalFormatting>
  <conditionalFormatting sqref="AY104">
    <cfRule type="cellIs" dxfId="9889" priority="5821" operator="greaterThan">
      <formula>0</formula>
    </cfRule>
    <cfRule type="cellIs" dxfId="9888" priority="5822" operator="lessThanOrEqual">
      <formula>0</formula>
    </cfRule>
  </conditionalFormatting>
  <conditionalFormatting sqref="AY105:AY106 AY108:AY109">
    <cfRule type="cellIs" dxfId="9887" priority="5819" operator="greaterThan">
      <formula>0</formula>
    </cfRule>
    <cfRule type="cellIs" dxfId="9886" priority="5820" operator="lessThanOrEqual">
      <formula>0</formula>
    </cfRule>
  </conditionalFormatting>
  <conditionalFormatting sqref="AY120:AY121 AY123:AY124">
    <cfRule type="cellIs" dxfId="9885" priority="5817" operator="greaterThan">
      <formula>0</formula>
    </cfRule>
    <cfRule type="cellIs" dxfId="9884" priority="5818" operator="lessThanOrEqual">
      <formula>0</formula>
    </cfRule>
  </conditionalFormatting>
  <conditionalFormatting sqref="AY122">
    <cfRule type="cellIs" dxfId="9883" priority="5809" operator="greaterThan">
      <formula>0</formula>
    </cfRule>
    <cfRule type="cellIs" dxfId="9882" priority="5810" operator="lessThanOrEqual">
      <formula>0</formula>
    </cfRule>
  </conditionalFormatting>
  <conditionalFormatting sqref="AY125">
    <cfRule type="cellIs" dxfId="9881" priority="5807" operator="greaterThan">
      <formula>0</formula>
    </cfRule>
    <cfRule type="cellIs" dxfId="9880" priority="5808" operator="lessThanOrEqual">
      <formula>0</formula>
    </cfRule>
  </conditionalFormatting>
  <conditionalFormatting sqref="AY128">
    <cfRule type="cellIs" dxfId="9879" priority="5803" operator="greaterThan">
      <formula>0</formula>
    </cfRule>
    <cfRule type="cellIs" dxfId="9878" priority="5804" operator="lessThanOrEqual">
      <formula>0</formula>
    </cfRule>
  </conditionalFormatting>
  <conditionalFormatting sqref="AY88">
    <cfRule type="cellIs" dxfId="9877" priority="5801" operator="greaterThan">
      <formula>0</formula>
    </cfRule>
    <cfRule type="cellIs" dxfId="9876" priority="5802" operator="lessThanOrEqual">
      <formula>0</formula>
    </cfRule>
  </conditionalFormatting>
  <conditionalFormatting sqref="AY119">
    <cfRule type="cellIs" dxfId="9875" priority="5799" operator="greaterThan">
      <formula>0</formula>
    </cfRule>
    <cfRule type="cellIs" dxfId="9874" priority="5800" operator="lessThanOrEqual">
      <formula>0</formula>
    </cfRule>
  </conditionalFormatting>
  <conditionalFormatting sqref="AX119">
    <cfRule type="cellIs" dxfId="9873" priority="5798" operator="greaterThanOrEqual">
      <formula>0</formula>
    </cfRule>
  </conditionalFormatting>
  <conditionalFormatting sqref="AX119">
    <cfRule type="cellIs" dxfId="9872" priority="5797" operator="lessThan">
      <formula>0</formula>
    </cfRule>
  </conditionalFormatting>
  <conditionalFormatting sqref="AY115">
    <cfRule type="cellIs" dxfId="9871" priority="5795" operator="greaterThan">
      <formula>0</formula>
    </cfRule>
    <cfRule type="cellIs" dxfId="9870" priority="5796" operator="lessThanOrEqual">
      <formula>0</formula>
    </cfRule>
  </conditionalFormatting>
  <conditionalFormatting sqref="AX115">
    <cfRule type="cellIs" dxfId="9869" priority="5794" operator="greaterThanOrEqual">
      <formula>0</formula>
    </cfRule>
  </conditionalFormatting>
  <conditionalFormatting sqref="AX115">
    <cfRule type="cellIs" dxfId="9868" priority="5793" operator="lessThan">
      <formula>0</formula>
    </cfRule>
  </conditionalFormatting>
  <conditionalFormatting sqref="AX88">
    <cfRule type="cellIs" dxfId="9867" priority="5792" operator="greaterThanOrEqual">
      <formula>0</formula>
    </cfRule>
  </conditionalFormatting>
  <conditionalFormatting sqref="AX88">
    <cfRule type="cellIs" dxfId="9866" priority="5791" operator="lessThan">
      <formula>0</formula>
    </cfRule>
  </conditionalFormatting>
  <conditionalFormatting sqref="AX91">
    <cfRule type="cellIs" dxfId="9865" priority="5790" operator="greaterThanOrEqual">
      <formula>0</formula>
    </cfRule>
  </conditionalFormatting>
  <conditionalFormatting sqref="AX91">
    <cfRule type="cellIs" dxfId="9864" priority="5789" operator="lessThan">
      <formula>0</formula>
    </cfRule>
  </conditionalFormatting>
  <conditionalFormatting sqref="AX104">
    <cfRule type="cellIs" dxfId="9863" priority="5788" operator="greaterThanOrEqual">
      <formula>0</formula>
    </cfRule>
  </conditionalFormatting>
  <conditionalFormatting sqref="AX104">
    <cfRule type="cellIs" dxfId="9862" priority="5787" operator="lessThan">
      <formula>0</formula>
    </cfRule>
  </conditionalFormatting>
  <conditionalFormatting sqref="AX107">
    <cfRule type="cellIs" dxfId="9861" priority="5786" operator="greaterThanOrEqual">
      <formula>0</formula>
    </cfRule>
  </conditionalFormatting>
  <conditionalFormatting sqref="AX107">
    <cfRule type="cellIs" dxfId="9860" priority="5785" operator="lessThan">
      <formula>0</formula>
    </cfRule>
  </conditionalFormatting>
  <conditionalFormatting sqref="AX110">
    <cfRule type="cellIs" dxfId="9859" priority="5784" operator="greaterThanOrEqual">
      <formula>0</formula>
    </cfRule>
  </conditionalFormatting>
  <conditionalFormatting sqref="AX110">
    <cfRule type="cellIs" dxfId="9858" priority="5783" operator="lessThan">
      <formula>0</formula>
    </cfRule>
  </conditionalFormatting>
  <conditionalFormatting sqref="AX113">
    <cfRule type="cellIs" dxfId="9857" priority="5782" operator="greaterThanOrEqual">
      <formula>0</formula>
    </cfRule>
  </conditionalFormatting>
  <conditionalFormatting sqref="AX113">
    <cfRule type="cellIs" dxfId="9856" priority="5781" operator="lessThan">
      <formula>0</formula>
    </cfRule>
  </conditionalFormatting>
  <conditionalFormatting sqref="AX114">
    <cfRule type="cellIs" dxfId="9855" priority="5780" operator="greaterThanOrEqual">
      <formula>0</formula>
    </cfRule>
  </conditionalFormatting>
  <conditionalFormatting sqref="AX114">
    <cfRule type="cellIs" dxfId="9854" priority="5779" operator="lessThan">
      <formula>0</formula>
    </cfRule>
  </conditionalFormatting>
  <conditionalFormatting sqref="AX122">
    <cfRule type="cellIs" dxfId="9853" priority="5778" operator="greaterThanOrEqual">
      <formula>0</formula>
    </cfRule>
  </conditionalFormatting>
  <conditionalFormatting sqref="AX122">
    <cfRule type="cellIs" dxfId="9852" priority="5777" operator="lessThan">
      <formula>0</formula>
    </cfRule>
  </conditionalFormatting>
  <conditionalFormatting sqref="AX128">
    <cfRule type="cellIs" dxfId="9851" priority="5776" operator="greaterThanOrEqual">
      <formula>0</formula>
    </cfRule>
  </conditionalFormatting>
  <conditionalFormatting sqref="AX128">
    <cfRule type="cellIs" dxfId="9850" priority="5775" operator="lessThan">
      <formula>0</formula>
    </cfRule>
  </conditionalFormatting>
  <conditionalFormatting sqref="AX129">
    <cfRule type="cellIs" dxfId="9849" priority="5774" operator="greaterThanOrEqual">
      <formula>0</formula>
    </cfRule>
  </conditionalFormatting>
  <conditionalFormatting sqref="AX129">
    <cfRule type="cellIs" dxfId="9848" priority="5773" operator="lessThan">
      <formula>0</formula>
    </cfRule>
  </conditionalFormatting>
  <conditionalFormatting sqref="AX105:AX106">
    <cfRule type="cellIs" dxfId="9847" priority="5771" operator="lessThan">
      <formula>0</formula>
    </cfRule>
    <cfRule type="cellIs" dxfId="9846" priority="5772" operator="greaterThanOrEqual">
      <formula>0</formula>
    </cfRule>
  </conditionalFormatting>
  <conditionalFormatting sqref="AX108:AX109">
    <cfRule type="cellIs" dxfId="9845" priority="5769" operator="lessThan">
      <formula>0</formula>
    </cfRule>
    <cfRule type="cellIs" dxfId="9844" priority="5770" operator="greaterThanOrEqual">
      <formula>0</formula>
    </cfRule>
  </conditionalFormatting>
  <conditionalFormatting sqref="AX120:AX121">
    <cfRule type="cellIs" dxfId="9843" priority="5767" operator="lessThan">
      <formula>0</formula>
    </cfRule>
    <cfRule type="cellIs" dxfId="9842" priority="5768" operator="greaterThanOrEqual">
      <formula>0</formula>
    </cfRule>
  </conditionalFormatting>
  <conditionalFormatting sqref="AX123:AX124">
    <cfRule type="cellIs" dxfId="9841" priority="5765" operator="lessThan">
      <formula>0</formula>
    </cfRule>
    <cfRule type="cellIs" dxfId="9840" priority="5766" operator="greaterThanOrEqual">
      <formula>0</formula>
    </cfRule>
  </conditionalFormatting>
  <conditionalFormatting sqref="AX126:AX127">
    <cfRule type="cellIs" dxfId="9839" priority="5763" operator="lessThan">
      <formula>0</formula>
    </cfRule>
    <cfRule type="cellIs" dxfId="9838" priority="5764" operator="greaterThanOrEqual">
      <formula>0</formula>
    </cfRule>
  </conditionalFormatting>
  <conditionalFormatting sqref="AY114">
    <cfRule type="cellIs" dxfId="9837" priority="5761" operator="greaterThan">
      <formula>0</formula>
    </cfRule>
    <cfRule type="cellIs" dxfId="9836" priority="5762" operator="lessThanOrEqual">
      <formula>0</formula>
    </cfRule>
  </conditionalFormatting>
  <conditionalFormatting sqref="AX118">
    <cfRule type="cellIs" dxfId="9835" priority="5760" operator="greaterThanOrEqual">
      <formula>0</formula>
    </cfRule>
  </conditionalFormatting>
  <conditionalFormatting sqref="AX118">
    <cfRule type="cellIs" dxfId="9834" priority="5759" operator="lessThan">
      <formula>0</formula>
    </cfRule>
  </conditionalFormatting>
  <conditionalFormatting sqref="AY118">
    <cfRule type="cellIs" dxfId="9833" priority="5757" operator="greaterThan">
      <formula>0</formula>
    </cfRule>
    <cfRule type="cellIs" dxfId="9832" priority="5758" operator="lessThanOrEqual">
      <formula>0</formula>
    </cfRule>
  </conditionalFormatting>
  <conditionalFormatting sqref="BC76:BC77">
    <cfRule type="cellIs" dxfId="9831" priority="5755" operator="greaterThan">
      <formula>0</formula>
    </cfRule>
    <cfRule type="cellIs" dxfId="9830" priority="5756" operator="lessThanOrEqual">
      <formula>0</formula>
    </cfRule>
  </conditionalFormatting>
  <conditionalFormatting sqref="BC79:BC80">
    <cfRule type="cellIs" dxfId="9829" priority="5753" operator="greaterThan">
      <formula>0</formula>
    </cfRule>
    <cfRule type="cellIs" dxfId="9828" priority="5754" operator="lessThanOrEqual">
      <formula>0</formula>
    </cfRule>
  </conditionalFormatting>
  <conditionalFormatting sqref="BC82:BC83">
    <cfRule type="cellIs" dxfId="9827" priority="5751" operator="greaterThan">
      <formula>0</formula>
    </cfRule>
    <cfRule type="cellIs" dxfId="9826" priority="5752" operator="lessThanOrEqual">
      <formula>0</formula>
    </cfRule>
  </conditionalFormatting>
  <conditionalFormatting sqref="BC92:BC93">
    <cfRule type="cellIs" dxfId="9825" priority="5749" operator="greaterThan">
      <formula>0</formula>
    </cfRule>
    <cfRule type="cellIs" dxfId="9824" priority="5750" operator="lessThanOrEqual">
      <formula>0</formula>
    </cfRule>
  </conditionalFormatting>
  <conditionalFormatting sqref="BC85:BC86">
    <cfRule type="cellIs" dxfId="9823" priority="5747" operator="greaterThan">
      <formula>0</formula>
    </cfRule>
    <cfRule type="cellIs" dxfId="9822" priority="5748" operator="lessThanOrEqual">
      <formula>0</formula>
    </cfRule>
  </conditionalFormatting>
  <conditionalFormatting sqref="BC98:BC99">
    <cfRule type="cellIs" dxfId="9821" priority="5743" operator="greaterThan">
      <formula>0</formula>
    </cfRule>
    <cfRule type="cellIs" dxfId="9820" priority="5744" operator="lessThanOrEqual">
      <formula>0</formula>
    </cfRule>
  </conditionalFormatting>
  <conditionalFormatting sqref="BC101:BC102">
    <cfRule type="cellIs" dxfId="9819" priority="5741" operator="greaterThan">
      <formula>0</formula>
    </cfRule>
    <cfRule type="cellIs" dxfId="9818" priority="5742" operator="lessThanOrEqual">
      <formula>0</formula>
    </cfRule>
  </conditionalFormatting>
  <conditionalFormatting sqref="BC111:BC112">
    <cfRule type="cellIs" dxfId="9817" priority="5739" operator="greaterThan">
      <formula>0</formula>
    </cfRule>
    <cfRule type="cellIs" dxfId="9816" priority="5740" operator="lessThanOrEqual">
      <formula>0</formula>
    </cfRule>
  </conditionalFormatting>
  <conditionalFormatting sqref="BC126:BC127">
    <cfRule type="cellIs" dxfId="9815" priority="5737" operator="greaterThan">
      <formula>0</formula>
    </cfRule>
    <cfRule type="cellIs" dxfId="9814" priority="5738" operator="lessThanOrEqual">
      <formula>0</formula>
    </cfRule>
  </conditionalFormatting>
  <conditionalFormatting sqref="BC116:BC117">
    <cfRule type="cellIs" dxfId="9813" priority="5735" operator="greaterThan">
      <formula>0</formula>
    </cfRule>
    <cfRule type="cellIs" dxfId="9812" priority="5736" operator="lessThanOrEqual">
      <formula>0</formula>
    </cfRule>
  </conditionalFormatting>
  <conditionalFormatting sqref="BC78">
    <cfRule type="cellIs" dxfId="9811" priority="5733" operator="greaterThan">
      <formula>0</formula>
    </cfRule>
    <cfRule type="cellIs" dxfId="9810" priority="5734" operator="lessThanOrEqual">
      <formula>0</formula>
    </cfRule>
  </conditionalFormatting>
  <conditionalFormatting sqref="BC81">
    <cfRule type="cellIs" dxfId="9809" priority="5731" operator="greaterThan">
      <formula>0</formula>
    </cfRule>
    <cfRule type="cellIs" dxfId="9808" priority="5732" operator="lessThanOrEqual">
      <formula>0</formula>
    </cfRule>
  </conditionalFormatting>
  <conditionalFormatting sqref="BC84">
    <cfRule type="cellIs" dxfId="9807" priority="5729" operator="greaterThan">
      <formula>0</formula>
    </cfRule>
    <cfRule type="cellIs" dxfId="9806" priority="5730" operator="lessThanOrEqual">
      <formula>0</formula>
    </cfRule>
  </conditionalFormatting>
  <conditionalFormatting sqref="BC94">
    <cfRule type="cellIs" dxfId="9805" priority="5727" operator="greaterThan">
      <formula>0</formula>
    </cfRule>
    <cfRule type="cellIs" dxfId="9804" priority="5728" operator="lessThanOrEqual">
      <formula>0</formula>
    </cfRule>
  </conditionalFormatting>
  <conditionalFormatting sqref="BC87">
    <cfRule type="cellIs" dxfId="9803" priority="5725" operator="greaterThan">
      <formula>0</formula>
    </cfRule>
    <cfRule type="cellIs" dxfId="9802" priority="5726" operator="lessThanOrEqual">
      <formula>0</formula>
    </cfRule>
  </conditionalFormatting>
  <conditionalFormatting sqref="BC97">
    <cfRule type="cellIs" dxfId="9801" priority="5723" operator="greaterThan">
      <formula>0</formula>
    </cfRule>
    <cfRule type="cellIs" dxfId="9800" priority="5724" operator="lessThanOrEqual">
      <formula>0</formula>
    </cfRule>
  </conditionalFormatting>
  <conditionalFormatting sqref="BC100">
    <cfRule type="cellIs" dxfId="9799" priority="5721" operator="greaterThan">
      <formula>0</formula>
    </cfRule>
    <cfRule type="cellIs" dxfId="9798" priority="5722" operator="lessThanOrEqual">
      <formula>0</formula>
    </cfRule>
  </conditionalFormatting>
  <conditionalFormatting sqref="BC103">
    <cfRule type="cellIs" dxfId="9797" priority="5719" operator="greaterThan">
      <formula>0</formula>
    </cfRule>
    <cfRule type="cellIs" dxfId="9796" priority="5720" operator="lessThanOrEqual">
      <formula>0</formula>
    </cfRule>
  </conditionalFormatting>
  <conditionalFormatting sqref="BC89">
    <cfRule type="cellIs" dxfId="9795" priority="5717" operator="greaterThan">
      <formula>0</formula>
    </cfRule>
    <cfRule type="cellIs" dxfId="9794" priority="5718" operator="lessThanOrEqual">
      <formula>0</formula>
    </cfRule>
  </conditionalFormatting>
  <conditionalFormatting sqref="BC129">
    <cfRule type="cellIs" dxfId="9793" priority="5715" operator="greaterThan">
      <formula>0</formula>
    </cfRule>
    <cfRule type="cellIs" dxfId="9792" priority="5716" operator="lessThanOrEqual">
      <formula>0</formula>
    </cfRule>
  </conditionalFormatting>
  <conditionalFormatting sqref="BB76:BB77 BB79:BB80 BB82:BB83 BB85:BB86 BB92:BB93 BB95:BB96 BB98:BB99 BB101:BB102 BB111:BB112 BB116:BB117">
    <cfRule type="cellIs" dxfId="9791" priority="5713" operator="lessThan">
      <formula>0</formula>
    </cfRule>
    <cfRule type="cellIs" dxfId="9790" priority="5714" operator="greaterThanOrEqual">
      <formula>0</formula>
    </cfRule>
  </conditionalFormatting>
  <conditionalFormatting sqref="BB78 BB81 BB84 BB87 BB89 BB94 BB97 BB100 BB103">
    <cfRule type="cellIs" dxfId="9789" priority="5712" operator="greaterThanOrEqual">
      <formula>0</formula>
    </cfRule>
  </conditionalFormatting>
  <conditionalFormatting sqref="BB78 BB81 BB84 BB87 BB89 BB94 BB97 BB100 BB103">
    <cfRule type="cellIs" dxfId="9788" priority="5711" operator="lessThan">
      <formula>0</formula>
    </cfRule>
  </conditionalFormatting>
  <conditionalFormatting sqref="BB125">
    <cfRule type="cellIs" dxfId="9787" priority="5690" operator="greaterThanOrEqual">
      <formula>0</formula>
    </cfRule>
  </conditionalFormatting>
  <conditionalFormatting sqref="BB125">
    <cfRule type="cellIs" dxfId="9786" priority="5689" operator="lessThan">
      <formula>0</formula>
    </cfRule>
  </conditionalFormatting>
  <conditionalFormatting sqref="BC114">
    <cfRule type="cellIs" dxfId="9785" priority="5705" operator="greaterThan">
      <formula>0</formula>
    </cfRule>
    <cfRule type="cellIs" dxfId="9784" priority="5706" operator="lessThanOrEqual">
      <formula>0</formula>
    </cfRule>
  </conditionalFormatting>
  <conditionalFormatting sqref="BC107">
    <cfRule type="cellIs" dxfId="9783" priority="5699" operator="greaterThan">
      <formula>0</formula>
    </cfRule>
    <cfRule type="cellIs" dxfId="9782" priority="5700" operator="lessThanOrEqual">
      <formula>0</formula>
    </cfRule>
  </conditionalFormatting>
  <conditionalFormatting sqref="BC110">
    <cfRule type="cellIs" dxfId="9781" priority="5697" operator="greaterThan">
      <formula>0</formula>
    </cfRule>
    <cfRule type="cellIs" dxfId="9780" priority="5698" operator="lessThanOrEqual">
      <formula>0</formula>
    </cfRule>
  </conditionalFormatting>
  <conditionalFormatting sqref="BC113">
    <cfRule type="cellIs" dxfId="9779" priority="5695" operator="greaterThan">
      <formula>0</formula>
    </cfRule>
    <cfRule type="cellIs" dxfId="9778" priority="5696" operator="lessThanOrEqual">
      <formula>0</formula>
    </cfRule>
  </conditionalFormatting>
  <conditionalFormatting sqref="BC91">
    <cfRule type="cellIs" dxfId="9777" priority="5709" operator="greaterThan">
      <formula>0</formula>
    </cfRule>
    <cfRule type="cellIs" dxfId="9776" priority="5710" operator="lessThanOrEqual">
      <formula>0</formula>
    </cfRule>
  </conditionalFormatting>
  <conditionalFormatting sqref="BC104">
    <cfRule type="cellIs" dxfId="9775" priority="5707" operator="greaterThan">
      <formula>0</formula>
    </cfRule>
    <cfRule type="cellIs" dxfId="9774" priority="5708" operator="lessThanOrEqual">
      <formula>0</formula>
    </cfRule>
  </conditionalFormatting>
  <conditionalFormatting sqref="BC105:BC106 BC108:BC109">
    <cfRule type="cellIs" dxfId="9773" priority="5703" operator="greaterThan">
      <formula>0</formula>
    </cfRule>
    <cfRule type="cellIs" dxfId="9772" priority="5704" operator="lessThanOrEqual">
      <formula>0</formula>
    </cfRule>
  </conditionalFormatting>
  <conditionalFormatting sqref="BC120:BC121 BC123:BC124">
    <cfRule type="cellIs" dxfId="9771" priority="5701" operator="greaterThan">
      <formula>0</formula>
    </cfRule>
    <cfRule type="cellIs" dxfId="9770" priority="5702" operator="lessThanOrEqual">
      <formula>0</formula>
    </cfRule>
  </conditionalFormatting>
  <conditionalFormatting sqref="BC122">
    <cfRule type="cellIs" dxfId="9769" priority="5693" operator="greaterThan">
      <formula>0</formula>
    </cfRule>
    <cfRule type="cellIs" dxfId="9768" priority="5694" operator="lessThanOrEqual">
      <formula>0</formula>
    </cfRule>
  </conditionalFormatting>
  <conditionalFormatting sqref="BC125">
    <cfRule type="cellIs" dxfId="9767" priority="5691" operator="greaterThan">
      <formula>0</formula>
    </cfRule>
    <cfRule type="cellIs" dxfId="9766" priority="5692" operator="lessThanOrEqual">
      <formula>0</formula>
    </cfRule>
  </conditionalFormatting>
  <conditionalFormatting sqref="BC128">
    <cfRule type="cellIs" dxfId="9765" priority="5687" operator="greaterThan">
      <formula>0</formula>
    </cfRule>
    <cfRule type="cellIs" dxfId="9764" priority="5688" operator="lessThanOrEqual">
      <formula>0</formula>
    </cfRule>
  </conditionalFormatting>
  <conditionalFormatting sqref="BC88">
    <cfRule type="cellIs" dxfId="9763" priority="5685" operator="greaterThan">
      <formula>0</formula>
    </cfRule>
    <cfRule type="cellIs" dxfId="9762" priority="5686" operator="lessThanOrEqual">
      <formula>0</formula>
    </cfRule>
  </conditionalFormatting>
  <conditionalFormatting sqref="BC119">
    <cfRule type="cellIs" dxfId="9761" priority="5683" operator="greaterThan">
      <formula>0</formula>
    </cfRule>
    <cfRule type="cellIs" dxfId="9760" priority="5684" operator="lessThanOrEqual">
      <formula>0</formula>
    </cfRule>
  </conditionalFormatting>
  <conditionalFormatting sqref="BB119">
    <cfRule type="cellIs" dxfId="9759" priority="5682" operator="greaterThanOrEqual">
      <formula>0</formula>
    </cfRule>
  </conditionalFormatting>
  <conditionalFormatting sqref="BB119">
    <cfRule type="cellIs" dxfId="9758" priority="5681" operator="lessThan">
      <formula>0</formula>
    </cfRule>
  </conditionalFormatting>
  <conditionalFormatting sqref="BC115">
    <cfRule type="cellIs" dxfId="9757" priority="5679" operator="greaterThan">
      <formula>0</formula>
    </cfRule>
    <cfRule type="cellIs" dxfId="9756" priority="5680" operator="lessThanOrEqual">
      <formula>0</formula>
    </cfRule>
  </conditionalFormatting>
  <conditionalFormatting sqref="BB115">
    <cfRule type="cellIs" dxfId="9755" priority="5678" operator="greaterThanOrEqual">
      <formula>0</formula>
    </cfRule>
  </conditionalFormatting>
  <conditionalFormatting sqref="BB115">
    <cfRule type="cellIs" dxfId="9754" priority="5677" operator="lessThan">
      <formula>0</formula>
    </cfRule>
  </conditionalFormatting>
  <conditionalFormatting sqref="BB88">
    <cfRule type="cellIs" dxfId="9753" priority="5676" operator="greaterThanOrEqual">
      <formula>0</formula>
    </cfRule>
  </conditionalFormatting>
  <conditionalFormatting sqref="BB88">
    <cfRule type="cellIs" dxfId="9752" priority="5675" operator="lessThan">
      <formula>0</formula>
    </cfRule>
  </conditionalFormatting>
  <conditionalFormatting sqref="BB91">
    <cfRule type="cellIs" dxfId="9751" priority="5674" operator="greaterThanOrEqual">
      <formula>0</formula>
    </cfRule>
  </conditionalFormatting>
  <conditionalFormatting sqref="BB91">
    <cfRule type="cellIs" dxfId="9750" priority="5673" operator="lessThan">
      <formula>0</formula>
    </cfRule>
  </conditionalFormatting>
  <conditionalFormatting sqref="BB104">
    <cfRule type="cellIs" dxfId="9749" priority="5672" operator="greaterThanOrEqual">
      <formula>0</formula>
    </cfRule>
  </conditionalFormatting>
  <conditionalFormatting sqref="BB104">
    <cfRule type="cellIs" dxfId="9748" priority="5671" operator="lessThan">
      <formula>0</formula>
    </cfRule>
  </conditionalFormatting>
  <conditionalFormatting sqref="BB110">
    <cfRule type="cellIs" dxfId="9747" priority="5668" operator="greaterThanOrEqual">
      <formula>0</formula>
    </cfRule>
  </conditionalFormatting>
  <conditionalFormatting sqref="BB110">
    <cfRule type="cellIs" dxfId="9746" priority="5667" operator="lessThan">
      <formula>0</formula>
    </cfRule>
  </conditionalFormatting>
  <conditionalFormatting sqref="BB113">
    <cfRule type="cellIs" dxfId="9745" priority="5666" operator="greaterThanOrEqual">
      <formula>0</formula>
    </cfRule>
  </conditionalFormatting>
  <conditionalFormatting sqref="BB113">
    <cfRule type="cellIs" dxfId="9744" priority="5665" operator="lessThan">
      <formula>0</formula>
    </cfRule>
  </conditionalFormatting>
  <conditionalFormatting sqref="BB114">
    <cfRule type="cellIs" dxfId="9743" priority="5664" operator="greaterThanOrEqual">
      <formula>0</formula>
    </cfRule>
  </conditionalFormatting>
  <conditionalFormatting sqref="BB114">
    <cfRule type="cellIs" dxfId="9742" priority="5663" operator="lessThan">
      <formula>0</formula>
    </cfRule>
  </conditionalFormatting>
  <conditionalFormatting sqref="BB122">
    <cfRule type="cellIs" dxfId="9741" priority="5662" operator="greaterThanOrEqual">
      <formula>0</formula>
    </cfRule>
  </conditionalFormatting>
  <conditionalFormatting sqref="BB122">
    <cfRule type="cellIs" dxfId="9740" priority="5661" operator="lessThan">
      <formula>0</formula>
    </cfRule>
  </conditionalFormatting>
  <conditionalFormatting sqref="BB128">
    <cfRule type="cellIs" dxfId="9739" priority="5660" operator="greaterThanOrEqual">
      <formula>0</formula>
    </cfRule>
  </conditionalFormatting>
  <conditionalFormatting sqref="BB128">
    <cfRule type="cellIs" dxfId="9738" priority="5659" operator="lessThan">
      <formula>0</formula>
    </cfRule>
  </conditionalFormatting>
  <conditionalFormatting sqref="BB129">
    <cfRule type="cellIs" dxfId="9737" priority="5658" operator="greaterThanOrEqual">
      <formula>0</formula>
    </cfRule>
  </conditionalFormatting>
  <conditionalFormatting sqref="BB129">
    <cfRule type="cellIs" dxfId="9736" priority="5657" operator="lessThan">
      <formula>0</formula>
    </cfRule>
  </conditionalFormatting>
  <conditionalFormatting sqref="BB105:BB106">
    <cfRule type="cellIs" dxfId="9735" priority="5655" operator="lessThan">
      <formula>0</formula>
    </cfRule>
    <cfRule type="cellIs" dxfId="9734" priority="5656" operator="greaterThanOrEqual">
      <formula>0</formula>
    </cfRule>
  </conditionalFormatting>
  <conditionalFormatting sqref="BB108:BB109">
    <cfRule type="cellIs" dxfId="9733" priority="5653" operator="lessThan">
      <formula>0</formula>
    </cfRule>
    <cfRule type="cellIs" dxfId="9732" priority="5654" operator="greaterThanOrEqual">
      <formula>0</formula>
    </cfRule>
  </conditionalFormatting>
  <conditionalFormatting sqref="BB120:BB121">
    <cfRule type="cellIs" dxfId="9731" priority="5651" operator="lessThan">
      <formula>0</formula>
    </cfRule>
    <cfRule type="cellIs" dxfId="9730" priority="5652" operator="greaterThanOrEqual">
      <formula>0</formula>
    </cfRule>
  </conditionalFormatting>
  <conditionalFormatting sqref="BB123:BB124">
    <cfRule type="cellIs" dxfId="9729" priority="5649" operator="lessThan">
      <formula>0</formula>
    </cfRule>
    <cfRule type="cellIs" dxfId="9728" priority="5650" operator="greaterThanOrEqual">
      <formula>0</formula>
    </cfRule>
  </conditionalFormatting>
  <conditionalFormatting sqref="BB126:BB127">
    <cfRule type="cellIs" dxfId="9727" priority="5647" operator="lessThan">
      <formula>0</formula>
    </cfRule>
    <cfRule type="cellIs" dxfId="9726" priority="5648" operator="greaterThanOrEqual">
      <formula>0</formula>
    </cfRule>
  </conditionalFormatting>
  <conditionalFormatting sqref="BC130">
    <cfRule type="cellIs" dxfId="9725" priority="5645" operator="greaterThan">
      <formula>0</formula>
    </cfRule>
    <cfRule type="cellIs" dxfId="9724" priority="5646" operator="lessThanOrEqual">
      <formula>0</formula>
    </cfRule>
  </conditionalFormatting>
  <conditionalFormatting sqref="BB130">
    <cfRule type="cellIs" dxfId="9723" priority="5643" operator="greaterThanOrEqual">
      <formula>0</formula>
    </cfRule>
    <cfRule type="cellIs" dxfId="9722" priority="5644" operator="lessThan">
      <formula>0</formula>
    </cfRule>
  </conditionalFormatting>
  <conditionalFormatting sqref="BC118">
    <cfRule type="cellIs" dxfId="9721" priority="5641" operator="greaterThan">
      <formula>0</formula>
    </cfRule>
    <cfRule type="cellIs" dxfId="9720" priority="5642" operator="lessThanOrEqual">
      <formula>0</formula>
    </cfRule>
  </conditionalFormatting>
  <conditionalFormatting sqref="BB118">
    <cfRule type="cellIs" dxfId="9719" priority="5640" operator="greaterThanOrEqual">
      <formula>0</formula>
    </cfRule>
  </conditionalFormatting>
  <conditionalFormatting sqref="BB118">
    <cfRule type="cellIs" dxfId="9718" priority="5639" operator="lessThan">
      <formula>0</formula>
    </cfRule>
  </conditionalFormatting>
  <conditionalFormatting sqref="BE78 BE87 BE81 BE84 BE94 BE97 BE100 BE103">
    <cfRule type="cellIs" dxfId="9717" priority="5636" operator="greaterThanOrEqual">
      <formula>0</formula>
    </cfRule>
  </conditionalFormatting>
  <conditionalFormatting sqref="BE78 BE87 BE81 BE84 BE94 BE97 BE100 BE103">
    <cfRule type="cellIs" dxfId="9716" priority="5635" operator="lessThan">
      <formula>0</formula>
    </cfRule>
  </conditionalFormatting>
  <conditionalFormatting sqref="BE130">
    <cfRule type="cellIs" dxfId="9715" priority="5633" operator="greaterThanOrEqual">
      <formula>0</formula>
    </cfRule>
    <cfRule type="cellIs" dxfId="9714" priority="5634" operator="lessThan">
      <formula>0</formula>
    </cfRule>
  </conditionalFormatting>
  <conditionalFormatting sqref="BF76:BF77">
    <cfRule type="cellIs" dxfId="9713" priority="5631" operator="greaterThan">
      <formula>0</formula>
    </cfRule>
    <cfRule type="cellIs" dxfId="9712" priority="5632" operator="lessThanOrEqual">
      <formula>0</formula>
    </cfRule>
  </conditionalFormatting>
  <conditionalFormatting sqref="BF78 BF87 BF81 BF84 BF94 BF97 BF100 BF103">
    <cfRule type="cellIs" dxfId="9711" priority="5630" operator="greaterThanOrEqual">
      <formula>0</formula>
    </cfRule>
  </conditionalFormatting>
  <conditionalFormatting sqref="BF78 BF87 BF81 BF84 BF94 BF97 BF100 BF103">
    <cfRule type="cellIs" dxfId="9710" priority="5629" operator="lessThan">
      <formula>0</formula>
    </cfRule>
  </conditionalFormatting>
  <conditionalFormatting sqref="BF130">
    <cfRule type="cellIs" dxfId="9709" priority="5627" operator="lessThan">
      <formula>0</formula>
    </cfRule>
    <cfRule type="cellIs" dxfId="9708" priority="5628" operator="greaterThanOrEqual">
      <formula>0</formula>
    </cfRule>
  </conditionalFormatting>
  <conditionalFormatting sqref="BF115">
    <cfRule type="cellIs" dxfId="9707" priority="5623" operator="lessThan">
      <formula>0</formula>
    </cfRule>
  </conditionalFormatting>
  <conditionalFormatting sqref="BE115">
    <cfRule type="cellIs" dxfId="9706" priority="5626" operator="greaterThanOrEqual">
      <formula>0</formula>
    </cfRule>
  </conditionalFormatting>
  <conditionalFormatting sqref="BE115">
    <cfRule type="cellIs" dxfId="9705" priority="5625" operator="lessThan">
      <formula>0</formula>
    </cfRule>
  </conditionalFormatting>
  <conditionalFormatting sqref="BF115">
    <cfRule type="cellIs" dxfId="9704" priority="5624" operator="greaterThanOrEqual">
      <formula>0</formula>
    </cfRule>
  </conditionalFormatting>
  <conditionalFormatting sqref="BE105:BE106">
    <cfRule type="cellIs" dxfId="9703" priority="5621" operator="lessThan">
      <formula>0</formula>
    </cfRule>
    <cfRule type="cellIs" dxfId="9702" priority="5622" operator="greaterThanOrEqual">
      <formula>0</formula>
    </cfRule>
  </conditionalFormatting>
  <conditionalFormatting sqref="BE108:BE109">
    <cfRule type="cellIs" dxfId="9701" priority="5619" operator="lessThan">
      <formula>0</formula>
    </cfRule>
    <cfRule type="cellIs" dxfId="9700" priority="5620" operator="greaterThanOrEqual">
      <formula>0</formula>
    </cfRule>
  </conditionalFormatting>
  <conditionalFormatting sqref="BE116:BE117">
    <cfRule type="cellIs" dxfId="9699" priority="5617" operator="lessThan">
      <formula>0</formula>
    </cfRule>
    <cfRule type="cellIs" dxfId="9698" priority="5618" operator="greaterThanOrEqual">
      <formula>0</formula>
    </cfRule>
  </conditionalFormatting>
  <conditionalFormatting sqref="BE120:BE121">
    <cfRule type="cellIs" dxfId="9697" priority="5615" operator="lessThan">
      <formula>0</formula>
    </cfRule>
    <cfRule type="cellIs" dxfId="9696" priority="5616" operator="greaterThanOrEqual">
      <formula>0</formula>
    </cfRule>
  </conditionalFormatting>
  <conditionalFormatting sqref="BE123:BE124">
    <cfRule type="cellIs" dxfId="9695" priority="5613" operator="lessThan">
      <formula>0</formula>
    </cfRule>
    <cfRule type="cellIs" dxfId="9694" priority="5614" operator="greaterThanOrEqual">
      <formula>0</formula>
    </cfRule>
  </conditionalFormatting>
  <conditionalFormatting sqref="BE126:BE127">
    <cfRule type="cellIs" dxfId="9693" priority="5611" operator="lessThan">
      <formula>0</formula>
    </cfRule>
    <cfRule type="cellIs" dxfId="9692" priority="5612" operator="greaterThanOrEqual">
      <formula>0</formula>
    </cfRule>
  </conditionalFormatting>
  <conditionalFormatting sqref="BE88">
    <cfRule type="cellIs" dxfId="9691" priority="5610" operator="greaterThanOrEqual">
      <formula>0</formula>
    </cfRule>
  </conditionalFormatting>
  <conditionalFormatting sqref="BE88">
    <cfRule type="cellIs" dxfId="9690" priority="5609" operator="lessThan">
      <formula>0</formula>
    </cfRule>
  </conditionalFormatting>
  <conditionalFormatting sqref="BE89">
    <cfRule type="cellIs" dxfId="9689" priority="5608" operator="greaterThanOrEqual">
      <formula>0</formula>
    </cfRule>
  </conditionalFormatting>
  <conditionalFormatting sqref="BE89">
    <cfRule type="cellIs" dxfId="9688" priority="5607" operator="lessThan">
      <formula>0</formula>
    </cfRule>
  </conditionalFormatting>
  <conditionalFormatting sqref="BE91">
    <cfRule type="cellIs" dxfId="9687" priority="5606" operator="greaterThanOrEqual">
      <formula>0</formula>
    </cfRule>
  </conditionalFormatting>
  <conditionalFormatting sqref="BE91">
    <cfRule type="cellIs" dxfId="9686" priority="5605" operator="lessThan">
      <formula>0</formula>
    </cfRule>
  </conditionalFormatting>
  <conditionalFormatting sqref="BE104">
    <cfRule type="cellIs" dxfId="9685" priority="5604" operator="greaterThanOrEqual">
      <formula>0</formula>
    </cfRule>
  </conditionalFormatting>
  <conditionalFormatting sqref="BE104">
    <cfRule type="cellIs" dxfId="9684" priority="5603" operator="lessThan">
      <formula>0</formula>
    </cfRule>
  </conditionalFormatting>
  <conditionalFormatting sqref="BE110">
    <cfRule type="cellIs" dxfId="9683" priority="5600" operator="greaterThanOrEqual">
      <formula>0</formula>
    </cfRule>
  </conditionalFormatting>
  <conditionalFormatting sqref="BE110">
    <cfRule type="cellIs" dxfId="9682" priority="5599" operator="lessThan">
      <formula>0</formula>
    </cfRule>
  </conditionalFormatting>
  <conditionalFormatting sqref="BE113">
    <cfRule type="cellIs" dxfId="9681" priority="5598" operator="greaterThanOrEqual">
      <formula>0</formula>
    </cfRule>
  </conditionalFormatting>
  <conditionalFormatting sqref="BE113">
    <cfRule type="cellIs" dxfId="9680" priority="5597" operator="lessThan">
      <formula>0</formula>
    </cfRule>
  </conditionalFormatting>
  <conditionalFormatting sqref="BE122">
    <cfRule type="cellIs" dxfId="9679" priority="5594" operator="greaterThanOrEqual">
      <formula>0</formula>
    </cfRule>
  </conditionalFormatting>
  <conditionalFormatting sqref="BE122">
    <cfRule type="cellIs" dxfId="9678" priority="5593" operator="lessThan">
      <formula>0</formula>
    </cfRule>
  </conditionalFormatting>
  <conditionalFormatting sqref="BE125">
    <cfRule type="cellIs" dxfId="9677" priority="5592" operator="greaterThanOrEqual">
      <formula>0</formula>
    </cfRule>
  </conditionalFormatting>
  <conditionalFormatting sqref="BE125">
    <cfRule type="cellIs" dxfId="9676" priority="5591" operator="lessThan">
      <formula>0</formula>
    </cfRule>
  </conditionalFormatting>
  <conditionalFormatting sqref="BE128">
    <cfRule type="cellIs" dxfId="9675" priority="5590" operator="greaterThanOrEqual">
      <formula>0</formula>
    </cfRule>
  </conditionalFormatting>
  <conditionalFormatting sqref="BE128">
    <cfRule type="cellIs" dxfId="9674" priority="5589" operator="lessThan">
      <formula>0</formula>
    </cfRule>
  </conditionalFormatting>
  <conditionalFormatting sqref="BE119">
    <cfRule type="cellIs" dxfId="9673" priority="5588" operator="greaterThanOrEqual">
      <formula>0</formula>
    </cfRule>
  </conditionalFormatting>
  <conditionalFormatting sqref="BE119">
    <cfRule type="cellIs" dxfId="9672" priority="5587" operator="lessThan">
      <formula>0</formula>
    </cfRule>
  </conditionalFormatting>
  <conditionalFormatting sqref="BE129">
    <cfRule type="cellIs" dxfId="9671" priority="5586" operator="greaterThanOrEqual">
      <formula>0</formula>
    </cfRule>
  </conditionalFormatting>
  <conditionalFormatting sqref="BE129">
    <cfRule type="cellIs" dxfId="9670" priority="5585" operator="lessThan">
      <formula>0</formula>
    </cfRule>
  </conditionalFormatting>
  <conditionalFormatting sqref="BF79:BF80">
    <cfRule type="cellIs" dxfId="9669" priority="5583" operator="greaterThan">
      <formula>0</formula>
    </cfRule>
    <cfRule type="cellIs" dxfId="9668" priority="5584" operator="lessThanOrEqual">
      <formula>0</formula>
    </cfRule>
  </conditionalFormatting>
  <conditionalFormatting sqref="BF82:BF83">
    <cfRule type="cellIs" dxfId="9667" priority="5581" operator="greaterThan">
      <formula>0</formula>
    </cfRule>
    <cfRule type="cellIs" dxfId="9666" priority="5582" operator="lessThanOrEqual">
      <formula>0</formula>
    </cfRule>
  </conditionalFormatting>
  <conditionalFormatting sqref="BF85:BF86">
    <cfRule type="cellIs" dxfId="9665" priority="5579" operator="greaterThan">
      <formula>0</formula>
    </cfRule>
    <cfRule type="cellIs" dxfId="9664" priority="5580" operator="lessThanOrEqual">
      <formula>0</formula>
    </cfRule>
  </conditionalFormatting>
  <conditionalFormatting sqref="BF92:BF93">
    <cfRule type="cellIs" dxfId="9663" priority="5577" operator="greaterThan">
      <formula>0</formula>
    </cfRule>
    <cfRule type="cellIs" dxfId="9662" priority="5578" operator="lessThanOrEqual">
      <formula>0</formula>
    </cfRule>
  </conditionalFormatting>
  <conditionalFormatting sqref="BF95:BF96">
    <cfRule type="cellIs" dxfId="9661" priority="5575" operator="greaterThan">
      <formula>0</formula>
    </cfRule>
    <cfRule type="cellIs" dxfId="9660" priority="5576" operator="lessThanOrEqual">
      <formula>0</formula>
    </cfRule>
  </conditionalFormatting>
  <conditionalFormatting sqref="BF98:BF99">
    <cfRule type="cellIs" dxfId="9659" priority="5573" operator="greaterThan">
      <formula>0</formula>
    </cfRule>
    <cfRule type="cellIs" dxfId="9658" priority="5574" operator="lessThanOrEqual">
      <formula>0</formula>
    </cfRule>
  </conditionalFormatting>
  <conditionalFormatting sqref="BF101:BF102">
    <cfRule type="cellIs" dxfId="9657" priority="5571" operator="greaterThan">
      <formula>0</formula>
    </cfRule>
    <cfRule type="cellIs" dxfId="9656" priority="5572" operator="lessThanOrEqual">
      <formula>0</formula>
    </cfRule>
  </conditionalFormatting>
  <conditionalFormatting sqref="BF105:BF106">
    <cfRule type="cellIs" dxfId="9655" priority="5569" operator="greaterThan">
      <formula>0</formula>
    </cfRule>
    <cfRule type="cellIs" dxfId="9654" priority="5570" operator="lessThanOrEqual">
      <formula>0</formula>
    </cfRule>
  </conditionalFormatting>
  <conditionalFormatting sqref="BF108:BF109">
    <cfRule type="cellIs" dxfId="9653" priority="5567" operator="greaterThan">
      <formula>0</formula>
    </cfRule>
    <cfRule type="cellIs" dxfId="9652" priority="5568" operator="lessThanOrEqual">
      <formula>0</formula>
    </cfRule>
  </conditionalFormatting>
  <conditionalFormatting sqref="BF111:BF112">
    <cfRule type="cellIs" dxfId="9651" priority="5565" operator="greaterThan">
      <formula>0</formula>
    </cfRule>
    <cfRule type="cellIs" dxfId="9650" priority="5566" operator="lessThanOrEqual">
      <formula>0</formula>
    </cfRule>
  </conditionalFormatting>
  <conditionalFormatting sqref="BF116:BF117">
    <cfRule type="cellIs" dxfId="9649" priority="5563" operator="greaterThan">
      <formula>0</formula>
    </cfRule>
    <cfRule type="cellIs" dxfId="9648" priority="5564" operator="lessThanOrEqual">
      <formula>0</formula>
    </cfRule>
  </conditionalFormatting>
  <conditionalFormatting sqref="BF120:BF121">
    <cfRule type="cellIs" dxfId="9647" priority="5561" operator="greaterThan">
      <formula>0</formula>
    </cfRule>
    <cfRule type="cellIs" dxfId="9646" priority="5562" operator="lessThanOrEqual">
      <formula>0</formula>
    </cfRule>
  </conditionalFormatting>
  <conditionalFormatting sqref="BF126:BF127">
    <cfRule type="cellIs" dxfId="9645" priority="5557" operator="greaterThan">
      <formula>0</formula>
    </cfRule>
    <cfRule type="cellIs" dxfId="9644" priority="5558" operator="lessThanOrEqual">
      <formula>0</formula>
    </cfRule>
  </conditionalFormatting>
  <conditionalFormatting sqref="BF88">
    <cfRule type="cellIs" dxfId="9643" priority="5556" operator="greaterThanOrEqual">
      <formula>0</formula>
    </cfRule>
  </conditionalFormatting>
  <conditionalFormatting sqref="BF88">
    <cfRule type="cellIs" dxfId="9642" priority="5555" operator="lessThan">
      <formula>0</formula>
    </cfRule>
  </conditionalFormatting>
  <conditionalFormatting sqref="BF89">
    <cfRule type="cellIs" dxfId="9641" priority="5554" operator="greaterThanOrEqual">
      <formula>0</formula>
    </cfRule>
  </conditionalFormatting>
  <conditionalFormatting sqref="BF89">
    <cfRule type="cellIs" dxfId="9640" priority="5553" operator="lessThan">
      <formula>0</formula>
    </cfRule>
  </conditionalFormatting>
  <conditionalFormatting sqref="BF91">
    <cfRule type="cellIs" dxfId="9639" priority="5552" operator="greaterThanOrEqual">
      <formula>0</formula>
    </cfRule>
  </conditionalFormatting>
  <conditionalFormatting sqref="BF91">
    <cfRule type="cellIs" dxfId="9638" priority="5551" operator="lessThan">
      <formula>0</formula>
    </cfRule>
  </conditionalFormatting>
  <conditionalFormatting sqref="BF104">
    <cfRule type="cellIs" dxfId="9637" priority="5550" operator="greaterThanOrEqual">
      <formula>0</formula>
    </cfRule>
  </conditionalFormatting>
  <conditionalFormatting sqref="BF104">
    <cfRule type="cellIs" dxfId="9636" priority="5549" operator="lessThan">
      <formula>0</formula>
    </cfRule>
  </conditionalFormatting>
  <conditionalFormatting sqref="BF107">
    <cfRule type="cellIs" dxfId="9635" priority="5548" operator="greaterThanOrEqual">
      <formula>0</formula>
    </cfRule>
  </conditionalFormatting>
  <conditionalFormatting sqref="BF107">
    <cfRule type="cellIs" dxfId="9634" priority="5547" operator="lessThan">
      <formula>0</formula>
    </cfRule>
  </conditionalFormatting>
  <conditionalFormatting sqref="BF110">
    <cfRule type="cellIs" dxfId="9633" priority="5546" operator="greaterThanOrEqual">
      <formula>0</formula>
    </cfRule>
  </conditionalFormatting>
  <conditionalFormatting sqref="BF110">
    <cfRule type="cellIs" dxfId="9632" priority="5545" operator="lessThan">
      <formula>0</formula>
    </cfRule>
  </conditionalFormatting>
  <conditionalFormatting sqref="BF114">
    <cfRule type="cellIs" dxfId="9631" priority="5542" operator="greaterThanOrEqual">
      <formula>0</formula>
    </cfRule>
  </conditionalFormatting>
  <conditionalFormatting sqref="BF114">
    <cfRule type="cellIs" dxfId="9630" priority="5541" operator="lessThan">
      <formula>0</formula>
    </cfRule>
  </conditionalFormatting>
  <conditionalFormatting sqref="BF122">
    <cfRule type="cellIs" dxfId="9629" priority="5540" operator="greaterThanOrEqual">
      <formula>0</formula>
    </cfRule>
  </conditionalFormatting>
  <conditionalFormatting sqref="BF122">
    <cfRule type="cellIs" dxfId="9628" priority="5539" operator="lessThan">
      <formula>0</formula>
    </cfRule>
  </conditionalFormatting>
  <conditionalFormatting sqref="BE118">
    <cfRule type="cellIs" dxfId="9627" priority="5530" operator="greaterThanOrEqual">
      <formula>0</formula>
    </cfRule>
  </conditionalFormatting>
  <conditionalFormatting sqref="BE118">
    <cfRule type="cellIs" dxfId="9626" priority="5529" operator="lessThan">
      <formula>0</formula>
    </cfRule>
  </conditionalFormatting>
  <conditionalFormatting sqref="AY133">
    <cfRule type="cellIs" dxfId="9625" priority="5525" operator="lessThan">
      <formula>0</formula>
    </cfRule>
    <cfRule type="cellIs" dxfId="9624" priority="5526" operator="greaterThanOrEqual">
      <formula>0</formula>
    </cfRule>
  </conditionalFormatting>
  <conditionalFormatting sqref="AY176">
    <cfRule type="cellIs" dxfId="9623" priority="5523" operator="greaterThan">
      <formula>0</formula>
    </cfRule>
    <cfRule type="cellIs" dxfId="9622" priority="5524" operator="lessThanOrEqual">
      <formula>0</formula>
    </cfRule>
  </conditionalFormatting>
  <conditionalFormatting sqref="AX176">
    <cfRule type="cellIs" dxfId="9621" priority="5522" operator="greaterThanOrEqual">
      <formula>0</formula>
    </cfRule>
  </conditionalFormatting>
  <conditionalFormatting sqref="AX176">
    <cfRule type="cellIs" dxfId="9620" priority="5521" operator="lessThan">
      <formula>0</formula>
    </cfRule>
  </conditionalFormatting>
  <conditionalFormatting sqref="BB176">
    <cfRule type="cellIs" dxfId="9619" priority="5520" operator="greaterThanOrEqual">
      <formula>0</formula>
    </cfRule>
  </conditionalFormatting>
  <conditionalFormatting sqref="BB176">
    <cfRule type="cellIs" dxfId="9618" priority="5519" operator="lessThan">
      <formula>0</formula>
    </cfRule>
  </conditionalFormatting>
  <conditionalFormatting sqref="BE176">
    <cfRule type="cellIs" dxfId="9617" priority="5518" operator="greaterThanOrEqual">
      <formula>0</formula>
    </cfRule>
  </conditionalFormatting>
  <conditionalFormatting sqref="BE176">
    <cfRule type="cellIs" dxfId="9616" priority="5517" operator="lessThan">
      <formula>0</formula>
    </cfRule>
  </conditionalFormatting>
  <conditionalFormatting sqref="BF176">
    <cfRule type="cellIs" dxfId="9615" priority="5516" operator="greaterThanOrEqual">
      <formula>0</formula>
    </cfRule>
  </conditionalFormatting>
  <conditionalFormatting sqref="BF176">
    <cfRule type="cellIs" dxfId="9614" priority="5515" operator="lessThan">
      <formula>0</formula>
    </cfRule>
  </conditionalFormatting>
  <conditionalFormatting sqref="AY175">
    <cfRule type="cellIs" dxfId="9613" priority="5513" operator="greaterThan">
      <formula>0</formula>
    </cfRule>
    <cfRule type="cellIs" dxfId="9612" priority="5514" operator="lessThanOrEqual">
      <formula>0</formula>
    </cfRule>
  </conditionalFormatting>
  <conditionalFormatting sqref="AX175">
    <cfRule type="cellIs" dxfId="9611" priority="5512" operator="greaterThanOrEqual">
      <formula>0</formula>
    </cfRule>
  </conditionalFormatting>
  <conditionalFormatting sqref="AX175">
    <cfRule type="cellIs" dxfId="9610" priority="5511" operator="lessThan">
      <formula>0</formula>
    </cfRule>
  </conditionalFormatting>
  <conditionalFormatting sqref="BE175:BF175">
    <cfRule type="cellIs" dxfId="9609" priority="5508" operator="greaterThanOrEqual">
      <formula>0</formula>
    </cfRule>
  </conditionalFormatting>
  <conditionalFormatting sqref="BE175:BF175">
    <cfRule type="cellIs" dxfId="9608" priority="5507" operator="lessThan">
      <formula>0</formula>
    </cfRule>
  </conditionalFormatting>
  <conditionalFormatting sqref="BB175">
    <cfRule type="cellIs" dxfId="9607" priority="5510" operator="greaterThanOrEqual">
      <formula>0</formula>
    </cfRule>
  </conditionalFormatting>
  <conditionalFormatting sqref="BB175">
    <cfRule type="cellIs" dxfId="9606" priority="5509" operator="lessThan">
      <formula>0</formula>
    </cfRule>
  </conditionalFormatting>
  <conditionalFormatting sqref="BC134">
    <cfRule type="cellIs" dxfId="9605" priority="5505" operator="greaterThan">
      <formula>0</formula>
    </cfRule>
    <cfRule type="cellIs" dxfId="9604" priority="5506" operator="lessThanOrEqual">
      <formula>0</formula>
    </cfRule>
  </conditionalFormatting>
  <conditionalFormatting sqref="BC136:BC137">
    <cfRule type="cellIs" dxfId="9603" priority="5503" operator="greaterThan">
      <formula>0</formula>
    </cfRule>
    <cfRule type="cellIs" dxfId="9602" priority="5504" operator="lessThanOrEqual">
      <formula>0</formula>
    </cfRule>
  </conditionalFormatting>
  <conditionalFormatting sqref="BC173:BC174">
    <cfRule type="cellIs" dxfId="9601" priority="5485" operator="greaterThan">
      <formula>0</formula>
    </cfRule>
    <cfRule type="cellIs" dxfId="9600" priority="5486" operator="lessThanOrEqual">
      <formula>0</formula>
    </cfRule>
  </conditionalFormatting>
  <conditionalFormatting sqref="BC144">
    <cfRule type="cellIs" dxfId="9599" priority="5475" operator="greaterThan">
      <formula>0</formula>
    </cfRule>
    <cfRule type="cellIs" dxfId="9598" priority="5476" operator="lessThanOrEqual">
      <formula>0</formula>
    </cfRule>
  </conditionalFormatting>
  <conditionalFormatting sqref="BC154">
    <cfRule type="cellIs" dxfId="9597" priority="5473" operator="greaterThan">
      <formula>0</formula>
    </cfRule>
    <cfRule type="cellIs" dxfId="9596" priority="5474" operator="lessThanOrEqual">
      <formula>0</formula>
    </cfRule>
  </conditionalFormatting>
  <conditionalFormatting sqref="BC157">
    <cfRule type="cellIs" dxfId="9595" priority="5471" operator="greaterThan">
      <formula>0</formula>
    </cfRule>
    <cfRule type="cellIs" dxfId="9594" priority="5472" operator="lessThanOrEqual">
      <formula>0</formula>
    </cfRule>
  </conditionalFormatting>
  <conditionalFormatting sqref="BC164">
    <cfRule type="cellIs" dxfId="9593" priority="5447" operator="greaterThan">
      <formula>0</formula>
    </cfRule>
    <cfRule type="cellIs" dxfId="9592" priority="5448" operator="lessThanOrEqual">
      <formula>0</formula>
    </cfRule>
  </conditionalFormatting>
  <conditionalFormatting sqref="BC171">
    <cfRule type="cellIs" dxfId="9591" priority="5453" operator="greaterThan">
      <formula>0</formula>
    </cfRule>
    <cfRule type="cellIs" dxfId="9590" priority="5454" operator="lessThanOrEqual">
      <formula>0</formula>
    </cfRule>
  </conditionalFormatting>
  <conditionalFormatting sqref="BC139:BC140">
    <cfRule type="cellIs" dxfId="9589" priority="5501" operator="greaterThan">
      <formula>0</formula>
    </cfRule>
    <cfRule type="cellIs" dxfId="9588" priority="5502" operator="lessThanOrEqual">
      <formula>0</formula>
    </cfRule>
  </conditionalFormatting>
  <conditionalFormatting sqref="BC149:BC150">
    <cfRule type="cellIs" dxfId="9587" priority="5499" operator="greaterThan">
      <formula>0</formula>
    </cfRule>
    <cfRule type="cellIs" dxfId="9586" priority="5500" operator="lessThanOrEqual">
      <formula>0</formula>
    </cfRule>
  </conditionalFormatting>
  <conditionalFormatting sqref="BC142:BC143">
    <cfRule type="cellIs" dxfId="9585" priority="5497" operator="greaterThan">
      <formula>0</formula>
    </cfRule>
    <cfRule type="cellIs" dxfId="9584" priority="5498" operator="lessThanOrEqual">
      <formula>0</formula>
    </cfRule>
  </conditionalFormatting>
  <conditionalFormatting sqref="BC152:BC153">
    <cfRule type="cellIs" dxfId="9583" priority="5495" operator="greaterThan">
      <formula>0</formula>
    </cfRule>
    <cfRule type="cellIs" dxfId="9582" priority="5496" operator="lessThanOrEqual">
      <formula>0</formula>
    </cfRule>
  </conditionalFormatting>
  <conditionalFormatting sqref="BC155:BC156">
    <cfRule type="cellIs" dxfId="9581" priority="5493" operator="greaterThan">
      <formula>0</formula>
    </cfRule>
    <cfRule type="cellIs" dxfId="9580" priority="5494" operator="lessThanOrEqual">
      <formula>0</formula>
    </cfRule>
  </conditionalFormatting>
  <conditionalFormatting sqref="BC158:BC159">
    <cfRule type="cellIs" dxfId="9579" priority="5491" operator="greaterThan">
      <formula>0</formula>
    </cfRule>
    <cfRule type="cellIs" dxfId="9578" priority="5492" operator="lessThanOrEqual">
      <formula>0</formula>
    </cfRule>
  </conditionalFormatting>
  <conditionalFormatting sqref="BC168:BC169">
    <cfRule type="cellIs" dxfId="9577" priority="5489" operator="greaterThan">
      <formula>0</formula>
    </cfRule>
    <cfRule type="cellIs" dxfId="9576" priority="5490" operator="lessThanOrEqual">
      <formula>0</formula>
    </cfRule>
  </conditionalFormatting>
  <conditionalFormatting sqref="BC183:BC184">
    <cfRule type="cellIs" dxfId="9575" priority="5487" operator="greaterThan">
      <formula>0</formula>
    </cfRule>
    <cfRule type="cellIs" dxfId="9574" priority="5488" operator="lessThanOrEqual">
      <formula>0</formula>
    </cfRule>
  </conditionalFormatting>
  <conditionalFormatting sqref="BC135">
    <cfRule type="cellIs" dxfId="9573" priority="5483" operator="greaterThan">
      <formula>0</formula>
    </cfRule>
    <cfRule type="cellIs" dxfId="9572" priority="5484" operator="lessThanOrEqual">
      <formula>0</formula>
    </cfRule>
  </conditionalFormatting>
  <conditionalFormatting sqref="BC138">
    <cfRule type="cellIs" dxfId="9571" priority="5481" operator="greaterThan">
      <formula>0</formula>
    </cfRule>
    <cfRule type="cellIs" dxfId="9570" priority="5482" operator="lessThanOrEqual">
      <formula>0</formula>
    </cfRule>
  </conditionalFormatting>
  <conditionalFormatting sqref="BC141">
    <cfRule type="cellIs" dxfId="9569" priority="5479" operator="greaterThan">
      <formula>0</formula>
    </cfRule>
    <cfRule type="cellIs" dxfId="9568" priority="5480" operator="lessThanOrEqual">
      <formula>0</formula>
    </cfRule>
  </conditionalFormatting>
  <conditionalFormatting sqref="BC151">
    <cfRule type="cellIs" dxfId="9567" priority="5477" operator="greaterThan">
      <formula>0</formula>
    </cfRule>
    <cfRule type="cellIs" dxfId="9566" priority="5478" operator="lessThanOrEqual">
      <formula>0</formula>
    </cfRule>
  </conditionalFormatting>
  <conditionalFormatting sqref="BC160">
    <cfRule type="cellIs" dxfId="9565" priority="5469" operator="greaterThan">
      <formula>0</formula>
    </cfRule>
    <cfRule type="cellIs" dxfId="9564" priority="5470" operator="lessThanOrEqual">
      <formula>0</formula>
    </cfRule>
  </conditionalFormatting>
  <conditionalFormatting sqref="BC146">
    <cfRule type="cellIs" dxfId="9563" priority="5467" operator="greaterThan">
      <formula>0</formula>
    </cfRule>
    <cfRule type="cellIs" dxfId="9562" priority="5468" operator="lessThanOrEqual">
      <formula>0</formula>
    </cfRule>
  </conditionalFormatting>
  <conditionalFormatting sqref="BC186">
    <cfRule type="cellIs" dxfId="9561" priority="5465" operator="greaterThan">
      <formula>0</formula>
    </cfRule>
    <cfRule type="cellIs" dxfId="9560" priority="5466" operator="lessThanOrEqual">
      <formula>0</formula>
    </cfRule>
  </conditionalFormatting>
  <conditionalFormatting sqref="BC187">
    <cfRule type="cellIs" dxfId="9559" priority="5463" operator="greaterThan">
      <formula>0</formula>
    </cfRule>
    <cfRule type="cellIs" dxfId="9558" priority="5464" operator="lessThanOrEqual">
      <formula>0</formula>
    </cfRule>
  </conditionalFormatting>
  <conditionalFormatting sqref="BC172">
    <cfRule type="cellIs" dxfId="9557" priority="5461" operator="greaterThan">
      <formula>0</formula>
    </cfRule>
    <cfRule type="cellIs" dxfId="9556" priority="5462" operator="lessThanOrEqual">
      <formula>0</formula>
    </cfRule>
  </conditionalFormatting>
  <conditionalFormatting sqref="BC145">
    <cfRule type="cellIs" dxfId="9555" priority="5459" operator="greaterThan">
      <formula>0</formula>
    </cfRule>
    <cfRule type="cellIs" dxfId="9554" priority="5460" operator="lessThanOrEqual">
      <formula>0</formula>
    </cfRule>
  </conditionalFormatting>
  <conditionalFormatting sqref="BC167">
    <cfRule type="cellIs" dxfId="9553" priority="5445" operator="greaterThan">
      <formula>0</formula>
    </cfRule>
    <cfRule type="cellIs" dxfId="9552" priority="5446" operator="lessThanOrEqual">
      <formula>0</formula>
    </cfRule>
  </conditionalFormatting>
  <conditionalFormatting sqref="BC170">
    <cfRule type="cellIs" dxfId="9551" priority="5443" operator="greaterThan">
      <formula>0</formula>
    </cfRule>
    <cfRule type="cellIs" dxfId="9550" priority="5444" operator="lessThanOrEqual">
      <formula>0</formula>
    </cfRule>
  </conditionalFormatting>
  <conditionalFormatting sqref="BC148">
    <cfRule type="cellIs" dxfId="9549" priority="5457" operator="greaterThan">
      <formula>0</formula>
    </cfRule>
    <cfRule type="cellIs" dxfId="9548" priority="5458" operator="lessThanOrEqual">
      <formula>0</formula>
    </cfRule>
  </conditionalFormatting>
  <conditionalFormatting sqref="BC161">
    <cfRule type="cellIs" dxfId="9547" priority="5455" operator="greaterThan">
      <formula>0</formula>
    </cfRule>
    <cfRule type="cellIs" dxfId="9546" priority="5456" operator="lessThanOrEqual">
      <formula>0</formula>
    </cfRule>
  </conditionalFormatting>
  <conditionalFormatting sqref="BC162:BC163 BC165:BC166">
    <cfRule type="cellIs" dxfId="9545" priority="5451" operator="greaterThan">
      <formula>0</formula>
    </cfRule>
    <cfRule type="cellIs" dxfId="9544" priority="5452" operator="lessThanOrEqual">
      <formula>0</formula>
    </cfRule>
  </conditionalFormatting>
  <conditionalFormatting sqref="BC177:BC178 BC180:BC181">
    <cfRule type="cellIs" dxfId="9543" priority="5449" operator="greaterThan">
      <formula>0</formula>
    </cfRule>
    <cfRule type="cellIs" dxfId="9542" priority="5450" operator="lessThanOrEqual">
      <formula>0</formula>
    </cfRule>
  </conditionalFormatting>
  <conditionalFormatting sqref="BC179">
    <cfRule type="cellIs" dxfId="9541" priority="5441" operator="greaterThan">
      <formula>0</formula>
    </cfRule>
    <cfRule type="cellIs" dxfId="9540" priority="5442" operator="lessThanOrEqual">
      <formula>0</formula>
    </cfRule>
  </conditionalFormatting>
  <conditionalFormatting sqref="BC182">
    <cfRule type="cellIs" dxfId="9539" priority="5439" operator="greaterThan">
      <formula>0</formula>
    </cfRule>
    <cfRule type="cellIs" dxfId="9538" priority="5440" operator="lessThanOrEqual">
      <formula>0</formula>
    </cfRule>
  </conditionalFormatting>
  <conditionalFormatting sqref="BC185">
    <cfRule type="cellIs" dxfId="9537" priority="5437" operator="greaterThan">
      <formula>0</formula>
    </cfRule>
    <cfRule type="cellIs" dxfId="9536" priority="5438" operator="lessThanOrEqual">
      <formula>0</formula>
    </cfRule>
  </conditionalFormatting>
  <conditionalFormatting sqref="BC133">
    <cfRule type="cellIs" dxfId="9535" priority="5435" operator="lessThan">
      <formula>0</formula>
    </cfRule>
    <cfRule type="cellIs" dxfId="9534" priority="5436" operator="greaterThanOrEqual">
      <formula>0</formula>
    </cfRule>
  </conditionalFormatting>
  <conditionalFormatting sqref="BC176">
    <cfRule type="cellIs" dxfId="9533" priority="5433" operator="greaterThan">
      <formula>0</formula>
    </cfRule>
    <cfRule type="cellIs" dxfId="9532" priority="5434" operator="lessThanOrEqual">
      <formula>0</formula>
    </cfRule>
  </conditionalFormatting>
  <conditionalFormatting sqref="BC175">
    <cfRule type="cellIs" dxfId="9531" priority="5431" operator="greaterThan">
      <formula>0</formula>
    </cfRule>
    <cfRule type="cellIs" dxfId="9530" priority="5432" operator="lessThanOrEqual">
      <formula>0</formula>
    </cfRule>
  </conditionalFormatting>
  <conditionalFormatting sqref="AY27">
    <cfRule type="cellIs" dxfId="9529" priority="5429" operator="greaterThan">
      <formula>0</formula>
    </cfRule>
    <cfRule type="cellIs" dxfId="9528" priority="5430" operator="lessThanOrEqual">
      <formula>0</formula>
    </cfRule>
  </conditionalFormatting>
  <conditionalFormatting sqref="AX27">
    <cfRule type="cellIs" dxfId="9527" priority="5428" operator="greaterThanOrEqual">
      <formula>0</formula>
    </cfRule>
  </conditionalFormatting>
  <conditionalFormatting sqref="AX27">
    <cfRule type="cellIs" dxfId="9526" priority="5427" operator="lessThan">
      <formula>0</formula>
    </cfRule>
  </conditionalFormatting>
  <conditionalFormatting sqref="BC27">
    <cfRule type="cellIs" dxfId="9525" priority="5425" operator="greaterThan">
      <formula>0</formula>
    </cfRule>
    <cfRule type="cellIs" dxfId="9524" priority="5426" operator="lessThanOrEqual">
      <formula>0</formula>
    </cfRule>
  </conditionalFormatting>
  <conditionalFormatting sqref="BB27">
    <cfRule type="cellIs" dxfId="9523" priority="5424" operator="greaterThanOrEqual">
      <formula>0</formula>
    </cfRule>
  </conditionalFormatting>
  <conditionalFormatting sqref="BB27">
    <cfRule type="cellIs" dxfId="9522" priority="5423" operator="lessThan">
      <formula>0</formula>
    </cfRule>
  </conditionalFormatting>
  <conditionalFormatting sqref="BE27">
    <cfRule type="cellIs" dxfId="9521" priority="5422" operator="greaterThanOrEqual">
      <formula>0</formula>
    </cfRule>
  </conditionalFormatting>
  <conditionalFormatting sqref="BE27">
    <cfRule type="cellIs" dxfId="9520" priority="5421" operator="lessThan">
      <formula>0</formula>
    </cfRule>
  </conditionalFormatting>
  <conditionalFormatting sqref="BF27">
    <cfRule type="cellIs" dxfId="9519" priority="5420" operator="greaterThanOrEqual">
      <formula>0</formula>
    </cfRule>
  </conditionalFormatting>
  <conditionalFormatting sqref="BF27">
    <cfRule type="cellIs" dxfId="9518" priority="5419" operator="lessThan">
      <formula>0</formula>
    </cfRule>
  </conditionalFormatting>
  <conditionalFormatting sqref="AY90">
    <cfRule type="cellIs" dxfId="9517" priority="5417" operator="greaterThan">
      <formula>0</formula>
    </cfRule>
    <cfRule type="cellIs" dxfId="9516" priority="5418" operator="lessThanOrEqual">
      <formula>0</formula>
    </cfRule>
  </conditionalFormatting>
  <conditionalFormatting sqref="AX90">
    <cfRule type="cellIs" dxfId="9515" priority="5416" operator="greaterThanOrEqual">
      <formula>0</formula>
    </cfRule>
  </conditionalFormatting>
  <conditionalFormatting sqref="AX90">
    <cfRule type="cellIs" dxfId="9514" priority="5415" operator="lessThan">
      <formula>0</formula>
    </cfRule>
  </conditionalFormatting>
  <conditionalFormatting sqref="BC90">
    <cfRule type="cellIs" dxfId="9513" priority="5413" operator="greaterThan">
      <formula>0</formula>
    </cfRule>
    <cfRule type="cellIs" dxfId="9512" priority="5414" operator="lessThanOrEqual">
      <formula>0</formula>
    </cfRule>
  </conditionalFormatting>
  <conditionalFormatting sqref="BB90">
    <cfRule type="cellIs" dxfId="9511" priority="5412" operator="greaterThanOrEqual">
      <formula>0</formula>
    </cfRule>
  </conditionalFormatting>
  <conditionalFormatting sqref="BB90">
    <cfRule type="cellIs" dxfId="9510" priority="5411" operator="lessThan">
      <formula>0</formula>
    </cfRule>
  </conditionalFormatting>
  <conditionalFormatting sqref="BE90">
    <cfRule type="cellIs" dxfId="9509" priority="5410" operator="greaterThanOrEqual">
      <formula>0</formula>
    </cfRule>
  </conditionalFormatting>
  <conditionalFormatting sqref="BE90">
    <cfRule type="cellIs" dxfId="9508" priority="5409" operator="lessThan">
      <formula>0</formula>
    </cfRule>
  </conditionalFormatting>
  <conditionalFormatting sqref="BF90">
    <cfRule type="cellIs" dxfId="9507" priority="5408" operator="greaterThanOrEqual">
      <formula>0</formula>
    </cfRule>
  </conditionalFormatting>
  <conditionalFormatting sqref="BF90">
    <cfRule type="cellIs" dxfId="9506" priority="5407" operator="lessThan">
      <formula>0</formula>
    </cfRule>
  </conditionalFormatting>
  <conditionalFormatting sqref="AY147">
    <cfRule type="cellIs" dxfId="9505" priority="5405" operator="greaterThan">
      <formula>0</formula>
    </cfRule>
    <cfRule type="cellIs" dxfId="9504" priority="5406" operator="lessThanOrEqual">
      <formula>0</formula>
    </cfRule>
  </conditionalFormatting>
  <conditionalFormatting sqref="BB147 BE147:BF147 AX147">
    <cfRule type="cellIs" dxfId="9503" priority="5404" operator="greaterThanOrEqual">
      <formula>0</formula>
    </cfRule>
  </conditionalFormatting>
  <conditionalFormatting sqref="BB147 BE147:BF147 AX147">
    <cfRule type="cellIs" dxfId="9502" priority="5403" operator="lessThan">
      <formula>0</formula>
    </cfRule>
  </conditionalFormatting>
  <conditionalFormatting sqref="BC147">
    <cfRule type="cellIs" dxfId="9501" priority="5401" operator="greaterThan">
      <formula>0</formula>
    </cfRule>
    <cfRule type="cellIs" dxfId="9500" priority="5402" operator="lessThanOrEqual">
      <formula>0</formula>
    </cfRule>
  </conditionalFormatting>
  <conditionalFormatting sqref="BJ13:BJ14">
    <cfRule type="cellIs" dxfId="9499" priority="5399" operator="greaterThan">
      <formula>0</formula>
    </cfRule>
    <cfRule type="cellIs" dxfId="9498" priority="5400" operator="lessThanOrEqual">
      <formula>0</formula>
    </cfRule>
  </conditionalFormatting>
  <conditionalFormatting sqref="BJ16:BJ17">
    <cfRule type="cellIs" dxfId="9497" priority="5397" operator="greaterThan">
      <formula>0</formula>
    </cfRule>
    <cfRule type="cellIs" dxfId="9496" priority="5398" operator="lessThanOrEqual">
      <formula>0</formula>
    </cfRule>
  </conditionalFormatting>
  <conditionalFormatting sqref="BJ19:BJ20">
    <cfRule type="cellIs" dxfId="9495" priority="5395" operator="greaterThan">
      <formula>0</formula>
    </cfRule>
    <cfRule type="cellIs" dxfId="9494" priority="5396" operator="lessThanOrEqual">
      <formula>0</formula>
    </cfRule>
  </conditionalFormatting>
  <conditionalFormatting sqref="BJ29:BJ30">
    <cfRule type="cellIs" dxfId="9493" priority="5393" operator="greaterThan">
      <formula>0</formula>
    </cfRule>
    <cfRule type="cellIs" dxfId="9492" priority="5394" operator="lessThanOrEqual">
      <formula>0</formula>
    </cfRule>
  </conditionalFormatting>
  <conditionalFormatting sqref="BJ22:BJ23">
    <cfRule type="cellIs" dxfId="9491" priority="5391" operator="greaterThan">
      <formula>0</formula>
    </cfRule>
    <cfRule type="cellIs" dxfId="9490" priority="5392" operator="lessThanOrEqual">
      <formula>0</formula>
    </cfRule>
  </conditionalFormatting>
  <conditionalFormatting sqref="BJ32:BJ33">
    <cfRule type="cellIs" dxfId="9489" priority="5389" operator="greaterThan">
      <formula>0</formula>
    </cfRule>
    <cfRule type="cellIs" dxfId="9488" priority="5390" operator="lessThanOrEqual">
      <formula>0</formula>
    </cfRule>
  </conditionalFormatting>
  <conditionalFormatting sqref="BJ35:BJ36">
    <cfRule type="cellIs" dxfId="9487" priority="5387" operator="greaterThan">
      <formula>0</formula>
    </cfRule>
    <cfRule type="cellIs" dxfId="9486" priority="5388" operator="lessThanOrEqual">
      <formula>0</formula>
    </cfRule>
  </conditionalFormatting>
  <conditionalFormatting sqref="BJ38:BJ39">
    <cfRule type="cellIs" dxfId="9485" priority="5385" operator="greaterThan">
      <formula>0</formula>
    </cfRule>
    <cfRule type="cellIs" dxfId="9484" priority="5386" operator="lessThanOrEqual">
      <formula>0</formula>
    </cfRule>
  </conditionalFormatting>
  <conditionalFormatting sqref="BJ48:BJ49">
    <cfRule type="cellIs" dxfId="9483" priority="5383" operator="greaterThan">
      <formula>0</formula>
    </cfRule>
    <cfRule type="cellIs" dxfId="9482" priority="5384" operator="lessThanOrEqual">
      <formula>0</formula>
    </cfRule>
  </conditionalFormatting>
  <conditionalFormatting sqref="BJ63:BJ64">
    <cfRule type="cellIs" dxfId="9481" priority="5381" operator="greaterThan">
      <formula>0</formula>
    </cfRule>
    <cfRule type="cellIs" dxfId="9480" priority="5382" operator="lessThanOrEqual">
      <formula>0</formula>
    </cfRule>
  </conditionalFormatting>
  <conditionalFormatting sqref="BJ53:BJ54">
    <cfRule type="cellIs" dxfId="9479" priority="5379" operator="greaterThan">
      <formula>0</formula>
    </cfRule>
    <cfRule type="cellIs" dxfId="9478" priority="5380" operator="lessThanOrEqual">
      <formula>0</formula>
    </cfRule>
  </conditionalFormatting>
  <conditionalFormatting sqref="BJ15">
    <cfRule type="cellIs" dxfId="9477" priority="5377" operator="greaterThan">
      <formula>0</formula>
    </cfRule>
    <cfRule type="cellIs" dxfId="9476" priority="5378" operator="lessThanOrEqual">
      <formula>0</formula>
    </cfRule>
  </conditionalFormatting>
  <conditionalFormatting sqref="BJ18">
    <cfRule type="cellIs" dxfId="9475" priority="5375" operator="greaterThan">
      <formula>0</formula>
    </cfRule>
    <cfRule type="cellIs" dxfId="9474" priority="5376" operator="lessThanOrEqual">
      <formula>0</formula>
    </cfRule>
  </conditionalFormatting>
  <conditionalFormatting sqref="BJ21">
    <cfRule type="cellIs" dxfId="9473" priority="5373" operator="greaterThan">
      <formula>0</formula>
    </cfRule>
    <cfRule type="cellIs" dxfId="9472" priority="5374" operator="lessThanOrEqual">
      <formula>0</formula>
    </cfRule>
  </conditionalFormatting>
  <conditionalFormatting sqref="BJ31">
    <cfRule type="cellIs" dxfId="9471" priority="5371" operator="greaterThan">
      <formula>0</formula>
    </cfRule>
    <cfRule type="cellIs" dxfId="9470" priority="5372" operator="lessThanOrEqual">
      <formula>0</formula>
    </cfRule>
  </conditionalFormatting>
  <conditionalFormatting sqref="BJ24">
    <cfRule type="cellIs" dxfId="9469" priority="5369" operator="greaterThan">
      <formula>0</formula>
    </cfRule>
    <cfRule type="cellIs" dxfId="9468" priority="5370" operator="lessThanOrEqual">
      <formula>0</formula>
    </cfRule>
  </conditionalFormatting>
  <conditionalFormatting sqref="BJ34">
    <cfRule type="cellIs" dxfId="9467" priority="5367" operator="greaterThan">
      <formula>0</formula>
    </cfRule>
    <cfRule type="cellIs" dxfId="9466" priority="5368" operator="lessThanOrEqual">
      <formula>0</formula>
    </cfRule>
  </conditionalFormatting>
  <conditionalFormatting sqref="BJ37">
    <cfRule type="cellIs" dxfId="9465" priority="5365" operator="greaterThan">
      <formula>0</formula>
    </cfRule>
    <cfRule type="cellIs" dxfId="9464" priority="5366" operator="lessThanOrEqual">
      <formula>0</formula>
    </cfRule>
  </conditionalFormatting>
  <conditionalFormatting sqref="BJ40">
    <cfRule type="cellIs" dxfId="9463" priority="5363" operator="greaterThan">
      <formula>0</formula>
    </cfRule>
    <cfRule type="cellIs" dxfId="9462" priority="5364" operator="lessThanOrEqual">
      <formula>0</formula>
    </cfRule>
  </conditionalFormatting>
  <conditionalFormatting sqref="BJ26">
    <cfRule type="cellIs" dxfId="9461" priority="5361" operator="greaterThan">
      <formula>0</formula>
    </cfRule>
    <cfRule type="cellIs" dxfId="9460" priority="5362" operator="lessThanOrEqual">
      <formula>0</formula>
    </cfRule>
  </conditionalFormatting>
  <conditionalFormatting sqref="BJ66 BJ68 BJ71">
    <cfRule type="cellIs" dxfId="9459" priority="5359" operator="greaterThan">
      <formula>0</formula>
    </cfRule>
    <cfRule type="cellIs" dxfId="9458" priority="5360" operator="lessThanOrEqual">
      <formula>0</formula>
    </cfRule>
  </conditionalFormatting>
  <conditionalFormatting sqref="BI13:BI14 BI16:BI17 BI19:BI20 BI22:BI23 BI29:BI30 BI32:BI33 BI35:BI36 BI38:BI39 BI48:BI49 BI53:BI54">
    <cfRule type="cellIs" dxfId="9457" priority="5357" operator="lessThan">
      <formula>0</formula>
    </cfRule>
    <cfRule type="cellIs" dxfId="9456" priority="5358" operator="greaterThanOrEqual">
      <formula>0</formula>
    </cfRule>
  </conditionalFormatting>
  <conditionalFormatting sqref="BI15 BI18 BI21 BI24 BI26 BI31 BI34 BI37 BI40">
    <cfRule type="cellIs" dxfId="9455" priority="5356" operator="greaterThanOrEqual">
      <formula>0</formula>
    </cfRule>
  </conditionalFormatting>
  <conditionalFormatting sqref="BI15 BI18 BI21 BI24 BI26 BI31 BI34 BI37 BI40">
    <cfRule type="cellIs" dxfId="9454" priority="5355" operator="lessThan">
      <formula>0</formula>
    </cfRule>
  </conditionalFormatting>
  <conditionalFormatting sqref="BJ73">
    <cfRule type="cellIs" dxfId="9453" priority="5353" operator="greaterThan">
      <formula>0</formula>
    </cfRule>
    <cfRule type="cellIs" dxfId="9452" priority="5354" operator="lessThanOrEqual">
      <formula>0</formula>
    </cfRule>
  </conditionalFormatting>
  <conditionalFormatting sqref="BJ67">
    <cfRule type="cellIs" dxfId="9451" priority="5351" operator="greaterThan">
      <formula>0</formula>
    </cfRule>
    <cfRule type="cellIs" dxfId="9450" priority="5352" operator="lessThanOrEqual">
      <formula>0</formula>
    </cfRule>
  </conditionalFormatting>
  <conditionalFormatting sqref="BI67">
    <cfRule type="cellIs" dxfId="9449" priority="5349" operator="greaterThanOrEqual">
      <formula>0</formula>
    </cfRule>
    <cfRule type="cellIs" dxfId="9448" priority="5350" operator="lessThan">
      <formula>0</formula>
    </cfRule>
  </conditionalFormatting>
  <conditionalFormatting sqref="BP13:BP14 BP16:BP17 BP19:BP20 BP22:BP23 BP29:BP30 BP32:BP33 BP35:BP36 BP38:BP39 BP48:BP49">
    <cfRule type="cellIs" dxfId="9447" priority="5347" operator="lessThan">
      <formula>0</formula>
    </cfRule>
    <cfRule type="cellIs" dxfId="9446" priority="5348" operator="greaterThanOrEqual">
      <formula>0</formula>
    </cfRule>
  </conditionalFormatting>
  <conditionalFormatting sqref="BP15 BP24 BP18 BP21 BP31 BP34 BP37 BP40">
    <cfRule type="cellIs" dxfId="9445" priority="5346" operator="greaterThanOrEqual">
      <formula>0</formula>
    </cfRule>
  </conditionalFormatting>
  <conditionalFormatting sqref="BP15 BP24 BP18 BP21 BP31 BP34 BP37 BP40">
    <cfRule type="cellIs" dxfId="9444" priority="5345" operator="lessThan">
      <formula>0</formula>
    </cfRule>
  </conditionalFormatting>
  <conditionalFormatting sqref="BP71 BP73">
    <cfRule type="cellIs" dxfId="9443" priority="5343" operator="lessThan">
      <formula>0</formula>
    </cfRule>
    <cfRule type="cellIs" dxfId="9442" priority="5344" operator="greaterThanOrEqual">
      <formula>0</formula>
    </cfRule>
  </conditionalFormatting>
  <conditionalFormatting sqref="BP67">
    <cfRule type="cellIs" dxfId="9441" priority="5341" operator="greaterThanOrEqual">
      <formula>0</formula>
    </cfRule>
    <cfRule type="cellIs" dxfId="9440" priority="5342" operator="lessThan">
      <formula>0</formula>
    </cfRule>
  </conditionalFormatting>
  <conditionalFormatting sqref="BQ13:BQ14">
    <cfRule type="cellIs" dxfId="9439" priority="5339" operator="greaterThan">
      <formula>0</formula>
    </cfRule>
    <cfRule type="cellIs" dxfId="9438" priority="5340" operator="lessThanOrEqual">
      <formula>0</formula>
    </cfRule>
  </conditionalFormatting>
  <conditionalFormatting sqref="BQ68">
    <cfRule type="cellIs" dxfId="9437" priority="5337" operator="lessThan">
      <formula>0</formula>
    </cfRule>
    <cfRule type="cellIs" dxfId="9436" priority="5338" operator="greaterThanOrEqual">
      <formula>0</formula>
    </cfRule>
  </conditionalFormatting>
  <conditionalFormatting sqref="BQ15 BQ24 BQ18 BQ21 BQ31 BQ34 BQ37 BQ40">
    <cfRule type="cellIs" dxfId="9435" priority="5336" operator="greaterThanOrEqual">
      <formula>0</formula>
    </cfRule>
  </conditionalFormatting>
  <conditionalFormatting sqref="BQ15 BQ24 BQ18 BQ21 BQ31 BQ34 BQ37 BQ40">
    <cfRule type="cellIs" dxfId="9434" priority="5335" operator="lessThan">
      <formula>0</formula>
    </cfRule>
  </conditionalFormatting>
  <conditionalFormatting sqref="BP68">
    <cfRule type="cellIs" dxfId="9433" priority="5333" operator="lessThan">
      <formula>0</formula>
    </cfRule>
    <cfRule type="cellIs" dxfId="9432" priority="5334" operator="greaterThanOrEqual">
      <formula>0</formula>
    </cfRule>
  </conditionalFormatting>
  <conditionalFormatting sqref="BQ71 BQ73">
    <cfRule type="cellIs" dxfId="9431" priority="5331" operator="lessThan">
      <formula>0</formula>
    </cfRule>
    <cfRule type="cellIs" dxfId="9430" priority="5332" operator="greaterThanOrEqual">
      <formula>0</formula>
    </cfRule>
  </conditionalFormatting>
  <conditionalFormatting sqref="BQ67">
    <cfRule type="cellIs" dxfId="9429" priority="5329" operator="lessThan">
      <formula>0</formula>
    </cfRule>
    <cfRule type="cellIs" dxfId="9428" priority="5330" operator="greaterThanOrEqual">
      <formula>0</formula>
    </cfRule>
  </conditionalFormatting>
  <conditionalFormatting sqref="BI62">
    <cfRule type="cellIs" dxfId="9427" priority="5310" operator="greaterThanOrEqual">
      <formula>0</formula>
    </cfRule>
  </conditionalFormatting>
  <conditionalFormatting sqref="BI62">
    <cfRule type="cellIs" dxfId="9426" priority="5309" operator="lessThan">
      <formula>0</formula>
    </cfRule>
  </conditionalFormatting>
  <conditionalFormatting sqref="BJ44">
    <cfRule type="cellIs" dxfId="9425" priority="5319" operator="greaterThan">
      <formula>0</formula>
    </cfRule>
    <cfRule type="cellIs" dxfId="9424" priority="5320" operator="lessThanOrEqual">
      <formula>0</formula>
    </cfRule>
  </conditionalFormatting>
  <conditionalFormatting sqref="BJ47">
    <cfRule type="cellIs" dxfId="9423" priority="5317" operator="greaterThan">
      <formula>0</formula>
    </cfRule>
    <cfRule type="cellIs" dxfId="9422" priority="5318" operator="lessThanOrEqual">
      <formula>0</formula>
    </cfRule>
  </conditionalFormatting>
  <conditionalFormatting sqref="BJ50">
    <cfRule type="cellIs" dxfId="9421" priority="5315" operator="greaterThan">
      <formula>0</formula>
    </cfRule>
    <cfRule type="cellIs" dxfId="9420" priority="5316" operator="lessThanOrEqual">
      <formula>0</formula>
    </cfRule>
  </conditionalFormatting>
  <conditionalFormatting sqref="BJ28">
    <cfRule type="cellIs" dxfId="9419" priority="5327" operator="greaterThan">
      <formula>0</formula>
    </cfRule>
    <cfRule type="cellIs" dxfId="9418" priority="5328" operator="lessThanOrEqual">
      <formula>0</formula>
    </cfRule>
  </conditionalFormatting>
  <conditionalFormatting sqref="BJ41">
    <cfRule type="cellIs" dxfId="9417" priority="5325" operator="greaterThan">
      <formula>0</formula>
    </cfRule>
    <cfRule type="cellIs" dxfId="9416" priority="5326" operator="lessThanOrEqual">
      <formula>0</formula>
    </cfRule>
  </conditionalFormatting>
  <conditionalFormatting sqref="BM182">
    <cfRule type="cellIs" dxfId="9415" priority="5114" operator="greaterThanOrEqual">
      <formula>0</formula>
    </cfRule>
  </conditionalFormatting>
  <conditionalFormatting sqref="BM182">
    <cfRule type="cellIs" dxfId="9414" priority="5113" operator="lessThan">
      <formula>0</formula>
    </cfRule>
  </conditionalFormatting>
  <conditionalFormatting sqref="BJ42:BJ43 BJ45:BJ46">
    <cfRule type="cellIs" dxfId="9413" priority="5323" operator="greaterThan">
      <formula>0</formula>
    </cfRule>
    <cfRule type="cellIs" dxfId="9412" priority="5324" operator="lessThanOrEqual">
      <formula>0</formula>
    </cfRule>
  </conditionalFormatting>
  <conditionalFormatting sqref="BJ57:BJ58 BJ60:BJ61">
    <cfRule type="cellIs" dxfId="9411" priority="5321" operator="greaterThan">
      <formula>0</formula>
    </cfRule>
    <cfRule type="cellIs" dxfId="9410" priority="5322" operator="lessThanOrEqual">
      <formula>0</formula>
    </cfRule>
  </conditionalFormatting>
  <conditionalFormatting sqref="BJ59">
    <cfRule type="cellIs" dxfId="9409" priority="5313" operator="greaterThan">
      <formula>0</formula>
    </cfRule>
    <cfRule type="cellIs" dxfId="9408" priority="5314" operator="lessThanOrEqual">
      <formula>0</formula>
    </cfRule>
  </conditionalFormatting>
  <conditionalFormatting sqref="BJ62">
    <cfRule type="cellIs" dxfId="9407" priority="5311" operator="greaterThan">
      <formula>0</formula>
    </cfRule>
    <cfRule type="cellIs" dxfId="9406" priority="5312" operator="lessThanOrEqual">
      <formula>0</formula>
    </cfRule>
  </conditionalFormatting>
  <conditionalFormatting sqref="BJ65">
    <cfRule type="cellIs" dxfId="9405" priority="5307" operator="greaterThan">
      <formula>0</formula>
    </cfRule>
    <cfRule type="cellIs" dxfId="9404" priority="5308" operator="lessThanOrEqual">
      <formula>0</formula>
    </cfRule>
  </conditionalFormatting>
  <conditionalFormatting sqref="BN47">
    <cfRule type="cellIs" dxfId="9403" priority="4977" operator="greaterThan">
      <formula>0</formula>
    </cfRule>
    <cfRule type="cellIs" dxfId="9402" priority="4978" operator="lessThanOrEqual">
      <formula>0</formula>
    </cfRule>
  </conditionalFormatting>
  <conditionalFormatting sqref="BN59">
    <cfRule type="cellIs" dxfId="9401" priority="4973" operator="greaterThan">
      <formula>0</formula>
    </cfRule>
    <cfRule type="cellIs" dxfId="9400" priority="4974" operator="lessThanOrEqual">
      <formula>0</formula>
    </cfRule>
  </conditionalFormatting>
  <conditionalFormatting sqref="BM62">
    <cfRule type="cellIs" dxfId="9399" priority="4970" operator="greaterThanOrEqual">
      <formula>0</formula>
    </cfRule>
  </conditionalFormatting>
  <conditionalFormatting sqref="BM62">
    <cfRule type="cellIs" dxfId="9398" priority="4969" operator="lessThan">
      <formula>0</formula>
    </cfRule>
  </conditionalFormatting>
  <conditionalFormatting sqref="BJ134">
    <cfRule type="cellIs" dxfId="9397" priority="5305" operator="greaterThan">
      <formula>0</formula>
    </cfRule>
    <cfRule type="cellIs" dxfId="9396" priority="5306" operator="lessThanOrEqual">
      <formula>0</formula>
    </cfRule>
  </conditionalFormatting>
  <conditionalFormatting sqref="BJ136:BJ137">
    <cfRule type="cellIs" dxfId="9395" priority="5303" operator="greaterThan">
      <formula>0</formula>
    </cfRule>
    <cfRule type="cellIs" dxfId="9394" priority="5304" operator="lessThanOrEqual">
      <formula>0</formula>
    </cfRule>
  </conditionalFormatting>
  <conditionalFormatting sqref="BJ173:BJ174">
    <cfRule type="cellIs" dxfId="9393" priority="5285" operator="greaterThan">
      <formula>0</formula>
    </cfRule>
    <cfRule type="cellIs" dxfId="9392" priority="5286" operator="lessThanOrEqual">
      <formula>0</formula>
    </cfRule>
  </conditionalFormatting>
  <conditionalFormatting sqref="BJ144">
    <cfRule type="cellIs" dxfId="9391" priority="5275" operator="greaterThan">
      <formula>0</formula>
    </cfRule>
    <cfRule type="cellIs" dxfId="9390" priority="5276" operator="lessThanOrEqual">
      <formula>0</formula>
    </cfRule>
  </conditionalFormatting>
  <conditionalFormatting sqref="BJ154">
    <cfRule type="cellIs" dxfId="9389" priority="5273" operator="greaterThan">
      <formula>0</formula>
    </cfRule>
    <cfRule type="cellIs" dxfId="9388" priority="5274" operator="lessThanOrEqual">
      <formula>0</formula>
    </cfRule>
  </conditionalFormatting>
  <conditionalFormatting sqref="BJ157">
    <cfRule type="cellIs" dxfId="9387" priority="5271" operator="greaterThan">
      <formula>0</formula>
    </cfRule>
    <cfRule type="cellIs" dxfId="9386" priority="5272" operator="lessThanOrEqual">
      <formula>0</formula>
    </cfRule>
  </conditionalFormatting>
  <conditionalFormatting sqref="BI164">
    <cfRule type="cellIs" dxfId="9385" priority="5156" operator="greaterThanOrEqual">
      <formula>0</formula>
    </cfRule>
  </conditionalFormatting>
  <conditionalFormatting sqref="BI164">
    <cfRule type="cellIs" dxfId="9384" priority="5155" operator="lessThan">
      <formula>0</formula>
    </cfRule>
  </conditionalFormatting>
  <conditionalFormatting sqref="BJ164">
    <cfRule type="cellIs" dxfId="9383" priority="5157" operator="greaterThan">
      <formula>0</formula>
    </cfRule>
    <cfRule type="cellIs" dxfId="9382" priority="5158" operator="lessThanOrEqual">
      <formula>0</formula>
    </cfRule>
  </conditionalFormatting>
  <conditionalFormatting sqref="BM185">
    <cfRule type="cellIs" dxfId="9381" priority="5104" operator="greaterThanOrEqual">
      <formula>0</formula>
    </cfRule>
  </conditionalFormatting>
  <conditionalFormatting sqref="BM185">
    <cfRule type="cellIs" dxfId="9380" priority="5103" operator="lessThan">
      <formula>0</formula>
    </cfRule>
  </conditionalFormatting>
  <conditionalFormatting sqref="BQ145">
    <cfRule type="cellIs" dxfId="9379" priority="5202" operator="greaterThanOrEqual">
      <formula>0</formula>
    </cfRule>
  </conditionalFormatting>
  <conditionalFormatting sqref="BQ145">
    <cfRule type="cellIs" dxfId="9378" priority="5201" operator="lessThan">
      <formula>0</formula>
    </cfRule>
  </conditionalFormatting>
  <conditionalFormatting sqref="BM160 BM186">
    <cfRule type="cellIs" dxfId="9377" priority="5254" operator="greaterThanOrEqual">
      <formula>0</formula>
    </cfRule>
  </conditionalFormatting>
  <conditionalFormatting sqref="BM160 BM186">
    <cfRule type="cellIs" dxfId="9376" priority="5253" operator="lessThan">
      <formula>0</formula>
    </cfRule>
  </conditionalFormatting>
  <conditionalFormatting sqref="BJ171">
    <cfRule type="cellIs" dxfId="9375" priority="5183" operator="greaterThan">
      <formula>0</formula>
    </cfRule>
    <cfRule type="cellIs" dxfId="9374" priority="5184" operator="lessThanOrEqual">
      <formula>0</formula>
    </cfRule>
  </conditionalFormatting>
  <conditionalFormatting sqref="BI171">
    <cfRule type="cellIs" dxfId="9373" priority="5182" operator="greaterThanOrEqual">
      <formula>0</formula>
    </cfRule>
  </conditionalFormatting>
  <conditionalFormatting sqref="BI171">
    <cfRule type="cellIs" dxfId="9372" priority="5181" operator="lessThan">
      <formula>0</formula>
    </cfRule>
  </conditionalFormatting>
  <conditionalFormatting sqref="BQ167">
    <cfRule type="cellIs" dxfId="9371" priority="5140" operator="greaterThanOrEqual">
      <formula>0</formula>
    </cfRule>
  </conditionalFormatting>
  <conditionalFormatting sqref="BQ167">
    <cfRule type="cellIs" dxfId="9370" priority="5139" operator="lessThan">
      <formula>0</formula>
    </cfRule>
  </conditionalFormatting>
  <conditionalFormatting sqref="BJ139:BJ140">
    <cfRule type="cellIs" dxfId="9369" priority="5301" operator="greaterThan">
      <formula>0</formula>
    </cfRule>
    <cfRule type="cellIs" dxfId="9368" priority="5302" operator="lessThanOrEqual">
      <formula>0</formula>
    </cfRule>
  </conditionalFormatting>
  <conditionalFormatting sqref="BJ149:BJ150">
    <cfRule type="cellIs" dxfId="9367" priority="5299" operator="greaterThan">
      <formula>0</formula>
    </cfRule>
    <cfRule type="cellIs" dxfId="9366" priority="5300" operator="lessThanOrEqual">
      <formula>0</formula>
    </cfRule>
  </conditionalFormatting>
  <conditionalFormatting sqref="BJ142:BJ143">
    <cfRule type="cellIs" dxfId="9365" priority="5297" operator="greaterThan">
      <formula>0</formula>
    </cfRule>
    <cfRule type="cellIs" dxfId="9364" priority="5298" operator="lessThanOrEqual">
      <formula>0</formula>
    </cfRule>
  </conditionalFormatting>
  <conditionalFormatting sqref="BJ152:BJ153">
    <cfRule type="cellIs" dxfId="9363" priority="5295" operator="greaterThan">
      <formula>0</formula>
    </cfRule>
    <cfRule type="cellIs" dxfId="9362" priority="5296" operator="lessThanOrEqual">
      <formula>0</formula>
    </cfRule>
  </conditionalFormatting>
  <conditionalFormatting sqref="BJ155:BJ156">
    <cfRule type="cellIs" dxfId="9361" priority="5293" operator="greaterThan">
      <formula>0</formula>
    </cfRule>
    <cfRule type="cellIs" dxfId="9360" priority="5294" operator="lessThanOrEqual">
      <formula>0</formula>
    </cfRule>
  </conditionalFormatting>
  <conditionalFormatting sqref="BJ158:BJ159">
    <cfRule type="cellIs" dxfId="9359" priority="5291" operator="greaterThan">
      <formula>0</formula>
    </cfRule>
    <cfRule type="cellIs" dxfId="9358" priority="5292" operator="lessThanOrEqual">
      <formula>0</formula>
    </cfRule>
  </conditionalFormatting>
  <conditionalFormatting sqref="BJ168:BJ169">
    <cfRule type="cellIs" dxfId="9357" priority="5289" operator="greaterThan">
      <formula>0</formula>
    </cfRule>
    <cfRule type="cellIs" dxfId="9356" priority="5290" operator="lessThanOrEqual">
      <formula>0</formula>
    </cfRule>
  </conditionalFormatting>
  <conditionalFormatting sqref="BJ183:BJ184">
    <cfRule type="cellIs" dxfId="9355" priority="5287" operator="greaterThan">
      <formula>0</formula>
    </cfRule>
    <cfRule type="cellIs" dxfId="9354" priority="5288" operator="lessThanOrEqual">
      <formula>0</formula>
    </cfRule>
  </conditionalFormatting>
  <conditionalFormatting sqref="BJ135">
    <cfRule type="cellIs" dxfId="9353" priority="5283" operator="greaterThan">
      <formula>0</formula>
    </cfRule>
    <cfRule type="cellIs" dxfId="9352" priority="5284" operator="lessThanOrEqual">
      <formula>0</formula>
    </cfRule>
  </conditionalFormatting>
  <conditionalFormatting sqref="BJ138">
    <cfRule type="cellIs" dxfId="9351" priority="5281" operator="greaterThan">
      <formula>0</formula>
    </cfRule>
    <cfRule type="cellIs" dxfId="9350" priority="5282" operator="lessThanOrEqual">
      <formula>0</formula>
    </cfRule>
  </conditionalFormatting>
  <conditionalFormatting sqref="BJ141">
    <cfRule type="cellIs" dxfId="9349" priority="5279" operator="greaterThan">
      <formula>0</formula>
    </cfRule>
    <cfRule type="cellIs" dxfId="9348" priority="5280" operator="lessThanOrEqual">
      <formula>0</formula>
    </cfRule>
  </conditionalFormatting>
  <conditionalFormatting sqref="BJ151">
    <cfRule type="cellIs" dxfId="9347" priority="5277" operator="greaterThan">
      <formula>0</formula>
    </cfRule>
    <cfRule type="cellIs" dxfId="9346" priority="5278" operator="lessThanOrEqual">
      <formula>0</formula>
    </cfRule>
  </conditionalFormatting>
  <conditionalFormatting sqref="BJ160">
    <cfRule type="cellIs" dxfId="9345" priority="5269" operator="greaterThan">
      <formula>0</formula>
    </cfRule>
    <cfRule type="cellIs" dxfId="9344" priority="5270" operator="lessThanOrEqual">
      <formula>0</formula>
    </cfRule>
  </conditionalFormatting>
  <conditionalFormatting sqref="BJ146">
    <cfRule type="cellIs" dxfId="9343" priority="5267" operator="greaterThan">
      <formula>0</formula>
    </cfRule>
    <cfRule type="cellIs" dxfId="9342" priority="5268" operator="lessThanOrEqual">
      <formula>0</formula>
    </cfRule>
  </conditionalFormatting>
  <conditionalFormatting sqref="BJ186">
    <cfRule type="cellIs" dxfId="9341" priority="5265" operator="greaterThan">
      <formula>0</formula>
    </cfRule>
    <cfRule type="cellIs" dxfId="9340" priority="5266" operator="lessThanOrEqual">
      <formula>0</formula>
    </cfRule>
  </conditionalFormatting>
  <conditionalFormatting sqref="BI133:BI134 BI136:BI137 BI139:BI140 BI149:BI150 BI142:BI143 BI152:BI153 BI155:BI156 BI158:BI159 BI168:BI169 BI183:BI184 BI173:BI174 BM183:BM184 BM173:BM174 BP183:BQ184 BP173:BQ174">
    <cfRule type="cellIs" dxfId="9339" priority="5263" operator="lessThan">
      <formula>0</formula>
    </cfRule>
    <cfRule type="cellIs" dxfId="9338" priority="5264" operator="greaterThanOrEqual">
      <formula>0</formula>
    </cfRule>
  </conditionalFormatting>
  <conditionalFormatting sqref="BI135 BI138 BI141 BI154 BI157 BI160 BI186 BM146 BP146:BQ146 BI151 BI144 BI146">
    <cfRule type="cellIs" dxfId="9337" priority="5262" operator="greaterThanOrEqual">
      <formula>0</formula>
    </cfRule>
  </conditionalFormatting>
  <conditionalFormatting sqref="BI135 BI138 BI141 BI154 BI157 BI160 BI186 BM146 BP146:BQ146 BI151 BI144 BI146">
    <cfRule type="cellIs" dxfId="9336" priority="5261" operator="lessThan">
      <formula>0</formula>
    </cfRule>
  </conditionalFormatting>
  <conditionalFormatting sqref="BM133:BM134 BM136:BM137 BM139:BM140 BM149:BM150 BM142:BM143 BM152:BM153 BM155:BM156">
    <cfRule type="cellIs" dxfId="9335" priority="5259" operator="lessThan">
      <formula>0</formula>
    </cfRule>
    <cfRule type="cellIs" dxfId="9334" priority="5260" operator="greaterThanOrEqual">
      <formula>0</formula>
    </cfRule>
  </conditionalFormatting>
  <conditionalFormatting sqref="BM135 BM138 BM141 BM151 BM144 BM154 BM157">
    <cfRule type="cellIs" dxfId="9333" priority="5258" operator="greaterThanOrEqual">
      <formula>0</formula>
    </cfRule>
  </conditionalFormatting>
  <conditionalFormatting sqref="BM135 BM138 BM141 BM151 BM144 BM154 BM157">
    <cfRule type="cellIs" dxfId="9332" priority="5257" operator="lessThan">
      <formula>0</formula>
    </cfRule>
  </conditionalFormatting>
  <conditionalFormatting sqref="BM158:BM159 BM168:BM169">
    <cfRule type="cellIs" dxfId="9331" priority="5255" operator="lessThan">
      <formula>0</formula>
    </cfRule>
    <cfRule type="cellIs" dxfId="9330" priority="5256" operator="greaterThanOrEqual">
      <formula>0</formula>
    </cfRule>
  </conditionalFormatting>
  <conditionalFormatting sqref="BJ187">
    <cfRule type="cellIs" dxfId="9329" priority="5251" operator="greaterThan">
      <formula>0</formula>
    </cfRule>
    <cfRule type="cellIs" dxfId="9328" priority="5252" operator="lessThanOrEqual">
      <formula>0</formula>
    </cfRule>
  </conditionalFormatting>
  <conditionalFormatting sqref="BM187">
    <cfRule type="cellIs" dxfId="9327" priority="5249" operator="greaterThanOrEqual">
      <formula>0</formula>
    </cfRule>
    <cfRule type="cellIs" dxfId="9326" priority="5250" operator="lessThan">
      <formula>0</formula>
    </cfRule>
  </conditionalFormatting>
  <conditionalFormatting sqref="BI187">
    <cfRule type="cellIs" dxfId="9325" priority="5247" operator="greaterThanOrEqual">
      <formula>0</formula>
    </cfRule>
    <cfRule type="cellIs" dxfId="9324" priority="5248" operator="lessThan">
      <formula>0</formula>
    </cfRule>
  </conditionalFormatting>
  <conditionalFormatting sqref="BP133:BP134 BP136:BP137 BP139:BP140 BP149:BP150 BP142:BP143 BP152:BP153 BP155:BP156 BP158:BP159 BP168:BP169">
    <cfRule type="cellIs" dxfId="9323" priority="5245" operator="lessThan">
      <formula>0</formula>
    </cfRule>
    <cfRule type="cellIs" dxfId="9322" priority="5246" operator="greaterThanOrEqual">
      <formula>0</formula>
    </cfRule>
  </conditionalFormatting>
  <conditionalFormatting sqref="BP135 BP138 BP141 BP151 BP144 BP154 BP157 BP160 BP186">
    <cfRule type="cellIs" dxfId="9321" priority="5244" operator="greaterThanOrEqual">
      <formula>0</formula>
    </cfRule>
  </conditionalFormatting>
  <conditionalFormatting sqref="BP135 BP138 BP141 BP151 BP144 BP154 BP157 BP160 BP186">
    <cfRule type="cellIs" dxfId="9320" priority="5243" operator="lessThan">
      <formula>0</formula>
    </cfRule>
  </conditionalFormatting>
  <conditionalFormatting sqref="BP187">
    <cfRule type="cellIs" dxfId="9319" priority="5241" operator="greaterThanOrEqual">
      <formula>0</formula>
    </cfRule>
    <cfRule type="cellIs" dxfId="9318" priority="5242" operator="lessThan">
      <formula>0</formula>
    </cfRule>
  </conditionalFormatting>
  <conditionalFormatting sqref="BQ133:BQ134">
    <cfRule type="cellIs" dxfId="9317" priority="5239" operator="greaterThan">
      <formula>0</formula>
    </cfRule>
    <cfRule type="cellIs" dxfId="9316" priority="5240" operator="lessThanOrEqual">
      <formula>0</formula>
    </cfRule>
  </conditionalFormatting>
  <conditionalFormatting sqref="BQ136:BQ137">
    <cfRule type="cellIs" dxfId="9315" priority="5237" operator="greaterThan">
      <formula>0</formula>
    </cfRule>
    <cfRule type="cellIs" dxfId="9314" priority="5238" operator="lessThanOrEqual">
      <formula>0</formula>
    </cfRule>
  </conditionalFormatting>
  <conditionalFormatting sqref="BQ139:BQ140">
    <cfRule type="cellIs" dxfId="9313" priority="5235" operator="greaterThan">
      <formula>0</formula>
    </cfRule>
    <cfRule type="cellIs" dxfId="9312" priority="5236" operator="lessThanOrEqual">
      <formula>0</formula>
    </cfRule>
  </conditionalFormatting>
  <conditionalFormatting sqref="BQ149:BQ150">
    <cfRule type="cellIs" dxfId="9311" priority="5233" operator="greaterThan">
      <formula>0</formula>
    </cfRule>
    <cfRule type="cellIs" dxfId="9310" priority="5234" operator="lessThanOrEqual">
      <formula>0</formula>
    </cfRule>
  </conditionalFormatting>
  <conditionalFormatting sqref="BQ142:BQ143">
    <cfRule type="cellIs" dxfId="9309" priority="5231" operator="greaterThan">
      <formula>0</formula>
    </cfRule>
    <cfRule type="cellIs" dxfId="9308" priority="5232" operator="lessThanOrEqual">
      <formula>0</formula>
    </cfRule>
  </conditionalFormatting>
  <conditionalFormatting sqref="BQ152:BQ153">
    <cfRule type="cellIs" dxfId="9307" priority="5229" operator="greaterThan">
      <formula>0</formula>
    </cfRule>
    <cfRule type="cellIs" dxfId="9306" priority="5230" operator="lessThanOrEqual">
      <formula>0</formula>
    </cfRule>
  </conditionalFormatting>
  <conditionalFormatting sqref="BQ155:BQ156">
    <cfRule type="cellIs" dxfId="9305" priority="5227" operator="greaterThan">
      <formula>0</formula>
    </cfRule>
    <cfRule type="cellIs" dxfId="9304" priority="5228" operator="lessThanOrEqual">
      <formula>0</formula>
    </cfRule>
  </conditionalFormatting>
  <conditionalFormatting sqref="BQ158:BQ159 BQ168:BQ169">
    <cfRule type="cellIs" dxfId="9303" priority="5225" operator="lessThan">
      <formula>0</formula>
    </cfRule>
    <cfRule type="cellIs" dxfId="9302" priority="5226" operator="greaterThanOrEqual">
      <formula>0</formula>
    </cfRule>
  </conditionalFormatting>
  <conditionalFormatting sqref="BQ135 BQ138 BQ141 BQ151 BQ144 BQ154 BQ157 BQ160 BQ186">
    <cfRule type="cellIs" dxfId="9301" priority="5224" operator="greaterThanOrEqual">
      <formula>0</formula>
    </cfRule>
  </conditionalFormatting>
  <conditionalFormatting sqref="BQ135 BQ138 BQ141 BQ151 BQ144 BQ154 BQ157 BQ160 BQ186">
    <cfRule type="cellIs" dxfId="9300" priority="5223" operator="lessThan">
      <formula>0</formula>
    </cfRule>
  </conditionalFormatting>
  <conditionalFormatting sqref="BQ187">
    <cfRule type="cellIs" dxfId="9299" priority="5221" operator="lessThan">
      <formula>0</formula>
    </cfRule>
    <cfRule type="cellIs" dxfId="9298" priority="5222" operator="greaterThanOrEqual">
      <formula>0</formula>
    </cfRule>
  </conditionalFormatting>
  <conditionalFormatting sqref="BJ172">
    <cfRule type="cellIs" dxfId="9297" priority="5219" operator="greaterThan">
      <formula>0</formula>
    </cfRule>
    <cfRule type="cellIs" dxfId="9296" priority="5220" operator="lessThanOrEqual">
      <formula>0</formula>
    </cfRule>
  </conditionalFormatting>
  <conditionalFormatting sqref="BI172">
    <cfRule type="cellIs" dxfId="9295" priority="5218" operator="greaterThanOrEqual">
      <formula>0</formula>
    </cfRule>
  </conditionalFormatting>
  <conditionalFormatting sqref="BI172">
    <cfRule type="cellIs" dxfId="9294" priority="5217" operator="lessThan">
      <formula>0</formula>
    </cfRule>
  </conditionalFormatting>
  <conditionalFormatting sqref="BM172">
    <cfRule type="cellIs" dxfId="9293" priority="5216" operator="greaterThanOrEqual">
      <formula>0</formula>
    </cfRule>
  </conditionalFormatting>
  <conditionalFormatting sqref="BM172">
    <cfRule type="cellIs" dxfId="9292" priority="5215" operator="lessThan">
      <formula>0</formula>
    </cfRule>
  </conditionalFormatting>
  <conditionalFormatting sqref="BP172">
    <cfRule type="cellIs" dxfId="9291" priority="5214" operator="greaterThanOrEqual">
      <formula>0</formula>
    </cfRule>
  </conditionalFormatting>
  <conditionalFormatting sqref="BP172">
    <cfRule type="cellIs" dxfId="9290" priority="5213" operator="lessThan">
      <formula>0</formula>
    </cfRule>
  </conditionalFormatting>
  <conditionalFormatting sqref="BQ172">
    <cfRule type="cellIs" dxfId="9289" priority="5212" operator="greaterThanOrEqual">
      <formula>0</formula>
    </cfRule>
  </conditionalFormatting>
  <conditionalFormatting sqref="BQ172">
    <cfRule type="cellIs" dxfId="9288" priority="5211" operator="lessThan">
      <formula>0</formula>
    </cfRule>
  </conditionalFormatting>
  <conditionalFormatting sqref="BI161">
    <cfRule type="cellIs" dxfId="9287" priority="5190" operator="greaterThanOrEqual">
      <formula>0</formula>
    </cfRule>
  </conditionalFormatting>
  <conditionalFormatting sqref="BI161">
    <cfRule type="cellIs" dxfId="9286" priority="5189" operator="lessThan">
      <formula>0</formula>
    </cfRule>
  </conditionalFormatting>
  <conditionalFormatting sqref="BJ145">
    <cfRule type="cellIs" dxfId="9285" priority="5209" operator="greaterThan">
      <formula>0</formula>
    </cfRule>
    <cfRule type="cellIs" dxfId="9284" priority="5210" operator="lessThanOrEqual">
      <formula>0</formula>
    </cfRule>
  </conditionalFormatting>
  <conditionalFormatting sqref="BI145">
    <cfRule type="cellIs" dxfId="9283" priority="5208" operator="greaterThanOrEqual">
      <formula>0</formula>
    </cfRule>
  </conditionalFormatting>
  <conditionalFormatting sqref="BI145">
    <cfRule type="cellIs" dxfId="9282" priority="5207" operator="lessThan">
      <formula>0</formula>
    </cfRule>
  </conditionalFormatting>
  <conditionalFormatting sqref="BM145">
    <cfRule type="cellIs" dxfId="9281" priority="5206" operator="greaterThanOrEqual">
      <formula>0</formula>
    </cfRule>
  </conditionalFormatting>
  <conditionalFormatting sqref="BM145">
    <cfRule type="cellIs" dxfId="9280" priority="5205" operator="lessThan">
      <formula>0</formula>
    </cfRule>
  </conditionalFormatting>
  <conditionalFormatting sqref="BP145">
    <cfRule type="cellIs" dxfId="9279" priority="5204" operator="greaterThanOrEqual">
      <formula>0</formula>
    </cfRule>
  </conditionalFormatting>
  <conditionalFormatting sqref="BP145">
    <cfRule type="cellIs" dxfId="9278" priority="5203" operator="lessThan">
      <formula>0</formula>
    </cfRule>
  </conditionalFormatting>
  <conditionalFormatting sqref="BM148">
    <cfRule type="cellIs" dxfId="9277" priority="5196" operator="greaterThanOrEqual">
      <formula>0</formula>
    </cfRule>
  </conditionalFormatting>
  <conditionalFormatting sqref="BM148">
    <cfRule type="cellIs" dxfId="9276" priority="5195" operator="lessThan">
      <formula>0</formula>
    </cfRule>
  </conditionalFormatting>
  <conditionalFormatting sqref="BP164">
    <cfRule type="cellIs" dxfId="9275" priority="5152" operator="greaterThanOrEqual">
      <formula>0</formula>
    </cfRule>
  </conditionalFormatting>
  <conditionalFormatting sqref="BP164">
    <cfRule type="cellIs" dxfId="9274" priority="5151" operator="lessThan">
      <formula>0</formula>
    </cfRule>
  </conditionalFormatting>
  <conditionalFormatting sqref="BP148:BQ148">
    <cfRule type="cellIs" dxfId="9273" priority="5194" operator="greaterThanOrEqual">
      <formula>0</formula>
    </cfRule>
  </conditionalFormatting>
  <conditionalFormatting sqref="BP148:BQ148">
    <cfRule type="cellIs" dxfId="9272" priority="5193" operator="lessThan">
      <formula>0</formula>
    </cfRule>
  </conditionalFormatting>
  <conditionalFormatting sqref="BJ167">
    <cfRule type="cellIs" dxfId="9271" priority="5147" operator="greaterThan">
      <formula>0</formula>
    </cfRule>
    <cfRule type="cellIs" dxfId="9270" priority="5148" operator="lessThanOrEqual">
      <formula>0</formula>
    </cfRule>
  </conditionalFormatting>
  <conditionalFormatting sqref="BI167">
    <cfRule type="cellIs" dxfId="9269" priority="5146" operator="greaterThanOrEqual">
      <formula>0</formula>
    </cfRule>
  </conditionalFormatting>
  <conditionalFormatting sqref="BI167">
    <cfRule type="cellIs" dxfId="9268" priority="5145" operator="lessThan">
      <formula>0</formula>
    </cfRule>
  </conditionalFormatting>
  <conditionalFormatting sqref="BJ170">
    <cfRule type="cellIs" dxfId="9267" priority="5137" operator="greaterThan">
      <formula>0</formula>
    </cfRule>
    <cfRule type="cellIs" dxfId="9266" priority="5138" operator="lessThanOrEqual">
      <formula>0</formula>
    </cfRule>
  </conditionalFormatting>
  <conditionalFormatting sqref="BI170">
    <cfRule type="cellIs" dxfId="9265" priority="5136" operator="greaterThanOrEqual">
      <formula>0</formula>
    </cfRule>
  </conditionalFormatting>
  <conditionalFormatting sqref="BI170">
    <cfRule type="cellIs" dxfId="9264" priority="5135" operator="lessThan">
      <formula>0</formula>
    </cfRule>
  </conditionalFormatting>
  <conditionalFormatting sqref="BP171:BQ171">
    <cfRule type="cellIs" dxfId="9263" priority="5178" operator="greaterThanOrEqual">
      <formula>0</formula>
    </cfRule>
  </conditionalFormatting>
  <conditionalFormatting sqref="BP171:BQ171">
    <cfRule type="cellIs" dxfId="9262" priority="5177" operator="lessThan">
      <formula>0</formula>
    </cfRule>
  </conditionalFormatting>
  <conditionalFormatting sqref="BI179">
    <cfRule type="cellIs" dxfId="9261" priority="5126" operator="greaterThanOrEqual">
      <formula>0</formula>
    </cfRule>
  </conditionalFormatting>
  <conditionalFormatting sqref="BI179">
    <cfRule type="cellIs" dxfId="9260" priority="5125" operator="lessThan">
      <formula>0</formula>
    </cfRule>
  </conditionalFormatting>
  <conditionalFormatting sqref="BJ148">
    <cfRule type="cellIs" dxfId="9259" priority="5199" operator="greaterThan">
      <formula>0</formula>
    </cfRule>
    <cfRule type="cellIs" dxfId="9258" priority="5200" operator="lessThanOrEqual">
      <formula>0</formula>
    </cfRule>
  </conditionalFormatting>
  <conditionalFormatting sqref="BI148">
    <cfRule type="cellIs" dxfId="9257" priority="5198" operator="greaterThanOrEqual">
      <formula>0</formula>
    </cfRule>
  </conditionalFormatting>
  <conditionalFormatting sqref="BI148">
    <cfRule type="cellIs" dxfId="9256" priority="5197" operator="lessThan">
      <formula>0</formula>
    </cfRule>
  </conditionalFormatting>
  <conditionalFormatting sqref="BM161">
    <cfRule type="cellIs" dxfId="9255" priority="5188" operator="greaterThanOrEqual">
      <formula>0</formula>
    </cfRule>
  </conditionalFormatting>
  <conditionalFormatting sqref="BM161">
    <cfRule type="cellIs" dxfId="9254" priority="5187" operator="lessThan">
      <formula>0</formula>
    </cfRule>
  </conditionalFormatting>
  <conditionalFormatting sqref="BP161:BQ161">
    <cfRule type="cellIs" dxfId="9253" priority="5186" operator="greaterThanOrEqual">
      <formula>0</formula>
    </cfRule>
  </conditionalFormatting>
  <conditionalFormatting sqref="BP161:BQ161">
    <cfRule type="cellIs" dxfId="9252" priority="5185" operator="lessThan">
      <formula>0</formula>
    </cfRule>
  </conditionalFormatting>
  <conditionalFormatting sqref="BJ161">
    <cfRule type="cellIs" dxfId="9251" priority="5191" operator="greaterThan">
      <formula>0</formula>
    </cfRule>
    <cfRule type="cellIs" dxfId="9250" priority="5192" operator="lessThanOrEqual">
      <formula>0</formula>
    </cfRule>
  </conditionalFormatting>
  <conditionalFormatting sqref="BM171">
    <cfRule type="cellIs" dxfId="9249" priority="5180" operator="greaterThanOrEqual">
      <formula>0</formula>
    </cfRule>
  </conditionalFormatting>
  <conditionalFormatting sqref="BM171">
    <cfRule type="cellIs" dxfId="9248" priority="5179" operator="lessThan">
      <formula>0</formula>
    </cfRule>
  </conditionalFormatting>
  <conditionalFormatting sqref="BQ164">
    <cfRule type="cellIs" dxfId="9247" priority="5149" operator="lessThan">
      <formula>0</formula>
    </cfRule>
  </conditionalFormatting>
  <conditionalFormatting sqref="BQ170">
    <cfRule type="cellIs" dxfId="9246" priority="5129" operator="lessThan">
      <formula>0</formula>
    </cfRule>
  </conditionalFormatting>
  <conditionalFormatting sqref="BM164">
    <cfRule type="cellIs" dxfId="9245" priority="5154" operator="greaterThanOrEqual">
      <formula>0</formula>
    </cfRule>
  </conditionalFormatting>
  <conditionalFormatting sqref="BM164">
    <cfRule type="cellIs" dxfId="9244" priority="5153" operator="lessThan">
      <formula>0</formula>
    </cfRule>
  </conditionalFormatting>
  <conditionalFormatting sqref="BQ164">
    <cfRule type="cellIs" dxfId="9243" priority="5150" operator="greaterThanOrEqual">
      <formula>0</formula>
    </cfRule>
  </conditionalFormatting>
  <conditionalFormatting sqref="BQ179">
    <cfRule type="cellIs" dxfId="9242" priority="5119" operator="lessThan">
      <formula>0</formula>
    </cfRule>
  </conditionalFormatting>
  <conditionalFormatting sqref="BJ162:BJ163 BJ165:BJ166">
    <cfRule type="cellIs" dxfId="9241" priority="5175" operator="greaterThan">
      <formula>0</formula>
    </cfRule>
    <cfRule type="cellIs" dxfId="9240" priority="5176" operator="lessThanOrEqual">
      <formula>0</formula>
    </cfRule>
  </conditionalFormatting>
  <conditionalFormatting sqref="BI162:BI163 BI165:BI166">
    <cfRule type="cellIs" dxfId="9239" priority="5173" operator="lessThan">
      <formula>0</formula>
    </cfRule>
    <cfRule type="cellIs" dxfId="9238" priority="5174" operator="greaterThanOrEqual">
      <formula>0</formula>
    </cfRule>
  </conditionalFormatting>
  <conditionalFormatting sqref="BM162:BM163 BM165:BM166">
    <cfRule type="cellIs" dxfId="9237" priority="5171" operator="lessThan">
      <formula>0</formula>
    </cfRule>
    <cfRule type="cellIs" dxfId="9236" priority="5172" operator="greaterThanOrEqual">
      <formula>0</formula>
    </cfRule>
  </conditionalFormatting>
  <conditionalFormatting sqref="BP162:BP163 BP165:BP166">
    <cfRule type="cellIs" dxfId="9235" priority="5169" operator="lessThan">
      <formula>0</formula>
    </cfRule>
    <cfRule type="cellIs" dxfId="9234" priority="5170" operator="greaterThanOrEqual">
      <formula>0</formula>
    </cfRule>
  </conditionalFormatting>
  <conditionalFormatting sqref="BQ162:BQ163 BQ165:BQ166">
    <cfRule type="cellIs" dxfId="9233" priority="5167" operator="lessThan">
      <formula>0</formula>
    </cfRule>
    <cfRule type="cellIs" dxfId="9232" priority="5168" operator="greaterThanOrEqual">
      <formula>0</formula>
    </cfRule>
  </conditionalFormatting>
  <conditionalFormatting sqref="BM177:BM178 BM180:BM181">
    <cfRule type="cellIs" dxfId="9231" priority="5161" operator="lessThan">
      <formula>0</formula>
    </cfRule>
    <cfRule type="cellIs" dxfId="9230" priority="5162" operator="greaterThanOrEqual">
      <formula>0</formula>
    </cfRule>
  </conditionalFormatting>
  <conditionalFormatting sqref="BP177:BQ178 BP180:BQ181">
    <cfRule type="cellIs" dxfId="9229" priority="5159" operator="lessThan">
      <formula>0</formula>
    </cfRule>
    <cfRule type="cellIs" dxfId="9228" priority="5160" operator="greaterThanOrEqual">
      <formula>0</formula>
    </cfRule>
  </conditionalFormatting>
  <conditionalFormatting sqref="BJ177:BJ178 BJ180:BJ181">
    <cfRule type="cellIs" dxfId="9227" priority="5165" operator="greaterThan">
      <formula>0</formula>
    </cfRule>
    <cfRule type="cellIs" dxfId="9226" priority="5166" operator="lessThanOrEqual">
      <formula>0</formula>
    </cfRule>
  </conditionalFormatting>
  <conditionalFormatting sqref="BI177:BI178 BI180:BI181">
    <cfRule type="cellIs" dxfId="9225" priority="5163" operator="lessThan">
      <formula>0</formula>
    </cfRule>
    <cfRule type="cellIs" dxfId="9224" priority="5164" operator="greaterThanOrEqual">
      <formula>0</formula>
    </cfRule>
  </conditionalFormatting>
  <conditionalFormatting sqref="BJ179">
    <cfRule type="cellIs" dxfId="9223" priority="5127" operator="greaterThan">
      <formula>0</formula>
    </cfRule>
    <cfRule type="cellIs" dxfId="9222" priority="5128" operator="lessThanOrEqual">
      <formula>0</formula>
    </cfRule>
  </conditionalFormatting>
  <conditionalFormatting sqref="BI182">
    <cfRule type="cellIs" dxfId="9221" priority="5116" operator="greaterThanOrEqual">
      <formula>0</formula>
    </cfRule>
  </conditionalFormatting>
  <conditionalFormatting sqref="BI182">
    <cfRule type="cellIs" dxfId="9220" priority="5115" operator="lessThan">
      <formula>0</formula>
    </cfRule>
  </conditionalFormatting>
  <conditionalFormatting sqref="BM167">
    <cfRule type="cellIs" dxfId="9219" priority="5144" operator="greaterThanOrEqual">
      <formula>0</formula>
    </cfRule>
  </conditionalFormatting>
  <conditionalFormatting sqref="BM167">
    <cfRule type="cellIs" dxfId="9218" priority="5143" operator="lessThan">
      <formula>0</formula>
    </cfRule>
  </conditionalFormatting>
  <conditionalFormatting sqref="BP167">
    <cfRule type="cellIs" dxfId="9217" priority="5142" operator="greaterThanOrEqual">
      <formula>0</formula>
    </cfRule>
  </conditionalFormatting>
  <conditionalFormatting sqref="BP167">
    <cfRule type="cellIs" dxfId="9216" priority="5141" operator="lessThan">
      <formula>0</formula>
    </cfRule>
  </conditionalFormatting>
  <conditionalFormatting sqref="BQ182">
    <cfRule type="cellIs" dxfId="9215" priority="5109" operator="lessThan">
      <formula>0</formula>
    </cfRule>
  </conditionalFormatting>
  <conditionalFormatting sqref="BJ182">
    <cfRule type="cellIs" dxfId="9214" priority="5117" operator="greaterThan">
      <formula>0</formula>
    </cfRule>
    <cfRule type="cellIs" dxfId="9213" priority="5118" operator="lessThanOrEqual">
      <formula>0</formula>
    </cfRule>
  </conditionalFormatting>
  <conditionalFormatting sqref="BI185">
    <cfRule type="cellIs" dxfId="9212" priority="5106" operator="greaterThanOrEqual">
      <formula>0</formula>
    </cfRule>
  </conditionalFormatting>
  <conditionalFormatting sqref="BI185">
    <cfRule type="cellIs" dxfId="9211" priority="5105" operator="lessThan">
      <formula>0</formula>
    </cfRule>
  </conditionalFormatting>
  <conditionalFormatting sqref="BP170">
    <cfRule type="cellIs" dxfId="9210" priority="5132" operator="greaterThanOrEqual">
      <formula>0</formula>
    </cfRule>
  </conditionalFormatting>
  <conditionalFormatting sqref="BP170">
    <cfRule type="cellIs" dxfId="9209" priority="5131" operator="lessThan">
      <formula>0</formula>
    </cfRule>
  </conditionalFormatting>
  <conditionalFormatting sqref="BQ185">
    <cfRule type="cellIs" dxfId="9208" priority="5099" operator="lessThan">
      <formula>0</formula>
    </cfRule>
  </conditionalFormatting>
  <conditionalFormatting sqref="BM170">
    <cfRule type="cellIs" dxfId="9207" priority="5134" operator="greaterThanOrEqual">
      <formula>0</formula>
    </cfRule>
  </conditionalFormatting>
  <conditionalFormatting sqref="BM170">
    <cfRule type="cellIs" dxfId="9206" priority="5133" operator="lessThan">
      <formula>0</formula>
    </cfRule>
  </conditionalFormatting>
  <conditionalFormatting sqref="BQ170">
    <cfRule type="cellIs" dxfId="9205" priority="5130" operator="greaterThanOrEqual">
      <formula>0</formula>
    </cfRule>
  </conditionalFormatting>
  <conditionalFormatting sqref="BJ185">
    <cfRule type="cellIs" dxfId="9204" priority="5107" operator="greaterThan">
      <formula>0</formula>
    </cfRule>
    <cfRule type="cellIs" dxfId="9203" priority="5108" operator="lessThanOrEqual">
      <formula>0</formula>
    </cfRule>
  </conditionalFormatting>
  <conditionalFormatting sqref="BM179">
    <cfRule type="cellIs" dxfId="9202" priority="5124" operator="greaterThanOrEqual">
      <formula>0</formula>
    </cfRule>
  </conditionalFormatting>
  <conditionalFormatting sqref="BM179">
    <cfRule type="cellIs" dxfId="9201" priority="5123" operator="lessThan">
      <formula>0</formula>
    </cfRule>
  </conditionalFormatting>
  <conditionalFormatting sqref="BP179">
    <cfRule type="cellIs" dxfId="9200" priority="5122" operator="greaterThanOrEqual">
      <formula>0</formula>
    </cfRule>
  </conditionalFormatting>
  <conditionalFormatting sqref="BP179">
    <cfRule type="cellIs" dxfId="9199" priority="5121" operator="lessThan">
      <formula>0</formula>
    </cfRule>
  </conditionalFormatting>
  <conditionalFormatting sqref="BQ179">
    <cfRule type="cellIs" dxfId="9198" priority="5120" operator="greaterThanOrEqual">
      <formula>0</formula>
    </cfRule>
  </conditionalFormatting>
  <conditionalFormatting sqref="BP182">
    <cfRule type="cellIs" dxfId="9197" priority="5112" operator="greaterThanOrEqual">
      <formula>0</formula>
    </cfRule>
  </conditionalFormatting>
  <conditionalFormatting sqref="BP182">
    <cfRule type="cellIs" dxfId="9196" priority="5111" operator="lessThan">
      <formula>0</formula>
    </cfRule>
  </conditionalFormatting>
  <conditionalFormatting sqref="BQ182">
    <cfRule type="cellIs" dxfId="9195" priority="5110" operator="greaterThanOrEqual">
      <formula>0</formula>
    </cfRule>
  </conditionalFormatting>
  <conditionalFormatting sqref="BP185">
    <cfRule type="cellIs" dxfId="9194" priority="5102" operator="greaterThanOrEqual">
      <formula>0</formula>
    </cfRule>
  </conditionalFormatting>
  <conditionalFormatting sqref="BP185">
    <cfRule type="cellIs" dxfId="9193" priority="5101" operator="lessThan">
      <formula>0</formula>
    </cfRule>
  </conditionalFormatting>
  <conditionalFormatting sqref="BQ185">
    <cfRule type="cellIs" dxfId="9192" priority="5100" operator="greaterThanOrEqual">
      <formula>0</formula>
    </cfRule>
  </conditionalFormatting>
  <conditionalFormatting sqref="BJ25">
    <cfRule type="cellIs" dxfId="9191" priority="5097" operator="greaterThan">
      <formula>0</formula>
    </cfRule>
    <cfRule type="cellIs" dxfId="9190" priority="5098" operator="lessThanOrEqual">
      <formula>0</formula>
    </cfRule>
  </conditionalFormatting>
  <conditionalFormatting sqref="BQ52">
    <cfRule type="cellIs" dxfId="9189" priority="5085" operator="lessThan">
      <formula>0</formula>
    </cfRule>
  </conditionalFormatting>
  <conditionalFormatting sqref="BJ56">
    <cfRule type="cellIs" dxfId="9188" priority="5095" operator="greaterThan">
      <formula>0</formula>
    </cfRule>
    <cfRule type="cellIs" dxfId="9187" priority="5096" operator="lessThanOrEqual">
      <formula>0</formula>
    </cfRule>
  </conditionalFormatting>
  <conditionalFormatting sqref="BI56">
    <cfRule type="cellIs" dxfId="9186" priority="5094" operator="greaterThanOrEqual">
      <formula>0</formula>
    </cfRule>
  </conditionalFormatting>
  <conditionalFormatting sqref="BI56">
    <cfRule type="cellIs" dxfId="9185" priority="5093" operator="lessThan">
      <formula>0</formula>
    </cfRule>
  </conditionalFormatting>
  <conditionalFormatting sqref="BJ52">
    <cfRule type="cellIs" dxfId="9184" priority="5091" operator="greaterThan">
      <formula>0</formula>
    </cfRule>
    <cfRule type="cellIs" dxfId="9183" priority="5092" operator="lessThanOrEqual">
      <formula>0</formula>
    </cfRule>
  </conditionalFormatting>
  <conditionalFormatting sqref="BI52">
    <cfRule type="cellIs" dxfId="9182" priority="5090" operator="greaterThanOrEqual">
      <formula>0</formula>
    </cfRule>
  </conditionalFormatting>
  <conditionalFormatting sqref="BI52">
    <cfRule type="cellIs" dxfId="9181" priority="5089" operator="lessThan">
      <formula>0</formula>
    </cfRule>
  </conditionalFormatting>
  <conditionalFormatting sqref="BP52">
    <cfRule type="cellIs" dxfId="9180" priority="5088" operator="greaterThanOrEqual">
      <formula>0</formula>
    </cfRule>
  </conditionalFormatting>
  <conditionalFormatting sqref="BP52">
    <cfRule type="cellIs" dxfId="9179" priority="5087" operator="lessThan">
      <formula>0</formula>
    </cfRule>
  </conditionalFormatting>
  <conditionalFormatting sqref="BQ52">
    <cfRule type="cellIs" dxfId="9178" priority="5086" operator="greaterThanOrEqual">
      <formula>0</formula>
    </cfRule>
  </conditionalFormatting>
  <conditionalFormatting sqref="BJ69">
    <cfRule type="cellIs" dxfId="9177" priority="5083" operator="greaterThan">
      <formula>0</formula>
    </cfRule>
    <cfRule type="cellIs" dxfId="9176" priority="5084" operator="lessThanOrEqual">
      <formula>0</formula>
    </cfRule>
  </conditionalFormatting>
  <conditionalFormatting sqref="BP69">
    <cfRule type="cellIs" dxfId="9175" priority="5081" operator="lessThan">
      <formula>0</formula>
    </cfRule>
    <cfRule type="cellIs" dxfId="9174" priority="5082" operator="greaterThanOrEqual">
      <formula>0</formula>
    </cfRule>
  </conditionalFormatting>
  <conditionalFormatting sqref="BQ69">
    <cfRule type="cellIs" dxfId="9173" priority="5079" operator="lessThan">
      <formula>0</formula>
    </cfRule>
    <cfRule type="cellIs" dxfId="9172" priority="5080" operator="greaterThanOrEqual">
      <formula>0</formula>
    </cfRule>
  </conditionalFormatting>
  <conditionalFormatting sqref="BJ70">
    <cfRule type="cellIs" dxfId="9171" priority="5077" operator="greaterThan">
      <formula>0</formula>
    </cfRule>
    <cfRule type="cellIs" dxfId="9170" priority="5078" operator="lessThanOrEqual">
      <formula>0</formula>
    </cfRule>
  </conditionalFormatting>
  <conditionalFormatting sqref="BP72">
    <cfRule type="cellIs" dxfId="9169" priority="5075" operator="lessThan">
      <formula>0</formula>
    </cfRule>
    <cfRule type="cellIs" dxfId="9168" priority="5076" operator="greaterThanOrEqual">
      <formula>0</formula>
    </cfRule>
  </conditionalFormatting>
  <conditionalFormatting sqref="BJ72">
    <cfRule type="cellIs" dxfId="9167" priority="5073" operator="greaterThan">
      <formula>0</formula>
    </cfRule>
    <cfRule type="cellIs" dxfId="9166" priority="5074" operator="lessThanOrEqual">
      <formula>0</formula>
    </cfRule>
  </conditionalFormatting>
  <conditionalFormatting sqref="BI25">
    <cfRule type="cellIs" dxfId="9165" priority="5072" operator="greaterThanOrEqual">
      <formula>0</formula>
    </cfRule>
  </conditionalFormatting>
  <conditionalFormatting sqref="BI25">
    <cfRule type="cellIs" dxfId="9164" priority="5071" operator="lessThan">
      <formula>0</formula>
    </cfRule>
  </conditionalFormatting>
  <conditionalFormatting sqref="BI28">
    <cfRule type="cellIs" dxfId="9163" priority="5070" operator="greaterThanOrEqual">
      <formula>0</formula>
    </cfRule>
  </conditionalFormatting>
  <conditionalFormatting sqref="BI28">
    <cfRule type="cellIs" dxfId="9162" priority="5069" operator="lessThan">
      <formula>0</formula>
    </cfRule>
  </conditionalFormatting>
  <conditionalFormatting sqref="BI41">
    <cfRule type="cellIs" dxfId="9161" priority="5068" operator="greaterThanOrEqual">
      <formula>0</formula>
    </cfRule>
  </conditionalFormatting>
  <conditionalFormatting sqref="BI41">
    <cfRule type="cellIs" dxfId="9160" priority="5067" operator="lessThan">
      <formula>0</formula>
    </cfRule>
  </conditionalFormatting>
  <conditionalFormatting sqref="BI44">
    <cfRule type="cellIs" dxfId="9159" priority="5066" operator="greaterThanOrEqual">
      <formula>0</formula>
    </cfRule>
  </conditionalFormatting>
  <conditionalFormatting sqref="BI44">
    <cfRule type="cellIs" dxfId="9158" priority="5065" operator="lessThan">
      <formula>0</formula>
    </cfRule>
  </conditionalFormatting>
  <conditionalFormatting sqref="BI47">
    <cfRule type="cellIs" dxfId="9157" priority="5064" operator="greaterThanOrEqual">
      <formula>0</formula>
    </cfRule>
  </conditionalFormatting>
  <conditionalFormatting sqref="BI47">
    <cfRule type="cellIs" dxfId="9156" priority="5063" operator="lessThan">
      <formula>0</formula>
    </cfRule>
  </conditionalFormatting>
  <conditionalFormatting sqref="BI50">
    <cfRule type="cellIs" dxfId="9155" priority="5062" operator="greaterThanOrEqual">
      <formula>0</formula>
    </cfRule>
  </conditionalFormatting>
  <conditionalFormatting sqref="BI50">
    <cfRule type="cellIs" dxfId="9154" priority="5061" operator="lessThan">
      <formula>0</formula>
    </cfRule>
  </conditionalFormatting>
  <conditionalFormatting sqref="BI51">
    <cfRule type="cellIs" dxfId="9153" priority="5060" operator="greaterThanOrEqual">
      <formula>0</formula>
    </cfRule>
  </conditionalFormatting>
  <conditionalFormatting sqref="BI51">
    <cfRule type="cellIs" dxfId="9152" priority="5059" operator="lessThan">
      <formula>0</formula>
    </cfRule>
  </conditionalFormatting>
  <conditionalFormatting sqref="BI59">
    <cfRule type="cellIs" dxfId="9151" priority="5058" operator="greaterThanOrEqual">
      <formula>0</formula>
    </cfRule>
  </conditionalFormatting>
  <conditionalFormatting sqref="BI59">
    <cfRule type="cellIs" dxfId="9150" priority="5057" operator="lessThan">
      <formula>0</formula>
    </cfRule>
  </conditionalFormatting>
  <conditionalFormatting sqref="BI65">
    <cfRule type="cellIs" dxfId="9149" priority="5056" operator="greaterThanOrEqual">
      <formula>0</formula>
    </cfRule>
  </conditionalFormatting>
  <conditionalFormatting sqref="BI65">
    <cfRule type="cellIs" dxfId="9148" priority="5055" operator="lessThan">
      <formula>0</formula>
    </cfRule>
  </conditionalFormatting>
  <conditionalFormatting sqref="BI66">
    <cfRule type="cellIs" dxfId="9147" priority="5054" operator="greaterThanOrEqual">
      <formula>0</formula>
    </cfRule>
  </conditionalFormatting>
  <conditionalFormatting sqref="BI66">
    <cfRule type="cellIs" dxfId="9146" priority="5053" operator="lessThan">
      <formula>0</formula>
    </cfRule>
  </conditionalFormatting>
  <conditionalFormatting sqref="BI68:BI70">
    <cfRule type="cellIs" dxfId="9145" priority="5051" operator="lessThan">
      <formula>0</formula>
    </cfRule>
    <cfRule type="cellIs" dxfId="9144" priority="5052" operator="greaterThanOrEqual">
      <formula>0</formula>
    </cfRule>
  </conditionalFormatting>
  <conditionalFormatting sqref="BI71:BI72">
    <cfRule type="cellIs" dxfId="9143" priority="5050" operator="greaterThanOrEqual">
      <formula>0</formula>
    </cfRule>
  </conditionalFormatting>
  <conditionalFormatting sqref="BI71:BI72">
    <cfRule type="cellIs" dxfId="9142" priority="5049" operator="lessThan">
      <formula>0</formula>
    </cfRule>
  </conditionalFormatting>
  <conditionalFormatting sqref="BI73">
    <cfRule type="cellIs" dxfId="9141" priority="5048" operator="greaterThanOrEqual">
      <formula>0</formula>
    </cfRule>
  </conditionalFormatting>
  <conditionalFormatting sqref="BI73">
    <cfRule type="cellIs" dxfId="9140" priority="5047" operator="lessThan">
      <formula>0</formula>
    </cfRule>
  </conditionalFormatting>
  <conditionalFormatting sqref="BI42:BI43">
    <cfRule type="cellIs" dxfId="9139" priority="5045" operator="lessThan">
      <formula>0</formula>
    </cfRule>
    <cfRule type="cellIs" dxfId="9138" priority="5046" operator="greaterThanOrEqual">
      <formula>0</formula>
    </cfRule>
  </conditionalFormatting>
  <conditionalFormatting sqref="BI45:BI46">
    <cfRule type="cellIs" dxfId="9137" priority="5043" operator="lessThan">
      <formula>0</formula>
    </cfRule>
    <cfRule type="cellIs" dxfId="9136" priority="5044" operator="greaterThanOrEqual">
      <formula>0</formula>
    </cfRule>
  </conditionalFormatting>
  <conditionalFormatting sqref="BI57:BI58">
    <cfRule type="cellIs" dxfId="9135" priority="5041" operator="lessThan">
      <formula>0</formula>
    </cfRule>
    <cfRule type="cellIs" dxfId="9134" priority="5042" operator="greaterThanOrEqual">
      <formula>0</formula>
    </cfRule>
  </conditionalFormatting>
  <conditionalFormatting sqref="BI60:BI61">
    <cfRule type="cellIs" dxfId="9133" priority="5039" operator="lessThan">
      <formula>0</formula>
    </cfRule>
    <cfRule type="cellIs" dxfId="9132" priority="5040" operator="greaterThanOrEqual">
      <formula>0</formula>
    </cfRule>
  </conditionalFormatting>
  <conditionalFormatting sqref="BI63:BI64">
    <cfRule type="cellIs" dxfId="9131" priority="5037" operator="lessThan">
      <formula>0</formula>
    </cfRule>
    <cfRule type="cellIs" dxfId="9130" priority="5038" operator="greaterThanOrEqual">
      <formula>0</formula>
    </cfRule>
  </conditionalFormatting>
  <conditionalFormatting sqref="BN13:BN14">
    <cfRule type="cellIs" dxfId="9129" priority="5035" operator="greaterThan">
      <formula>0</formula>
    </cfRule>
    <cfRule type="cellIs" dxfId="9128" priority="5036" operator="lessThanOrEqual">
      <formula>0</formula>
    </cfRule>
  </conditionalFormatting>
  <conditionalFormatting sqref="BN16:BN17">
    <cfRule type="cellIs" dxfId="9127" priority="5033" operator="greaterThan">
      <formula>0</formula>
    </cfRule>
    <cfRule type="cellIs" dxfId="9126" priority="5034" operator="lessThanOrEqual">
      <formula>0</formula>
    </cfRule>
  </conditionalFormatting>
  <conditionalFormatting sqref="BN19:BN20">
    <cfRule type="cellIs" dxfId="9125" priority="5031" operator="greaterThan">
      <formula>0</formula>
    </cfRule>
    <cfRule type="cellIs" dxfId="9124" priority="5032" operator="lessThanOrEqual">
      <formula>0</formula>
    </cfRule>
  </conditionalFormatting>
  <conditionalFormatting sqref="BN29:BN30">
    <cfRule type="cellIs" dxfId="9123" priority="5029" operator="greaterThan">
      <formula>0</formula>
    </cfRule>
    <cfRule type="cellIs" dxfId="9122" priority="5030" operator="lessThanOrEqual">
      <formula>0</formula>
    </cfRule>
  </conditionalFormatting>
  <conditionalFormatting sqref="BN22:BN23">
    <cfRule type="cellIs" dxfId="9121" priority="5027" operator="greaterThan">
      <formula>0</formula>
    </cfRule>
    <cfRule type="cellIs" dxfId="9120" priority="5028" operator="lessThanOrEqual">
      <formula>0</formula>
    </cfRule>
  </conditionalFormatting>
  <conditionalFormatting sqref="BN32:BN33">
    <cfRule type="cellIs" dxfId="9119" priority="5025" operator="greaterThan">
      <formula>0</formula>
    </cfRule>
    <cfRule type="cellIs" dxfId="9118" priority="5026" operator="lessThanOrEqual">
      <formula>0</formula>
    </cfRule>
  </conditionalFormatting>
  <conditionalFormatting sqref="BN35:BN36">
    <cfRule type="cellIs" dxfId="9117" priority="5023" operator="greaterThan">
      <formula>0</formula>
    </cfRule>
    <cfRule type="cellIs" dxfId="9116" priority="5024" operator="lessThanOrEqual">
      <formula>0</formula>
    </cfRule>
  </conditionalFormatting>
  <conditionalFormatting sqref="BN38:BN39">
    <cfRule type="cellIs" dxfId="9115" priority="5021" operator="greaterThan">
      <formula>0</formula>
    </cfRule>
    <cfRule type="cellIs" dxfId="9114" priority="5022" operator="lessThanOrEqual">
      <formula>0</formula>
    </cfRule>
  </conditionalFormatting>
  <conditionalFormatting sqref="BN48:BN49">
    <cfRule type="cellIs" dxfId="9113" priority="5019" operator="greaterThan">
      <formula>0</formula>
    </cfRule>
    <cfRule type="cellIs" dxfId="9112" priority="5020" operator="lessThanOrEqual">
      <formula>0</formula>
    </cfRule>
  </conditionalFormatting>
  <conditionalFormatting sqref="BN63:BN64">
    <cfRule type="cellIs" dxfId="9111" priority="5017" operator="greaterThan">
      <formula>0</formula>
    </cfRule>
    <cfRule type="cellIs" dxfId="9110" priority="5018" operator="lessThanOrEqual">
      <formula>0</formula>
    </cfRule>
  </conditionalFormatting>
  <conditionalFormatting sqref="BN53:BN54">
    <cfRule type="cellIs" dxfId="9109" priority="5015" operator="greaterThan">
      <formula>0</formula>
    </cfRule>
    <cfRule type="cellIs" dxfId="9108" priority="5016" operator="lessThanOrEqual">
      <formula>0</formula>
    </cfRule>
  </conditionalFormatting>
  <conditionalFormatting sqref="BN15">
    <cfRule type="cellIs" dxfId="9107" priority="5013" operator="greaterThan">
      <formula>0</formula>
    </cfRule>
    <cfRule type="cellIs" dxfId="9106" priority="5014" operator="lessThanOrEqual">
      <formula>0</formula>
    </cfRule>
  </conditionalFormatting>
  <conditionalFormatting sqref="BN18">
    <cfRule type="cellIs" dxfId="9105" priority="5011" operator="greaterThan">
      <formula>0</formula>
    </cfRule>
    <cfRule type="cellIs" dxfId="9104" priority="5012" operator="lessThanOrEqual">
      <formula>0</formula>
    </cfRule>
  </conditionalFormatting>
  <conditionalFormatting sqref="BN21">
    <cfRule type="cellIs" dxfId="9103" priority="5009" operator="greaterThan">
      <formula>0</formula>
    </cfRule>
    <cfRule type="cellIs" dxfId="9102" priority="5010" operator="lessThanOrEqual">
      <formula>0</formula>
    </cfRule>
  </conditionalFormatting>
  <conditionalFormatting sqref="BN31">
    <cfRule type="cellIs" dxfId="9101" priority="5007" operator="greaterThan">
      <formula>0</formula>
    </cfRule>
    <cfRule type="cellIs" dxfId="9100" priority="5008" operator="lessThanOrEqual">
      <formula>0</formula>
    </cfRule>
  </conditionalFormatting>
  <conditionalFormatting sqref="BN24">
    <cfRule type="cellIs" dxfId="9099" priority="5005" operator="greaterThan">
      <formula>0</formula>
    </cfRule>
    <cfRule type="cellIs" dxfId="9098" priority="5006" operator="lessThanOrEqual">
      <formula>0</formula>
    </cfRule>
  </conditionalFormatting>
  <conditionalFormatting sqref="BN34">
    <cfRule type="cellIs" dxfId="9097" priority="5003" operator="greaterThan">
      <formula>0</formula>
    </cfRule>
    <cfRule type="cellIs" dxfId="9096" priority="5004" operator="lessThanOrEqual">
      <formula>0</formula>
    </cfRule>
  </conditionalFormatting>
  <conditionalFormatting sqref="BN37">
    <cfRule type="cellIs" dxfId="9095" priority="5001" operator="greaterThan">
      <formula>0</formula>
    </cfRule>
    <cfRule type="cellIs" dxfId="9094" priority="5002" operator="lessThanOrEqual">
      <formula>0</formula>
    </cfRule>
  </conditionalFormatting>
  <conditionalFormatting sqref="BN40">
    <cfRule type="cellIs" dxfId="9093" priority="4999" operator="greaterThan">
      <formula>0</formula>
    </cfRule>
    <cfRule type="cellIs" dxfId="9092" priority="5000" operator="lessThanOrEqual">
      <formula>0</formula>
    </cfRule>
  </conditionalFormatting>
  <conditionalFormatting sqref="BN26">
    <cfRule type="cellIs" dxfId="9091" priority="4997" operator="greaterThan">
      <formula>0</formula>
    </cfRule>
    <cfRule type="cellIs" dxfId="9090" priority="4998" operator="lessThanOrEqual">
      <formula>0</formula>
    </cfRule>
  </conditionalFormatting>
  <conditionalFormatting sqref="BN66">
    <cfRule type="cellIs" dxfId="9089" priority="4995" operator="greaterThan">
      <formula>0</formula>
    </cfRule>
    <cfRule type="cellIs" dxfId="9088" priority="4996" operator="lessThanOrEqual">
      <formula>0</formula>
    </cfRule>
  </conditionalFormatting>
  <conditionalFormatting sqref="BM13:BM14 BM16:BM17 BM19:BM20 BM22:BM23 BM29:BM30 BM32:BM33 BM35:BM36 BM38:BM39 BM48:BM49 BM53:BM54">
    <cfRule type="cellIs" dxfId="9087" priority="4993" operator="lessThan">
      <formula>0</formula>
    </cfRule>
    <cfRule type="cellIs" dxfId="9086" priority="4994" operator="greaterThanOrEqual">
      <formula>0</formula>
    </cfRule>
  </conditionalFormatting>
  <conditionalFormatting sqref="BM15 BM18 BM21 BM24 BM26 BM31 BM34 BM37 BM40">
    <cfRule type="cellIs" dxfId="9085" priority="4992" operator="greaterThanOrEqual">
      <formula>0</formula>
    </cfRule>
  </conditionalFormatting>
  <conditionalFormatting sqref="BM15 BM18 BM21 BM24 BM26 BM31 BM34 BM37 BM40">
    <cfRule type="cellIs" dxfId="9084" priority="4991" operator="lessThan">
      <formula>0</formula>
    </cfRule>
  </conditionalFormatting>
  <conditionalFormatting sqref="BN51">
    <cfRule type="cellIs" dxfId="9083" priority="4985" operator="greaterThan">
      <formula>0</formula>
    </cfRule>
    <cfRule type="cellIs" dxfId="9082" priority="4986" operator="lessThanOrEqual">
      <formula>0</formula>
    </cfRule>
  </conditionalFormatting>
  <conditionalFormatting sqref="BN44">
    <cfRule type="cellIs" dxfId="9081" priority="4979" operator="greaterThan">
      <formula>0</formula>
    </cfRule>
    <cfRule type="cellIs" dxfId="9080" priority="4980" operator="lessThanOrEqual">
      <formula>0</formula>
    </cfRule>
  </conditionalFormatting>
  <conditionalFormatting sqref="BN50">
    <cfRule type="cellIs" dxfId="9079" priority="4975" operator="greaterThan">
      <formula>0</formula>
    </cfRule>
    <cfRule type="cellIs" dxfId="9078" priority="4976" operator="lessThanOrEqual">
      <formula>0</formula>
    </cfRule>
  </conditionalFormatting>
  <conditionalFormatting sqref="BN28">
    <cfRule type="cellIs" dxfId="9077" priority="4989" operator="greaterThan">
      <formula>0</formula>
    </cfRule>
    <cfRule type="cellIs" dxfId="9076" priority="4990" operator="lessThanOrEqual">
      <formula>0</formula>
    </cfRule>
  </conditionalFormatting>
  <conditionalFormatting sqref="BN41">
    <cfRule type="cellIs" dxfId="9075" priority="4987" operator="greaterThan">
      <formula>0</formula>
    </cfRule>
    <cfRule type="cellIs" dxfId="9074" priority="4988" operator="lessThanOrEqual">
      <formula>0</formula>
    </cfRule>
  </conditionalFormatting>
  <conditionalFormatting sqref="BN42:BN43 BN45:BN46">
    <cfRule type="cellIs" dxfId="9073" priority="4983" operator="greaterThan">
      <formula>0</formula>
    </cfRule>
    <cfRule type="cellIs" dxfId="9072" priority="4984" operator="lessThanOrEqual">
      <formula>0</formula>
    </cfRule>
  </conditionalFormatting>
  <conditionalFormatting sqref="BN57:BN58 BN60:BN61">
    <cfRule type="cellIs" dxfId="9071" priority="4981" operator="greaterThan">
      <formula>0</formula>
    </cfRule>
    <cfRule type="cellIs" dxfId="9070" priority="4982" operator="lessThanOrEqual">
      <formula>0</formula>
    </cfRule>
  </conditionalFormatting>
  <conditionalFormatting sqref="BN62">
    <cfRule type="cellIs" dxfId="9069" priority="4971" operator="greaterThan">
      <formula>0</formula>
    </cfRule>
    <cfRule type="cellIs" dxfId="9068" priority="4972" operator="lessThanOrEqual">
      <formula>0</formula>
    </cfRule>
  </conditionalFormatting>
  <conditionalFormatting sqref="BN65">
    <cfRule type="cellIs" dxfId="9067" priority="4967" operator="greaterThan">
      <formula>0</formula>
    </cfRule>
    <cfRule type="cellIs" dxfId="9066" priority="4968" operator="lessThanOrEqual">
      <formula>0</formula>
    </cfRule>
  </conditionalFormatting>
  <conditionalFormatting sqref="BN25">
    <cfRule type="cellIs" dxfId="9065" priority="4965" operator="greaterThan">
      <formula>0</formula>
    </cfRule>
    <cfRule type="cellIs" dxfId="9064" priority="4966" operator="lessThanOrEqual">
      <formula>0</formula>
    </cfRule>
  </conditionalFormatting>
  <conditionalFormatting sqref="BN56">
    <cfRule type="cellIs" dxfId="9063" priority="4963" operator="greaterThan">
      <formula>0</formula>
    </cfRule>
    <cfRule type="cellIs" dxfId="9062" priority="4964" operator="lessThanOrEqual">
      <formula>0</formula>
    </cfRule>
  </conditionalFormatting>
  <conditionalFormatting sqref="BM56">
    <cfRule type="cellIs" dxfId="9061" priority="4962" operator="greaterThanOrEqual">
      <formula>0</formula>
    </cfRule>
  </conditionalFormatting>
  <conditionalFormatting sqref="BM56">
    <cfRule type="cellIs" dxfId="9060" priority="4961" operator="lessThan">
      <formula>0</formula>
    </cfRule>
  </conditionalFormatting>
  <conditionalFormatting sqref="BN52">
    <cfRule type="cellIs" dxfId="9059" priority="4959" operator="greaterThan">
      <formula>0</formula>
    </cfRule>
    <cfRule type="cellIs" dxfId="9058" priority="4960" operator="lessThanOrEqual">
      <formula>0</formula>
    </cfRule>
  </conditionalFormatting>
  <conditionalFormatting sqref="BM52">
    <cfRule type="cellIs" dxfId="9057" priority="4958" operator="greaterThanOrEqual">
      <formula>0</formula>
    </cfRule>
  </conditionalFormatting>
  <conditionalFormatting sqref="BM52">
    <cfRule type="cellIs" dxfId="9056" priority="4957" operator="lessThan">
      <formula>0</formula>
    </cfRule>
  </conditionalFormatting>
  <conditionalFormatting sqref="BM25">
    <cfRule type="cellIs" dxfId="9055" priority="4956" operator="greaterThanOrEqual">
      <formula>0</formula>
    </cfRule>
  </conditionalFormatting>
  <conditionalFormatting sqref="BM25">
    <cfRule type="cellIs" dxfId="9054" priority="4955" operator="lessThan">
      <formula>0</formula>
    </cfRule>
  </conditionalFormatting>
  <conditionalFormatting sqref="BM28">
    <cfRule type="cellIs" dxfId="9053" priority="4954" operator="greaterThanOrEqual">
      <formula>0</formula>
    </cfRule>
  </conditionalFormatting>
  <conditionalFormatting sqref="BM28">
    <cfRule type="cellIs" dxfId="9052" priority="4953" operator="lessThan">
      <formula>0</formula>
    </cfRule>
  </conditionalFormatting>
  <conditionalFormatting sqref="BM41">
    <cfRule type="cellIs" dxfId="9051" priority="4952" operator="greaterThanOrEqual">
      <formula>0</formula>
    </cfRule>
  </conditionalFormatting>
  <conditionalFormatting sqref="BM41">
    <cfRule type="cellIs" dxfId="9050" priority="4951" operator="lessThan">
      <formula>0</formula>
    </cfRule>
  </conditionalFormatting>
  <conditionalFormatting sqref="BM44">
    <cfRule type="cellIs" dxfId="9049" priority="4950" operator="greaterThanOrEqual">
      <formula>0</formula>
    </cfRule>
  </conditionalFormatting>
  <conditionalFormatting sqref="BM44">
    <cfRule type="cellIs" dxfId="9048" priority="4949" operator="lessThan">
      <formula>0</formula>
    </cfRule>
  </conditionalFormatting>
  <conditionalFormatting sqref="BM47">
    <cfRule type="cellIs" dxfId="9047" priority="4948" operator="greaterThanOrEqual">
      <formula>0</formula>
    </cfRule>
  </conditionalFormatting>
  <conditionalFormatting sqref="BM47">
    <cfRule type="cellIs" dxfId="9046" priority="4947" operator="lessThan">
      <formula>0</formula>
    </cfRule>
  </conditionalFormatting>
  <conditionalFormatting sqref="BM50">
    <cfRule type="cellIs" dxfId="9045" priority="4946" operator="greaterThanOrEqual">
      <formula>0</formula>
    </cfRule>
  </conditionalFormatting>
  <conditionalFormatting sqref="BM50">
    <cfRule type="cellIs" dxfId="9044" priority="4945" operator="lessThan">
      <formula>0</formula>
    </cfRule>
  </conditionalFormatting>
  <conditionalFormatting sqref="BM51">
    <cfRule type="cellIs" dxfId="9043" priority="4944" operator="greaterThanOrEqual">
      <formula>0</formula>
    </cfRule>
  </conditionalFormatting>
  <conditionalFormatting sqref="BM51">
    <cfRule type="cellIs" dxfId="9042" priority="4943" operator="lessThan">
      <formula>0</formula>
    </cfRule>
  </conditionalFormatting>
  <conditionalFormatting sqref="BM59">
    <cfRule type="cellIs" dxfId="9041" priority="4942" operator="greaterThanOrEqual">
      <formula>0</formula>
    </cfRule>
  </conditionalFormatting>
  <conditionalFormatting sqref="BM59">
    <cfRule type="cellIs" dxfId="9040" priority="4941" operator="lessThan">
      <formula>0</formula>
    </cfRule>
  </conditionalFormatting>
  <conditionalFormatting sqref="BM65">
    <cfRule type="cellIs" dxfId="9039" priority="4940" operator="greaterThanOrEqual">
      <formula>0</formula>
    </cfRule>
  </conditionalFormatting>
  <conditionalFormatting sqref="BM65">
    <cfRule type="cellIs" dxfId="9038" priority="4939" operator="lessThan">
      <formula>0</formula>
    </cfRule>
  </conditionalFormatting>
  <conditionalFormatting sqref="BM66">
    <cfRule type="cellIs" dxfId="9037" priority="4938" operator="greaterThanOrEqual">
      <formula>0</formula>
    </cfRule>
  </conditionalFormatting>
  <conditionalFormatting sqref="BM66">
    <cfRule type="cellIs" dxfId="9036" priority="4937" operator="lessThan">
      <formula>0</formula>
    </cfRule>
  </conditionalFormatting>
  <conditionalFormatting sqref="BM42:BM43">
    <cfRule type="cellIs" dxfId="9035" priority="4935" operator="lessThan">
      <formula>0</formula>
    </cfRule>
    <cfRule type="cellIs" dxfId="9034" priority="4936" operator="greaterThanOrEqual">
      <formula>0</formula>
    </cfRule>
  </conditionalFormatting>
  <conditionalFormatting sqref="BM45:BM46">
    <cfRule type="cellIs" dxfId="9033" priority="4933" operator="lessThan">
      <formula>0</formula>
    </cfRule>
    <cfRule type="cellIs" dxfId="9032" priority="4934" operator="greaterThanOrEqual">
      <formula>0</formula>
    </cfRule>
  </conditionalFormatting>
  <conditionalFormatting sqref="BM57:BM58">
    <cfRule type="cellIs" dxfId="9031" priority="4931" operator="lessThan">
      <formula>0</formula>
    </cfRule>
    <cfRule type="cellIs" dxfId="9030" priority="4932" operator="greaterThanOrEqual">
      <formula>0</formula>
    </cfRule>
  </conditionalFormatting>
  <conditionalFormatting sqref="BM60:BM61">
    <cfRule type="cellIs" dxfId="9029" priority="4929" operator="lessThan">
      <formula>0</formula>
    </cfRule>
    <cfRule type="cellIs" dxfId="9028" priority="4930" operator="greaterThanOrEqual">
      <formula>0</formula>
    </cfRule>
  </conditionalFormatting>
  <conditionalFormatting sqref="BM63:BM64">
    <cfRule type="cellIs" dxfId="9027" priority="4927" operator="lessThan">
      <formula>0</formula>
    </cfRule>
    <cfRule type="cellIs" dxfId="9026" priority="4928" operator="greaterThanOrEqual">
      <formula>0</formula>
    </cfRule>
  </conditionalFormatting>
  <conditionalFormatting sqref="BN68 BN71">
    <cfRule type="cellIs" dxfId="9025" priority="4925" operator="greaterThan">
      <formula>0</formula>
    </cfRule>
    <cfRule type="cellIs" dxfId="9024" priority="4926" operator="lessThanOrEqual">
      <formula>0</formula>
    </cfRule>
  </conditionalFormatting>
  <conditionalFormatting sqref="BN73">
    <cfRule type="cellIs" dxfId="9023" priority="4923" operator="greaterThan">
      <formula>0</formula>
    </cfRule>
    <cfRule type="cellIs" dxfId="9022" priority="4924" operator="lessThanOrEqual">
      <formula>0</formula>
    </cfRule>
  </conditionalFormatting>
  <conditionalFormatting sqref="BN69">
    <cfRule type="cellIs" dxfId="9021" priority="4921" operator="greaterThan">
      <formula>0</formula>
    </cfRule>
    <cfRule type="cellIs" dxfId="9020" priority="4922" operator="lessThanOrEqual">
      <formula>0</formula>
    </cfRule>
  </conditionalFormatting>
  <conditionalFormatting sqref="BN70">
    <cfRule type="cellIs" dxfId="9019" priority="4919" operator="greaterThan">
      <formula>0</formula>
    </cfRule>
    <cfRule type="cellIs" dxfId="9018" priority="4920" operator="lessThanOrEqual">
      <formula>0</formula>
    </cfRule>
  </conditionalFormatting>
  <conditionalFormatting sqref="BN72">
    <cfRule type="cellIs" dxfId="9017" priority="4917" operator="greaterThan">
      <formula>0</formula>
    </cfRule>
    <cfRule type="cellIs" dxfId="9016" priority="4918" operator="lessThanOrEqual">
      <formula>0</formula>
    </cfRule>
  </conditionalFormatting>
  <conditionalFormatting sqref="BM68:BM70">
    <cfRule type="cellIs" dxfId="9015" priority="4915" operator="lessThan">
      <formula>0</formula>
    </cfRule>
    <cfRule type="cellIs" dxfId="9014" priority="4916" operator="greaterThanOrEqual">
      <formula>0</formula>
    </cfRule>
  </conditionalFormatting>
  <conditionalFormatting sqref="BM71:BM72">
    <cfRule type="cellIs" dxfId="9013" priority="4914" operator="greaterThanOrEqual">
      <formula>0</formula>
    </cfRule>
  </conditionalFormatting>
  <conditionalFormatting sqref="BM71:BM72">
    <cfRule type="cellIs" dxfId="9012" priority="4913" operator="lessThan">
      <formula>0</formula>
    </cfRule>
  </conditionalFormatting>
  <conditionalFormatting sqref="BM73">
    <cfRule type="cellIs" dxfId="9011" priority="4912" operator="greaterThanOrEqual">
      <formula>0</formula>
    </cfRule>
  </conditionalFormatting>
  <conditionalFormatting sqref="BM73">
    <cfRule type="cellIs" dxfId="9010" priority="4911" operator="lessThan">
      <formula>0</formula>
    </cfRule>
  </conditionalFormatting>
  <conditionalFormatting sqref="BN67">
    <cfRule type="cellIs" dxfId="9009" priority="4909" operator="greaterThan">
      <formula>0</formula>
    </cfRule>
    <cfRule type="cellIs" dxfId="9008" priority="4910" operator="lessThanOrEqual">
      <formula>0</formula>
    </cfRule>
  </conditionalFormatting>
  <conditionalFormatting sqref="BM67">
    <cfRule type="cellIs" dxfId="9007" priority="4907" operator="greaterThanOrEqual">
      <formula>0</formula>
    </cfRule>
    <cfRule type="cellIs" dxfId="9006" priority="4908" operator="lessThan">
      <formula>0</formula>
    </cfRule>
  </conditionalFormatting>
  <conditionalFormatting sqref="BJ51">
    <cfRule type="cellIs" dxfId="9005" priority="4905" operator="greaterThan">
      <formula>0</formula>
    </cfRule>
    <cfRule type="cellIs" dxfId="9004" priority="4906" operator="lessThanOrEqual">
      <formula>0</formula>
    </cfRule>
  </conditionalFormatting>
  <conditionalFormatting sqref="BP42:BP43">
    <cfRule type="cellIs" dxfId="9003" priority="4903" operator="lessThan">
      <formula>0</formula>
    </cfRule>
    <cfRule type="cellIs" dxfId="9002" priority="4904" operator="greaterThanOrEqual">
      <formula>0</formula>
    </cfRule>
  </conditionalFormatting>
  <conditionalFormatting sqref="BP45:BP46">
    <cfRule type="cellIs" dxfId="9001" priority="4901" operator="lessThan">
      <formula>0</formula>
    </cfRule>
    <cfRule type="cellIs" dxfId="9000" priority="4902" operator="greaterThanOrEqual">
      <formula>0</formula>
    </cfRule>
  </conditionalFormatting>
  <conditionalFormatting sqref="BP53:BP54">
    <cfRule type="cellIs" dxfId="8999" priority="4899" operator="lessThan">
      <formula>0</formula>
    </cfRule>
    <cfRule type="cellIs" dxfId="8998" priority="4900" operator="greaterThanOrEqual">
      <formula>0</formula>
    </cfRule>
  </conditionalFormatting>
  <conditionalFormatting sqref="BP57:BP58">
    <cfRule type="cellIs" dxfId="8997" priority="4897" operator="lessThan">
      <formula>0</formula>
    </cfRule>
    <cfRule type="cellIs" dxfId="8996" priority="4898" operator="greaterThanOrEqual">
      <formula>0</formula>
    </cfRule>
  </conditionalFormatting>
  <conditionalFormatting sqref="BP60:BP61">
    <cfRule type="cellIs" dxfId="8995" priority="4895" operator="lessThan">
      <formula>0</formula>
    </cfRule>
    <cfRule type="cellIs" dxfId="8994" priority="4896" operator="greaterThanOrEqual">
      <formula>0</formula>
    </cfRule>
  </conditionalFormatting>
  <conditionalFormatting sqref="BP63:BP64">
    <cfRule type="cellIs" dxfId="8993" priority="4893" operator="lessThan">
      <formula>0</formula>
    </cfRule>
    <cfRule type="cellIs" dxfId="8992" priority="4894" operator="greaterThanOrEqual">
      <formula>0</formula>
    </cfRule>
  </conditionalFormatting>
  <conditionalFormatting sqref="BP25">
    <cfRule type="cellIs" dxfId="8991" priority="4892" operator="greaterThanOrEqual">
      <formula>0</formula>
    </cfRule>
  </conditionalFormatting>
  <conditionalFormatting sqref="BP25">
    <cfRule type="cellIs" dxfId="8990" priority="4891" operator="lessThan">
      <formula>0</formula>
    </cfRule>
  </conditionalFormatting>
  <conditionalFormatting sqref="BP26">
    <cfRule type="cellIs" dxfId="8989" priority="4890" operator="greaterThanOrEqual">
      <formula>0</formula>
    </cfRule>
  </conditionalFormatting>
  <conditionalFormatting sqref="BP26">
    <cfRule type="cellIs" dxfId="8988" priority="4889" operator="lessThan">
      <formula>0</formula>
    </cfRule>
  </conditionalFormatting>
  <conditionalFormatting sqref="BP28">
    <cfRule type="cellIs" dxfId="8987" priority="4888" operator="greaterThanOrEqual">
      <formula>0</formula>
    </cfRule>
  </conditionalFormatting>
  <conditionalFormatting sqref="BP28">
    <cfRule type="cellIs" dxfId="8986" priority="4887" operator="lessThan">
      <formula>0</formula>
    </cfRule>
  </conditionalFormatting>
  <conditionalFormatting sqref="BP41">
    <cfRule type="cellIs" dxfId="8985" priority="4886" operator="greaterThanOrEqual">
      <formula>0</formula>
    </cfRule>
  </conditionalFormatting>
  <conditionalFormatting sqref="BP41">
    <cfRule type="cellIs" dxfId="8984" priority="4885" operator="lessThan">
      <formula>0</formula>
    </cfRule>
  </conditionalFormatting>
  <conditionalFormatting sqref="BP44">
    <cfRule type="cellIs" dxfId="8983" priority="4884" operator="greaterThanOrEqual">
      <formula>0</formula>
    </cfRule>
  </conditionalFormatting>
  <conditionalFormatting sqref="BP44">
    <cfRule type="cellIs" dxfId="8982" priority="4883" operator="lessThan">
      <formula>0</formula>
    </cfRule>
  </conditionalFormatting>
  <conditionalFormatting sqref="BP47">
    <cfRule type="cellIs" dxfId="8981" priority="4882" operator="greaterThanOrEqual">
      <formula>0</formula>
    </cfRule>
  </conditionalFormatting>
  <conditionalFormatting sqref="BP47">
    <cfRule type="cellIs" dxfId="8980" priority="4881" operator="lessThan">
      <formula>0</formula>
    </cfRule>
  </conditionalFormatting>
  <conditionalFormatting sqref="BP50">
    <cfRule type="cellIs" dxfId="8979" priority="4880" operator="greaterThanOrEqual">
      <formula>0</formula>
    </cfRule>
  </conditionalFormatting>
  <conditionalFormatting sqref="BP50">
    <cfRule type="cellIs" dxfId="8978" priority="4879" operator="lessThan">
      <formula>0</formula>
    </cfRule>
  </conditionalFormatting>
  <conditionalFormatting sqref="BP51">
    <cfRule type="cellIs" dxfId="8977" priority="4878" operator="greaterThanOrEqual">
      <formula>0</formula>
    </cfRule>
  </conditionalFormatting>
  <conditionalFormatting sqref="BP51">
    <cfRule type="cellIs" dxfId="8976" priority="4877" operator="lessThan">
      <formula>0</formula>
    </cfRule>
  </conditionalFormatting>
  <conditionalFormatting sqref="BP59">
    <cfRule type="cellIs" dxfId="8975" priority="4876" operator="greaterThanOrEqual">
      <formula>0</formula>
    </cfRule>
  </conditionalFormatting>
  <conditionalFormatting sqref="BP59">
    <cfRule type="cellIs" dxfId="8974" priority="4875" operator="lessThan">
      <formula>0</formula>
    </cfRule>
  </conditionalFormatting>
  <conditionalFormatting sqref="BP62">
    <cfRule type="cellIs" dxfId="8973" priority="4874" operator="greaterThanOrEqual">
      <formula>0</formula>
    </cfRule>
  </conditionalFormatting>
  <conditionalFormatting sqref="BP62">
    <cfRule type="cellIs" dxfId="8972" priority="4873" operator="lessThan">
      <formula>0</formula>
    </cfRule>
  </conditionalFormatting>
  <conditionalFormatting sqref="BP65">
    <cfRule type="cellIs" dxfId="8971" priority="4872" operator="greaterThanOrEqual">
      <formula>0</formula>
    </cfRule>
  </conditionalFormatting>
  <conditionalFormatting sqref="BP65">
    <cfRule type="cellIs" dxfId="8970" priority="4871" operator="lessThan">
      <formula>0</formula>
    </cfRule>
  </conditionalFormatting>
  <conditionalFormatting sqref="BP56">
    <cfRule type="cellIs" dxfId="8969" priority="4870" operator="greaterThanOrEqual">
      <formula>0</formula>
    </cfRule>
  </conditionalFormatting>
  <conditionalFormatting sqref="BP56">
    <cfRule type="cellIs" dxfId="8968" priority="4869" operator="lessThan">
      <formula>0</formula>
    </cfRule>
  </conditionalFormatting>
  <conditionalFormatting sqref="BP66">
    <cfRule type="cellIs" dxfId="8967" priority="4868" operator="greaterThanOrEqual">
      <formula>0</formula>
    </cfRule>
  </conditionalFormatting>
  <conditionalFormatting sqref="BP66">
    <cfRule type="cellIs" dxfId="8966" priority="4867" operator="lessThan">
      <formula>0</formula>
    </cfRule>
  </conditionalFormatting>
  <conditionalFormatting sqref="BQ16:BQ17">
    <cfRule type="cellIs" dxfId="8965" priority="4865" operator="greaterThan">
      <formula>0</formula>
    </cfRule>
    <cfRule type="cellIs" dxfId="8964" priority="4866" operator="lessThanOrEqual">
      <formula>0</formula>
    </cfRule>
  </conditionalFormatting>
  <conditionalFormatting sqref="BQ19:BQ20">
    <cfRule type="cellIs" dxfId="8963" priority="4863" operator="greaterThan">
      <formula>0</formula>
    </cfRule>
    <cfRule type="cellIs" dxfId="8962" priority="4864" operator="lessThanOrEqual">
      <formula>0</formula>
    </cfRule>
  </conditionalFormatting>
  <conditionalFormatting sqref="BQ22:BQ23">
    <cfRule type="cellIs" dxfId="8961" priority="4861" operator="greaterThan">
      <formula>0</formula>
    </cfRule>
    <cfRule type="cellIs" dxfId="8960" priority="4862" operator="lessThanOrEqual">
      <formula>0</formula>
    </cfRule>
  </conditionalFormatting>
  <conditionalFormatting sqref="BQ29:BQ30">
    <cfRule type="cellIs" dxfId="8959" priority="4859" operator="greaterThan">
      <formula>0</formula>
    </cfRule>
    <cfRule type="cellIs" dxfId="8958" priority="4860" operator="lessThanOrEqual">
      <formula>0</formula>
    </cfRule>
  </conditionalFormatting>
  <conditionalFormatting sqref="BQ32:BQ33">
    <cfRule type="cellIs" dxfId="8957" priority="4857" operator="greaterThan">
      <formula>0</formula>
    </cfRule>
    <cfRule type="cellIs" dxfId="8956" priority="4858" operator="lessThanOrEqual">
      <formula>0</formula>
    </cfRule>
  </conditionalFormatting>
  <conditionalFormatting sqref="BQ35:BQ36">
    <cfRule type="cellIs" dxfId="8955" priority="4855" operator="greaterThan">
      <formula>0</formula>
    </cfRule>
    <cfRule type="cellIs" dxfId="8954" priority="4856" operator="lessThanOrEqual">
      <formula>0</formula>
    </cfRule>
  </conditionalFormatting>
  <conditionalFormatting sqref="BQ38:BQ39">
    <cfRule type="cellIs" dxfId="8953" priority="4853" operator="greaterThan">
      <formula>0</formula>
    </cfRule>
    <cfRule type="cellIs" dxfId="8952" priority="4854" operator="lessThanOrEqual">
      <formula>0</formula>
    </cfRule>
  </conditionalFormatting>
  <conditionalFormatting sqref="BQ42:BQ43">
    <cfRule type="cellIs" dxfId="8951" priority="4851" operator="greaterThan">
      <formula>0</formula>
    </cfRule>
    <cfRule type="cellIs" dxfId="8950" priority="4852" operator="lessThanOrEqual">
      <formula>0</formula>
    </cfRule>
  </conditionalFormatting>
  <conditionalFormatting sqref="BQ45:BQ46">
    <cfRule type="cellIs" dxfId="8949" priority="4849" operator="greaterThan">
      <formula>0</formula>
    </cfRule>
    <cfRule type="cellIs" dxfId="8948" priority="4850" operator="lessThanOrEqual">
      <formula>0</formula>
    </cfRule>
  </conditionalFormatting>
  <conditionalFormatting sqref="BQ48:BQ49">
    <cfRule type="cellIs" dxfId="8947" priority="4847" operator="greaterThan">
      <formula>0</formula>
    </cfRule>
    <cfRule type="cellIs" dxfId="8946" priority="4848" operator="lessThanOrEqual">
      <formula>0</formula>
    </cfRule>
  </conditionalFormatting>
  <conditionalFormatting sqref="BQ53:BQ54">
    <cfRule type="cellIs" dxfId="8945" priority="4845" operator="greaterThan">
      <formula>0</formula>
    </cfRule>
    <cfRule type="cellIs" dxfId="8944" priority="4846" operator="lessThanOrEqual">
      <formula>0</formula>
    </cfRule>
  </conditionalFormatting>
  <conditionalFormatting sqref="BQ57:BQ58">
    <cfRule type="cellIs" dxfId="8943" priority="4843" operator="greaterThan">
      <formula>0</formula>
    </cfRule>
    <cfRule type="cellIs" dxfId="8942" priority="4844" operator="lessThanOrEqual">
      <formula>0</formula>
    </cfRule>
  </conditionalFormatting>
  <conditionalFormatting sqref="BQ60:BQ61">
    <cfRule type="cellIs" dxfId="8941" priority="4841" operator="greaterThan">
      <formula>0</formula>
    </cfRule>
    <cfRule type="cellIs" dxfId="8940" priority="4842" operator="lessThanOrEqual">
      <formula>0</formula>
    </cfRule>
  </conditionalFormatting>
  <conditionalFormatting sqref="BQ63:BQ64">
    <cfRule type="cellIs" dxfId="8939" priority="4839" operator="greaterThan">
      <formula>0</formula>
    </cfRule>
    <cfRule type="cellIs" dxfId="8938" priority="4840" operator="lessThanOrEqual">
      <formula>0</formula>
    </cfRule>
  </conditionalFormatting>
  <conditionalFormatting sqref="BQ25">
    <cfRule type="cellIs" dxfId="8937" priority="4838" operator="greaterThanOrEqual">
      <formula>0</formula>
    </cfRule>
  </conditionalFormatting>
  <conditionalFormatting sqref="BQ25">
    <cfRule type="cellIs" dxfId="8936" priority="4837" operator="lessThan">
      <formula>0</formula>
    </cfRule>
  </conditionalFormatting>
  <conditionalFormatting sqref="BQ26">
    <cfRule type="cellIs" dxfId="8935" priority="4836" operator="greaterThanOrEqual">
      <formula>0</formula>
    </cfRule>
  </conditionalFormatting>
  <conditionalFormatting sqref="BQ26">
    <cfRule type="cellIs" dxfId="8934" priority="4835" operator="lessThan">
      <formula>0</formula>
    </cfRule>
  </conditionalFormatting>
  <conditionalFormatting sqref="BQ28">
    <cfRule type="cellIs" dxfId="8933" priority="4834" operator="greaterThanOrEqual">
      <formula>0</formula>
    </cfRule>
  </conditionalFormatting>
  <conditionalFormatting sqref="BQ28">
    <cfRule type="cellIs" dxfId="8932" priority="4833" operator="lessThan">
      <formula>0</formula>
    </cfRule>
  </conditionalFormatting>
  <conditionalFormatting sqref="BQ41">
    <cfRule type="cellIs" dxfId="8931" priority="4832" operator="greaterThanOrEqual">
      <formula>0</formula>
    </cfRule>
  </conditionalFormatting>
  <conditionalFormatting sqref="BQ41">
    <cfRule type="cellIs" dxfId="8930" priority="4831" operator="lessThan">
      <formula>0</formula>
    </cfRule>
  </conditionalFormatting>
  <conditionalFormatting sqref="BQ44">
    <cfRule type="cellIs" dxfId="8929" priority="4830" operator="greaterThanOrEqual">
      <formula>0</formula>
    </cfRule>
  </conditionalFormatting>
  <conditionalFormatting sqref="BQ44">
    <cfRule type="cellIs" dxfId="8928" priority="4829" operator="lessThan">
      <formula>0</formula>
    </cfRule>
  </conditionalFormatting>
  <conditionalFormatting sqref="BQ47">
    <cfRule type="cellIs" dxfId="8927" priority="4828" operator="greaterThanOrEqual">
      <formula>0</formula>
    </cfRule>
  </conditionalFormatting>
  <conditionalFormatting sqref="BQ47">
    <cfRule type="cellIs" dxfId="8926" priority="4827" operator="lessThan">
      <formula>0</formula>
    </cfRule>
  </conditionalFormatting>
  <conditionalFormatting sqref="BQ50">
    <cfRule type="cellIs" dxfId="8925" priority="4826" operator="greaterThanOrEqual">
      <formula>0</formula>
    </cfRule>
  </conditionalFormatting>
  <conditionalFormatting sqref="BQ50">
    <cfRule type="cellIs" dxfId="8924" priority="4825" operator="lessThan">
      <formula>0</formula>
    </cfRule>
  </conditionalFormatting>
  <conditionalFormatting sqref="BQ51">
    <cfRule type="cellIs" dxfId="8923" priority="4824" operator="greaterThanOrEqual">
      <formula>0</formula>
    </cfRule>
  </conditionalFormatting>
  <conditionalFormatting sqref="BQ51">
    <cfRule type="cellIs" dxfId="8922" priority="4823" operator="lessThan">
      <formula>0</formula>
    </cfRule>
  </conditionalFormatting>
  <conditionalFormatting sqref="BM107">
    <cfRule type="cellIs" dxfId="8921" priority="4590" operator="greaterThanOrEqual">
      <formula>0</formula>
    </cfRule>
  </conditionalFormatting>
  <conditionalFormatting sqref="BM107">
    <cfRule type="cellIs" dxfId="8920" priority="4589" operator="lessThan">
      <formula>0</formula>
    </cfRule>
  </conditionalFormatting>
  <conditionalFormatting sqref="BQ59">
    <cfRule type="cellIs" dxfId="8919" priority="4822" operator="greaterThanOrEqual">
      <formula>0</formula>
    </cfRule>
  </conditionalFormatting>
  <conditionalFormatting sqref="BQ59">
    <cfRule type="cellIs" dxfId="8918" priority="4821" operator="lessThan">
      <formula>0</formula>
    </cfRule>
  </conditionalFormatting>
  <conditionalFormatting sqref="BQ62">
    <cfRule type="cellIs" dxfId="8917" priority="4820" operator="greaterThanOrEqual">
      <formula>0</formula>
    </cfRule>
  </conditionalFormatting>
  <conditionalFormatting sqref="BQ62">
    <cfRule type="cellIs" dxfId="8916" priority="4819" operator="lessThan">
      <formula>0</formula>
    </cfRule>
  </conditionalFormatting>
  <conditionalFormatting sqref="BQ65">
    <cfRule type="cellIs" dxfId="8915" priority="4818" operator="greaterThanOrEqual">
      <formula>0</formula>
    </cfRule>
  </conditionalFormatting>
  <conditionalFormatting sqref="BQ65">
    <cfRule type="cellIs" dxfId="8914" priority="4817" operator="lessThan">
      <formula>0</formula>
    </cfRule>
  </conditionalFormatting>
  <conditionalFormatting sqref="BQ56">
    <cfRule type="cellIs" dxfId="8913" priority="4815" operator="lessThan">
      <formula>0</formula>
    </cfRule>
  </conditionalFormatting>
  <conditionalFormatting sqref="BQ56">
    <cfRule type="cellIs" dxfId="8912" priority="4816" operator="greaterThanOrEqual">
      <formula>0</formula>
    </cfRule>
  </conditionalFormatting>
  <conditionalFormatting sqref="BQ66">
    <cfRule type="cellIs" dxfId="8911" priority="4813" operator="lessThan">
      <formula>0</formula>
    </cfRule>
  </conditionalFormatting>
  <conditionalFormatting sqref="BQ66">
    <cfRule type="cellIs" dxfId="8910" priority="4814" operator="greaterThanOrEqual">
      <formula>0</formula>
    </cfRule>
  </conditionalFormatting>
  <conditionalFormatting sqref="BP70">
    <cfRule type="cellIs" dxfId="8909" priority="4811" operator="lessThan">
      <formula>0</formula>
    </cfRule>
    <cfRule type="cellIs" dxfId="8908" priority="4812" operator="greaterThanOrEqual">
      <formula>0</formula>
    </cfRule>
  </conditionalFormatting>
  <conditionalFormatting sqref="BQ70">
    <cfRule type="cellIs" dxfId="8907" priority="4809" operator="lessThan">
      <formula>0</formula>
    </cfRule>
    <cfRule type="cellIs" dxfId="8906" priority="4810" operator="greaterThanOrEqual">
      <formula>0</formula>
    </cfRule>
  </conditionalFormatting>
  <conditionalFormatting sqref="BQ72">
    <cfRule type="cellIs" dxfId="8905" priority="4807" operator="lessThan">
      <formula>0</formula>
    </cfRule>
    <cfRule type="cellIs" dxfId="8904" priority="4808" operator="greaterThanOrEqual">
      <formula>0</formula>
    </cfRule>
  </conditionalFormatting>
  <conditionalFormatting sqref="BQ123:BQ124">
    <cfRule type="cellIs" dxfId="8903" priority="4479" operator="greaterThan">
      <formula>0</formula>
    </cfRule>
    <cfRule type="cellIs" dxfId="8902" priority="4480" operator="lessThanOrEqual">
      <formula>0</formula>
    </cfRule>
  </conditionalFormatting>
  <conditionalFormatting sqref="BQ119">
    <cfRule type="cellIs" dxfId="8901" priority="4454" operator="greaterThanOrEqual">
      <formula>0</formula>
    </cfRule>
  </conditionalFormatting>
  <conditionalFormatting sqref="BQ119">
    <cfRule type="cellIs" dxfId="8900" priority="4453" operator="lessThan">
      <formula>0</formula>
    </cfRule>
  </conditionalFormatting>
  <conditionalFormatting sqref="BQ129">
    <cfRule type="cellIs" dxfId="8899" priority="4452" operator="greaterThanOrEqual">
      <formula>0</formula>
    </cfRule>
  </conditionalFormatting>
  <conditionalFormatting sqref="BQ129">
    <cfRule type="cellIs" dxfId="8898" priority="4451" operator="lessThan">
      <formula>0</formula>
    </cfRule>
  </conditionalFormatting>
  <conditionalFormatting sqref="BQ118">
    <cfRule type="cellIs" dxfId="8897" priority="4448" operator="greaterThanOrEqual">
      <formula>0</formula>
    </cfRule>
  </conditionalFormatting>
  <conditionalFormatting sqref="BQ118">
    <cfRule type="cellIs" dxfId="8896" priority="4447" operator="lessThan">
      <formula>0</formula>
    </cfRule>
  </conditionalFormatting>
  <conditionalFormatting sqref="BP76:BP77 BP79:BP80 BP82:BP83 BP85:BP86 BP92:BP93 BP95:BP96 BP98:BP99 BP101:BP102 BP111:BP112">
    <cfRule type="cellIs" dxfId="8895" priority="4557" operator="lessThan">
      <formula>0</formula>
    </cfRule>
    <cfRule type="cellIs" dxfId="8894" priority="4558" operator="greaterThanOrEqual">
      <formula>0</formula>
    </cfRule>
  </conditionalFormatting>
  <conditionalFormatting sqref="BN95:BN96">
    <cfRule type="cellIs" dxfId="8893" priority="4665" operator="greaterThan">
      <formula>0</formula>
    </cfRule>
    <cfRule type="cellIs" dxfId="8892" priority="4666" operator="lessThanOrEqual">
      <formula>0</formula>
    </cfRule>
  </conditionalFormatting>
  <conditionalFormatting sqref="BP107">
    <cfRule type="cellIs" dxfId="8891" priority="4522" operator="greaterThanOrEqual">
      <formula>0</formula>
    </cfRule>
  </conditionalFormatting>
  <conditionalFormatting sqref="BP107">
    <cfRule type="cellIs" dxfId="8890" priority="4521" operator="lessThan">
      <formula>0</formula>
    </cfRule>
  </conditionalFormatting>
  <conditionalFormatting sqref="BQ113">
    <cfRule type="cellIs" dxfId="8889" priority="4464" operator="greaterThanOrEqual">
      <formula>0</formula>
    </cfRule>
  </conditionalFormatting>
  <conditionalFormatting sqref="BQ113">
    <cfRule type="cellIs" dxfId="8888" priority="4463" operator="lessThan">
      <formula>0</formula>
    </cfRule>
  </conditionalFormatting>
  <conditionalFormatting sqref="BP114">
    <cfRule type="cellIs" dxfId="8887" priority="4516" operator="greaterThanOrEqual">
      <formula>0</formula>
    </cfRule>
  </conditionalFormatting>
  <conditionalFormatting sqref="BP114">
    <cfRule type="cellIs" dxfId="8886" priority="4515" operator="lessThan">
      <formula>0</formula>
    </cfRule>
  </conditionalFormatting>
  <conditionalFormatting sqref="BQ125">
    <cfRule type="cellIs" dxfId="8885" priority="4457" operator="lessThan">
      <formula>0</formula>
    </cfRule>
  </conditionalFormatting>
  <conditionalFormatting sqref="BQ125">
    <cfRule type="cellIs" dxfId="8884" priority="4458" operator="greaterThanOrEqual">
      <formula>0</formula>
    </cfRule>
  </conditionalFormatting>
  <conditionalFormatting sqref="BI55">
    <cfRule type="cellIs" dxfId="8883" priority="4806" operator="greaterThanOrEqual">
      <formula>0</formula>
    </cfRule>
  </conditionalFormatting>
  <conditionalFormatting sqref="BI55">
    <cfRule type="cellIs" dxfId="8882" priority="4805" operator="lessThan">
      <formula>0</formula>
    </cfRule>
  </conditionalFormatting>
  <conditionalFormatting sqref="BN55">
    <cfRule type="cellIs" dxfId="8881" priority="4803" operator="greaterThan">
      <formula>0</formula>
    </cfRule>
    <cfRule type="cellIs" dxfId="8880" priority="4804" operator="lessThanOrEqual">
      <formula>0</formula>
    </cfRule>
  </conditionalFormatting>
  <conditionalFormatting sqref="BM55">
    <cfRule type="cellIs" dxfId="8879" priority="4802" operator="greaterThanOrEqual">
      <formula>0</formula>
    </cfRule>
  </conditionalFormatting>
  <conditionalFormatting sqref="BM55">
    <cfRule type="cellIs" dxfId="8878" priority="4801" operator="lessThan">
      <formula>0</formula>
    </cfRule>
  </conditionalFormatting>
  <conditionalFormatting sqref="BJ55">
    <cfRule type="cellIs" dxfId="8877" priority="4799" operator="greaterThan">
      <formula>0</formula>
    </cfRule>
    <cfRule type="cellIs" dxfId="8876" priority="4800" operator="lessThanOrEqual">
      <formula>0</formula>
    </cfRule>
  </conditionalFormatting>
  <conditionalFormatting sqref="BP55">
    <cfRule type="cellIs" dxfId="8875" priority="4798" operator="greaterThanOrEqual">
      <formula>0</formula>
    </cfRule>
  </conditionalFormatting>
  <conditionalFormatting sqref="BP55">
    <cfRule type="cellIs" dxfId="8874" priority="4797" operator="lessThan">
      <formula>0</formula>
    </cfRule>
  </conditionalFormatting>
  <conditionalFormatting sqref="BQ55">
    <cfRule type="cellIs" dxfId="8873" priority="4796" operator="greaterThanOrEqual">
      <formula>0</formula>
    </cfRule>
  </conditionalFormatting>
  <conditionalFormatting sqref="BQ55">
    <cfRule type="cellIs" dxfId="8872" priority="4795" operator="lessThan">
      <formula>0</formula>
    </cfRule>
  </conditionalFormatting>
  <conditionalFormatting sqref="BQ128">
    <cfRule type="cellIs" dxfId="8871" priority="4456" operator="greaterThanOrEqual">
      <formula>0</formula>
    </cfRule>
  </conditionalFormatting>
  <conditionalFormatting sqref="BQ128">
    <cfRule type="cellIs" dxfId="8870" priority="4455" operator="lessThan">
      <formula>0</formula>
    </cfRule>
  </conditionalFormatting>
  <conditionalFormatting sqref="BJ76:BJ77">
    <cfRule type="cellIs" dxfId="8869" priority="4793" operator="greaterThan">
      <formula>0</formula>
    </cfRule>
    <cfRule type="cellIs" dxfId="8868" priority="4794" operator="lessThanOrEqual">
      <formula>0</formula>
    </cfRule>
  </conditionalFormatting>
  <conditionalFormatting sqref="BJ79:BJ80">
    <cfRule type="cellIs" dxfId="8867" priority="4791" operator="greaterThan">
      <formula>0</formula>
    </cfRule>
    <cfRule type="cellIs" dxfId="8866" priority="4792" operator="lessThanOrEqual">
      <formula>0</formula>
    </cfRule>
  </conditionalFormatting>
  <conditionalFormatting sqref="BJ82:BJ83">
    <cfRule type="cellIs" dxfId="8865" priority="4789" operator="greaterThan">
      <formula>0</formula>
    </cfRule>
    <cfRule type="cellIs" dxfId="8864" priority="4790" operator="lessThanOrEqual">
      <formula>0</formula>
    </cfRule>
  </conditionalFormatting>
  <conditionalFormatting sqref="BJ92:BJ93">
    <cfRule type="cellIs" dxfId="8863" priority="4787" operator="greaterThan">
      <formula>0</formula>
    </cfRule>
    <cfRule type="cellIs" dxfId="8862" priority="4788" operator="lessThanOrEqual">
      <formula>0</formula>
    </cfRule>
  </conditionalFormatting>
  <conditionalFormatting sqref="BJ85:BJ86">
    <cfRule type="cellIs" dxfId="8861" priority="4785" operator="greaterThan">
      <formula>0</formula>
    </cfRule>
    <cfRule type="cellIs" dxfId="8860" priority="4786" operator="lessThanOrEqual">
      <formula>0</formula>
    </cfRule>
  </conditionalFormatting>
  <conditionalFormatting sqref="BJ95:BJ96">
    <cfRule type="cellIs" dxfId="8859" priority="4783" operator="greaterThan">
      <formula>0</formula>
    </cfRule>
    <cfRule type="cellIs" dxfId="8858" priority="4784" operator="lessThanOrEqual">
      <formula>0</formula>
    </cfRule>
  </conditionalFormatting>
  <conditionalFormatting sqref="BJ98:BJ99">
    <cfRule type="cellIs" dxfId="8857" priority="4781" operator="greaterThan">
      <formula>0</formula>
    </cfRule>
    <cfRule type="cellIs" dxfId="8856" priority="4782" operator="lessThanOrEqual">
      <formula>0</formula>
    </cfRule>
  </conditionalFormatting>
  <conditionalFormatting sqref="BJ101:BJ102">
    <cfRule type="cellIs" dxfId="8855" priority="4779" operator="greaterThan">
      <formula>0</formula>
    </cfRule>
    <cfRule type="cellIs" dxfId="8854" priority="4780" operator="lessThanOrEqual">
      <formula>0</formula>
    </cfRule>
  </conditionalFormatting>
  <conditionalFormatting sqref="BJ111:BJ112">
    <cfRule type="cellIs" dxfId="8853" priority="4777" operator="greaterThan">
      <formula>0</formula>
    </cfRule>
    <cfRule type="cellIs" dxfId="8852" priority="4778" operator="lessThanOrEqual">
      <formula>0</formula>
    </cfRule>
  </conditionalFormatting>
  <conditionalFormatting sqref="BJ126:BJ127">
    <cfRule type="cellIs" dxfId="8851" priority="4775" operator="greaterThan">
      <formula>0</formula>
    </cfRule>
    <cfRule type="cellIs" dxfId="8850" priority="4776" operator="lessThanOrEqual">
      <formula>0</formula>
    </cfRule>
  </conditionalFormatting>
  <conditionalFormatting sqref="BJ116:BJ117">
    <cfRule type="cellIs" dxfId="8849" priority="4773" operator="greaterThan">
      <formula>0</formula>
    </cfRule>
    <cfRule type="cellIs" dxfId="8848" priority="4774" operator="lessThanOrEqual">
      <formula>0</formula>
    </cfRule>
  </conditionalFormatting>
  <conditionalFormatting sqref="BJ78">
    <cfRule type="cellIs" dxfId="8847" priority="4771" operator="greaterThan">
      <formula>0</formula>
    </cfRule>
    <cfRule type="cellIs" dxfId="8846" priority="4772" operator="lessThanOrEqual">
      <formula>0</formula>
    </cfRule>
  </conditionalFormatting>
  <conditionalFormatting sqref="BJ81">
    <cfRule type="cellIs" dxfId="8845" priority="4769" operator="greaterThan">
      <formula>0</formula>
    </cfRule>
    <cfRule type="cellIs" dxfId="8844" priority="4770" operator="lessThanOrEqual">
      <formula>0</formula>
    </cfRule>
  </conditionalFormatting>
  <conditionalFormatting sqref="BJ84">
    <cfRule type="cellIs" dxfId="8843" priority="4767" operator="greaterThan">
      <formula>0</formula>
    </cfRule>
    <cfRule type="cellIs" dxfId="8842" priority="4768" operator="lessThanOrEqual">
      <formula>0</formula>
    </cfRule>
  </conditionalFormatting>
  <conditionalFormatting sqref="BJ94">
    <cfRule type="cellIs" dxfId="8841" priority="4765" operator="greaterThan">
      <formula>0</formula>
    </cfRule>
    <cfRule type="cellIs" dxfId="8840" priority="4766" operator="lessThanOrEqual">
      <formula>0</formula>
    </cfRule>
  </conditionalFormatting>
  <conditionalFormatting sqref="BJ87">
    <cfRule type="cellIs" dxfId="8839" priority="4763" operator="greaterThan">
      <formula>0</formula>
    </cfRule>
    <cfRule type="cellIs" dxfId="8838" priority="4764" operator="lessThanOrEqual">
      <formula>0</formula>
    </cfRule>
  </conditionalFormatting>
  <conditionalFormatting sqref="BJ97">
    <cfRule type="cellIs" dxfId="8837" priority="4761" operator="greaterThan">
      <formula>0</formula>
    </cfRule>
    <cfRule type="cellIs" dxfId="8836" priority="4762" operator="lessThanOrEqual">
      <formula>0</formula>
    </cfRule>
  </conditionalFormatting>
  <conditionalFormatting sqref="BJ100">
    <cfRule type="cellIs" dxfId="8835" priority="4759" operator="greaterThan">
      <formula>0</formula>
    </cfRule>
    <cfRule type="cellIs" dxfId="8834" priority="4760" operator="lessThanOrEqual">
      <formula>0</formula>
    </cfRule>
  </conditionalFormatting>
  <conditionalFormatting sqref="BJ103">
    <cfRule type="cellIs" dxfId="8833" priority="4757" operator="greaterThan">
      <formula>0</formula>
    </cfRule>
    <cfRule type="cellIs" dxfId="8832" priority="4758" operator="lessThanOrEqual">
      <formula>0</formula>
    </cfRule>
  </conditionalFormatting>
  <conditionalFormatting sqref="BJ89">
    <cfRule type="cellIs" dxfId="8831" priority="4755" operator="greaterThan">
      <formula>0</formula>
    </cfRule>
    <cfRule type="cellIs" dxfId="8830" priority="4756" operator="lessThanOrEqual">
      <formula>0</formula>
    </cfRule>
  </conditionalFormatting>
  <conditionalFormatting sqref="BJ129">
    <cfRule type="cellIs" dxfId="8829" priority="4753" operator="greaterThan">
      <formula>0</formula>
    </cfRule>
    <cfRule type="cellIs" dxfId="8828" priority="4754" operator="lessThanOrEqual">
      <formula>0</formula>
    </cfRule>
  </conditionalFormatting>
  <conditionalFormatting sqref="BI76:BI77 BI79:BI80 BI82:BI83 BI85:BI86 BI92:BI93 BI95:BI96 BI98:BI99 BI101:BI102 BI111:BI112 BI116:BI117">
    <cfRule type="cellIs" dxfId="8827" priority="4751" operator="lessThan">
      <formula>0</formula>
    </cfRule>
    <cfRule type="cellIs" dxfId="8826" priority="4752" operator="greaterThanOrEqual">
      <formula>0</formula>
    </cfRule>
  </conditionalFormatting>
  <conditionalFormatting sqref="BI78 BI81 BI84 BI87 BI89 BI94 BI97 BI100 BI103">
    <cfRule type="cellIs" dxfId="8825" priority="4750" operator="greaterThanOrEqual">
      <formula>0</formula>
    </cfRule>
  </conditionalFormatting>
  <conditionalFormatting sqref="BI78 BI81 BI84 BI87 BI89 BI94 BI97 BI100 BI103">
    <cfRule type="cellIs" dxfId="8824" priority="4749" operator="lessThan">
      <formula>0</formula>
    </cfRule>
  </conditionalFormatting>
  <conditionalFormatting sqref="BJ130">
    <cfRule type="cellIs" dxfId="8823" priority="4747" operator="greaterThan">
      <formula>0</formula>
    </cfRule>
    <cfRule type="cellIs" dxfId="8822" priority="4748" operator="lessThanOrEqual">
      <formula>0</formula>
    </cfRule>
  </conditionalFormatting>
  <conditionalFormatting sqref="BI130">
    <cfRule type="cellIs" dxfId="8821" priority="4745" operator="greaterThanOrEqual">
      <formula>0</formula>
    </cfRule>
    <cfRule type="cellIs" dxfId="8820" priority="4746" operator="lessThan">
      <formula>0</formula>
    </cfRule>
  </conditionalFormatting>
  <conditionalFormatting sqref="BI125">
    <cfRule type="cellIs" dxfId="8819" priority="4726" operator="greaterThanOrEqual">
      <formula>0</formula>
    </cfRule>
  </conditionalFormatting>
  <conditionalFormatting sqref="BI125">
    <cfRule type="cellIs" dxfId="8818" priority="4725" operator="lessThan">
      <formula>0</formula>
    </cfRule>
  </conditionalFormatting>
  <conditionalFormatting sqref="BJ107">
    <cfRule type="cellIs" dxfId="8817" priority="4735" operator="greaterThan">
      <formula>0</formula>
    </cfRule>
    <cfRule type="cellIs" dxfId="8816" priority="4736" operator="lessThanOrEqual">
      <formula>0</formula>
    </cfRule>
  </conditionalFormatting>
  <conditionalFormatting sqref="BJ110">
    <cfRule type="cellIs" dxfId="8815" priority="4733" operator="greaterThan">
      <formula>0</formula>
    </cfRule>
    <cfRule type="cellIs" dxfId="8814" priority="4734" operator="lessThanOrEqual">
      <formula>0</formula>
    </cfRule>
  </conditionalFormatting>
  <conditionalFormatting sqref="BJ113">
    <cfRule type="cellIs" dxfId="8813" priority="4731" operator="greaterThan">
      <formula>0</formula>
    </cfRule>
    <cfRule type="cellIs" dxfId="8812" priority="4732" operator="lessThanOrEqual">
      <formula>0</formula>
    </cfRule>
  </conditionalFormatting>
  <conditionalFormatting sqref="BJ91">
    <cfRule type="cellIs" dxfId="8811" priority="4743" operator="greaterThan">
      <formula>0</formula>
    </cfRule>
    <cfRule type="cellIs" dxfId="8810" priority="4744" operator="lessThanOrEqual">
      <formula>0</formula>
    </cfRule>
  </conditionalFormatting>
  <conditionalFormatting sqref="BJ104">
    <cfRule type="cellIs" dxfId="8809" priority="4741" operator="greaterThan">
      <formula>0</formula>
    </cfRule>
    <cfRule type="cellIs" dxfId="8808" priority="4742" operator="lessThanOrEqual">
      <formula>0</formula>
    </cfRule>
  </conditionalFormatting>
  <conditionalFormatting sqref="BJ105:BJ106 BJ108:BJ109">
    <cfRule type="cellIs" dxfId="8807" priority="4739" operator="greaterThan">
      <formula>0</formula>
    </cfRule>
    <cfRule type="cellIs" dxfId="8806" priority="4740" operator="lessThanOrEqual">
      <formula>0</formula>
    </cfRule>
  </conditionalFormatting>
  <conditionalFormatting sqref="BJ120:BJ121 BJ123:BJ124">
    <cfRule type="cellIs" dxfId="8805" priority="4737" operator="greaterThan">
      <formula>0</formula>
    </cfRule>
    <cfRule type="cellIs" dxfId="8804" priority="4738" operator="lessThanOrEqual">
      <formula>0</formula>
    </cfRule>
  </conditionalFormatting>
  <conditionalFormatting sqref="BJ122">
    <cfRule type="cellIs" dxfId="8803" priority="4729" operator="greaterThan">
      <formula>0</formula>
    </cfRule>
    <cfRule type="cellIs" dxfId="8802" priority="4730" operator="lessThanOrEqual">
      <formula>0</formula>
    </cfRule>
  </conditionalFormatting>
  <conditionalFormatting sqref="BJ125">
    <cfRule type="cellIs" dxfId="8801" priority="4727" operator="greaterThan">
      <formula>0</formula>
    </cfRule>
    <cfRule type="cellIs" dxfId="8800" priority="4728" operator="lessThanOrEqual">
      <formula>0</formula>
    </cfRule>
  </conditionalFormatting>
  <conditionalFormatting sqref="BJ128">
    <cfRule type="cellIs" dxfId="8799" priority="4723" operator="greaterThan">
      <formula>0</formula>
    </cfRule>
    <cfRule type="cellIs" dxfId="8798" priority="4724" operator="lessThanOrEqual">
      <formula>0</formula>
    </cfRule>
  </conditionalFormatting>
  <conditionalFormatting sqref="BJ88">
    <cfRule type="cellIs" dxfId="8797" priority="4721" operator="greaterThan">
      <formula>0</formula>
    </cfRule>
    <cfRule type="cellIs" dxfId="8796" priority="4722" operator="lessThanOrEqual">
      <formula>0</formula>
    </cfRule>
  </conditionalFormatting>
  <conditionalFormatting sqref="BJ119">
    <cfRule type="cellIs" dxfId="8795" priority="4719" operator="greaterThan">
      <formula>0</formula>
    </cfRule>
    <cfRule type="cellIs" dxfId="8794" priority="4720" operator="lessThanOrEqual">
      <formula>0</formula>
    </cfRule>
  </conditionalFormatting>
  <conditionalFormatting sqref="BI119">
    <cfRule type="cellIs" dxfId="8793" priority="4718" operator="greaterThanOrEqual">
      <formula>0</formula>
    </cfRule>
  </conditionalFormatting>
  <conditionalFormatting sqref="BI119">
    <cfRule type="cellIs" dxfId="8792" priority="4717" operator="lessThan">
      <formula>0</formula>
    </cfRule>
  </conditionalFormatting>
  <conditionalFormatting sqref="BJ115">
    <cfRule type="cellIs" dxfId="8791" priority="4715" operator="greaterThan">
      <formula>0</formula>
    </cfRule>
    <cfRule type="cellIs" dxfId="8790" priority="4716" operator="lessThanOrEqual">
      <formula>0</formula>
    </cfRule>
  </conditionalFormatting>
  <conditionalFormatting sqref="BI115">
    <cfRule type="cellIs" dxfId="8789" priority="4714" operator="greaterThanOrEqual">
      <formula>0</formula>
    </cfRule>
  </conditionalFormatting>
  <conditionalFormatting sqref="BI115">
    <cfRule type="cellIs" dxfId="8788" priority="4713" operator="lessThan">
      <formula>0</formula>
    </cfRule>
  </conditionalFormatting>
  <conditionalFormatting sqref="BI88">
    <cfRule type="cellIs" dxfId="8787" priority="4712" operator="greaterThanOrEqual">
      <formula>0</formula>
    </cfRule>
  </conditionalFormatting>
  <conditionalFormatting sqref="BI88">
    <cfRule type="cellIs" dxfId="8786" priority="4711" operator="lessThan">
      <formula>0</formula>
    </cfRule>
  </conditionalFormatting>
  <conditionalFormatting sqref="BI91">
    <cfRule type="cellIs" dxfId="8785" priority="4710" operator="greaterThanOrEqual">
      <formula>0</formula>
    </cfRule>
  </conditionalFormatting>
  <conditionalFormatting sqref="BI91">
    <cfRule type="cellIs" dxfId="8784" priority="4709" operator="lessThan">
      <formula>0</formula>
    </cfRule>
  </conditionalFormatting>
  <conditionalFormatting sqref="BI104">
    <cfRule type="cellIs" dxfId="8783" priority="4708" operator="greaterThanOrEqual">
      <formula>0</formula>
    </cfRule>
  </conditionalFormatting>
  <conditionalFormatting sqref="BI104">
    <cfRule type="cellIs" dxfId="8782" priority="4707" operator="lessThan">
      <formula>0</formula>
    </cfRule>
  </conditionalFormatting>
  <conditionalFormatting sqref="BI107">
    <cfRule type="cellIs" dxfId="8781" priority="4706" operator="greaterThanOrEqual">
      <formula>0</formula>
    </cfRule>
  </conditionalFormatting>
  <conditionalFormatting sqref="BI107">
    <cfRule type="cellIs" dxfId="8780" priority="4705" operator="lessThan">
      <formula>0</formula>
    </cfRule>
  </conditionalFormatting>
  <conditionalFormatting sqref="BI110">
    <cfRule type="cellIs" dxfId="8779" priority="4704" operator="greaterThanOrEqual">
      <formula>0</formula>
    </cfRule>
  </conditionalFormatting>
  <conditionalFormatting sqref="BI110">
    <cfRule type="cellIs" dxfId="8778" priority="4703" operator="lessThan">
      <formula>0</formula>
    </cfRule>
  </conditionalFormatting>
  <conditionalFormatting sqref="BI113">
    <cfRule type="cellIs" dxfId="8777" priority="4702" operator="greaterThanOrEqual">
      <formula>0</formula>
    </cfRule>
  </conditionalFormatting>
  <conditionalFormatting sqref="BI113">
    <cfRule type="cellIs" dxfId="8776" priority="4701" operator="lessThan">
      <formula>0</formula>
    </cfRule>
  </conditionalFormatting>
  <conditionalFormatting sqref="BI114">
    <cfRule type="cellIs" dxfId="8775" priority="4700" operator="greaterThanOrEqual">
      <formula>0</formula>
    </cfRule>
  </conditionalFormatting>
  <conditionalFormatting sqref="BI114">
    <cfRule type="cellIs" dxfId="8774" priority="4699" operator="lessThan">
      <formula>0</formula>
    </cfRule>
  </conditionalFormatting>
  <conditionalFormatting sqref="BI122">
    <cfRule type="cellIs" dxfId="8773" priority="4698" operator="greaterThanOrEqual">
      <formula>0</formula>
    </cfRule>
  </conditionalFormatting>
  <conditionalFormatting sqref="BI122">
    <cfRule type="cellIs" dxfId="8772" priority="4697" operator="lessThan">
      <formula>0</formula>
    </cfRule>
  </conditionalFormatting>
  <conditionalFormatting sqref="BI128">
    <cfRule type="cellIs" dxfId="8771" priority="4696" operator="greaterThanOrEqual">
      <formula>0</formula>
    </cfRule>
  </conditionalFormatting>
  <conditionalFormatting sqref="BI128">
    <cfRule type="cellIs" dxfId="8770" priority="4695" operator="lessThan">
      <formula>0</formula>
    </cfRule>
  </conditionalFormatting>
  <conditionalFormatting sqref="BI129">
    <cfRule type="cellIs" dxfId="8769" priority="4694" operator="greaterThanOrEqual">
      <formula>0</formula>
    </cfRule>
  </conditionalFormatting>
  <conditionalFormatting sqref="BI129">
    <cfRule type="cellIs" dxfId="8768" priority="4693" operator="lessThan">
      <formula>0</formula>
    </cfRule>
  </conditionalFormatting>
  <conditionalFormatting sqref="BI105:BI106">
    <cfRule type="cellIs" dxfId="8767" priority="4691" operator="lessThan">
      <formula>0</formula>
    </cfRule>
    <cfRule type="cellIs" dxfId="8766" priority="4692" operator="greaterThanOrEqual">
      <formula>0</formula>
    </cfRule>
  </conditionalFormatting>
  <conditionalFormatting sqref="BI108:BI109">
    <cfRule type="cellIs" dxfId="8765" priority="4689" operator="lessThan">
      <formula>0</formula>
    </cfRule>
    <cfRule type="cellIs" dxfId="8764" priority="4690" operator="greaterThanOrEqual">
      <formula>0</formula>
    </cfRule>
  </conditionalFormatting>
  <conditionalFormatting sqref="BI120:BI121">
    <cfRule type="cellIs" dxfId="8763" priority="4687" operator="lessThan">
      <formula>0</formula>
    </cfRule>
    <cfRule type="cellIs" dxfId="8762" priority="4688" operator="greaterThanOrEqual">
      <formula>0</formula>
    </cfRule>
  </conditionalFormatting>
  <conditionalFormatting sqref="BI123:BI124">
    <cfRule type="cellIs" dxfId="8761" priority="4685" operator="lessThan">
      <formula>0</formula>
    </cfRule>
    <cfRule type="cellIs" dxfId="8760" priority="4686" operator="greaterThanOrEqual">
      <formula>0</formula>
    </cfRule>
  </conditionalFormatting>
  <conditionalFormatting sqref="BI126:BI127">
    <cfRule type="cellIs" dxfId="8759" priority="4683" operator="lessThan">
      <formula>0</formula>
    </cfRule>
    <cfRule type="cellIs" dxfId="8758" priority="4684" operator="greaterThanOrEqual">
      <formula>0</formula>
    </cfRule>
  </conditionalFormatting>
  <conditionalFormatting sqref="BJ114">
    <cfRule type="cellIs" dxfId="8757" priority="4681" operator="greaterThan">
      <formula>0</formula>
    </cfRule>
    <cfRule type="cellIs" dxfId="8756" priority="4682" operator="lessThanOrEqual">
      <formula>0</formula>
    </cfRule>
  </conditionalFormatting>
  <conditionalFormatting sqref="BI118">
    <cfRule type="cellIs" dxfId="8755" priority="4680" operator="greaterThanOrEqual">
      <formula>0</formula>
    </cfRule>
  </conditionalFormatting>
  <conditionalFormatting sqref="BI118">
    <cfRule type="cellIs" dxfId="8754" priority="4679" operator="lessThan">
      <formula>0</formula>
    </cfRule>
  </conditionalFormatting>
  <conditionalFormatting sqref="BJ118">
    <cfRule type="cellIs" dxfId="8753" priority="4677" operator="greaterThan">
      <formula>0</formula>
    </cfRule>
    <cfRule type="cellIs" dxfId="8752" priority="4678" operator="lessThanOrEqual">
      <formula>0</formula>
    </cfRule>
  </conditionalFormatting>
  <conditionalFormatting sqref="BN76:BN77">
    <cfRule type="cellIs" dxfId="8751" priority="4675" operator="greaterThan">
      <formula>0</formula>
    </cfRule>
    <cfRule type="cellIs" dxfId="8750" priority="4676" operator="lessThanOrEqual">
      <formula>0</formula>
    </cfRule>
  </conditionalFormatting>
  <conditionalFormatting sqref="BN79:BN80">
    <cfRule type="cellIs" dxfId="8749" priority="4673" operator="greaterThan">
      <formula>0</formula>
    </cfRule>
    <cfRule type="cellIs" dxfId="8748" priority="4674" operator="lessThanOrEqual">
      <formula>0</formula>
    </cfRule>
  </conditionalFormatting>
  <conditionalFormatting sqref="BN82:BN83">
    <cfRule type="cellIs" dxfId="8747" priority="4671" operator="greaterThan">
      <formula>0</formula>
    </cfRule>
    <cfRule type="cellIs" dxfId="8746" priority="4672" operator="lessThanOrEqual">
      <formula>0</formula>
    </cfRule>
  </conditionalFormatting>
  <conditionalFormatting sqref="BN92:BN93">
    <cfRule type="cellIs" dxfId="8745" priority="4669" operator="greaterThan">
      <formula>0</formula>
    </cfRule>
    <cfRule type="cellIs" dxfId="8744" priority="4670" operator="lessThanOrEqual">
      <formula>0</formula>
    </cfRule>
  </conditionalFormatting>
  <conditionalFormatting sqref="BN85:BN86">
    <cfRule type="cellIs" dxfId="8743" priority="4667" operator="greaterThan">
      <formula>0</formula>
    </cfRule>
    <cfRule type="cellIs" dxfId="8742" priority="4668" operator="lessThanOrEqual">
      <formula>0</formula>
    </cfRule>
  </conditionalFormatting>
  <conditionalFormatting sqref="BN98:BN99">
    <cfRule type="cellIs" dxfId="8741" priority="4663" operator="greaterThan">
      <formula>0</formula>
    </cfRule>
    <cfRule type="cellIs" dxfId="8740" priority="4664" operator="lessThanOrEqual">
      <formula>0</formula>
    </cfRule>
  </conditionalFormatting>
  <conditionalFormatting sqref="BN101:BN102">
    <cfRule type="cellIs" dxfId="8739" priority="4661" operator="greaterThan">
      <formula>0</formula>
    </cfRule>
    <cfRule type="cellIs" dxfId="8738" priority="4662" operator="lessThanOrEqual">
      <formula>0</formula>
    </cfRule>
  </conditionalFormatting>
  <conditionalFormatting sqref="BN111:BN112">
    <cfRule type="cellIs" dxfId="8737" priority="4659" operator="greaterThan">
      <formula>0</formula>
    </cfRule>
    <cfRule type="cellIs" dxfId="8736" priority="4660" operator="lessThanOrEqual">
      <formula>0</formula>
    </cfRule>
  </conditionalFormatting>
  <conditionalFormatting sqref="BN126:BN127">
    <cfRule type="cellIs" dxfId="8735" priority="4657" operator="greaterThan">
      <formula>0</formula>
    </cfRule>
    <cfRule type="cellIs" dxfId="8734" priority="4658" operator="lessThanOrEqual">
      <formula>0</formula>
    </cfRule>
  </conditionalFormatting>
  <conditionalFormatting sqref="BN116:BN117">
    <cfRule type="cellIs" dxfId="8733" priority="4655" operator="greaterThan">
      <formula>0</formula>
    </cfRule>
    <cfRule type="cellIs" dxfId="8732" priority="4656" operator="lessThanOrEqual">
      <formula>0</formula>
    </cfRule>
  </conditionalFormatting>
  <conditionalFormatting sqref="BN78">
    <cfRule type="cellIs" dxfId="8731" priority="4653" operator="greaterThan">
      <formula>0</formula>
    </cfRule>
    <cfRule type="cellIs" dxfId="8730" priority="4654" operator="lessThanOrEqual">
      <formula>0</formula>
    </cfRule>
  </conditionalFormatting>
  <conditionalFormatting sqref="BN81">
    <cfRule type="cellIs" dxfId="8729" priority="4651" operator="greaterThan">
      <formula>0</formula>
    </cfRule>
    <cfRule type="cellIs" dxfId="8728" priority="4652" operator="lessThanOrEqual">
      <formula>0</formula>
    </cfRule>
  </conditionalFormatting>
  <conditionalFormatting sqref="BN84">
    <cfRule type="cellIs" dxfId="8727" priority="4649" operator="greaterThan">
      <formula>0</formula>
    </cfRule>
    <cfRule type="cellIs" dxfId="8726" priority="4650" operator="lessThanOrEqual">
      <formula>0</formula>
    </cfRule>
  </conditionalFormatting>
  <conditionalFormatting sqref="BN94">
    <cfRule type="cellIs" dxfId="8725" priority="4647" operator="greaterThan">
      <formula>0</formula>
    </cfRule>
    <cfRule type="cellIs" dxfId="8724" priority="4648" operator="lessThanOrEqual">
      <formula>0</formula>
    </cfRule>
  </conditionalFormatting>
  <conditionalFormatting sqref="BN87">
    <cfRule type="cellIs" dxfId="8723" priority="4645" operator="greaterThan">
      <formula>0</formula>
    </cfRule>
    <cfRule type="cellIs" dxfId="8722" priority="4646" operator="lessThanOrEqual">
      <formula>0</formula>
    </cfRule>
  </conditionalFormatting>
  <conditionalFormatting sqref="BN97">
    <cfRule type="cellIs" dxfId="8721" priority="4643" operator="greaterThan">
      <formula>0</formula>
    </cfRule>
    <cfRule type="cellIs" dxfId="8720" priority="4644" operator="lessThanOrEqual">
      <formula>0</formula>
    </cfRule>
  </conditionalFormatting>
  <conditionalFormatting sqref="BN100">
    <cfRule type="cellIs" dxfId="8719" priority="4641" operator="greaterThan">
      <formula>0</formula>
    </cfRule>
    <cfRule type="cellIs" dxfId="8718" priority="4642" operator="lessThanOrEqual">
      <formula>0</formula>
    </cfRule>
  </conditionalFormatting>
  <conditionalFormatting sqref="BN103">
    <cfRule type="cellIs" dxfId="8717" priority="4639" operator="greaterThan">
      <formula>0</formula>
    </cfRule>
    <cfRule type="cellIs" dxfId="8716" priority="4640" operator="lessThanOrEqual">
      <formula>0</formula>
    </cfRule>
  </conditionalFormatting>
  <conditionalFormatting sqref="BN89">
    <cfRule type="cellIs" dxfId="8715" priority="4637" operator="greaterThan">
      <formula>0</formula>
    </cfRule>
    <cfRule type="cellIs" dxfId="8714" priority="4638" operator="lessThanOrEqual">
      <formula>0</formula>
    </cfRule>
  </conditionalFormatting>
  <conditionalFormatting sqref="BN129">
    <cfRule type="cellIs" dxfId="8713" priority="4635" operator="greaterThan">
      <formula>0</formula>
    </cfRule>
    <cfRule type="cellIs" dxfId="8712" priority="4636" operator="lessThanOrEqual">
      <formula>0</formula>
    </cfRule>
  </conditionalFormatting>
  <conditionalFormatting sqref="BM76:BM77 BM79:BM80 BM82:BM83 BM85:BM86 BM92:BM93 BM95:BM96 BM98:BM99 BM101:BM102 BM111:BM112 BM116:BM117">
    <cfRule type="cellIs" dxfId="8711" priority="4633" operator="lessThan">
      <formula>0</formula>
    </cfRule>
    <cfRule type="cellIs" dxfId="8710" priority="4634" operator="greaterThanOrEqual">
      <formula>0</formula>
    </cfRule>
  </conditionalFormatting>
  <conditionalFormatting sqref="BM78 BM81 BM84 BM87 BM89 BM94 BM97 BM100 BM103">
    <cfRule type="cellIs" dxfId="8709" priority="4632" operator="greaterThanOrEqual">
      <formula>0</formula>
    </cfRule>
  </conditionalFormatting>
  <conditionalFormatting sqref="BM78 BM81 BM84 BM87 BM89 BM94 BM97 BM100 BM103">
    <cfRule type="cellIs" dxfId="8708" priority="4631" operator="lessThan">
      <formula>0</formula>
    </cfRule>
  </conditionalFormatting>
  <conditionalFormatting sqref="BM125">
    <cfRule type="cellIs" dxfId="8707" priority="4610" operator="greaterThanOrEqual">
      <formula>0</formula>
    </cfRule>
  </conditionalFormatting>
  <conditionalFormatting sqref="BM125">
    <cfRule type="cellIs" dxfId="8706" priority="4609" operator="lessThan">
      <formula>0</formula>
    </cfRule>
  </conditionalFormatting>
  <conditionalFormatting sqref="BN114">
    <cfRule type="cellIs" dxfId="8705" priority="4625" operator="greaterThan">
      <formula>0</formula>
    </cfRule>
    <cfRule type="cellIs" dxfId="8704" priority="4626" operator="lessThanOrEqual">
      <formula>0</formula>
    </cfRule>
  </conditionalFormatting>
  <conditionalFormatting sqref="BN107">
    <cfRule type="cellIs" dxfId="8703" priority="4619" operator="greaterThan">
      <formula>0</formula>
    </cfRule>
    <cfRule type="cellIs" dxfId="8702" priority="4620" operator="lessThanOrEqual">
      <formula>0</formula>
    </cfRule>
  </conditionalFormatting>
  <conditionalFormatting sqref="BN110">
    <cfRule type="cellIs" dxfId="8701" priority="4617" operator="greaterThan">
      <formula>0</formula>
    </cfRule>
    <cfRule type="cellIs" dxfId="8700" priority="4618" operator="lessThanOrEqual">
      <formula>0</formula>
    </cfRule>
  </conditionalFormatting>
  <conditionalFormatting sqref="BN113">
    <cfRule type="cellIs" dxfId="8699" priority="4615" operator="greaterThan">
      <formula>0</formula>
    </cfRule>
    <cfRule type="cellIs" dxfId="8698" priority="4616" operator="lessThanOrEqual">
      <formula>0</formula>
    </cfRule>
  </conditionalFormatting>
  <conditionalFormatting sqref="BN91">
    <cfRule type="cellIs" dxfId="8697" priority="4629" operator="greaterThan">
      <formula>0</formula>
    </cfRule>
    <cfRule type="cellIs" dxfId="8696" priority="4630" operator="lessThanOrEqual">
      <formula>0</formula>
    </cfRule>
  </conditionalFormatting>
  <conditionalFormatting sqref="BN104">
    <cfRule type="cellIs" dxfId="8695" priority="4627" operator="greaterThan">
      <formula>0</formula>
    </cfRule>
    <cfRule type="cellIs" dxfId="8694" priority="4628" operator="lessThanOrEqual">
      <formula>0</formula>
    </cfRule>
  </conditionalFormatting>
  <conditionalFormatting sqref="BN105:BN106 BN108:BN109">
    <cfRule type="cellIs" dxfId="8693" priority="4623" operator="greaterThan">
      <formula>0</formula>
    </cfRule>
    <cfRule type="cellIs" dxfId="8692" priority="4624" operator="lessThanOrEqual">
      <formula>0</formula>
    </cfRule>
  </conditionalFormatting>
  <conditionalFormatting sqref="BN120:BN121 BN123:BN124">
    <cfRule type="cellIs" dxfId="8691" priority="4621" operator="greaterThan">
      <formula>0</formula>
    </cfRule>
    <cfRule type="cellIs" dxfId="8690" priority="4622" operator="lessThanOrEqual">
      <formula>0</formula>
    </cfRule>
  </conditionalFormatting>
  <conditionalFormatting sqref="BN122">
    <cfRule type="cellIs" dxfId="8689" priority="4613" operator="greaterThan">
      <formula>0</formula>
    </cfRule>
    <cfRule type="cellIs" dxfId="8688" priority="4614" operator="lessThanOrEqual">
      <formula>0</formula>
    </cfRule>
  </conditionalFormatting>
  <conditionalFormatting sqref="BN125">
    <cfRule type="cellIs" dxfId="8687" priority="4611" operator="greaterThan">
      <formula>0</formula>
    </cfRule>
    <cfRule type="cellIs" dxfId="8686" priority="4612" operator="lessThanOrEqual">
      <formula>0</formula>
    </cfRule>
  </conditionalFormatting>
  <conditionalFormatting sqref="BN128">
    <cfRule type="cellIs" dxfId="8685" priority="4607" operator="greaterThan">
      <formula>0</formula>
    </cfRule>
    <cfRule type="cellIs" dxfId="8684" priority="4608" operator="lessThanOrEqual">
      <formula>0</formula>
    </cfRule>
  </conditionalFormatting>
  <conditionalFormatting sqref="BN88">
    <cfRule type="cellIs" dxfId="8683" priority="4605" operator="greaterThan">
      <formula>0</formula>
    </cfRule>
    <cfRule type="cellIs" dxfId="8682" priority="4606" operator="lessThanOrEqual">
      <formula>0</formula>
    </cfRule>
  </conditionalFormatting>
  <conditionalFormatting sqref="BN119">
    <cfRule type="cellIs" dxfId="8681" priority="4603" operator="greaterThan">
      <formula>0</formula>
    </cfRule>
    <cfRule type="cellIs" dxfId="8680" priority="4604" operator="lessThanOrEqual">
      <formula>0</formula>
    </cfRule>
  </conditionalFormatting>
  <conditionalFormatting sqref="BM119">
    <cfRule type="cellIs" dxfId="8679" priority="4602" operator="greaterThanOrEqual">
      <formula>0</formula>
    </cfRule>
  </conditionalFormatting>
  <conditionalFormatting sqref="BM119">
    <cfRule type="cellIs" dxfId="8678" priority="4601" operator="lessThan">
      <formula>0</formula>
    </cfRule>
  </conditionalFormatting>
  <conditionalFormatting sqref="BN115">
    <cfRule type="cellIs" dxfId="8677" priority="4599" operator="greaterThan">
      <formula>0</formula>
    </cfRule>
    <cfRule type="cellIs" dxfId="8676" priority="4600" operator="lessThanOrEqual">
      <formula>0</formula>
    </cfRule>
  </conditionalFormatting>
  <conditionalFormatting sqref="BM115">
    <cfRule type="cellIs" dxfId="8675" priority="4598" operator="greaterThanOrEqual">
      <formula>0</formula>
    </cfRule>
  </conditionalFormatting>
  <conditionalFormatting sqref="BM115">
    <cfRule type="cellIs" dxfId="8674" priority="4597" operator="lessThan">
      <formula>0</formula>
    </cfRule>
  </conditionalFormatting>
  <conditionalFormatting sqref="BM88">
    <cfRule type="cellIs" dxfId="8673" priority="4596" operator="greaterThanOrEqual">
      <formula>0</formula>
    </cfRule>
  </conditionalFormatting>
  <conditionalFormatting sqref="BM88">
    <cfRule type="cellIs" dxfId="8672" priority="4595" operator="lessThan">
      <formula>0</formula>
    </cfRule>
  </conditionalFormatting>
  <conditionalFormatting sqref="BM91">
    <cfRule type="cellIs" dxfId="8671" priority="4594" operator="greaterThanOrEqual">
      <formula>0</formula>
    </cfRule>
  </conditionalFormatting>
  <conditionalFormatting sqref="BM91">
    <cfRule type="cellIs" dxfId="8670" priority="4593" operator="lessThan">
      <formula>0</formula>
    </cfRule>
  </conditionalFormatting>
  <conditionalFormatting sqref="BM104">
    <cfRule type="cellIs" dxfId="8669" priority="4592" operator="greaterThanOrEqual">
      <formula>0</formula>
    </cfRule>
  </conditionalFormatting>
  <conditionalFormatting sqref="BM104">
    <cfRule type="cellIs" dxfId="8668" priority="4591" operator="lessThan">
      <formula>0</formula>
    </cfRule>
  </conditionalFormatting>
  <conditionalFormatting sqref="BM110">
    <cfRule type="cellIs" dxfId="8667" priority="4588" operator="greaterThanOrEqual">
      <formula>0</formula>
    </cfRule>
  </conditionalFormatting>
  <conditionalFormatting sqref="BM110">
    <cfRule type="cellIs" dxfId="8666" priority="4587" operator="lessThan">
      <formula>0</formula>
    </cfRule>
  </conditionalFormatting>
  <conditionalFormatting sqref="BM113">
    <cfRule type="cellIs" dxfId="8665" priority="4586" operator="greaterThanOrEqual">
      <formula>0</formula>
    </cfRule>
  </conditionalFormatting>
  <conditionalFormatting sqref="BM113">
    <cfRule type="cellIs" dxfId="8664" priority="4585" operator="lessThan">
      <formula>0</formula>
    </cfRule>
  </conditionalFormatting>
  <conditionalFormatting sqref="BM114">
    <cfRule type="cellIs" dxfId="8663" priority="4584" operator="greaterThanOrEqual">
      <formula>0</formula>
    </cfRule>
  </conditionalFormatting>
  <conditionalFormatting sqref="BM114">
    <cfRule type="cellIs" dxfId="8662" priority="4583" operator="lessThan">
      <formula>0</formula>
    </cfRule>
  </conditionalFormatting>
  <conditionalFormatting sqref="BM122">
    <cfRule type="cellIs" dxfId="8661" priority="4582" operator="greaterThanOrEqual">
      <formula>0</formula>
    </cfRule>
  </conditionalFormatting>
  <conditionalFormatting sqref="BM122">
    <cfRule type="cellIs" dxfId="8660" priority="4581" operator="lessThan">
      <formula>0</formula>
    </cfRule>
  </conditionalFormatting>
  <conditionalFormatting sqref="BM128">
    <cfRule type="cellIs" dxfId="8659" priority="4580" operator="greaterThanOrEqual">
      <formula>0</formula>
    </cfRule>
  </conditionalFormatting>
  <conditionalFormatting sqref="BM128">
    <cfRule type="cellIs" dxfId="8658" priority="4579" operator="lessThan">
      <formula>0</formula>
    </cfRule>
  </conditionalFormatting>
  <conditionalFormatting sqref="BM129">
    <cfRule type="cellIs" dxfId="8657" priority="4578" operator="greaterThanOrEqual">
      <formula>0</formula>
    </cfRule>
  </conditionalFormatting>
  <conditionalFormatting sqref="BM129">
    <cfRule type="cellIs" dxfId="8656" priority="4577" operator="lessThan">
      <formula>0</formula>
    </cfRule>
  </conditionalFormatting>
  <conditionalFormatting sqref="BM105:BM106">
    <cfRule type="cellIs" dxfId="8655" priority="4575" operator="lessThan">
      <formula>0</formula>
    </cfRule>
    <cfRule type="cellIs" dxfId="8654" priority="4576" operator="greaterThanOrEqual">
      <formula>0</formula>
    </cfRule>
  </conditionalFormatting>
  <conditionalFormatting sqref="BM108:BM109">
    <cfRule type="cellIs" dxfId="8653" priority="4573" operator="lessThan">
      <formula>0</formula>
    </cfRule>
    <cfRule type="cellIs" dxfId="8652" priority="4574" operator="greaterThanOrEqual">
      <formula>0</formula>
    </cfRule>
  </conditionalFormatting>
  <conditionalFormatting sqref="BM120:BM121">
    <cfRule type="cellIs" dxfId="8651" priority="4571" operator="lessThan">
      <formula>0</formula>
    </cfRule>
    <cfRule type="cellIs" dxfId="8650" priority="4572" operator="greaterThanOrEqual">
      <formula>0</formula>
    </cfRule>
  </conditionalFormatting>
  <conditionalFormatting sqref="BM123:BM124">
    <cfRule type="cellIs" dxfId="8649" priority="4569" operator="lessThan">
      <formula>0</formula>
    </cfRule>
    <cfRule type="cellIs" dxfId="8648" priority="4570" operator="greaterThanOrEqual">
      <formula>0</formula>
    </cfRule>
  </conditionalFormatting>
  <conditionalFormatting sqref="BM126:BM127">
    <cfRule type="cellIs" dxfId="8647" priority="4567" operator="lessThan">
      <formula>0</formula>
    </cfRule>
    <cfRule type="cellIs" dxfId="8646" priority="4568" operator="greaterThanOrEqual">
      <formula>0</formula>
    </cfRule>
  </conditionalFormatting>
  <conditionalFormatting sqref="BN130">
    <cfRule type="cellIs" dxfId="8645" priority="4565" operator="greaterThan">
      <formula>0</formula>
    </cfRule>
    <cfRule type="cellIs" dxfId="8644" priority="4566" operator="lessThanOrEqual">
      <formula>0</formula>
    </cfRule>
  </conditionalFormatting>
  <conditionalFormatting sqref="BM130">
    <cfRule type="cellIs" dxfId="8643" priority="4563" operator="greaterThanOrEqual">
      <formula>0</formula>
    </cfRule>
    <cfRule type="cellIs" dxfId="8642" priority="4564" operator="lessThan">
      <formula>0</formula>
    </cfRule>
  </conditionalFormatting>
  <conditionalFormatting sqref="BN118">
    <cfRule type="cellIs" dxfId="8641" priority="4561" operator="greaterThan">
      <formula>0</formula>
    </cfRule>
    <cfRule type="cellIs" dxfId="8640" priority="4562" operator="lessThanOrEqual">
      <formula>0</formula>
    </cfRule>
  </conditionalFormatting>
  <conditionalFormatting sqref="BM118">
    <cfRule type="cellIs" dxfId="8639" priority="4560" operator="greaterThanOrEqual">
      <formula>0</formula>
    </cfRule>
  </conditionalFormatting>
  <conditionalFormatting sqref="BM118">
    <cfRule type="cellIs" dxfId="8638" priority="4559" operator="lessThan">
      <formula>0</formula>
    </cfRule>
  </conditionalFormatting>
  <conditionalFormatting sqref="BP78 BP87 BP81 BP84 BP94 BP97 BP100 BP103">
    <cfRule type="cellIs" dxfId="8637" priority="4556" operator="greaterThanOrEqual">
      <formula>0</formula>
    </cfRule>
  </conditionalFormatting>
  <conditionalFormatting sqref="BP78 BP87 BP81 BP84 BP94 BP97 BP100 BP103">
    <cfRule type="cellIs" dxfId="8636" priority="4555" operator="lessThan">
      <formula>0</formula>
    </cfRule>
  </conditionalFormatting>
  <conditionalFormatting sqref="BP130">
    <cfRule type="cellIs" dxfId="8635" priority="4553" operator="greaterThanOrEqual">
      <formula>0</formula>
    </cfRule>
    <cfRule type="cellIs" dxfId="8634" priority="4554" operator="lessThan">
      <formula>0</formula>
    </cfRule>
  </conditionalFormatting>
  <conditionalFormatting sqref="BQ76:BQ77">
    <cfRule type="cellIs" dxfId="8633" priority="4551" operator="greaterThan">
      <formula>0</formula>
    </cfRule>
    <cfRule type="cellIs" dxfId="8632" priority="4552" operator="lessThanOrEqual">
      <formula>0</formula>
    </cfRule>
  </conditionalFormatting>
  <conditionalFormatting sqref="BQ78 BQ87 BQ81 BQ84 BQ94 BQ97 BQ100 BQ103">
    <cfRule type="cellIs" dxfId="8631" priority="4550" operator="greaterThanOrEqual">
      <formula>0</formula>
    </cfRule>
  </conditionalFormatting>
  <conditionalFormatting sqref="BQ78 BQ87 BQ81 BQ84 BQ94 BQ97 BQ100 BQ103">
    <cfRule type="cellIs" dxfId="8630" priority="4549" operator="lessThan">
      <formula>0</formula>
    </cfRule>
  </conditionalFormatting>
  <conditionalFormatting sqref="BQ130">
    <cfRule type="cellIs" dxfId="8629" priority="4547" operator="lessThan">
      <formula>0</formula>
    </cfRule>
    <cfRule type="cellIs" dxfId="8628" priority="4548" operator="greaterThanOrEqual">
      <formula>0</formula>
    </cfRule>
  </conditionalFormatting>
  <conditionalFormatting sqref="BQ115">
    <cfRule type="cellIs" dxfId="8627" priority="4543" operator="lessThan">
      <formula>0</formula>
    </cfRule>
  </conditionalFormatting>
  <conditionalFormatting sqref="BP115">
    <cfRule type="cellIs" dxfId="8626" priority="4546" operator="greaterThanOrEqual">
      <formula>0</formula>
    </cfRule>
  </conditionalFormatting>
  <conditionalFormatting sqref="BP115">
    <cfRule type="cellIs" dxfId="8625" priority="4545" operator="lessThan">
      <formula>0</formula>
    </cfRule>
  </conditionalFormatting>
  <conditionalFormatting sqref="BQ115">
    <cfRule type="cellIs" dxfId="8624" priority="4544" operator="greaterThanOrEqual">
      <formula>0</formula>
    </cfRule>
  </conditionalFormatting>
  <conditionalFormatting sqref="BP105:BP106">
    <cfRule type="cellIs" dxfId="8623" priority="4541" operator="lessThan">
      <formula>0</formula>
    </cfRule>
    <cfRule type="cellIs" dxfId="8622" priority="4542" operator="greaterThanOrEqual">
      <formula>0</formula>
    </cfRule>
  </conditionalFormatting>
  <conditionalFormatting sqref="BP108:BP109">
    <cfRule type="cellIs" dxfId="8621" priority="4539" operator="lessThan">
      <formula>0</formula>
    </cfRule>
    <cfRule type="cellIs" dxfId="8620" priority="4540" operator="greaterThanOrEqual">
      <formula>0</formula>
    </cfRule>
  </conditionalFormatting>
  <conditionalFormatting sqref="BP116:BP117">
    <cfRule type="cellIs" dxfId="8619" priority="4537" operator="lessThan">
      <formula>0</formula>
    </cfRule>
    <cfRule type="cellIs" dxfId="8618" priority="4538" operator="greaterThanOrEqual">
      <formula>0</formula>
    </cfRule>
  </conditionalFormatting>
  <conditionalFormatting sqref="BP120:BP121">
    <cfRule type="cellIs" dxfId="8617" priority="4535" operator="lessThan">
      <formula>0</formula>
    </cfRule>
    <cfRule type="cellIs" dxfId="8616" priority="4536" operator="greaterThanOrEqual">
      <formula>0</formula>
    </cfRule>
  </conditionalFormatting>
  <conditionalFormatting sqref="BP123:BP124">
    <cfRule type="cellIs" dxfId="8615" priority="4533" operator="lessThan">
      <formula>0</formula>
    </cfRule>
    <cfRule type="cellIs" dxfId="8614" priority="4534" operator="greaterThanOrEqual">
      <formula>0</formula>
    </cfRule>
  </conditionalFormatting>
  <conditionalFormatting sqref="BP126:BP127">
    <cfRule type="cellIs" dxfId="8613" priority="4531" operator="lessThan">
      <formula>0</formula>
    </cfRule>
    <cfRule type="cellIs" dxfId="8612" priority="4532" operator="greaterThanOrEqual">
      <formula>0</formula>
    </cfRule>
  </conditionalFormatting>
  <conditionalFormatting sqref="BP88">
    <cfRule type="cellIs" dxfId="8611" priority="4530" operator="greaterThanOrEqual">
      <formula>0</formula>
    </cfRule>
  </conditionalFormatting>
  <conditionalFormatting sqref="BP88">
    <cfRule type="cellIs" dxfId="8610" priority="4529" operator="lessThan">
      <formula>0</formula>
    </cfRule>
  </conditionalFormatting>
  <conditionalFormatting sqref="BP89">
    <cfRule type="cellIs" dxfId="8609" priority="4528" operator="greaterThanOrEqual">
      <formula>0</formula>
    </cfRule>
  </conditionalFormatting>
  <conditionalFormatting sqref="BP89">
    <cfRule type="cellIs" dxfId="8608" priority="4527" operator="lessThan">
      <formula>0</formula>
    </cfRule>
  </conditionalFormatting>
  <conditionalFormatting sqref="BP91">
    <cfRule type="cellIs" dxfId="8607" priority="4526" operator="greaterThanOrEqual">
      <formula>0</formula>
    </cfRule>
  </conditionalFormatting>
  <conditionalFormatting sqref="BP91">
    <cfRule type="cellIs" dxfId="8606" priority="4525" operator="lessThan">
      <formula>0</formula>
    </cfRule>
  </conditionalFormatting>
  <conditionalFormatting sqref="BP104">
    <cfRule type="cellIs" dxfId="8605" priority="4524" operator="greaterThanOrEqual">
      <formula>0</formula>
    </cfRule>
  </conditionalFormatting>
  <conditionalFormatting sqref="BP104">
    <cfRule type="cellIs" dxfId="8604" priority="4523" operator="lessThan">
      <formula>0</formula>
    </cfRule>
  </conditionalFormatting>
  <conditionalFormatting sqref="BP110">
    <cfRule type="cellIs" dxfId="8603" priority="4520" operator="greaterThanOrEqual">
      <formula>0</formula>
    </cfRule>
  </conditionalFormatting>
  <conditionalFormatting sqref="BP110">
    <cfRule type="cellIs" dxfId="8602" priority="4519" operator="lessThan">
      <formula>0</formula>
    </cfRule>
  </conditionalFormatting>
  <conditionalFormatting sqref="BP113">
    <cfRule type="cellIs" dxfId="8601" priority="4518" operator="greaterThanOrEqual">
      <formula>0</formula>
    </cfRule>
  </conditionalFormatting>
  <conditionalFormatting sqref="BP113">
    <cfRule type="cellIs" dxfId="8600" priority="4517" operator="lessThan">
      <formula>0</formula>
    </cfRule>
  </conditionalFormatting>
  <conditionalFormatting sqref="BP122">
    <cfRule type="cellIs" dxfId="8599" priority="4514" operator="greaterThanOrEqual">
      <formula>0</formula>
    </cfRule>
  </conditionalFormatting>
  <conditionalFormatting sqref="BP122">
    <cfRule type="cellIs" dxfId="8598" priority="4513" operator="lessThan">
      <formula>0</formula>
    </cfRule>
  </conditionalFormatting>
  <conditionalFormatting sqref="BP125">
    <cfRule type="cellIs" dxfId="8597" priority="4512" operator="greaterThanOrEqual">
      <formula>0</formula>
    </cfRule>
  </conditionalFormatting>
  <conditionalFormatting sqref="BP125">
    <cfRule type="cellIs" dxfId="8596" priority="4511" operator="lessThan">
      <formula>0</formula>
    </cfRule>
  </conditionalFormatting>
  <conditionalFormatting sqref="BP128">
    <cfRule type="cellIs" dxfId="8595" priority="4510" operator="greaterThanOrEqual">
      <formula>0</formula>
    </cfRule>
  </conditionalFormatting>
  <conditionalFormatting sqref="BP128">
    <cfRule type="cellIs" dxfId="8594" priority="4509" operator="lessThan">
      <formula>0</formula>
    </cfRule>
  </conditionalFormatting>
  <conditionalFormatting sqref="BP119">
    <cfRule type="cellIs" dxfId="8593" priority="4508" operator="greaterThanOrEqual">
      <formula>0</formula>
    </cfRule>
  </conditionalFormatting>
  <conditionalFormatting sqref="BP119">
    <cfRule type="cellIs" dxfId="8592" priority="4507" operator="lessThan">
      <formula>0</formula>
    </cfRule>
  </conditionalFormatting>
  <conditionalFormatting sqref="BP129">
    <cfRule type="cellIs" dxfId="8591" priority="4506" operator="greaterThanOrEqual">
      <formula>0</formula>
    </cfRule>
  </conditionalFormatting>
  <conditionalFormatting sqref="BP129">
    <cfRule type="cellIs" dxfId="8590" priority="4505" operator="lessThan">
      <formula>0</formula>
    </cfRule>
  </conditionalFormatting>
  <conditionalFormatting sqref="BQ79:BQ80">
    <cfRule type="cellIs" dxfId="8589" priority="4503" operator="greaterThan">
      <formula>0</formula>
    </cfRule>
    <cfRule type="cellIs" dxfId="8588" priority="4504" operator="lessThanOrEqual">
      <formula>0</formula>
    </cfRule>
  </conditionalFormatting>
  <conditionalFormatting sqref="BQ82:BQ83">
    <cfRule type="cellIs" dxfId="8587" priority="4501" operator="greaterThan">
      <formula>0</formula>
    </cfRule>
    <cfRule type="cellIs" dxfId="8586" priority="4502" operator="lessThanOrEqual">
      <formula>0</formula>
    </cfRule>
  </conditionalFormatting>
  <conditionalFormatting sqref="BQ85:BQ86">
    <cfRule type="cellIs" dxfId="8585" priority="4499" operator="greaterThan">
      <formula>0</formula>
    </cfRule>
    <cfRule type="cellIs" dxfId="8584" priority="4500" operator="lessThanOrEqual">
      <formula>0</formula>
    </cfRule>
  </conditionalFormatting>
  <conditionalFormatting sqref="BQ92:BQ93">
    <cfRule type="cellIs" dxfId="8583" priority="4497" operator="greaterThan">
      <formula>0</formula>
    </cfRule>
    <cfRule type="cellIs" dxfId="8582" priority="4498" operator="lessThanOrEqual">
      <formula>0</formula>
    </cfRule>
  </conditionalFormatting>
  <conditionalFormatting sqref="BQ95:BQ96">
    <cfRule type="cellIs" dxfId="8581" priority="4495" operator="greaterThan">
      <formula>0</formula>
    </cfRule>
    <cfRule type="cellIs" dxfId="8580" priority="4496" operator="lessThanOrEqual">
      <formula>0</formula>
    </cfRule>
  </conditionalFormatting>
  <conditionalFormatting sqref="BQ98:BQ99">
    <cfRule type="cellIs" dxfId="8579" priority="4493" operator="greaterThan">
      <formula>0</formula>
    </cfRule>
    <cfRule type="cellIs" dxfId="8578" priority="4494" operator="lessThanOrEqual">
      <formula>0</formula>
    </cfRule>
  </conditionalFormatting>
  <conditionalFormatting sqref="BQ101:BQ102">
    <cfRule type="cellIs" dxfId="8577" priority="4491" operator="greaterThan">
      <formula>0</formula>
    </cfRule>
    <cfRule type="cellIs" dxfId="8576" priority="4492" operator="lessThanOrEqual">
      <formula>0</formula>
    </cfRule>
  </conditionalFormatting>
  <conditionalFormatting sqref="BQ105:BQ106">
    <cfRule type="cellIs" dxfId="8575" priority="4489" operator="greaterThan">
      <formula>0</formula>
    </cfRule>
    <cfRule type="cellIs" dxfId="8574" priority="4490" operator="lessThanOrEqual">
      <formula>0</formula>
    </cfRule>
  </conditionalFormatting>
  <conditionalFormatting sqref="BQ108:BQ109">
    <cfRule type="cellIs" dxfId="8573" priority="4487" operator="greaterThan">
      <formula>0</formula>
    </cfRule>
    <cfRule type="cellIs" dxfId="8572" priority="4488" operator="lessThanOrEqual">
      <formula>0</formula>
    </cfRule>
  </conditionalFormatting>
  <conditionalFormatting sqref="BQ111:BQ112">
    <cfRule type="cellIs" dxfId="8571" priority="4485" operator="greaterThan">
      <formula>0</formula>
    </cfRule>
    <cfRule type="cellIs" dxfId="8570" priority="4486" operator="lessThanOrEqual">
      <formula>0</formula>
    </cfRule>
  </conditionalFormatting>
  <conditionalFormatting sqref="BQ116:BQ117">
    <cfRule type="cellIs" dxfId="8569" priority="4483" operator="greaterThan">
      <formula>0</formula>
    </cfRule>
    <cfRule type="cellIs" dxfId="8568" priority="4484" operator="lessThanOrEqual">
      <formula>0</formula>
    </cfRule>
  </conditionalFormatting>
  <conditionalFormatting sqref="BQ120:BQ121">
    <cfRule type="cellIs" dxfId="8567" priority="4481" operator="greaterThan">
      <formula>0</formula>
    </cfRule>
    <cfRule type="cellIs" dxfId="8566" priority="4482" operator="lessThanOrEqual">
      <formula>0</formula>
    </cfRule>
  </conditionalFormatting>
  <conditionalFormatting sqref="BQ126:BQ127">
    <cfRule type="cellIs" dxfId="8565" priority="4477" operator="greaterThan">
      <formula>0</formula>
    </cfRule>
    <cfRule type="cellIs" dxfId="8564" priority="4478" operator="lessThanOrEqual">
      <formula>0</formula>
    </cfRule>
  </conditionalFormatting>
  <conditionalFormatting sqref="BQ88">
    <cfRule type="cellIs" dxfId="8563" priority="4476" operator="greaterThanOrEqual">
      <formula>0</formula>
    </cfRule>
  </conditionalFormatting>
  <conditionalFormatting sqref="BQ88">
    <cfRule type="cellIs" dxfId="8562" priority="4475" operator="lessThan">
      <formula>0</formula>
    </cfRule>
  </conditionalFormatting>
  <conditionalFormatting sqref="BQ89">
    <cfRule type="cellIs" dxfId="8561" priority="4474" operator="greaterThanOrEqual">
      <formula>0</formula>
    </cfRule>
  </conditionalFormatting>
  <conditionalFormatting sqref="BQ89">
    <cfRule type="cellIs" dxfId="8560" priority="4473" operator="lessThan">
      <formula>0</formula>
    </cfRule>
  </conditionalFormatting>
  <conditionalFormatting sqref="BQ91">
    <cfRule type="cellIs" dxfId="8559" priority="4472" operator="greaterThanOrEqual">
      <formula>0</formula>
    </cfRule>
  </conditionalFormatting>
  <conditionalFormatting sqref="BQ91">
    <cfRule type="cellIs" dxfId="8558" priority="4471" operator="lessThan">
      <formula>0</formula>
    </cfRule>
  </conditionalFormatting>
  <conditionalFormatting sqref="BQ104">
    <cfRule type="cellIs" dxfId="8557" priority="4470" operator="greaterThanOrEqual">
      <formula>0</formula>
    </cfRule>
  </conditionalFormatting>
  <conditionalFormatting sqref="BQ104">
    <cfRule type="cellIs" dxfId="8556" priority="4469" operator="lessThan">
      <formula>0</formula>
    </cfRule>
  </conditionalFormatting>
  <conditionalFormatting sqref="BQ107">
    <cfRule type="cellIs" dxfId="8555" priority="4468" operator="greaterThanOrEqual">
      <formula>0</formula>
    </cfRule>
  </conditionalFormatting>
  <conditionalFormatting sqref="BQ107">
    <cfRule type="cellIs" dxfId="8554" priority="4467" operator="lessThan">
      <formula>0</formula>
    </cfRule>
  </conditionalFormatting>
  <conditionalFormatting sqref="BQ110">
    <cfRule type="cellIs" dxfId="8553" priority="4466" operator="greaterThanOrEqual">
      <formula>0</formula>
    </cfRule>
  </conditionalFormatting>
  <conditionalFormatting sqref="BQ110">
    <cfRule type="cellIs" dxfId="8552" priority="4465" operator="lessThan">
      <formula>0</formula>
    </cfRule>
  </conditionalFormatting>
  <conditionalFormatting sqref="BQ114">
    <cfRule type="cellIs" dxfId="8551" priority="4462" operator="greaterThanOrEqual">
      <formula>0</formula>
    </cfRule>
  </conditionalFormatting>
  <conditionalFormatting sqref="BQ114">
    <cfRule type="cellIs" dxfId="8550" priority="4461" operator="lessThan">
      <formula>0</formula>
    </cfRule>
  </conditionalFormatting>
  <conditionalFormatting sqref="BQ122">
    <cfRule type="cellIs" dxfId="8549" priority="4460" operator="greaterThanOrEqual">
      <formula>0</formula>
    </cfRule>
  </conditionalFormatting>
  <conditionalFormatting sqref="BQ122">
    <cfRule type="cellIs" dxfId="8548" priority="4459" operator="lessThan">
      <formula>0</formula>
    </cfRule>
  </conditionalFormatting>
  <conditionalFormatting sqref="BP118">
    <cfRule type="cellIs" dxfId="8547" priority="4450" operator="greaterThanOrEqual">
      <formula>0</formula>
    </cfRule>
  </conditionalFormatting>
  <conditionalFormatting sqref="BP118">
    <cfRule type="cellIs" dxfId="8546" priority="4449" operator="lessThan">
      <formula>0</formula>
    </cfRule>
  </conditionalFormatting>
  <conditionalFormatting sqref="BJ133">
    <cfRule type="cellIs" dxfId="8545" priority="4445" operator="lessThan">
      <formula>0</formula>
    </cfRule>
    <cfRule type="cellIs" dxfId="8544" priority="4446" operator="greaterThanOrEqual">
      <formula>0</formula>
    </cfRule>
  </conditionalFormatting>
  <conditionalFormatting sqref="BJ176">
    <cfRule type="cellIs" dxfId="8543" priority="4443" operator="greaterThan">
      <formula>0</formula>
    </cfRule>
    <cfRule type="cellIs" dxfId="8542" priority="4444" operator="lessThanOrEqual">
      <formula>0</formula>
    </cfRule>
  </conditionalFormatting>
  <conditionalFormatting sqref="BI176">
    <cfRule type="cellIs" dxfId="8541" priority="4442" operator="greaterThanOrEqual">
      <formula>0</formula>
    </cfRule>
  </conditionalFormatting>
  <conditionalFormatting sqref="BI176">
    <cfRule type="cellIs" dxfId="8540" priority="4441" operator="lessThan">
      <formula>0</formula>
    </cfRule>
  </conditionalFormatting>
  <conditionalFormatting sqref="BM176">
    <cfRule type="cellIs" dxfId="8539" priority="4440" operator="greaterThanOrEqual">
      <formula>0</formula>
    </cfRule>
  </conditionalFormatting>
  <conditionalFormatting sqref="BM176">
    <cfRule type="cellIs" dxfId="8538" priority="4439" operator="lessThan">
      <formula>0</formula>
    </cfRule>
  </conditionalFormatting>
  <conditionalFormatting sqref="BP176">
    <cfRule type="cellIs" dxfId="8537" priority="4438" operator="greaterThanOrEqual">
      <formula>0</formula>
    </cfRule>
  </conditionalFormatting>
  <conditionalFormatting sqref="BP176">
    <cfRule type="cellIs" dxfId="8536" priority="4437" operator="lessThan">
      <formula>0</formula>
    </cfRule>
  </conditionalFormatting>
  <conditionalFormatting sqref="BQ176">
    <cfRule type="cellIs" dxfId="8535" priority="4436" operator="greaterThanOrEqual">
      <formula>0</formula>
    </cfRule>
  </conditionalFormatting>
  <conditionalFormatting sqref="BQ176">
    <cfRule type="cellIs" dxfId="8534" priority="4435" operator="lessThan">
      <formula>0</formula>
    </cfRule>
  </conditionalFormatting>
  <conditionalFormatting sqref="BJ175">
    <cfRule type="cellIs" dxfId="8533" priority="4433" operator="greaterThan">
      <formula>0</formula>
    </cfRule>
    <cfRule type="cellIs" dxfId="8532" priority="4434" operator="lessThanOrEqual">
      <formula>0</formula>
    </cfRule>
  </conditionalFormatting>
  <conditionalFormatting sqref="BI175">
    <cfRule type="cellIs" dxfId="8531" priority="4432" operator="greaterThanOrEqual">
      <formula>0</formula>
    </cfRule>
  </conditionalFormatting>
  <conditionalFormatting sqref="BI175">
    <cfRule type="cellIs" dxfId="8530" priority="4431" operator="lessThan">
      <formula>0</formula>
    </cfRule>
  </conditionalFormatting>
  <conditionalFormatting sqref="BP175:BQ175">
    <cfRule type="cellIs" dxfId="8529" priority="4428" operator="greaterThanOrEqual">
      <formula>0</formula>
    </cfRule>
  </conditionalFormatting>
  <conditionalFormatting sqref="BP175:BQ175">
    <cfRule type="cellIs" dxfId="8528" priority="4427" operator="lessThan">
      <formula>0</formula>
    </cfRule>
  </conditionalFormatting>
  <conditionalFormatting sqref="BM175">
    <cfRule type="cellIs" dxfId="8527" priority="4430" operator="greaterThanOrEqual">
      <formula>0</formula>
    </cfRule>
  </conditionalFormatting>
  <conditionalFormatting sqref="BM175">
    <cfRule type="cellIs" dxfId="8526" priority="4429" operator="lessThan">
      <formula>0</formula>
    </cfRule>
  </conditionalFormatting>
  <conditionalFormatting sqref="BN134">
    <cfRule type="cellIs" dxfId="8525" priority="4425" operator="greaterThan">
      <formula>0</formula>
    </cfRule>
    <cfRule type="cellIs" dxfId="8524" priority="4426" operator="lessThanOrEqual">
      <formula>0</formula>
    </cfRule>
  </conditionalFormatting>
  <conditionalFormatting sqref="BN136:BN137">
    <cfRule type="cellIs" dxfId="8523" priority="4423" operator="greaterThan">
      <formula>0</formula>
    </cfRule>
    <cfRule type="cellIs" dxfId="8522" priority="4424" operator="lessThanOrEqual">
      <formula>0</formula>
    </cfRule>
  </conditionalFormatting>
  <conditionalFormatting sqref="BN173:BN174">
    <cfRule type="cellIs" dxfId="8521" priority="4405" operator="greaterThan">
      <formula>0</formula>
    </cfRule>
    <cfRule type="cellIs" dxfId="8520" priority="4406" operator="lessThanOrEqual">
      <formula>0</formula>
    </cfRule>
  </conditionalFormatting>
  <conditionalFormatting sqref="BN144">
    <cfRule type="cellIs" dxfId="8519" priority="4395" operator="greaterThan">
      <formula>0</formula>
    </cfRule>
    <cfRule type="cellIs" dxfId="8518" priority="4396" operator="lessThanOrEqual">
      <formula>0</formula>
    </cfRule>
  </conditionalFormatting>
  <conditionalFormatting sqref="BN154">
    <cfRule type="cellIs" dxfId="8517" priority="4393" operator="greaterThan">
      <formula>0</formula>
    </cfRule>
    <cfRule type="cellIs" dxfId="8516" priority="4394" operator="lessThanOrEqual">
      <formula>0</formula>
    </cfRule>
  </conditionalFormatting>
  <conditionalFormatting sqref="BN157">
    <cfRule type="cellIs" dxfId="8515" priority="4391" operator="greaterThan">
      <formula>0</formula>
    </cfRule>
    <cfRule type="cellIs" dxfId="8514" priority="4392" operator="lessThanOrEqual">
      <formula>0</formula>
    </cfRule>
  </conditionalFormatting>
  <conditionalFormatting sqref="BN164">
    <cfRule type="cellIs" dxfId="8513" priority="4367" operator="greaterThan">
      <formula>0</formula>
    </cfRule>
    <cfRule type="cellIs" dxfId="8512" priority="4368" operator="lessThanOrEqual">
      <formula>0</formula>
    </cfRule>
  </conditionalFormatting>
  <conditionalFormatting sqref="BN171">
    <cfRule type="cellIs" dxfId="8511" priority="4373" operator="greaterThan">
      <formula>0</formula>
    </cfRule>
    <cfRule type="cellIs" dxfId="8510" priority="4374" operator="lessThanOrEqual">
      <formula>0</formula>
    </cfRule>
  </conditionalFormatting>
  <conditionalFormatting sqref="BN139:BN140">
    <cfRule type="cellIs" dxfId="8509" priority="4421" operator="greaterThan">
      <formula>0</formula>
    </cfRule>
    <cfRule type="cellIs" dxfId="8508" priority="4422" operator="lessThanOrEqual">
      <formula>0</formula>
    </cfRule>
  </conditionalFormatting>
  <conditionalFormatting sqref="BN149:BN150">
    <cfRule type="cellIs" dxfId="8507" priority="4419" operator="greaterThan">
      <formula>0</formula>
    </cfRule>
    <cfRule type="cellIs" dxfId="8506" priority="4420" operator="lessThanOrEqual">
      <formula>0</formula>
    </cfRule>
  </conditionalFormatting>
  <conditionalFormatting sqref="BN142:BN143">
    <cfRule type="cellIs" dxfId="8505" priority="4417" operator="greaterThan">
      <formula>0</formula>
    </cfRule>
    <cfRule type="cellIs" dxfId="8504" priority="4418" operator="lessThanOrEqual">
      <formula>0</formula>
    </cfRule>
  </conditionalFormatting>
  <conditionalFormatting sqref="BN152:BN153">
    <cfRule type="cellIs" dxfId="8503" priority="4415" operator="greaterThan">
      <formula>0</formula>
    </cfRule>
    <cfRule type="cellIs" dxfId="8502" priority="4416" operator="lessThanOrEqual">
      <formula>0</formula>
    </cfRule>
  </conditionalFormatting>
  <conditionalFormatting sqref="BN155:BN156">
    <cfRule type="cellIs" dxfId="8501" priority="4413" operator="greaterThan">
      <formula>0</formula>
    </cfRule>
    <cfRule type="cellIs" dxfId="8500" priority="4414" operator="lessThanOrEqual">
      <formula>0</formula>
    </cfRule>
  </conditionalFormatting>
  <conditionalFormatting sqref="BN158:BN159">
    <cfRule type="cellIs" dxfId="8499" priority="4411" operator="greaterThan">
      <formula>0</formula>
    </cfRule>
    <cfRule type="cellIs" dxfId="8498" priority="4412" operator="lessThanOrEqual">
      <formula>0</formula>
    </cfRule>
  </conditionalFormatting>
  <conditionalFormatting sqref="BN168:BN169">
    <cfRule type="cellIs" dxfId="8497" priority="4409" operator="greaterThan">
      <formula>0</formula>
    </cfRule>
    <cfRule type="cellIs" dxfId="8496" priority="4410" operator="lessThanOrEqual">
      <formula>0</formula>
    </cfRule>
  </conditionalFormatting>
  <conditionalFormatting sqref="BN183:BN184">
    <cfRule type="cellIs" dxfId="8495" priority="4407" operator="greaterThan">
      <formula>0</formula>
    </cfRule>
    <cfRule type="cellIs" dxfId="8494" priority="4408" operator="lessThanOrEqual">
      <formula>0</formula>
    </cfRule>
  </conditionalFormatting>
  <conditionalFormatting sqref="BN135">
    <cfRule type="cellIs" dxfId="8493" priority="4403" operator="greaterThan">
      <formula>0</formula>
    </cfRule>
    <cfRule type="cellIs" dxfId="8492" priority="4404" operator="lessThanOrEqual">
      <formula>0</formula>
    </cfRule>
  </conditionalFormatting>
  <conditionalFormatting sqref="BN138">
    <cfRule type="cellIs" dxfId="8491" priority="4401" operator="greaterThan">
      <formula>0</formula>
    </cfRule>
    <cfRule type="cellIs" dxfId="8490" priority="4402" operator="lessThanOrEqual">
      <formula>0</formula>
    </cfRule>
  </conditionalFormatting>
  <conditionalFormatting sqref="BN141">
    <cfRule type="cellIs" dxfId="8489" priority="4399" operator="greaterThan">
      <formula>0</formula>
    </cfRule>
    <cfRule type="cellIs" dxfId="8488" priority="4400" operator="lessThanOrEqual">
      <formula>0</formula>
    </cfRule>
  </conditionalFormatting>
  <conditionalFormatting sqref="BN151">
    <cfRule type="cellIs" dxfId="8487" priority="4397" operator="greaterThan">
      <formula>0</formula>
    </cfRule>
    <cfRule type="cellIs" dxfId="8486" priority="4398" operator="lessThanOrEqual">
      <formula>0</formula>
    </cfRule>
  </conditionalFormatting>
  <conditionalFormatting sqref="BN160">
    <cfRule type="cellIs" dxfId="8485" priority="4389" operator="greaterThan">
      <formula>0</formula>
    </cfRule>
    <cfRule type="cellIs" dxfId="8484" priority="4390" operator="lessThanOrEqual">
      <formula>0</formula>
    </cfRule>
  </conditionalFormatting>
  <conditionalFormatting sqref="BN146">
    <cfRule type="cellIs" dxfId="8483" priority="4387" operator="greaterThan">
      <formula>0</formula>
    </cfRule>
    <cfRule type="cellIs" dxfId="8482" priority="4388" operator="lessThanOrEqual">
      <formula>0</formula>
    </cfRule>
  </conditionalFormatting>
  <conditionalFormatting sqref="BN186">
    <cfRule type="cellIs" dxfId="8481" priority="4385" operator="greaterThan">
      <formula>0</formula>
    </cfRule>
    <cfRule type="cellIs" dxfId="8480" priority="4386" operator="lessThanOrEqual">
      <formula>0</formula>
    </cfRule>
  </conditionalFormatting>
  <conditionalFormatting sqref="BN187">
    <cfRule type="cellIs" dxfId="8479" priority="4383" operator="greaterThan">
      <formula>0</formula>
    </cfRule>
    <cfRule type="cellIs" dxfId="8478" priority="4384" operator="lessThanOrEqual">
      <formula>0</formula>
    </cfRule>
  </conditionalFormatting>
  <conditionalFormatting sqref="BN172">
    <cfRule type="cellIs" dxfId="8477" priority="4381" operator="greaterThan">
      <formula>0</formula>
    </cfRule>
    <cfRule type="cellIs" dxfId="8476" priority="4382" operator="lessThanOrEqual">
      <formula>0</formula>
    </cfRule>
  </conditionalFormatting>
  <conditionalFormatting sqref="BN145">
    <cfRule type="cellIs" dxfId="8475" priority="4379" operator="greaterThan">
      <formula>0</formula>
    </cfRule>
    <cfRule type="cellIs" dxfId="8474" priority="4380" operator="lessThanOrEqual">
      <formula>0</formula>
    </cfRule>
  </conditionalFormatting>
  <conditionalFormatting sqref="BN167">
    <cfRule type="cellIs" dxfId="8473" priority="4365" operator="greaterThan">
      <formula>0</formula>
    </cfRule>
    <cfRule type="cellIs" dxfId="8472" priority="4366" operator="lessThanOrEqual">
      <formula>0</formula>
    </cfRule>
  </conditionalFormatting>
  <conditionalFormatting sqref="BN170">
    <cfRule type="cellIs" dxfId="8471" priority="4363" operator="greaterThan">
      <formula>0</formula>
    </cfRule>
    <cfRule type="cellIs" dxfId="8470" priority="4364" operator="lessThanOrEqual">
      <formula>0</formula>
    </cfRule>
  </conditionalFormatting>
  <conditionalFormatting sqref="BN148">
    <cfRule type="cellIs" dxfId="8469" priority="4377" operator="greaterThan">
      <formula>0</formula>
    </cfRule>
    <cfRule type="cellIs" dxfId="8468" priority="4378" operator="lessThanOrEqual">
      <formula>0</formula>
    </cfRule>
  </conditionalFormatting>
  <conditionalFormatting sqref="BN161">
    <cfRule type="cellIs" dxfId="8467" priority="4375" operator="greaterThan">
      <formula>0</formula>
    </cfRule>
    <cfRule type="cellIs" dxfId="8466" priority="4376" operator="lessThanOrEqual">
      <formula>0</formula>
    </cfRule>
  </conditionalFormatting>
  <conditionalFormatting sqref="BN162:BN163 BN165:BN166">
    <cfRule type="cellIs" dxfId="8465" priority="4371" operator="greaterThan">
      <formula>0</formula>
    </cfRule>
    <cfRule type="cellIs" dxfId="8464" priority="4372" operator="lessThanOrEqual">
      <formula>0</formula>
    </cfRule>
  </conditionalFormatting>
  <conditionalFormatting sqref="BN177:BN178 BN180:BN181">
    <cfRule type="cellIs" dxfId="8463" priority="4369" operator="greaterThan">
      <formula>0</formula>
    </cfRule>
    <cfRule type="cellIs" dxfId="8462" priority="4370" operator="lessThanOrEqual">
      <formula>0</formula>
    </cfRule>
  </conditionalFormatting>
  <conditionalFormatting sqref="BN179">
    <cfRule type="cellIs" dxfId="8461" priority="4361" operator="greaterThan">
      <formula>0</formula>
    </cfRule>
    <cfRule type="cellIs" dxfId="8460" priority="4362" operator="lessThanOrEqual">
      <formula>0</formula>
    </cfRule>
  </conditionalFormatting>
  <conditionalFormatting sqref="BN182">
    <cfRule type="cellIs" dxfId="8459" priority="4359" operator="greaterThan">
      <formula>0</formula>
    </cfRule>
    <cfRule type="cellIs" dxfId="8458" priority="4360" operator="lessThanOrEqual">
      <formula>0</formula>
    </cfRule>
  </conditionalFormatting>
  <conditionalFormatting sqref="BN185">
    <cfRule type="cellIs" dxfId="8457" priority="4357" operator="greaterThan">
      <formula>0</formula>
    </cfRule>
    <cfRule type="cellIs" dxfId="8456" priority="4358" operator="lessThanOrEqual">
      <formula>0</formula>
    </cfRule>
  </conditionalFormatting>
  <conditionalFormatting sqref="BN133">
    <cfRule type="cellIs" dxfId="8455" priority="4355" operator="lessThan">
      <formula>0</formula>
    </cfRule>
    <cfRule type="cellIs" dxfId="8454" priority="4356" operator="greaterThanOrEqual">
      <formula>0</formula>
    </cfRule>
  </conditionalFormatting>
  <conditionalFormatting sqref="BN176">
    <cfRule type="cellIs" dxfId="8453" priority="4353" operator="greaterThan">
      <formula>0</formula>
    </cfRule>
    <cfRule type="cellIs" dxfId="8452" priority="4354" operator="lessThanOrEqual">
      <formula>0</formula>
    </cfRule>
  </conditionalFormatting>
  <conditionalFormatting sqref="BN175">
    <cfRule type="cellIs" dxfId="8451" priority="4351" operator="greaterThan">
      <formula>0</formula>
    </cfRule>
    <cfRule type="cellIs" dxfId="8450" priority="4352" operator="lessThanOrEqual">
      <formula>0</formula>
    </cfRule>
  </conditionalFormatting>
  <conditionalFormatting sqref="BJ27">
    <cfRule type="cellIs" dxfId="8449" priority="4349" operator="greaterThan">
      <formula>0</formula>
    </cfRule>
    <cfRule type="cellIs" dxfId="8448" priority="4350" operator="lessThanOrEqual">
      <formula>0</formula>
    </cfRule>
  </conditionalFormatting>
  <conditionalFormatting sqref="BI27">
    <cfRule type="cellIs" dxfId="8447" priority="4348" operator="greaterThanOrEqual">
      <formula>0</formula>
    </cfRule>
  </conditionalFormatting>
  <conditionalFormatting sqref="BI27">
    <cfRule type="cellIs" dxfId="8446" priority="4347" operator="lessThan">
      <formula>0</formula>
    </cfRule>
  </conditionalFormatting>
  <conditionalFormatting sqref="BN27">
    <cfRule type="cellIs" dxfId="8445" priority="4345" operator="greaterThan">
      <formula>0</formula>
    </cfRule>
    <cfRule type="cellIs" dxfId="8444" priority="4346" operator="lessThanOrEqual">
      <formula>0</formula>
    </cfRule>
  </conditionalFormatting>
  <conditionalFormatting sqref="BM27">
    <cfRule type="cellIs" dxfId="8443" priority="4344" operator="greaterThanOrEqual">
      <formula>0</formula>
    </cfRule>
  </conditionalFormatting>
  <conditionalFormatting sqref="BM27">
    <cfRule type="cellIs" dxfId="8442" priority="4343" operator="lessThan">
      <formula>0</formula>
    </cfRule>
  </conditionalFormatting>
  <conditionalFormatting sqref="BP27">
    <cfRule type="cellIs" dxfId="8441" priority="4342" operator="greaterThanOrEqual">
      <formula>0</formula>
    </cfRule>
  </conditionalFormatting>
  <conditionalFormatting sqref="BP27">
    <cfRule type="cellIs" dxfId="8440" priority="4341" operator="lessThan">
      <formula>0</formula>
    </cfRule>
  </conditionalFormatting>
  <conditionalFormatting sqref="BQ27">
    <cfRule type="cellIs" dxfId="8439" priority="4340" operator="greaterThanOrEqual">
      <formula>0</formula>
    </cfRule>
  </conditionalFormatting>
  <conditionalFormatting sqref="BQ27">
    <cfRule type="cellIs" dxfId="8438" priority="4339" operator="lessThan">
      <formula>0</formula>
    </cfRule>
  </conditionalFormatting>
  <conditionalFormatting sqref="BJ90">
    <cfRule type="cellIs" dxfId="8437" priority="4337" operator="greaterThan">
      <formula>0</formula>
    </cfRule>
    <cfRule type="cellIs" dxfId="8436" priority="4338" operator="lessThanOrEqual">
      <formula>0</formula>
    </cfRule>
  </conditionalFormatting>
  <conditionalFormatting sqref="BI90">
    <cfRule type="cellIs" dxfId="8435" priority="4336" operator="greaterThanOrEqual">
      <formula>0</formula>
    </cfRule>
  </conditionalFormatting>
  <conditionalFormatting sqref="BI90">
    <cfRule type="cellIs" dxfId="8434" priority="4335" operator="lessThan">
      <formula>0</formula>
    </cfRule>
  </conditionalFormatting>
  <conditionalFormatting sqref="BN90">
    <cfRule type="cellIs" dxfId="8433" priority="4333" operator="greaterThan">
      <formula>0</formula>
    </cfRule>
    <cfRule type="cellIs" dxfId="8432" priority="4334" operator="lessThanOrEqual">
      <formula>0</formula>
    </cfRule>
  </conditionalFormatting>
  <conditionalFormatting sqref="BM90">
    <cfRule type="cellIs" dxfId="8431" priority="4332" operator="greaterThanOrEqual">
      <formula>0</formula>
    </cfRule>
  </conditionalFormatting>
  <conditionalFormatting sqref="BM90">
    <cfRule type="cellIs" dxfId="8430" priority="4331" operator="lessThan">
      <formula>0</formula>
    </cfRule>
  </conditionalFormatting>
  <conditionalFormatting sqref="BP90">
    <cfRule type="cellIs" dxfId="8429" priority="4330" operator="greaterThanOrEqual">
      <formula>0</formula>
    </cfRule>
  </conditionalFormatting>
  <conditionalFormatting sqref="BP90">
    <cfRule type="cellIs" dxfId="8428" priority="4329" operator="lessThan">
      <formula>0</formula>
    </cfRule>
  </conditionalFormatting>
  <conditionalFormatting sqref="BQ90">
    <cfRule type="cellIs" dxfId="8427" priority="4328" operator="greaterThanOrEqual">
      <formula>0</formula>
    </cfRule>
  </conditionalFormatting>
  <conditionalFormatting sqref="BQ90">
    <cfRule type="cellIs" dxfId="8426" priority="4327" operator="lessThan">
      <formula>0</formula>
    </cfRule>
  </conditionalFormatting>
  <conditionalFormatting sqref="BJ147">
    <cfRule type="cellIs" dxfId="8425" priority="4325" operator="greaterThan">
      <formula>0</formula>
    </cfRule>
    <cfRule type="cellIs" dxfId="8424" priority="4326" operator="lessThanOrEqual">
      <formula>0</formula>
    </cfRule>
  </conditionalFormatting>
  <conditionalFormatting sqref="BM147 BP147:BQ147 BI147">
    <cfRule type="cellIs" dxfId="8423" priority="4324" operator="greaterThanOrEqual">
      <formula>0</formula>
    </cfRule>
  </conditionalFormatting>
  <conditionalFormatting sqref="BM147 BP147:BQ147 BI147">
    <cfRule type="cellIs" dxfId="8422" priority="4323" operator="lessThan">
      <formula>0</formula>
    </cfRule>
  </conditionalFormatting>
  <conditionalFormatting sqref="BN147">
    <cfRule type="cellIs" dxfId="8421" priority="4321" operator="greaterThan">
      <formula>0</formula>
    </cfRule>
    <cfRule type="cellIs" dxfId="8420" priority="4322" operator="lessThanOrEqual">
      <formula>0</formula>
    </cfRule>
  </conditionalFormatting>
  <conditionalFormatting sqref="BU13:BU14">
    <cfRule type="cellIs" dxfId="8419" priority="4319" operator="greaterThan">
      <formula>0</formula>
    </cfRule>
    <cfRule type="cellIs" dxfId="8418" priority="4320" operator="lessThanOrEqual">
      <formula>0</formula>
    </cfRule>
  </conditionalFormatting>
  <conditionalFormatting sqref="BU16:BU17">
    <cfRule type="cellIs" dxfId="8417" priority="4317" operator="greaterThan">
      <formula>0</formula>
    </cfRule>
    <cfRule type="cellIs" dxfId="8416" priority="4318" operator="lessThanOrEqual">
      <formula>0</formula>
    </cfRule>
  </conditionalFormatting>
  <conditionalFormatting sqref="BU19:BU20">
    <cfRule type="cellIs" dxfId="8415" priority="4315" operator="greaterThan">
      <formula>0</formula>
    </cfRule>
    <cfRule type="cellIs" dxfId="8414" priority="4316" operator="lessThanOrEqual">
      <formula>0</formula>
    </cfRule>
  </conditionalFormatting>
  <conditionalFormatting sqref="BU29:BU30">
    <cfRule type="cellIs" dxfId="8413" priority="4313" operator="greaterThan">
      <formula>0</formula>
    </cfRule>
    <cfRule type="cellIs" dxfId="8412" priority="4314" operator="lessThanOrEqual">
      <formula>0</formula>
    </cfRule>
  </conditionalFormatting>
  <conditionalFormatting sqref="BU22:BU23">
    <cfRule type="cellIs" dxfId="8411" priority="4311" operator="greaterThan">
      <formula>0</formula>
    </cfRule>
    <cfRule type="cellIs" dxfId="8410" priority="4312" operator="lessThanOrEqual">
      <formula>0</formula>
    </cfRule>
  </conditionalFormatting>
  <conditionalFormatting sqref="BU32:BU33">
    <cfRule type="cellIs" dxfId="8409" priority="4309" operator="greaterThan">
      <formula>0</formula>
    </cfRule>
    <cfRule type="cellIs" dxfId="8408" priority="4310" operator="lessThanOrEqual">
      <formula>0</formula>
    </cfRule>
  </conditionalFormatting>
  <conditionalFormatting sqref="BU35:BU36">
    <cfRule type="cellIs" dxfId="8407" priority="4307" operator="greaterThan">
      <formula>0</formula>
    </cfRule>
    <cfRule type="cellIs" dxfId="8406" priority="4308" operator="lessThanOrEqual">
      <formula>0</formula>
    </cfRule>
  </conditionalFormatting>
  <conditionalFormatting sqref="BU38:BU39">
    <cfRule type="cellIs" dxfId="8405" priority="4305" operator="greaterThan">
      <formula>0</formula>
    </cfRule>
    <cfRule type="cellIs" dxfId="8404" priority="4306" operator="lessThanOrEqual">
      <formula>0</formula>
    </cfRule>
  </conditionalFormatting>
  <conditionalFormatting sqref="BU48:BU49">
    <cfRule type="cellIs" dxfId="8403" priority="4303" operator="greaterThan">
      <formula>0</formula>
    </cfRule>
    <cfRule type="cellIs" dxfId="8402" priority="4304" operator="lessThanOrEqual">
      <formula>0</formula>
    </cfRule>
  </conditionalFormatting>
  <conditionalFormatting sqref="BU63:BU64">
    <cfRule type="cellIs" dxfId="8401" priority="4301" operator="greaterThan">
      <formula>0</formula>
    </cfRule>
    <cfRule type="cellIs" dxfId="8400" priority="4302" operator="lessThanOrEqual">
      <formula>0</formula>
    </cfRule>
  </conditionalFormatting>
  <conditionalFormatting sqref="BU53:BU54">
    <cfRule type="cellIs" dxfId="8399" priority="4299" operator="greaterThan">
      <formula>0</formula>
    </cfRule>
    <cfRule type="cellIs" dxfId="8398" priority="4300" operator="lessThanOrEqual">
      <formula>0</formula>
    </cfRule>
  </conditionalFormatting>
  <conditionalFormatting sqref="BU15">
    <cfRule type="cellIs" dxfId="8397" priority="4297" operator="greaterThan">
      <formula>0</formula>
    </cfRule>
    <cfRule type="cellIs" dxfId="8396" priority="4298" operator="lessThanOrEqual">
      <formula>0</formula>
    </cfRule>
  </conditionalFormatting>
  <conditionalFormatting sqref="BU18">
    <cfRule type="cellIs" dxfId="8395" priority="4295" operator="greaterThan">
      <formula>0</formula>
    </cfRule>
    <cfRule type="cellIs" dxfId="8394" priority="4296" operator="lessThanOrEqual">
      <formula>0</formula>
    </cfRule>
  </conditionalFormatting>
  <conditionalFormatting sqref="BU21">
    <cfRule type="cellIs" dxfId="8393" priority="4293" operator="greaterThan">
      <formula>0</formula>
    </cfRule>
    <cfRule type="cellIs" dxfId="8392" priority="4294" operator="lessThanOrEqual">
      <formula>0</formula>
    </cfRule>
  </conditionalFormatting>
  <conditionalFormatting sqref="BU31">
    <cfRule type="cellIs" dxfId="8391" priority="4291" operator="greaterThan">
      <formula>0</formula>
    </cfRule>
    <cfRule type="cellIs" dxfId="8390" priority="4292" operator="lessThanOrEqual">
      <formula>0</formula>
    </cfRule>
  </conditionalFormatting>
  <conditionalFormatting sqref="BU24">
    <cfRule type="cellIs" dxfId="8389" priority="4289" operator="greaterThan">
      <formula>0</formula>
    </cfRule>
    <cfRule type="cellIs" dxfId="8388" priority="4290" operator="lessThanOrEqual">
      <formula>0</formula>
    </cfRule>
  </conditionalFormatting>
  <conditionalFormatting sqref="BU34">
    <cfRule type="cellIs" dxfId="8387" priority="4287" operator="greaterThan">
      <formula>0</formula>
    </cfRule>
    <cfRule type="cellIs" dxfId="8386" priority="4288" operator="lessThanOrEqual">
      <formula>0</formula>
    </cfRule>
  </conditionalFormatting>
  <conditionalFormatting sqref="BU37">
    <cfRule type="cellIs" dxfId="8385" priority="4285" operator="greaterThan">
      <formula>0</formula>
    </cfRule>
    <cfRule type="cellIs" dxfId="8384" priority="4286" operator="lessThanOrEqual">
      <formula>0</formula>
    </cfRule>
  </conditionalFormatting>
  <conditionalFormatting sqref="BU40">
    <cfRule type="cellIs" dxfId="8383" priority="4283" operator="greaterThan">
      <formula>0</formula>
    </cfRule>
    <cfRule type="cellIs" dxfId="8382" priority="4284" operator="lessThanOrEqual">
      <formula>0</formula>
    </cfRule>
  </conditionalFormatting>
  <conditionalFormatting sqref="BU26">
    <cfRule type="cellIs" dxfId="8381" priority="4281" operator="greaterThan">
      <formula>0</formula>
    </cfRule>
    <cfRule type="cellIs" dxfId="8380" priority="4282" operator="lessThanOrEqual">
      <formula>0</formula>
    </cfRule>
  </conditionalFormatting>
  <conditionalFormatting sqref="BU66 BU68 BU71">
    <cfRule type="cellIs" dxfId="8379" priority="4279" operator="greaterThan">
      <formula>0</formula>
    </cfRule>
    <cfRule type="cellIs" dxfId="8378" priority="4280" operator="lessThanOrEqual">
      <formula>0</formula>
    </cfRule>
  </conditionalFormatting>
  <conditionalFormatting sqref="BT13:BT14 BT16:BT17 BT19:BT20 BT22:BT23 BT29:BT30 BT32:BT33 BT35:BT36 BT38:BT39 BT48:BT49 BT53:BT54">
    <cfRule type="cellIs" dxfId="8377" priority="4277" operator="lessThan">
      <formula>0</formula>
    </cfRule>
    <cfRule type="cellIs" dxfId="8376" priority="4278" operator="greaterThanOrEqual">
      <formula>0</formula>
    </cfRule>
  </conditionalFormatting>
  <conditionalFormatting sqref="BT15 BT18 BT21 BT24 BT26 BT31 BT34 BT37 BT40">
    <cfRule type="cellIs" dxfId="8375" priority="4276" operator="greaterThanOrEqual">
      <formula>0</formula>
    </cfRule>
  </conditionalFormatting>
  <conditionalFormatting sqref="BT15 BT18 BT21 BT24 BT26 BT31 BT34 BT37 BT40">
    <cfRule type="cellIs" dxfId="8374" priority="4275" operator="lessThan">
      <formula>0</formula>
    </cfRule>
  </conditionalFormatting>
  <conditionalFormatting sqref="BU73">
    <cfRule type="cellIs" dxfId="8373" priority="4273" operator="greaterThan">
      <formula>0</formula>
    </cfRule>
    <cfRule type="cellIs" dxfId="8372" priority="4274" operator="lessThanOrEqual">
      <formula>0</formula>
    </cfRule>
  </conditionalFormatting>
  <conditionalFormatting sqref="BU67">
    <cfRule type="cellIs" dxfId="8371" priority="4271" operator="greaterThan">
      <formula>0</formula>
    </cfRule>
    <cfRule type="cellIs" dxfId="8370" priority="4272" operator="lessThanOrEqual">
      <formula>0</formula>
    </cfRule>
  </conditionalFormatting>
  <conditionalFormatting sqref="BT67">
    <cfRule type="cellIs" dxfId="8369" priority="4269" operator="greaterThanOrEqual">
      <formula>0</formula>
    </cfRule>
    <cfRule type="cellIs" dxfId="8368" priority="4270" operator="lessThan">
      <formula>0</formula>
    </cfRule>
  </conditionalFormatting>
  <conditionalFormatting sqref="CA13:CA14 CA16:CA17 CA19:CA20 CA22:CA23 CA29:CA30 CA32:CA33 CA35:CA36 CA38:CA39 CA48:CA49">
    <cfRule type="cellIs" dxfId="8367" priority="4267" operator="lessThan">
      <formula>0</formula>
    </cfRule>
    <cfRule type="cellIs" dxfId="8366" priority="4268" operator="greaterThanOrEqual">
      <formula>0</formula>
    </cfRule>
  </conditionalFormatting>
  <conditionalFormatting sqref="CA15 CA24 CA18 CA21 CA31 CA34 CA37 CA40">
    <cfRule type="cellIs" dxfId="8365" priority="4266" operator="greaterThanOrEqual">
      <formula>0</formula>
    </cfRule>
  </conditionalFormatting>
  <conditionalFormatting sqref="CA15 CA24 CA18 CA21 CA31 CA34 CA37 CA40">
    <cfRule type="cellIs" dxfId="8364" priority="4265" operator="lessThan">
      <formula>0</formula>
    </cfRule>
  </conditionalFormatting>
  <conditionalFormatting sqref="CA71 CA73">
    <cfRule type="cellIs" dxfId="8363" priority="4263" operator="lessThan">
      <formula>0</formula>
    </cfRule>
    <cfRule type="cellIs" dxfId="8362" priority="4264" operator="greaterThanOrEqual">
      <formula>0</formula>
    </cfRule>
  </conditionalFormatting>
  <conditionalFormatting sqref="CA67">
    <cfRule type="cellIs" dxfId="8361" priority="4261" operator="greaterThanOrEqual">
      <formula>0</formula>
    </cfRule>
    <cfRule type="cellIs" dxfId="8360" priority="4262" operator="lessThan">
      <formula>0</formula>
    </cfRule>
  </conditionalFormatting>
  <conditionalFormatting sqref="CB13:CB14">
    <cfRule type="cellIs" dxfId="8359" priority="4259" operator="greaterThan">
      <formula>0</formula>
    </cfRule>
    <cfRule type="cellIs" dxfId="8358" priority="4260" operator="lessThanOrEqual">
      <formula>0</formula>
    </cfRule>
  </conditionalFormatting>
  <conditionalFormatting sqref="CB68">
    <cfRule type="cellIs" dxfId="8357" priority="4257" operator="lessThan">
      <formula>0</formula>
    </cfRule>
    <cfRule type="cellIs" dxfId="8356" priority="4258" operator="greaterThanOrEqual">
      <formula>0</formula>
    </cfRule>
  </conditionalFormatting>
  <conditionalFormatting sqref="CB15 CB24 CB18 CB21 CB31 CB34 CB37 CB40">
    <cfRule type="cellIs" dxfId="8355" priority="4256" operator="greaterThanOrEqual">
      <formula>0</formula>
    </cfRule>
  </conditionalFormatting>
  <conditionalFormatting sqref="CB15 CB24 CB18 CB21 CB31 CB34 CB37 CB40">
    <cfRule type="cellIs" dxfId="8354" priority="4255" operator="lessThan">
      <formula>0</formula>
    </cfRule>
  </conditionalFormatting>
  <conditionalFormatting sqref="CA68">
    <cfRule type="cellIs" dxfId="8353" priority="4253" operator="lessThan">
      <formula>0</formula>
    </cfRule>
    <cfRule type="cellIs" dxfId="8352" priority="4254" operator="greaterThanOrEqual">
      <formula>0</formula>
    </cfRule>
  </conditionalFormatting>
  <conditionalFormatting sqref="CB71 CB73">
    <cfRule type="cellIs" dxfId="8351" priority="4251" operator="lessThan">
      <formula>0</formula>
    </cfRule>
    <cfRule type="cellIs" dxfId="8350" priority="4252" operator="greaterThanOrEqual">
      <formula>0</formula>
    </cfRule>
  </conditionalFormatting>
  <conditionalFormatting sqref="CB67">
    <cfRule type="cellIs" dxfId="8349" priority="4249" operator="lessThan">
      <formula>0</formula>
    </cfRule>
    <cfRule type="cellIs" dxfId="8348" priority="4250" operator="greaterThanOrEqual">
      <formula>0</formula>
    </cfRule>
  </conditionalFormatting>
  <conditionalFormatting sqref="BT62">
    <cfRule type="cellIs" dxfId="8347" priority="4230" operator="greaterThanOrEqual">
      <formula>0</formula>
    </cfRule>
  </conditionalFormatting>
  <conditionalFormatting sqref="BT62">
    <cfRule type="cellIs" dxfId="8346" priority="4229" operator="lessThan">
      <formula>0</formula>
    </cfRule>
  </conditionalFormatting>
  <conditionalFormatting sqref="BU44">
    <cfRule type="cellIs" dxfId="8345" priority="4239" operator="greaterThan">
      <formula>0</formula>
    </cfRule>
    <cfRule type="cellIs" dxfId="8344" priority="4240" operator="lessThanOrEqual">
      <formula>0</formula>
    </cfRule>
  </conditionalFormatting>
  <conditionalFormatting sqref="BU47">
    <cfRule type="cellIs" dxfId="8343" priority="4237" operator="greaterThan">
      <formula>0</formula>
    </cfRule>
    <cfRule type="cellIs" dxfId="8342" priority="4238" operator="lessThanOrEqual">
      <formula>0</formula>
    </cfRule>
  </conditionalFormatting>
  <conditionalFormatting sqref="BU50">
    <cfRule type="cellIs" dxfId="8341" priority="4235" operator="greaterThan">
      <formula>0</formula>
    </cfRule>
    <cfRule type="cellIs" dxfId="8340" priority="4236" operator="lessThanOrEqual">
      <formula>0</formula>
    </cfRule>
  </conditionalFormatting>
  <conditionalFormatting sqref="BU28">
    <cfRule type="cellIs" dxfId="8339" priority="4247" operator="greaterThan">
      <formula>0</formula>
    </cfRule>
    <cfRule type="cellIs" dxfId="8338" priority="4248" operator="lessThanOrEqual">
      <formula>0</formula>
    </cfRule>
  </conditionalFormatting>
  <conditionalFormatting sqref="BU41">
    <cfRule type="cellIs" dxfId="8337" priority="4245" operator="greaterThan">
      <formula>0</formula>
    </cfRule>
    <cfRule type="cellIs" dxfId="8336" priority="4246" operator="lessThanOrEqual">
      <formula>0</formula>
    </cfRule>
  </conditionalFormatting>
  <conditionalFormatting sqref="BX182">
    <cfRule type="cellIs" dxfId="8335" priority="4034" operator="greaterThanOrEqual">
      <formula>0</formula>
    </cfRule>
  </conditionalFormatting>
  <conditionalFormatting sqref="BX182">
    <cfRule type="cellIs" dxfId="8334" priority="4033" operator="lessThan">
      <formula>0</formula>
    </cfRule>
  </conditionalFormatting>
  <conditionalFormatting sqref="BU42:BU43 BU45:BU46">
    <cfRule type="cellIs" dxfId="8333" priority="4243" operator="greaterThan">
      <formula>0</formula>
    </cfRule>
    <cfRule type="cellIs" dxfId="8332" priority="4244" operator="lessThanOrEqual">
      <formula>0</formula>
    </cfRule>
  </conditionalFormatting>
  <conditionalFormatting sqref="BU57:BU58 BU60:BU61">
    <cfRule type="cellIs" dxfId="8331" priority="4241" operator="greaterThan">
      <formula>0</formula>
    </cfRule>
    <cfRule type="cellIs" dxfId="8330" priority="4242" operator="lessThanOrEqual">
      <formula>0</formula>
    </cfRule>
  </conditionalFormatting>
  <conditionalFormatting sqref="BU59">
    <cfRule type="cellIs" dxfId="8329" priority="4233" operator="greaterThan">
      <formula>0</formula>
    </cfRule>
    <cfRule type="cellIs" dxfId="8328" priority="4234" operator="lessThanOrEqual">
      <formula>0</formula>
    </cfRule>
  </conditionalFormatting>
  <conditionalFormatting sqref="BU62">
    <cfRule type="cellIs" dxfId="8327" priority="4231" operator="greaterThan">
      <formula>0</formula>
    </cfRule>
    <cfRule type="cellIs" dxfId="8326" priority="4232" operator="lessThanOrEqual">
      <formula>0</formula>
    </cfRule>
  </conditionalFormatting>
  <conditionalFormatting sqref="BU65">
    <cfRule type="cellIs" dxfId="8325" priority="4227" operator="greaterThan">
      <formula>0</formula>
    </cfRule>
    <cfRule type="cellIs" dxfId="8324" priority="4228" operator="lessThanOrEqual">
      <formula>0</formula>
    </cfRule>
  </conditionalFormatting>
  <conditionalFormatting sqref="BY47">
    <cfRule type="cellIs" dxfId="8323" priority="3897" operator="greaterThan">
      <formula>0</formula>
    </cfRule>
    <cfRule type="cellIs" dxfId="8322" priority="3898" operator="lessThanOrEqual">
      <formula>0</formula>
    </cfRule>
  </conditionalFormatting>
  <conditionalFormatting sqref="BY59">
    <cfRule type="cellIs" dxfId="8321" priority="3893" operator="greaterThan">
      <formula>0</formula>
    </cfRule>
    <cfRule type="cellIs" dxfId="8320" priority="3894" operator="lessThanOrEqual">
      <formula>0</formula>
    </cfRule>
  </conditionalFormatting>
  <conditionalFormatting sqref="BX62">
    <cfRule type="cellIs" dxfId="8319" priority="3890" operator="greaterThanOrEqual">
      <formula>0</formula>
    </cfRule>
  </conditionalFormatting>
  <conditionalFormatting sqref="BX62">
    <cfRule type="cellIs" dxfId="8318" priority="3889" operator="lessThan">
      <formula>0</formula>
    </cfRule>
  </conditionalFormatting>
  <conditionalFormatting sqref="BU134">
    <cfRule type="cellIs" dxfId="8317" priority="4225" operator="greaterThan">
      <formula>0</formula>
    </cfRule>
    <cfRule type="cellIs" dxfId="8316" priority="4226" operator="lessThanOrEqual">
      <formula>0</formula>
    </cfRule>
  </conditionalFormatting>
  <conditionalFormatting sqref="BU136:BU137">
    <cfRule type="cellIs" dxfId="8315" priority="4223" operator="greaterThan">
      <formula>0</formula>
    </cfRule>
    <cfRule type="cellIs" dxfId="8314" priority="4224" operator="lessThanOrEqual">
      <formula>0</formula>
    </cfRule>
  </conditionalFormatting>
  <conditionalFormatting sqref="BU173:BU174">
    <cfRule type="cellIs" dxfId="8313" priority="4205" operator="greaterThan">
      <formula>0</formula>
    </cfRule>
    <cfRule type="cellIs" dxfId="8312" priority="4206" operator="lessThanOrEqual">
      <formula>0</formula>
    </cfRule>
  </conditionalFormatting>
  <conditionalFormatting sqref="BU144">
    <cfRule type="cellIs" dxfId="8311" priority="4195" operator="greaterThan">
      <formula>0</formula>
    </cfRule>
    <cfRule type="cellIs" dxfId="8310" priority="4196" operator="lessThanOrEqual">
      <formula>0</formula>
    </cfRule>
  </conditionalFormatting>
  <conditionalFormatting sqref="BU154">
    <cfRule type="cellIs" dxfId="8309" priority="4193" operator="greaterThan">
      <formula>0</formula>
    </cfRule>
    <cfRule type="cellIs" dxfId="8308" priority="4194" operator="lessThanOrEqual">
      <formula>0</formula>
    </cfRule>
  </conditionalFormatting>
  <conditionalFormatting sqref="BU157">
    <cfRule type="cellIs" dxfId="8307" priority="4191" operator="greaterThan">
      <formula>0</formula>
    </cfRule>
    <cfRule type="cellIs" dxfId="8306" priority="4192" operator="lessThanOrEqual">
      <formula>0</formula>
    </cfRule>
  </conditionalFormatting>
  <conditionalFormatting sqref="BT164">
    <cfRule type="cellIs" dxfId="8305" priority="4076" operator="greaterThanOrEqual">
      <formula>0</formula>
    </cfRule>
  </conditionalFormatting>
  <conditionalFormatting sqref="BT164">
    <cfRule type="cellIs" dxfId="8304" priority="4075" operator="lessThan">
      <formula>0</formula>
    </cfRule>
  </conditionalFormatting>
  <conditionalFormatting sqref="BU164">
    <cfRule type="cellIs" dxfId="8303" priority="4077" operator="greaterThan">
      <formula>0</formula>
    </cfRule>
    <cfRule type="cellIs" dxfId="8302" priority="4078" operator="lessThanOrEqual">
      <formula>0</formula>
    </cfRule>
  </conditionalFormatting>
  <conditionalFormatting sqref="BX185">
    <cfRule type="cellIs" dxfId="8301" priority="4024" operator="greaterThanOrEqual">
      <formula>0</formula>
    </cfRule>
  </conditionalFormatting>
  <conditionalFormatting sqref="BX185">
    <cfRule type="cellIs" dxfId="8300" priority="4023" operator="lessThan">
      <formula>0</formula>
    </cfRule>
  </conditionalFormatting>
  <conditionalFormatting sqref="CB145">
    <cfRule type="cellIs" dxfId="8299" priority="4122" operator="greaterThanOrEqual">
      <formula>0</formula>
    </cfRule>
  </conditionalFormatting>
  <conditionalFormatting sqref="CB145">
    <cfRule type="cellIs" dxfId="8298" priority="4121" operator="lessThan">
      <formula>0</formula>
    </cfRule>
  </conditionalFormatting>
  <conditionalFormatting sqref="BX160 BX186">
    <cfRule type="cellIs" dxfId="8297" priority="4174" operator="greaterThanOrEqual">
      <formula>0</formula>
    </cfRule>
  </conditionalFormatting>
  <conditionalFormatting sqref="BX160 BX186">
    <cfRule type="cellIs" dxfId="8296" priority="4173" operator="lessThan">
      <formula>0</formula>
    </cfRule>
  </conditionalFormatting>
  <conditionalFormatting sqref="BU171">
    <cfRule type="cellIs" dxfId="8295" priority="4103" operator="greaterThan">
      <formula>0</formula>
    </cfRule>
    <cfRule type="cellIs" dxfId="8294" priority="4104" operator="lessThanOrEqual">
      <formula>0</formula>
    </cfRule>
  </conditionalFormatting>
  <conditionalFormatting sqref="BT171">
    <cfRule type="cellIs" dxfId="8293" priority="4102" operator="greaterThanOrEqual">
      <formula>0</formula>
    </cfRule>
  </conditionalFormatting>
  <conditionalFormatting sqref="BT171">
    <cfRule type="cellIs" dxfId="8292" priority="4101" operator="lessThan">
      <formula>0</formula>
    </cfRule>
  </conditionalFormatting>
  <conditionalFormatting sqref="CB167">
    <cfRule type="cellIs" dxfId="8291" priority="4060" operator="greaterThanOrEqual">
      <formula>0</formula>
    </cfRule>
  </conditionalFormatting>
  <conditionalFormatting sqref="CB167">
    <cfRule type="cellIs" dxfId="8290" priority="4059" operator="lessThan">
      <formula>0</formula>
    </cfRule>
  </conditionalFormatting>
  <conditionalFormatting sqref="BU139:BU140">
    <cfRule type="cellIs" dxfId="8289" priority="4221" operator="greaterThan">
      <formula>0</formula>
    </cfRule>
    <cfRule type="cellIs" dxfId="8288" priority="4222" operator="lessThanOrEqual">
      <formula>0</formula>
    </cfRule>
  </conditionalFormatting>
  <conditionalFormatting sqref="BU149:BU150">
    <cfRule type="cellIs" dxfId="8287" priority="4219" operator="greaterThan">
      <formula>0</formula>
    </cfRule>
    <cfRule type="cellIs" dxfId="8286" priority="4220" operator="lessThanOrEqual">
      <formula>0</formula>
    </cfRule>
  </conditionalFormatting>
  <conditionalFormatting sqref="BU142:BU143">
    <cfRule type="cellIs" dxfId="8285" priority="4217" operator="greaterThan">
      <formula>0</formula>
    </cfRule>
    <cfRule type="cellIs" dxfId="8284" priority="4218" operator="lessThanOrEqual">
      <formula>0</formula>
    </cfRule>
  </conditionalFormatting>
  <conditionalFormatting sqref="BU152:BU153">
    <cfRule type="cellIs" dxfId="8283" priority="4215" operator="greaterThan">
      <formula>0</formula>
    </cfRule>
    <cfRule type="cellIs" dxfId="8282" priority="4216" operator="lessThanOrEqual">
      <formula>0</formula>
    </cfRule>
  </conditionalFormatting>
  <conditionalFormatting sqref="BU155:BU156">
    <cfRule type="cellIs" dxfId="8281" priority="4213" operator="greaterThan">
      <formula>0</formula>
    </cfRule>
    <cfRule type="cellIs" dxfId="8280" priority="4214" operator="lessThanOrEqual">
      <formula>0</formula>
    </cfRule>
  </conditionalFormatting>
  <conditionalFormatting sqref="BU158:BU159">
    <cfRule type="cellIs" dxfId="8279" priority="4211" operator="greaterThan">
      <formula>0</formula>
    </cfRule>
    <cfRule type="cellIs" dxfId="8278" priority="4212" operator="lessThanOrEqual">
      <formula>0</formula>
    </cfRule>
  </conditionalFormatting>
  <conditionalFormatting sqref="BU168:BU169">
    <cfRule type="cellIs" dxfId="8277" priority="4209" operator="greaterThan">
      <formula>0</formula>
    </cfRule>
    <cfRule type="cellIs" dxfId="8276" priority="4210" operator="lessThanOrEqual">
      <formula>0</formula>
    </cfRule>
  </conditionalFormatting>
  <conditionalFormatting sqref="BU183:BU184">
    <cfRule type="cellIs" dxfId="8275" priority="4207" operator="greaterThan">
      <formula>0</formula>
    </cfRule>
    <cfRule type="cellIs" dxfId="8274" priority="4208" operator="lessThanOrEqual">
      <formula>0</formula>
    </cfRule>
  </conditionalFormatting>
  <conditionalFormatting sqref="BU135">
    <cfRule type="cellIs" dxfId="8273" priority="4203" operator="greaterThan">
      <formula>0</formula>
    </cfRule>
    <cfRule type="cellIs" dxfId="8272" priority="4204" operator="lessThanOrEqual">
      <formula>0</formula>
    </cfRule>
  </conditionalFormatting>
  <conditionalFormatting sqref="BU138">
    <cfRule type="cellIs" dxfId="8271" priority="4201" operator="greaterThan">
      <formula>0</formula>
    </cfRule>
    <cfRule type="cellIs" dxfId="8270" priority="4202" operator="lessThanOrEqual">
      <formula>0</formula>
    </cfRule>
  </conditionalFormatting>
  <conditionalFormatting sqref="BU141">
    <cfRule type="cellIs" dxfId="8269" priority="4199" operator="greaterThan">
      <formula>0</formula>
    </cfRule>
    <cfRule type="cellIs" dxfId="8268" priority="4200" operator="lessThanOrEqual">
      <formula>0</formula>
    </cfRule>
  </conditionalFormatting>
  <conditionalFormatting sqref="BU151">
    <cfRule type="cellIs" dxfId="8267" priority="4197" operator="greaterThan">
      <formula>0</formula>
    </cfRule>
    <cfRule type="cellIs" dxfId="8266" priority="4198" operator="lessThanOrEqual">
      <formula>0</formula>
    </cfRule>
  </conditionalFormatting>
  <conditionalFormatting sqref="BU160">
    <cfRule type="cellIs" dxfId="8265" priority="4189" operator="greaterThan">
      <formula>0</formula>
    </cfRule>
    <cfRule type="cellIs" dxfId="8264" priority="4190" operator="lessThanOrEqual">
      <formula>0</formula>
    </cfRule>
  </conditionalFormatting>
  <conditionalFormatting sqref="BU146">
    <cfRule type="cellIs" dxfId="8263" priority="4187" operator="greaterThan">
      <formula>0</formula>
    </cfRule>
    <cfRule type="cellIs" dxfId="8262" priority="4188" operator="lessThanOrEqual">
      <formula>0</formula>
    </cfRule>
  </conditionalFormatting>
  <conditionalFormatting sqref="BU186">
    <cfRule type="cellIs" dxfId="8261" priority="4185" operator="greaterThan">
      <formula>0</formula>
    </cfRule>
    <cfRule type="cellIs" dxfId="8260" priority="4186" operator="lessThanOrEqual">
      <formula>0</formula>
    </cfRule>
  </conditionalFormatting>
  <conditionalFormatting sqref="BT133:BT134 BT136:BT137 BT139:BT140 BT149:BT150 BT142:BT143 BT152:BT153 BT155:BT156 BT158:BT159 BT168:BT169 BT183:BT184 BT173:BT174 BX183:BX184 BX173:BX174 CA183:CB184 CA173:CB174">
    <cfRule type="cellIs" dxfId="8259" priority="4183" operator="lessThan">
      <formula>0</formula>
    </cfRule>
    <cfRule type="cellIs" dxfId="8258" priority="4184" operator="greaterThanOrEqual">
      <formula>0</formula>
    </cfRule>
  </conditionalFormatting>
  <conditionalFormatting sqref="BT135 BT138 BT141 BT154 BT157 BT160 BT186 BX146 CA146:CB146 BT151 BT144 BT146">
    <cfRule type="cellIs" dxfId="8257" priority="4182" operator="greaterThanOrEqual">
      <formula>0</formula>
    </cfRule>
  </conditionalFormatting>
  <conditionalFormatting sqref="BT135 BT138 BT141 BT154 BT157 BT160 BT186 BX146 CA146:CB146 BT151 BT144 BT146">
    <cfRule type="cellIs" dxfId="8256" priority="4181" operator="lessThan">
      <formula>0</formula>
    </cfRule>
  </conditionalFormatting>
  <conditionalFormatting sqref="BX133:BX134 BX136:BX137 BX139:BX140 BX149:BX150 BX142:BX143 BX152:BX153 BX155:BX156">
    <cfRule type="cellIs" dxfId="8255" priority="4179" operator="lessThan">
      <formula>0</formula>
    </cfRule>
    <cfRule type="cellIs" dxfId="8254" priority="4180" operator="greaterThanOrEqual">
      <formula>0</formula>
    </cfRule>
  </conditionalFormatting>
  <conditionalFormatting sqref="BX135 BX138 BX141 BX151 BX144 BX154 BX157">
    <cfRule type="cellIs" dxfId="8253" priority="4178" operator="greaterThanOrEqual">
      <formula>0</formula>
    </cfRule>
  </conditionalFormatting>
  <conditionalFormatting sqref="BX135 BX138 BX141 BX151 BX144 BX154 BX157">
    <cfRule type="cellIs" dxfId="8252" priority="4177" operator="lessThan">
      <formula>0</formula>
    </cfRule>
  </conditionalFormatting>
  <conditionalFormatting sqref="BX158:BX159 BX168:BX169">
    <cfRule type="cellIs" dxfId="8251" priority="4175" operator="lessThan">
      <formula>0</formula>
    </cfRule>
    <cfRule type="cellIs" dxfId="8250" priority="4176" operator="greaterThanOrEqual">
      <formula>0</formula>
    </cfRule>
  </conditionalFormatting>
  <conditionalFormatting sqref="BU187">
    <cfRule type="cellIs" dxfId="8249" priority="4171" operator="greaterThan">
      <formula>0</formula>
    </cfRule>
    <cfRule type="cellIs" dxfId="8248" priority="4172" operator="lessThanOrEqual">
      <formula>0</formula>
    </cfRule>
  </conditionalFormatting>
  <conditionalFormatting sqref="BX187">
    <cfRule type="cellIs" dxfId="8247" priority="4169" operator="greaterThanOrEqual">
      <formula>0</formula>
    </cfRule>
    <cfRule type="cellIs" dxfId="8246" priority="4170" operator="lessThan">
      <formula>0</formula>
    </cfRule>
  </conditionalFormatting>
  <conditionalFormatting sqref="BT187">
    <cfRule type="cellIs" dxfId="8245" priority="4167" operator="greaterThanOrEqual">
      <formula>0</formula>
    </cfRule>
    <cfRule type="cellIs" dxfId="8244" priority="4168" operator="lessThan">
      <formula>0</formula>
    </cfRule>
  </conditionalFormatting>
  <conditionalFormatting sqref="CA133:CA134 CA136:CA137 CA139:CA140 CA149:CA150 CA142:CA143 CA152:CA153 CA155:CA156 CA158:CA159 CA168:CA169">
    <cfRule type="cellIs" dxfId="8243" priority="4165" operator="lessThan">
      <formula>0</formula>
    </cfRule>
    <cfRule type="cellIs" dxfId="8242" priority="4166" operator="greaterThanOrEqual">
      <formula>0</formula>
    </cfRule>
  </conditionalFormatting>
  <conditionalFormatting sqref="CA135 CA138 CA141 CA151 CA144 CA154 CA157 CA160 CA186">
    <cfRule type="cellIs" dxfId="8241" priority="4164" operator="greaterThanOrEqual">
      <formula>0</formula>
    </cfRule>
  </conditionalFormatting>
  <conditionalFormatting sqref="CA135 CA138 CA141 CA151 CA144 CA154 CA157 CA160 CA186">
    <cfRule type="cellIs" dxfId="8240" priority="4163" operator="lessThan">
      <formula>0</formula>
    </cfRule>
  </conditionalFormatting>
  <conditionalFormatting sqref="CA187">
    <cfRule type="cellIs" dxfId="8239" priority="4161" operator="greaterThanOrEqual">
      <formula>0</formula>
    </cfRule>
    <cfRule type="cellIs" dxfId="8238" priority="4162" operator="lessThan">
      <formula>0</formula>
    </cfRule>
  </conditionalFormatting>
  <conditionalFormatting sqref="CB133:CB134">
    <cfRule type="cellIs" dxfId="8237" priority="4159" operator="greaterThan">
      <formula>0</formula>
    </cfRule>
    <cfRule type="cellIs" dxfId="8236" priority="4160" operator="lessThanOrEqual">
      <formula>0</formula>
    </cfRule>
  </conditionalFormatting>
  <conditionalFormatting sqref="CB136:CB137">
    <cfRule type="cellIs" dxfId="8235" priority="4157" operator="greaterThan">
      <formula>0</formula>
    </cfRule>
    <cfRule type="cellIs" dxfId="8234" priority="4158" operator="lessThanOrEqual">
      <formula>0</formula>
    </cfRule>
  </conditionalFormatting>
  <conditionalFormatting sqref="CB139:CB140">
    <cfRule type="cellIs" dxfId="8233" priority="4155" operator="greaterThan">
      <formula>0</formula>
    </cfRule>
    <cfRule type="cellIs" dxfId="8232" priority="4156" operator="lessThanOrEqual">
      <formula>0</formula>
    </cfRule>
  </conditionalFormatting>
  <conditionalFormatting sqref="CB149:CB150">
    <cfRule type="cellIs" dxfId="8231" priority="4153" operator="greaterThan">
      <formula>0</formula>
    </cfRule>
    <cfRule type="cellIs" dxfId="8230" priority="4154" operator="lessThanOrEqual">
      <formula>0</formula>
    </cfRule>
  </conditionalFormatting>
  <conditionalFormatting sqref="CB142:CB143">
    <cfRule type="cellIs" dxfId="8229" priority="4151" operator="greaterThan">
      <formula>0</formula>
    </cfRule>
    <cfRule type="cellIs" dxfId="8228" priority="4152" operator="lessThanOrEqual">
      <formula>0</formula>
    </cfRule>
  </conditionalFormatting>
  <conditionalFormatting sqref="CB152:CB153">
    <cfRule type="cellIs" dxfId="8227" priority="4149" operator="greaterThan">
      <formula>0</formula>
    </cfRule>
    <cfRule type="cellIs" dxfId="8226" priority="4150" operator="lessThanOrEqual">
      <formula>0</formula>
    </cfRule>
  </conditionalFormatting>
  <conditionalFormatting sqref="CB155:CB156">
    <cfRule type="cellIs" dxfId="8225" priority="4147" operator="greaterThan">
      <formula>0</formula>
    </cfRule>
    <cfRule type="cellIs" dxfId="8224" priority="4148" operator="lessThanOrEqual">
      <formula>0</formula>
    </cfRule>
  </conditionalFormatting>
  <conditionalFormatting sqref="CB158:CB159 CB168:CB169">
    <cfRule type="cellIs" dxfId="8223" priority="4145" operator="lessThan">
      <formula>0</formula>
    </cfRule>
    <cfRule type="cellIs" dxfId="8222" priority="4146" operator="greaterThanOrEqual">
      <formula>0</formula>
    </cfRule>
  </conditionalFormatting>
  <conditionalFormatting sqref="CB135 CB138 CB141 CB151 CB144 CB154 CB157 CB160 CB186">
    <cfRule type="cellIs" dxfId="8221" priority="4144" operator="greaterThanOrEqual">
      <formula>0</formula>
    </cfRule>
  </conditionalFormatting>
  <conditionalFormatting sqref="CB135 CB138 CB141 CB151 CB144 CB154 CB157 CB160 CB186">
    <cfRule type="cellIs" dxfId="8220" priority="4143" operator="lessThan">
      <formula>0</formula>
    </cfRule>
  </conditionalFormatting>
  <conditionalFormatting sqref="CB187">
    <cfRule type="cellIs" dxfId="8219" priority="4141" operator="lessThan">
      <formula>0</formula>
    </cfRule>
    <cfRule type="cellIs" dxfId="8218" priority="4142" operator="greaterThanOrEqual">
      <formula>0</formula>
    </cfRule>
  </conditionalFormatting>
  <conditionalFormatting sqref="BU172">
    <cfRule type="cellIs" dxfId="8217" priority="4139" operator="greaterThan">
      <formula>0</formula>
    </cfRule>
    <cfRule type="cellIs" dxfId="8216" priority="4140" operator="lessThanOrEqual">
      <formula>0</formula>
    </cfRule>
  </conditionalFormatting>
  <conditionalFormatting sqref="BT172">
    <cfRule type="cellIs" dxfId="8215" priority="4138" operator="greaterThanOrEqual">
      <formula>0</formula>
    </cfRule>
  </conditionalFormatting>
  <conditionalFormatting sqref="BT172">
    <cfRule type="cellIs" dxfId="8214" priority="4137" operator="lessThan">
      <formula>0</formula>
    </cfRule>
  </conditionalFormatting>
  <conditionalFormatting sqref="BX172">
    <cfRule type="cellIs" dxfId="8213" priority="4136" operator="greaterThanOrEqual">
      <formula>0</formula>
    </cfRule>
  </conditionalFormatting>
  <conditionalFormatting sqref="BX172">
    <cfRule type="cellIs" dxfId="8212" priority="4135" operator="lessThan">
      <formula>0</formula>
    </cfRule>
  </conditionalFormatting>
  <conditionalFormatting sqref="CA172">
    <cfRule type="cellIs" dxfId="8211" priority="4134" operator="greaterThanOrEqual">
      <formula>0</formula>
    </cfRule>
  </conditionalFormatting>
  <conditionalFormatting sqref="CA172">
    <cfRule type="cellIs" dxfId="8210" priority="4133" operator="lessThan">
      <formula>0</formula>
    </cfRule>
  </conditionalFormatting>
  <conditionalFormatting sqref="CB172">
    <cfRule type="cellIs" dxfId="8209" priority="4132" operator="greaterThanOrEqual">
      <formula>0</formula>
    </cfRule>
  </conditionalFormatting>
  <conditionalFormatting sqref="CB172">
    <cfRule type="cellIs" dxfId="8208" priority="4131" operator="lessThan">
      <formula>0</formula>
    </cfRule>
  </conditionalFormatting>
  <conditionalFormatting sqref="BT161">
    <cfRule type="cellIs" dxfId="8207" priority="4110" operator="greaterThanOrEqual">
      <formula>0</formula>
    </cfRule>
  </conditionalFormatting>
  <conditionalFormatting sqref="BT161">
    <cfRule type="cellIs" dxfId="8206" priority="4109" operator="lessThan">
      <formula>0</formula>
    </cfRule>
  </conditionalFormatting>
  <conditionalFormatting sqref="BU145">
    <cfRule type="cellIs" dxfId="8205" priority="4129" operator="greaterThan">
      <formula>0</formula>
    </cfRule>
    <cfRule type="cellIs" dxfId="8204" priority="4130" operator="lessThanOrEqual">
      <formula>0</formula>
    </cfRule>
  </conditionalFormatting>
  <conditionalFormatting sqref="BT145">
    <cfRule type="cellIs" dxfId="8203" priority="4128" operator="greaterThanOrEqual">
      <formula>0</formula>
    </cfRule>
  </conditionalFormatting>
  <conditionalFormatting sqref="BT145">
    <cfRule type="cellIs" dxfId="8202" priority="4127" operator="lessThan">
      <formula>0</formula>
    </cfRule>
  </conditionalFormatting>
  <conditionalFormatting sqref="BX145">
    <cfRule type="cellIs" dxfId="8201" priority="4126" operator="greaterThanOrEqual">
      <formula>0</formula>
    </cfRule>
  </conditionalFormatting>
  <conditionalFormatting sqref="BX145">
    <cfRule type="cellIs" dxfId="8200" priority="4125" operator="lessThan">
      <formula>0</formula>
    </cfRule>
  </conditionalFormatting>
  <conditionalFormatting sqref="CA145">
    <cfRule type="cellIs" dxfId="8199" priority="4124" operator="greaterThanOrEqual">
      <formula>0</formula>
    </cfRule>
  </conditionalFormatting>
  <conditionalFormatting sqref="CA145">
    <cfRule type="cellIs" dxfId="8198" priority="4123" operator="lessThan">
      <formula>0</formula>
    </cfRule>
  </conditionalFormatting>
  <conditionalFormatting sqref="BX148">
    <cfRule type="cellIs" dxfId="8197" priority="4116" operator="greaterThanOrEqual">
      <formula>0</formula>
    </cfRule>
  </conditionalFormatting>
  <conditionalFormatting sqref="BX148">
    <cfRule type="cellIs" dxfId="8196" priority="4115" operator="lessThan">
      <formula>0</formula>
    </cfRule>
  </conditionalFormatting>
  <conditionalFormatting sqref="CA164">
    <cfRule type="cellIs" dxfId="8195" priority="4072" operator="greaterThanOrEqual">
      <formula>0</formula>
    </cfRule>
  </conditionalFormatting>
  <conditionalFormatting sqref="CA164">
    <cfRule type="cellIs" dxfId="8194" priority="4071" operator="lessThan">
      <formula>0</formula>
    </cfRule>
  </conditionalFormatting>
  <conditionalFormatting sqref="CA148:CB148">
    <cfRule type="cellIs" dxfId="8193" priority="4114" operator="greaterThanOrEqual">
      <formula>0</formula>
    </cfRule>
  </conditionalFormatting>
  <conditionalFormatting sqref="CA148:CB148">
    <cfRule type="cellIs" dxfId="8192" priority="4113" operator="lessThan">
      <formula>0</formula>
    </cfRule>
  </conditionalFormatting>
  <conditionalFormatting sqref="BU167">
    <cfRule type="cellIs" dxfId="8191" priority="4067" operator="greaterThan">
      <formula>0</formula>
    </cfRule>
    <cfRule type="cellIs" dxfId="8190" priority="4068" operator="lessThanOrEqual">
      <formula>0</formula>
    </cfRule>
  </conditionalFormatting>
  <conditionalFormatting sqref="BT167">
    <cfRule type="cellIs" dxfId="8189" priority="4066" operator="greaterThanOrEqual">
      <formula>0</formula>
    </cfRule>
  </conditionalFormatting>
  <conditionalFormatting sqref="BT167">
    <cfRule type="cellIs" dxfId="8188" priority="4065" operator="lessThan">
      <formula>0</formula>
    </cfRule>
  </conditionalFormatting>
  <conditionalFormatting sqref="BU170">
    <cfRule type="cellIs" dxfId="8187" priority="4057" operator="greaterThan">
      <formula>0</formula>
    </cfRule>
    <cfRule type="cellIs" dxfId="8186" priority="4058" operator="lessThanOrEqual">
      <formula>0</formula>
    </cfRule>
  </conditionalFormatting>
  <conditionalFormatting sqref="BT170">
    <cfRule type="cellIs" dxfId="8185" priority="4056" operator="greaterThanOrEqual">
      <formula>0</formula>
    </cfRule>
  </conditionalFormatting>
  <conditionalFormatting sqref="BT170">
    <cfRule type="cellIs" dxfId="8184" priority="4055" operator="lessThan">
      <formula>0</formula>
    </cfRule>
  </conditionalFormatting>
  <conditionalFormatting sqref="CA171:CB171">
    <cfRule type="cellIs" dxfId="8183" priority="4098" operator="greaterThanOrEqual">
      <formula>0</formula>
    </cfRule>
  </conditionalFormatting>
  <conditionalFormatting sqref="CA171:CB171">
    <cfRule type="cellIs" dxfId="8182" priority="4097" operator="lessThan">
      <formula>0</formula>
    </cfRule>
  </conditionalFormatting>
  <conditionalFormatting sqref="BT179">
    <cfRule type="cellIs" dxfId="8181" priority="4046" operator="greaterThanOrEqual">
      <formula>0</formula>
    </cfRule>
  </conditionalFormatting>
  <conditionalFormatting sqref="BT179">
    <cfRule type="cellIs" dxfId="8180" priority="4045" operator="lessThan">
      <formula>0</formula>
    </cfRule>
  </conditionalFormatting>
  <conditionalFormatting sqref="BU148">
    <cfRule type="cellIs" dxfId="8179" priority="4119" operator="greaterThan">
      <formula>0</formula>
    </cfRule>
    <cfRule type="cellIs" dxfId="8178" priority="4120" operator="lessThanOrEqual">
      <formula>0</formula>
    </cfRule>
  </conditionalFormatting>
  <conditionalFormatting sqref="BT148">
    <cfRule type="cellIs" dxfId="8177" priority="4118" operator="greaterThanOrEqual">
      <formula>0</formula>
    </cfRule>
  </conditionalFormatting>
  <conditionalFormatting sqref="BT148">
    <cfRule type="cellIs" dxfId="8176" priority="4117" operator="lessThan">
      <formula>0</formula>
    </cfRule>
  </conditionalFormatting>
  <conditionalFormatting sqref="BX161">
    <cfRule type="cellIs" dxfId="8175" priority="4108" operator="greaterThanOrEqual">
      <formula>0</formula>
    </cfRule>
  </conditionalFormatting>
  <conditionalFormatting sqref="BX161">
    <cfRule type="cellIs" dxfId="8174" priority="4107" operator="lessThan">
      <formula>0</formula>
    </cfRule>
  </conditionalFormatting>
  <conditionalFormatting sqref="CA161:CB161">
    <cfRule type="cellIs" dxfId="8173" priority="4106" operator="greaterThanOrEqual">
      <formula>0</formula>
    </cfRule>
  </conditionalFormatting>
  <conditionalFormatting sqref="CA161:CB161">
    <cfRule type="cellIs" dxfId="8172" priority="4105" operator="lessThan">
      <formula>0</formula>
    </cfRule>
  </conditionalFormatting>
  <conditionalFormatting sqref="BU161">
    <cfRule type="cellIs" dxfId="8171" priority="4111" operator="greaterThan">
      <formula>0</formula>
    </cfRule>
    <cfRule type="cellIs" dxfId="8170" priority="4112" operator="lessThanOrEqual">
      <formula>0</formula>
    </cfRule>
  </conditionalFormatting>
  <conditionalFormatting sqref="BX171">
    <cfRule type="cellIs" dxfId="8169" priority="4100" operator="greaterThanOrEqual">
      <formula>0</formula>
    </cfRule>
  </conditionalFormatting>
  <conditionalFormatting sqref="BX171">
    <cfRule type="cellIs" dxfId="8168" priority="4099" operator="lessThan">
      <formula>0</formula>
    </cfRule>
  </conditionalFormatting>
  <conditionalFormatting sqref="CB164">
    <cfRule type="cellIs" dxfId="8167" priority="4069" operator="lessThan">
      <formula>0</formula>
    </cfRule>
  </conditionalFormatting>
  <conditionalFormatting sqref="CB170">
    <cfRule type="cellIs" dxfId="8166" priority="4049" operator="lessThan">
      <formula>0</formula>
    </cfRule>
  </conditionalFormatting>
  <conditionalFormatting sqref="BX164">
    <cfRule type="cellIs" dxfId="8165" priority="4074" operator="greaterThanOrEqual">
      <formula>0</formula>
    </cfRule>
  </conditionalFormatting>
  <conditionalFormatting sqref="BX164">
    <cfRule type="cellIs" dxfId="8164" priority="4073" operator="lessThan">
      <formula>0</formula>
    </cfRule>
  </conditionalFormatting>
  <conditionalFormatting sqref="CB164">
    <cfRule type="cellIs" dxfId="8163" priority="4070" operator="greaterThanOrEqual">
      <formula>0</formula>
    </cfRule>
  </conditionalFormatting>
  <conditionalFormatting sqref="CB179">
    <cfRule type="cellIs" dxfId="8162" priority="4039" operator="lessThan">
      <formula>0</formula>
    </cfRule>
  </conditionalFormatting>
  <conditionalFormatting sqref="BU162:BU163 BU165:BU166">
    <cfRule type="cellIs" dxfId="8161" priority="4095" operator="greaterThan">
      <formula>0</formula>
    </cfRule>
    <cfRule type="cellIs" dxfId="8160" priority="4096" operator="lessThanOrEqual">
      <formula>0</formula>
    </cfRule>
  </conditionalFormatting>
  <conditionalFormatting sqref="BT162:BT163 BT165:BT166">
    <cfRule type="cellIs" dxfId="8159" priority="4093" operator="lessThan">
      <formula>0</formula>
    </cfRule>
    <cfRule type="cellIs" dxfId="8158" priority="4094" operator="greaterThanOrEqual">
      <formula>0</formula>
    </cfRule>
  </conditionalFormatting>
  <conditionalFormatting sqref="BX162:BX163 BX165:BX166">
    <cfRule type="cellIs" dxfId="8157" priority="4091" operator="lessThan">
      <formula>0</formula>
    </cfRule>
    <cfRule type="cellIs" dxfId="8156" priority="4092" operator="greaterThanOrEqual">
      <formula>0</formula>
    </cfRule>
  </conditionalFormatting>
  <conditionalFormatting sqref="CA162:CA163 CA165:CA166">
    <cfRule type="cellIs" dxfId="8155" priority="4089" operator="lessThan">
      <formula>0</formula>
    </cfRule>
    <cfRule type="cellIs" dxfId="8154" priority="4090" operator="greaterThanOrEqual">
      <formula>0</formula>
    </cfRule>
  </conditionalFormatting>
  <conditionalFormatting sqref="CB162:CB163 CB165:CB166">
    <cfRule type="cellIs" dxfId="8153" priority="4087" operator="lessThan">
      <formula>0</formula>
    </cfRule>
    <cfRule type="cellIs" dxfId="8152" priority="4088" operator="greaterThanOrEqual">
      <formula>0</formula>
    </cfRule>
  </conditionalFormatting>
  <conditionalFormatting sqref="BX177:BX178 BX180:BX181">
    <cfRule type="cellIs" dxfId="8151" priority="4081" operator="lessThan">
      <formula>0</formula>
    </cfRule>
    <cfRule type="cellIs" dxfId="8150" priority="4082" operator="greaterThanOrEqual">
      <formula>0</formula>
    </cfRule>
  </conditionalFormatting>
  <conditionalFormatting sqref="CA177:CB178 CA180:CB181">
    <cfRule type="cellIs" dxfId="8149" priority="4079" operator="lessThan">
      <formula>0</formula>
    </cfRule>
    <cfRule type="cellIs" dxfId="8148" priority="4080" operator="greaterThanOrEqual">
      <formula>0</formula>
    </cfRule>
  </conditionalFormatting>
  <conditionalFormatting sqref="BU177:BU178 BU180:BU181">
    <cfRule type="cellIs" dxfId="8147" priority="4085" operator="greaterThan">
      <formula>0</formula>
    </cfRule>
    <cfRule type="cellIs" dxfId="8146" priority="4086" operator="lessThanOrEqual">
      <formula>0</formula>
    </cfRule>
  </conditionalFormatting>
  <conditionalFormatting sqref="BT177:BT178 BT180:BT181">
    <cfRule type="cellIs" dxfId="8145" priority="4083" operator="lessThan">
      <formula>0</formula>
    </cfRule>
    <cfRule type="cellIs" dxfId="8144" priority="4084" operator="greaterThanOrEqual">
      <formula>0</formula>
    </cfRule>
  </conditionalFormatting>
  <conditionalFormatting sqref="BU179">
    <cfRule type="cellIs" dxfId="8143" priority="4047" operator="greaterThan">
      <formula>0</formula>
    </cfRule>
    <cfRule type="cellIs" dxfId="8142" priority="4048" operator="lessThanOrEqual">
      <formula>0</formula>
    </cfRule>
  </conditionalFormatting>
  <conditionalFormatting sqref="BT182">
    <cfRule type="cellIs" dxfId="8141" priority="4036" operator="greaterThanOrEqual">
      <formula>0</formula>
    </cfRule>
  </conditionalFormatting>
  <conditionalFormatting sqref="BT182">
    <cfRule type="cellIs" dxfId="8140" priority="4035" operator="lessThan">
      <formula>0</formula>
    </cfRule>
  </conditionalFormatting>
  <conditionalFormatting sqref="BX167">
    <cfRule type="cellIs" dxfId="8139" priority="4064" operator="greaterThanOrEqual">
      <formula>0</formula>
    </cfRule>
  </conditionalFormatting>
  <conditionalFormatting sqref="BX167">
    <cfRule type="cellIs" dxfId="8138" priority="4063" operator="lessThan">
      <formula>0</formula>
    </cfRule>
  </conditionalFormatting>
  <conditionalFormatting sqref="CA167">
    <cfRule type="cellIs" dxfId="8137" priority="4062" operator="greaterThanOrEqual">
      <formula>0</formula>
    </cfRule>
  </conditionalFormatting>
  <conditionalFormatting sqref="CA167">
    <cfRule type="cellIs" dxfId="8136" priority="4061" operator="lessThan">
      <formula>0</formula>
    </cfRule>
  </conditionalFormatting>
  <conditionalFormatting sqref="CB182">
    <cfRule type="cellIs" dxfId="8135" priority="4029" operator="lessThan">
      <formula>0</formula>
    </cfRule>
  </conditionalFormatting>
  <conditionalFormatting sqref="BU182">
    <cfRule type="cellIs" dxfId="8134" priority="4037" operator="greaterThan">
      <formula>0</formula>
    </cfRule>
    <cfRule type="cellIs" dxfId="8133" priority="4038" operator="lessThanOrEqual">
      <formula>0</formula>
    </cfRule>
  </conditionalFormatting>
  <conditionalFormatting sqref="BT185">
    <cfRule type="cellIs" dxfId="8132" priority="4026" operator="greaterThanOrEqual">
      <formula>0</formula>
    </cfRule>
  </conditionalFormatting>
  <conditionalFormatting sqref="BT185">
    <cfRule type="cellIs" dxfId="8131" priority="4025" operator="lessThan">
      <formula>0</formula>
    </cfRule>
  </conditionalFormatting>
  <conditionalFormatting sqref="CA170">
    <cfRule type="cellIs" dxfId="8130" priority="4052" operator="greaterThanOrEqual">
      <formula>0</formula>
    </cfRule>
  </conditionalFormatting>
  <conditionalFormatting sqref="CA170">
    <cfRule type="cellIs" dxfId="8129" priority="4051" operator="lessThan">
      <formula>0</formula>
    </cfRule>
  </conditionalFormatting>
  <conditionalFormatting sqref="CB185">
    <cfRule type="cellIs" dxfId="8128" priority="4019" operator="lessThan">
      <formula>0</formula>
    </cfRule>
  </conditionalFormatting>
  <conditionalFormatting sqref="BX170">
    <cfRule type="cellIs" dxfId="8127" priority="4054" operator="greaterThanOrEqual">
      <formula>0</formula>
    </cfRule>
  </conditionalFormatting>
  <conditionalFormatting sqref="BX170">
    <cfRule type="cellIs" dxfId="8126" priority="4053" operator="lessThan">
      <formula>0</formula>
    </cfRule>
  </conditionalFormatting>
  <conditionalFormatting sqref="CB170">
    <cfRule type="cellIs" dxfId="8125" priority="4050" operator="greaterThanOrEqual">
      <formula>0</formula>
    </cfRule>
  </conditionalFormatting>
  <conditionalFormatting sqref="BU185">
    <cfRule type="cellIs" dxfId="8124" priority="4027" operator="greaterThan">
      <formula>0</formula>
    </cfRule>
    <cfRule type="cellIs" dxfId="8123" priority="4028" operator="lessThanOrEqual">
      <formula>0</formula>
    </cfRule>
  </conditionalFormatting>
  <conditionalFormatting sqref="BX179">
    <cfRule type="cellIs" dxfId="8122" priority="4044" operator="greaterThanOrEqual">
      <formula>0</formula>
    </cfRule>
  </conditionalFormatting>
  <conditionalFormatting sqref="BX179">
    <cfRule type="cellIs" dxfId="8121" priority="4043" operator="lessThan">
      <formula>0</formula>
    </cfRule>
  </conditionalFormatting>
  <conditionalFormatting sqref="CA179">
    <cfRule type="cellIs" dxfId="8120" priority="4042" operator="greaterThanOrEqual">
      <formula>0</formula>
    </cfRule>
  </conditionalFormatting>
  <conditionalFormatting sqref="CA179">
    <cfRule type="cellIs" dxfId="8119" priority="4041" operator="lessThan">
      <formula>0</formula>
    </cfRule>
  </conditionalFormatting>
  <conditionalFormatting sqref="CB179">
    <cfRule type="cellIs" dxfId="8118" priority="4040" operator="greaterThanOrEqual">
      <formula>0</formula>
    </cfRule>
  </conditionalFormatting>
  <conditionalFormatting sqref="CA182">
    <cfRule type="cellIs" dxfId="8117" priority="4032" operator="greaterThanOrEqual">
      <formula>0</formula>
    </cfRule>
  </conditionalFormatting>
  <conditionalFormatting sqref="CA182">
    <cfRule type="cellIs" dxfId="8116" priority="4031" operator="lessThan">
      <formula>0</formula>
    </cfRule>
  </conditionalFormatting>
  <conditionalFormatting sqref="CB182">
    <cfRule type="cellIs" dxfId="8115" priority="4030" operator="greaterThanOrEqual">
      <formula>0</formula>
    </cfRule>
  </conditionalFormatting>
  <conditionalFormatting sqref="CA185">
    <cfRule type="cellIs" dxfId="8114" priority="4022" operator="greaterThanOrEqual">
      <formula>0</formula>
    </cfRule>
  </conditionalFormatting>
  <conditionalFormatting sqref="CA185">
    <cfRule type="cellIs" dxfId="8113" priority="4021" operator="lessThan">
      <formula>0</formula>
    </cfRule>
  </conditionalFormatting>
  <conditionalFormatting sqref="CB185">
    <cfRule type="cellIs" dxfId="8112" priority="4020" operator="greaterThanOrEqual">
      <formula>0</formula>
    </cfRule>
  </conditionalFormatting>
  <conditionalFormatting sqref="BU25">
    <cfRule type="cellIs" dxfId="8111" priority="4017" operator="greaterThan">
      <formula>0</formula>
    </cfRule>
    <cfRule type="cellIs" dxfId="8110" priority="4018" operator="lessThanOrEqual">
      <formula>0</formula>
    </cfRule>
  </conditionalFormatting>
  <conditionalFormatting sqref="CB52">
    <cfRule type="cellIs" dxfId="8109" priority="4005" operator="lessThan">
      <formula>0</formula>
    </cfRule>
  </conditionalFormatting>
  <conditionalFormatting sqref="BU56">
    <cfRule type="cellIs" dxfId="8108" priority="4015" operator="greaterThan">
      <formula>0</formula>
    </cfRule>
    <cfRule type="cellIs" dxfId="8107" priority="4016" operator="lessThanOrEqual">
      <formula>0</formula>
    </cfRule>
  </conditionalFormatting>
  <conditionalFormatting sqref="BT56">
    <cfRule type="cellIs" dxfId="8106" priority="4014" operator="greaterThanOrEqual">
      <formula>0</formula>
    </cfRule>
  </conditionalFormatting>
  <conditionalFormatting sqref="BT56">
    <cfRule type="cellIs" dxfId="8105" priority="4013" operator="lessThan">
      <formula>0</formula>
    </cfRule>
  </conditionalFormatting>
  <conditionalFormatting sqref="BU52">
    <cfRule type="cellIs" dxfId="8104" priority="4011" operator="greaterThan">
      <formula>0</formula>
    </cfRule>
    <cfRule type="cellIs" dxfId="8103" priority="4012" operator="lessThanOrEqual">
      <formula>0</formula>
    </cfRule>
  </conditionalFormatting>
  <conditionalFormatting sqref="BT52">
    <cfRule type="cellIs" dxfId="8102" priority="4010" operator="greaterThanOrEqual">
      <formula>0</formula>
    </cfRule>
  </conditionalFormatting>
  <conditionalFormatting sqref="BT52">
    <cfRule type="cellIs" dxfId="8101" priority="4009" operator="lessThan">
      <formula>0</formula>
    </cfRule>
  </conditionalFormatting>
  <conditionalFormatting sqref="CA52">
    <cfRule type="cellIs" dxfId="8100" priority="4008" operator="greaterThanOrEqual">
      <formula>0</formula>
    </cfRule>
  </conditionalFormatting>
  <conditionalFormatting sqref="CA52">
    <cfRule type="cellIs" dxfId="8099" priority="4007" operator="lessThan">
      <formula>0</formula>
    </cfRule>
  </conditionalFormatting>
  <conditionalFormatting sqref="CB52">
    <cfRule type="cellIs" dxfId="8098" priority="4006" operator="greaterThanOrEqual">
      <formula>0</formula>
    </cfRule>
  </conditionalFormatting>
  <conditionalFormatting sqref="BU69">
    <cfRule type="cellIs" dxfId="8097" priority="4003" operator="greaterThan">
      <formula>0</formula>
    </cfRule>
    <cfRule type="cellIs" dxfId="8096" priority="4004" operator="lessThanOrEqual">
      <formula>0</formula>
    </cfRule>
  </conditionalFormatting>
  <conditionalFormatting sqref="CA69">
    <cfRule type="cellIs" dxfId="8095" priority="4001" operator="lessThan">
      <formula>0</formula>
    </cfRule>
    <cfRule type="cellIs" dxfId="8094" priority="4002" operator="greaterThanOrEqual">
      <formula>0</formula>
    </cfRule>
  </conditionalFormatting>
  <conditionalFormatting sqref="CB69">
    <cfRule type="cellIs" dxfId="8093" priority="3999" operator="lessThan">
      <formula>0</formula>
    </cfRule>
    <cfRule type="cellIs" dxfId="8092" priority="4000" operator="greaterThanOrEqual">
      <formula>0</formula>
    </cfRule>
  </conditionalFormatting>
  <conditionalFormatting sqref="BU70">
    <cfRule type="cellIs" dxfId="8091" priority="3997" operator="greaterThan">
      <formula>0</formula>
    </cfRule>
    <cfRule type="cellIs" dxfId="8090" priority="3998" operator="lessThanOrEqual">
      <formula>0</formula>
    </cfRule>
  </conditionalFormatting>
  <conditionalFormatting sqref="CA72">
    <cfRule type="cellIs" dxfId="8089" priority="3995" operator="lessThan">
      <formula>0</formula>
    </cfRule>
    <cfRule type="cellIs" dxfId="8088" priority="3996" operator="greaterThanOrEqual">
      <formula>0</formula>
    </cfRule>
  </conditionalFormatting>
  <conditionalFormatting sqref="BU72">
    <cfRule type="cellIs" dxfId="8087" priority="3993" operator="greaterThan">
      <formula>0</formula>
    </cfRule>
    <cfRule type="cellIs" dxfId="8086" priority="3994" operator="lessThanOrEqual">
      <formula>0</formula>
    </cfRule>
  </conditionalFormatting>
  <conditionalFormatting sqref="BT25">
    <cfRule type="cellIs" dxfId="8085" priority="3992" operator="greaterThanOrEqual">
      <formula>0</formula>
    </cfRule>
  </conditionalFormatting>
  <conditionalFormatting sqref="BT25">
    <cfRule type="cellIs" dxfId="8084" priority="3991" operator="lessThan">
      <formula>0</formula>
    </cfRule>
  </conditionalFormatting>
  <conditionalFormatting sqref="BT28">
    <cfRule type="cellIs" dxfId="8083" priority="3990" operator="greaterThanOrEqual">
      <formula>0</formula>
    </cfRule>
  </conditionalFormatting>
  <conditionalFormatting sqref="BT28">
    <cfRule type="cellIs" dxfId="8082" priority="3989" operator="lessThan">
      <formula>0</formula>
    </cfRule>
  </conditionalFormatting>
  <conditionalFormatting sqref="BT41">
    <cfRule type="cellIs" dxfId="8081" priority="3988" operator="greaterThanOrEqual">
      <formula>0</formula>
    </cfRule>
  </conditionalFormatting>
  <conditionalFormatting sqref="BT41">
    <cfRule type="cellIs" dxfId="8080" priority="3987" operator="lessThan">
      <formula>0</formula>
    </cfRule>
  </conditionalFormatting>
  <conditionalFormatting sqref="BT44">
    <cfRule type="cellIs" dxfId="8079" priority="3986" operator="greaterThanOrEqual">
      <formula>0</formula>
    </cfRule>
  </conditionalFormatting>
  <conditionalFormatting sqref="BT44">
    <cfRule type="cellIs" dxfId="8078" priority="3985" operator="lessThan">
      <formula>0</formula>
    </cfRule>
  </conditionalFormatting>
  <conditionalFormatting sqref="BT47">
    <cfRule type="cellIs" dxfId="8077" priority="3984" operator="greaterThanOrEqual">
      <formula>0</formula>
    </cfRule>
  </conditionalFormatting>
  <conditionalFormatting sqref="BT47">
    <cfRule type="cellIs" dxfId="8076" priority="3983" operator="lessThan">
      <formula>0</formula>
    </cfRule>
  </conditionalFormatting>
  <conditionalFormatting sqref="BT50">
    <cfRule type="cellIs" dxfId="8075" priority="3982" operator="greaterThanOrEqual">
      <formula>0</formula>
    </cfRule>
  </conditionalFormatting>
  <conditionalFormatting sqref="BT50">
    <cfRule type="cellIs" dxfId="8074" priority="3981" operator="lessThan">
      <formula>0</formula>
    </cfRule>
  </conditionalFormatting>
  <conditionalFormatting sqref="BT51">
    <cfRule type="cellIs" dxfId="8073" priority="3980" operator="greaterThanOrEqual">
      <formula>0</formula>
    </cfRule>
  </conditionalFormatting>
  <conditionalFormatting sqref="BT51">
    <cfRule type="cellIs" dxfId="8072" priority="3979" operator="lessThan">
      <formula>0</formula>
    </cfRule>
  </conditionalFormatting>
  <conditionalFormatting sqref="BT59">
    <cfRule type="cellIs" dxfId="8071" priority="3978" operator="greaterThanOrEqual">
      <formula>0</formula>
    </cfRule>
  </conditionalFormatting>
  <conditionalFormatting sqref="BT59">
    <cfRule type="cellIs" dxfId="8070" priority="3977" operator="lessThan">
      <formula>0</formula>
    </cfRule>
  </conditionalFormatting>
  <conditionalFormatting sqref="BT65">
    <cfRule type="cellIs" dxfId="8069" priority="3976" operator="greaterThanOrEqual">
      <formula>0</formula>
    </cfRule>
  </conditionalFormatting>
  <conditionalFormatting sqref="BT65">
    <cfRule type="cellIs" dxfId="8068" priority="3975" operator="lessThan">
      <formula>0</formula>
    </cfRule>
  </conditionalFormatting>
  <conditionalFormatting sqref="BT66">
    <cfRule type="cellIs" dxfId="8067" priority="3974" operator="greaterThanOrEqual">
      <formula>0</formula>
    </cfRule>
  </conditionalFormatting>
  <conditionalFormatting sqref="BT66">
    <cfRule type="cellIs" dxfId="8066" priority="3973" operator="lessThan">
      <formula>0</formula>
    </cfRule>
  </conditionalFormatting>
  <conditionalFormatting sqref="BT68:BT70">
    <cfRule type="cellIs" dxfId="8065" priority="3971" operator="lessThan">
      <formula>0</formula>
    </cfRule>
    <cfRule type="cellIs" dxfId="8064" priority="3972" operator="greaterThanOrEqual">
      <formula>0</formula>
    </cfRule>
  </conditionalFormatting>
  <conditionalFormatting sqref="BT71:BT72">
    <cfRule type="cellIs" dxfId="8063" priority="3970" operator="greaterThanOrEqual">
      <formula>0</formula>
    </cfRule>
  </conditionalFormatting>
  <conditionalFormatting sqref="BT71:BT72">
    <cfRule type="cellIs" dxfId="8062" priority="3969" operator="lessThan">
      <formula>0</formula>
    </cfRule>
  </conditionalFormatting>
  <conditionalFormatting sqref="BT73">
    <cfRule type="cellIs" dxfId="8061" priority="3968" operator="greaterThanOrEqual">
      <formula>0</formula>
    </cfRule>
  </conditionalFormatting>
  <conditionalFormatting sqref="BT73">
    <cfRule type="cellIs" dxfId="8060" priority="3967" operator="lessThan">
      <formula>0</formula>
    </cfRule>
  </conditionalFormatting>
  <conditionalFormatting sqref="BT42:BT43">
    <cfRule type="cellIs" dxfId="8059" priority="3965" operator="lessThan">
      <formula>0</formula>
    </cfRule>
    <cfRule type="cellIs" dxfId="8058" priority="3966" operator="greaterThanOrEqual">
      <formula>0</formula>
    </cfRule>
  </conditionalFormatting>
  <conditionalFormatting sqref="BT45:BT46">
    <cfRule type="cellIs" dxfId="8057" priority="3963" operator="lessThan">
      <formula>0</formula>
    </cfRule>
    <cfRule type="cellIs" dxfId="8056" priority="3964" operator="greaterThanOrEqual">
      <formula>0</formula>
    </cfRule>
  </conditionalFormatting>
  <conditionalFormatting sqref="BT57:BT58">
    <cfRule type="cellIs" dxfId="8055" priority="3961" operator="lessThan">
      <formula>0</formula>
    </cfRule>
    <cfRule type="cellIs" dxfId="8054" priority="3962" operator="greaterThanOrEqual">
      <formula>0</formula>
    </cfRule>
  </conditionalFormatting>
  <conditionalFormatting sqref="BT60:BT61">
    <cfRule type="cellIs" dxfId="8053" priority="3959" operator="lessThan">
      <formula>0</formula>
    </cfRule>
    <cfRule type="cellIs" dxfId="8052" priority="3960" operator="greaterThanOrEqual">
      <formula>0</formula>
    </cfRule>
  </conditionalFormatting>
  <conditionalFormatting sqref="BT63:BT64">
    <cfRule type="cellIs" dxfId="8051" priority="3957" operator="lessThan">
      <formula>0</formula>
    </cfRule>
    <cfRule type="cellIs" dxfId="8050" priority="3958" operator="greaterThanOrEqual">
      <formula>0</formula>
    </cfRule>
  </conditionalFormatting>
  <conditionalFormatting sqref="BY13:BY14">
    <cfRule type="cellIs" dxfId="8049" priority="3955" operator="greaterThan">
      <formula>0</formula>
    </cfRule>
    <cfRule type="cellIs" dxfId="8048" priority="3956" operator="lessThanOrEqual">
      <formula>0</formula>
    </cfRule>
  </conditionalFormatting>
  <conditionalFormatting sqref="BY16:BY17">
    <cfRule type="cellIs" dxfId="8047" priority="3953" operator="greaterThan">
      <formula>0</formula>
    </cfRule>
    <cfRule type="cellIs" dxfId="8046" priority="3954" operator="lessThanOrEqual">
      <formula>0</formula>
    </cfRule>
  </conditionalFormatting>
  <conditionalFormatting sqref="BY19:BY20">
    <cfRule type="cellIs" dxfId="8045" priority="3951" operator="greaterThan">
      <formula>0</formula>
    </cfRule>
    <cfRule type="cellIs" dxfId="8044" priority="3952" operator="lessThanOrEqual">
      <formula>0</formula>
    </cfRule>
  </conditionalFormatting>
  <conditionalFormatting sqref="BY29:BY30">
    <cfRule type="cellIs" dxfId="8043" priority="3949" operator="greaterThan">
      <formula>0</formula>
    </cfRule>
    <cfRule type="cellIs" dxfId="8042" priority="3950" operator="lessThanOrEqual">
      <formula>0</formula>
    </cfRule>
  </conditionalFormatting>
  <conditionalFormatting sqref="BY22:BY23">
    <cfRule type="cellIs" dxfId="8041" priority="3947" operator="greaterThan">
      <formula>0</formula>
    </cfRule>
    <cfRule type="cellIs" dxfId="8040" priority="3948" operator="lessThanOrEqual">
      <formula>0</formula>
    </cfRule>
  </conditionalFormatting>
  <conditionalFormatting sqref="BY32:BY33">
    <cfRule type="cellIs" dxfId="8039" priority="3945" operator="greaterThan">
      <formula>0</formula>
    </cfRule>
    <cfRule type="cellIs" dxfId="8038" priority="3946" operator="lessThanOrEqual">
      <formula>0</formula>
    </cfRule>
  </conditionalFormatting>
  <conditionalFormatting sqref="BY35:BY36">
    <cfRule type="cellIs" dxfId="8037" priority="3943" operator="greaterThan">
      <formula>0</formula>
    </cfRule>
    <cfRule type="cellIs" dxfId="8036" priority="3944" operator="lessThanOrEqual">
      <formula>0</formula>
    </cfRule>
  </conditionalFormatting>
  <conditionalFormatting sqref="BY38:BY39">
    <cfRule type="cellIs" dxfId="8035" priority="3941" operator="greaterThan">
      <formula>0</formula>
    </cfRule>
    <cfRule type="cellIs" dxfId="8034" priority="3942" operator="lessThanOrEqual">
      <formula>0</formula>
    </cfRule>
  </conditionalFormatting>
  <conditionalFormatting sqref="BY48:BY49">
    <cfRule type="cellIs" dxfId="8033" priority="3939" operator="greaterThan">
      <formula>0</formula>
    </cfRule>
    <cfRule type="cellIs" dxfId="8032" priority="3940" operator="lessThanOrEqual">
      <formula>0</formula>
    </cfRule>
  </conditionalFormatting>
  <conditionalFormatting sqref="BY63:BY64">
    <cfRule type="cellIs" dxfId="8031" priority="3937" operator="greaterThan">
      <formula>0</formula>
    </cfRule>
    <cfRule type="cellIs" dxfId="8030" priority="3938" operator="lessThanOrEqual">
      <formula>0</formula>
    </cfRule>
  </conditionalFormatting>
  <conditionalFormatting sqref="BY53:BY54">
    <cfRule type="cellIs" dxfId="8029" priority="3935" operator="greaterThan">
      <formula>0</formula>
    </cfRule>
    <cfRule type="cellIs" dxfId="8028" priority="3936" operator="lessThanOrEqual">
      <formula>0</formula>
    </cfRule>
  </conditionalFormatting>
  <conditionalFormatting sqref="BY15">
    <cfRule type="cellIs" dxfId="8027" priority="3933" operator="greaterThan">
      <formula>0</formula>
    </cfRule>
    <cfRule type="cellIs" dxfId="8026" priority="3934" operator="lessThanOrEqual">
      <formula>0</formula>
    </cfRule>
  </conditionalFormatting>
  <conditionalFormatting sqref="BY18">
    <cfRule type="cellIs" dxfId="8025" priority="3931" operator="greaterThan">
      <formula>0</formula>
    </cfRule>
    <cfRule type="cellIs" dxfId="8024" priority="3932" operator="lessThanOrEqual">
      <formula>0</formula>
    </cfRule>
  </conditionalFormatting>
  <conditionalFormatting sqref="BY21">
    <cfRule type="cellIs" dxfId="8023" priority="3929" operator="greaterThan">
      <formula>0</formula>
    </cfRule>
    <cfRule type="cellIs" dxfId="8022" priority="3930" operator="lessThanOrEqual">
      <formula>0</formula>
    </cfRule>
  </conditionalFormatting>
  <conditionalFormatting sqref="BY31">
    <cfRule type="cellIs" dxfId="8021" priority="3927" operator="greaterThan">
      <formula>0</formula>
    </cfRule>
    <cfRule type="cellIs" dxfId="8020" priority="3928" operator="lessThanOrEqual">
      <formula>0</formula>
    </cfRule>
  </conditionalFormatting>
  <conditionalFormatting sqref="BY24">
    <cfRule type="cellIs" dxfId="8019" priority="3925" operator="greaterThan">
      <formula>0</formula>
    </cfRule>
    <cfRule type="cellIs" dxfId="8018" priority="3926" operator="lessThanOrEqual">
      <formula>0</formula>
    </cfRule>
  </conditionalFormatting>
  <conditionalFormatting sqref="BY34">
    <cfRule type="cellIs" dxfId="8017" priority="3923" operator="greaterThan">
      <formula>0</formula>
    </cfRule>
    <cfRule type="cellIs" dxfId="8016" priority="3924" operator="lessThanOrEqual">
      <formula>0</formula>
    </cfRule>
  </conditionalFormatting>
  <conditionalFormatting sqref="BY37">
    <cfRule type="cellIs" dxfId="8015" priority="3921" operator="greaterThan">
      <formula>0</formula>
    </cfRule>
    <cfRule type="cellIs" dxfId="8014" priority="3922" operator="lessThanOrEqual">
      <formula>0</formula>
    </cfRule>
  </conditionalFormatting>
  <conditionalFormatting sqref="BY40">
    <cfRule type="cellIs" dxfId="8013" priority="3919" operator="greaterThan">
      <formula>0</formula>
    </cfRule>
    <cfRule type="cellIs" dxfId="8012" priority="3920" operator="lessThanOrEqual">
      <formula>0</formula>
    </cfRule>
  </conditionalFormatting>
  <conditionalFormatting sqref="BY26">
    <cfRule type="cellIs" dxfId="8011" priority="3917" operator="greaterThan">
      <formula>0</formula>
    </cfRule>
    <cfRule type="cellIs" dxfId="8010" priority="3918" operator="lessThanOrEqual">
      <formula>0</formula>
    </cfRule>
  </conditionalFormatting>
  <conditionalFormatting sqref="BY66">
    <cfRule type="cellIs" dxfId="8009" priority="3915" operator="greaterThan">
      <formula>0</formula>
    </cfRule>
    <cfRule type="cellIs" dxfId="8008" priority="3916" operator="lessThanOrEqual">
      <formula>0</formula>
    </cfRule>
  </conditionalFormatting>
  <conditionalFormatting sqref="BX13:BX14 BX16:BX17 BX19:BX20 BX22:BX23 BX29:BX30 BX32:BX33 BX35:BX36 BX38:BX39 BX48:BX49 BX53:BX54">
    <cfRule type="cellIs" dxfId="8007" priority="3913" operator="lessThan">
      <formula>0</formula>
    </cfRule>
    <cfRule type="cellIs" dxfId="8006" priority="3914" operator="greaterThanOrEqual">
      <formula>0</formula>
    </cfRule>
  </conditionalFormatting>
  <conditionalFormatting sqref="BX15 BX18 BX21 BX24 BX26 BX31 BX34 BX37 BX40">
    <cfRule type="cellIs" dxfId="8005" priority="3912" operator="greaterThanOrEqual">
      <formula>0</formula>
    </cfRule>
  </conditionalFormatting>
  <conditionalFormatting sqref="BX15 BX18 BX21 BX24 BX26 BX31 BX34 BX37 BX40">
    <cfRule type="cellIs" dxfId="8004" priority="3911" operator="lessThan">
      <formula>0</formula>
    </cfRule>
  </conditionalFormatting>
  <conditionalFormatting sqref="BY51">
    <cfRule type="cellIs" dxfId="8003" priority="3905" operator="greaterThan">
      <formula>0</formula>
    </cfRule>
    <cfRule type="cellIs" dxfId="8002" priority="3906" operator="lessThanOrEqual">
      <formula>0</formula>
    </cfRule>
  </conditionalFormatting>
  <conditionalFormatting sqref="BY44">
    <cfRule type="cellIs" dxfId="8001" priority="3899" operator="greaterThan">
      <formula>0</formula>
    </cfRule>
    <cfRule type="cellIs" dxfId="8000" priority="3900" operator="lessThanOrEqual">
      <formula>0</formula>
    </cfRule>
  </conditionalFormatting>
  <conditionalFormatting sqref="BY50">
    <cfRule type="cellIs" dxfId="7999" priority="3895" operator="greaterThan">
      <formula>0</formula>
    </cfRule>
    <cfRule type="cellIs" dxfId="7998" priority="3896" operator="lessThanOrEqual">
      <formula>0</formula>
    </cfRule>
  </conditionalFormatting>
  <conditionalFormatting sqref="BY28">
    <cfRule type="cellIs" dxfId="7997" priority="3909" operator="greaterThan">
      <formula>0</formula>
    </cfRule>
    <cfRule type="cellIs" dxfId="7996" priority="3910" operator="lessThanOrEqual">
      <formula>0</formula>
    </cfRule>
  </conditionalFormatting>
  <conditionalFormatting sqref="BY41">
    <cfRule type="cellIs" dxfId="7995" priority="3907" operator="greaterThan">
      <formula>0</formula>
    </cfRule>
    <cfRule type="cellIs" dxfId="7994" priority="3908" operator="lessThanOrEqual">
      <formula>0</formula>
    </cfRule>
  </conditionalFormatting>
  <conditionalFormatting sqref="BY42:BY43 BY45:BY46">
    <cfRule type="cellIs" dxfId="7993" priority="3903" operator="greaterThan">
      <formula>0</formula>
    </cfRule>
    <cfRule type="cellIs" dxfId="7992" priority="3904" operator="lessThanOrEqual">
      <formula>0</formula>
    </cfRule>
  </conditionalFormatting>
  <conditionalFormatting sqref="BY57:BY58 BY60:BY61">
    <cfRule type="cellIs" dxfId="7991" priority="3901" operator="greaterThan">
      <formula>0</formula>
    </cfRule>
    <cfRule type="cellIs" dxfId="7990" priority="3902" operator="lessThanOrEqual">
      <formula>0</formula>
    </cfRule>
  </conditionalFormatting>
  <conditionalFormatting sqref="BY62">
    <cfRule type="cellIs" dxfId="7989" priority="3891" operator="greaterThan">
      <formula>0</formula>
    </cfRule>
    <cfRule type="cellIs" dxfId="7988" priority="3892" operator="lessThanOrEqual">
      <formula>0</formula>
    </cfRule>
  </conditionalFormatting>
  <conditionalFormatting sqref="BY65">
    <cfRule type="cellIs" dxfId="7987" priority="3887" operator="greaterThan">
      <formula>0</formula>
    </cfRule>
    <cfRule type="cellIs" dxfId="7986" priority="3888" operator="lessThanOrEqual">
      <formula>0</formula>
    </cfRule>
  </conditionalFormatting>
  <conditionalFormatting sqref="BY25">
    <cfRule type="cellIs" dxfId="7985" priority="3885" operator="greaterThan">
      <formula>0</formula>
    </cfRule>
    <cfRule type="cellIs" dxfId="7984" priority="3886" operator="lessThanOrEqual">
      <formula>0</formula>
    </cfRule>
  </conditionalFormatting>
  <conditionalFormatting sqref="BY56">
    <cfRule type="cellIs" dxfId="7983" priority="3883" operator="greaterThan">
      <formula>0</formula>
    </cfRule>
    <cfRule type="cellIs" dxfId="7982" priority="3884" operator="lessThanOrEqual">
      <formula>0</formula>
    </cfRule>
  </conditionalFormatting>
  <conditionalFormatting sqref="BX56">
    <cfRule type="cellIs" dxfId="7981" priority="3882" operator="greaterThanOrEqual">
      <formula>0</formula>
    </cfRule>
  </conditionalFormatting>
  <conditionalFormatting sqref="BX56">
    <cfRule type="cellIs" dxfId="7980" priority="3881" operator="lessThan">
      <formula>0</formula>
    </cfRule>
  </conditionalFormatting>
  <conditionalFormatting sqref="BY52">
    <cfRule type="cellIs" dxfId="7979" priority="3879" operator="greaterThan">
      <formula>0</formula>
    </cfRule>
    <cfRule type="cellIs" dxfId="7978" priority="3880" operator="lessThanOrEqual">
      <formula>0</formula>
    </cfRule>
  </conditionalFormatting>
  <conditionalFormatting sqref="BX52">
    <cfRule type="cellIs" dxfId="7977" priority="3878" operator="greaterThanOrEqual">
      <formula>0</formula>
    </cfRule>
  </conditionalFormatting>
  <conditionalFormatting sqref="BX52">
    <cfRule type="cellIs" dxfId="7976" priority="3877" operator="lessThan">
      <formula>0</formula>
    </cfRule>
  </conditionalFormatting>
  <conditionalFormatting sqref="BX25">
    <cfRule type="cellIs" dxfId="7975" priority="3876" operator="greaterThanOrEqual">
      <formula>0</formula>
    </cfRule>
  </conditionalFormatting>
  <conditionalFormatting sqref="BX25">
    <cfRule type="cellIs" dxfId="7974" priority="3875" operator="lessThan">
      <formula>0</formula>
    </cfRule>
  </conditionalFormatting>
  <conditionalFormatting sqref="BX28">
    <cfRule type="cellIs" dxfId="7973" priority="3874" operator="greaterThanOrEqual">
      <formula>0</formula>
    </cfRule>
  </conditionalFormatting>
  <conditionalFormatting sqref="BX28">
    <cfRule type="cellIs" dxfId="7972" priority="3873" operator="lessThan">
      <formula>0</formula>
    </cfRule>
  </conditionalFormatting>
  <conditionalFormatting sqref="BX41">
    <cfRule type="cellIs" dxfId="7971" priority="3872" operator="greaterThanOrEqual">
      <formula>0</formula>
    </cfRule>
  </conditionalFormatting>
  <conditionalFormatting sqref="BX41">
    <cfRule type="cellIs" dxfId="7970" priority="3871" operator="lessThan">
      <formula>0</formula>
    </cfRule>
  </conditionalFormatting>
  <conditionalFormatting sqref="BX44">
    <cfRule type="cellIs" dxfId="7969" priority="3870" operator="greaterThanOrEqual">
      <formula>0</formula>
    </cfRule>
  </conditionalFormatting>
  <conditionalFormatting sqref="BX44">
    <cfRule type="cellIs" dxfId="7968" priority="3869" operator="lessThan">
      <formula>0</formula>
    </cfRule>
  </conditionalFormatting>
  <conditionalFormatting sqref="BX47">
    <cfRule type="cellIs" dxfId="7967" priority="3868" operator="greaterThanOrEqual">
      <formula>0</formula>
    </cfRule>
  </conditionalFormatting>
  <conditionalFormatting sqref="BX47">
    <cfRule type="cellIs" dxfId="7966" priority="3867" operator="lessThan">
      <formula>0</formula>
    </cfRule>
  </conditionalFormatting>
  <conditionalFormatting sqref="BX50">
    <cfRule type="cellIs" dxfId="7965" priority="3866" operator="greaterThanOrEqual">
      <formula>0</formula>
    </cfRule>
  </conditionalFormatting>
  <conditionalFormatting sqref="BX50">
    <cfRule type="cellIs" dxfId="7964" priority="3865" operator="lessThan">
      <formula>0</formula>
    </cfRule>
  </conditionalFormatting>
  <conditionalFormatting sqref="BX51">
    <cfRule type="cellIs" dxfId="7963" priority="3864" operator="greaterThanOrEqual">
      <formula>0</formula>
    </cfRule>
  </conditionalFormatting>
  <conditionalFormatting sqref="BX51">
    <cfRule type="cellIs" dxfId="7962" priority="3863" operator="lessThan">
      <formula>0</formula>
    </cfRule>
  </conditionalFormatting>
  <conditionalFormatting sqref="BX59">
    <cfRule type="cellIs" dxfId="7961" priority="3862" operator="greaterThanOrEqual">
      <formula>0</formula>
    </cfRule>
  </conditionalFormatting>
  <conditionalFormatting sqref="BX59">
    <cfRule type="cellIs" dxfId="7960" priority="3861" operator="lessThan">
      <formula>0</formula>
    </cfRule>
  </conditionalFormatting>
  <conditionalFormatting sqref="BX65">
    <cfRule type="cellIs" dxfId="7959" priority="3860" operator="greaterThanOrEqual">
      <formula>0</formula>
    </cfRule>
  </conditionalFormatting>
  <conditionalFormatting sqref="BX65">
    <cfRule type="cellIs" dxfId="7958" priority="3859" operator="lessThan">
      <formula>0</formula>
    </cfRule>
  </conditionalFormatting>
  <conditionalFormatting sqref="BX66">
    <cfRule type="cellIs" dxfId="7957" priority="3858" operator="greaterThanOrEqual">
      <formula>0</formula>
    </cfRule>
  </conditionalFormatting>
  <conditionalFormatting sqref="BX66">
    <cfRule type="cellIs" dxfId="7956" priority="3857" operator="lessThan">
      <formula>0</formula>
    </cfRule>
  </conditionalFormatting>
  <conditionalFormatting sqref="BX42:BX43">
    <cfRule type="cellIs" dxfId="7955" priority="3855" operator="lessThan">
      <formula>0</formula>
    </cfRule>
    <cfRule type="cellIs" dxfId="7954" priority="3856" operator="greaterThanOrEqual">
      <formula>0</formula>
    </cfRule>
  </conditionalFormatting>
  <conditionalFormatting sqref="BX45:BX46">
    <cfRule type="cellIs" dxfId="7953" priority="3853" operator="lessThan">
      <formula>0</formula>
    </cfRule>
    <cfRule type="cellIs" dxfId="7952" priority="3854" operator="greaterThanOrEqual">
      <formula>0</formula>
    </cfRule>
  </conditionalFormatting>
  <conditionalFormatting sqref="BX57:BX58">
    <cfRule type="cellIs" dxfId="7951" priority="3851" operator="lessThan">
      <formula>0</formula>
    </cfRule>
    <cfRule type="cellIs" dxfId="7950" priority="3852" operator="greaterThanOrEqual">
      <formula>0</formula>
    </cfRule>
  </conditionalFormatting>
  <conditionalFormatting sqref="BX60:BX61">
    <cfRule type="cellIs" dxfId="7949" priority="3849" operator="lessThan">
      <formula>0</formula>
    </cfRule>
    <cfRule type="cellIs" dxfId="7948" priority="3850" operator="greaterThanOrEqual">
      <formula>0</formula>
    </cfRule>
  </conditionalFormatting>
  <conditionalFormatting sqref="BX63:BX64">
    <cfRule type="cellIs" dxfId="7947" priority="3847" operator="lessThan">
      <formula>0</formula>
    </cfRule>
    <cfRule type="cellIs" dxfId="7946" priority="3848" operator="greaterThanOrEqual">
      <formula>0</formula>
    </cfRule>
  </conditionalFormatting>
  <conditionalFormatting sqref="BY68 BY71">
    <cfRule type="cellIs" dxfId="7945" priority="3845" operator="greaterThan">
      <formula>0</formula>
    </cfRule>
    <cfRule type="cellIs" dxfId="7944" priority="3846" operator="lessThanOrEqual">
      <formula>0</formula>
    </cfRule>
  </conditionalFormatting>
  <conditionalFormatting sqref="BY73">
    <cfRule type="cellIs" dxfId="7943" priority="3843" operator="greaterThan">
      <formula>0</formula>
    </cfRule>
    <cfRule type="cellIs" dxfId="7942" priority="3844" operator="lessThanOrEqual">
      <formula>0</formula>
    </cfRule>
  </conditionalFormatting>
  <conditionalFormatting sqref="BY69">
    <cfRule type="cellIs" dxfId="7941" priority="3841" operator="greaterThan">
      <formula>0</formula>
    </cfRule>
    <cfRule type="cellIs" dxfId="7940" priority="3842" operator="lessThanOrEqual">
      <formula>0</formula>
    </cfRule>
  </conditionalFormatting>
  <conditionalFormatting sqref="BY70">
    <cfRule type="cellIs" dxfId="7939" priority="3839" operator="greaterThan">
      <formula>0</formula>
    </cfRule>
    <cfRule type="cellIs" dxfId="7938" priority="3840" operator="lessThanOrEqual">
      <formula>0</formula>
    </cfRule>
  </conditionalFormatting>
  <conditionalFormatting sqref="BY72">
    <cfRule type="cellIs" dxfId="7937" priority="3837" operator="greaterThan">
      <formula>0</formula>
    </cfRule>
    <cfRule type="cellIs" dxfId="7936" priority="3838" operator="lessThanOrEqual">
      <formula>0</formula>
    </cfRule>
  </conditionalFormatting>
  <conditionalFormatting sqref="BX68:BX70">
    <cfRule type="cellIs" dxfId="7935" priority="3835" operator="lessThan">
      <formula>0</formula>
    </cfRule>
    <cfRule type="cellIs" dxfId="7934" priority="3836" operator="greaterThanOrEqual">
      <formula>0</formula>
    </cfRule>
  </conditionalFormatting>
  <conditionalFormatting sqref="BX71:BX72">
    <cfRule type="cellIs" dxfId="7933" priority="3834" operator="greaterThanOrEqual">
      <formula>0</formula>
    </cfRule>
  </conditionalFormatting>
  <conditionalFormatting sqref="BX71:BX72">
    <cfRule type="cellIs" dxfId="7932" priority="3833" operator="lessThan">
      <formula>0</formula>
    </cfRule>
  </conditionalFormatting>
  <conditionalFormatting sqref="BX73">
    <cfRule type="cellIs" dxfId="7931" priority="3832" operator="greaterThanOrEqual">
      <formula>0</formula>
    </cfRule>
  </conditionalFormatting>
  <conditionalFormatting sqref="BX73">
    <cfRule type="cellIs" dxfId="7930" priority="3831" operator="lessThan">
      <formula>0</formula>
    </cfRule>
  </conditionalFormatting>
  <conditionalFormatting sqref="BY67">
    <cfRule type="cellIs" dxfId="7929" priority="3829" operator="greaterThan">
      <formula>0</formula>
    </cfRule>
    <cfRule type="cellIs" dxfId="7928" priority="3830" operator="lessThanOrEqual">
      <formula>0</formula>
    </cfRule>
  </conditionalFormatting>
  <conditionalFormatting sqref="BX67">
    <cfRule type="cellIs" dxfId="7927" priority="3827" operator="greaterThanOrEqual">
      <formula>0</formula>
    </cfRule>
    <cfRule type="cellIs" dxfId="7926" priority="3828" operator="lessThan">
      <formula>0</formula>
    </cfRule>
  </conditionalFormatting>
  <conditionalFormatting sqref="BU51">
    <cfRule type="cellIs" dxfId="7925" priority="3825" operator="greaterThan">
      <formula>0</formula>
    </cfRule>
    <cfRule type="cellIs" dxfId="7924" priority="3826" operator="lessThanOrEqual">
      <formula>0</formula>
    </cfRule>
  </conditionalFormatting>
  <conditionalFormatting sqref="CA42:CA43">
    <cfRule type="cellIs" dxfId="7923" priority="3823" operator="lessThan">
      <formula>0</formula>
    </cfRule>
    <cfRule type="cellIs" dxfId="7922" priority="3824" operator="greaterThanOrEqual">
      <formula>0</formula>
    </cfRule>
  </conditionalFormatting>
  <conditionalFormatting sqref="CA45:CA46">
    <cfRule type="cellIs" dxfId="7921" priority="3821" operator="lessThan">
      <formula>0</formula>
    </cfRule>
    <cfRule type="cellIs" dxfId="7920" priority="3822" operator="greaterThanOrEqual">
      <formula>0</formula>
    </cfRule>
  </conditionalFormatting>
  <conditionalFormatting sqref="CA53:CA54">
    <cfRule type="cellIs" dxfId="7919" priority="3819" operator="lessThan">
      <formula>0</formula>
    </cfRule>
    <cfRule type="cellIs" dxfId="7918" priority="3820" operator="greaterThanOrEqual">
      <formula>0</formula>
    </cfRule>
  </conditionalFormatting>
  <conditionalFormatting sqref="CA57:CA58">
    <cfRule type="cellIs" dxfId="7917" priority="3817" operator="lessThan">
      <formula>0</formula>
    </cfRule>
    <cfRule type="cellIs" dxfId="7916" priority="3818" operator="greaterThanOrEqual">
      <formula>0</formula>
    </cfRule>
  </conditionalFormatting>
  <conditionalFormatting sqref="CA60:CA61">
    <cfRule type="cellIs" dxfId="7915" priority="3815" operator="lessThan">
      <formula>0</formula>
    </cfRule>
    <cfRule type="cellIs" dxfId="7914" priority="3816" operator="greaterThanOrEqual">
      <formula>0</formula>
    </cfRule>
  </conditionalFormatting>
  <conditionalFormatting sqref="CA63:CA64">
    <cfRule type="cellIs" dxfId="7913" priority="3813" operator="lessThan">
      <formula>0</formula>
    </cfRule>
    <cfRule type="cellIs" dxfId="7912" priority="3814" operator="greaterThanOrEqual">
      <formula>0</formula>
    </cfRule>
  </conditionalFormatting>
  <conditionalFormatting sqref="CA25">
    <cfRule type="cellIs" dxfId="7911" priority="3812" operator="greaterThanOrEqual">
      <formula>0</formula>
    </cfRule>
  </conditionalFormatting>
  <conditionalFormatting sqref="CA25">
    <cfRule type="cellIs" dxfId="7910" priority="3811" operator="lessThan">
      <formula>0</formula>
    </cfRule>
  </conditionalFormatting>
  <conditionalFormatting sqref="CA26">
    <cfRule type="cellIs" dxfId="7909" priority="3810" operator="greaterThanOrEqual">
      <formula>0</formula>
    </cfRule>
  </conditionalFormatting>
  <conditionalFormatting sqref="CA26">
    <cfRule type="cellIs" dxfId="7908" priority="3809" operator="lessThan">
      <formula>0</formula>
    </cfRule>
  </conditionalFormatting>
  <conditionalFormatting sqref="CA28">
    <cfRule type="cellIs" dxfId="7907" priority="3808" operator="greaterThanOrEqual">
      <formula>0</formula>
    </cfRule>
  </conditionalFormatting>
  <conditionalFormatting sqref="CA28">
    <cfRule type="cellIs" dxfId="7906" priority="3807" operator="lessThan">
      <formula>0</formula>
    </cfRule>
  </conditionalFormatting>
  <conditionalFormatting sqref="CA41">
    <cfRule type="cellIs" dxfId="7905" priority="3806" operator="greaterThanOrEqual">
      <formula>0</formula>
    </cfRule>
  </conditionalFormatting>
  <conditionalFormatting sqref="CA41">
    <cfRule type="cellIs" dxfId="7904" priority="3805" operator="lessThan">
      <formula>0</formula>
    </cfRule>
  </conditionalFormatting>
  <conditionalFormatting sqref="CA44">
    <cfRule type="cellIs" dxfId="7903" priority="3804" operator="greaterThanOrEqual">
      <formula>0</formula>
    </cfRule>
  </conditionalFormatting>
  <conditionalFormatting sqref="CA44">
    <cfRule type="cellIs" dxfId="7902" priority="3803" operator="lessThan">
      <formula>0</formula>
    </cfRule>
  </conditionalFormatting>
  <conditionalFormatting sqref="CA47">
    <cfRule type="cellIs" dxfId="7901" priority="3802" operator="greaterThanOrEqual">
      <formula>0</formula>
    </cfRule>
  </conditionalFormatting>
  <conditionalFormatting sqref="CA47">
    <cfRule type="cellIs" dxfId="7900" priority="3801" operator="lessThan">
      <formula>0</formula>
    </cfRule>
  </conditionalFormatting>
  <conditionalFormatting sqref="CA50">
    <cfRule type="cellIs" dxfId="7899" priority="3800" operator="greaterThanOrEqual">
      <formula>0</formula>
    </cfRule>
  </conditionalFormatting>
  <conditionalFormatting sqref="CA50">
    <cfRule type="cellIs" dxfId="7898" priority="3799" operator="lessThan">
      <formula>0</formula>
    </cfRule>
  </conditionalFormatting>
  <conditionalFormatting sqref="CA51">
    <cfRule type="cellIs" dxfId="7897" priority="3798" operator="greaterThanOrEqual">
      <formula>0</formula>
    </cfRule>
  </conditionalFormatting>
  <conditionalFormatting sqref="CA51">
    <cfRule type="cellIs" dxfId="7896" priority="3797" operator="lessThan">
      <formula>0</formula>
    </cfRule>
  </conditionalFormatting>
  <conditionalFormatting sqref="CA59">
    <cfRule type="cellIs" dxfId="7895" priority="3796" operator="greaterThanOrEqual">
      <formula>0</formula>
    </cfRule>
  </conditionalFormatting>
  <conditionalFormatting sqref="CA59">
    <cfRule type="cellIs" dxfId="7894" priority="3795" operator="lessThan">
      <formula>0</formula>
    </cfRule>
  </conditionalFormatting>
  <conditionalFormatting sqref="CA62">
    <cfRule type="cellIs" dxfId="7893" priority="3794" operator="greaterThanOrEqual">
      <formula>0</formula>
    </cfRule>
  </conditionalFormatting>
  <conditionalFormatting sqref="CA62">
    <cfRule type="cellIs" dxfId="7892" priority="3793" operator="lessThan">
      <formula>0</formula>
    </cfRule>
  </conditionalFormatting>
  <conditionalFormatting sqref="CA65">
    <cfRule type="cellIs" dxfId="7891" priority="3792" operator="greaterThanOrEqual">
      <formula>0</formula>
    </cfRule>
  </conditionalFormatting>
  <conditionalFormatting sqref="CA65">
    <cfRule type="cellIs" dxfId="7890" priority="3791" operator="lessThan">
      <formula>0</formula>
    </cfRule>
  </conditionalFormatting>
  <conditionalFormatting sqref="CA56">
    <cfRule type="cellIs" dxfId="7889" priority="3790" operator="greaterThanOrEqual">
      <formula>0</formula>
    </cfRule>
  </conditionalFormatting>
  <conditionalFormatting sqref="CA56">
    <cfRule type="cellIs" dxfId="7888" priority="3789" operator="lessThan">
      <formula>0</formula>
    </cfRule>
  </conditionalFormatting>
  <conditionalFormatting sqref="CA66">
    <cfRule type="cellIs" dxfId="7887" priority="3788" operator="greaterThanOrEqual">
      <formula>0</formula>
    </cfRule>
  </conditionalFormatting>
  <conditionalFormatting sqref="CA66">
    <cfRule type="cellIs" dxfId="7886" priority="3787" operator="lessThan">
      <formula>0</formula>
    </cfRule>
  </conditionalFormatting>
  <conditionalFormatting sqref="CB16:CB17">
    <cfRule type="cellIs" dxfId="7885" priority="3785" operator="greaterThan">
      <formula>0</formula>
    </cfRule>
    <cfRule type="cellIs" dxfId="7884" priority="3786" operator="lessThanOrEqual">
      <formula>0</formula>
    </cfRule>
  </conditionalFormatting>
  <conditionalFormatting sqref="CB19:CB20">
    <cfRule type="cellIs" dxfId="7883" priority="3783" operator="greaterThan">
      <formula>0</formula>
    </cfRule>
    <cfRule type="cellIs" dxfId="7882" priority="3784" operator="lessThanOrEqual">
      <formula>0</formula>
    </cfRule>
  </conditionalFormatting>
  <conditionalFormatting sqref="CB22:CB23">
    <cfRule type="cellIs" dxfId="7881" priority="3781" operator="greaterThan">
      <formula>0</formula>
    </cfRule>
    <cfRule type="cellIs" dxfId="7880" priority="3782" operator="lessThanOrEqual">
      <formula>0</formula>
    </cfRule>
  </conditionalFormatting>
  <conditionalFormatting sqref="CB29:CB30">
    <cfRule type="cellIs" dxfId="7879" priority="3779" operator="greaterThan">
      <formula>0</formula>
    </cfRule>
    <cfRule type="cellIs" dxfId="7878" priority="3780" operator="lessThanOrEqual">
      <formula>0</formula>
    </cfRule>
  </conditionalFormatting>
  <conditionalFormatting sqref="CB32:CB33">
    <cfRule type="cellIs" dxfId="7877" priority="3777" operator="greaterThan">
      <formula>0</formula>
    </cfRule>
    <cfRule type="cellIs" dxfId="7876" priority="3778" operator="lessThanOrEqual">
      <formula>0</formula>
    </cfRule>
  </conditionalFormatting>
  <conditionalFormatting sqref="CB35:CB36">
    <cfRule type="cellIs" dxfId="7875" priority="3775" operator="greaterThan">
      <formula>0</formula>
    </cfRule>
    <cfRule type="cellIs" dxfId="7874" priority="3776" operator="lessThanOrEqual">
      <formula>0</formula>
    </cfRule>
  </conditionalFormatting>
  <conditionalFormatting sqref="CB38:CB39">
    <cfRule type="cellIs" dxfId="7873" priority="3773" operator="greaterThan">
      <formula>0</formula>
    </cfRule>
    <cfRule type="cellIs" dxfId="7872" priority="3774" operator="lessThanOrEqual">
      <formula>0</formula>
    </cfRule>
  </conditionalFormatting>
  <conditionalFormatting sqref="CB42:CB43">
    <cfRule type="cellIs" dxfId="7871" priority="3771" operator="greaterThan">
      <formula>0</formula>
    </cfRule>
    <cfRule type="cellIs" dxfId="7870" priority="3772" operator="lessThanOrEqual">
      <formula>0</formula>
    </cfRule>
  </conditionalFormatting>
  <conditionalFormatting sqref="CB45:CB46">
    <cfRule type="cellIs" dxfId="7869" priority="3769" operator="greaterThan">
      <formula>0</formula>
    </cfRule>
    <cfRule type="cellIs" dxfId="7868" priority="3770" operator="lessThanOrEqual">
      <formula>0</formula>
    </cfRule>
  </conditionalFormatting>
  <conditionalFormatting sqref="CB48:CB49">
    <cfRule type="cellIs" dxfId="7867" priority="3767" operator="greaterThan">
      <formula>0</formula>
    </cfRule>
    <cfRule type="cellIs" dxfId="7866" priority="3768" operator="lessThanOrEqual">
      <formula>0</formula>
    </cfRule>
  </conditionalFormatting>
  <conditionalFormatting sqref="CB53:CB54">
    <cfRule type="cellIs" dxfId="7865" priority="3765" operator="greaterThan">
      <formula>0</formula>
    </cfRule>
    <cfRule type="cellIs" dxfId="7864" priority="3766" operator="lessThanOrEqual">
      <formula>0</formula>
    </cfRule>
  </conditionalFormatting>
  <conditionalFormatting sqref="CB57:CB58">
    <cfRule type="cellIs" dxfId="7863" priority="3763" operator="greaterThan">
      <formula>0</formula>
    </cfRule>
    <cfRule type="cellIs" dxfId="7862" priority="3764" operator="lessThanOrEqual">
      <formula>0</formula>
    </cfRule>
  </conditionalFormatting>
  <conditionalFormatting sqref="CB60:CB61">
    <cfRule type="cellIs" dxfId="7861" priority="3761" operator="greaterThan">
      <formula>0</formula>
    </cfRule>
    <cfRule type="cellIs" dxfId="7860" priority="3762" operator="lessThanOrEqual">
      <formula>0</formula>
    </cfRule>
  </conditionalFormatting>
  <conditionalFormatting sqref="CB63:CB64">
    <cfRule type="cellIs" dxfId="7859" priority="3759" operator="greaterThan">
      <formula>0</formula>
    </cfRule>
    <cfRule type="cellIs" dxfId="7858" priority="3760" operator="lessThanOrEqual">
      <formula>0</formula>
    </cfRule>
  </conditionalFormatting>
  <conditionalFormatting sqref="CB25">
    <cfRule type="cellIs" dxfId="7857" priority="3758" operator="greaterThanOrEqual">
      <formula>0</formula>
    </cfRule>
  </conditionalFormatting>
  <conditionalFormatting sqref="CB25">
    <cfRule type="cellIs" dxfId="7856" priority="3757" operator="lessThan">
      <formula>0</formula>
    </cfRule>
  </conditionalFormatting>
  <conditionalFormatting sqref="CB26">
    <cfRule type="cellIs" dxfId="7855" priority="3756" operator="greaterThanOrEqual">
      <formula>0</formula>
    </cfRule>
  </conditionalFormatting>
  <conditionalFormatting sqref="CB26">
    <cfRule type="cellIs" dxfId="7854" priority="3755" operator="lessThan">
      <formula>0</formula>
    </cfRule>
  </conditionalFormatting>
  <conditionalFormatting sqref="CB28">
    <cfRule type="cellIs" dxfId="7853" priority="3754" operator="greaterThanOrEqual">
      <formula>0</formula>
    </cfRule>
  </conditionalFormatting>
  <conditionalFormatting sqref="CB28">
    <cfRule type="cellIs" dxfId="7852" priority="3753" operator="lessThan">
      <formula>0</formula>
    </cfRule>
  </conditionalFormatting>
  <conditionalFormatting sqref="CB41">
    <cfRule type="cellIs" dxfId="7851" priority="3752" operator="greaterThanOrEqual">
      <formula>0</formula>
    </cfRule>
  </conditionalFormatting>
  <conditionalFormatting sqref="CB41">
    <cfRule type="cellIs" dxfId="7850" priority="3751" operator="lessThan">
      <formula>0</formula>
    </cfRule>
  </conditionalFormatting>
  <conditionalFormatting sqref="CB44">
    <cfRule type="cellIs" dxfId="7849" priority="3750" operator="greaterThanOrEqual">
      <formula>0</formula>
    </cfRule>
  </conditionalFormatting>
  <conditionalFormatting sqref="CB44">
    <cfRule type="cellIs" dxfId="7848" priority="3749" operator="lessThan">
      <formula>0</formula>
    </cfRule>
  </conditionalFormatting>
  <conditionalFormatting sqref="CB47">
    <cfRule type="cellIs" dxfId="7847" priority="3748" operator="greaterThanOrEqual">
      <formula>0</formula>
    </cfRule>
  </conditionalFormatting>
  <conditionalFormatting sqref="CB47">
    <cfRule type="cellIs" dxfId="7846" priority="3747" operator="lessThan">
      <formula>0</formula>
    </cfRule>
  </conditionalFormatting>
  <conditionalFormatting sqref="CB50">
    <cfRule type="cellIs" dxfId="7845" priority="3746" operator="greaterThanOrEqual">
      <formula>0</formula>
    </cfRule>
  </conditionalFormatting>
  <conditionalFormatting sqref="CB50">
    <cfRule type="cellIs" dxfId="7844" priority="3745" operator="lessThan">
      <formula>0</formula>
    </cfRule>
  </conditionalFormatting>
  <conditionalFormatting sqref="CB51">
    <cfRule type="cellIs" dxfId="7843" priority="3744" operator="greaterThanOrEqual">
      <formula>0</formula>
    </cfRule>
  </conditionalFormatting>
  <conditionalFormatting sqref="CB51">
    <cfRule type="cellIs" dxfId="7842" priority="3743" operator="lessThan">
      <formula>0</formula>
    </cfRule>
  </conditionalFormatting>
  <conditionalFormatting sqref="BX107">
    <cfRule type="cellIs" dxfId="7841" priority="3510" operator="greaterThanOrEqual">
      <formula>0</formula>
    </cfRule>
  </conditionalFormatting>
  <conditionalFormatting sqref="BX107">
    <cfRule type="cellIs" dxfId="7840" priority="3509" operator="lessThan">
      <formula>0</formula>
    </cfRule>
  </conditionalFormatting>
  <conditionalFormatting sqref="CB59">
    <cfRule type="cellIs" dxfId="7839" priority="3742" operator="greaterThanOrEqual">
      <formula>0</formula>
    </cfRule>
  </conditionalFormatting>
  <conditionalFormatting sqref="CB59">
    <cfRule type="cellIs" dxfId="7838" priority="3741" operator="lessThan">
      <formula>0</formula>
    </cfRule>
  </conditionalFormatting>
  <conditionalFormatting sqref="CB62">
    <cfRule type="cellIs" dxfId="7837" priority="3740" operator="greaterThanOrEqual">
      <formula>0</formula>
    </cfRule>
  </conditionalFormatting>
  <conditionalFormatting sqref="CB62">
    <cfRule type="cellIs" dxfId="7836" priority="3739" operator="lessThan">
      <formula>0</formula>
    </cfRule>
  </conditionalFormatting>
  <conditionalFormatting sqref="CB65">
    <cfRule type="cellIs" dxfId="7835" priority="3738" operator="greaterThanOrEqual">
      <formula>0</formula>
    </cfRule>
  </conditionalFormatting>
  <conditionalFormatting sqref="CB65">
    <cfRule type="cellIs" dxfId="7834" priority="3737" operator="lessThan">
      <formula>0</formula>
    </cfRule>
  </conditionalFormatting>
  <conditionalFormatting sqref="CB56">
    <cfRule type="cellIs" dxfId="7833" priority="3735" operator="lessThan">
      <formula>0</formula>
    </cfRule>
  </conditionalFormatting>
  <conditionalFormatting sqref="CB56">
    <cfRule type="cellIs" dxfId="7832" priority="3736" operator="greaterThanOrEqual">
      <formula>0</formula>
    </cfRule>
  </conditionalFormatting>
  <conditionalFormatting sqref="CB66">
    <cfRule type="cellIs" dxfId="7831" priority="3733" operator="lessThan">
      <formula>0</formula>
    </cfRule>
  </conditionalFormatting>
  <conditionalFormatting sqref="CB66">
    <cfRule type="cellIs" dxfId="7830" priority="3734" operator="greaterThanOrEqual">
      <formula>0</formula>
    </cfRule>
  </conditionalFormatting>
  <conditionalFormatting sqref="CA70">
    <cfRule type="cellIs" dxfId="7829" priority="3731" operator="lessThan">
      <formula>0</formula>
    </cfRule>
    <cfRule type="cellIs" dxfId="7828" priority="3732" operator="greaterThanOrEqual">
      <formula>0</formula>
    </cfRule>
  </conditionalFormatting>
  <conditionalFormatting sqref="CB70">
    <cfRule type="cellIs" dxfId="7827" priority="3729" operator="lessThan">
      <formula>0</formula>
    </cfRule>
    <cfRule type="cellIs" dxfId="7826" priority="3730" operator="greaterThanOrEqual">
      <formula>0</formula>
    </cfRule>
  </conditionalFormatting>
  <conditionalFormatting sqref="CB72">
    <cfRule type="cellIs" dxfId="7825" priority="3727" operator="lessThan">
      <formula>0</formula>
    </cfRule>
    <cfRule type="cellIs" dxfId="7824" priority="3728" operator="greaterThanOrEqual">
      <formula>0</formula>
    </cfRule>
  </conditionalFormatting>
  <conditionalFormatting sqref="CB123:CB124">
    <cfRule type="cellIs" dxfId="7823" priority="3399" operator="greaterThan">
      <formula>0</formula>
    </cfRule>
    <cfRule type="cellIs" dxfId="7822" priority="3400" operator="lessThanOrEqual">
      <formula>0</formula>
    </cfRule>
  </conditionalFormatting>
  <conditionalFormatting sqref="CB119">
    <cfRule type="cellIs" dxfId="7821" priority="3374" operator="greaterThanOrEqual">
      <formula>0</formula>
    </cfRule>
  </conditionalFormatting>
  <conditionalFormatting sqref="CB119">
    <cfRule type="cellIs" dxfId="7820" priority="3373" operator="lessThan">
      <formula>0</formula>
    </cfRule>
  </conditionalFormatting>
  <conditionalFormatting sqref="CB129">
    <cfRule type="cellIs" dxfId="7819" priority="3372" operator="greaterThanOrEqual">
      <formula>0</formula>
    </cfRule>
  </conditionalFormatting>
  <conditionalFormatting sqref="CB129">
    <cfRule type="cellIs" dxfId="7818" priority="3371" operator="lessThan">
      <formula>0</formula>
    </cfRule>
  </conditionalFormatting>
  <conditionalFormatting sqref="CB118">
    <cfRule type="cellIs" dxfId="7817" priority="3368" operator="greaterThanOrEqual">
      <formula>0</formula>
    </cfRule>
  </conditionalFormatting>
  <conditionalFormatting sqref="CB118">
    <cfRule type="cellIs" dxfId="7816" priority="3367" operator="lessThan">
      <formula>0</formula>
    </cfRule>
  </conditionalFormatting>
  <conditionalFormatting sqref="CA76:CA77 CA79:CA80 CA82:CA83 CA85:CA86 CA92:CA93 CA95:CA96 CA98:CA99 CA101:CA102 CA111:CA112">
    <cfRule type="cellIs" dxfId="7815" priority="3477" operator="lessThan">
      <formula>0</formula>
    </cfRule>
    <cfRule type="cellIs" dxfId="7814" priority="3478" operator="greaterThanOrEqual">
      <formula>0</formula>
    </cfRule>
  </conditionalFormatting>
  <conditionalFormatting sqref="BY95:BY96">
    <cfRule type="cellIs" dxfId="7813" priority="3585" operator="greaterThan">
      <formula>0</formula>
    </cfRule>
    <cfRule type="cellIs" dxfId="7812" priority="3586" operator="lessThanOrEqual">
      <formula>0</formula>
    </cfRule>
  </conditionalFormatting>
  <conditionalFormatting sqref="CA107">
    <cfRule type="cellIs" dxfId="7811" priority="3442" operator="greaterThanOrEqual">
      <formula>0</formula>
    </cfRule>
  </conditionalFormatting>
  <conditionalFormatting sqref="CA107">
    <cfRule type="cellIs" dxfId="7810" priority="3441" operator="lessThan">
      <formula>0</formula>
    </cfRule>
  </conditionalFormatting>
  <conditionalFormatting sqref="CB113">
    <cfRule type="cellIs" dxfId="7809" priority="3384" operator="greaterThanOrEqual">
      <formula>0</formula>
    </cfRule>
  </conditionalFormatting>
  <conditionalFormatting sqref="CB113">
    <cfRule type="cellIs" dxfId="7808" priority="3383" operator="lessThan">
      <formula>0</formula>
    </cfRule>
  </conditionalFormatting>
  <conditionalFormatting sqref="CA114">
    <cfRule type="cellIs" dxfId="7807" priority="3436" operator="greaterThanOrEqual">
      <formula>0</formula>
    </cfRule>
  </conditionalFormatting>
  <conditionalFormatting sqref="CA114">
    <cfRule type="cellIs" dxfId="7806" priority="3435" operator="lessThan">
      <formula>0</formula>
    </cfRule>
  </conditionalFormatting>
  <conditionalFormatting sqref="CB125">
    <cfRule type="cellIs" dxfId="7805" priority="3377" operator="lessThan">
      <formula>0</formula>
    </cfRule>
  </conditionalFormatting>
  <conditionalFormatting sqref="CB125">
    <cfRule type="cellIs" dxfId="7804" priority="3378" operator="greaterThanOrEqual">
      <formula>0</formula>
    </cfRule>
  </conditionalFormatting>
  <conditionalFormatting sqref="BT55">
    <cfRule type="cellIs" dxfId="7803" priority="3726" operator="greaterThanOrEqual">
      <formula>0</formula>
    </cfRule>
  </conditionalFormatting>
  <conditionalFormatting sqref="BT55">
    <cfRule type="cellIs" dxfId="7802" priority="3725" operator="lessThan">
      <formula>0</formula>
    </cfRule>
  </conditionalFormatting>
  <conditionalFormatting sqref="BY55">
    <cfRule type="cellIs" dxfId="7801" priority="3723" operator="greaterThan">
      <formula>0</formula>
    </cfRule>
    <cfRule type="cellIs" dxfId="7800" priority="3724" operator="lessThanOrEqual">
      <formula>0</formula>
    </cfRule>
  </conditionalFormatting>
  <conditionalFormatting sqref="BX55">
    <cfRule type="cellIs" dxfId="7799" priority="3722" operator="greaterThanOrEqual">
      <formula>0</formula>
    </cfRule>
  </conditionalFormatting>
  <conditionalFormatting sqref="BX55">
    <cfRule type="cellIs" dxfId="7798" priority="3721" operator="lessThan">
      <formula>0</formula>
    </cfRule>
  </conditionalFormatting>
  <conditionalFormatting sqref="BU55">
    <cfRule type="cellIs" dxfId="7797" priority="3719" operator="greaterThan">
      <formula>0</formula>
    </cfRule>
    <cfRule type="cellIs" dxfId="7796" priority="3720" operator="lessThanOrEqual">
      <formula>0</formula>
    </cfRule>
  </conditionalFormatting>
  <conditionalFormatting sqref="CA55">
    <cfRule type="cellIs" dxfId="7795" priority="3718" operator="greaterThanOrEqual">
      <formula>0</formula>
    </cfRule>
  </conditionalFormatting>
  <conditionalFormatting sqref="CA55">
    <cfRule type="cellIs" dxfId="7794" priority="3717" operator="lessThan">
      <formula>0</formula>
    </cfRule>
  </conditionalFormatting>
  <conditionalFormatting sqref="CB55">
    <cfRule type="cellIs" dxfId="7793" priority="3716" operator="greaterThanOrEqual">
      <formula>0</formula>
    </cfRule>
  </conditionalFormatting>
  <conditionalFormatting sqref="CB55">
    <cfRule type="cellIs" dxfId="7792" priority="3715" operator="lessThan">
      <formula>0</formula>
    </cfRule>
  </conditionalFormatting>
  <conditionalFormatting sqref="CB128">
    <cfRule type="cellIs" dxfId="7791" priority="3376" operator="greaterThanOrEqual">
      <formula>0</formula>
    </cfRule>
  </conditionalFormatting>
  <conditionalFormatting sqref="CB128">
    <cfRule type="cellIs" dxfId="7790" priority="3375" operator="lessThan">
      <formula>0</formula>
    </cfRule>
  </conditionalFormatting>
  <conditionalFormatting sqref="BU76:BU77">
    <cfRule type="cellIs" dxfId="7789" priority="3713" operator="greaterThan">
      <formula>0</formula>
    </cfRule>
    <cfRule type="cellIs" dxfId="7788" priority="3714" operator="lessThanOrEqual">
      <formula>0</formula>
    </cfRule>
  </conditionalFormatting>
  <conditionalFormatting sqref="BU79:BU80">
    <cfRule type="cellIs" dxfId="7787" priority="3711" operator="greaterThan">
      <formula>0</formula>
    </cfRule>
    <cfRule type="cellIs" dxfId="7786" priority="3712" operator="lessThanOrEqual">
      <formula>0</formula>
    </cfRule>
  </conditionalFormatting>
  <conditionalFormatting sqref="BU82:BU83">
    <cfRule type="cellIs" dxfId="7785" priority="3709" operator="greaterThan">
      <formula>0</formula>
    </cfRule>
    <cfRule type="cellIs" dxfId="7784" priority="3710" operator="lessThanOrEqual">
      <formula>0</formula>
    </cfRule>
  </conditionalFormatting>
  <conditionalFormatting sqref="BU92:BU93">
    <cfRule type="cellIs" dxfId="7783" priority="3707" operator="greaterThan">
      <formula>0</formula>
    </cfRule>
    <cfRule type="cellIs" dxfId="7782" priority="3708" operator="lessThanOrEqual">
      <formula>0</formula>
    </cfRule>
  </conditionalFormatting>
  <conditionalFormatting sqref="BU85:BU86">
    <cfRule type="cellIs" dxfId="7781" priority="3705" operator="greaterThan">
      <formula>0</formula>
    </cfRule>
    <cfRule type="cellIs" dxfId="7780" priority="3706" operator="lessThanOrEqual">
      <formula>0</formula>
    </cfRule>
  </conditionalFormatting>
  <conditionalFormatting sqref="BU95:BU96">
    <cfRule type="cellIs" dxfId="7779" priority="3703" operator="greaterThan">
      <formula>0</formula>
    </cfRule>
    <cfRule type="cellIs" dxfId="7778" priority="3704" operator="lessThanOrEqual">
      <formula>0</formula>
    </cfRule>
  </conditionalFormatting>
  <conditionalFormatting sqref="BU98:BU99">
    <cfRule type="cellIs" dxfId="7777" priority="3701" operator="greaterThan">
      <formula>0</formula>
    </cfRule>
    <cfRule type="cellIs" dxfId="7776" priority="3702" operator="lessThanOrEqual">
      <formula>0</formula>
    </cfRule>
  </conditionalFormatting>
  <conditionalFormatting sqref="BU101:BU102">
    <cfRule type="cellIs" dxfId="7775" priority="3699" operator="greaterThan">
      <formula>0</formula>
    </cfRule>
    <cfRule type="cellIs" dxfId="7774" priority="3700" operator="lessThanOrEqual">
      <formula>0</formula>
    </cfRule>
  </conditionalFormatting>
  <conditionalFormatting sqref="BU111:BU112">
    <cfRule type="cellIs" dxfId="7773" priority="3697" operator="greaterThan">
      <formula>0</formula>
    </cfRule>
    <cfRule type="cellIs" dxfId="7772" priority="3698" operator="lessThanOrEqual">
      <formula>0</formula>
    </cfRule>
  </conditionalFormatting>
  <conditionalFormatting sqref="BU126:BU127">
    <cfRule type="cellIs" dxfId="7771" priority="3695" operator="greaterThan">
      <formula>0</formula>
    </cfRule>
    <cfRule type="cellIs" dxfId="7770" priority="3696" operator="lessThanOrEqual">
      <formula>0</formula>
    </cfRule>
  </conditionalFormatting>
  <conditionalFormatting sqref="BU116:BU117">
    <cfRule type="cellIs" dxfId="7769" priority="3693" operator="greaterThan">
      <formula>0</formula>
    </cfRule>
    <cfRule type="cellIs" dxfId="7768" priority="3694" operator="lessThanOrEqual">
      <formula>0</formula>
    </cfRule>
  </conditionalFormatting>
  <conditionalFormatting sqref="BU78">
    <cfRule type="cellIs" dxfId="7767" priority="3691" operator="greaterThan">
      <formula>0</formula>
    </cfRule>
    <cfRule type="cellIs" dxfId="7766" priority="3692" operator="lessThanOrEqual">
      <formula>0</formula>
    </cfRule>
  </conditionalFormatting>
  <conditionalFormatting sqref="BU81">
    <cfRule type="cellIs" dxfId="7765" priority="3689" operator="greaterThan">
      <formula>0</formula>
    </cfRule>
    <cfRule type="cellIs" dxfId="7764" priority="3690" operator="lessThanOrEqual">
      <formula>0</formula>
    </cfRule>
  </conditionalFormatting>
  <conditionalFormatting sqref="BU84">
    <cfRule type="cellIs" dxfId="7763" priority="3687" operator="greaterThan">
      <formula>0</formula>
    </cfRule>
    <cfRule type="cellIs" dxfId="7762" priority="3688" operator="lessThanOrEqual">
      <formula>0</formula>
    </cfRule>
  </conditionalFormatting>
  <conditionalFormatting sqref="BU94">
    <cfRule type="cellIs" dxfId="7761" priority="3685" operator="greaterThan">
      <formula>0</formula>
    </cfRule>
    <cfRule type="cellIs" dxfId="7760" priority="3686" operator="lessThanOrEqual">
      <formula>0</formula>
    </cfRule>
  </conditionalFormatting>
  <conditionalFormatting sqref="BU87">
    <cfRule type="cellIs" dxfId="7759" priority="3683" operator="greaterThan">
      <formula>0</formula>
    </cfRule>
    <cfRule type="cellIs" dxfId="7758" priority="3684" operator="lessThanOrEqual">
      <formula>0</formula>
    </cfRule>
  </conditionalFormatting>
  <conditionalFormatting sqref="BU97">
    <cfRule type="cellIs" dxfId="7757" priority="3681" operator="greaterThan">
      <formula>0</formula>
    </cfRule>
    <cfRule type="cellIs" dxfId="7756" priority="3682" operator="lessThanOrEqual">
      <formula>0</formula>
    </cfRule>
  </conditionalFormatting>
  <conditionalFormatting sqref="BU100">
    <cfRule type="cellIs" dxfId="7755" priority="3679" operator="greaterThan">
      <formula>0</formula>
    </cfRule>
    <cfRule type="cellIs" dxfId="7754" priority="3680" operator="lessThanOrEqual">
      <formula>0</formula>
    </cfRule>
  </conditionalFormatting>
  <conditionalFormatting sqref="BU103">
    <cfRule type="cellIs" dxfId="7753" priority="3677" operator="greaterThan">
      <formula>0</formula>
    </cfRule>
    <cfRule type="cellIs" dxfId="7752" priority="3678" operator="lessThanOrEqual">
      <formula>0</formula>
    </cfRule>
  </conditionalFormatting>
  <conditionalFormatting sqref="BU89">
    <cfRule type="cellIs" dxfId="7751" priority="3675" operator="greaterThan">
      <formula>0</formula>
    </cfRule>
    <cfRule type="cellIs" dxfId="7750" priority="3676" operator="lessThanOrEqual">
      <formula>0</formula>
    </cfRule>
  </conditionalFormatting>
  <conditionalFormatting sqref="BU129">
    <cfRule type="cellIs" dxfId="7749" priority="3673" operator="greaterThan">
      <formula>0</formula>
    </cfRule>
    <cfRule type="cellIs" dxfId="7748" priority="3674" operator="lessThanOrEqual">
      <formula>0</formula>
    </cfRule>
  </conditionalFormatting>
  <conditionalFormatting sqref="BT76:BT77 BT79:BT80 BT82:BT83 BT85:BT86 BT92:BT93 BT95:BT96 BT98:BT99 BT101:BT102 BT111:BT112 BT116:BT117">
    <cfRule type="cellIs" dxfId="7747" priority="3671" operator="lessThan">
      <formula>0</formula>
    </cfRule>
    <cfRule type="cellIs" dxfId="7746" priority="3672" operator="greaterThanOrEqual">
      <formula>0</formula>
    </cfRule>
  </conditionalFormatting>
  <conditionalFormatting sqref="BT78 BT81 BT84 BT87 BT89 BT94 BT97 BT100 BT103">
    <cfRule type="cellIs" dxfId="7745" priority="3670" operator="greaterThanOrEqual">
      <formula>0</formula>
    </cfRule>
  </conditionalFormatting>
  <conditionalFormatting sqref="BT78 BT81 BT84 BT87 BT89 BT94 BT97 BT100 BT103">
    <cfRule type="cellIs" dxfId="7744" priority="3669" operator="lessThan">
      <formula>0</formula>
    </cfRule>
  </conditionalFormatting>
  <conditionalFormatting sqref="BU130">
    <cfRule type="cellIs" dxfId="7743" priority="3667" operator="greaterThan">
      <formula>0</formula>
    </cfRule>
    <cfRule type="cellIs" dxfId="7742" priority="3668" operator="lessThanOrEqual">
      <formula>0</formula>
    </cfRule>
  </conditionalFormatting>
  <conditionalFormatting sqref="BT130">
    <cfRule type="cellIs" dxfId="7741" priority="3665" operator="greaterThanOrEqual">
      <formula>0</formula>
    </cfRule>
    <cfRule type="cellIs" dxfId="7740" priority="3666" operator="lessThan">
      <formula>0</formula>
    </cfRule>
  </conditionalFormatting>
  <conditionalFormatting sqref="BT125">
    <cfRule type="cellIs" dxfId="7739" priority="3646" operator="greaterThanOrEqual">
      <formula>0</formula>
    </cfRule>
  </conditionalFormatting>
  <conditionalFormatting sqref="BT125">
    <cfRule type="cellIs" dxfId="7738" priority="3645" operator="lessThan">
      <formula>0</formula>
    </cfRule>
  </conditionalFormatting>
  <conditionalFormatting sqref="BU107">
    <cfRule type="cellIs" dxfId="7737" priority="3655" operator="greaterThan">
      <formula>0</formula>
    </cfRule>
    <cfRule type="cellIs" dxfId="7736" priority="3656" operator="lessThanOrEqual">
      <formula>0</formula>
    </cfRule>
  </conditionalFormatting>
  <conditionalFormatting sqref="BU110">
    <cfRule type="cellIs" dxfId="7735" priority="3653" operator="greaterThan">
      <formula>0</formula>
    </cfRule>
    <cfRule type="cellIs" dxfId="7734" priority="3654" operator="lessThanOrEqual">
      <formula>0</formula>
    </cfRule>
  </conditionalFormatting>
  <conditionalFormatting sqref="BU113">
    <cfRule type="cellIs" dxfId="7733" priority="3651" operator="greaterThan">
      <formula>0</formula>
    </cfRule>
    <cfRule type="cellIs" dxfId="7732" priority="3652" operator="lessThanOrEqual">
      <formula>0</formula>
    </cfRule>
  </conditionalFormatting>
  <conditionalFormatting sqref="BU91">
    <cfRule type="cellIs" dxfId="7731" priority="3663" operator="greaterThan">
      <formula>0</formula>
    </cfRule>
    <cfRule type="cellIs" dxfId="7730" priority="3664" operator="lessThanOrEqual">
      <formula>0</formula>
    </cfRule>
  </conditionalFormatting>
  <conditionalFormatting sqref="BU104">
    <cfRule type="cellIs" dxfId="7729" priority="3661" operator="greaterThan">
      <formula>0</formula>
    </cfRule>
    <cfRule type="cellIs" dxfId="7728" priority="3662" operator="lessThanOrEqual">
      <formula>0</formula>
    </cfRule>
  </conditionalFormatting>
  <conditionalFormatting sqref="BU105:BU106 BU108:BU109">
    <cfRule type="cellIs" dxfId="7727" priority="3659" operator="greaterThan">
      <formula>0</formula>
    </cfRule>
    <cfRule type="cellIs" dxfId="7726" priority="3660" operator="lessThanOrEqual">
      <formula>0</formula>
    </cfRule>
  </conditionalFormatting>
  <conditionalFormatting sqref="BU120:BU121 BU123:BU124">
    <cfRule type="cellIs" dxfId="7725" priority="3657" operator="greaterThan">
      <formula>0</formula>
    </cfRule>
    <cfRule type="cellIs" dxfId="7724" priority="3658" operator="lessThanOrEqual">
      <formula>0</formula>
    </cfRule>
  </conditionalFormatting>
  <conditionalFormatting sqref="BU122">
    <cfRule type="cellIs" dxfId="7723" priority="3649" operator="greaterThan">
      <formula>0</formula>
    </cfRule>
    <cfRule type="cellIs" dxfId="7722" priority="3650" operator="lessThanOrEqual">
      <formula>0</formula>
    </cfRule>
  </conditionalFormatting>
  <conditionalFormatting sqref="BU125">
    <cfRule type="cellIs" dxfId="7721" priority="3647" operator="greaterThan">
      <formula>0</formula>
    </cfRule>
    <cfRule type="cellIs" dxfId="7720" priority="3648" operator="lessThanOrEqual">
      <formula>0</formula>
    </cfRule>
  </conditionalFormatting>
  <conditionalFormatting sqref="BU128">
    <cfRule type="cellIs" dxfId="7719" priority="3643" operator="greaterThan">
      <formula>0</formula>
    </cfRule>
    <cfRule type="cellIs" dxfId="7718" priority="3644" operator="lessThanOrEqual">
      <formula>0</formula>
    </cfRule>
  </conditionalFormatting>
  <conditionalFormatting sqref="BU88">
    <cfRule type="cellIs" dxfId="7717" priority="3641" operator="greaterThan">
      <formula>0</formula>
    </cfRule>
    <cfRule type="cellIs" dxfId="7716" priority="3642" operator="lessThanOrEqual">
      <formula>0</formula>
    </cfRule>
  </conditionalFormatting>
  <conditionalFormatting sqref="BU119">
    <cfRule type="cellIs" dxfId="7715" priority="3639" operator="greaterThan">
      <formula>0</formula>
    </cfRule>
    <cfRule type="cellIs" dxfId="7714" priority="3640" operator="lessThanOrEqual">
      <formula>0</formula>
    </cfRule>
  </conditionalFormatting>
  <conditionalFormatting sqref="BT119">
    <cfRule type="cellIs" dxfId="7713" priority="3638" operator="greaterThanOrEqual">
      <formula>0</formula>
    </cfRule>
  </conditionalFormatting>
  <conditionalFormatting sqref="BT119">
    <cfRule type="cellIs" dxfId="7712" priority="3637" operator="lessThan">
      <formula>0</formula>
    </cfRule>
  </conditionalFormatting>
  <conditionalFormatting sqref="BU115">
    <cfRule type="cellIs" dxfId="7711" priority="3635" operator="greaterThan">
      <formula>0</formula>
    </cfRule>
    <cfRule type="cellIs" dxfId="7710" priority="3636" operator="lessThanOrEqual">
      <formula>0</formula>
    </cfRule>
  </conditionalFormatting>
  <conditionalFormatting sqref="BT115">
    <cfRule type="cellIs" dxfId="7709" priority="3634" operator="greaterThanOrEqual">
      <formula>0</formula>
    </cfRule>
  </conditionalFormatting>
  <conditionalFormatting sqref="BT115">
    <cfRule type="cellIs" dxfId="7708" priority="3633" operator="lessThan">
      <formula>0</formula>
    </cfRule>
  </conditionalFormatting>
  <conditionalFormatting sqref="BT88">
    <cfRule type="cellIs" dxfId="7707" priority="3632" operator="greaterThanOrEqual">
      <formula>0</formula>
    </cfRule>
  </conditionalFormatting>
  <conditionalFormatting sqref="BT88">
    <cfRule type="cellIs" dxfId="7706" priority="3631" operator="lessThan">
      <formula>0</formula>
    </cfRule>
  </conditionalFormatting>
  <conditionalFormatting sqref="BT91">
    <cfRule type="cellIs" dxfId="7705" priority="3630" operator="greaterThanOrEqual">
      <formula>0</formula>
    </cfRule>
  </conditionalFormatting>
  <conditionalFormatting sqref="BT91">
    <cfRule type="cellIs" dxfId="7704" priority="3629" operator="lessThan">
      <formula>0</formula>
    </cfRule>
  </conditionalFormatting>
  <conditionalFormatting sqref="BT104">
    <cfRule type="cellIs" dxfId="7703" priority="3628" operator="greaterThanOrEqual">
      <formula>0</formula>
    </cfRule>
  </conditionalFormatting>
  <conditionalFormatting sqref="BT104">
    <cfRule type="cellIs" dxfId="7702" priority="3627" operator="lessThan">
      <formula>0</formula>
    </cfRule>
  </conditionalFormatting>
  <conditionalFormatting sqref="BT107">
    <cfRule type="cellIs" dxfId="7701" priority="3626" operator="greaterThanOrEqual">
      <formula>0</formula>
    </cfRule>
  </conditionalFormatting>
  <conditionalFormatting sqref="BT107">
    <cfRule type="cellIs" dxfId="7700" priority="3625" operator="lessThan">
      <formula>0</formula>
    </cfRule>
  </conditionalFormatting>
  <conditionalFormatting sqref="BT110">
    <cfRule type="cellIs" dxfId="7699" priority="3624" operator="greaterThanOrEqual">
      <formula>0</formula>
    </cfRule>
  </conditionalFormatting>
  <conditionalFormatting sqref="BT110">
    <cfRule type="cellIs" dxfId="7698" priority="3623" operator="lessThan">
      <formula>0</formula>
    </cfRule>
  </conditionalFormatting>
  <conditionalFormatting sqref="BT113">
    <cfRule type="cellIs" dxfId="7697" priority="3622" operator="greaterThanOrEqual">
      <formula>0</formula>
    </cfRule>
  </conditionalFormatting>
  <conditionalFormatting sqref="BT113">
    <cfRule type="cellIs" dxfId="7696" priority="3621" operator="lessThan">
      <formula>0</formula>
    </cfRule>
  </conditionalFormatting>
  <conditionalFormatting sqref="BT114">
    <cfRule type="cellIs" dxfId="7695" priority="3620" operator="greaterThanOrEqual">
      <formula>0</formula>
    </cfRule>
  </conditionalFormatting>
  <conditionalFormatting sqref="BT114">
    <cfRule type="cellIs" dxfId="7694" priority="3619" operator="lessThan">
      <formula>0</formula>
    </cfRule>
  </conditionalFormatting>
  <conditionalFormatting sqref="BT122">
    <cfRule type="cellIs" dxfId="7693" priority="3618" operator="greaterThanOrEqual">
      <formula>0</formula>
    </cfRule>
  </conditionalFormatting>
  <conditionalFormatting sqref="BT122">
    <cfRule type="cellIs" dxfId="7692" priority="3617" operator="lessThan">
      <formula>0</formula>
    </cfRule>
  </conditionalFormatting>
  <conditionalFormatting sqref="BT128">
    <cfRule type="cellIs" dxfId="7691" priority="3616" operator="greaterThanOrEqual">
      <formula>0</formula>
    </cfRule>
  </conditionalFormatting>
  <conditionalFormatting sqref="BT128">
    <cfRule type="cellIs" dxfId="7690" priority="3615" operator="lessThan">
      <formula>0</formula>
    </cfRule>
  </conditionalFormatting>
  <conditionalFormatting sqref="BT129">
    <cfRule type="cellIs" dxfId="7689" priority="3614" operator="greaterThanOrEqual">
      <formula>0</formula>
    </cfRule>
  </conditionalFormatting>
  <conditionalFormatting sqref="BT129">
    <cfRule type="cellIs" dxfId="7688" priority="3613" operator="lessThan">
      <formula>0</formula>
    </cfRule>
  </conditionalFormatting>
  <conditionalFormatting sqref="BT105:BT106">
    <cfRule type="cellIs" dxfId="7687" priority="3611" operator="lessThan">
      <formula>0</formula>
    </cfRule>
    <cfRule type="cellIs" dxfId="7686" priority="3612" operator="greaterThanOrEqual">
      <formula>0</formula>
    </cfRule>
  </conditionalFormatting>
  <conditionalFormatting sqref="BT108:BT109">
    <cfRule type="cellIs" dxfId="7685" priority="3609" operator="lessThan">
      <formula>0</formula>
    </cfRule>
    <cfRule type="cellIs" dxfId="7684" priority="3610" operator="greaterThanOrEqual">
      <formula>0</formula>
    </cfRule>
  </conditionalFormatting>
  <conditionalFormatting sqref="BT120:BT121">
    <cfRule type="cellIs" dxfId="7683" priority="3607" operator="lessThan">
      <formula>0</formula>
    </cfRule>
    <cfRule type="cellIs" dxfId="7682" priority="3608" operator="greaterThanOrEqual">
      <formula>0</formula>
    </cfRule>
  </conditionalFormatting>
  <conditionalFormatting sqref="BT123:BT124">
    <cfRule type="cellIs" dxfId="7681" priority="3605" operator="lessThan">
      <formula>0</formula>
    </cfRule>
    <cfRule type="cellIs" dxfId="7680" priority="3606" operator="greaterThanOrEqual">
      <formula>0</formula>
    </cfRule>
  </conditionalFormatting>
  <conditionalFormatting sqref="BT126:BT127">
    <cfRule type="cellIs" dxfId="7679" priority="3603" operator="lessThan">
      <formula>0</formula>
    </cfRule>
    <cfRule type="cellIs" dxfId="7678" priority="3604" operator="greaterThanOrEqual">
      <formula>0</formula>
    </cfRule>
  </conditionalFormatting>
  <conditionalFormatting sqref="BU114">
    <cfRule type="cellIs" dxfId="7677" priority="3601" operator="greaterThan">
      <formula>0</formula>
    </cfRule>
    <cfRule type="cellIs" dxfId="7676" priority="3602" operator="lessThanOrEqual">
      <formula>0</formula>
    </cfRule>
  </conditionalFormatting>
  <conditionalFormatting sqref="BT118">
    <cfRule type="cellIs" dxfId="7675" priority="3600" operator="greaterThanOrEqual">
      <formula>0</formula>
    </cfRule>
  </conditionalFormatting>
  <conditionalFormatting sqref="BT118">
    <cfRule type="cellIs" dxfId="7674" priority="3599" operator="lessThan">
      <formula>0</formula>
    </cfRule>
  </conditionalFormatting>
  <conditionalFormatting sqref="BU118">
    <cfRule type="cellIs" dxfId="7673" priority="3597" operator="greaterThan">
      <formula>0</formula>
    </cfRule>
    <cfRule type="cellIs" dxfId="7672" priority="3598" operator="lessThanOrEqual">
      <formula>0</formula>
    </cfRule>
  </conditionalFormatting>
  <conditionalFormatting sqref="BY76:BY77">
    <cfRule type="cellIs" dxfId="7671" priority="3595" operator="greaterThan">
      <formula>0</formula>
    </cfRule>
    <cfRule type="cellIs" dxfId="7670" priority="3596" operator="lessThanOrEqual">
      <formula>0</formula>
    </cfRule>
  </conditionalFormatting>
  <conditionalFormatting sqref="BY79:BY80">
    <cfRule type="cellIs" dxfId="7669" priority="3593" operator="greaterThan">
      <formula>0</formula>
    </cfRule>
    <cfRule type="cellIs" dxfId="7668" priority="3594" operator="lessThanOrEqual">
      <formula>0</formula>
    </cfRule>
  </conditionalFormatting>
  <conditionalFormatting sqref="BY82:BY83">
    <cfRule type="cellIs" dxfId="7667" priority="3591" operator="greaterThan">
      <formula>0</formula>
    </cfRule>
    <cfRule type="cellIs" dxfId="7666" priority="3592" operator="lessThanOrEqual">
      <formula>0</formula>
    </cfRule>
  </conditionalFormatting>
  <conditionalFormatting sqref="BY92:BY93">
    <cfRule type="cellIs" dxfId="7665" priority="3589" operator="greaterThan">
      <formula>0</formula>
    </cfRule>
    <cfRule type="cellIs" dxfId="7664" priority="3590" operator="lessThanOrEqual">
      <formula>0</formula>
    </cfRule>
  </conditionalFormatting>
  <conditionalFormatting sqref="BY85:BY86">
    <cfRule type="cellIs" dxfId="7663" priority="3587" operator="greaterThan">
      <formula>0</formula>
    </cfRule>
    <cfRule type="cellIs" dxfId="7662" priority="3588" operator="lessThanOrEqual">
      <formula>0</formula>
    </cfRule>
  </conditionalFormatting>
  <conditionalFormatting sqref="BY98:BY99">
    <cfRule type="cellIs" dxfId="7661" priority="3583" operator="greaterThan">
      <formula>0</formula>
    </cfRule>
    <cfRule type="cellIs" dxfId="7660" priority="3584" operator="lessThanOrEqual">
      <formula>0</formula>
    </cfRule>
  </conditionalFormatting>
  <conditionalFormatting sqref="BY101:BY102">
    <cfRule type="cellIs" dxfId="7659" priority="3581" operator="greaterThan">
      <formula>0</formula>
    </cfRule>
    <cfRule type="cellIs" dxfId="7658" priority="3582" operator="lessThanOrEqual">
      <formula>0</formula>
    </cfRule>
  </conditionalFormatting>
  <conditionalFormatting sqref="BY111:BY112">
    <cfRule type="cellIs" dxfId="7657" priority="3579" operator="greaterThan">
      <formula>0</formula>
    </cfRule>
    <cfRule type="cellIs" dxfId="7656" priority="3580" operator="lessThanOrEqual">
      <formula>0</formula>
    </cfRule>
  </conditionalFormatting>
  <conditionalFormatting sqref="BY126:BY127">
    <cfRule type="cellIs" dxfId="7655" priority="3577" operator="greaterThan">
      <formula>0</formula>
    </cfRule>
    <cfRule type="cellIs" dxfId="7654" priority="3578" operator="lessThanOrEqual">
      <formula>0</formula>
    </cfRule>
  </conditionalFormatting>
  <conditionalFormatting sqref="BY116:BY117">
    <cfRule type="cellIs" dxfId="7653" priority="3575" operator="greaterThan">
      <formula>0</formula>
    </cfRule>
    <cfRule type="cellIs" dxfId="7652" priority="3576" operator="lessThanOrEqual">
      <formula>0</formula>
    </cfRule>
  </conditionalFormatting>
  <conditionalFormatting sqref="BY78">
    <cfRule type="cellIs" dxfId="7651" priority="3573" operator="greaterThan">
      <formula>0</formula>
    </cfRule>
    <cfRule type="cellIs" dxfId="7650" priority="3574" operator="lessThanOrEqual">
      <formula>0</formula>
    </cfRule>
  </conditionalFormatting>
  <conditionalFormatting sqref="BY81">
    <cfRule type="cellIs" dxfId="7649" priority="3571" operator="greaterThan">
      <formula>0</formula>
    </cfRule>
    <cfRule type="cellIs" dxfId="7648" priority="3572" operator="lessThanOrEqual">
      <formula>0</formula>
    </cfRule>
  </conditionalFormatting>
  <conditionalFormatting sqref="BY84">
    <cfRule type="cellIs" dxfId="7647" priority="3569" operator="greaterThan">
      <formula>0</formula>
    </cfRule>
    <cfRule type="cellIs" dxfId="7646" priority="3570" operator="lessThanOrEqual">
      <formula>0</formula>
    </cfRule>
  </conditionalFormatting>
  <conditionalFormatting sqref="BY94">
    <cfRule type="cellIs" dxfId="7645" priority="3567" operator="greaterThan">
      <formula>0</formula>
    </cfRule>
    <cfRule type="cellIs" dxfId="7644" priority="3568" operator="lessThanOrEqual">
      <formula>0</formula>
    </cfRule>
  </conditionalFormatting>
  <conditionalFormatting sqref="BY87">
    <cfRule type="cellIs" dxfId="7643" priority="3565" operator="greaterThan">
      <formula>0</formula>
    </cfRule>
    <cfRule type="cellIs" dxfId="7642" priority="3566" operator="lessThanOrEqual">
      <formula>0</formula>
    </cfRule>
  </conditionalFormatting>
  <conditionalFormatting sqref="BY97">
    <cfRule type="cellIs" dxfId="7641" priority="3563" operator="greaterThan">
      <formula>0</formula>
    </cfRule>
    <cfRule type="cellIs" dxfId="7640" priority="3564" operator="lessThanOrEqual">
      <formula>0</formula>
    </cfRule>
  </conditionalFormatting>
  <conditionalFormatting sqref="BY100">
    <cfRule type="cellIs" dxfId="7639" priority="3561" operator="greaterThan">
      <formula>0</formula>
    </cfRule>
    <cfRule type="cellIs" dxfId="7638" priority="3562" operator="lessThanOrEqual">
      <formula>0</formula>
    </cfRule>
  </conditionalFormatting>
  <conditionalFormatting sqref="BY103">
    <cfRule type="cellIs" dxfId="7637" priority="3559" operator="greaterThan">
      <formula>0</formula>
    </cfRule>
    <cfRule type="cellIs" dxfId="7636" priority="3560" operator="lessThanOrEqual">
      <formula>0</formula>
    </cfRule>
  </conditionalFormatting>
  <conditionalFormatting sqref="BY89">
    <cfRule type="cellIs" dxfId="7635" priority="3557" operator="greaterThan">
      <formula>0</formula>
    </cfRule>
    <cfRule type="cellIs" dxfId="7634" priority="3558" operator="lessThanOrEqual">
      <formula>0</formula>
    </cfRule>
  </conditionalFormatting>
  <conditionalFormatting sqref="BY129">
    <cfRule type="cellIs" dxfId="7633" priority="3555" operator="greaterThan">
      <formula>0</formula>
    </cfRule>
    <cfRule type="cellIs" dxfId="7632" priority="3556" operator="lessThanOrEqual">
      <formula>0</formula>
    </cfRule>
  </conditionalFormatting>
  <conditionalFormatting sqref="BX76:BX77 BX79:BX80 BX82:BX83 BX85:BX86 BX92:BX93 BX95:BX96 BX98:BX99 BX101:BX102 BX111:BX112 BX116:BX117">
    <cfRule type="cellIs" dxfId="7631" priority="3553" operator="lessThan">
      <formula>0</formula>
    </cfRule>
    <cfRule type="cellIs" dxfId="7630" priority="3554" operator="greaterThanOrEqual">
      <formula>0</formula>
    </cfRule>
  </conditionalFormatting>
  <conditionalFormatting sqref="BX78 BX81 BX84 BX87 BX89 BX94 BX97 BX100 BX103">
    <cfRule type="cellIs" dxfId="7629" priority="3552" operator="greaterThanOrEqual">
      <formula>0</formula>
    </cfRule>
  </conditionalFormatting>
  <conditionalFormatting sqref="BX78 BX81 BX84 BX87 BX89 BX94 BX97 BX100 BX103">
    <cfRule type="cellIs" dxfId="7628" priority="3551" operator="lessThan">
      <formula>0</formula>
    </cfRule>
  </conditionalFormatting>
  <conditionalFormatting sqref="BX125">
    <cfRule type="cellIs" dxfId="7627" priority="3530" operator="greaterThanOrEqual">
      <formula>0</formula>
    </cfRule>
  </conditionalFormatting>
  <conditionalFormatting sqref="BX125">
    <cfRule type="cellIs" dxfId="7626" priority="3529" operator="lessThan">
      <formula>0</formula>
    </cfRule>
  </conditionalFormatting>
  <conditionalFormatting sqref="BY114">
    <cfRule type="cellIs" dxfId="7625" priority="3545" operator="greaterThan">
      <formula>0</formula>
    </cfRule>
    <cfRule type="cellIs" dxfId="7624" priority="3546" operator="lessThanOrEqual">
      <formula>0</formula>
    </cfRule>
  </conditionalFormatting>
  <conditionalFormatting sqref="BY107">
    <cfRule type="cellIs" dxfId="7623" priority="3539" operator="greaterThan">
      <formula>0</formula>
    </cfRule>
    <cfRule type="cellIs" dxfId="7622" priority="3540" operator="lessThanOrEqual">
      <formula>0</formula>
    </cfRule>
  </conditionalFormatting>
  <conditionalFormatting sqref="BY110">
    <cfRule type="cellIs" dxfId="7621" priority="3537" operator="greaterThan">
      <formula>0</formula>
    </cfRule>
    <cfRule type="cellIs" dxfId="7620" priority="3538" operator="lessThanOrEqual">
      <formula>0</formula>
    </cfRule>
  </conditionalFormatting>
  <conditionalFormatting sqref="BY113">
    <cfRule type="cellIs" dxfId="7619" priority="3535" operator="greaterThan">
      <formula>0</formula>
    </cfRule>
    <cfRule type="cellIs" dxfId="7618" priority="3536" operator="lessThanOrEqual">
      <formula>0</formula>
    </cfRule>
  </conditionalFormatting>
  <conditionalFormatting sqref="BY91">
    <cfRule type="cellIs" dxfId="7617" priority="3549" operator="greaterThan">
      <formula>0</formula>
    </cfRule>
    <cfRule type="cellIs" dxfId="7616" priority="3550" operator="lessThanOrEqual">
      <formula>0</formula>
    </cfRule>
  </conditionalFormatting>
  <conditionalFormatting sqref="BY104">
    <cfRule type="cellIs" dxfId="7615" priority="3547" operator="greaterThan">
      <formula>0</formula>
    </cfRule>
    <cfRule type="cellIs" dxfId="7614" priority="3548" operator="lessThanOrEqual">
      <formula>0</formula>
    </cfRule>
  </conditionalFormatting>
  <conditionalFormatting sqref="BY105:BY106 BY108:BY109">
    <cfRule type="cellIs" dxfId="7613" priority="3543" operator="greaterThan">
      <formula>0</formula>
    </cfRule>
    <cfRule type="cellIs" dxfId="7612" priority="3544" operator="lessThanOrEqual">
      <formula>0</formula>
    </cfRule>
  </conditionalFormatting>
  <conditionalFormatting sqref="BY120:BY121 BY123:BY124">
    <cfRule type="cellIs" dxfId="7611" priority="3541" operator="greaterThan">
      <formula>0</formula>
    </cfRule>
    <cfRule type="cellIs" dxfId="7610" priority="3542" operator="lessThanOrEqual">
      <formula>0</formula>
    </cfRule>
  </conditionalFormatting>
  <conditionalFormatting sqref="BY122">
    <cfRule type="cellIs" dxfId="7609" priority="3533" operator="greaterThan">
      <formula>0</formula>
    </cfRule>
    <cfRule type="cellIs" dxfId="7608" priority="3534" operator="lessThanOrEqual">
      <formula>0</formula>
    </cfRule>
  </conditionalFormatting>
  <conditionalFormatting sqref="BY125">
    <cfRule type="cellIs" dxfId="7607" priority="3531" operator="greaterThan">
      <formula>0</formula>
    </cfRule>
    <cfRule type="cellIs" dxfId="7606" priority="3532" operator="lessThanOrEqual">
      <formula>0</formula>
    </cfRule>
  </conditionalFormatting>
  <conditionalFormatting sqref="BY128">
    <cfRule type="cellIs" dxfId="7605" priority="3527" operator="greaterThan">
      <formula>0</formula>
    </cfRule>
    <cfRule type="cellIs" dxfId="7604" priority="3528" operator="lessThanOrEqual">
      <formula>0</formula>
    </cfRule>
  </conditionalFormatting>
  <conditionalFormatting sqref="BY88">
    <cfRule type="cellIs" dxfId="7603" priority="3525" operator="greaterThan">
      <formula>0</formula>
    </cfRule>
    <cfRule type="cellIs" dxfId="7602" priority="3526" operator="lessThanOrEqual">
      <formula>0</formula>
    </cfRule>
  </conditionalFormatting>
  <conditionalFormatting sqref="BY119">
    <cfRule type="cellIs" dxfId="7601" priority="3523" operator="greaterThan">
      <formula>0</formula>
    </cfRule>
    <cfRule type="cellIs" dxfId="7600" priority="3524" operator="lessThanOrEqual">
      <formula>0</formula>
    </cfRule>
  </conditionalFormatting>
  <conditionalFormatting sqref="BX119">
    <cfRule type="cellIs" dxfId="7599" priority="3522" operator="greaterThanOrEqual">
      <formula>0</formula>
    </cfRule>
  </conditionalFormatting>
  <conditionalFormatting sqref="BX119">
    <cfRule type="cellIs" dxfId="7598" priority="3521" operator="lessThan">
      <formula>0</formula>
    </cfRule>
  </conditionalFormatting>
  <conditionalFormatting sqref="BY115">
    <cfRule type="cellIs" dxfId="7597" priority="3519" operator="greaterThan">
      <formula>0</formula>
    </cfRule>
    <cfRule type="cellIs" dxfId="7596" priority="3520" operator="lessThanOrEqual">
      <formula>0</formula>
    </cfRule>
  </conditionalFormatting>
  <conditionalFormatting sqref="BX115">
    <cfRule type="cellIs" dxfId="7595" priority="3518" operator="greaterThanOrEqual">
      <formula>0</formula>
    </cfRule>
  </conditionalFormatting>
  <conditionalFormatting sqref="BX115">
    <cfRule type="cellIs" dxfId="7594" priority="3517" operator="lessThan">
      <formula>0</formula>
    </cfRule>
  </conditionalFormatting>
  <conditionalFormatting sqref="BX88">
    <cfRule type="cellIs" dxfId="7593" priority="3516" operator="greaterThanOrEqual">
      <formula>0</formula>
    </cfRule>
  </conditionalFormatting>
  <conditionalFormatting sqref="BX88">
    <cfRule type="cellIs" dxfId="7592" priority="3515" operator="lessThan">
      <formula>0</formula>
    </cfRule>
  </conditionalFormatting>
  <conditionalFormatting sqref="BX91">
    <cfRule type="cellIs" dxfId="7591" priority="3514" operator="greaterThanOrEqual">
      <formula>0</formula>
    </cfRule>
  </conditionalFormatting>
  <conditionalFormatting sqref="BX91">
    <cfRule type="cellIs" dxfId="7590" priority="3513" operator="lessThan">
      <formula>0</formula>
    </cfRule>
  </conditionalFormatting>
  <conditionalFormatting sqref="BX104">
    <cfRule type="cellIs" dxfId="7589" priority="3512" operator="greaterThanOrEqual">
      <formula>0</formula>
    </cfRule>
  </conditionalFormatting>
  <conditionalFormatting sqref="BX104">
    <cfRule type="cellIs" dxfId="7588" priority="3511" operator="lessThan">
      <formula>0</formula>
    </cfRule>
  </conditionalFormatting>
  <conditionalFormatting sqref="BX110">
    <cfRule type="cellIs" dxfId="7587" priority="3508" operator="greaterThanOrEqual">
      <formula>0</formula>
    </cfRule>
  </conditionalFormatting>
  <conditionalFormatting sqref="BX110">
    <cfRule type="cellIs" dxfId="7586" priority="3507" operator="lessThan">
      <formula>0</formula>
    </cfRule>
  </conditionalFormatting>
  <conditionalFormatting sqref="BX113">
    <cfRule type="cellIs" dxfId="7585" priority="3506" operator="greaterThanOrEqual">
      <formula>0</formula>
    </cfRule>
  </conditionalFormatting>
  <conditionalFormatting sqref="BX113">
    <cfRule type="cellIs" dxfId="7584" priority="3505" operator="lessThan">
      <formula>0</formula>
    </cfRule>
  </conditionalFormatting>
  <conditionalFormatting sqref="BX114">
    <cfRule type="cellIs" dxfId="7583" priority="3504" operator="greaterThanOrEqual">
      <formula>0</formula>
    </cfRule>
  </conditionalFormatting>
  <conditionalFormatting sqref="BX114">
    <cfRule type="cellIs" dxfId="7582" priority="3503" operator="lessThan">
      <formula>0</formula>
    </cfRule>
  </conditionalFormatting>
  <conditionalFormatting sqref="BX122">
    <cfRule type="cellIs" dxfId="7581" priority="3502" operator="greaterThanOrEqual">
      <formula>0</formula>
    </cfRule>
  </conditionalFormatting>
  <conditionalFormatting sqref="BX122">
    <cfRule type="cellIs" dxfId="7580" priority="3501" operator="lessThan">
      <formula>0</formula>
    </cfRule>
  </conditionalFormatting>
  <conditionalFormatting sqref="BX128">
    <cfRule type="cellIs" dxfId="7579" priority="3500" operator="greaterThanOrEqual">
      <formula>0</formula>
    </cfRule>
  </conditionalFormatting>
  <conditionalFormatting sqref="BX128">
    <cfRule type="cellIs" dxfId="7578" priority="3499" operator="lessThan">
      <formula>0</formula>
    </cfRule>
  </conditionalFormatting>
  <conditionalFormatting sqref="BX129">
    <cfRule type="cellIs" dxfId="7577" priority="3498" operator="greaterThanOrEqual">
      <formula>0</formula>
    </cfRule>
  </conditionalFormatting>
  <conditionalFormatting sqref="BX129">
    <cfRule type="cellIs" dxfId="7576" priority="3497" operator="lessThan">
      <formula>0</formula>
    </cfRule>
  </conditionalFormatting>
  <conditionalFormatting sqref="BX105:BX106">
    <cfRule type="cellIs" dxfId="7575" priority="3495" operator="lessThan">
      <formula>0</formula>
    </cfRule>
    <cfRule type="cellIs" dxfId="7574" priority="3496" operator="greaterThanOrEqual">
      <formula>0</formula>
    </cfRule>
  </conditionalFormatting>
  <conditionalFormatting sqref="BX108:BX109">
    <cfRule type="cellIs" dxfId="7573" priority="3493" operator="lessThan">
      <formula>0</formula>
    </cfRule>
    <cfRule type="cellIs" dxfId="7572" priority="3494" operator="greaterThanOrEqual">
      <formula>0</formula>
    </cfRule>
  </conditionalFormatting>
  <conditionalFormatting sqref="BX120:BX121">
    <cfRule type="cellIs" dxfId="7571" priority="3491" operator="lessThan">
      <formula>0</formula>
    </cfRule>
    <cfRule type="cellIs" dxfId="7570" priority="3492" operator="greaterThanOrEqual">
      <formula>0</formula>
    </cfRule>
  </conditionalFormatting>
  <conditionalFormatting sqref="BX123:BX124">
    <cfRule type="cellIs" dxfId="7569" priority="3489" operator="lessThan">
      <formula>0</formula>
    </cfRule>
    <cfRule type="cellIs" dxfId="7568" priority="3490" operator="greaterThanOrEqual">
      <formula>0</formula>
    </cfRule>
  </conditionalFormatting>
  <conditionalFormatting sqref="BX126:BX127">
    <cfRule type="cellIs" dxfId="7567" priority="3487" operator="lessThan">
      <formula>0</formula>
    </cfRule>
    <cfRule type="cellIs" dxfId="7566" priority="3488" operator="greaterThanOrEqual">
      <formula>0</formula>
    </cfRule>
  </conditionalFormatting>
  <conditionalFormatting sqref="BY130">
    <cfRule type="cellIs" dxfId="7565" priority="3485" operator="greaterThan">
      <formula>0</formula>
    </cfRule>
    <cfRule type="cellIs" dxfId="7564" priority="3486" operator="lessThanOrEqual">
      <formula>0</formula>
    </cfRule>
  </conditionalFormatting>
  <conditionalFormatting sqref="BX130">
    <cfRule type="cellIs" dxfId="7563" priority="3483" operator="greaterThanOrEqual">
      <formula>0</formula>
    </cfRule>
    <cfRule type="cellIs" dxfId="7562" priority="3484" operator="lessThan">
      <formula>0</formula>
    </cfRule>
  </conditionalFormatting>
  <conditionalFormatting sqref="BY118">
    <cfRule type="cellIs" dxfId="7561" priority="3481" operator="greaterThan">
      <formula>0</formula>
    </cfRule>
    <cfRule type="cellIs" dxfId="7560" priority="3482" operator="lessThanOrEqual">
      <formula>0</formula>
    </cfRule>
  </conditionalFormatting>
  <conditionalFormatting sqref="BX118">
    <cfRule type="cellIs" dxfId="7559" priority="3480" operator="greaterThanOrEqual">
      <formula>0</formula>
    </cfRule>
  </conditionalFormatting>
  <conditionalFormatting sqref="BX118">
    <cfRule type="cellIs" dxfId="7558" priority="3479" operator="lessThan">
      <formula>0</formula>
    </cfRule>
  </conditionalFormatting>
  <conditionalFormatting sqref="CA78 CA87 CA81 CA84 CA94 CA97 CA100 CA103">
    <cfRule type="cellIs" dxfId="7557" priority="3476" operator="greaterThanOrEqual">
      <formula>0</formula>
    </cfRule>
  </conditionalFormatting>
  <conditionalFormatting sqref="CA78 CA87 CA81 CA84 CA94 CA97 CA100 CA103">
    <cfRule type="cellIs" dxfId="7556" priority="3475" operator="lessThan">
      <formula>0</formula>
    </cfRule>
  </conditionalFormatting>
  <conditionalFormatting sqref="CA130">
    <cfRule type="cellIs" dxfId="7555" priority="3473" operator="greaterThanOrEqual">
      <formula>0</formula>
    </cfRule>
    <cfRule type="cellIs" dxfId="7554" priority="3474" operator="lessThan">
      <formula>0</formula>
    </cfRule>
  </conditionalFormatting>
  <conditionalFormatting sqref="CB76:CB77">
    <cfRule type="cellIs" dxfId="7553" priority="3471" operator="greaterThan">
      <formula>0</formula>
    </cfRule>
    <cfRule type="cellIs" dxfId="7552" priority="3472" operator="lessThanOrEqual">
      <formula>0</formula>
    </cfRule>
  </conditionalFormatting>
  <conditionalFormatting sqref="CB78 CB87 CB81 CB84 CB94 CB97 CB100 CB103">
    <cfRule type="cellIs" dxfId="7551" priority="3470" operator="greaterThanOrEqual">
      <formula>0</formula>
    </cfRule>
  </conditionalFormatting>
  <conditionalFormatting sqref="CB78 CB87 CB81 CB84 CB94 CB97 CB100 CB103">
    <cfRule type="cellIs" dxfId="7550" priority="3469" operator="lessThan">
      <formula>0</formula>
    </cfRule>
  </conditionalFormatting>
  <conditionalFormatting sqref="CB130">
    <cfRule type="cellIs" dxfId="7549" priority="3467" operator="lessThan">
      <formula>0</formula>
    </cfRule>
    <cfRule type="cellIs" dxfId="7548" priority="3468" operator="greaterThanOrEqual">
      <formula>0</formula>
    </cfRule>
  </conditionalFormatting>
  <conditionalFormatting sqref="CB115">
    <cfRule type="cellIs" dxfId="7547" priority="3463" operator="lessThan">
      <formula>0</formula>
    </cfRule>
  </conditionalFormatting>
  <conditionalFormatting sqref="CA115">
    <cfRule type="cellIs" dxfId="7546" priority="3466" operator="greaterThanOrEqual">
      <formula>0</formula>
    </cfRule>
  </conditionalFormatting>
  <conditionalFormatting sqref="CA115">
    <cfRule type="cellIs" dxfId="7545" priority="3465" operator="lessThan">
      <formula>0</formula>
    </cfRule>
  </conditionalFormatting>
  <conditionalFormatting sqref="CB115">
    <cfRule type="cellIs" dxfId="7544" priority="3464" operator="greaterThanOrEqual">
      <formula>0</formula>
    </cfRule>
  </conditionalFormatting>
  <conditionalFormatting sqref="CA105:CA106">
    <cfRule type="cellIs" dxfId="7543" priority="3461" operator="lessThan">
      <formula>0</formula>
    </cfRule>
    <cfRule type="cellIs" dxfId="7542" priority="3462" operator="greaterThanOrEqual">
      <formula>0</formula>
    </cfRule>
  </conditionalFormatting>
  <conditionalFormatting sqref="CA108:CA109">
    <cfRule type="cellIs" dxfId="7541" priority="3459" operator="lessThan">
      <formula>0</formula>
    </cfRule>
    <cfRule type="cellIs" dxfId="7540" priority="3460" operator="greaterThanOrEqual">
      <formula>0</formula>
    </cfRule>
  </conditionalFormatting>
  <conditionalFormatting sqref="CA116:CA117">
    <cfRule type="cellIs" dxfId="7539" priority="3457" operator="lessThan">
      <formula>0</formula>
    </cfRule>
    <cfRule type="cellIs" dxfId="7538" priority="3458" operator="greaterThanOrEqual">
      <formula>0</formula>
    </cfRule>
  </conditionalFormatting>
  <conditionalFormatting sqref="CA120:CA121">
    <cfRule type="cellIs" dxfId="7537" priority="3455" operator="lessThan">
      <formula>0</formula>
    </cfRule>
    <cfRule type="cellIs" dxfId="7536" priority="3456" operator="greaterThanOrEqual">
      <formula>0</formula>
    </cfRule>
  </conditionalFormatting>
  <conditionalFormatting sqref="CA123:CA124">
    <cfRule type="cellIs" dxfId="7535" priority="3453" operator="lessThan">
      <formula>0</formula>
    </cfRule>
    <cfRule type="cellIs" dxfId="7534" priority="3454" operator="greaterThanOrEqual">
      <formula>0</formula>
    </cfRule>
  </conditionalFormatting>
  <conditionalFormatting sqref="CA126:CA127">
    <cfRule type="cellIs" dxfId="7533" priority="3451" operator="lessThan">
      <formula>0</formula>
    </cfRule>
    <cfRule type="cellIs" dxfId="7532" priority="3452" operator="greaterThanOrEqual">
      <formula>0</formula>
    </cfRule>
  </conditionalFormatting>
  <conditionalFormatting sqref="CA88">
    <cfRule type="cellIs" dxfId="7531" priority="3450" operator="greaterThanOrEqual">
      <formula>0</formula>
    </cfRule>
  </conditionalFormatting>
  <conditionalFormatting sqref="CA88">
    <cfRule type="cellIs" dxfId="7530" priority="3449" operator="lessThan">
      <formula>0</formula>
    </cfRule>
  </conditionalFormatting>
  <conditionalFormatting sqref="CA89">
    <cfRule type="cellIs" dxfId="7529" priority="3448" operator="greaterThanOrEqual">
      <formula>0</formula>
    </cfRule>
  </conditionalFormatting>
  <conditionalFormatting sqref="CA89">
    <cfRule type="cellIs" dxfId="7528" priority="3447" operator="lessThan">
      <formula>0</formula>
    </cfRule>
  </conditionalFormatting>
  <conditionalFormatting sqref="CA91">
    <cfRule type="cellIs" dxfId="7527" priority="3446" operator="greaterThanOrEqual">
      <formula>0</formula>
    </cfRule>
  </conditionalFormatting>
  <conditionalFormatting sqref="CA91">
    <cfRule type="cellIs" dxfId="7526" priority="3445" operator="lessThan">
      <formula>0</formula>
    </cfRule>
  </conditionalFormatting>
  <conditionalFormatting sqref="CA104">
    <cfRule type="cellIs" dxfId="7525" priority="3444" operator="greaterThanOrEqual">
      <formula>0</formula>
    </cfRule>
  </conditionalFormatting>
  <conditionalFormatting sqref="CA104">
    <cfRule type="cellIs" dxfId="7524" priority="3443" operator="lessThan">
      <formula>0</formula>
    </cfRule>
  </conditionalFormatting>
  <conditionalFormatting sqref="CA110">
    <cfRule type="cellIs" dxfId="7523" priority="3440" operator="greaterThanOrEqual">
      <formula>0</formula>
    </cfRule>
  </conditionalFormatting>
  <conditionalFormatting sqref="CA110">
    <cfRule type="cellIs" dxfId="7522" priority="3439" operator="lessThan">
      <formula>0</formula>
    </cfRule>
  </conditionalFormatting>
  <conditionalFormatting sqref="CA113">
    <cfRule type="cellIs" dxfId="7521" priority="3438" operator="greaterThanOrEqual">
      <formula>0</formula>
    </cfRule>
  </conditionalFormatting>
  <conditionalFormatting sqref="CA113">
    <cfRule type="cellIs" dxfId="7520" priority="3437" operator="lessThan">
      <formula>0</formula>
    </cfRule>
  </conditionalFormatting>
  <conditionalFormatting sqref="CA122">
    <cfRule type="cellIs" dxfId="7519" priority="3434" operator="greaterThanOrEqual">
      <formula>0</formula>
    </cfRule>
  </conditionalFormatting>
  <conditionalFormatting sqref="CA122">
    <cfRule type="cellIs" dxfId="7518" priority="3433" operator="lessThan">
      <formula>0</formula>
    </cfRule>
  </conditionalFormatting>
  <conditionalFormatting sqref="CA125">
    <cfRule type="cellIs" dxfId="7517" priority="3432" operator="greaterThanOrEqual">
      <formula>0</formula>
    </cfRule>
  </conditionalFormatting>
  <conditionalFormatting sqref="CA125">
    <cfRule type="cellIs" dxfId="7516" priority="3431" operator="lessThan">
      <formula>0</formula>
    </cfRule>
  </conditionalFormatting>
  <conditionalFormatting sqref="CA128">
    <cfRule type="cellIs" dxfId="7515" priority="3430" operator="greaterThanOrEqual">
      <formula>0</formula>
    </cfRule>
  </conditionalFormatting>
  <conditionalFormatting sqref="CA128">
    <cfRule type="cellIs" dxfId="7514" priority="3429" operator="lessThan">
      <formula>0</formula>
    </cfRule>
  </conditionalFormatting>
  <conditionalFormatting sqref="CA119">
    <cfRule type="cellIs" dxfId="7513" priority="3428" operator="greaterThanOrEqual">
      <formula>0</formula>
    </cfRule>
  </conditionalFormatting>
  <conditionalFormatting sqref="CA119">
    <cfRule type="cellIs" dxfId="7512" priority="3427" operator="lessThan">
      <formula>0</formula>
    </cfRule>
  </conditionalFormatting>
  <conditionalFormatting sqref="CA129">
    <cfRule type="cellIs" dxfId="7511" priority="3426" operator="greaterThanOrEqual">
      <formula>0</formula>
    </cfRule>
  </conditionalFormatting>
  <conditionalFormatting sqref="CA129">
    <cfRule type="cellIs" dxfId="7510" priority="3425" operator="lessThan">
      <formula>0</formula>
    </cfRule>
  </conditionalFormatting>
  <conditionalFormatting sqref="CB79:CB80">
    <cfRule type="cellIs" dxfId="7509" priority="3423" operator="greaterThan">
      <formula>0</formula>
    </cfRule>
    <cfRule type="cellIs" dxfId="7508" priority="3424" operator="lessThanOrEqual">
      <formula>0</formula>
    </cfRule>
  </conditionalFormatting>
  <conditionalFormatting sqref="CB82:CB83">
    <cfRule type="cellIs" dxfId="7507" priority="3421" operator="greaterThan">
      <formula>0</formula>
    </cfRule>
    <cfRule type="cellIs" dxfId="7506" priority="3422" operator="lessThanOrEqual">
      <formula>0</formula>
    </cfRule>
  </conditionalFormatting>
  <conditionalFormatting sqref="CB85:CB86">
    <cfRule type="cellIs" dxfId="7505" priority="3419" operator="greaterThan">
      <formula>0</formula>
    </cfRule>
    <cfRule type="cellIs" dxfId="7504" priority="3420" operator="lessThanOrEqual">
      <formula>0</formula>
    </cfRule>
  </conditionalFormatting>
  <conditionalFormatting sqref="CB92:CB93">
    <cfRule type="cellIs" dxfId="7503" priority="3417" operator="greaterThan">
      <formula>0</formula>
    </cfRule>
    <cfRule type="cellIs" dxfId="7502" priority="3418" operator="lessThanOrEqual">
      <formula>0</formula>
    </cfRule>
  </conditionalFormatting>
  <conditionalFormatting sqref="CB95:CB96">
    <cfRule type="cellIs" dxfId="7501" priority="3415" operator="greaterThan">
      <formula>0</formula>
    </cfRule>
    <cfRule type="cellIs" dxfId="7500" priority="3416" operator="lessThanOrEqual">
      <formula>0</formula>
    </cfRule>
  </conditionalFormatting>
  <conditionalFormatting sqref="CB98:CB99">
    <cfRule type="cellIs" dxfId="7499" priority="3413" operator="greaterThan">
      <formula>0</formula>
    </cfRule>
    <cfRule type="cellIs" dxfId="7498" priority="3414" operator="lessThanOrEqual">
      <formula>0</formula>
    </cfRule>
  </conditionalFormatting>
  <conditionalFormatting sqref="CB101:CB102">
    <cfRule type="cellIs" dxfId="7497" priority="3411" operator="greaterThan">
      <formula>0</formula>
    </cfRule>
    <cfRule type="cellIs" dxfId="7496" priority="3412" operator="lessThanOrEqual">
      <formula>0</formula>
    </cfRule>
  </conditionalFormatting>
  <conditionalFormatting sqref="CB105:CB106">
    <cfRule type="cellIs" dxfId="7495" priority="3409" operator="greaterThan">
      <formula>0</formula>
    </cfRule>
    <cfRule type="cellIs" dxfId="7494" priority="3410" operator="lessThanOrEqual">
      <formula>0</formula>
    </cfRule>
  </conditionalFormatting>
  <conditionalFormatting sqref="CB108:CB109">
    <cfRule type="cellIs" dxfId="7493" priority="3407" operator="greaterThan">
      <formula>0</formula>
    </cfRule>
    <cfRule type="cellIs" dxfId="7492" priority="3408" operator="lessThanOrEqual">
      <formula>0</formula>
    </cfRule>
  </conditionalFormatting>
  <conditionalFormatting sqref="CB111:CB112">
    <cfRule type="cellIs" dxfId="7491" priority="3405" operator="greaterThan">
      <formula>0</formula>
    </cfRule>
    <cfRule type="cellIs" dxfId="7490" priority="3406" operator="lessThanOrEqual">
      <formula>0</formula>
    </cfRule>
  </conditionalFormatting>
  <conditionalFormatting sqref="CB116:CB117">
    <cfRule type="cellIs" dxfId="7489" priority="3403" operator="greaterThan">
      <formula>0</formula>
    </cfRule>
    <cfRule type="cellIs" dxfId="7488" priority="3404" operator="lessThanOrEqual">
      <formula>0</formula>
    </cfRule>
  </conditionalFormatting>
  <conditionalFormatting sqref="CB120:CB121">
    <cfRule type="cellIs" dxfId="7487" priority="3401" operator="greaterThan">
      <formula>0</formula>
    </cfRule>
    <cfRule type="cellIs" dxfId="7486" priority="3402" operator="lessThanOrEqual">
      <formula>0</formula>
    </cfRule>
  </conditionalFormatting>
  <conditionalFormatting sqref="CB126:CB127">
    <cfRule type="cellIs" dxfId="7485" priority="3397" operator="greaterThan">
      <formula>0</formula>
    </cfRule>
    <cfRule type="cellIs" dxfId="7484" priority="3398" operator="lessThanOrEqual">
      <formula>0</formula>
    </cfRule>
  </conditionalFormatting>
  <conditionalFormatting sqref="CB88">
    <cfRule type="cellIs" dxfId="7483" priority="3396" operator="greaterThanOrEqual">
      <formula>0</formula>
    </cfRule>
  </conditionalFormatting>
  <conditionalFormatting sqref="CB88">
    <cfRule type="cellIs" dxfId="7482" priority="3395" operator="lessThan">
      <formula>0</formula>
    </cfRule>
  </conditionalFormatting>
  <conditionalFormatting sqref="CB89">
    <cfRule type="cellIs" dxfId="7481" priority="3394" operator="greaterThanOrEqual">
      <formula>0</formula>
    </cfRule>
  </conditionalFormatting>
  <conditionalFormatting sqref="CB89">
    <cfRule type="cellIs" dxfId="7480" priority="3393" operator="lessThan">
      <formula>0</formula>
    </cfRule>
  </conditionalFormatting>
  <conditionalFormatting sqref="CB91">
    <cfRule type="cellIs" dxfId="7479" priority="3392" operator="greaterThanOrEqual">
      <formula>0</formula>
    </cfRule>
  </conditionalFormatting>
  <conditionalFormatting sqref="CB91">
    <cfRule type="cellIs" dxfId="7478" priority="3391" operator="lessThan">
      <formula>0</formula>
    </cfRule>
  </conditionalFormatting>
  <conditionalFormatting sqref="CB104">
    <cfRule type="cellIs" dxfId="7477" priority="3390" operator="greaterThanOrEqual">
      <formula>0</formula>
    </cfRule>
  </conditionalFormatting>
  <conditionalFormatting sqref="CB104">
    <cfRule type="cellIs" dxfId="7476" priority="3389" operator="lessThan">
      <formula>0</formula>
    </cfRule>
  </conditionalFormatting>
  <conditionalFormatting sqref="CB107">
    <cfRule type="cellIs" dxfId="7475" priority="3388" operator="greaterThanOrEqual">
      <formula>0</formula>
    </cfRule>
  </conditionalFormatting>
  <conditionalFormatting sqref="CB107">
    <cfRule type="cellIs" dxfId="7474" priority="3387" operator="lessThan">
      <formula>0</formula>
    </cfRule>
  </conditionalFormatting>
  <conditionalFormatting sqref="CB110">
    <cfRule type="cellIs" dxfId="7473" priority="3386" operator="greaterThanOrEqual">
      <formula>0</formula>
    </cfRule>
  </conditionalFormatting>
  <conditionalFormatting sqref="CB110">
    <cfRule type="cellIs" dxfId="7472" priority="3385" operator="lessThan">
      <formula>0</formula>
    </cfRule>
  </conditionalFormatting>
  <conditionalFormatting sqref="CB114">
    <cfRule type="cellIs" dxfId="7471" priority="3382" operator="greaterThanOrEqual">
      <formula>0</formula>
    </cfRule>
  </conditionalFormatting>
  <conditionalFormatting sqref="CB114">
    <cfRule type="cellIs" dxfId="7470" priority="3381" operator="lessThan">
      <formula>0</formula>
    </cfRule>
  </conditionalFormatting>
  <conditionalFormatting sqref="CB122">
    <cfRule type="cellIs" dxfId="7469" priority="3380" operator="greaterThanOrEqual">
      <formula>0</formula>
    </cfRule>
  </conditionalFormatting>
  <conditionalFormatting sqref="CB122">
    <cfRule type="cellIs" dxfId="7468" priority="3379" operator="lessThan">
      <formula>0</formula>
    </cfRule>
  </conditionalFormatting>
  <conditionalFormatting sqref="CA118">
    <cfRule type="cellIs" dxfId="7467" priority="3370" operator="greaterThanOrEqual">
      <formula>0</formula>
    </cfRule>
  </conditionalFormatting>
  <conditionalFormatting sqref="CA118">
    <cfRule type="cellIs" dxfId="7466" priority="3369" operator="lessThan">
      <formula>0</formula>
    </cfRule>
  </conditionalFormatting>
  <conditionalFormatting sqref="BU133">
    <cfRule type="cellIs" dxfId="7465" priority="3365" operator="lessThan">
      <formula>0</formula>
    </cfRule>
    <cfRule type="cellIs" dxfId="7464" priority="3366" operator="greaterThanOrEqual">
      <formula>0</formula>
    </cfRule>
  </conditionalFormatting>
  <conditionalFormatting sqref="BU176">
    <cfRule type="cellIs" dxfId="7463" priority="3363" operator="greaterThan">
      <formula>0</formula>
    </cfRule>
    <cfRule type="cellIs" dxfId="7462" priority="3364" operator="lessThanOrEqual">
      <formula>0</formula>
    </cfRule>
  </conditionalFormatting>
  <conditionalFormatting sqref="BT176">
    <cfRule type="cellIs" dxfId="7461" priority="3362" operator="greaterThanOrEqual">
      <formula>0</formula>
    </cfRule>
  </conditionalFormatting>
  <conditionalFormatting sqref="BT176">
    <cfRule type="cellIs" dxfId="7460" priority="3361" operator="lessThan">
      <formula>0</formula>
    </cfRule>
  </conditionalFormatting>
  <conditionalFormatting sqref="BX176">
    <cfRule type="cellIs" dxfId="7459" priority="3360" operator="greaterThanOrEqual">
      <formula>0</formula>
    </cfRule>
  </conditionalFormatting>
  <conditionalFormatting sqref="BX176">
    <cfRule type="cellIs" dxfId="7458" priority="3359" operator="lessThan">
      <formula>0</formula>
    </cfRule>
  </conditionalFormatting>
  <conditionalFormatting sqref="CA176">
    <cfRule type="cellIs" dxfId="7457" priority="3358" operator="greaterThanOrEqual">
      <formula>0</formula>
    </cfRule>
  </conditionalFormatting>
  <conditionalFormatting sqref="CA176">
    <cfRule type="cellIs" dxfId="7456" priority="3357" operator="lessThan">
      <formula>0</formula>
    </cfRule>
  </conditionalFormatting>
  <conditionalFormatting sqref="CB176">
    <cfRule type="cellIs" dxfId="7455" priority="3356" operator="greaterThanOrEqual">
      <formula>0</formula>
    </cfRule>
  </conditionalFormatting>
  <conditionalFormatting sqref="CB176">
    <cfRule type="cellIs" dxfId="7454" priority="3355" operator="lessThan">
      <formula>0</formula>
    </cfRule>
  </conditionalFormatting>
  <conditionalFormatting sqref="BU175">
    <cfRule type="cellIs" dxfId="7453" priority="3353" operator="greaterThan">
      <formula>0</formula>
    </cfRule>
    <cfRule type="cellIs" dxfId="7452" priority="3354" operator="lessThanOrEqual">
      <formula>0</formula>
    </cfRule>
  </conditionalFormatting>
  <conditionalFormatting sqref="BT175">
    <cfRule type="cellIs" dxfId="7451" priority="3352" operator="greaterThanOrEqual">
      <formula>0</formula>
    </cfRule>
  </conditionalFormatting>
  <conditionalFormatting sqref="BT175">
    <cfRule type="cellIs" dxfId="7450" priority="3351" operator="lessThan">
      <formula>0</formula>
    </cfRule>
  </conditionalFormatting>
  <conditionalFormatting sqref="CA175:CB175">
    <cfRule type="cellIs" dxfId="7449" priority="3348" operator="greaterThanOrEqual">
      <formula>0</formula>
    </cfRule>
  </conditionalFormatting>
  <conditionalFormatting sqref="CA175:CB175">
    <cfRule type="cellIs" dxfId="7448" priority="3347" operator="lessThan">
      <formula>0</formula>
    </cfRule>
  </conditionalFormatting>
  <conditionalFormatting sqref="BX175">
    <cfRule type="cellIs" dxfId="7447" priority="3350" operator="greaterThanOrEqual">
      <formula>0</formula>
    </cfRule>
  </conditionalFormatting>
  <conditionalFormatting sqref="BX175">
    <cfRule type="cellIs" dxfId="7446" priority="3349" operator="lessThan">
      <formula>0</formula>
    </cfRule>
  </conditionalFormatting>
  <conditionalFormatting sqref="BY134">
    <cfRule type="cellIs" dxfId="7445" priority="3345" operator="greaterThan">
      <formula>0</formula>
    </cfRule>
    <cfRule type="cellIs" dxfId="7444" priority="3346" operator="lessThanOrEqual">
      <formula>0</formula>
    </cfRule>
  </conditionalFormatting>
  <conditionalFormatting sqref="BY136:BY137">
    <cfRule type="cellIs" dxfId="7443" priority="3343" operator="greaterThan">
      <formula>0</formula>
    </cfRule>
    <cfRule type="cellIs" dxfId="7442" priority="3344" operator="lessThanOrEqual">
      <formula>0</formula>
    </cfRule>
  </conditionalFormatting>
  <conditionalFormatting sqref="BY173:BY174">
    <cfRule type="cellIs" dxfId="7441" priority="3325" operator="greaterThan">
      <formula>0</formula>
    </cfRule>
    <cfRule type="cellIs" dxfId="7440" priority="3326" operator="lessThanOrEqual">
      <formula>0</formula>
    </cfRule>
  </conditionalFormatting>
  <conditionalFormatting sqref="BY144">
    <cfRule type="cellIs" dxfId="7439" priority="3315" operator="greaterThan">
      <formula>0</formula>
    </cfRule>
    <cfRule type="cellIs" dxfId="7438" priority="3316" operator="lessThanOrEqual">
      <formula>0</formula>
    </cfRule>
  </conditionalFormatting>
  <conditionalFormatting sqref="BY154">
    <cfRule type="cellIs" dxfId="7437" priority="3313" operator="greaterThan">
      <formula>0</formula>
    </cfRule>
    <cfRule type="cellIs" dxfId="7436" priority="3314" operator="lessThanOrEqual">
      <formula>0</formula>
    </cfRule>
  </conditionalFormatting>
  <conditionalFormatting sqref="BY157">
    <cfRule type="cellIs" dxfId="7435" priority="3311" operator="greaterThan">
      <formula>0</formula>
    </cfRule>
    <cfRule type="cellIs" dxfId="7434" priority="3312" operator="lessThanOrEqual">
      <formula>0</formula>
    </cfRule>
  </conditionalFormatting>
  <conditionalFormatting sqref="BY164">
    <cfRule type="cellIs" dxfId="7433" priority="3287" operator="greaterThan">
      <formula>0</formula>
    </cfRule>
    <cfRule type="cellIs" dxfId="7432" priority="3288" operator="lessThanOrEqual">
      <formula>0</formula>
    </cfRule>
  </conditionalFormatting>
  <conditionalFormatting sqref="BY171">
    <cfRule type="cellIs" dxfId="7431" priority="3293" operator="greaterThan">
      <formula>0</formula>
    </cfRule>
    <cfRule type="cellIs" dxfId="7430" priority="3294" operator="lessThanOrEqual">
      <formula>0</formula>
    </cfRule>
  </conditionalFormatting>
  <conditionalFormatting sqref="BY139:BY140">
    <cfRule type="cellIs" dxfId="7429" priority="3341" operator="greaterThan">
      <formula>0</formula>
    </cfRule>
    <cfRule type="cellIs" dxfId="7428" priority="3342" operator="lessThanOrEqual">
      <formula>0</formula>
    </cfRule>
  </conditionalFormatting>
  <conditionalFormatting sqref="BY149:BY150">
    <cfRule type="cellIs" dxfId="7427" priority="3339" operator="greaterThan">
      <formula>0</formula>
    </cfRule>
    <cfRule type="cellIs" dxfId="7426" priority="3340" operator="lessThanOrEqual">
      <formula>0</formula>
    </cfRule>
  </conditionalFormatting>
  <conditionalFormatting sqref="BY142:BY143">
    <cfRule type="cellIs" dxfId="7425" priority="3337" operator="greaterThan">
      <formula>0</formula>
    </cfRule>
    <cfRule type="cellIs" dxfId="7424" priority="3338" operator="lessThanOrEqual">
      <formula>0</formula>
    </cfRule>
  </conditionalFormatting>
  <conditionalFormatting sqref="BY152:BY153">
    <cfRule type="cellIs" dxfId="7423" priority="3335" operator="greaterThan">
      <formula>0</formula>
    </cfRule>
    <cfRule type="cellIs" dxfId="7422" priority="3336" operator="lessThanOrEqual">
      <formula>0</formula>
    </cfRule>
  </conditionalFormatting>
  <conditionalFormatting sqref="BY155:BY156">
    <cfRule type="cellIs" dxfId="7421" priority="3333" operator="greaterThan">
      <formula>0</formula>
    </cfRule>
    <cfRule type="cellIs" dxfId="7420" priority="3334" operator="lessThanOrEqual">
      <formula>0</formula>
    </cfRule>
  </conditionalFormatting>
  <conditionalFormatting sqref="BY158:BY159">
    <cfRule type="cellIs" dxfId="7419" priority="3331" operator="greaterThan">
      <formula>0</formula>
    </cfRule>
    <cfRule type="cellIs" dxfId="7418" priority="3332" operator="lessThanOrEqual">
      <formula>0</formula>
    </cfRule>
  </conditionalFormatting>
  <conditionalFormatting sqref="BY168:BY169">
    <cfRule type="cellIs" dxfId="7417" priority="3329" operator="greaterThan">
      <formula>0</formula>
    </cfRule>
    <cfRule type="cellIs" dxfId="7416" priority="3330" operator="lessThanOrEqual">
      <formula>0</formula>
    </cfRule>
  </conditionalFormatting>
  <conditionalFormatting sqref="BY183:BY184">
    <cfRule type="cellIs" dxfId="7415" priority="3327" operator="greaterThan">
      <formula>0</formula>
    </cfRule>
    <cfRule type="cellIs" dxfId="7414" priority="3328" operator="lessThanOrEqual">
      <formula>0</formula>
    </cfRule>
  </conditionalFormatting>
  <conditionalFormatting sqref="BY135">
    <cfRule type="cellIs" dxfId="7413" priority="3323" operator="greaterThan">
      <formula>0</formula>
    </cfRule>
    <cfRule type="cellIs" dxfId="7412" priority="3324" operator="lessThanOrEqual">
      <formula>0</formula>
    </cfRule>
  </conditionalFormatting>
  <conditionalFormatting sqref="BY138">
    <cfRule type="cellIs" dxfId="7411" priority="3321" operator="greaterThan">
      <formula>0</formula>
    </cfRule>
    <cfRule type="cellIs" dxfId="7410" priority="3322" operator="lessThanOrEqual">
      <formula>0</formula>
    </cfRule>
  </conditionalFormatting>
  <conditionalFormatting sqref="BY141">
    <cfRule type="cellIs" dxfId="7409" priority="3319" operator="greaterThan">
      <formula>0</formula>
    </cfRule>
    <cfRule type="cellIs" dxfId="7408" priority="3320" operator="lessThanOrEqual">
      <formula>0</formula>
    </cfRule>
  </conditionalFormatting>
  <conditionalFormatting sqref="BY151">
    <cfRule type="cellIs" dxfId="7407" priority="3317" operator="greaterThan">
      <formula>0</formula>
    </cfRule>
    <cfRule type="cellIs" dxfId="7406" priority="3318" operator="lessThanOrEqual">
      <formula>0</formula>
    </cfRule>
  </conditionalFormatting>
  <conditionalFormatting sqref="BY160">
    <cfRule type="cellIs" dxfId="7405" priority="3309" operator="greaterThan">
      <formula>0</formula>
    </cfRule>
    <cfRule type="cellIs" dxfId="7404" priority="3310" operator="lessThanOrEqual">
      <formula>0</formula>
    </cfRule>
  </conditionalFormatting>
  <conditionalFormatting sqref="BY146">
    <cfRule type="cellIs" dxfId="7403" priority="3307" operator="greaterThan">
      <formula>0</formula>
    </cfRule>
    <cfRule type="cellIs" dxfId="7402" priority="3308" operator="lessThanOrEqual">
      <formula>0</formula>
    </cfRule>
  </conditionalFormatting>
  <conditionalFormatting sqref="BY186">
    <cfRule type="cellIs" dxfId="7401" priority="3305" operator="greaterThan">
      <formula>0</formula>
    </cfRule>
    <cfRule type="cellIs" dxfId="7400" priority="3306" operator="lessThanOrEqual">
      <formula>0</formula>
    </cfRule>
  </conditionalFormatting>
  <conditionalFormatting sqref="BY187">
    <cfRule type="cellIs" dxfId="7399" priority="3303" operator="greaterThan">
      <formula>0</formula>
    </cfRule>
    <cfRule type="cellIs" dxfId="7398" priority="3304" operator="lessThanOrEqual">
      <formula>0</formula>
    </cfRule>
  </conditionalFormatting>
  <conditionalFormatting sqref="BY172">
    <cfRule type="cellIs" dxfId="7397" priority="3301" operator="greaterThan">
      <formula>0</formula>
    </cfRule>
    <cfRule type="cellIs" dxfId="7396" priority="3302" operator="lessThanOrEqual">
      <formula>0</formula>
    </cfRule>
  </conditionalFormatting>
  <conditionalFormatting sqref="BY145">
    <cfRule type="cellIs" dxfId="7395" priority="3299" operator="greaterThan">
      <formula>0</formula>
    </cfRule>
    <cfRule type="cellIs" dxfId="7394" priority="3300" operator="lessThanOrEqual">
      <formula>0</formula>
    </cfRule>
  </conditionalFormatting>
  <conditionalFormatting sqref="BY167">
    <cfRule type="cellIs" dxfId="7393" priority="3285" operator="greaterThan">
      <formula>0</formula>
    </cfRule>
    <cfRule type="cellIs" dxfId="7392" priority="3286" operator="lessThanOrEqual">
      <formula>0</formula>
    </cfRule>
  </conditionalFormatting>
  <conditionalFormatting sqref="BY170">
    <cfRule type="cellIs" dxfId="7391" priority="3283" operator="greaterThan">
      <formula>0</formula>
    </cfRule>
    <cfRule type="cellIs" dxfId="7390" priority="3284" operator="lessThanOrEqual">
      <formula>0</formula>
    </cfRule>
  </conditionalFormatting>
  <conditionalFormatting sqref="BY148">
    <cfRule type="cellIs" dxfId="7389" priority="3297" operator="greaterThan">
      <formula>0</formula>
    </cfRule>
    <cfRule type="cellIs" dxfId="7388" priority="3298" operator="lessThanOrEqual">
      <formula>0</formula>
    </cfRule>
  </conditionalFormatting>
  <conditionalFormatting sqref="BY161">
    <cfRule type="cellIs" dxfId="7387" priority="3295" operator="greaterThan">
      <formula>0</formula>
    </cfRule>
    <cfRule type="cellIs" dxfId="7386" priority="3296" operator="lessThanOrEqual">
      <formula>0</formula>
    </cfRule>
  </conditionalFormatting>
  <conditionalFormatting sqref="BY162:BY163 BY165:BY166">
    <cfRule type="cellIs" dxfId="7385" priority="3291" operator="greaterThan">
      <formula>0</formula>
    </cfRule>
    <cfRule type="cellIs" dxfId="7384" priority="3292" operator="lessThanOrEqual">
      <formula>0</formula>
    </cfRule>
  </conditionalFormatting>
  <conditionalFormatting sqref="BY177:BY178 BY180:BY181">
    <cfRule type="cellIs" dxfId="7383" priority="3289" operator="greaterThan">
      <formula>0</formula>
    </cfRule>
    <cfRule type="cellIs" dxfId="7382" priority="3290" operator="lessThanOrEqual">
      <formula>0</formula>
    </cfRule>
  </conditionalFormatting>
  <conditionalFormatting sqref="BY179">
    <cfRule type="cellIs" dxfId="7381" priority="3281" operator="greaterThan">
      <formula>0</formula>
    </cfRule>
    <cfRule type="cellIs" dxfId="7380" priority="3282" operator="lessThanOrEqual">
      <formula>0</formula>
    </cfRule>
  </conditionalFormatting>
  <conditionalFormatting sqref="BY182">
    <cfRule type="cellIs" dxfId="7379" priority="3279" operator="greaterThan">
      <formula>0</formula>
    </cfRule>
    <cfRule type="cellIs" dxfId="7378" priority="3280" operator="lessThanOrEqual">
      <formula>0</formula>
    </cfRule>
  </conditionalFormatting>
  <conditionalFormatting sqref="BY185">
    <cfRule type="cellIs" dxfId="7377" priority="3277" operator="greaterThan">
      <formula>0</formula>
    </cfRule>
    <cfRule type="cellIs" dxfId="7376" priority="3278" operator="lessThanOrEqual">
      <formula>0</formula>
    </cfRule>
  </conditionalFormatting>
  <conditionalFormatting sqref="BY133">
    <cfRule type="cellIs" dxfId="7375" priority="3275" operator="lessThan">
      <formula>0</formula>
    </cfRule>
    <cfRule type="cellIs" dxfId="7374" priority="3276" operator="greaterThanOrEqual">
      <formula>0</formula>
    </cfRule>
  </conditionalFormatting>
  <conditionalFormatting sqref="BY176">
    <cfRule type="cellIs" dxfId="7373" priority="3273" operator="greaterThan">
      <formula>0</formula>
    </cfRule>
    <cfRule type="cellIs" dxfId="7372" priority="3274" operator="lessThanOrEqual">
      <formula>0</formula>
    </cfRule>
  </conditionalFormatting>
  <conditionalFormatting sqref="BY175">
    <cfRule type="cellIs" dxfId="7371" priority="3271" operator="greaterThan">
      <formula>0</formula>
    </cfRule>
    <cfRule type="cellIs" dxfId="7370" priority="3272" operator="lessThanOrEqual">
      <formula>0</formula>
    </cfRule>
  </conditionalFormatting>
  <conditionalFormatting sqref="BU27">
    <cfRule type="cellIs" dxfId="7369" priority="3269" operator="greaterThan">
      <formula>0</formula>
    </cfRule>
    <cfRule type="cellIs" dxfId="7368" priority="3270" operator="lessThanOrEqual">
      <formula>0</formula>
    </cfRule>
  </conditionalFormatting>
  <conditionalFormatting sqref="BT27">
    <cfRule type="cellIs" dxfId="7367" priority="3268" operator="greaterThanOrEqual">
      <formula>0</formula>
    </cfRule>
  </conditionalFormatting>
  <conditionalFormatting sqref="BT27">
    <cfRule type="cellIs" dxfId="7366" priority="3267" operator="lessThan">
      <formula>0</formula>
    </cfRule>
  </conditionalFormatting>
  <conditionalFormatting sqref="BY27">
    <cfRule type="cellIs" dxfId="7365" priority="3265" operator="greaterThan">
      <formula>0</formula>
    </cfRule>
    <cfRule type="cellIs" dxfId="7364" priority="3266" operator="lessThanOrEqual">
      <formula>0</formula>
    </cfRule>
  </conditionalFormatting>
  <conditionalFormatting sqref="BX27">
    <cfRule type="cellIs" dxfId="7363" priority="3264" operator="greaterThanOrEqual">
      <formula>0</formula>
    </cfRule>
  </conditionalFormatting>
  <conditionalFormatting sqref="BX27">
    <cfRule type="cellIs" dxfId="7362" priority="3263" operator="lessThan">
      <formula>0</formula>
    </cfRule>
  </conditionalFormatting>
  <conditionalFormatting sqref="CA27">
    <cfRule type="cellIs" dxfId="7361" priority="3262" operator="greaterThanOrEqual">
      <formula>0</formula>
    </cfRule>
  </conditionalFormatting>
  <conditionalFormatting sqref="CA27">
    <cfRule type="cellIs" dxfId="7360" priority="3261" operator="lessThan">
      <formula>0</formula>
    </cfRule>
  </conditionalFormatting>
  <conditionalFormatting sqref="CB27">
    <cfRule type="cellIs" dxfId="7359" priority="3260" operator="greaterThanOrEqual">
      <formula>0</formula>
    </cfRule>
  </conditionalFormatting>
  <conditionalFormatting sqref="CB27">
    <cfRule type="cellIs" dxfId="7358" priority="3259" operator="lessThan">
      <formula>0</formula>
    </cfRule>
  </conditionalFormatting>
  <conditionalFormatting sqref="BU90">
    <cfRule type="cellIs" dxfId="7357" priority="3257" operator="greaterThan">
      <formula>0</formula>
    </cfRule>
    <cfRule type="cellIs" dxfId="7356" priority="3258" operator="lessThanOrEqual">
      <formula>0</formula>
    </cfRule>
  </conditionalFormatting>
  <conditionalFormatting sqref="BT90">
    <cfRule type="cellIs" dxfId="7355" priority="3256" operator="greaterThanOrEqual">
      <formula>0</formula>
    </cfRule>
  </conditionalFormatting>
  <conditionalFormatting sqref="BT90">
    <cfRule type="cellIs" dxfId="7354" priority="3255" operator="lessThan">
      <formula>0</formula>
    </cfRule>
  </conditionalFormatting>
  <conditionalFormatting sqref="BY90">
    <cfRule type="cellIs" dxfId="7353" priority="3253" operator="greaterThan">
      <formula>0</formula>
    </cfRule>
    <cfRule type="cellIs" dxfId="7352" priority="3254" operator="lessThanOrEqual">
      <formula>0</formula>
    </cfRule>
  </conditionalFormatting>
  <conditionalFormatting sqref="BX90">
    <cfRule type="cellIs" dxfId="7351" priority="3252" operator="greaterThanOrEqual">
      <formula>0</formula>
    </cfRule>
  </conditionalFormatting>
  <conditionalFormatting sqref="BX90">
    <cfRule type="cellIs" dxfId="7350" priority="3251" operator="lessThan">
      <formula>0</formula>
    </cfRule>
  </conditionalFormatting>
  <conditionalFormatting sqref="CA90">
    <cfRule type="cellIs" dxfId="7349" priority="3250" operator="greaterThanOrEqual">
      <formula>0</formula>
    </cfRule>
  </conditionalFormatting>
  <conditionalFormatting sqref="CA90">
    <cfRule type="cellIs" dxfId="7348" priority="3249" operator="lessThan">
      <formula>0</formula>
    </cfRule>
  </conditionalFormatting>
  <conditionalFormatting sqref="CB90">
    <cfRule type="cellIs" dxfId="7347" priority="3248" operator="greaterThanOrEqual">
      <formula>0</formula>
    </cfRule>
  </conditionalFormatting>
  <conditionalFormatting sqref="CB90">
    <cfRule type="cellIs" dxfId="7346" priority="3247" operator="lessThan">
      <formula>0</formula>
    </cfRule>
  </conditionalFormatting>
  <conditionalFormatting sqref="BU147">
    <cfRule type="cellIs" dxfId="7345" priority="3245" operator="greaterThan">
      <formula>0</formula>
    </cfRule>
    <cfRule type="cellIs" dxfId="7344" priority="3246" operator="lessThanOrEqual">
      <formula>0</formula>
    </cfRule>
  </conditionalFormatting>
  <conditionalFormatting sqref="BX147 CA147:CB147 BT147">
    <cfRule type="cellIs" dxfId="7343" priority="3244" operator="greaterThanOrEqual">
      <formula>0</formula>
    </cfRule>
  </conditionalFormatting>
  <conditionalFormatting sqref="BX147 CA147:CB147 BT147">
    <cfRule type="cellIs" dxfId="7342" priority="3243" operator="lessThan">
      <formula>0</formula>
    </cfRule>
  </conditionalFormatting>
  <conditionalFormatting sqref="BY147">
    <cfRule type="cellIs" dxfId="7341" priority="3241" operator="greaterThan">
      <formula>0</formula>
    </cfRule>
    <cfRule type="cellIs" dxfId="7340" priority="3242" operator="lessThanOrEqual">
      <formula>0</formula>
    </cfRule>
  </conditionalFormatting>
  <conditionalFormatting sqref="CF13:CF14">
    <cfRule type="cellIs" dxfId="7339" priority="3239" operator="greaterThan">
      <formula>0</formula>
    </cfRule>
    <cfRule type="cellIs" dxfId="7338" priority="3240" operator="lessThanOrEqual">
      <formula>0</formula>
    </cfRule>
  </conditionalFormatting>
  <conditionalFormatting sqref="CF16:CF17">
    <cfRule type="cellIs" dxfId="7337" priority="3237" operator="greaterThan">
      <formula>0</formula>
    </cfRule>
    <cfRule type="cellIs" dxfId="7336" priority="3238" operator="lessThanOrEqual">
      <formula>0</formula>
    </cfRule>
  </conditionalFormatting>
  <conditionalFormatting sqref="CF19:CF20">
    <cfRule type="cellIs" dxfId="7335" priority="3235" operator="greaterThan">
      <formula>0</formula>
    </cfRule>
    <cfRule type="cellIs" dxfId="7334" priority="3236" operator="lessThanOrEqual">
      <formula>0</formula>
    </cfRule>
  </conditionalFormatting>
  <conditionalFormatting sqref="CF29:CF30">
    <cfRule type="cellIs" dxfId="7333" priority="3233" operator="greaterThan">
      <formula>0</formula>
    </cfRule>
    <cfRule type="cellIs" dxfId="7332" priority="3234" operator="lessThanOrEqual">
      <formula>0</formula>
    </cfRule>
  </conditionalFormatting>
  <conditionalFormatting sqref="CF22:CF23">
    <cfRule type="cellIs" dxfId="7331" priority="3231" operator="greaterThan">
      <formula>0</formula>
    </cfRule>
    <cfRule type="cellIs" dxfId="7330" priority="3232" operator="lessThanOrEqual">
      <formula>0</formula>
    </cfRule>
  </conditionalFormatting>
  <conditionalFormatting sqref="CF32:CF33">
    <cfRule type="cellIs" dxfId="7329" priority="3229" operator="greaterThan">
      <formula>0</formula>
    </cfRule>
    <cfRule type="cellIs" dxfId="7328" priority="3230" operator="lessThanOrEqual">
      <formula>0</formula>
    </cfRule>
  </conditionalFormatting>
  <conditionalFormatting sqref="CF35:CF36">
    <cfRule type="cellIs" dxfId="7327" priority="3227" operator="greaterThan">
      <formula>0</formula>
    </cfRule>
    <cfRule type="cellIs" dxfId="7326" priority="3228" operator="lessThanOrEqual">
      <formula>0</formula>
    </cfRule>
  </conditionalFormatting>
  <conditionalFormatting sqref="CF38:CF39">
    <cfRule type="cellIs" dxfId="7325" priority="3225" operator="greaterThan">
      <formula>0</formula>
    </cfRule>
    <cfRule type="cellIs" dxfId="7324" priority="3226" operator="lessThanOrEqual">
      <formula>0</formula>
    </cfRule>
  </conditionalFormatting>
  <conditionalFormatting sqref="CF48:CF49">
    <cfRule type="cellIs" dxfId="7323" priority="3223" operator="greaterThan">
      <formula>0</formula>
    </cfRule>
    <cfRule type="cellIs" dxfId="7322" priority="3224" operator="lessThanOrEqual">
      <formula>0</formula>
    </cfRule>
  </conditionalFormatting>
  <conditionalFormatting sqref="CF63:CF64">
    <cfRule type="cellIs" dxfId="7321" priority="3221" operator="greaterThan">
      <formula>0</formula>
    </cfRule>
    <cfRule type="cellIs" dxfId="7320" priority="3222" operator="lessThanOrEqual">
      <formula>0</formula>
    </cfRule>
  </conditionalFormatting>
  <conditionalFormatting sqref="CF53:CF54">
    <cfRule type="cellIs" dxfId="7319" priority="3219" operator="greaterThan">
      <formula>0</formula>
    </cfRule>
    <cfRule type="cellIs" dxfId="7318" priority="3220" operator="lessThanOrEqual">
      <formula>0</formula>
    </cfRule>
  </conditionalFormatting>
  <conditionalFormatting sqref="CF15">
    <cfRule type="cellIs" dxfId="7317" priority="3217" operator="greaterThan">
      <formula>0</formula>
    </cfRule>
    <cfRule type="cellIs" dxfId="7316" priority="3218" operator="lessThanOrEqual">
      <formula>0</formula>
    </cfRule>
  </conditionalFormatting>
  <conditionalFormatting sqref="CF18">
    <cfRule type="cellIs" dxfId="7315" priority="3215" operator="greaterThan">
      <formula>0</formula>
    </cfRule>
    <cfRule type="cellIs" dxfId="7314" priority="3216" operator="lessThanOrEqual">
      <formula>0</formula>
    </cfRule>
  </conditionalFormatting>
  <conditionalFormatting sqref="CF21">
    <cfRule type="cellIs" dxfId="7313" priority="3213" operator="greaterThan">
      <formula>0</formula>
    </cfRule>
    <cfRule type="cellIs" dxfId="7312" priority="3214" operator="lessThanOrEqual">
      <formula>0</formula>
    </cfRule>
  </conditionalFormatting>
  <conditionalFormatting sqref="CF31">
    <cfRule type="cellIs" dxfId="7311" priority="3211" operator="greaterThan">
      <formula>0</formula>
    </cfRule>
    <cfRule type="cellIs" dxfId="7310" priority="3212" operator="lessThanOrEqual">
      <formula>0</formula>
    </cfRule>
  </conditionalFormatting>
  <conditionalFormatting sqref="CF24">
    <cfRule type="cellIs" dxfId="7309" priority="3209" operator="greaterThan">
      <formula>0</formula>
    </cfRule>
    <cfRule type="cellIs" dxfId="7308" priority="3210" operator="lessThanOrEqual">
      <formula>0</formula>
    </cfRule>
  </conditionalFormatting>
  <conditionalFormatting sqref="CF34">
    <cfRule type="cellIs" dxfId="7307" priority="3207" operator="greaterThan">
      <formula>0</formula>
    </cfRule>
    <cfRule type="cellIs" dxfId="7306" priority="3208" operator="lessThanOrEqual">
      <formula>0</formula>
    </cfRule>
  </conditionalFormatting>
  <conditionalFormatting sqref="CF37">
    <cfRule type="cellIs" dxfId="7305" priority="3205" operator="greaterThan">
      <formula>0</formula>
    </cfRule>
    <cfRule type="cellIs" dxfId="7304" priority="3206" operator="lessThanOrEqual">
      <formula>0</formula>
    </cfRule>
  </conditionalFormatting>
  <conditionalFormatting sqref="CF40">
    <cfRule type="cellIs" dxfId="7303" priority="3203" operator="greaterThan">
      <formula>0</formula>
    </cfRule>
    <cfRule type="cellIs" dxfId="7302" priority="3204" operator="lessThanOrEqual">
      <formula>0</formula>
    </cfRule>
  </conditionalFormatting>
  <conditionalFormatting sqref="CF26">
    <cfRule type="cellIs" dxfId="7301" priority="3201" operator="greaterThan">
      <formula>0</formula>
    </cfRule>
    <cfRule type="cellIs" dxfId="7300" priority="3202" operator="lessThanOrEqual">
      <formula>0</formula>
    </cfRule>
  </conditionalFormatting>
  <conditionalFormatting sqref="CF66 CF68 CF71">
    <cfRule type="cellIs" dxfId="7299" priority="3199" operator="greaterThan">
      <formula>0</formula>
    </cfRule>
    <cfRule type="cellIs" dxfId="7298" priority="3200" operator="lessThanOrEqual">
      <formula>0</formula>
    </cfRule>
  </conditionalFormatting>
  <conditionalFormatting sqref="CE13:CE14 CE16:CE17 CE19:CE20 CE22:CE23 CE29:CE30 CE32:CE33 CE35:CE36 CE38:CE39 CE48:CE49 CE53:CE54">
    <cfRule type="cellIs" dxfId="7297" priority="3197" operator="lessThan">
      <formula>0</formula>
    </cfRule>
    <cfRule type="cellIs" dxfId="7296" priority="3198" operator="greaterThanOrEqual">
      <formula>0</formula>
    </cfRule>
  </conditionalFormatting>
  <conditionalFormatting sqref="CE15 CE18 CE21 CE24 CE26 CE31 CE34 CE37 CE40">
    <cfRule type="cellIs" dxfId="7295" priority="3196" operator="greaterThanOrEqual">
      <formula>0</formula>
    </cfRule>
  </conditionalFormatting>
  <conditionalFormatting sqref="CE15 CE18 CE21 CE24 CE26 CE31 CE34 CE37 CE40">
    <cfRule type="cellIs" dxfId="7294" priority="3195" operator="lessThan">
      <formula>0</formula>
    </cfRule>
  </conditionalFormatting>
  <conditionalFormatting sqref="CF73">
    <cfRule type="cellIs" dxfId="7293" priority="3193" operator="greaterThan">
      <formula>0</formula>
    </cfRule>
    <cfRule type="cellIs" dxfId="7292" priority="3194" operator="lessThanOrEqual">
      <formula>0</formula>
    </cfRule>
  </conditionalFormatting>
  <conditionalFormatting sqref="CF67">
    <cfRule type="cellIs" dxfId="7291" priority="3191" operator="greaterThan">
      <formula>0</formula>
    </cfRule>
    <cfRule type="cellIs" dxfId="7290" priority="3192" operator="lessThanOrEqual">
      <formula>0</formula>
    </cfRule>
  </conditionalFormatting>
  <conditionalFormatting sqref="CE67">
    <cfRule type="cellIs" dxfId="7289" priority="3189" operator="greaterThanOrEqual">
      <formula>0</formula>
    </cfRule>
    <cfRule type="cellIs" dxfId="7288" priority="3190" operator="lessThan">
      <formula>0</formula>
    </cfRule>
  </conditionalFormatting>
  <conditionalFormatting sqref="CL13:CL14 CL16:CL17 CL19:CL20 CL22:CL23 CL29:CL30 CL32:CL33 CL35:CL36 CL38:CL39 CL48:CL49">
    <cfRule type="cellIs" dxfId="7287" priority="3187" operator="lessThan">
      <formula>0</formula>
    </cfRule>
    <cfRule type="cellIs" dxfId="7286" priority="3188" operator="greaterThanOrEqual">
      <formula>0</formula>
    </cfRule>
  </conditionalFormatting>
  <conditionalFormatting sqref="CL15 CL24 CL18 CL21 CL31 CL34 CL37 CL40">
    <cfRule type="cellIs" dxfId="7285" priority="3186" operator="greaterThanOrEqual">
      <formula>0</formula>
    </cfRule>
  </conditionalFormatting>
  <conditionalFormatting sqref="CL15 CL24 CL18 CL21 CL31 CL34 CL37 CL40">
    <cfRule type="cellIs" dxfId="7284" priority="3185" operator="lessThan">
      <formula>0</formula>
    </cfRule>
  </conditionalFormatting>
  <conditionalFormatting sqref="CL71 CL73">
    <cfRule type="cellIs" dxfId="7283" priority="3183" operator="lessThan">
      <formula>0</formula>
    </cfRule>
    <cfRule type="cellIs" dxfId="7282" priority="3184" operator="greaterThanOrEqual">
      <formula>0</formula>
    </cfRule>
  </conditionalFormatting>
  <conditionalFormatting sqref="CL67">
    <cfRule type="cellIs" dxfId="7281" priority="3181" operator="greaterThanOrEqual">
      <formula>0</formula>
    </cfRule>
    <cfRule type="cellIs" dxfId="7280" priority="3182" operator="lessThan">
      <formula>0</formula>
    </cfRule>
  </conditionalFormatting>
  <conditionalFormatting sqref="CM13:CM14">
    <cfRule type="cellIs" dxfId="7279" priority="3179" operator="greaterThan">
      <formula>0</formula>
    </cfRule>
    <cfRule type="cellIs" dxfId="7278" priority="3180" operator="lessThanOrEqual">
      <formula>0</formula>
    </cfRule>
  </conditionalFormatting>
  <conditionalFormatting sqref="CM68">
    <cfRule type="cellIs" dxfId="7277" priority="3177" operator="lessThan">
      <formula>0</formula>
    </cfRule>
    <cfRule type="cellIs" dxfId="7276" priority="3178" operator="greaterThanOrEqual">
      <formula>0</formula>
    </cfRule>
  </conditionalFormatting>
  <conditionalFormatting sqref="CM15 CM24 CM18 CM21 CM31 CM34 CM37 CM40">
    <cfRule type="cellIs" dxfId="7275" priority="3176" operator="greaterThanOrEqual">
      <formula>0</formula>
    </cfRule>
  </conditionalFormatting>
  <conditionalFormatting sqref="CM15 CM24 CM18 CM21 CM31 CM34 CM37 CM40">
    <cfRule type="cellIs" dxfId="7274" priority="3175" operator="lessThan">
      <formula>0</formula>
    </cfRule>
  </conditionalFormatting>
  <conditionalFormatting sqref="CL68">
    <cfRule type="cellIs" dxfId="7273" priority="3173" operator="lessThan">
      <formula>0</formula>
    </cfRule>
    <cfRule type="cellIs" dxfId="7272" priority="3174" operator="greaterThanOrEqual">
      <formula>0</formula>
    </cfRule>
  </conditionalFormatting>
  <conditionalFormatting sqref="CM71 CM73">
    <cfRule type="cellIs" dxfId="7271" priority="3171" operator="lessThan">
      <formula>0</formula>
    </cfRule>
    <cfRule type="cellIs" dxfId="7270" priority="3172" operator="greaterThanOrEqual">
      <formula>0</formula>
    </cfRule>
  </conditionalFormatting>
  <conditionalFormatting sqref="CM67">
    <cfRule type="cellIs" dxfId="7269" priority="3169" operator="lessThan">
      <formula>0</formula>
    </cfRule>
    <cfRule type="cellIs" dxfId="7268" priority="3170" operator="greaterThanOrEqual">
      <formula>0</formula>
    </cfRule>
  </conditionalFormatting>
  <conditionalFormatting sqref="CE62">
    <cfRule type="cellIs" dxfId="7267" priority="3150" operator="greaterThanOrEqual">
      <formula>0</formula>
    </cfRule>
  </conditionalFormatting>
  <conditionalFormatting sqref="CE62">
    <cfRule type="cellIs" dxfId="7266" priority="3149" operator="lessThan">
      <formula>0</formula>
    </cfRule>
  </conditionalFormatting>
  <conditionalFormatting sqref="CF44">
    <cfRule type="cellIs" dxfId="7265" priority="3159" operator="greaterThan">
      <formula>0</formula>
    </cfRule>
    <cfRule type="cellIs" dxfId="7264" priority="3160" operator="lessThanOrEqual">
      <formula>0</formula>
    </cfRule>
  </conditionalFormatting>
  <conditionalFormatting sqref="CF47">
    <cfRule type="cellIs" dxfId="7263" priority="3157" operator="greaterThan">
      <formula>0</formula>
    </cfRule>
    <cfRule type="cellIs" dxfId="7262" priority="3158" operator="lessThanOrEqual">
      <formula>0</formula>
    </cfRule>
  </conditionalFormatting>
  <conditionalFormatting sqref="CF50">
    <cfRule type="cellIs" dxfId="7261" priority="3155" operator="greaterThan">
      <formula>0</formula>
    </cfRule>
    <cfRule type="cellIs" dxfId="7260" priority="3156" operator="lessThanOrEqual">
      <formula>0</formula>
    </cfRule>
  </conditionalFormatting>
  <conditionalFormatting sqref="CF28">
    <cfRule type="cellIs" dxfId="7259" priority="3167" operator="greaterThan">
      <formula>0</formula>
    </cfRule>
    <cfRule type="cellIs" dxfId="7258" priority="3168" operator="lessThanOrEqual">
      <formula>0</formula>
    </cfRule>
  </conditionalFormatting>
  <conditionalFormatting sqref="CF41">
    <cfRule type="cellIs" dxfId="7257" priority="3165" operator="greaterThan">
      <formula>0</formula>
    </cfRule>
    <cfRule type="cellIs" dxfId="7256" priority="3166" operator="lessThanOrEqual">
      <formula>0</formula>
    </cfRule>
  </conditionalFormatting>
  <conditionalFormatting sqref="CI182">
    <cfRule type="cellIs" dxfId="7255" priority="2954" operator="greaterThanOrEqual">
      <formula>0</formula>
    </cfRule>
  </conditionalFormatting>
  <conditionalFormatting sqref="CI182">
    <cfRule type="cellIs" dxfId="7254" priority="2953" operator="lessThan">
      <formula>0</formula>
    </cfRule>
  </conditionalFormatting>
  <conditionalFormatting sqref="CF42:CF43 CF45:CF46">
    <cfRule type="cellIs" dxfId="7253" priority="3163" operator="greaterThan">
      <formula>0</formula>
    </cfRule>
    <cfRule type="cellIs" dxfId="7252" priority="3164" operator="lessThanOrEqual">
      <formula>0</formula>
    </cfRule>
  </conditionalFormatting>
  <conditionalFormatting sqref="CF57:CF58 CF60:CF61">
    <cfRule type="cellIs" dxfId="7251" priority="3161" operator="greaterThan">
      <formula>0</formula>
    </cfRule>
    <cfRule type="cellIs" dxfId="7250" priority="3162" operator="lessThanOrEqual">
      <formula>0</formula>
    </cfRule>
  </conditionalFormatting>
  <conditionalFormatting sqref="CF59">
    <cfRule type="cellIs" dxfId="7249" priority="3153" operator="greaterThan">
      <formula>0</formula>
    </cfRule>
    <cfRule type="cellIs" dxfId="7248" priority="3154" operator="lessThanOrEqual">
      <formula>0</formula>
    </cfRule>
  </conditionalFormatting>
  <conditionalFormatting sqref="CF62">
    <cfRule type="cellIs" dxfId="7247" priority="3151" operator="greaterThan">
      <formula>0</formula>
    </cfRule>
    <cfRule type="cellIs" dxfId="7246" priority="3152" operator="lessThanOrEqual">
      <formula>0</formula>
    </cfRule>
  </conditionalFormatting>
  <conditionalFormatting sqref="CF65">
    <cfRule type="cellIs" dxfId="7245" priority="3147" operator="greaterThan">
      <formula>0</formula>
    </cfRule>
    <cfRule type="cellIs" dxfId="7244" priority="3148" operator="lessThanOrEqual">
      <formula>0</formula>
    </cfRule>
  </conditionalFormatting>
  <conditionalFormatting sqref="CJ47">
    <cfRule type="cellIs" dxfId="7243" priority="2817" operator="greaterThan">
      <formula>0</formula>
    </cfRule>
    <cfRule type="cellIs" dxfId="7242" priority="2818" operator="lessThanOrEqual">
      <formula>0</formula>
    </cfRule>
  </conditionalFormatting>
  <conditionalFormatting sqref="CJ59">
    <cfRule type="cellIs" dxfId="7241" priority="2813" operator="greaterThan">
      <formula>0</formula>
    </cfRule>
    <cfRule type="cellIs" dxfId="7240" priority="2814" operator="lessThanOrEqual">
      <formula>0</formula>
    </cfRule>
  </conditionalFormatting>
  <conditionalFormatting sqref="CI62">
    <cfRule type="cellIs" dxfId="7239" priority="2810" operator="greaterThanOrEqual">
      <formula>0</formula>
    </cfRule>
  </conditionalFormatting>
  <conditionalFormatting sqref="CI62">
    <cfRule type="cellIs" dxfId="7238" priority="2809" operator="lessThan">
      <formula>0</formula>
    </cfRule>
  </conditionalFormatting>
  <conditionalFormatting sqref="CF134">
    <cfRule type="cellIs" dxfId="7237" priority="3145" operator="greaterThan">
      <formula>0</formula>
    </cfRule>
    <cfRule type="cellIs" dxfId="7236" priority="3146" operator="lessThanOrEqual">
      <formula>0</formula>
    </cfRule>
  </conditionalFormatting>
  <conditionalFormatting sqref="CF136:CF137">
    <cfRule type="cellIs" dxfId="7235" priority="3143" operator="greaterThan">
      <formula>0</formula>
    </cfRule>
    <cfRule type="cellIs" dxfId="7234" priority="3144" operator="lessThanOrEqual">
      <formula>0</formula>
    </cfRule>
  </conditionalFormatting>
  <conditionalFormatting sqref="CF173:CF174">
    <cfRule type="cellIs" dxfId="7233" priority="3125" operator="greaterThan">
      <formula>0</formula>
    </cfRule>
    <cfRule type="cellIs" dxfId="7232" priority="3126" operator="lessThanOrEqual">
      <formula>0</formula>
    </cfRule>
  </conditionalFormatting>
  <conditionalFormatting sqref="CF144">
    <cfRule type="cellIs" dxfId="7231" priority="3115" operator="greaterThan">
      <formula>0</formula>
    </cfRule>
    <cfRule type="cellIs" dxfId="7230" priority="3116" operator="lessThanOrEqual">
      <formula>0</formula>
    </cfRule>
  </conditionalFormatting>
  <conditionalFormatting sqref="CF154">
    <cfRule type="cellIs" dxfId="7229" priority="3113" operator="greaterThan">
      <formula>0</formula>
    </cfRule>
    <cfRule type="cellIs" dxfId="7228" priority="3114" operator="lessThanOrEqual">
      <formula>0</formula>
    </cfRule>
  </conditionalFormatting>
  <conditionalFormatting sqref="CF157">
    <cfRule type="cellIs" dxfId="7227" priority="3111" operator="greaterThan">
      <formula>0</formula>
    </cfRule>
    <cfRule type="cellIs" dxfId="7226" priority="3112" operator="lessThanOrEqual">
      <formula>0</formula>
    </cfRule>
  </conditionalFormatting>
  <conditionalFormatting sqref="CE164">
    <cfRule type="cellIs" dxfId="7225" priority="2996" operator="greaterThanOrEqual">
      <formula>0</formula>
    </cfRule>
  </conditionalFormatting>
  <conditionalFormatting sqref="CE164">
    <cfRule type="cellIs" dxfId="7224" priority="2995" operator="lessThan">
      <formula>0</formula>
    </cfRule>
  </conditionalFormatting>
  <conditionalFormatting sqref="CF164">
    <cfRule type="cellIs" dxfId="7223" priority="2997" operator="greaterThan">
      <formula>0</formula>
    </cfRule>
    <cfRule type="cellIs" dxfId="7222" priority="2998" operator="lessThanOrEqual">
      <formula>0</formula>
    </cfRule>
  </conditionalFormatting>
  <conditionalFormatting sqref="CI185">
    <cfRule type="cellIs" dxfId="7221" priority="2944" operator="greaterThanOrEqual">
      <formula>0</formula>
    </cfRule>
  </conditionalFormatting>
  <conditionalFormatting sqref="CI185">
    <cfRule type="cellIs" dxfId="7220" priority="2943" operator="lessThan">
      <formula>0</formula>
    </cfRule>
  </conditionalFormatting>
  <conditionalFormatting sqref="CM145">
    <cfRule type="cellIs" dxfId="7219" priority="3042" operator="greaterThanOrEqual">
      <formula>0</formula>
    </cfRule>
  </conditionalFormatting>
  <conditionalFormatting sqref="CM145">
    <cfRule type="cellIs" dxfId="7218" priority="3041" operator="lessThan">
      <formula>0</formula>
    </cfRule>
  </conditionalFormatting>
  <conditionalFormatting sqref="CI160 CI186">
    <cfRule type="cellIs" dxfId="7217" priority="3094" operator="greaterThanOrEqual">
      <formula>0</formula>
    </cfRule>
  </conditionalFormatting>
  <conditionalFormatting sqref="CI160 CI186">
    <cfRule type="cellIs" dxfId="7216" priority="3093" operator="lessThan">
      <formula>0</formula>
    </cfRule>
  </conditionalFormatting>
  <conditionalFormatting sqref="CF171">
    <cfRule type="cellIs" dxfId="7215" priority="3023" operator="greaterThan">
      <formula>0</formula>
    </cfRule>
    <cfRule type="cellIs" dxfId="7214" priority="3024" operator="lessThanOrEqual">
      <formula>0</formula>
    </cfRule>
  </conditionalFormatting>
  <conditionalFormatting sqref="CE171">
    <cfRule type="cellIs" dxfId="7213" priority="3022" operator="greaterThanOrEqual">
      <formula>0</formula>
    </cfRule>
  </conditionalFormatting>
  <conditionalFormatting sqref="CE171">
    <cfRule type="cellIs" dxfId="7212" priority="3021" operator="lessThan">
      <formula>0</formula>
    </cfRule>
  </conditionalFormatting>
  <conditionalFormatting sqref="CM167">
    <cfRule type="cellIs" dxfId="7211" priority="2980" operator="greaterThanOrEqual">
      <formula>0</formula>
    </cfRule>
  </conditionalFormatting>
  <conditionalFormatting sqref="CM167">
    <cfRule type="cellIs" dxfId="7210" priority="2979" operator="lessThan">
      <formula>0</formula>
    </cfRule>
  </conditionalFormatting>
  <conditionalFormatting sqref="CF139:CF140">
    <cfRule type="cellIs" dxfId="7209" priority="3141" operator="greaterThan">
      <formula>0</formula>
    </cfRule>
    <cfRule type="cellIs" dxfId="7208" priority="3142" operator="lessThanOrEqual">
      <formula>0</formula>
    </cfRule>
  </conditionalFormatting>
  <conditionalFormatting sqref="CF149:CF150">
    <cfRule type="cellIs" dxfId="7207" priority="3139" operator="greaterThan">
      <formula>0</formula>
    </cfRule>
    <cfRule type="cellIs" dxfId="7206" priority="3140" operator="lessThanOrEqual">
      <formula>0</formula>
    </cfRule>
  </conditionalFormatting>
  <conditionalFormatting sqref="CF142:CF143">
    <cfRule type="cellIs" dxfId="7205" priority="3137" operator="greaterThan">
      <formula>0</formula>
    </cfRule>
    <cfRule type="cellIs" dxfId="7204" priority="3138" operator="lessThanOrEqual">
      <formula>0</formula>
    </cfRule>
  </conditionalFormatting>
  <conditionalFormatting sqref="CF152:CF153">
    <cfRule type="cellIs" dxfId="7203" priority="3135" operator="greaterThan">
      <formula>0</formula>
    </cfRule>
    <cfRule type="cellIs" dxfId="7202" priority="3136" operator="lessThanOrEqual">
      <formula>0</formula>
    </cfRule>
  </conditionalFormatting>
  <conditionalFormatting sqref="CF155:CF156">
    <cfRule type="cellIs" dxfId="7201" priority="3133" operator="greaterThan">
      <formula>0</formula>
    </cfRule>
    <cfRule type="cellIs" dxfId="7200" priority="3134" operator="lessThanOrEqual">
      <formula>0</formula>
    </cfRule>
  </conditionalFormatting>
  <conditionalFormatting sqref="CF158:CF159">
    <cfRule type="cellIs" dxfId="7199" priority="3131" operator="greaterThan">
      <formula>0</formula>
    </cfRule>
    <cfRule type="cellIs" dxfId="7198" priority="3132" operator="lessThanOrEqual">
      <formula>0</formula>
    </cfRule>
  </conditionalFormatting>
  <conditionalFormatting sqref="CF168:CF169">
    <cfRule type="cellIs" dxfId="7197" priority="3129" operator="greaterThan">
      <formula>0</formula>
    </cfRule>
    <cfRule type="cellIs" dxfId="7196" priority="3130" operator="lessThanOrEqual">
      <formula>0</formula>
    </cfRule>
  </conditionalFormatting>
  <conditionalFormatting sqref="CF183:CF184">
    <cfRule type="cellIs" dxfId="7195" priority="3127" operator="greaterThan">
      <formula>0</formula>
    </cfRule>
    <cfRule type="cellIs" dxfId="7194" priority="3128" operator="lessThanOrEqual">
      <formula>0</formula>
    </cfRule>
  </conditionalFormatting>
  <conditionalFormatting sqref="CF135">
    <cfRule type="cellIs" dxfId="7193" priority="3123" operator="greaterThan">
      <formula>0</formula>
    </cfRule>
    <cfRule type="cellIs" dxfId="7192" priority="3124" operator="lessThanOrEqual">
      <formula>0</formula>
    </cfRule>
  </conditionalFormatting>
  <conditionalFormatting sqref="CF138">
    <cfRule type="cellIs" dxfId="7191" priority="3121" operator="greaterThan">
      <formula>0</formula>
    </cfRule>
    <cfRule type="cellIs" dxfId="7190" priority="3122" operator="lessThanOrEqual">
      <formula>0</formula>
    </cfRule>
  </conditionalFormatting>
  <conditionalFormatting sqref="CF141">
    <cfRule type="cellIs" dxfId="7189" priority="3119" operator="greaterThan">
      <formula>0</formula>
    </cfRule>
    <cfRule type="cellIs" dxfId="7188" priority="3120" operator="lessThanOrEqual">
      <formula>0</formula>
    </cfRule>
  </conditionalFormatting>
  <conditionalFormatting sqref="CF151">
    <cfRule type="cellIs" dxfId="7187" priority="3117" operator="greaterThan">
      <formula>0</formula>
    </cfRule>
    <cfRule type="cellIs" dxfId="7186" priority="3118" operator="lessThanOrEqual">
      <formula>0</formula>
    </cfRule>
  </conditionalFormatting>
  <conditionalFormatting sqref="CF160">
    <cfRule type="cellIs" dxfId="7185" priority="3109" operator="greaterThan">
      <formula>0</formula>
    </cfRule>
    <cfRule type="cellIs" dxfId="7184" priority="3110" operator="lessThanOrEqual">
      <formula>0</formula>
    </cfRule>
  </conditionalFormatting>
  <conditionalFormatting sqref="CF146">
    <cfRule type="cellIs" dxfId="7183" priority="3107" operator="greaterThan">
      <formula>0</formula>
    </cfRule>
    <cfRule type="cellIs" dxfId="7182" priority="3108" operator="lessThanOrEqual">
      <formula>0</formula>
    </cfRule>
  </conditionalFormatting>
  <conditionalFormatting sqref="CF186">
    <cfRule type="cellIs" dxfId="7181" priority="3105" operator="greaterThan">
      <formula>0</formula>
    </cfRule>
    <cfRule type="cellIs" dxfId="7180" priority="3106" operator="lessThanOrEqual">
      <formula>0</formula>
    </cfRule>
  </conditionalFormatting>
  <conditionalFormatting sqref="CE133:CE134 CE136:CE137 CE139:CE140 CE149:CE150 CE142:CE143 CE152:CE153 CE155:CE156 CE158:CE159 CE168:CE169 CE183:CE184 CE173:CE174 CI183:CI184 CI173:CI174 CL183:CM184 CL173:CM174">
    <cfRule type="cellIs" dxfId="7179" priority="3103" operator="lessThan">
      <formula>0</formula>
    </cfRule>
    <cfRule type="cellIs" dxfId="7178" priority="3104" operator="greaterThanOrEqual">
      <formula>0</formula>
    </cfRule>
  </conditionalFormatting>
  <conditionalFormatting sqref="CE135 CE138 CE141 CE154 CE157 CE160 CE186 CI146 CL146:CM146 CE151 CE144 CE146">
    <cfRule type="cellIs" dxfId="7177" priority="3102" operator="greaterThanOrEqual">
      <formula>0</formula>
    </cfRule>
  </conditionalFormatting>
  <conditionalFormatting sqref="CE135 CE138 CE141 CE154 CE157 CE160 CE186 CI146 CL146:CM146 CE151 CE144 CE146">
    <cfRule type="cellIs" dxfId="7176" priority="3101" operator="lessThan">
      <formula>0</formula>
    </cfRule>
  </conditionalFormatting>
  <conditionalFormatting sqref="CI133:CI134 CI136:CI137 CI139:CI140 CI149:CI150 CI142:CI143 CI152:CI153 CI155:CI156">
    <cfRule type="cellIs" dxfId="7175" priority="3099" operator="lessThan">
      <formula>0</formula>
    </cfRule>
    <cfRule type="cellIs" dxfId="7174" priority="3100" operator="greaterThanOrEqual">
      <formula>0</formula>
    </cfRule>
  </conditionalFormatting>
  <conditionalFormatting sqref="CI135 CI138 CI141 CI151 CI144 CI154 CI157">
    <cfRule type="cellIs" dxfId="7173" priority="3098" operator="greaterThanOrEqual">
      <formula>0</formula>
    </cfRule>
  </conditionalFormatting>
  <conditionalFormatting sqref="CI135 CI138 CI141 CI151 CI144 CI154 CI157">
    <cfRule type="cellIs" dxfId="7172" priority="3097" operator="lessThan">
      <formula>0</formula>
    </cfRule>
  </conditionalFormatting>
  <conditionalFormatting sqref="CI158:CI159 CI168:CI169">
    <cfRule type="cellIs" dxfId="7171" priority="3095" operator="lessThan">
      <formula>0</formula>
    </cfRule>
    <cfRule type="cellIs" dxfId="7170" priority="3096" operator="greaterThanOrEqual">
      <formula>0</formula>
    </cfRule>
  </conditionalFormatting>
  <conditionalFormatting sqref="CF187">
    <cfRule type="cellIs" dxfId="7169" priority="3091" operator="greaterThan">
      <formula>0</formula>
    </cfRule>
    <cfRule type="cellIs" dxfId="7168" priority="3092" operator="lessThanOrEqual">
      <formula>0</formula>
    </cfRule>
  </conditionalFormatting>
  <conditionalFormatting sqref="CI187">
    <cfRule type="cellIs" dxfId="7167" priority="3089" operator="greaterThanOrEqual">
      <formula>0</formula>
    </cfRule>
    <cfRule type="cellIs" dxfId="7166" priority="3090" operator="lessThan">
      <formula>0</formula>
    </cfRule>
  </conditionalFormatting>
  <conditionalFormatting sqref="CE187">
    <cfRule type="cellIs" dxfId="7165" priority="3087" operator="greaterThanOrEqual">
      <formula>0</formula>
    </cfRule>
    <cfRule type="cellIs" dxfId="7164" priority="3088" operator="lessThan">
      <formula>0</formula>
    </cfRule>
  </conditionalFormatting>
  <conditionalFormatting sqref="CL133:CL134 CL136:CL137 CL139:CL140 CL149:CL150 CL142:CL143 CL152:CL153 CL155:CL156 CL158:CL159 CL168:CL169">
    <cfRule type="cellIs" dxfId="7163" priority="3085" operator="lessThan">
      <formula>0</formula>
    </cfRule>
    <cfRule type="cellIs" dxfId="7162" priority="3086" operator="greaterThanOrEqual">
      <formula>0</formula>
    </cfRule>
  </conditionalFormatting>
  <conditionalFormatting sqref="CL135 CL138 CL141 CL151 CL144 CL154 CL157 CL160 CL186">
    <cfRule type="cellIs" dxfId="7161" priority="3084" operator="greaterThanOrEqual">
      <formula>0</formula>
    </cfRule>
  </conditionalFormatting>
  <conditionalFormatting sqref="CL135 CL138 CL141 CL151 CL144 CL154 CL157 CL160 CL186">
    <cfRule type="cellIs" dxfId="7160" priority="3083" operator="lessThan">
      <formula>0</formula>
    </cfRule>
  </conditionalFormatting>
  <conditionalFormatting sqref="CL187">
    <cfRule type="cellIs" dxfId="7159" priority="3081" operator="greaterThanOrEqual">
      <formula>0</formula>
    </cfRule>
    <cfRule type="cellIs" dxfId="7158" priority="3082" operator="lessThan">
      <formula>0</formula>
    </cfRule>
  </conditionalFormatting>
  <conditionalFormatting sqref="CM133:CM134">
    <cfRule type="cellIs" dxfId="7157" priority="3079" operator="greaterThan">
      <formula>0</formula>
    </cfRule>
    <cfRule type="cellIs" dxfId="7156" priority="3080" operator="lessThanOrEqual">
      <formula>0</formula>
    </cfRule>
  </conditionalFormatting>
  <conditionalFormatting sqref="CM136:CM137">
    <cfRule type="cellIs" dxfId="7155" priority="3077" operator="greaterThan">
      <formula>0</formula>
    </cfRule>
    <cfRule type="cellIs" dxfId="7154" priority="3078" operator="lessThanOrEqual">
      <formula>0</formula>
    </cfRule>
  </conditionalFormatting>
  <conditionalFormatting sqref="CM139:CM140">
    <cfRule type="cellIs" dxfId="7153" priority="3075" operator="greaterThan">
      <formula>0</formula>
    </cfRule>
    <cfRule type="cellIs" dxfId="7152" priority="3076" operator="lessThanOrEqual">
      <formula>0</formula>
    </cfRule>
  </conditionalFormatting>
  <conditionalFormatting sqref="CM149:CM150">
    <cfRule type="cellIs" dxfId="7151" priority="3073" operator="greaterThan">
      <formula>0</formula>
    </cfRule>
    <cfRule type="cellIs" dxfId="7150" priority="3074" operator="lessThanOrEqual">
      <formula>0</formula>
    </cfRule>
  </conditionalFormatting>
  <conditionalFormatting sqref="CM142:CM143">
    <cfRule type="cellIs" dxfId="7149" priority="3071" operator="greaterThan">
      <formula>0</formula>
    </cfRule>
    <cfRule type="cellIs" dxfId="7148" priority="3072" operator="lessThanOrEqual">
      <formula>0</formula>
    </cfRule>
  </conditionalFormatting>
  <conditionalFormatting sqref="CM152:CM153">
    <cfRule type="cellIs" dxfId="7147" priority="3069" operator="greaterThan">
      <formula>0</formula>
    </cfRule>
    <cfRule type="cellIs" dxfId="7146" priority="3070" operator="lessThanOrEqual">
      <formula>0</formula>
    </cfRule>
  </conditionalFormatting>
  <conditionalFormatting sqref="CM155:CM156">
    <cfRule type="cellIs" dxfId="7145" priority="3067" operator="greaterThan">
      <formula>0</formula>
    </cfRule>
    <cfRule type="cellIs" dxfId="7144" priority="3068" operator="lessThanOrEqual">
      <formula>0</formula>
    </cfRule>
  </conditionalFormatting>
  <conditionalFormatting sqref="CM158:CM159 CM168:CM169">
    <cfRule type="cellIs" dxfId="7143" priority="3065" operator="lessThan">
      <formula>0</formula>
    </cfRule>
    <cfRule type="cellIs" dxfId="7142" priority="3066" operator="greaterThanOrEqual">
      <formula>0</formula>
    </cfRule>
  </conditionalFormatting>
  <conditionalFormatting sqref="CM135 CM138 CM141 CM151 CM144 CM154 CM157 CM160 CM186">
    <cfRule type="cellIs" dxfId="7141" priority="3064" operator="greaterThanOrEqual">
      <formula>0</formula>
    </cfRule>
  </conditionalFormatting>
  <conditionalFormatting sqref="CM135 CM138 CM141 CM151 CM144 CM154 CM157 CM160 CM186">
    <cfRule type="cellIs" dxfId="7140" priority="3063" operator="lessThan">
      <formula>0</formula>
    </cfRule>
  </conditionalFormatting>
  <conditionalFormatting sqref="CM187">
    <cfRule type="cellIs" dxfId="7139" priority="3061" operator="lessThan">
      <formula>0</formula>
    </cfRule>
    <cfRule type="cellIs" dxfId="7138" priority="3062" operator="greaterThanOrEqual">
      <formula>0</formula>
    </cfRule>
  </conditionalFormatting>
  <conditionalFormatting sqref="CF172">
    <cfRule type="cellIs" dxfId="7137" priority="3059" operator="greaterThan">
      <formula>0</formula>
    </cfRule>
    <cfRule type="cellIs" dxfId="7136" priority="3060" operator="lessThanOrEqual">
      <formula>0</formula>
    </cfRule>
  </conditionalFormatting>
  <conditionalFormatting sqref="CE172">
    <cfRule type="cellIs" dxfId="7135" priority="3058" operator="greaterThanOrEqual">
      <formula>0</formula>
    </cfRule>
  </conditionalFormatting>
  <conditionalFormatting sqref="CE172">
    <cfRule type="cellIs" dxfId="7134" priority="3057" operator="lessThan">
      <formula>0</formula>
    </cfRule>
  </conditionalFormatting>
  <conditionalFormatting sqref="CI172">
    <cfRule type="cellIs" dxfId="7133" priority="3056" operator="greaterThanOrEqual">
      <formula>0</formula>
    </cfRule>
  </conditionalFormatting>
  <conditionalFormatting sqref="CI172">
    <cfRule type="cellIs" dxfId="7132" priority="3055" operator="lessThan">
      <formula>0</formula>
    </cfRule>
  </conditionalFormatting>
  <conditionalFormatting sqref="CL172">
    <cfRule type="cellIs" dxfId="7131" priority="3054" operator="greaterThanOrEqual">
      <formula>0</formula>
    </cfRule>
  </conditionalFormatting>
  <conditionalFormatting sqref="CL172">
    <cfRule type="cellIs" dxfId="7130" priority="3053" operator="lessThan">
      <formula>0</formula>
    </cfRule>
  </conditionalFormatting>
  <conditionalFormatting sqref="CM172">
    <cfRule type="cellIs" dxfId="7129" priority="3052" operator="greaterThanOrEqual">
      <formula>0</formula>
    </cfRule>
  </conditionalFormatting>
  <conditionalFormatting sqref="CM172">
    <cfRule type="cellIs" dxfId="7128" priority="3051" operator="lessThan">
      <formula>0</formula>
    </cfRule>
  </conditionalFormatting>
  <conditionalFormatting sqref="CE161">
    <cfRule type="cellIs" dxfId="7127" priority="3030" operator="greaterThanOrEqual">
      <formula>0</formula>
    </cfRule>
  </conditionalFormatting>
  <conditionalFormatting sqref="CE161">
    <cfRule type="cellIs" dxfId="7126" priority="3029" operator="lessThan">
      <formula>0</formula>
    </cfRule>
  </conditionalFormatting>
  <conditionalFormatting sqref="CF145">
    <cfRule type="cellIs" dxfId="7125" priority="3049" operator="greaterThan">
      <formula>0</formula>
    </cfRule>
    <cfRule type="cellIs" dxfId="7124" priority="3050" operator="lessThanOrEqual">
      <formula>0</formula>
    </cfRule>
  </conditionalFormatting>
  <conditionalFormatting sqref="CE145">
    <cfRule type="cellIs" dxfId="7123" priority="3048" operator="greaterThanOrEqual">
      <formula>0</formula>
    </cfRule>
  </conditionalFormatting>
  <conditionalFormatting sqref="CE145">
    <cfRule type="cellIs" dxfId="7122" priority="3047" operator="lessThan">
      <formula>0</formula>
    </cfRule>
  </conditionalFormatting>
  <conditionalFormatting sqref="CI145">
    <cfRule type="cellIs" dxfId="7121" priority="3046" operator="greaterThanOrEqual">
      <formula>0</formula>
    </cfRule>
  </conditionalFormatting>
  <conditionalFormatting sqref="CI145">
    <cfRule type="cellIs" dxfId="7120" priority="3045" operator="lessThan">
      <formula>0</formula>
    </cfRule>
  </conditionalFormatting>
  <conditionalFormatting sqref="CL145">
    <cfRule type="cellIs" dxfId="7119" priority="3044" operator="greaterThanOrEqual">
      <formula>0</formula>
    </cfRule>
  </conditionalFormatting>
  <conditionalFormatting sqref="CL145">
    <cfRule type="cellIs" dxfId="7118" priority="3043" operator="lessThan">
      <formula>0</formula>
    </cfRule>
  </conditionalFormatting>
  <conditionalFormatting sqref="CI148">
    <cfRule type="cellIs" dxfId="7117" priority="3036" operator="greaterThanOrEqual">
      <formula>0</formula>
    </cfRule>
  </conditionalFormatting>
  <conditionalFormatting sqref="CI148">
    <cfRule type="cellIs" dxfId="7116" priority="3035" operator="lessThan">
      <formula>0</formula>
    </cfRule>
  </conditionalFormatting>
  <conditionalFormatting sqref="CL164">
    <cfRule type="cellIs" dxfId="7115" priority="2992" operator="greaterThanOrEqual">
      <formula>0</formula>
    </cfRule>
  </conditionalFormatting>
  <conditionalFormatting sqref="CL164">
    <cfRule type="cellIs" dxfId="7114" priority="2991" operator="lessThan">
      <formula>0</formula>
    </cfRule>
  </conditionalFormatting>
  <conditionalFormatting sqref="CL148:CM148">
    <cfRule type="cellIs" dxfId="7113" priority="3034" operator="greaterThanOrEqual">
      <formula>0</formula>
    </cfRule>
  </conditionalFormatting>
  <conditionalFormatting sqref="CL148:CM148">
    <cfRule type="cellIs" dxfId="7112" priority="3033" operator="lessThan">
      <formula>0</formula>
    </cfRule>
  </conditionalFormatting>
  <conditionalFormatting sqref="CF167">
    <cfRule type="cellIs" dxfId="7111" priority="2987" operator="greaterThan">
      <formula>0</formula>
    </cfRule>
    <cfRule type="cellIs" dxfId="7110" priority="2988" operator="lessThanOrEqual">
      <formula>0</formula>
    </cfRule>
  </conditionalFormatting>
  <conditionalFormatting sqref="CE167">
    <cfRule type="cellIs" dxfId="7109" priority="2986" operator="greaterThanOrEqual">
      <formula>0</formula>
    </cfRule>
  </conditionalFormatting>
  <conditionalFormatting sqref="CE167">
    <cfRule type="cellIs" dxfId="7108" priority="2985" operator="lessThan">
      <formula>0</formula>
    </cfRule>
  </conditionalFormatting>
  <conditionalFormatting sqref="CF170">
    <cfRule type="cellIs" dxfId="7107" priority="2977" operator="greaterThan">
      <formula>0</formula>
    </cfRule>
    <cfRule type="cellIs" dxfId="7106" priority="2978" operator="lessThanOrEqual">
      <formula>0</formula>
    </cfRule>
  </conditionalFormatting>
  <conditionalFormatting sqref="CE170">
    <cfRule type="cellIs" dxfId="7105" priority="2976" operator="greaterThanOrEqual">
      <formula>0</formula>
    </cfRule>
  </conditionalFormatting>
  <conditionalFormatting sqref="CE170">
    <cfRule type="cellIs" dxfId="7104" priority="2975" operator="lessThan">
      <formula>0</formula>
    </cfRule>
  </conditionalFormatting>
  <conditionalFormatting sqref="CL171:CM171">
    <cfRule type="cellIs" dxfId="7103" priority="3018" operator="greaterThanOrEqual">
      <formula>0</formula>
    </cfRule>
  </conditionalFormatting>
  <conditionalFormatting sqref="CL171:CM171">
    <cfRule type="cellIs" dxfId="7102" priority="3017" operator="lessThan">
      <formula>0</formula>
    </cfRule>
  </conditionalFormatting>
  <conditionalFormatting sqref="CE179">
    <cfRule type="cellIs" dxfId="7101" priority="2966" operator="greaterThanOrEqual">
      <formula>0</formula>
    </cfRule>
  </conditionalFormatting>
  <conditionalFormatting sqref="CE179">
    <cfRule type="cellIs" dxfId="7100" priority="2965" operator="lessThan">
      <formula>0</formula>
    </cfRule>
  </conditionalFormatting>
  <conditionalFormatting sqref="CF148">
    <cfRule type="cellIs" dxfId="7099" priority="3039" operator="greaterThan">
      <formula>0</formula>
    </cfRule>
    <cfRule type="cellIs" dxfId="7098" priority="3040" operator="lessThanOrEqual">
      <formula>0</formula>
    </cfRule>
  </conditionalFormatting>
  <conditionalFormatting sqref="CE148">
    <cfRule type="cellIs" dxfId="7097" priority="3038" operator="greaterThanOrEqual">
      <formula>0</formula>
    </cfRule>
  </conditionalFormatting>
  <conditionalFormatting sqref="CE148">
    <cfRule type="cellIs" dxfId="7096" priority="3037" operator="lessThan">
      <formula>0</formula>
    </cfRule>
  </conditionalFormatting>
  <conditionalFormatting sqref="CI161">
    <cfRule type="cellIs" dxfId="7095" priority="3028" operator="greaterThanOrEqual">
      <formula>0</formula>
    </cfRule>
  </conditionalFormatting>
  <conditionalFormatting sqref="CI161">
    <cfRule type="cellIs" dxfId="7094" priority="3027" operator="lessThan">
      <formula>0</formula>
    </cfRule>
  </conditionalFormatting>
  <conditionalFormatting sqref="CL161:CM161">
    <cfRule type="cellIs" dxfId="7093" priority="3026" operator="greaterThanOrEqual">
      <formula>0</formula>
    </cfRule>
  </conditionalFormatting>
  <conditionalFormatting sqref="CL161:CM161">
    <cfRule type="cellIs" dxfId="7092" priority="3025" operator="lessThan">
      <formula>0</formula>
    </cfRule>
  </conditionalFormatting>
  <conditionalFormatting sqref="CF161">
    <cfRule type="cellIs" dxfId="7091" priority="3031" operator="greaterThan">
      <formula>0</formula>
    </cfRule>
    <cfRule type="cellIs" dxfId="7090" priority="3032" operator="lessThanOrEqual">
      <formula>0</formula>
    </cfRule>
  </conditionalFormatting>
  <conditionalFormatting sqref="CI171">
    <cfRule type="cellIs" dxfId="7089" priority="3020" operator="greaterThanOrEqual">
      <formula>0</formula>
    </cfRule>
  </conditionalFormatting>
  <conditionalFormatting sqref="CI171">
    <cfRule type="cellIs" dxfId="7088" priority="3019" operator="lessThan">
      <formula>0</formula>
    </cfRule>
  </conditionalFormatting>
  <conditionalFormatting sqref="CM164">
    <cfRule type="cellIs" dxfId="7087" priority="2989" operator="lessThan">
      <formula>0</formula>
    </cfRule>
  </conditionalFormatting>
  <conditionalFormatting sqref="CM170">
    <cfRule type="cellIs" dxfId="7086" priority="2969" operator="lessThan">
      <formula>0</formula>
    </cfRule>
  </conditionalFormatting>
  <conditionalFormatting sqref="CI164">
    <cfRule type="cellIs" dxfId="7085" priority="2994" operator="greaterThanOrEqual">
      <formula>0</formula>
    </cfRule>
  </conditionalFormatting>
  <conditionalFormatting sqref="CI164">
    <cfRule type="cellIs" dxfId="7084" priority="2993" operator="lessThan">
      <formula>0</formula>
    </cfRule>
  </conditionalFormatting>
  <conditionalFormatting sqref="CM164">
    <cfRule type="cellIs" dxfId="7083" priority="2990" operator="greaterThanOrEqual">
      <formula>0</formula>
    </cfRule>
  </conditionalFormatting>
  <conditionalFormatting sqref="CM179">
    <cfRule type="cellIs" dxfId="7082" priority="2959" operator="lessThan">
      <formula>0</formula>
    </cfRule>
  </conditionalFormatting>
  <conditionalFormatting sqref="CF162:CF163 CF165:CF166">
    <cfRule type="cellIs" dxfId="7081" priority="3015" operator="greaterThan">
      <formula>0</formula>
    </cfRule>
    <cfRule type="cellIs" dxfId="7080" priority="3016" operator="lessThanOrEqual">
      <formula>0</formula>
    </cfRule>
  </conditionalFormatting>
  <conditionalFormatting sqref="CE162:CE163 CE165:CE166">
    <cfRule type="cellIs" dxfId="7079" priority="3013" operator="lessThan">
      <formula>0</formula>
    </cfRule>
    <cfRule type="cellIs" dxfId="7078" priority="3014" operator="greaterThanOrEqual">
      <formula>0</formula>
    </cfRule>
  </conditionalFormatting>
  <conditionalFormatting sqref="CI162:CI163 CI165:CI166">
    <cfRule type="cellIs" dxfId="7077" priority="3011" operator="lessThan">
      <formula>0</formula>
    </cfRule>
    <cfRule type="cellIs" dxfId="7076" priority="3012" operator="greaterThanOrEqual">
      <formula>0</formula>
    </cfRule>
  </conditionalFormatting>
  <conditionalFormatting sqref="CL162:CL163 CL165:CL166">
    <cfRule type="cellIs" dxfId="7075" priority="3009" operator="lessThan">
      <formula>0</formula>
    </cfRule>
    <cfRule type="cellIs" dxfId="7074" priority="3010" operator="greaterThanOrEqual">
      <formula>0</formula>
    </cfRule>
  </conditionalFormatting>
  <conditionalFormatting sqref="CM162:CM163 CM165:CM166">
    <cfRule type="cellIs" dxfId="7073" priority="3007" operator="lessThan">
      <formula>0</formula>
    </cfRule>
    <cfRule type="cellIs" dxfId="7072" priority="3008" operator="greaterThanOrEqual">
      <formula>0</formula>
    </cfRule>
  </conditionalFormatting>
  <conditionalFormatting sqref="CI177:CI178 CI180:CI181">
    <cfRule type="cellIs" dxfId="7071" priority="3001" operator="lessThan">
      <formula>0</formula>
    </cfRule>
    <cfRule type="cellIs" dxfId="7070" priority="3002" operator="greaterThanOrEqual">
      <formula>0</formula>
    </cfRule>
  </conditionalFormatting>
  <conditionalFormatting sqref="CL177:CM178 CL180:CM181">
    <cfRule type="cellIs" dxfId="7069" priority="2999" operator="lessThan">
      <formula>0</formula>
    </cfRule>
    <cfRule type="cellIs" dxfId="7068" priority="3000" operator="greaterThanOrEqual">
      <formula>0</formula>
    </cfRule>
  </conditionalFormatting>
  <conditionalFormatting sqref="CF177:CF178 CF180:CF181">
    <cfRule type="cellIs" dxfId="7067" priority="3005" operator="greaterThan">
      <formula>0</formula>
    </cfRule>
    <cfRule type="cellIs" dxfId="7066" priority="3006" operator="lessThanOrEqual">
      <formula>0</formula>
    </cfRule>
  </conditionalFormatting>
  <conditionalFormatting sqref="CE177:CE178 CE180:CE181">
    <cfRule type="cellIs" dxfId="7065" priority="3003" operator="lessThan">
      <formula>0</formula>
    </cfRule>
    <cfRule type="cellIs" dxfId="7064" priority="3004" operator="greaterThanOrEqual">
      <formula>0</formula>
    </cfRule>
  </conditionalFormatting>
  <conditionalFormatting sqref="CF179">
    <cfRule type="cellIs" dxfId="7063" priority="2967" operator="greaterThan">
      <formula>0</formula>
    </cfRule>
    <cfRule type="cellIs" dxfId="7062" priority="2968" operator="lessThanOrEqual">
      <formula>0</formula>
    </cfRule>
  </conditionalFormatting>
  <conditionalFormatting sqref="CE182">
    <cfRule type="cellIs" dxfId="7061" priority="2956" operator="greaterThanOrEqual">
      <formula>0</formula>
    </cfRule>
  </conditionalFormatting>
  <conditionalFormatting sqref="CE182">
    <cfRule type="cellIs" dxfId="7060" priority="2955" operator="lessThan">
      <formula>0</formula>
    </cfRule>
  </conditionalFormatting>
  <conditionalFormatting sqref="CI167">
    <cfRule type="cellIs" dxfId="7059" priority="2984" operator="greaterThanOrEqual">
      <formula>0</formula>
    </cfRule>
  </conditionalFormatting>
  <conditionalFormatting sqref="CI167">
    <cfRule type="cellIs" dxfId="7058" priority="2983" operator="lessThan">
      <formula>0</formula>
    </cfRule>
  </conditionalFormatting>
  <conditionalFormatting sqref="CL167">
    <cfRule type="cellIs" dxfId="7057" priority="2982" operator="greaterThanOrEqual">
      <formula>0</formula>
    </cfRule>
  </conditionalFormatting>
  <conditionalFormatting sqref="CL167">
    <cfRule type="cellIs" dxfId="7056" priority="2981" operator="lessThan">
      <formula>0</formula>
    </cfRule>
  </conditionalFormatting>
  <conditionalFormatting sqref="CM182">
    <cfRule type="cellIs" dxfId="7055" priority="2949" operator="lessThan">
      <formula>0</formula>
    </cfRule>
  </conditionalFormatting>
  <conditionalFormatting sqref="CF182">
    <cfRule type="cellIs" dxfId="7054" priority="2957" operator="greaterThan">
      <formula>0</formula>
    </cfRule>
    <cfRule type="cellIs" dxfId="7053" priority="2958" operator="lessThanOrEqual">
      <formula>0</formula>
    </cfRule>
  </conditionalFormatting>
  <conditionalFormatting sqref="CE185">
    <cfRule type="cellIs" dxfId="7052" priority="2946" operator="greaterThanOrEqual">
      <formula>0</formula>
    </cfRule>
  </conditionalFormatting>
  <conditionalFormatting sqref="CE185">
    <cfRule type="cellIs" dxfId="7051" priority="2945" operator="lessThan">
      <formula>0</formula>
    </cfRule>
  </conditionalFormatting>
  <conditionalFormatting sqref="CL170">
    <cfRule type="cellIs" dxfId="7050" priority="2972" operator="greaterThanOrEqual">
      <formula>0</formula>
    </cfRule>
  </conditionalFormatting>
  <conditionalFormatting sqref="CL170">
    <cfRule type="cellIs" dxfId="7049" priority="2971" operator="lessThan">
      <formula>0</formula>
    </cfRule>
  </conditionalFormatting>
  <conditionalFormatting sqref="CM185">
    <cfRule type="cellIs" dxfId="7048" priority="2939" operator="lessThan">
      <formula>0</formula>
    </cfRule>
  </conditionalFormatting>
  <conditionalFormatting sqref="CI170">
    <cfRule type="cellIs" dxfId="7047" priority="2974" operator="greaterThanOrEqual">
      <formula>0</formula>
    </cfRule>
  </conditionalFormatting>
  <conditionalFormatting sqref="CI170">
    <cfRule type="cellIs" dxfId="7046" priority="2973" operator="lessThan">
      <formula>0</formula>
    </cfRule>
  </conditionalFormatting>
  <conditionalFormatting sqref="CM170">
    <cfRule type="cellIs" dxfId="7045" priority="2970" operator="greaterThanOrEqual">
      <formula>0</formula>
    </cfRule>
  </conditionalFormatting>
  <conditionalFormatting sqref="CF185">
    <cfRule type="cellIs" dxfId="7044" priority="2947" operator="greaterThan">
      <formula>0</formula>
    </cfRule>
    <cfRule type="cellIs" dxfId="7043" priority="2948" operator="lessThanOrEqual">
      <formula>0</formula>
    </cfRule>
  </conditionalFormatting>
  <conditionalFormatting sqref="CI179">
    <cfRule type="cellIs" dxfId="7042" priority="2964" operator="greaterThanOrEqual">
      <formula>0</formula>
    </cfRule>
  </conditionalFormatting>
  <conditionalFormatting sqref="CI179">
    <cfRule type="cellIs" dxfId="7041" priority="2963" operator="lessThan">
      <formula>0</formula>
    </cfRule>
  </conditionalFormatting>
  <conditionalFormatting sqref="CL179">
    <cfRule type="cellIs" dxfId="7040" priority="2962" operator="greaterThanOrEqual">
      <formula>0</formula>
    </cfRule>
  </conditionalFormatting>
  <conditionalFormatting sqref="CL179">
    <cfRule type="cellIs" dxfId="7039" priority="2961" operator="lessThan">
      <formula>0</formula>
    </cfRule>
  </conditionalFormatting>
  <conditionalFormatting sqref="CM179">
    <cfRule type="cellIs" dxfId="7038" priority="2960" operator="greaterThanOrEqual">
      <formula>0</formula>
    </cfRule>
  </conditionalFormatting>
  <conditionalFormatting sqref="CL182">
    <cfRule type="cellIs" dxfId="7037" priority="2952" operator="greaterThanOrEqual">
      <formula>0</formula>
    </cfRule>
  </conditionalFormatting>
  <conditionalFormatting sqref="CL182">
    <cfRule type="cellIs" dxfId="7036" priority="2951" operator="lessThan">
      <formula>0</formula>
    </cfRule>
  </conditionalFormatting>
  <conditionalFormatting sqref="CM182">
    <cfRule type="cellIs" dxfId="7035" priority="2950" operator="greaterThanOrEqual">
      <formula>0</formula>
    </cfRule>
  </conditionalFormatting>
  <conditionalFormatting sqref="CL185">
    <cfRule type="cellIs" dxfId="7034" priority="2942" operator="greaterThanOrEqual">
      <formula>0</formula>
    </cfRule>
  </conditionalFormatting>
  <conditionalFormatting sqref="CL185">
    <cfRule type="cellIs" dxfId="7033" priority="2941" operator="lessThan">
      <formula>0</formula>
    </cfRule>
  </conditionalFormatting>
  <conditionalFormatting sqref="CM185">
    <cfRule type="cellIs" dxfId="7032" priority="2940" operator="greaterThanOrEqual">
      <formula>0</formula>
    </cfRule>
  </conditionalFormatting>
  <conditionalFormatting sqref="CF25">
    <cfRule type="cellIs" dxfId="7031" priority="2937" operator="greaterThan">
      <formula>0</formula>
    </cfRule>
    <cfRule type="cellIs" dxfId="7030" priority="2938" operator="lessThanOrEqual">
      <formula>0</formula>
    </cfRule>
  </conditionalFormatting>
  <conditionalFormatting sqref="CM52">
    <cfRule type="cellIs" dxfId="7029" priority="2925" operator="lessThan">
      <formula>0</formula>
    </cfRule>
  </conditionalFormatting>
  <conditionalFormatting sqref="CF56">
    <cfRule type="cellIs" dxfId="7028" priority="2935" operator="greaterThan">
      <formula>0</formula>
    </cfRule>
    <cfRule type="cellIs" dxfId="7027" priority="2936" operator="lessThanOrEqual">
      <formula>0</formula>
    </cfRule>
  </conditionalFormatting>
  <conditionalFormatting sqref="CE56">
    <cfRule type="cellIs" dxfId="7026" priority="2934" operator="greaterThanOrEqual">
      <formula>0</formula>
    </cfRule>
  </conditionalFormatting>
  <conditionalFormatting sqref="CE56">
    <cfRule type="cellIs" dxfId="7025" priority="2933" operator="lessThan">
      <formula>0</formula>
    </cfRule>
  </conditionalFormatting>
  <conditionalFormatting sqref="CF52">
    <cfRule type="cellIs" dxfId="7024" priority="2931" operator="greaterThan">
      <formula>0</formula>
    </cfRule>
    <cfRule type="cellIs" dxfId="7023" priority="2932" operator="lessThanOrEqual">
      <formula>0</formula>
    </cfRule>
  </conditionalFormatting>
  <conditionalFormatting sqref="CE52">
    <cfRule type="cellIs" dxfId="7022" priority="2930" operator="greaterThanOrEqual">
      <formula>0</formula>
    </cfRule>
  </conditionalFormatting>
  <conditionalFormatting sqref="CE52">
    <cfRule type="cellIs" dxfId="7021" priority="2929" operator="lessThan">
      <formula>0</formula>
    </cfRule>
  </conditionalFormatting>
  <conditionalFormatting sqref="CL52">
    <cfRule type="cellIs" dxfId="7020" priority="2928" operator="greaterThanOrEqual">
      <formula>0</formula>
    </cfRule>
  </conditionalFormatting>
  <conditionalFormatting sqref="CL52">
    <cfRule type="cellIs" dxfId="7019" priority="2927" operator="lessThan">
      <formula>0</formula>
    </cfRule>
  </conditionalFormatting>
  <conditionalFormatting sqref="CM52">
    <cfRule type="cellIs" dxfId="7018" priority="2926" operator="greaterThanOrEqual">
      <formula>0</formula>
    </cfRule>
  </conditionalFormatting>
  <conditionalFormatting sqref="CF69">
    <cfRule type="cellIs" dxfId="7017" priority="2923" operator="greaterThan">
      <formula>0</formula>
    </cfRule>
    <cfRule type="cellIs" dxfId="7016" priority="2924" operator="lessThanOrEqual">
      <formula>0</formula>
    </cfRule>
  </conditionalFormatting>
  <conditionalFormatting sqref="CL69">
    <cfRule type="cellIs" dxfId="7015" priority="2921" operator="lessThan">
      <formula>0</formula>
    </cfRule>
    <cfRule type="cellIs" dxfId="7014" priority="2922" operator="greaterThanOrEqual">
      <formula>0</formula>
    </cfRule>
  </conditionalFormatting>
  <conditionalFormatting sqref="CM69">
    <cfRule type="cellIs" dxfId="7013" priority="2919" operator="lessThan">
      <formula>0</formula>
    </cfRule>
    <cfRule type="cellIs" dxfId="7012" priority="2920" operator="greaterThanOrEqual">
      <formula>0</formula>
    </cfRule>
  </conditionalFormatting>
  <conditionalFormatting sqref="CF70">
    <cfRule type="cellIs" dxfId="7011" priority="2917" operator="greaterThan">
      <formula>0</formula>
    </cfRule>
    <cfRule type="cellIs" dxfId="7010" priority="2918" operator="lessThanOrEqual">
      <formula>0</formula>
    </cfRule>
  </conditionalFormatting>
  <conditionalFormatting sqref="CL72">
    <cfRule type="cellIs" dxfId="7009" priority="2915" operator="lessThan">
      <formula>0</formula>
    </cfRule>
    <cfRule type="cellIs" dxfId="7008" priority="2916" operator="greaterThanOrEqual">
      <formula>0</formula>
    </cfRule>
  </conditionalFormatting>
  <conditionalFormatting sqref="CF72">
    <cfRule type="cellIs" dxfId="7007" priority="2913" operator="greaterThan">
      <formula>0</formula>
    </cfRule>
    <cfRule type="cellIs" dxfId="7006" priority="2914" operator="lessThanOrEqual">
      <formula>0</formula>
    </cfRule>
  </conditionalFormatting>
  <conditionalFormatting sqref="CE25">
    <cfRule type="cellIs" dxfId="7005" priority="2912" operator="greaterThanOrEqual">
      <formula>0</formula>
    </cfRule>
  </conditionalFormatting>
  <conditionalFormatting sqref="CE25">
    <cfRule type="cellIs" dxfId="7004" priority="2911" operator="lessThan">
      <formula>0</formula>
    </cfRule>
  </conditionalFormatting>
  <conditionalFormatting sqref="CE28">
    <cfRule type="cellIs" dxfId="7003" priority="2910" operator="greaterThanOrEqual">
      <formula>0</formula>
    </cfRule>
  </conditionalFormatting>
  <conditionalFormatting sqref="CE28">
    <cfRule type="cellIs" dxfId="7002" priority="2909" operator="lessThan">
      <formula>0</formula>
    </cfRule>
  </conditionalFormatting>
  <conditionalFormatting sqref="CE41">
    <cfRule type="cellIs" dxfId="7001" priority="2908" operator="greaterThanOrEqual">
      <formula>0</formula>
    </cfRule>
  </conditionalFormatting>
  <conditionalFormatting sqref="CE41">
    <cfRule type="cellIs" dxfId="7000" priority="2907" operator="lessThan">
      <formula>0</formula>
    </cfRule>
  </conditionalFormatting>
  <conditionalFormatting sqref="CE44">
    <cfRule type="cellIs" dxfId="6999" priority="2906" operator="greaterThanOrEqual">
      <formula>0</formula>
    </cfRule>
  </conditionalFormatting>
  <conditionalFormatting sqref="CE44">
    <cfRule type="cellIs" dxfId="6998" priority="2905" operator="lessThan">
      <formula>0</formula>
    </cfRule>
  </conditionalFormatting>
  <conditionalFormatting sqref="CE47">
    <cfRule type="cellIs" dxfId="6997" priority="2904" operator="greaterThanOrEqual">
      <formula>0</formula>
    </cfRule>
  </conditionalFormatting>
  <conditionalFormatting sqref="CE47">
    <cfRule type="cellIs" dxfId="6996" priority="2903" operator="lessThan">
      <formula>0</formula>
    </cfRule>
  </conditionalFormatting>
  <conditionalFormatting sqref="CE50">
    <cfRule type="cellIs" dxfId="6995" priority="2902" operator="greaterThanOrEqual">
      <formula>0</formula>
    </cfRule>
  </conditionalFormatting>
  <conditionalFormatting sqref="CE50">
    <cfRule type="cellIs" dxfId="6994" priority="2901" operator="lessThan">
      <formula>0</formula>
    </cfRule>
  </conditionalFormatting>
  <conditionalFormatting sqref="CE51">
    <cfRule type="cellIs" dxfId="6993" priority="2900" operator="greaterThanOrEqual">
      <formula>0</formula>
    </cfRule>
  </conditionalFormatting>
  <conditionalFormatting sqref="CE51">
    <cfRule type="cellIs" dxfId="6992" priority="2899" operator="lessThan">
      <formula>0</formula>
    </cfRule>
  </conditionalFormatting>
  <conditionalFormatting sqref="CE59">
    <cfRule type="cellIs" dxfId="6991" priority="2898" operator="greaterThanOrEqual">
      <formula>0</formula>
    </cfRule>
  </conditionalFormatting>
  <conditionalFormatting sqref="CE59">
    <cfRule type="cellIs" dxfId="6990" priority="2897" operator="lessThan">
      <formula>0</formula>
    </cfRule>
  </conditionalFormatting>
  <conditionalFormatting sqref="CE65">
    <cfRule type="cellIs" dxfId="6989" priority="2896" operator="greaterThanOrEqual">
      <formula>0</formula>
    </cfRule>
  </conditionalFormatting>
  <conditionalFormatting sqref="CE65">
    <cfRule type="cellIs" dxfId="6988" priority="2895" operator="lessThan">
      <formula>0</formula>
    </cfRule>
  </conditionalFormatting>
  <conditionalFormatting sqref="CE66">
    <cfRule type="cellIs" dxfId="6987" priority="2894" operator="greaterThanOrEqual">
      <formula>0</formula>
    </cfRule>
  </conditionalFormatting>
  <conditionalFormatting sqref="CE66">
    <cfRule type="cellIs" dxfId="6986" priority="2893" operator="lessThan">
      <formula>0</formula>
    </cfRule>
  </conditionalFormatting>
  <conditionalFormatting sqref="CE68:CE70">
    <cfRule type="cellIs" dxfId="6985" priority="2891" operator="lessThan">
      <formula>0</formula>
    </cfRule>
    <cfRule type="cellIs" dxfId="6984" priority="2892" operator="greaterThanOrEqual">
      <formula>0</formula>
    </cfRule>
  </conditionalFormatting>
  <conditionalFormatting sqref="CE71:CE72">
    <cfRule type="cellIs" dxfId="6983" priority="2890" operator="greaterThanOrEqual">
      <formula>0</formula>
    </cfRule>
  </conditionalFormatting>
  <conditionalFormatting sqref="CE71:CE72">
    <cfRule type="cellIs" dxfId="6982" priority="2889" operator="lessThan">
      <formula>0</formula>
    </cfRule>
  </conditionalFormatting>
  <conditionalFormatting sqref="CE73">
    <cfRule type="cellIs" dxfId="6981" priority="2888" operator="greaterThanOrEqual">
      <formula>0</formula>
    </cfRule>
  </conditionalFormatting>
  <conditionalFormatting sqref="CE73">
    <cfRule type="cellIs" dxfId="6980" priority="2887" operator="lessThan">
      <formula>0</formula>
    </cfRule>
  </conditionalFormatting>
  <conditionalFormatting sqref="CE42:CE43">
    <cfRule type="cellIs" dxfId="6979" priority="2885" operator="lessThan">
      <formula>0</formula>
    </cfRule>
    <cfRule type="cellIs" dxfId="6978" priority="2886" operator="greaterThanOrEqual">
      <formula>0</formula>
    </cfRule>
  </conditionalFormatting>
  <conditionalFormatting sqref="CE45:CE46">
    <cfRule type="cellIs" dxfId="6977" priority="2883" operator="lessThan">
      <formula>0</formula>
    </cfRule>
    <cfRule type="cellIs" dxfId="6976" priority="2884" operator="greaterThanOrEqual">
      <formula>0</formula>
    </cfRule>
  </conditionalFormatting>
  <conditionalFormatting sqref="CE57:CE58">
    <cfRule type="cellIs" dxfId="6975" priority="2881" operator="lessThan">
      <formula>0</formula>
    </cfRule>
    <cfRule type="cellIs" dxfId="6974" priority="2882" operator="greaterThanOrEqual">
      <formula>0</formula>
    </cfRule>
  </conditionalFormatting>
  <conditionalFormatting sqref="CE60:CE61">
    <cfRule type="cellIs" dxfId="6973" priority="2879" operator="lessThan">
      <formula>0</formula>
    </cfRule>
    <cfRule type="cellIs" dxfId="6972" priority="2880" operator="greaterThanOrEqual">
      <formula>0</formula>
    </cfRule>
  </conditionalFormatting>
  <conditionalFormatting sqref="CE63:CE64">
    <cfRule type="cellIs" dxfId="6971" priority="2877" operator="lessThan">
      <formula>0</formula>
    </cfRule>
    <cfRule type="cellIs" dxfId="6970" priority="2878" operator="greaterThanOrEqual">
      <formula>0</formula>
    </cfRule>
  </conditionalFormatting>
  <conditionalFormatting sqref="CJ13:CJ14">
    <cfRule type="cellIs" dxfId="6969" priority="2875" operator="greaterThan">
      <formula>0</formula>
    </cfRule>
    <cfRule type="cellIs" dxfId="6968" priority="2876" operator="lessThanOrEqual">
      <formula>0</formula>
    </cfRule>
  </conditionalFormatting>
  <conditionalFormatting sqref="CJ16:CJ17">
    <cfRule type="cellIs" dxfId="6967" priority="2873" operator="greaterThan">
      <formula>0</formula>
    </cfRule>
    <cfRule type="cellIs" dxfId="6966" priority="2874" operator="lessThanOrEqual">
      <formula>0</formula>
    </cfRule>
  </conditionalFormatting>
  <conditionalFormatting sqref="CJ19:CJ20">
    <cfRule type="cellIs" dxfId="6965" priority="2871" operator="greaterThan">
      <formula>0</formula>
    </cfRule>
    <cfRule type="cellIs" dxfId="6964" priority="2872" operator="lessThanOrEqual">
      <formula>0</formula>
    </cfRule>
  </conditionalFormatting>
  <conditionalFormatting sqref="CJ29:CJ30">
    <cfRule type="cellIs" dxfId="6963" priority="2869" operator="greaterThan">
      <formula>0</formula>
    </cfRule>
    <cfRule type="cellIs" dxfId="6962" priority="2870" operator="lessThanOrEqual">
      <formula>0</formula>
    </cfRule>
  </conditionalFormatting>
  <conditionalFormatting sqref="CJ22:CJ23">
    <cfRule type="cellIs" dxfId="6961" priority="2867" operator="greaterThan">
      <formula>0</formula>
    </cfRule>
    <cfRule type="cellIs" dxfId="6960" priority="2868" operator="lessThanOrEqual">
      <formula>0</formula>
    </cfRule>
  </conditionalFormatting>
  <conditionalFormatting sqref="CJ32:CJ33">
    <cfRule type="cellIs" dxfId="6959" priority="2865" operator="greaterThan">
      <formula>0</formula>
    </cfRule>
    <cfRule type="cellIs" dxfId="6958" priority="2866" operator="lessThanOrEqual">
      <formula>0</formula>
    </cfRule>
  </conditionalFormatting>
  <conditionalFormatting sqref="CJ35:CJ36">
    <cfRule type="cellIs" dxfId="6957" priority="2863" operator="greaterThan">
      <formula>0</formula>
    </cfRule>
    <cfRule type="cellIs" dxfId="6956" priority="2864" operator="lessThanOrEqual">
      <formula>0</formula>
    </cfRule>
  </conditionalFormatting>
  <conditionalFormatting sqref="CJ38:CJ39">
    <cfRule type="cellIs" dxfId="6955" priority="2861" operator="greaterThan">
      <formula>0</formula>
    </cfRule>
    <cfRule type="cellIs" dxfId="6954" priority="2862" operator="lessThanOrEqual">
      <formula>0</formula>
    </cfRule>
  </conditionalFormatting>
  <conditionalFormatting sqref="CJ48:CJ49">
    <cfRule type="cellIs" dxfId="6953" priority="2859" operator="greaterThan">
      <formula>0</formula>
    </cfRule>
    <cfRule type="cellIs" dxfId="6952" priority="2860" operator="lessThanOrEqual">
      <formula>0</formula>
    </cfRule>
  </conditionalFormatting>
  <conditionalFormatting sqref="CJ63:CJ64">
    <cfRule type="cellIs" dxfId="6951" priority="2857" operator="greaterThan">
      <formula>0</formula>
    </cfRule>
    <cfRule type="cellIs" dxfId="6950" priority="2858" operator="lessThanOrEqual">
      <formula>0</formula>
    </cfRule>
  </conditionalFormatting>
  <conditionalFormatting sqref="CJ53:CJ54">
    <cfRule type="cellIs" dxfId="6949" priority="2855" operator="greaterThan">
      <formula>0</formula>
    </cfRule>
    <cfRule type="cellIs" dxfId="6948" priority="2856" operator="lessThanOrEqual">
      <formula>0</formula>
    </cfRule>
  </conditionalFormatting>
  <conditionalFormatting sqref="CJ15">
    <cfRule type="cellIs" dxfId="6947" priority="2853" operator="greaterThan">
      <formula>0</formula>
    </cfRule>
    <cfRule type="cellIs" dxfId="6946" priority="2854" operator="lessThanOrEqual">
      <formula>0</formula>
    </cfRule>
  </conditionalFormatting>
  <conditionalFormatting sqref="CJ18">
    <cfRule type="cellIs" dxfId="6945" priority="2851" operator="greaterThan">
      <formula>0</formula>
    </cfRule>
    <cfRule type="cellIs" dxfId="6944" priority="2852" operator="lessThanOrEqual">
      <formula>0</formula>
    </cfRule>
  </conditionalFormatting>
  <conditionalFormatting sqref="CJ21">
    <cfRule type="cellIs" dxfId="6943" priority="2849" operator="greaterThan">
      <formula>0</formula>
    </cfRule>
    <cfRule type="cellIs" dxfId="6942" priority="2850" operator="lessThanOrEqual">
      <formula>0</formula>
    </cfRule>
  </conditionalFormatting>
  <conditionalFormatting sqref="CJ31">
    <cfRule type="cellIs" dxfId="6941" priority="2847" operator="greaterThan">
      <formula>0</formula>
    </cfRule>
    <cfRule type="cellIs" dxfId="6940" priority="2848" operator="lessThanOrEqual">
      <formula>0</formula>
    </cfRule>
  </conditionalFormatting>
  <conditionalFormatting sqref="CJ24">
    <cfRule type="cellIs" dxfId="6939" priority="2845" operator="greaterThan">
      <formula>0</formula>
    </cfRule>
    <cfRule type="cellIs" dxfId="6938" priority="2846" operator="lessThanOrEqual">
      <formula>0</formula>
    </cfRule>
  </conditionalFormatting>
  <conditionalFormatting sqref="CJ34">
    <cfRule type="cellIs" dxfId="6937" priority="2843" operator="greaterThan">
      <formula>0</formula>
    </cfRule>
    <cfRule type="cellIs" dxfId="6936" priority="2844" operator="lessThanOrEqual">
      <formula>0</formula>
    </cfRule>
  </conditionalFormatting>
  <conditionalFormatting sqref="CJ37">
    <cfRule type="cellIs" dxfId="6935" priority="2841" operator="greaterThan">
      <formula>0</formula>
    </cfRule>
    <cfRule type="cellIs" dxfId="6934" priority="2842" operator="lessThanOrEqual">
      <formula>0</formula>
    </cfRule>
  </conditionalFormatting>
  <conditionalFormatting sqref="CJ40">
    <cfRule type="cellIs" dxfId="6933" priority="2839" operator="greaterThan">
      <formula>0</formula>
    </cfRule>
    <cfRule type="cellIs" dxfId="6932" priority="2840" operator="lessThanOrEqual">
      <formula>0</formula>
    </cfRule>
  </conditionalFormatting>
  <conditionalFormatting sqref="CJ26">
    <cfRule type="cellIs" dxfId="6931" priority="2837" operator="greaterThan">
      <formula>0</formula>
    </cfRule>
    <cfRule type="cellIs" dxfId="6930" priority="2838" operator="lessThanOrEqual">
      <formula>0</formula>
    </cfRule>
  </conditionalFormatting>
  <conditionalFormatting sqref="CJ66">
    <cfRule type="cellIs" dxfId="6929" priority="2835" operator="greaterThan">
      <formula>0</formula>
    </cfRule>
    <cfRule type="cellIs" dxfId="6928" priority="2836" operator="lessThanOrEqual">
      <formula>0</formula>
    </cfRule>
  </conditionalFormatting>
  <conditionalFormatting sqref="CI13:CI14 CI16:CI17 CI19:CI20 CI22:CI23 CI29:CI30 CI32:CI33 CI35:CI36 CI38:CI39 CI48:CI49 CI53:CI54">
    <cfRule type="cellIs" dxfId="6927" priority="2833" operator="lessThan">
      <formula>0</formula>
    </cfRule>
    <cfRule type="cellIs" dxfId="6926" priority="2834" operator="greaterThanOrEqual">
      <formula>0</formula>
    </cfRule>
  </conditionalFormatting>
  <conditionalFormatting sqref="CI15 CI18 CI21 CI24 CI26 CI31 CI34 CI37 CI40">
    <cfRule type="cellIs" dxfId="6925" priority="2832" operator="greaterThanOrEqual">
      <formula>0</formula>
    </cfRule>
  </conditionalFormatting>
  <conditionalFormatting sqref="CI15 CI18 CI21 CI24 CI26 CI31 CI34 CI37 CI40">
    <cfRule type="cellIs" dxfId="6924" priority="2831" operator="lessThan">
      <formula>0</formula>
    </cfRule>
  </conditionalFormatting>
  <conditionalFormatting sqref="CJ51">
    <cfRule type="cellIs" dxfId="6923" priority="2825" operator="greaterThan">
      <formula>0</formula>
    </cfRule>
    <cfRule type="cellIs" dxfId="6922" priority="2826" operator="lessThanOrEqual">
      <formula>0</formula>
    </cfRule>
  </conditionalFormatting>
  <conditionalFormatting sqref="CJ44">
    <cfRule type="cellIs" dxfId="6921" priority="2819" operator="greaterThan">
      <formula>0</formula>
    </cfRule>
    <cfRule type="cellIs" dxfId="6920" priority="2820" operator="lessThanOrEqual">
      <formula>0</formula>
    </cfRule>
  </conditionalFormatting>
  <conditionalFormatting sqref="CJ50">
    <cfRule type="cellIs" dxfId="6919" priority="2815" operator="greaterThan">
      <formula>0</formula>
    </cfRule>
    <cfRule type="cellIs" dxfId="6918" priority="2816" operator="lessThanOrEqual">
      <formula>0</formula>
    </cfRule>
  </conditionalFormatting>
  <conditionalFormatting sqref="CJ28">
    <cfRule type="cellIs" dxfId="6917" priority="2829" operator="greaterThan">
      <formula>0</formula>
    </cfRule>
    <cfRule type="cellIs" dxfId="6916" priority="2830" operator="lessThanOrEqual">
      <formula>0</formula>
    </cfRule>
  </conditionalFormatting>
  <conditionalFormatting sqref="CJ41">
    <cfRule type="cellIs" dxfId="6915" priority="2827" operator="greaterThan">
      <formula>0</formula>
    </cfRule>
    <cfRule type="cellIs" dxfId="6914" priority="2828" operator="lessThanOrEqual">
      <formula>0</formula>
    </cfRule>
  </conditionalFormatting>
  <conditionalFormatting sqref="CJ42:CJ43 CJ45:CJ46">
    <cfRule type="cellIs" dxfId="6913" priority="2823" operator="greaterThan">
      <formula>0</formula>
    </cfRule>
    <cfRule type="cellIs" dxfId="6912" priority="2824" operator="lessThanOrEqual">
      <formula>0</formula>
    </cfRule>
  </conditionalFormatting>
  <conditionalFormatting sqref="CJ57:CJ58 CJ60:CJ61">
    <cfRule type="cellIs" dxfId="6911" priority="2821" operator="greaterThan">
      <formula>0</formula>
    </cfRule>
    <cfRule type="cellIs" dxfId="6910" priority="2822" operator="lessThanOrEqual">
      <formula>0</formula>
    </cfRule>
  </conditionalFormatting>
  <conditionalFormatting sqref="CJ62">
    <cfRule type="cellIs" dxfId="6909" priority="2811" operator="greaterThan">
      <formula>0</formula>
    </cfRule>
    <cfRule type="cellIs" dxfId="6908" priority="2812" operator="lessThanOrEqual">
      <formula>0</formula>
    </cfRule>
  </conditionalFormatting>
  <conditionalFormatting sqref="CJ65">
    <cfRule type="cellIs" dxfId="6907" priority="2807" operator="greaterThan">
      <formula>0</formula>
    </cfRule>
    <cfRule type="cellIs" dxfId="6906" priority="2808" operator="lessThanOrEqual">
      <formula>0</formula>
    </cfRule>
  </conditionalFormatting>
  <conditionalFormatting sqref="CJ25">
    <cfRule type="cellIs" dxfId="6905" priority="2805" operator="greaterThan">
      <formula>0</formula>
    </cfRule>
    <cfRule type="cellIs" dxfId="6904" priority="2806" operator="lessThanOrEqual">
      <formula>0</formula>
    </cfRule>
  </conditionalFormatting>
  <conditionalFormatting sqref="CJ56">
    <cfRule type="cellIs" dxfId="6903" priority="2803" operator="greaterThan">
      <formula>0</formula>
    </cfRule>
    <cfRule type="cellIs" dxfId="6902" priority="2804" operator="lessThanOrEqual">
      <formula>0</formula>
    </cfRule>
  </conditionalFormatting>
  <conditionalFormatting sqref="CI56">
    <cfRule type="cellIs" dxfId="6901" priority="2802" operator="greaterThanOrEqual">
      <formula>0</formula>
    </cfRule>
  </conditionalFormatting>
  <conditionalFormatting sqref="CI56">
    <cfRule type="cellIs" dxfId="6900" priority="2801" operator="lessThan">
      <formula>0</formula>
    </cfRule>
  </conditionalFormatting>
  <conditionalFormatting sqref="CJ52">
    <cfRule type="cellIs" dxfId="6899" priority="2799" operator="greaterThan">
      <formula>0</formula>
    </cfRule>
    <cfRule type="cellIs" dxfId="6898" priority="2800" operator="lessThanOrEqual">
      <formula>0</formula>
    </cfRule>
  </conditionalFormatting>
  <conditionalFormatting sqref="CI52">
    <cfRule type="cellIs" dxfId="6897" priority="2798" operator="greaterThanOrEqual">
      <formula>0</formula>
    </cfRule>
  </conditionalFormatting>
  <conditionalFormatting sqref="CI52">
    <cfRule type="cellIs" dxfId="6896" priority="2797" operator="lessThan">
      <formula>0</formula>
    </cfRule>
  </conditionalFormatting>
  <conditionalFormatting sqref="CI25">
    <cfRule type="cellIs" dxfId="6895" priority="2796" operator="greaterThanOrEqual">
      <formula>0</formula>
    </cfRule>
  </conditionalFormatting>
  <conditionalFormatting sqref="CI25">
    <cfRule type="cellIs" dxfId="6894" priority="2795" operator="lessThan">
      <formula>0</formula>
    </cfRule>
  </conditionalFormatting>
  <conditionalFormatting sqref="CI28">
    <cfRule type="cellIs" dxfId="6893" priority="2794" operator="greaterThanOrEqual">
      <formula>0</formula>
    </cfRule>
  </conditionalFormatting>
  <conditionalFormatting sqref="CI28">
    <cfRule type="cellIs" dxfId="6892" priority="2793" operator="lessThan">
      <formula>0</formula>
    </cfRule>
  </conditionalFormatting>
  <conditionalFormatting sqref="CI41">
    <cfRule type="cellIs" dxfId="6891" priority="2792" operator="greaterThanOrEqual">
      <formula>0</formula>
    </cfRule>
  </conditionalFormatting>
  <conditionalFormatting sqref="CI41">
    <cfRule type="cellIs" dxfId="6890" priority="2791" operator="lessThan">
      <formula>0</formula>
    </cfRule>
  </conditionalFormatting>
  <conditionalFormatting sqref="CI44">
    <cfRule type="cellIs" dxfId="6889" priority="2790" operator="greaterThanOrEqual">
      <formula>0</formula>
    </cfRule>
  </conditionalFormatting>
  <conditionalFormatting sqref="CI44">
    <cfRule type="cellIs" dxfId="6888" priority="2789" operator="lessThan">
      <formula>0</formula>
    </cfRule>
  </conditionalFormatting>
  <conditionalFormatting sqref="CI47">
    <cfRule type="cellIs" dxfId="6887" priority="2788" operator="greaterThanOrEqual">
      <formula>0</formula>
    </cfRule>
  </conditionalFormatting>
  <conditionalFormatting sqref="CI47">
    <cfRule type="cellIs" dxfId="6886" priority="2787" operator="lessThan">
      <formula>0</formula>
    </cfRule>
  </conditionalFormatting>
  <conditionalFormatting sqref="CI50">
    <cfRule type="cellIs" dxfId="6885" priority="2786" operator="greaterThanOrEqual">
      <formula>0</formula>
    </cfRule>
  </conditionalFormatting>
  <conditionalFormatting sqref="CI50">
    <cfRule type="cellIs" dxfId="6884" priority="2785" operator="lessThan">
      <formula>0</formula>
    </cfRule>
  </conditionalFormatting>
  <conditionalFormatting sqref="CI51">
    <cfRule type="cellIs" dxfId="6883" priority="2784" operator="greaterThanOrEqual">
      <formula>0</formula>
    </cfRule>
  </conditionalFormatting>
  <conditionalFormatting sqref="CI51">
    <cfRule type="cellIs" dxfId="6882" priority="2783" operator="lessThan">
      <formula>0</formula>
    </cfRule>
  </conditionalFormatting>
  <conditionalFormatting sqref="CI59">
    <cfRule type="cellIs" dxfId="6881" priority="2782" operator="greaterThanOrEqual">
      <formula>0</formula>
    </cfRule>
  </conditionalFormatting>
  <conditionalFormatting sqref="CI59">
    <cfRule type="cellIs" dxfId="6880" priority="2781" operator="lessThan">
      <formula>0</formula>
    </cfRule>
  </conditionalFormatting>
  <conditionalFormatting sqref="CI65">
    <cfRule type="cellIs" dxfId="6879" priority="2780" operator="greaterThanOrEqual">
      <formula>0</formula>
    </cfRule>
  </conditionalFormatting>
  <conditionalFormatting sqref="CI65">
    <cfRule type="cellIs" dxfId="6878" priority="2779" operator="lessThan">
      <formula>0</formula>
    </cfRule>
  </conditionalFormatting>
  <conditionalFormatting sqref="CI66">
    <cfRule type="cellIs" dxfId="6877" priority="2778" operator="greaterThanOrEqual">
      <formula>0</formula>
    </cfRule>
  </conditionalFormatting>
  <conditionalFormatting sqref="CI66">
    <cfRule type="cellIs" dxfId="6876" priority="2777" operator="lessThan">
      <formula>0</formula>
    </cfRule>
  </conditionalFormatting>
  <conditionalFormatting sqref="CI42:CI43">
    <cfRule type="cellIs" dxfId="6875" priority="2775" operator="lessThan">
      <formula>0</formula>
    </cfRule>
    <cfRule type="cellIs" dxfId="6874" priority="2776" operator="greaterThanOrEqual">
      <formula>0</formula>
    </cfRule>
  </conditionalFormatting>
  <conditionalFormatting sqref="CI45:CI46">
    <cfRule type="cellIs" dxfId="6873" priority="2773" operator="lessThan">
      <formula>0</formula>
    </cfRule>
    <cfRule type="cellIs" dxfId="6872" priority="2774" operator="greaterThanOrEqual">
      <formula>0</formula>
    </cfRule>
  </conditionalFormatting>
  <conditionalFormatting sqref="CI57:CI58">
    <cfRule type="cellIs" dxfId="6871" priority="2771" operator="lessThan">
      <formula>0</formula>
    </cfRule>
    <cfRule type="cellIs" dxfId="6870" priority="2772" operator="greaterThanOrEqual">
      <formula>0</formula>
    </cfRule>
  </conditionalFormatting>
  <conditionalFormatting sqref="CI60:CI61">
    <cfRule type="cellIs" dxfId="6869" priority="2769" operator="lessThan">
      <formula>0</formula>
    </cfRule>
    <cfRule type="cellIs" dxfId="6868" priority="2770" operator="greaterThanOrEqual">
      <formula>0</formula>
    </cfRule>
  </conditionalFormatting>
  <conditionalFormatting sqref="CI63:CI64">
    <cfRule type="cellIs" dxfId="6867" priority="2767" operator="lessThan">
      <formula>0</formula>
    </cfRule>
    <cfRule type="cellIs" dxfId="6866" priority="2768" operator="greaterThanOrEqual">
      <formula>0</formula>
    </cfRule>
  </conditionalFormatting>
  <conditionalFormatting sqref="CJ68 CJ71">
    <cfRule type="cellIs" dxfId="6865" priority="2765" operator="greaterThan">
      <formula>0</formula>
    </cfRule>
    <cfRule type="cellIs" dxfId="6864" priority="2766" operator="lessThanOrEqual">
      <formula>0</formula>
    </cfRule>
  </conditionalFormatting>
  <conditionalFormatting sqref="CJ73">
    <cfRule type="cellIs" dxfId="6863" priority="2763" operator="greaterThan">
      <formula>0</formula>
    </cfRule>
    <cfRule type="cellIs" dxfId="6862" priority="2764" operator="lessThanOrEqual">
      <formula>0</formula>
    </cfRule>
  </conditionalFormatting>
  <conditionalFormatting sqref="CJ69">
    <cfRule type="cellIs" dxfId="6861" priority="2761" operator="greaterThan">
      <formula>0</formula>
    </cfRule>
    <cfRule type="cellIs" dxfId="6860" priority="2762" operator="lessThanOrEqual">
      <formula>0</formula>
    </cfRule>
  </conditionalFormatting>
  <conditionalFormatting sqref="CJ70">
    <cfRule type="cellIs" dxfId="6859" priority="2759" operator="greaterThan">
      <formula>0</formula>
    </cfRule>
    <cfRule type="cellIs" dxfId="6858" priority="2760" operator="lessThanOrEqual">
      <formula>0</formula>
    </cfRule>
  </conditionalFormatting>
  <conditionalFormatting sqref="CJ72">
    <cfRule type="cellIs" dxfId="6857" priority="2757" operator="greaterThan">
      <formula>0</formula>
    </cfRule>
    <cfRule type="cellIs" dxfId="6856" priority="2758" operator="lessThanOrEqual">
      <formula>0</formula>
    </cfRule>
  </conditionalFormatting>
  <conditionalFormatting sqref="CI68:CI70">
    <cfRule type="cellIs" dxfId="6855" priority="2755" operator="lessThan">
      <formula>0</formula>
    </cfRule>
    <cfRule type="cellIs" dxfId="6854" priority="2756" operator="greaterThanOrEqual">
      <formula>0</formula>
    </cfRule>
  </conditionalFormatting>
  <conditionalFormatting sqref="CI71:CI72">
    <cfRule type="cellIs" dxfId="6853" priority="2754" operator="greaterThanOrEqual">
      <formula>0</formula>
    </cfRule>
  </conditionalFormatting>
  <conditionalFormatting sqref="CI71:CI72">
    <cfRule type="cellIs" dxfId="6852" priority="2753" operator="lessThan">
      <formula>0</formula>
    </cfRule>
  </conditionalFormatting>
  <conditionalFormatting sqref="CI73">
    <cfRule type="cellIs" dxfId="6851" priority="2752" operator="greaterThanOrEqual">
      <formula>0</formula>
    </cfRule>
  </conditionalFormatting>
  <conditionalFormatting sqref="CI73">
    <cfRule type="cellIs" dxfId="6850" priority="2751" operator="lessThan">
      <formula>0</formula>
    </cfRule>
  </conditionalFormatting>
  <conditionalFormatting sqref="CJ67">
    <cfRule type="cellIs" dxfId="6849" priority="2749" operator="greaterThan">
      <formula>0</formula>
    </cfRule>
    <cfRule type="cellIs" dxfId="6848" priority="2750" operator="lessThanOrEqual">
      <formula>0</formula>
    </cfRule>
  </conditionalFormatting>
  <conditionalFormatting sqref="CI67">
    <cfRule type="cellIs" dxfId="6847" priority="2747" operator="greaterThanOrEqual">
      <formula>0</formula>
    </cfRule>
    <cfRule type="cellIs" dxfId="6846" priority="2748" operator="lessThan">
      <formula>0</formula>
    </cfRule>
  </conditionalFormatting>
  <conditionalFormatting sqref="CF51">
    <cfRule type="cellIs" dxfId="6845" priority="2745" operator="greaterThan">
      <formula>0</formula>
    </cfRule>
    <cfRule type="cellIs" dxfId="6844" priority="2746" operator="lessThanOrEqual">
      <formula>0</formula>
    </cfRule>
  </conditionalFormatting>
  <conditionalFormatting sqref="CL42:CL43">
    <cfRule type="cellIs" dxfId="6843" priority="2743" operator="lessThan">
      <formula>0</formula>
    </cfRule>
    <cfRule type="cellIs" dxfId="6842" priority="2744" operator="greaterThanOrEqual">
      <formula>0</formula>
    </cfRule>
  </conditionalFormatting>
  <conditionalFormatting sqref="CL45:CL46">
    <cfRule type="cellIs" dxfId="6841" priority="2741" operator="lessThan">
      <formula>0</formula>
    </cfRule>
    <cfRule type="cellIs" dxfId="6840" priority="2742" operator="greaterThanOrEqual">
      <formula>0</formula>
    </cfRule>
  </conditionalFormatting>
  <conditionalFormatting sqref="CL53:CL54">
    <cfRule type="cellIs" dxfId="6839" priority="2739" operator="lessThan">
      <formula>0</formula>
    </cfRule>
    <cfRule type="cellIs" dxfId="6838" priority="2740" operator="greaterThanOrEqual">
      <formula>0</formula>
    </cfRule>
  </conditionalFormatting>
  <conditionalFormatting sqref="CL57:CL58">
    <cfRule type="cellIs" dxfId="6837" priority="2737" operator="lessThan">
      <formula>0</formula>
    </cfRule>
    <cfRule type="cellIs" dxfId="6836" priority="2738" operator="greaterThanOrEqual">
      <formula>0</formula>
    </cfRule>
  </conditionalFormatting>
  <conditionalFormatting sqref="CL60:CL61">
    <cfRule type="cellIs" dxfId="6835" priority="2735" operator="lessThan">
      <formula>0</formula>
    </cfRule>
    <cfRule type="cellIs" dxfId="6834" priority="2736" operator="greaterThanOrEqual">
      <formula>0</formula>
    </cfRule>
  </conditionalFormatting>
  <conditionalFormatting sqref="CL63:CL64">
    <cfRule type="cellIs" dxfId="6833" priority="2733" operator="lessThan">
      <formula>0</formula>
    </cfRule>
    <cfRule type="cellIs" dxfId="6832" priority="2734" operator="greaterThanOrEqual">
      <formula>0</formula>
    </cfRule>
  </conditionalFormatting>
  <conditionalFormatting sqref="CL25">
    <cfRule type="cellIs" dxfId="6831" priority="2732" operator="greaterThanOrEqual">
      <formula>0</formula>
    </cfRule>
  </conditionalFormatting>
  <conditionalFormatting sqref="CL25">
    <cfRule type="cellIs" dxfId="6830" priority="2731" operator="lessThan">
      <formula>0</formula>
    </cfRule>
  </conditionalFormatting>
  <conditionalFormatting sqref="CL26">
    <cfRule type="cellIs" dxfId="6829" priority="2730" operator="greaterThanOrEqual">
      <formula>0</formula>
    </cfRule>
  </conditionalFormatting>
  <conditionalFormatting sqref="CL26">
    <cfRule type="cellIs" dxfId="6828" priority="2729" operator="lessThan">
      <formula>0</formula>
    </cfRule>
  </conditionalFormatting>
  <conditionalFormatting sqref="CL28">
    <cfRule type="cellIs" dxfId="6827" priority="2728" operator="greaterThanOrEqual">
      <formula>0</formula>
    </cfRule>
  </conditionalFormatting>
  <conditionalFormatting sqref="CL28">
    <cfRule type="cellIs" dxfId="6826" priority="2727" operator="lessThan">
      <formula>0</formula>
    </cfRule>
  </conditionalFormatting>
  <conditionalFormatting sqref="CL41">
    <cfRule type="cellIs" dxfId="6825" priority="2726" operator="greaterThanOrEqual">
      <formula>0</formula>
    </cfRule>
  </conditionalFormatting>
  <conditionalFormatting sqref="CL41">
    <cfRule type="cellIs" dxfId="6824" priority="2725" operator="lessThan">
      <formula>0</formula>
    </cfRule>
  </conditionalFormatting>
  <conditionalFormatting sqref="CL44">
    <cfRule type="cellIs" dxfId="6823" priority="2724" operator="greaterThanOrEqual">
      <formula>0</formula>
    </cfRule>
  </conditionalFormatting>
  <conditionalFormatting sqref="CL44">
    <cfRule type="cellIs" dxfId="6822" priority="2723" operator="lessThan">
      <formula>0</formula>
    </cfRule>
  </conditionalFormatting>
  <conditionalFormatting sqref="CL47">
    <cfRule type="cellIs" dxfId="6821" priority="2722" operator="greaterThanOrEqual">
      <formula>0</formula>
    </cfRule>
  </conditionalFormatting>
  <conditionalFormatting sqref="CL47">
    <cfRule type="cellIs" dxfId="6820" priority="2721" operator="lessThan">
      <formula>0</formula>
    </cfRule>
  </conditionalFormatting>
  <conditionalFormatting sqref="CL50">
    <cfRule type="cellIs" dxfId="6819" priority="2720" operator="greaterThanOrEqual">
      <formula>0</formula>
    </cfRule>
  </conditionalFormatting>
  <conditionalFormatting sqref="CL50">
    <cfRule type="cellIs" dxfId="6818" priority="2719" operator="lessThan">
      <formula>0</formula>
    </cfRule>
  </conditionalFormatting>
  <conditionalFormatting sqref="CL51">
    <cfRule type="cellIs" dxfId="6817" priority="2718" operator="greaterThanOrEqual">
      <formula>0</formula>
    </cfRule>
  </conditionalFormatting>
  <conditionalFormatting sqref="CL51">
    <cfRule type="cellIs" dxfId="6816" priority="2717" operator="lessThan">
      <formula>0</formula>
    </cfRule>
  </conditionalFormatting>
  <conditionalFormatting sqref="CL59">
    <cfRule type="cellIs" dxfId="6815" priority="2716" operator="greaterThanOrEqual">
      <formula>0</formula>
    </cfRule>
  </conditionalFormatting>
  <conditionalFormatting sqref="CL59">
    <cfRule type="cellIs" dxfId="6814" priority="2715" operator="lessThan">
      <formula>0</formula>
    </cfRule>
  </conditionalFormatting>
  <conditionalFormatting sqref="CL62">
    <cfRule type="cellIs" dxfId="6813" priority="2714" operator="greaterThanOrEqual">
      <formula>0</formula>
    </cfRule>
  </conditionalFormatting>
  <conditionalFormatting sqref="CL62">
    <cfRule type="cellIs" dxfId="6812" priority="2713" operator="lessThan">
      <formula>0</formula>
    </cfRule>
  </conditionalFormatting>
  <conditionalFormatting sqref="CL65">
    <cfRule type="cellIs" dxfId="6811" priority="2712" operator="greaterThanOrEqual">
      <formula>0</formula>
    </cfRule>
  </conditionalFormatting>
  <conditionalFormatting sqref="CL65">
    <cfRule type="cellIs" dxfId="6810" priority="2711" operator="lessThan">
      <formula>0</formula>
    </cfRule>
  </conditionalFormatting>
  <conditionalFormatting sqref="CL56">
    <cfRule type="cellIs" dxfId="6809" priority="2710" operator="greaterThanOrEqual">
      <formula>0</formula>
    </cfRule>
  </conditionalFormatting>
  <conditionalFormatting sqref="CL56">
    <cfRule type="cellIs" dxfId="6808" priority="2709" operator="lessThan">
      <formula>0</formula>
    </cfRule>
  </conditionalFormatting>
  <conditionalFormatting sqref="CL66">
    <cfRule type="cellIs" dxfId="6807" priority="2708" operator="greaterThanOrEqual">
      <formula>0</formula>
    </cfRule>
  </conditionalFormatting>
  <conditionalFormatting sqref="CL66">
    <cfRule type="cellIs" dxfId="6806" priority="2707" operator="lessThan">
      <formula>0</formula>
    </cfRule>
  </conditionalFormatting>
  <conditionalFormatting sqref="CM16:CM17">
    <cfRule type="cellIs" dxfId="6805" priority="2705" operator="greaterThan">
      <formula>0</formula>
    </cfRule>
    <cfRule type="cellIs" dxfId="6804" priority="2706" operator="lessThanOrEqual">
      <formula>0</formula>
    </cfRule>
  </conditionalFormatting>
  <conditionalFormatting sqref="CM19:CM20">
    <cfRule type="cellIs" dxfId="6803" priority="2703" operator="greaterThan">
      <formula>0</formula>
    </cfRule>
    <cfRule type="cellIs" dxfId="6802" priority="2704" operator="lessThanOrEqual">
      <formula>0</formula>
    </cfRule>
  </conditionalFormatting>
  <conditionalFormatting sqref="CM22:CM23">
    <cfRule type="cellIs" dxfId="6801" priority="2701" operator="greaterThan">
      <formula>0</formula>
    </cfRule>
    <cfRule type="cellIs" dxfId="6800" priority="2702" operator="lessThanOrEqual">
      <formula>0</formula>
    </cfRule>
  </conditionalFormatting>
  <conditionalFormatting sqref="CM29:CM30">
    <cfRule type="cellIs" dxfId="6799" priority="2699" operator="greaterThan">
      <formula>0</formula>
    </cfRule>
    <cfRule type="cellIs" dxfId="6798" priority="2700" operator="lessThanOrEqual">
      <formula>0</formula>
    </cfRule>
  </conditionalFormatting>
  <conditionalFormatting sqref="CM32:CM33">
    <cfRule type="cellIs" dxfId="6797" priority="2697" operator="greaterThan">
      <formula>0</formula>
    </cfRule>
    <cfRule type="cellIs" dxfId="6796" priority="2698" operator="lessThanOrEqual">
      <formula>0</formula>
    </cfRule>
  </conditionalFormatting>
  <conditionalFormatting sqref="CM35:CM36">
    <cfRule type="cellIs" dxfId="6795" priority="2695" operator="greaterThan">
      <formula>0</formula>
    </cfRule>
    <cfRule type="cellIs" dxfId="6794" priority="2696" operator="lessThanOrEqual">
      <formula>0</formula>
    </cfRule>
  </conditionalFormatting>
  <conditionalFormatting sqref="CM38:CM39">
    <cfRule type="cellIs" dxfId="6793" priority="2693" operator="greaterThan">
      <formula>0</formula>
    </cfRule>
    <cfRule type="cellIs" dxfId="6792" priority="2694" operator="lessThanOrEqual">
      <formula>0</formula>
    </cfRule>
  </conditionalFormatting>
  <conditionalFormatting sqref="CM42:CM43">
    <cfRule type="cellIs" dxfId="6791" priority="2691" operator="greaterThan">
      <formula>0</formula>
    </cfRule>
    <cfRule type="cellIs" dxfId="6790" priority="2692" operator="lessThanOrEqual">
      <formula>0</formula>
    </cfRule>
  </conditionalFormatting>
  <conditionalFormatting sqref="CM45:CM46">
    <cfRule type="cellIs" dxfId="6789" priority="2689" operator="greaterThan">
      <formula>0</formula>
    </cfRule>
    <cfRule type="cellIs" dxfId="6788" priority="2690" operator="lessThanOrEqual">
      <formula>0</formula>
    </cfRule>
  </conditionalFormatting>
  <conditionalFormatting sqref="CM48:CM49">
    <cfRule type="cellIs" dxfId="6787" priority="2687" operator="greaterThan">
      <formula>0</formula>
    </cfRule>
    <cfRule type="cellIs" dxfId="6786" priority="2688" operator="lessThanOrEqual">
      <formula>0</formula>
    </cfRule>
  </conditionalFormatting>
  <conditionalFormatting sqref="CM53:CM54">
    <cfRule type="cellIs" dxfId="6785" priority="2685" operator="greaterThan">
      <formula>0</formula>
    </cfRule>
    <cfRule type="cellIs" dxfId="6784" priority="2686" operator="lessThanOrEqual">
      <formula>0</formula>
    </cfRule>
  </conditionalFormatting>
  <conditionalFormatting sqref="CM57:CM58">
    <cfRule type="cellIs" dxfId="6783" priority="2683" operator="greaterThan">
      <formula>0</formula>
    </cfRule>
    <cfRule type="cellIs" dxfId="6782" priority="2684" operator="lessThanOrEqual">
      <formula>0</formula>
    </cfRule>
  </conditionalFormatting>
  <conditionalFormatting sqref="CM60:CM61">
    <cfRule type="cellIs" dxfId="6781" priority="2681" operator="greaterThan">
      <formula>0</formula>
    </cfRule>
    <cfRule type="cellIs" dxfId="6780" priority="2682" operator="lessThanOrEqual">
      <formula>0</formula>
    </cfRule>
  </conditionalFormatting>
  <conditionalFormatting sqref="CM63:CM64">
    <cfRule type="cellIs" dxfId="6779" priority="2679" operator="greaterThan">
      <formula>0</formula>
    </cfRule>
    <cfRule type="cellIs" dxfId="6778" priority="2680" operator="lessThanOrEqual">
      <formula>0</formula>
    </cfRule>
  </conditionalFormatting>
  <conditionalFormatting sqref="CM25">
    <cfRule type="cellIs" dxfId="6777" priority="2678" operator="greaterThanOrEqual">
      <formula>0</formula>
    </cfRule>
  </conditionalFormatting>
  <conditionalFormatting sqref="CM25">
    <cfRule type="cellIs" dxfId="6776" priority="2677" operator="lessThan">
      <formula>0</formula>
    </cfRule>
  </conditionalFormatting>
  <conditionalFormatting sqref="CM26">
    <cfRule type="cellIs" dxfId="6775" priority="2676" operator="greaterThanOrEqual">
      <formula>0</formula>
    </cfRule>
  </conditionalFormatting>
  <conditionalFormatting sqref="CM26">
    <cfRule type="cellIs" dxfId="6774" priority="2675" operator="lessThan">
      <formula>0</formula>
    </cfRule>
  </conditionalFormatting>
  <conditionalFormatting sqref="CM28">
    <cfRule type="cellIs" dxfId="6773" priority="2674" operator="greaterThanOrEqual">
      <formula>0</formula>
    </cfRule>
  </conditionalFormatting>
  <conditionalFormatting sqref="CM28">
    <cfRule type="cellIs" dxfId="6772" priority="2673" operator="lessThan">
      <formula>0</formula>
    </cfRule>
  </conditionalFormatting>
  <conditionalFormatting sqref="CM41">
    <cfRule type="cellIs" dxfId="6771" priority="2672" operator="greaterThanOrEqual">
      <formula>0</formula>
    </cfRule>
  </conditionalFormatting>
  <conditionalFormatting sqref="CM41">
    <cfRule type="cellIs" dxfId="6770" priority="2671" operator="lessThan">
      <formula>0</formula>
    </cfRule>
  </conditionalFormatting>
  <conditionalFormatting sqref="CM44">
    <cfRule type="cellIs" dxfId="6769" priority="2670" operator="greaterThanOrEqual">
      <formula>0</formula>
    </cfRule>
  </conditionalFormatting>
  <conditionalFormatting sqref="CM44">
    <cfRule type="cellIs" dxfId="6768" priority="2669" operator="lessThan">
      <formula>0</formula>
    </cfRule>
  </conditionalFormatting>
  <conditionalFormatting sqref="CM47">
    <cfRule type="cellIs" dxfId="6767" priority="2668" operator="greaterThanOrEqual">
      <formula>0</formula>
    </cfRule>
  </conditionalFormatting>
  <conditionalFormatting sqref="CM47">
    <cfRule type="cellIs" dxfId="6766" priority="2667" operator="lessThan">
      <formula>0</formula>
    </cfRule>
  </conditionalFormatting>
  <conditionalFormatting sqref="CM50">
    <cfRule type="cellIs" dxfId="6765" priority="2666" operator="greaterThanOrEqual">
      <formula>0</formula>
    </cfRule>
  </conditionalFormatting>
  <conditionalFormatting sqref="CM50">
    <cfRule type="cellIs" dxfId="6764" priority="2665" operator="lessThan">
      <formula>0</formula>
    </cfRule>
  </conditionalFormatting>
  <conditionalFormatting sqref="CM51">
    <cfRule type="cellIs" dxfId="6763" priority="2664" operator="greaterThanOrEqual">
      <formula>0</formula>
    </cfRule>
  </conditionalFormatting>
  <conditionalFormatting sqref="CM51">
    <cfRule type="cellIs" dxfId="6762" priority="2663" operator="lessThan">
      <formula>0</formula>
    </cfRule>
  </conditionalFormatting>
  <conditionalFormatting sqref="CI107">
    <cfRule type="cellIs" dxfId="6761" priority="2430" operator="greaterThanOrEqual">
      <formula>0</formula>
    </cfRule>
  </conditionalFormatting>
  <conditionalFormatting sqref="CI107">
    <cfRule type="cellIs" dxfId="6760" priority="2429" operator="lessThan">
      <formula>0</formula>
    </cfRule>
  </conditionalFormatting>
  <conditionalFormatting sqref="CM59">
    <cfRule type="cellIs" dxfId="6759" priority="2662" operator="greaterThanOrEqual">
      <formula>0</formula>
    </cfRule>
  </conditionalFormatting>
  <conditionalFormatting sqref="CM59">
    <cfRule type="cellIs" dxfId="6758" priority="2661" operator="lessThan">
      <formula>0</formula>
    </cfRule>
  </conditionalFormatting>
  <conditionalFormatting sqref="CM62">
    <cfRule type="cellIs" dxfId="6757" priority="2660" operator="greaterThanOrEqual">
      <formula>0</formula>
    </cfRule>
  </conditionalFormatting>
  <conditionalFormatting sqref="CM62">
    <cfRule type="cellIs" dxfId="6756" priority="2659" operator="lessThan">
      <formula>0</formula>
    </cfRule>
  </conditionalFormatting>
  <conditionalFormatting sqref="CM65">
    <cfRule type="cellIs" dxfId="6755" priority="2658" operator="greaterThanOrEqual">
      <formula>0</formula>
    </cfRule>
  </conditionalFormatting>
  <conditionalFormatting sqref="CM65">
    <cfRule type="cellIs" dxfId="6754" priority="2657" operator="lessThan">
      <formula>0</formula>
    </cfRule>
  </conditionalFormatting>
  <conditionalFormatting sqref="CM56">
    <cfRule type="cellIs" dxfId="6753" priority="2655" operator="lessThan">
      <formula>0</formula>
    </cfRule>
  </conditionalFormatting>
  <conditionalFormatting sqref="CM56">
    <cfRule type="cellIs" dxfId="6752" priority="2656" operator="greaterThanOrEqual">
      <formula>0</formula>
    </cfRule>
  </conditionalFormatting>
  <conditionalFormatting sqref="CM66">
    <cfRule type="cellIs" dxfId="6751" priority="2653" operator="lessThan">
      <formula>0</formula>
    </cfRule>
  </conditionalFormatting>
  <conditionalFormatting sqref="CM66">
    <cfRule type="cellIs" dxfId="6750" priority="2654" operator="greaterThanOrEqual">
      <formula>0</formula>
    </cfRule>
  </conditionalFormatting>
  <conditionalFormatting sqref="CL70">
    <cfRule type="cellIs" dxfId="6749" priority="2651" operator="lessThan">
      <formula>0</formula>
    </cfRule>
    <cfRule type="cellIs" dxfId="6748" priority="2652" operator="greaterThanOrEqual">
      <formula>0</formula>
    </cfRule>
  </conditionalFormatting>
  <conditionalFormatting sqref="CM70">
    <cfRule type="cellIs" dxfId="6747" priority="2649" operator="lessThan">
      <formula>0</formula>
    </cfRule>
    <cfRule type="cellIs" dxfId="6746" priority="2650" operator="greaterThanOrEqual">
      <formula>0</formula>
    </cfRule>
  </conditionalFormatting>
  <conditionalFormatting sqref="CM72">
    <cfRule type="cellIs" dxfId="6745" priority="2647" operator="lessThan">
      <formula>0</formula>
    </cfRule>
    <cfRule type="cellIs" dxfId="6744" priority="2648" operator="greaterThanOrEqual">
      <formula>0</formula>
    </cfRule>
  </conditionalFormatting>
  <conditionalFormatting sqref="CM123:CM124">
    <cfRule type="cellIs" dxfId="6743" priority="2319" operator="greaterThan">
      <formula>0</formula>
    </cfRule>
    <cfRule type="cellIs" dxfId="6742" priority="2320" operator="lessThanOrEqual">
      <formula>0</formula>
    </cfRule>
  </conditionalFormatting>
  <conditionalFormatting sqref="CM119">
    <cfRule type="cellIs" dxfId="6741" priority="2294" operator="greaterThanOrEqual">
      <formula>0</formula>
    </cfRule>
  </conditionalFormatting>
  <conditionalFormatting sqref="CM119">
    <cfRule type="cellIs" dxfId="6740" priority="2293" operator="lessThan">
      <formula>0</formula>
    </cfRule>
  </conditionalFormatting>
  <conditionalFormatting sqref="CM129">
    <cfRule type="cellIs" dxfId="6739" priority="2292" operator="greaterThanOrEqual">
      <formula>0</formula>
    </cfRule>
  </conditionalFormatting>
  <conditionalFormatting sqref="CM129">
    <cfRule type="cellIs" dxfId="6738" priority="2291" operator="lessThan">
      <formula>0</formula>
    </cfRule>
  </conditionalFormatting>
  <conditionalFormatting sqref="CM118">
    <cfRule type="cellIs" dxfId="6737" priority="2288" operator="greaterThanOrEqual">
      <formula>0</formula>
    </cfRule>
  </conditionalFormatting>
  <conditionalFormatting sqref="CM118">
    <cfRule type="cellIs" dxfId="6736" priority="2287" operator="lessThan">
      <formula>0</formula>
    </cfRule>
  </conditionalFormatting>
  <conditionalFormatting sqref="CL76:CL77 CL79:CL80 CL82:CL83 CL85:CL86 CL92:CL93 CL95:CL96 CL98:CL99 CL101:CL102 CL111:CL112">
    <cfRule type="cellIs" dxfId="6735" priority="2397" operator="lessThan">
      <formula>0</formula>
    </cfRule>
    <cfRule type="cellIs" dxfId="6734" priority="2398" operator="greaterThanOrEqual">
      <formula>0</formula>
    </cfRule>
  </conditionalFormatting>
  <conditionalFormatting sqref="CJ95:CJ96">
    <cfRule type="cellIs" dxfId="6733" priority="2505" operator="greaterThan">
      <formula>0</formula>
    </cfRule>
    <cfRule type="cellIs" dxfId="6732" priority="2506" operator="lessThanOrEqual">
      <formula>0</formula>
    </cfRule>
  </conditionalFormatting>
  <conditionalFormatting sqref="CL107">
    <cfRule type="cellIs" dxfId="6731" priority="2362" operator="greaterThanOrEqual">
      <formula>0</formula>
    </cfRule>
  </conditionalFormatting>
  <conditionalFormatting sqref="CL107">
    <cfRule type="cellIs" dxfId="6730" priority="2361" operator="lessThan">
      <formula>0</formula>
    </cfRule>
  </conditionalFormatting>
  <conditionalFormatting sqref="CM113">
    <cfRule type="cellIs" dxfId="6729" priority="2304" operator="greaterThanOrEqual">
      <formula>0</formula>
    </cfRule>
  </conditionalFormatting>
  <conditionalFormatting sqref="CM113">
    <cfRule type="cellIs" dxfId="6728" priority="2303" operator="lessThan">
      <formula>0</formula>
    </cfRule>
  </conditionalFormatting>
  <conditionalFormatting sqref="CL114">
    <cfRule type="cellIs" dxfId="6727" priority="2356" operator="greaterThanOrEqual">
      <formula>0</formula>
    </cfRule>
  </conditionalFormatting>
  <conditionalFormatting sqref="CL114">
    <cfRule type="cellIs" dxfId="6726" priority="2355" operator="lessThan">
      <formula>0</formula>
    </cfRule>
  </conditionalFormatting>
  <conditionalFormatting sqref="CM125">
    <cfRule type="cellIs" dxfId="6725" priority="2297" operator="lessThan">
      <formula>0</formula>
    </cfRule>
  </conditionalFormatting>
  <conditionalFormatting sqref="CM125">
    <cfRule type="cellIs" dxfId="6724" priority="2298" operator="greaterThanOrEqual">
      <formula>0</formula>
    </cfRule>
  </conditionalFormatting>
  <conditionalFormatting sqref="CE55">
    <cfRule type="cellIs" dxfId="6723" priority="2646" operator="greaterThanOrEqual">
      <formula>0</formula>
    </cfRule>
  </conditionalFormatting>
  <conditionalFormatting sqref="CE55">
    <cfRule type="cellIs" dxfId="6722" priority="2645" operator="lessThan">
      <formula>0</formula>
    </cfRule>
  </conditionalFormatting>
  <conditionalFormatting sqref="CJ55">
    <cfRule type="cellIs" dxfId="6721" priority="2643" operator="greaterThan">
      <formula>0</formula>
    </cfRule>
    <cfRule type="cellIs" dxfId="6720" priority="2644" operator="lessThanOrEqual">
      <formula>0</formula>
    </cfRule>
  </conditionalFormatting>
  <conditionalFormatting sqref="CI55">
    <cfRule type="cellIs" dxfId="6719" priority="2642" operator="greaterThanOrEqual">
      <formula>0</formula>
    </cfRule>
  </conditionalFormatting>
  <conditionalFormatting sqref="CI55">
    <cfRule type="cellIs" dxfId="6718" priority="2641" operator="lessThan">
      <formula>0</formula>
    </cfRule>
  </conditionalFormatting>
  <conditionalFormatting sqref="CF55">
    <cfRule type="cellIs" dxfId="6717" priority="2639" operator="greaterThan">
      <formula>0</formula>
    </cfRule>
    <cfRule type="cellIs" dxfId="6716" priority="2640" operator="lessThanOrEqual">
      <formula>0</formula>
    </cfRule>
  </conditionalFormatting>
  <conditionalFormatting sqref="CL55">
    <cfRule type="cellIs" dxfId="6715" priority="2638" operator="greaterThanOrEqual">
      <formula>0</formula>
    </cfRule>
  </conditionalFormatting>
  <conditionalFormatting sqref="CL55">
    <cfRule type="cellIs" dxfId="6714" priority="2637" operator="lessThan">
      <formula>0</formula>
    </cfRule>
  </conditionalFormatting>
  <conditionalFormatting sqref="CM55">
    <cfRule type="cellIs" dxfId="6713" priority="2636" operator="greaterThanOrEqual">
      <formula>0</formula>
    </cfRule>
  </conditionalFormatting>
  <conditionalFormatting sqref="CM55">
    <cfRule type="cellIs" dxfId="6712" priority="2635" operator="lessThan">
      <formula>0</formula>
    </cfRule>
  </conditionalFormatting>
  <conditionalFormatting sqref="CM128">
    <cfRule type="cellIs" dxfId="6711" priority="2296" operator="greaterThanOrEqual">
      <formula>0</formula>
    </cfRule>
  </conditionalFormatting>
  <conditionalFormatting sqref="CM128">
    <cfRule type="cellIs" dxfId="6710" priority="2295" operator="lessThan">
      <formula>0</formula>
    </cfRule>
  </conditionalFormatting>
  <conditionalFormatting sqref="CF76:CF77">
    <cfRule type="cellIs" dxfId="6709" priority="2633" operator="greaterThan">
      <formula>0</formula>
    </cfRule>
    <cfRule type="cellIs" dxfId="6708" priority="2634" operator="lessThanOrEqual">
      <formula>0</formula>
    </cfRule>
  </conditionalFormatting>
  <conditionalFormatting sqref="CF79:CF80">
    <cfRule type="cellIs" dxfId="6707" priority="2631" operator="greaterThan">
      <formula>0</formula>
    </cfRule>
    <cfRule type="cellIs" dxfId="6706" priority="2632" operator="lessThanOrEqual">
      <formula>0</formula>
    </cfRule>
  </conditionalFormatting>
  <conditionalFormatting sqref="CF82:CF83">
    <cfRule type="cellIs" dxfId="6705" priority="2629" operator="greaterThan">
      <formula>0</formula>
    </cfRule>
    <cfRule type="cellIs" dxfId="6704" priority="2630" operator="lessThanOrEqual">
      <formula>0</formula>
    </cfRule>
  </conditionalFormatting>
  <conditionalFormatting sqref="CF92:CF93">
    <cfRule type="cellIs" dxfId="6703" priority="2627" operator="greaterThan">
      <formula>0</formula>
    </cfRule>
    <cfRule type="cellIs" dxfId="6702" priority="2628" operator="lessThanOrEqual">
      <formula>0</formula>
    </cfRule>
  </conditionalFormatting>
  <conditionalFormatting sqref="CF85:CF86">
    <cfRule type="cellIs" dxfId="6701" priority="2625" operator="greaterThan">
      <formula>0</formula>
    </cfRule>
    <cfRule type="cellIs" dxfId="6700" priority="2626" operator="lessThanOrEqual">
      <formula>0</formula>
    </cfRule>
  </conditionalFormatting>
  <conditionalFormatting sqref="CF95:CF96">
    <cfRule type="cellIs" dxfId="6699" priority="2623" operator="greaterThan">
      <formula>0</formula>
    </cfRule>
    <cfRule type="cellIs" dxfId="6698" priority="2624" operator="lessThanOrEqual">
      <formula>0</formula>
    </cfRule>
  </conditionalFormatting>
  <conditionalFormatting sqref="CF98:CF99">
    <cfRule type="cellIs" dxfId="6697" priority="2621" operator="greaterThan">
      <formula>0</formula>
    </cfRule>
    <cfRule type="cellIs" dxfId="6696" priority="2622" operator="lessThanOrEqual">
      <formula>0</formula>
    </cfRule>
  </conditionalFormatting>
  <conditionalFormatting sqref="CF101:CF102">
    <cfRule type="cellIs" dxfId="6695" priority="2619" operator="greaterThan">
      <formula>0</formula>
    </cfRule>
    <cfRule type="cellIs" dxfId="6694" priority="2620" operator="lessThanOrEqual">
      <formula>0</formula>
    </cfRule>
  </conditionalFormatting>
  <conditionalFormatting sqref="CF111:CF112">
    <cfRule type="cellIs" dxfId="6693" priority="2617" operator="greaterThan">
      <formula>0</formula>
    </cfRule>
    <cfRule type="cellIs" dxfId="6692" priority="2618" operator="lessThanOrEqual">
      <formula>0</formula>
    </cfRule>
  </conditionalFormatting>
  <conditionalFormatting sqref="CF126:CF127">
    <cfRule type="cellIs" dxfId="6691" priority="2615" operator="greaterThan">
      <formula>0</formula>
    </cfRule>
    <cfRule type="cellIs" dxfId="6690" priority="2616" operator="lessThanOrEqual">
      <formula>0</formula>
    </cfRule>
  </conditionalFormatting>
  <conditionalFormatting sqref="CF116:CF117">
    <cfRule type="cellIs" dxfId="6689" priority="2613" operator="greaterThan">
      <formula>0</formula>
    </cfRule>
    <cfRule type="cellIs" dxfId="6688" priority="2614" operator="lessThanOrEqual">
      <formula>0</formula>
    </cfRule>
  </conditionalFormatting>
  <conditionalFormatting sqref="CF78">
    <cfRule type="cellIs" dxfId="6687" priority="2611" operator="greaterThan">
      <formula>0</formula>
    </cfRule>
    <cfRule type="cellIs" dxfId="6686" priority="2612" operator="lessThanOrEqual">
      <formula>0</formula>
    </cfRule>
  </conditionalFormatting>
  <conditionalFormatting sqref="CF81">
    <cfRule type="cellIs" dxfId="6685" priority="2609" operator="greaterThan">
      <formula>0</formula>
    </cfRule>
    <cfRule type="cellIs" dxfId="6684" priority="2610" operator="lessThanOrEqual">
      <formula>0</formula>
    </cfRule>
  </conditionalFormatting>
  <conditionalFormatting sqref="CF84">
    <cfRule type="cellIs" dxfId="6683" priority="2607" operator="greaterThan">
      <formula>0</formula>
    </cfRule>
    <cfRule type="cellIs" dxfId="6682" priority="2608" operator="lessThanOrEqual">
      <formula>0</formula>
    </cfRule>
  </conditionalFormatting>
  <conditionalFormatting sqref="CF94">
    <cfRule type="cellIs" dxfId="6681" priority="2605" operator="greaterThan">
      <formula>0</formula>
    </cfRule>
    <cfRule type="cellIs" dxfId="6680" priority="2606" operator="lessThanOrEqual">
      <formula>0</formula>
    </cfRule>
  </conditionalFormatting>
  <conditionalFormatting sqref="CF87">
    <cfRule type="cellIs" dxfId="6679" priority="2603" operator="greaterThan">
      <formula>0</formula>
    </cfRule>
    <cfRule type="cellIs" dxfId="6678" priority="2604" operator="lessThanOrEqual">
      <formula>0</formula>
    </cfRule>
  </conditionalFormatting>
  <conditionalFormatting sqref="CF97">
    <cfRule type="cellIs" dxfId="6677" priority="2601" operator="greaterThan">
      <formula>0</formula>
    </cfRule>
    <cfRule type="cellIs" dxfId="6676" priority="2602" operator="lessThanOrEqual">
      <formula>0</formula>
    </cfRule>
  </conditionalFormatting>
  <conditionalFormatting sqref="CF100">
    <cfRule type="cellIs" dxfId="6675" priority="2599" operator="greaterThan">
      <formula>0</formula>
    </cfRule>
    <cfRule type="cellIs" dxfId="6674" priority="2600" operator="lessThanOrEqual">
      <formula>0</formula>
    </cfRule>
  </conditionalFormatting>
  <conditionalFormatting sqref="CF103">
    <cfRule type="cellIs" dxfId="6673" priority="2597" operator="greaterThan">
      <formula>0</formula>
    </cfRule>
    <cfRule type="cellIs" dxfId="6672" priority="2598" operator="lessThanOrEqual">
      <formula>0</formula>
    </cfRule>
  </conditionalFormatting>
  <conditionalFormatting sqref="CF89">
    <cfRule type="cellIs" dxfId="6671" priority="2595" operator="greaterThan">
      <formula>0</formula>
    </cfRule>
    <cfRule type="cellIs" dxfId="6670" priority="2596" operator="lessThanOrEqual">
      <formula>0</formula>
    </cfRule>
  </conditionalFormatting>
  <conditionalFormatting sqref="CF129">
    <cfRule type="cellIs" dxfId="6669" priority="2593" operator="greaterThan">
      <formula>0</formula>
    </cfRule>
    <cfRule type="cellIs" dxfId="6668" priority="2594" operator="lessThanOrEqual">
      <formula>0</formula>
    </cfRule>
  </conditionalFormatting>
  <conditionalFormatting sqref="CE76:CE77 CE79:CE80 CE82:CE83 CE85:CE86 CE92:CE93 CE95:CE96 CE98:CE99 CE101:CE102 CE111:CE112 CE116:CE117">
    <cfRule type="cellIs" dxfId="6667" priority="2591" operator="lessThan">
      <formula>0</formula>
    </cfRule>
    <cfRule type="cellIs" dxfId="6666" priority="2592" operator="greaterThanOrEqual">
      <formula>0</formula>
    </cfRule>
  </conditionalFormatting>
  <conditionalFormatting sqref="CE78 CE81 CE84 CE87 CE89 CE94 CE97 CE100 CE103">
    <cfRule type="cellIs" dxfId="6665" priority="2590" operator="greaterThanOrEqual">
      <formula>0</formula>
    </cfRule>
  </conditionalFormatting>
  <conditionalFormatting sqref="CE78 CE81 CE84 CE87 CE89 CE94 CE97 CE100 CE103">
    <cfRule type="cellIs" dxfId="6664" priority="2589" operator="lessThan">
      <formula>0</formula>
    </cfRule>
  </conditionalFormatting>
  <conditionalFormatting sqref="CF130">
    <cfRule type="cellIs" dxfId="6663" priority="2587" operator="greaterThan">
      <formula>0</formula>
    </cfRule>
    <cfRule type="cellIs" dxfId="6662" priority="2588" operator="lessThanOrEqual">
      <formula>0</formula>
    </cfRule>
  </conditionalFormatting>
  <conditionalFormatting sqref="CE130">
    <cfRule type="cellIs" dxfId="6661" priority="2585" operator="greaterThanOrEqual">
      <formula>0</formula>
    </cfRule>
    <cfRule type="cellIs" dxfId="6660" priority="2586" operator="lessThan">
      <formula>0</formula>
    </cfRule>
  </conditionalFormatting>
  <conditionalFormatting sqref="CE125">
    <cfRule type="cellIs" dxfId="6659" priority="2566" operator="greaterThanOrEqual">
      <formula>0</formula>
    </cfRule>
  </conditionalFormatting>
  <conditionalFormatting sqref="CE125">
    <cfRule type="cellIs" dxfId="6658" priority="2565" operator="lessThan">
      <formula>0</formula>
    </cfRule>
  </conditionalFormatting>
  <conditionalFormatting sqref="CF107">
    <cfRule type="cellIs" dxfId="6657" priority="2575" operator="greaterThan">
      <formula>0</formula>
    </cfRule>
    <cfRule type="cellIs" dxfId="6656" priority="2576" operator="lessThanOrEqual">
      <formula>0</formula>
    </cfRule>
  </conditionalFormatting>
  <conditionalFormatting sqref="CF110">
    <cfRule type="cellIs" dxfId="6655" priority="2573" operator="greaterThan">
      <formula>0</formula>
    </cfRule>
    <cfRule type="cellIs" dxfId="6654" priority="2574" operator="lessThanOrEqual">
      <formula>0</formula>
    </cfRule>
  </conditionalFormatting>
  <conditionalFormatting sqref="CF113">
    <cfRule type="cellIs" dxfId="6653" priority="2571" operator="greaterThan">
      <formula>0</formula>
    </cfRule>
    <cfRule type="cellIs" dxfId="6652" priority="2572" operator="lessThanOrEqual">
      <formula>0</formula>
    </cfRule>
  </conditionalFormatting>
  <conditionalFormatting sqref="CF91">
    <cfRule type="cellIs" dxfId="6651" priority="2583" operator="greaterThan">
      <formula>0</formula>
    </cfRule>
    <cfRule type="cellIs" dxfId="6650" priority="2584" operator="lessThanOrEqual">
      <formula>0</formula>
    </cfRule>
  </conditionalFormatting>
  <conditionalFormatting sqref="CF104">
    <cfRule type="cellIs" dxfId="6649" priority="2581" operator="greaterThan">
      <formula>0</formula>
    </cfRule>
    <cfRule type="cellIs" dxfId="6648" priority="2582" operator="lessThanOrEqual">
      <formula>0</formula>
    </cfRule>
  </conditionalFormatting>
  <conditionalFormatting sqref="CF105:CF106 CF108:CF109">
    <cfRule type="cellIs" dxfId="6647" priority="2579" operator="greaterThan">
      <formula>0</formula>
    </cfRule>
    <cfRule type="cellIs" dxfId="6646" priority="2580" operator="lessThanOrEqual">
      <formula>0</formula>
    </cfRule>
  </conditionalFormatting>
  <conditionalFormatting sqref="CF120:CF121 CF123:CF124">
    <cfRule type="cellIs" dxfId="6645" priority="2577" operator="greaterThan">
      <formula>0</formula>
    </cfRule>
    <cfRule type="cellIs" dxfId="6644" priority="2578" operator="lessThanOrEqual">
      <formula>0</formula>
    </cfRule>
  </conditionalFormatting>
  <conditionalFormatting sqref="CF122">
    <cfRule type="cellIs" dxfId="6643" priority="2569" operator="greaterThan">
      <formula>0</formula>
    </cfRule>
    <cfRule type="cellIs" dxfId="6642" priority="2570" operator="lessThanOrEqual">
      <formula>0</formula>
    </cfRule>
  </conditionalFormatting>
  <conditionalFormatting sqref="CF125">
    <cfRule type="cellIs" dxfId="6641" priority="2567" operator="greaterThan">
      <formula>0</formula>
    </cfRule>
    <cfRule type="cellIs" dxfId="6640" priority="2568" operator="lessThanOrEqual">
      <formula>0</formula>
    </cfRule>
  </conditionalFormatting>
  <conditionalFormatting sqref="CF128">
    <cfRule type="cellIs" dxfId="6639" priority="2563" operator="greaterThan">
      <formula>0</formula>
    </cfRule>
    <cfRule type="cellIs" dxfId="6638" priority="2564" operator="lessThanOrEqual">
      <formula>0</formula>
    </cfRule>
  </conditionalFormatting>
  <conditionalFormatting sqref="CF88">
    <cfRule type="cellIs" dxfId="6637" priority="2561" operator="greaterThan">
      <formula>0</formula>
    </cfRule>
    <cfRule type="cellIs" dxfId="6636" priority="2562" operator="lessThanOrEqual">
      <formula>0</formula>
    </cfRule>
  </conditionalFormatting>
  <conditionalFormatting sqref="CF119">
    <cfRule type="cellIs" dxfId="6635" priority="2559" operator="greaterThan">
      <formula>0</formula>
    </cfRule>
    <cfRule type="cellIs" dxfId="6634" priority="2560" operator="lessThanOrEqual">
      <formula>0</formula>
    </cfRule>
  </conditionalFormatting>
  <conditionalFormatting sqref="CE119">
    <cfRule type="cellIs" dxfId="6633" priority="2558" operator="greaterThanOrEqual">
      <formula>0</formula>
    </cfRule>
  </conditionalFormatting>
  <conditionalFormatting sqref="CE119">
    <cfRule type="cellIs" dxfId="6632" priority="2557" operator="lessThan">
      <formula>0</formula>
    </cfRule>
  </conditionalFormatting>
  <conditionalFormatting sqref="CF115">
    <cfRule type="cellIs" dxfId="6631" priority="2555" operator="greaterThan">
      <formula>0</formula>
    </cfRule>
    <cfRule type="cellIs" dxfId="6630" priority="2556" operator="lessThanOrEqual">
      <formula>0</formula>
    </cfRule>
  </conditionalFormatting>
  <conditionalFormatting sqref="CE115">
    <cfRule type="cellIs" dxfId="6629" priority="2554" operator="greaterThanOrEqual">
      <formula>0</formula>
    </cfRule>
  </conditionalFormatting>
  <conditionalFormatting sqref="CE115">
    <cfRule type="cellIs" dxfId="6628" priority="2553" operator="lessThan">
      <formula>0</formula>
    </cfRule>
  </conditionalFormatting>
  <conditionalFormatting sqref="CE88">
    <cfRule type="cellIs" dxfId="6627" priority="2552" operator="greaterThanOrEqual">
      <formula>0</formula>
    </cfRule>
  </conditionalFormatting>
  <conditionalFormatting sqref="CE88">
    <cfRule type="cellIs" dxfId="6626" priority="2551" operator="lessThan">
      <formula>0</formula>
    </cfRule>
  </conditionalFormatting>
  <conditionalFormatting sqref="CE91">
    <cfRule type="cellIs" dxfId="6625" priority="2550" operator="greaterThanOrEqual">
      <formula>0</formula>
    </cfRule>
  </conditionalFormatting>
  <conditionalFormatting sqref="CE91">
    <cfRule type="cellIs" dxfId="6624" priority="2549" operator="lessThan">
      <formula>0</formula>
    </cfRule>
  </conditionalFormatting>
  <conditionalFormatting sqref="CE104">
    <cfRule type="cellIs" dxfId="6623" priority="2548" operator="greaterThanOrEqual">
      <formula>0</formula>
    </cfRule>
  </conditionalFormatting>
  <conditionalFormatting sqref="CE104">
    <cfRule type="cellIs" dxfId="6622" priority="2547" operator="lessThan">
      <formula>0</formula>
    </cfRule>
  </conditionalFormatting>
  <conditionalFormatting sqref="CE107">
    <cfRule type="cellIs" dxfId="6621" priority="2546" operator="greaterThanOrEqual">
      <formula>0</formula>
    </cfRule>
  </conditionalFormatting>
  <conditionalFormatting sqref="CE107">
    <cfRule type="cellIs" dxfId="6620" priority="2545" operator="lessThan">
      <formula>0</formula>
    </cfRule>
  </conditionalFormatting>
  <conditionalFormatting sqref="CE110">
    <cfRule type="cellIs" dxfId="6619" priority="2544" operator="greaterThanOrEqual">
      <formula>0</formula>
    </cfRule>
  </conditionalFormatting>
  <conditionalFormatting sqref="CE110">
    <cfRule type="cellIs" dxfId="6618" priority="2543" operator="lessThan">
      <formula>0</formula>
    </cfRule>
  </conditionalFormatting>
  <conditionalFormatting sqref="CE113">
    <cfRule type="cellIs" dxfId="6617" priority="2542" operator="greaterThanOrEqual">
      <formula>0</formula>
    </cfRule>
  </conditionalFormatting>
  <conditionalFormatting sqref="CE113">
    <cfRule type="cellIs" dxfId="6616" priority="2541" operator="lessThan">
      <formula>0</formula>
    </cfRule>
  </conditionalFormatting>
  <conditionalFormatting sqref="CE114">
    <cfRule type="cellIs" dxfId="6615" priority="2540" operator="greaterThanOrEqual">
      <formula>0</formula>
    </cfRule>
  </conditionalFormatting>
  <conditionalFormatting sqref="CE114">
    <cfRule type="cellIs" dxfId="6614" priority="2539" operator="lessThan">
      <formula>0</formula>
    </cfRule>
  </conditionalFormatting>
  <conditionalFormatting sqref="CE122">
    <cfRule type="cellIs" dxfId="6613" priority="2538" operator="greaterThanOrEqual">
      <formula>0</formula>
    </cfRule>
  </conditionalFormatting>
  <conditionalFormatting sqref="CE122">
    <cfRule type="cellIs" dxfId="6612" priority="2537" operator="lessThan">
      <formula>0</formula>
    </cfRule>
  </conditionalFormatting>
  <conditionalFormatting sqref="CE128">
    <cfRule type="cellIs" dxfId="6611" priority="2536" operator="greaterThanOrEqual">
      <formula>0</formula>
    </cfRule>
  </conditionalFormatting>
  <conditionalFormatting sqref="CE128">
    <cfRule type="cellIs" dxfId="6610" priority="2535" operator="lessThan">
      <formula>0</formula>
    </cfRule>
  </conditionalFormatting>
  <conditionalFormatting sqref="CE129">
    <cfRule type="cellIs" dxfId="6609" priority="2534" operator="greaterThanOrEqual">
      <formula>0</formula>
    </cfRule>
  </conditionalFormatting>
  <conditionalFormatting sqref="CE129">
    <cfRule type="cellIs" dxfId="6608" priority="2533" operator="lessThan">
      <formula>0</formula>
    </cfRule>
  </conditionalFormatting>
  <conditionalFormatting sqref="CE105:CE106">
    <cfRule type="cellIs" dxfId="6607" priority="2531" operator="lessThan">
      <formula>0</formula>
    </cfRule>
    <cfRule type="cellIs" dxfId="6606" priority="2532" operator="greaterThanOrEqual">
      <formula>0</formula>
    </cfRule>
  </conditionalFormatting>
  <conditionalFormatting sqref="CE108:CE109">
    <cfRule type="cellIs" dxfId="6605" priority="2529" operator="lessThan">
      <formula>0</formula>
    </cfRule>
    <cfRule type="cellIs" dxfId="6604" priority="2530" operator="greaterThanOrEqual">
      <formula>0</formula>
    </cfRule>
  </conditionalFormatting>
  <conditionalFormatting sqref="CE120:CE121">
    <cfRule type="cellIs" dxfId="6603" priority="2527" operator="lessThan">
      <formula>0</formula>
    </cfRule>
    <cfRule type="cellIs" dxfId="6602" priority="2528" operator="greaterThanOrEqual">
      <formula>0</formula>
    </cfRule>
  </conditionalFormatting>
  <conditionalFormatting sqref="CE123:CE124">
    <cfRule type="cellIs" dxfId="6601" priority="2525" operator="lessThan">
      <formula>0</formula>
    </cfRule>
    <cfRule type="cellIs" dxfId="6600" priority="2526" operator="greaterThanOrEqual">
      <formula>0</formula>
    </cfRule>
  </conditionalFormatting>
  <conditionalFormatting sqref="CE126:CE127">
    <cfRule type="cellIs" dxfId="6599" priority="2523" operator="lessThan">
      <formula>0</formula>
    </cfRule>
    <cfRule type="cellIs" dxfId="6598" priority="2524" operator="greaterThanOrEqual">
      <formula>0</formula>
    </cfRule>
  </conditionalFormatting>
  <conditionalFormatting sqref="CF114">
    <cfRule type="cellIs" dxfId="6597" priority="2521" operator="greaterThan">
      <formula>0</formula>
    </cfRule>
    <cfRule type="cellIs" dxfId="6596" priority="2522" operator="lessThanOrEqual">
      <formula>0</formula>
    </cfRule>
  </conditionalFormatting>
  <conditionalFormatting sqref="CE118">
    <cfRule type="cellIs" dxfId="6595" priority="2520" operator="greaterThanOrEqual">
      <formula>0</formula>
    </cfRule>
  </conditionalFormatting>
  <conditionalFormatting sqref="CE118">
    <cfRule type="cellIs" dxfId="6594" priority="2519" operator="lessThan">
      <formula>0</formula>
    </cfRule>
  </conditionalFormatting>
  <conditionalFormatting sqref="CF118">
    <cfRule type="cellIs" dxfId="6593" priority="2517" operator="greaterThan">
      <formula>0</formula>
    </cfRule>
    <cfRule type="cellIs" dxfId="6592" priority="2518" operator="lessThanOrEqual">
      <formula>0</formula>
    </cfRule>
  </conditionalFormatting>
  <conditionalFormatting sqref="CJ76:CJ77">
    <cfRule type="cellIs" dxfId="6591" priority="2515" operator="greaterThan">
      <formula>0</formula>
    </cfRule>
    <cfRule type="cellIs" dxfId="6590" priority="2516" operator="lessThanOrEqual">
      <formula>0</formula>
    </cfRule>
  </conditionalFormatting>
  <conditionalFormatting sqref="CJ79:CJ80">
    <cfRule type="cellIs" dxfId="6589" priority="2513" operator="greaterThan">
      <formula>0</formula>
    </cfRule>
    <cfRule type="cellIs" dxfId="6588" priority="2514" operator="lessThanOrEqual">
      <formula>0</formula>
    </cfRule>
  </conditionalFormatting>
  <conditionalFormatting sqref="CJ82:CJ83">
    <cfRule type="cellIs" dxfId="6587" priority="2511" operator="greaterThan">
      <formula>0</formula>
    </cfRule>
    <cfRule type="cellIs" dxfId="6586" priority="2512" operator="lessThanOrEqual">
      <formula>0</formula>
    </cfRule>
  </conditionalFormatting>
  <conditionalFormatting sqref="CJ92:CJ93">
    <cfRule type="cellIs" dxfId="6585" priority="2509" operator="greaterThan">
      <formula>0</formula>
    </cfRule>
    <cfRule type="cellIs" dxfId="6584" priority="2510" operator="lessThanOrEqual">
      <formula>0</formula>
    </cfRule>
  </conditionalFormatting>
  <conditionalFormatting sqref="CJ85:CJ86">
    <cfRule type="cellIs" dxfId="6583" priority="2507" operator="greaterThan">
      <formula>0</formula>
    </cfRule>
    <cfRule type="cellIs" dxfId="6582" priority="2508" operator="lessThanOrEqual">
      <formula>0</formula>
    </cfRule>
  </conditionalFormatting>
  <conditionalFormatting sqref="CJ98:CJ99">
    <cfRule type="cellIs" dxfId="6581" priority="2503" operator="greaterThan">
      <formula>0</formula>
    </cfRule>
    <cfRule type="cellIs" dxfId="6580" priority="2504" operator="lessThanOrEqual">
      <formula>0</formula>
    </cfRule>
  </conditionalFormatting>
  <conditionalFormatting sqref="CJ101:CJ102">
    <cfRule type="cellIs" dxfId="6579" priority="2501" operator="greaterThan">
      <formula>0</formula>
    </cfRule>
    <cfRule type="cellIs" dxfId="6578" priority="2502" operator="lessThanOrEqual">
      <formula>0</formula>
    </cfRule>
  </conditionalFormatting>
  <conditionalFormatting sqref="CJ111:CJ112">
    <cfRule type="cellIs" dxfId="6577" priority="2499" operator="greaterThan">
      <formula>0</formula>
    </cfRule>
    <cfRule type="cellIs" dxfId="6576" priority="2500" operator="lessThanOrEqual">
      <formula>0</formula>
    </cfRule>
  </conditionalFormatting>
  <conditionalFormatting sqref="CJ126:CJ127">
    <cfRule type="cellIs" dxfId="6575" priority="2497" operator="greaterThan">
      <formula>0</formula>
    </cfRule>
    <cfRule type="cellIs" dxfId="6574" priority="2498" operator="lessThanOrEqual">
      <formula>0</formula>
    </cfRule>
  </conditionalFormatting>
  <conditionalFormatting sqref="CJ116:CJ117">
    <cfRule type="cellIs" dxfId="6573" priority="2495" operator="greaterThan">
      <formula>0</formula>
    </cfRule>
    <cfRule type="cellIs" dxfId="6572" priority="2496" operator="lessThanOrEqual">
      <formula>0</formula>
    </cfRule>
  </conditionalFormatting>
  <conditionalFormatting sqref="CJ78">
    <cfRule type="cellIs" dxfId="6571" priority="2493" operator="greaterThan">
      <formula>0</formula>
    </cfRule>
    <cfRule type="cellIs" dxfId="6570" priority="2494" operator="lessThanOrEqual">
      <formula>0</formula>
    </cfRule>
  </conditionalFormatting>
  <conditionalFormatting sqref="CJ81">
    <cfRule type="cellIs" dxfId="6569" priority="2491" operator="greaterThan">
      <formula>0</formula>
    </cfRule>
    <cfRule type="cellIs" dxfId="6568" priority="2492" operator="lessThanOrEqual">
      <formula>0</formula>
    </cfRule>
  </conditionalFormatting>
  <conditionalFormatting sqref="CJ84">
    <cfRule type="cellIs" dxfId="6567" priority="2489" operator="greaterThan">
      <formula>0</formula>
    </cfRule>
    <cfRule type="cellIs" dxfId="6566" priority="2490" operator="lessThanOrEqual">
      <formula>0</formula>
    </cfRule>
  </conditionalFormatting>
  <conditionalFormatting sqref="CJ94">
    <cfRule type="cellIs" dxfId="6565" priority="2487" operator="greaterThan">
      <formula>0</formula>
    </cfRule>
    <cfRule type="cellIs" dxfId="6564" priority="2488" operator="lessThanOrEqual">
      <formula>0</formula>
    </cfRule>
  </conditionalFormatting>
  <conditionalFormatting sqref="CJ87">
    <cfRule type="cellIs" dxfId="6563" priority="2485" operator="greaterThan">
      <formula>0</formula>
    </cfRule>
    <cfRule type="cellIs" dxfId="6562" priority="2486" operator="lessThanOrEqual">
      <formula>0</formula>
    </cfRule>
  </conditionalFormatting>
  <conditionalFormatting sqref="CJ97">
    <cfRule type="cellIs" dxfId="6561" priority="2483" operator="greaterThan">
      <formula>0</formula>
    </cfRule>
    <cfRule type="cellIs" dxfId="6560" priority="2484" operator="lessThanOrEqual">
      <formula>0</formula>
    </cfRule>
  </conditionalFormatting>
  <conditionalFormatting sqref="CJ100">
    <cfRule type="cellIs" dxfId="6559" priority="2481" operator="greaterThan">
      <formula>0</formula>
    </cfRule>
    <cfRule type="cellIs" dxfId="6558" priority="2482" operator="lessThanOrEqual">
      <formula>0</formula>
    </cfRule>
  </conditionalFormatting>
  <conditionalFormatting sqref="CJ103">
    <cfRule type="cellIs" dxfId="6557" priority="2479" operator="greaterThan">
      <formula>0</formula>
    </cfRule>
    <cfRule type="cellIs" dxfId="6556" priority="2480" operator="lessThanOrEqual">
      <formula>0</formula>
    </cfRule>
  </conditionalFormatting>
  <conditionalFormatting sqref="CJ89">
    <cfRule type="cellIs" dxfId="6555" priority="2477" operator="greaterThan">
      <formula>0</formula>
    </cfRule>
    <cfRule type="cellIs" dxfId="6554" priority="2478" operator="lessThanOrEqual">
      <formula>0</formula>
    </cfRule>
  </conditionalFormatting>
  <conditionalFormatting sqref="CJ129">
    <cfRule type="cellIs" dxfId="6553" priority="2475" operator="greaterThan">
      <formula>0</formula>
    </cfRule>
    <cfRule type="cellIs" dxfId="6552" priority="2476" operator="lessThanOrEqual">
      <formula>0</formula>
    </cfRule>
  </conditionalFormatting>
  <conditionalFormatting sqref="CI76:CI77 CI79:CI80 CI82:CI83 CI85:CI86 CI92:CI93 CI95:CI96 CI98:CI99 CI101:CI102 CI111:CI112 CI116:CI117">
    <cfRule type="cellIs" dxfId="6551" priority="2473" operator="lessThan">
      <formula>0</formula>
    </cfRule>
    <cfRule type="cellIs" dxfId="6550" priority="2474" operator="greaterThanOrEqual">
      <formula>0</formula>
    </cfRule>
  </conditionalFormatting>
  <conditionalFormatting sqref="CI78 CI81 CI84 CI87 CI89 CI94 CI97 CI100 CI103">
    <cfRule type="cellIs" dxfId="6549" priority="2472" operator="greaterThanOrEqual">
      <formula>0</formula>
    </cfRule>
  </conditionalFormatting>
  <conditionalFormatting sqref="CI78 CI81 CI84 CI87 CI89 CI94 CI97 CI100 CI103">
    <cfRule type="cellIs" dxfId="6548" priority="2471" operator="lessThan">
      <formula>0</formula>
    </cfRule>
  </conditionalFormatting>
  <conditionalFormatting sqref="CI125">
    <cfRule type="cellIs" dxfId="6547" priority="2450" operator="greaterThanOrEqual">
      <formula>0</formula>
    </cfRule>
  </conditionalFormatting>
  <conditionalFormatting sqref="CI125">
    <cfRule type="cellIs" dxfId="6546" priority="2449" operator="lessThan">
      <formula>0</formula>
    </cfRule>
  </conditionalFormatting>
  <conditionalFormatting sqref="CJ114">
    <cfRule type="cellIs" dxfId="6545" priority="2465" operator="greaterThan">
      <formula>0</formula>
    </cfRule>
    <cfRule type="cellIs" dxfId="6544" priority="2466" operator="lessThanOrEqual">
      <formula>0</formula>
    </cfRule>
  </conditionalFormatting>
  <conditionalFormatting sqref="CJ107">
    <cfRule type="cellIs" dxfId="6543" priority="2459" operator="greaterThan">
      <formula>0</formula>
    </cfRule>
    <cfRule type="cellIs" dxfId="6542" priority="2460" operator="lessThanOrEqual">
      <formula>0</formula>
    </cfRule>
  </conditionalFormatting>
  <conditionalFormatting sqref="CJ110">
    <cfRule type="cellIs" dxfId="6541" priority="2457" operator="greaterThan">
      <formula>0</formula>
    </cfRule>
    <cfRule type="cellIs" dxfId="6540" priority="2458" operator="lessThanOrEqual">
      <formula>0</formula>
    </cfRule>
  </conditionalFormatting>
  <conditionalFormatting sqref="CJ113">
    <cfRule type="cellIs" dxfId="6539" priority="2455" operator="greaterThan">
      <formula>0</formula>
    </cfRule>
    <cfRule type="cellIs" dxfId="6538" priority="2456" operator="lessThanOrEqual">
      <formula>0</formula>
    </cfRule>
  </conditionalFormatting>
  <conditionalFormatting sqref="CJ91">
    <cfRule type="cellIs" dxfId="6537" priority="2469" operator="greaterThan">
      <formula>0</formula>
    </cfRule>
    <cfRule type="cellIs" dxfId="6536" priority="2470" operator="lessThanOrEqual">
      <formula>0</formula>
    </cfRule>
  </conditionalFormatting>
  <conditionalFormatting sqref="CJ104">
    <cfRule type="cellIs" dxfId="6535" priority="2467" operator="greaterThan">
      <formula>0</formula>
    </cfRule>
    <cfRule type="cellIs" dxfId="6534" priority="2468" operator="lessThanOrEqual">
      <formula>0</formula>
    </cfRule>
  </conditionalFormatting>
  <conditionalFormatting sqref="CJ105:CJ106 CJ108:CJ109">
    <cfRule type="cellIs" dxfId="6533" priority="2463" operator="greaterThan">
      <formula>0</formula>
    </cfRule>
    <cfRule type="cellIs" dxfId="6532" priority="2464" operator="lessThanOrEqual">
      <formula>0</formula>
    </cfRule>
  </conditionalFormatting>
  <conditionalFormatting sqref="CJ120:CJ121 CJ123:CJ124">
    <cfRule type="cellIs" dxfId="6531" priority="2461" operator="greaterThan">
      <formula>0</formula>
    </cfRule>
    <cfRule type="cellIs" dxfId="6530" priority="2462" operator="lessThanOrEqual">
      <formula>0</formula>
    </cfRule>
  </conditionalFormatting>
  <conditionalFormatting sqref="CJ122">
    <cfRule type="cellIs" dxfId="6529" priority="2453" operator="greaterThan">
      <formula>0</formula>
    </cfRule>
    <cfRule type="cellIs" dxfId="6528" priority="2454" operator="lessThanOrEqual">
      <formula>0</formula>
    </cfRule>
  </conditionalFormatting>
  <conditionalFormatting sqref="CJ125">
    <cfRule type="cellIs" dxfId="6527" priority="2451" operator="greaterThan">
      <formula>0</formula>
    </cfRule>
    <cfRule type="cellIs" dxfId="6526" priority="2452" operator="lessThanOrEqual">
      <formula>0</formula>
    </cfRule>
  </conditionalFormatting>
  <conditionalFormatting sqref="CJ128">
    <cfRule type="cellIs" dxfId="6525" priority="2447" operator="greaterThan">
      <formula>0</formula>
    </cfRule>
    <cfRule type="cellIs" dxfId="6524" priority="2448" operator="lessThanOrEqual">
      <formula>0</formula>
    </cfRule>
  </conditionalFormatting>
  <conditionalFormatting sqref="CJ88">
    <cfRule type="cellIs" dxfId="6523" priority="2445" operator="greaterThan">
      <formula>0</formula>
    </cfRule>
    <cfRule type="cellIs" dxfId="6522" priority="2446" operator="lessThanOrEqual">
      <formula>0</formula>
    </cfRule>
  </conditionalFormatting>
  <conditionalFormatting sqref="CJ119">
    <cfRule type="cellIs" dxfId="6521" priority="2443" operator="greaterThan">
      <formula>0</formula>
    </cfRule>
    <cfRule type="cellIs" dxfId="6520" priority="2444" operator="lessThanOrEqual">
      <formula>0</formula>
    </cfRule>
  </conditionalFormatting>
  <conditionalFormatting sqref="CI119">
    <cfRule type="cellIs" dxfId="6519" priority="2442" operator="greaterThanOrEqual">
      <formula>0</formula>
    </cfRule>
  </conditionalFormatting>
  <conditionalFormatting sqref="CI119">
    <cfRule type="cellIs" dxfId="6518" priority="2441" operator="lessThan">
      <formula>0</formula>
    </cfRule>
  </conditionalFormatting>
  <conditionalFormatting sqref="CJ115">
    <cfRule type="cellIs" dxfId="6517" priority="2439" operator="greaterThan">
      <formula>0</formula>
    </cfRule>
    <cfRule type="cellIs" dxfId="6516" priority="2440" operator="lessThanOrEqual">
      <formula>0</formula>
    </cfRule>
  </conditionalFormatting>
  <conditionalFormatting sqref="CI115">
    <cfRule type="cellIs" dxfId="6515" priority="2438" operator="greaterThanOrEqual">
      <formula>0</formula>
    </cfRule>
  </conditionalFormatting>
  <conditionalFormatting sqref="CI115">
    <cfRule type="cellIs" dxfId="6514" priority="2437" operator="lessThan">
      <formula>0</formula>
    </cfRule>
  </conditionalFormatting>
  <conditionalFormatting sqref="CI88">
    <cfRule type="cellIs" dxfId="6513" priority="2436" operator="greaterThanOrEqual">
      <formula>0</formula>
    </cfRule>
  </conditionalFormatting>
  <conditionalFormatting sqref="CI88">
    <cfRule type="cellIs" dxfId="6512" priority="2435" operator="lessThan">
      <formula>0</formula>
    </cfRule>
  </conditionalFormatting>
  <conditionalFormatting sqref="CI91">
    <cfRule type="cellIs" dxfId="6511" priority="2434" operator="greaterThanOrEqual">
      <formula>0</formula>
    </cfRule>
  </conditionalFormatting>
  <conditionalFormatting sqref="CI91">
    <cfRule type="cellIs" dxfId="6510" priority="2433" operator="lessThan">
      <formula>0</formula>
    </cfRule>
  </conditionalFormatting>
  <conditionalFormatting sqref="CI104">
    <cfRule type="cellIs" dxfId="6509" priority="2432" operator="greaterThanOrEqual">
      <formula>0</formula>
    </cfRule>
  </conditionalFormatting>
  <conditionalFormatting sqref="CI104">
    <cfRule type="cellIs" dxfId="6508" priority="2431" operator="lessThan">
      <formula>0</formula>
    </cfRule>
  </conditionalFormatting>
  <conditionalFormatting sqref="CI110">
    <cfRule type="cellIs" dxfId="6507" priority="2428" operator="greaterThanOrEqual">
      <formula>0</formula>
    </cfRule>
  </conditionalFormatting>
  <conditionalFormatting sqref="CI110">
    <cfRule type="cellIs" dxfId="6506" priority="2427" operator="lessThan">
      <formula>0</formula>
    </cfRule>
  </conditionalFormatting>
  <conditionalFormatting sqref="CI113">
    <cfRule type="cellIs" dxfId="6505" priority="2426" operator="greaterThanOrEqual">
      <formula>0</formula>
    </cfRule>
  </conditionalFormatting>
  <conditionalFormatting sqref="CI113">
    <cfRule type="cellIs" dxfId="6504" priority="2425" operator="lessThan">
      <formula>0</formula>
    </cfRule>
  </conditionalFormatting>
  <conditionalFormatting sqref="CI114">
    <cfRule type="cellIs" dxfId="6503" priority="2424" operator="greaterThanOrEqual">
      <formula>0</formula>
    </cfRule>
  </conditionalFormatting>
  <conditionalFormatting sqref="CI114">
    <cfRule type="cellIs" dxfId="6502" priority="2423" operator="lessThan">
      <formula>0</formula>
    </cfRule>
  </conditionalFormatting>
  <conditionalFormatting sqref="CI122">
    <cfRule type="cellIs" dxfId="6501" priority="2422" operator="greaterThanOrEqual">
      <formula>0</formula>
    </cfRule>
  </conditionalFormatting>
  <conditionalFormatting sqref="CI122">
    <cfRule type="cellIs" dxfId="6500" priority="2421" operator="lessThan">
      <formula>0</formula>
    </cfRule>
  </conditionalFormatting>
  <conditionalFormatting sqref="CI128">
    <cfRule type="cellIs" dxfId="6499" priority="2420" operator="greaterThanOrEqual">
      <formula>0</formula>
    </cfRule>
  </conditionalFormatting>
  <conditionalFormatting sqref="CI128">
    <cfRule type="cellIs" dxfId="6498" priority="2419" operator="lessThan">
      <formula>0</formula>
    </cfRule>
  </conditionalFormatting>
  <conditionalFormatting sqref="CI129">
    <cfRule type="cellIs" dxfId="6497" priority="2418" operator="greaterThanOrEqual">
      <formula>0</formula>
    </cfRule>
  </conditionalFormatting>
  <conditionalFormatting sqref="CI129">
    <cfRule type="cellIs" dxfId="6496" priority="2417" operator="lessThan">
      <formula>0</formula>
    </cfRule>
  </conditionalFormatting>
  <conditionalFormatting sqref="CI105:CI106">
    <cfRule type="cellIs" dxfId="6495" priority="2415" operator="lessThan">
      <formula>0</formula>
    </cfRule>
    <cfRule type="cellIs" dxfId="6494" priority="2416" operator="greaterThanOrEqual">
      <formula>0</formula>
    </cfRule>
  </conditionalFormatting>
  <conditionalFormatting sqref="CI108:CI109">
    <cfRule type="cellIs" dxfId="6493" priority="2413" operator="lessThan">
      <formula>0</formula>
    </cfRule>
    <cfRule type="cellIs" dxfId="6492" priority="2414" operator="greaterThanOrEqual">
      <formula>0</formula>
    </cfRule>
  </conditionalFormatting>
  <conditionalFormatting sqref="CI120:CI121">
    <cfRule type="cellIs" dxfId="6491" priority="2411" operator="lessThan">
      <formula>0</formula>
    </cfRule>
    <cfRule type="cellIs" dxfId="6490" priority="2412" operator="greaterThanOrEqual">
      <formula>0</formula>
    </cfRule>
  </conditionalFormatting>
  <conditionalFormatting sqref="CI123:CI124">
    <cfRule type="cellIs" dxfId="6489" priority="2409" operator="lessThan">
      <formula>0</formula>
    </cfRule>
    <cfRule type="cellIs" dxfId="6488" priority="2410" operator="greaterThanOrEqual">
      <formula>0</formula>
    </cfRule>
  </conditionalFormatting>
  <conditionalFormatting sqref="CI126:CI127">
    <cfRule type="cellIs" dxfId="6487" priority="2407" operator="lessThan">
      <formula>0</formula>
    </cfRule>
    <cfRule type="cellIs" dxfId="6486" priority="2408" operator="greaterThanOrEqual">
      <formula>0</formula>
    </cfRule>
  </conditionalFormatting>
  <conditionalFormatting sqref="CJ130">
    <cfRule type="cellIs" dxfId="6485" priority="2405" operator="greaterThan">
      <formula>0</formula>
    </cfRule>
    <cfRule type="cellIs" dxfId="6484" priority="2406" operator="lessThanOrEqual">
      <formula>0</formula>
    </cfRule>
  </conditionalFormatting>
  <conditionalFormatting sqref="CI130">
    <cfRule type="cellIs" dxfId="6483" priority="2403" operator="greaterThanOrEqual">
      <formula>0</formula>
    </cfRule>
    <cfRule type="cellIs" dxfId="6482" priority="2404" operator="lessThan">
      <formula>0</formula>
    </cfRule>
  </conditionalFormatting>
  <conditionalFormatting sqref="CJ118">
    <cfRule type="cellIs" dxfId="6481" priority="2401" operator="greaterThan">
      <formula>0</formula>
    </cfRule>
    <cfRule type="cellIs" dxfId="6480" priority="2402" operator="lessThanOrEqual">
      <formula>0</formula>
    </cfRule>
  </conditionalFormatting>
  <conditionalFormatting sqref="CI118">
    <cfRule type="cellIs" dxfId="6479" priority="2400" operator="greaterThanOrEqual">
      <formula>0</formula>
    </cfRule>
  </conditionalFormatting>
  <conditionalFormatting sqref="CI118">
    <cfRule type="cellIs" dxfId="6478" priority="2399" operator="lessThan">
      <formula>0</formula>
    </cfRule>
  </conditionalFormatting>
  <conditionalFormatting sqref="CL78 CL87 CL81 CL84 CL94 CL97 CL100 CL103">
    <cfRule type="cellIs" dxfId="6477" priority="2396" operator="greaterThanOrEqual">
      <formula>0</formula>
    </cfRule>
  </conditionalFormatting>
  <conditionalFormatting sqref="CL78 CL87 CL81 CL84 CL94 CL97 CL100 CL103">
    <cfRule type="cellIs" dxfId="6476" priority="2395" operator="lessThan">
      <formula>0</formula>
    </cfRule>
  </conditionalFormatting>
  <conditionalFormatting sqref="CL130">
    <cfRule type="cellIs" dxfId="6475" priority="2393" operator="greaterThanOrEqual">
      <formula>0</formula>
    </cfRule>
    <cfRule type="cellIs" dxfId="6474" priority="2394" operator="lessThan">
      <formula>0</formula>
    </cfRule>
  </conditionalFormatting>
  <conditionalFormatting sqref="CM76:CM77">
    <cfRule type="cellIs" dxfId="6473" priority="2391" operator="greaterThan">
      <formula>0</formula>
    </cfRule>
    <cfRule type="cellIs" dxfId="6472" priority="2392" operator="lessThanOrEqual">
      <formula>0</formula>
    </cfRule>
  </conditionalFormatting>
  <conditionalFormatting sqref="CM78 CM87 CM81 CM84 CM94 CM97 CM100 CM103">
    <cfRule type="cellIs" dxfId="6471" priority="2390" operator="greaterThanOrEqual">
      <formula>0</formula>
    </cfRule>
  </conditionalFormatting>
  <conditionalFormatting sqref="CM78 CM87 CM81 CM84 CM94 CM97 CM100 CM103">
    <cfRule type="cellIs" dxfId="6470" priority="2389" operator="lessThan">
      <formula>0</formula>
    </cfRule>
  </conditionalFormatting>
  <conditionalFormatting sqref="CM130">
    <cfRule type="cellIs" dxfId="6469" priority="2387" operator="lessThan">
      <formula>0</formula>
    </cfRule>
    <cfRule type="cellIs" dxfId="6468" priority="2388" operator="greaterThanOrEqual">
      <formula>0</formula>
    </cfRule>
  </conditionalFormatting>
  <conditionalFormatting sqref="CM115">
    <cfRule type="cellIs" dxfId="6467" priority="2383" operator="lessThan">
      <formula>0</formula>
    </cfRule>
  </conditionalFormatting>
  <conditionalFormatting sqref="CL115">
    <cfRule type="cellIs" dxfId="6466" priority="2386" operator="greaterThanOrEqual">
      <formula>0</formula>
    </cfRule>
  </conditionalFormatting>
  <conditionalFormatting sqref="CL115">
    <cfRule type="cellIs" dxfId="6465" priority="2385" operator="lessThan">
      <formula>0</formula>
    </cfRule>
  </conditionalFormatting>
  <conditionalFormatting sqref="CM115">
    <cfRule type="cellIs" dxfId="6464" priority="2384" operator="greaterThanOrEqual">
      <formula>0</formula>
    </cfRule>
  </conditionalFormatting>
  <conditionalFormatting sqref="CL105:CL106">
    <cfRule type="cellIs" dxfId="6463" priority="2381" operator="lessThan">
      <formula>0</formula>
    </cfRule>
    <cfRule type="cellIs" dxfId="6462" priority="2382" operator="greaterThanOrEqual">
      <formula>0</formula>
    </cfRule>
  </conditionalFormatting>
  <conditionalFormatting sqref="CL108:CL109">
    <cfRule type="cellIs" dxfId="6461" priority="2379" operator="lessThan">
      <formula>0</formula>
    </cfRule>
    <cfRule type="cellIs" dxfId="6460" priority="2380" operator="greaterThanOrEqual">
      <formula>0</formula>
    </cfRule>
  </conditionalFormatting>
  <conditionalFormatting sqref="CL116:CL117">
    <cfRule type="cellIs" dxfId="6459" priority="2377" operator="lessThan">
      <formula>0</formula>
    </cfRule>
    <cfRule type="cellIs" dxfId="6458" priority="2378" operator="greaterThanOrEqual">
      <formula>0</formula>
    </cfRule>
  </conditionalFormatting>
  <conditionalFormatting sqref="CL120:CL121">
    <cfRule type="cellIs" dxfId="6457" priority="2375" operator="lessThan">
      <formula>0</formula>
    </cfRule>
    <cfRule type="cellIs" dxfId="6456" priority="2376" operator="greaterThanOrEqual">
      <formula>0</formula>
    </cfRule>
  </conditionalFormatting>
  <conditionalFormatting sqref="CL123:CL124">
    <cfRule type="cellIs" dxfId="6455" priority="2373" operator="lessThan">
      <formula>0</formula>
    </cfRule>
    <cfRule type="cellIs" dxfId="6454" priority="2374" operator="greaterThanOrEqual">
      <formula>0</formula>
    </cfRule>
  </conditionalFormatting>
  <conditionalFormatting sqref="CL126:CL127">
    <cfRule type="cellIs" dxfId="6453" priority="2371" operator="lessThan">
      <formula>0</formula>
    </cfRule>
    <cfRule type="cellIs" dxfId="6452" priority="2372" operator="greaterThanOrEqual">
      <formula>0</formula>
    </cfRule>
  </conditionalFormatting>
  <conditionalFormatting sqref="CL88">
    <cfRule type="cellIs" dxfId="6451" priority="2370" operator="greaterThanOrEqual">
      <formula>0</formula>
    </cfRule>
  </conditionalFormatting>
  <conditionalFormatting sqref="CL88">
    <cfRule type="cellIs" dxfId="6450" priority="2369" operator="lessThan">
      <formula>0</formula>
    </cfRule>
  </conditionalFormatting>
  <conditionalFormatting sqref="CL89">
    <cfRule type="cellIs" dxfId="6449" priority="2368" operator="greaterThanOrEqual">
      <formula>0</formula>
    </cfRule>
  </conditionalFormatting>
  <conditionalFormatting sqref="CL89">
    <cfRule type="cellIs" dxfId="6448" priority="2367" operator="lessThan">
      <formula>0</formula>
    </cfRule>
  </conditionalFormatting>
  <conditionalFormatting sqref="CL91">
    <cfRule type="cellIs" dxfId="6447" priority="2366" operator="greaterThanOrEqual">
      <formula>0</formula>
    </cfRule>
  </conditionalFormatting>
  <conditionalFormatting sqref="CL91">
    <cfRule type="cellIs" dxfId="6446" priority="2365" operator="lessThan">
      <formula>0</formula>
    </cfRule>
  </conditionalFormatting>
  <conditionalFormatting sqref="CL104">
    <cfRule type="cellIs" dxfId="6445" priority="2364" operator="greaterThanOrEqual">
      <formula>0</formula>
    </cfRule>
  </conditionalFormatting>
  <conditionalFormatting sqref="CL104">
    <cfRule type="cellIs" dxfId="6444" priority="2363" operator="lessThan">
      <formula>0</formula>
    </cfRule>
  </conditionalFormatting>
  <conditionalFormatting sqref="CL110">
    <cfRule type="cellIs" dxfId="6443" priority="2360" operator="greaterThanOrEqual">
      <formula>0</formula>
    </cfRule>
  </conditionalFormatting>
  <conditionalFormatting sqref="CL110">
    <cfRule type="cellIs" dxfId="6442" priority="2359" operator="lessThan">
      <formula>0</formula>
    </cfRule>
  </conditionalFormatting>
  <conditionalFormatting sqref="CL113">
    <cfRule type="cellIs" dxfId="6441" priority="2358" operator="greaterThanOrEqual">
      <formula>0</formula>
    </cfRule>
  </conditionalFormatting>
  <conditionalFormatting sqref="CL113">
    <cfRule type="cellIs" dxfId="6440" priority="2357" operator="lessThan">
      <formula>0</formula>
    </cfRule>
  </conditionalFormatting>
  <conditionalFormatting sqref="CL122">
    <cfRule type="cellIs" dxfId="6439" priority="2354" operator="greaterThanOrEqual">
      <formula>0</formula>
    </cfRule>
  </conditionalFormatting>
  <conditionalFormatting sqref="CL122">
    <cfRule type="cellIs" dxfId="6438" priority="2353" operator="lessThan">
      <formula>0</formula>
    </cfRule>
  </conditionalFormatting>
  <conditionalFormatting sqref="CL125">
    <cfRule type="cellIs" dxfId="6437" priority="2352" operator="greaterThanOrEqual">
      <formula>0</formula>
    </cfRule>
  </conditionalFormatting>
  <conditionalFormatting sqref="CL125">
    <cfRule type="cellIs" dxfId="6436" priority="2351" operator="lessThan">
      <formula>0</formula>
    </cfRule>
  </conditionalFormatting>
  <conditionalFormatting sqref="CL128">
    <cfRule type="cellIs" dxfId="6435" priority="2350" operator="greaterThanOrEqual">
      <formula>0</formula>
    </cfRule>
  </conditionalFormatting>
  <conditionalFormatting sqref="CL128">
    <cfRule type="cellIs" dxfId="6434" priority="2349" operator="lessThan">
      <formula>0</formula>
    </cfRule>
  </conditionalFormatting>
  <conditionalFormatting sqref="CL119">
    <cfRule type="cellIs" dxfId="6433" priority="2348" operator="greaterThanOrEqual">
      <formula>0</formula>
    </cfRule>
  </conditionalFormatting>
  <conditionalFormatting sqref="CL119">
    <cfRule type="cellIs" dxfId="6432" priority="2347" operator="lessThan">
      <formula>0</formula>
    </cfRule>
  </conditionalFormatting>
  <conditionalFormatting sqref="CL129">
    <cfRule type="cellIs" dxfId="6431" priority="2346" operator="greaterThanOrEqual">
      <formula>0</formula>
    </cfRule>
  </conditionalFormatting>
  <conditionalFormatting sqref="CL129">
    <cfRule type="cellIs" dxfId="6430" priority="2345" operator="lessThan">
      <formula>0</formula>
    </cfRule>
  </conditionalFormatting>
  <conditionalFormatting sqref="CM79:CM80">
    <cfRule type="cellIs" dxfId="6429" priority="2343" operator="greaterThan">
      <formula>0</formula>
    </cfRule>
    <cfRule type="cellIs" dxfId="6428" priority="2344" operator="lessThanOrEqual">
      <formula>0</formula>
    </cfRule>
  </conditionalFormatting>
  <conditionalFormatting sqref="CM82:CM83">
    <cfRule type="cellIs" dxfId="6427" priority="2341" operator="greaterThan">
      <formula>0</formula>
    </cfRule>
    <cfRule type="cellIs" dxfId="6426" priority="2342" operator="lessThanOrEqual">
      <formula>0</formula>
    </cfRule>
  </conditionalFormatting>
  <conditionalFormatting sqref="CM85:CM86">
    <cfRule type="cellIs" dxfId="6425" priority="2339" operator="greaterThan">
      <formula>0</formula>
    </cfRule>
    <cfRule type="cellIs" dxfId="6424" priority="2340" operator="lessThanOrEqual">
      <formula>0</formula>
    </cfRule>
  </conditionalFormatting>
  <conditionalFormatting sqref="CM92:CM93">
    <cfRule type="cellIs" dxfId="6423" priority="2337" operator="greaterThan">
      <formula>0</formula>
    </cfRule>
    <cfRule type="cellIs" dxfId="6422" priority="2338" operator="lessThanOrEqual">
      <formula>0</formula>
    </cfRule>
  </conditionalFormatting>
  <conditionalFormatting sqref="CM95:CM96">
    <cfRule type="cellIs" dxfId="6421" priority="2335" operator="greaterThan">
      <formula>0</formula>
    </cfRule>
    <cfRule type="cellIs" dxfId="6420" priority="2336" operator="lessThanOrEqual">
      <formula>0</formula>
    </cfRule>
  </conditionalFormatting>
  <conditionalFormatting sqref="CM98:CM99">
    <cfRule type="cellIs" dxfId="6419" priority="2333" operator="greaterThan">
      <formula>0</formula>
    </cfRule>
    <cfRule type="cellIs" dxfId="6418" priority="2334" operator="lessThanOrEqual">
      <formula>0</formula>
    </cfRule>
  </conditionalFormatting>
  <conditionalFormatting sqref="CM101:CM102">
    <cfRule type="cellIs" dxfId="6417" priority="2331" operator="greaterThan">
      <formula>0</formula>
    </cfRule>
    <cfRule type="cellIs" dxfId="6416" priority="2332" operator="lessThanOrEqual">
      <formula>0</formula>
    </cfRule>
  </conditionalFormatting>
  <conditionalFormatting sqref="CM105:CM106">
    <cfRule type="cellIs" dxfId="6415" priority="2329" operator="greaterThan">
      <formula>0</formula>
    </cfRule>
    <cfRule type="cellIs" dxfId="6414" priority="2330" operator="lessThanOrEqual">
      <formula>0</formula>
    </cfRule>
  </conditionalFormatting>
  <conditionalFormatting sqref="CM108:CM109">
    <cfRule type="cellIs" dxfId="6413" priority="2327" operator="greaterThan">
      <formula>0</formula>
    </cfRule>
    <cfRule type="cellIs" dxfId="6412" priority="2328" operator="lessThanOrEqual">
      <formula>0</formula>
    </cfRule>
  </conditionalFormatting>
  <conditionalFormatting sqref="CM111:CM112">
    <cfRule type="cellIs" dxfId="6411" priority="2325" operator="greaterThan">
      <formula>0</formula>
    </cfRule>
    <cfRule type="cellIs" dxfId="6410" priority="2326" operator="lessThanOrEqual">
      <formula>0</formula>
    </cfRule>
  </conditionalFormatting>
  <conditionalFormatting sqref="CM116:CM117">
    <cfRule type="cellIs" dxfId="6409" priority="2323" operator="greaterThan">
      <formula>0</formula>
    </cfRule>
    <cfRule type="cellIs" dxfId="6408" priority="2324" operator="lessThanOrEqual">
      <formula>0</formula>
    </cfRule>
  </conditionalFormatting>
  <conditionalFormatting sqref="CM120:CM121">
    <cfRule type="cellIs" dxfId="6407" priority="2321" operator="greaterThan">
      <formula>0</formula>
    </cfRule>
    <cfRule type="cellIs" dxfId="6406" priority="2322" operator="lessThanOrEqual">
      <formula>0</formula>
    </cfRule>
  </conditionalFormatting>
  <conditionalFormatting sqref="CM126:CM127">
    <cfRule type="cellIs" dxfId="6405" priority="2317" operator="greaterThan">
      <formula>0</formula>
    </cfRule>
    <cfRule type="cellIs" dxfId="6404" priority="2318" operator="lessThanOrEqual">
      <formula>0</formula>
    </cfRule>
  </conditionalFormatting>
  <conditionalFormatting sqref="CM88">
    <cfRule type="cellIs" dxfId="6403" priority="2316" operator="greaterThanOrEqual">
      <formula>0</formula>
    </cfRule>
  </conditionalFormatting>
  <conditionalFormatting sqref="CM88">
    <cfRule type="cellIs" dxfId="6402" priority="2315" operator="lessThan">
      <formula>0</formula>
    </cfRule>
  </conditionalFormatting>
  <conditionalFormatting sqref="CM89">
    <cfRule type="cellIs" dxfId="6401" priority="2314" operator="greaterThanOrEqual">
      <formula>0</formula>
    </cfRule>
  </conditionalFormatting>
  <conditionalFormatting sqref="CM89">
    <cfRule type="cellIs" dxfId="6400" priority="2313" operator="lessThan">
      <formula>0</formula>
    </cfRule>
  </conditionalFormatting>
  <conditionalFormatting sqref="CM91">
    <cfRule type="cellIs" dxfId="6399" priority="2312" operator="greaterThanOrEqual">
      <formula>0</formula>
    </cfRule>
  </conditionalFormatting>
  <conditionalFormatting sqref="CM91">
    <cfRule type="cellIs" dxfId="6398" priority="2311" operator="lessThan">
      <formula>0</formula>
    </cfRule>
  </conditionalFormatting>
  <conditionalFormatting sqref="CM104">
    <cfRule type="cellIs" dxfId="6397" priority="2310" operator="greaterThanOrEqual">
      <formula>0</formula>
    </cfRule>
  </conditionalFormatting>
  <conditionalFormatting sqref="CM104">
    <cfRule type="cellIs" dxfId="6396" priority="2309" operator="lessThan">
      <formula>0</formula>
    </cfRule>
  </conditionalFormatting>
  <conditionalFormatting sqref="CM107">
    <cfRule type="cellIs" dxfId="6395" priority="2308" operator="greaterThanOrEqual">
      <formula>0</formula>
    </cfRule>
  </conditionalFormatting>
  <conditionalFormatting sqref="CM107">
    <cfRule type="cellIs" dxfId="6394" priority="2307" operator="lessThan">
      <formula>0</formula>
    </cfRule>
  </conditionalFormatting>
  <conditionalFormatting sqref="CM110">
    <cfRule type="cellIs" dxfId="6393" priority="2306" operator="greaterThanOrEqual">
      <formula>0</formula>
    </cfRule>
  </conditionalFormatting>
  <conditionalFormatting sqref="CM110">
    <cfRule type="cellIs" dxfId="6392" priority="2305" operator="lessThan">
      <formula>0</formula>
    </cfRule>
  </conditionalFormatting>
  <conditionalFormatting sqref="CM114">
    <cfRule type="cellIs" dxfId="6391" priority="2302" operator="greaterThanOrEqual">
      <formula>0</formula>
    </cfRule>
  </conditionalFormatting>
  <conditionalFormatting sqref="CM114">
    <cfRule type="cellIs" dxfId="6390" priority="2301" operator="lessThan">
      <formula>0</formula>
    </cfRule>
  </conditionalFormatting>
  <conditionalFormatting sqref="CM122">
    <cfRule type="cellIs" dxfId="6389" priority="2300" operator="greaterThanOrEqual">
      <formula>0</formula>
    </cfRule>
  </conditionalFormatting>
  <conditionalFormatting sqref="CM122">
    <cfRule type="cellIs" dxfId="6388" priority="2299" operator="lessThan">
      <formula>0</formula>
    </cfRule>
  </conditionalFormatting>
  <conditionalFormatting sqref="CL118">
    <cfRule type="cellIs" dxfId="6387" priority="2290" operator="greaterThanOrEqual">
      <formula>0</formula>
    </cfRule>
  </conditionalFormatting>
  <conditionalFormatting sqref="CL118">
    <cfRule type="cellIs" dxfId="6386" priority="2289" operator="lessThan">
      <formula>0</formula>
    </cfRule>
  </conditionalFormatting>
  <conditionalFormatting sqref="CF133">
    <cfRule type="cellIs" dxfId="6385" priority="2285" operator="lessThan">
      <formula>0</formula>
    </cfRule>
    <cfRule type="cellIs" dxfId="6384" priority="2286" operator="greaterThanOrEqual">
      <formula>0</formula>
    </cfRule>
  </conditionalFormatting>
  <conditionalFormatting sqref="CF176">
    <cfRule type="cellIs" dxfId="6383" priority="2283" operator="greaterThan">
      <formula>0</formula>
    </cfRule>
    <cfRule type="cellIs" dxfId="6382" priority="2284" operator="lessThanOrEqual">
      <formula>0</formula>
    </cfRule>
  </conditionalFormatting>
  <conditionalFormatting sqref="CE176">
    <cfRule type="cellIs" dxfId="6381" priority="2282" operator="greaterThanOrEqual">
      <formula>0</formula>
    </cfRule>
  </conditionalFormatting>
  <conditionalFormatting sqref="CE176">
    <cfRule type="cellIs" dxfId="6380" priority="2281" operator="lessThan">
      <formula>0</formula>
    </cfRule>
  </conditionalFormatting>
  <conditionalFormatting sqref="CI176">
    <cfRule type="cellIs" dxfId="6379" priority="2280" operator="greaterThanOrEqual">
      <formula>0</formula>
    </cfRule>
  </conditionalFormatting>
  <conditionalFormatting sqref="CI176">
    <cfRule type="cellIs" dxfId="6378" priority="2279" operator="lessThan">
      <formula>0</formula>
    </cfRule>
  </conditionalFormatting>
  <conditionalFormatting sqref="CL176">
    <cfRule type="cellIs" dxfId="6377" priority="2278" operator="greaterThanOrEqual">
      <formula>0</formula>
    </cfRule>
  </conditionalFormatting>
  <conditionalFormatting sqref="CL176">
    <cfRule type="cellIs" dxfId="6376" priority="2277" operator="lessThan">
      <formula>0</formula>
    </cfRule>
  </conditionalFormatting>
  <conditionalFormatting sqref="CM176">
    <cfRule type="cellIs" dxfId="6375" priority="2276" operator="greaterThanOrEqual">
      <formula>0</formula>
    </cfRule>
  </conditionalFormatting>
  <conditionalFormatting sqref="CM176">
    <cfRule type="cellIs" dxfId="6374" priority="2275" operator="lessThan">
      <formula>0</formula>
    </cfRule>
  </conditionalFormatting>
  <conditionalFormatting sqref="CF175">
    <cfRule type="cellIs" dxfId="6373" priority="2273" operator="greaterThan">
      <formula>0</formula>
    </cfRule>
    <cfRule type="cellIs" dxfId="6372" priority="2274" operator="lessThanOrEqual">
      <formula>0</formula>
    </cfRule>
  </conditionalFormatting>
  <conditionalFormatting sqref="CE175">
    <cfRule type="cellIs" dxfId="6371" priority="2272" operator="greaterThanOrEqual">
      <formula>0</formula>
    </cfRule>
  </conditionalFormatting>
  <conditionalFormatting sqref="CE175">
    <cfRule type="cellIs" dxfId="6370" priority="2271" operator="lessThan">
      <formula>0</formula>
    </cfRule>
  </conditionalFormatting>
  <conditionalFormatting sqref="CL175:CM175">
    <cfRule type="cellIs" dxfId="6369" priority="2268" operator="greaterThanOrEqual">
      <formula>0</formula>
    </cfRule>
  </conditionalFormatting>
  <conditionalFormatting sqref="CL175:CM175">
    <cfRule type="cellIs" dxfId="6368" priority="2267" operator="lessThan">
      <formula>0</formula>
    </cfRule>
  </conditionalFormatting>
  <conditionalFormatting sqref="CI175">
    <cfRule type="cellIs" dxfId="6367" priority="2270" operator="greaterThanOrEqual">
      <formula>0</formula>
    </cfRule>
  </conditionalFormatting>
  <conditionalFormatting sqref="CI175">
    <cfRule type="cellIs" dxfId="6366" priority="2269" operator="lessThan">
      <formula>0</formula>
    </cfRule>
  </conditionalFormatting>
  <conditionalFormatting sqref="CJ134">
    <cfRule type="cellIs" dxfId="6365" priority="2265" operator="greaterThan">
      <formula>0</formula>
    </cfRule>
    <cfRule type="cellIs" dxfId="6364" priority="2266" operator="lessThanOrEqual">
      <formula>0</formula>
    </cfRule>
  </conditionalFormatting>
  <conditionalFormatting sqref="CJ136:CJ137">
    <cfRule type="cellIs" dxfId="6363" priority="2263" operator="greaterThan">
      <formula>0</formula>
    </cfRule>
    <cfRule type="cellIs" dxfId="6362" priority="2264" operator="lessThanOrEqual">
      <formula>0</formula>
    </cfRule>
  </conditionalFormatting>
  <conditionalFormatting sqref="CJ173:CJ174">
    <cfRule type="cellIs" dxfId="6361" priority="2245" operator="greaterThan">
      <formula>0</formula>
    </cfRule>
    <cfRule type="cellIs" dxfId="6360" priority="2246" operator="lessThanOrEqual">
      <formula>0</formula>
    </cfRule>
  </conditionalFormatting>
  <conditionalFormatting sqref="CJ144">
    <cfRule type="cellIs" dxfId="6359" priority="2235" operator="greaterThan">
      <formula>0</formula>
    </cfRule>
    <cfRule type="cellIs" dxfId="6358" priority="2236" operator="lessThanOrEqual">
      <formula>0</formula>
    </cfRule>
  </conditionalFormatting>
  <conditionalFormatting sqref="CJ154">
    <cfRule type="cellIs" dxfId="6357" priority="2233" operator="greaterThan">
      <formula>0</formula>
    </cfRule>
    <cfRule type="cellIs" dxfId="6356" priority="2234" operator="lessThanOrEqual">
      <formula>0</formula>
    </cfRule>
  </conditionalFormatting>
  <conditionalFormatting sqref="CJ157">
    <cfRule type="cellIs" dxfId="6355" priority="2231" operator="greaterThan">
      <formula>0</formula>
    </cfRule>
    <cfRule type="cellIs" dxfId="6354" priority="2232" operator="lessThanOrEqual">
      <formula>0</formula>
    </cfRule>
  </conditionalFormatting>
  <conditionalFormatting sqref="CJ164">
    <cfRule type="cellIs" dxfId="6353" priority="2207" operator="greaterThan">
      <formula>0</formula>
    </cfRule>
    <cfRule type="cellIs" dxfId="6352" priority="2208" operator="lessThanOrEqual">
      <formula>0</formula>
    </cfRule>
  </conditionalFormatting>
  <conditionalFormatting sqref="CJ171">
    <cfRule type="cellIs" dxfId="6351" priority="2213" operator="greaterThan">
      <formula>0</formula>
    </cfRule>
    <cfRule type="cellIs" dxfId="6350" priority="2214" operator="lessThanOrEqual">
      <formula>0</formula>
    </cfRule>
  </conditionalFormatting>
  <conditionalFormatting sqref="CJ139:CJ140">
    <cfRule type="cellIs" dxfId="6349" priority="2261" operator="greaterThan">
      <formula>0</formula>
    </cfRule>
    <cfRule type="cellIs" dxfId="6348" priority="2262" operator="lessThanOrEqual">
      <formula>0</formula>
    </cfRule>
  </conditionalFormatting>
  <conditionalFormatting sqref="CJ149:CJ150">
    <cfRule type="cellIs" dxfId="6347" priority="2259" operator="greaterThan">
      <formula>0</formula>
    </cfRule>
    <cfRule type="cellIs" dxfId="6346" priority="2260" operator="lessThanOrEqual">
      <formula>0</formula>
    </cfRule>
  </conditionalFormatting>
  <conditionalFormatting sqref="CJ142:CJ143">
    <cfRule type="cellIs" dxfId="6345" priority="2257" operator="greaterThan">
      <formula>0</formula>
    </cfRule>
    <cfRule type="cellIs" dxfId="6344" priority="2258" operator="lessThanOrEqual">
      <formula>0</formula>
    </cfRule>
  </conditionalFormatting>
  <conditionalFormatting sqref="CJ152:CJ153">
    <cfRule type="cellIs" dxfId="6343" priority="2255" operator="greaterThan">
      <formula>0</formula>
    </cfRule>
    <cfRule type="cellIs" dxfId="6342" priority="2256" operator="lessThanOrEqual">
      <formula>0</formula>
    </cfRule>
  </conditionalFormatting>
  <conditionalFormatting sqref="CJ155:CJ156">
    <cfRule type="cellIs" dxfId="6341" priority="2253" operator="greaterThan">
      <formula>0</formula>
    </cfRule>
    <cfRule type="cellIs" dxfId="6340" priority="2254" operator="lessThanOrEqual">
      <formula>0</formula>
    </cfRule>
  </conditionalFormatting>
  <conditionalFormatting sqref="CJ158:CJ159">
    <cfRule type="cellIs" dxfId="6339" priority="2251" operator="greaterThan">
      <formula>0</formula>
    </cfRule>
    <cfRule type="cellIs" dxfId="6338" priority="2252" operator="lessThanOrEqual">
      <formula>0</formula>
    </cfRule>
  </conditionalFormatting>
  <conditionalFormatting sqref="CJ168:CJ169">
    <cfRule type="cellIs" dxfId="6337" priority="2249" operator="greaterThan">
      <formula>0</formula>
    </cfRule>
    <cfRule type="cellIs" dxfId="6336" priority="2250" operator="lessThanOrEqual">
      <formula>0</formula>
    </cfRule>
  </conditionalFormatting>
  <conditionalFormatting sqref="CJ183:CJ184">
    <cfRule type="cellIs" dxfId="6335" priority="2247" operator="greaterThan">
      <formula>0</formula>
    </cfRule>
    <cfRule type="cellIs" dxfId="6334" priority="2248" operator="lessThanOrEqual">
      <formula>0</formula>
    </cfRule>
  </conditionalFormatting>
  <conditionalFormatting sqref="CJ135">
    <cfRule type="cellIs" dxfId="6333" priority="2243" operator="greaterThan">
      <formula>0</formula>
    </cfRule>
    <cfRule type="cellIs" dxfId="6332" priority="2244" operator="lessThanOrEqual">
      <formula>0</formula>
    </cfRule>
  </conditionalFormatting>
  <conditionalFormatting sqref="CJ138">
    <cfRule type="cellIs" dxfId="6331" priority="2241" operator="greaterThan">
      <formula>0</formula>
    </cfRule>
    <cfRule type="cellIs" dxfId="6330" priority="2242" operator="lessThanOrEqual">
      <formula>0</formula>
    </cfRule>
  </conditionalFormatting>
  <conditionalFormatting sqref="CJ141">
    <cfRule type="cellIs" dxfId="6329" priority="2239" operator="greaterThan">
      <formula>0</formula>
    </cfRule>
    <cfRule type="cellIs" dxfId="6328" priority="2240" operator="lessThanOrEqual">
      <formula>0</formula>
    </cfRule>
  </conditionalFormatting>
  <conditionalFormatting sqref="CJ151">
    <cfRule type="cellIs" dxfId="6327" priority="2237" operator="greaterThan">
      <formula>0</formula>
    </cfRule>
    <cfRule type="cellIs" dxfId="6326" priority="2238" operator="lessThanOrEqual">
      <formula>0</formula>
    </cfRule>
  </conditionalFormatting>
  <conditionalFormatting sqref="CJ160">
    <cfRule type="cellIs" dxfId="6325" priority="2229" operator="greaterThan">
      <formula>0</formula>
    </cfRule>
    <cfRule type="cellIs" dxfId="6324" priority="2230" operator="lessThanOrEqual">
      <formula>0</formula>
    </cfRule>
  </conditionalFormatting>
  <conditionalFormatting sqref="CJ146">
    <cfRule type="cellIs" dxfId="6323" priority="2227" operator="greaterThan">
      <formula>0</formula>
    </cfRule>
    <cfRule type="cellIs" dxfId="6322" priority="2228" operator="lessThanOrEqual">
      <formula>0</formula>
    </cfRule>
  </conditionalFormatting>
  <conditionalFormatting sqref="CJ186">
    <cfRule type="cellIs" dxfId="6321" priority="2225" operator="greaterThan">
      <formula>0</formula>
    </cfRule>
    <cfRule type="cellIs" dxfId="6320" priority="2226" operator="lessThanOrEqual">
      <formula>0</formula>
    </cfRule>
  </conditionalFormatting>
  <conditionalFormatting sqref="CJ187">
    <cfRule type="cellIs" dxfId="6319" priority="2223" operator="greaterThan">
      <formula>0</formula>
    </cfRule>
    <cfRule type="cellIs" dxfId="6318" priority="2224" operator="lessThanOrEqual">
      <formula>0</formula>
    </cfRule>
  </conditionalFormatting>
  <conditionalFormatting sqref="CJ172">
    <cfRule type="cellIs" dxfId="6317" priority="2221" operator="greaterThan">
      <formula>0</formula>
    </cfRule>
    <cfRule type="cellIs" dxfId="6316" priority="2222" operator="lessThanOrEqual">
      <formula>0</formula>
    </cfRule>
  </conditionalFormatting>
  <conditionalFormatting sqref="CJ145">
    <cfRule type="cellIs" dxfId="6315" priority="2219" operator="greaterThan">
      <formula>0</formula>
    </cfRule>
    <cfRule type="cellIs" dxfId="6314" priority="2220" operator="lessThanOrEqual">
      <formula>0</formula>
    </cfRule>
  </conditionalFormatting>
  <conditionalFormatting sqref="CJ167">
    <cfRule type="cellIs" dxfId="6313" priority="2205" operator="greaterThan">
      <formula>0</formula>
    </cfRule>
    <cfRule type="cellIs" dxfId="6312" priority="2206" operator="lessThanOrEqual">
      <formula>0</formula>
    </cfRule>
  </conditionalFormatting>
  <conditionalFormatting sqref="CJ170">
    <cfRule type="cellIs" dxfId="6311" priority="2203" operator="greaterThan">
      <formula>0</formula>
    </cfRule>
    <cfRule type="cellIs" dxfId="6310" priority="2204" operator="lessThanOrEqual">
      <formula>0</formula>
    </cfRule>
  </conditionalFormatting>
  <conditionalFormatting sqref="CJ148">
    <cfRule type="cellIs" dxfId="6309" priority="2217" operator="greaterThan">
      <formula>0</formula>
    </cfRule>
    <cfRule type="cellIs" dxfId="6308" priority="2218" operator="lessThanOrEqual">
      <formula>0</formula>
    </cfRule>
  </conditionalFormatting>
  <conditionalFormatting sqref="CJ161">
    <cfRule type="cellIs" dxfId="6307" priority="2215" operator="greaterThan">
      <formula>0</formula>
    </cfRule>
    <cfRule type="cellIs" dxfId="6306" priority="2216" operator="lessThanOrEqual">
      <formula>0</formula>
    </cfRule>
  </conditionalFormatting>
  <conditionalFormatting sqref="CJ162:CJ163 CJ165:CJ166">
    <cfRule type="cellIs" dxfId="6305" priority="2211" operator="greaterThan">
      <formula>0</formula>
    </cfRule>
    <cfRule type="cellIs" dxfId="6304" priority="2212" operator="lessThanOrEqual">
      <formula>0</formula>
    </cfRule>
  </conditionalFormatting>
  <conditionalFormatting sqref="CJ177:CJ178 CJ180:CJ181">
    <cfRule type="cellIs" dxfId="6303" priority="2209" operator="greaterThan">
      <formula>0</formula>
    </cfRule>
    <cfRule type="cellIs" dxfId="6302" priority="2210" operator="lessThanOrEqual">
      <formula>0</formula>
    </cfRule>
  </conditionalFormatting>
  <conditionalFormatting sqref="CJ179">
    <cfRule type="cellIs" dxfId="6301" priority="2201" operator="greaterThan">
      <formula>0</formula>
    </cfRule>
    <cfRule type="cellIs" dxfId="6300" priority="2202" operator="lessThanOrEqual">
      <formula>0</formula>
    </cfRule>
  </conditionalFormatting>
  <conditionalFormatting sqref="CJ182">
    <cfRule type="cellIs" dxfId="6299" priority="2199" operator="greaterThan">
      <formula>0</formula>
    </cfRule>
    <cfRule type="cellIs" dxfId="6298" priority="2200" operator="lessThanOrEqual">
      <formula>0</formula>
    </cfRule>
  </conditionalFormatting>
  <conditionalFormatting sqref="CJ185">
    <cfRule type="cellIs" dxfId="6297" priority="2197" operator="greaterThan">
      <formula>0</formula>
    </cfRule>
    <cfRule type="cellIs" dxfId="6296" priority="2198" operator="lessThanOrEqual">
      <formula>0</formula>
    </cfRule>
  </conditionalFormatting>
  <conditionalFormatting sqref="CJ133">
    <cfRule type="cellIs" dxfId="6295" priority="2195" operator="lessThan">
      <formula>0</formula>
    </cfRule>
    <cfRule type="cellIs" dxfId="6294" priority="2196" operator="greaterThanOrEqual">
      <formula>0</formula>
    </cfRule>
  </conditionalFormatting>
  <conditionalFormatting sqref="CJ176">
    <cfRule type="cellIs" dxfId="6293" priority="2193" operator="greaterThan">
      <formula>0</formula>
    </cfRule>
    <cfRule type="cellIs" dxfId="6292" priority="2194" operator="lessThanOrEqual">
      <formula>0</formula>
    </cfRule>
  </conditionalFormatting>
  <conditionalFormatting sqref="CJ175">
    <cfRule type="cellIs" dxfId="6291" priority="2191" operator="greaterThan">
      <formula>0</formula>
    </cfRule>
    <cfRule type="cellIs" dxfId="6290" priority="2192" operator="lessThanOrEqual">
      <formula>0</formula>
    </cfRule>
  </conditionalFormatting>
  <conditionalFormatting sqref="CF27">
    <cfRule type="cellIs" dxfId="6289" priority="2189" operator="greaterThan">
      <formula>0</formula>
    </cfRule>
    <cfRule type="cellIs" dxfId="6288" priority="2190" operator="lessThanOrEqual">
      <formula>0</formula>
    </cfRule>
  </conditionalFormatting>
  <conditionalFormatting sqref="CE27">
    <cfRule type="cellIs" dxfId="6287" priority="2188" operator="greaterThanOrEqual">
      <formula>0</formula>
    </cfRule>
  </conditionalFormatting>
  <conditionalFormatting sqref="CE27">
    <cfRule type="cellIs" dxfId="6286" priority="2187" operator="lessThan">
      <formula>0</formula>
    </cfRule>
  </conditionalFormatting>
  <conditionalFormatting sqref="CJ27">
    <cfRule type="cellIs" dxfId="6285" priority="2185" operator="greaterThan">
      <formula>0</formula>
    </cfRule>
    <cfRule type="cellIs" dxfId="6284" priority="2186" operator="lessThanOrEqual">
      <formula>0</formula>
    </cfRule>
  </conditionalFormatting>
  <conditionalFormatting sqref="CI27">
    <cfRule type="cellIs" dxfId="6283" priority="2184" operator="greaterThanOrEqual">
      <formula>0</formula>
    </cfRule>
  </conditionalFormatting>
  <conditionalFormatting sqref="CI27">
    <cfRule type="cellIs" dxfId="6282" priority="2183" operator="lessThan">
      <formula>0</formula>
    </cfRule>
  </conditionalFormatting>
  <conditionalFormatting sqref="CL27">
    <cfRule type="cellIs" dxfId="6281" priority="2182" operator="greaterThanOrEqual">
      <formula>0</formula>
    </cfRule>
  </conditionalFormatting>
  <conditionalFormatting sqref="CL27">
    <cfRule type="cellIs" dxfId="6280" priority="2181" operator="lessThan">
      <formula>0</formula>
    </cfRule>
  </conditionalFormatting>
  <conditionalFormatting sqref="CM27">
    <cfRule type="cellIs" dxfId="6279" priority="2180" operator="greaterThanOrEqual">
      <formula>0</formula>
    </cfRule>
  </conditionalFormatting>
  <conditionalFormatting sqref="CM27">
    <cfRule type="cellIs" dxfId="6278" priority="2179" operator="lessThan">
      <formula>0</formula>
    </cfRule>
  </conditionalFormatting>
  <conditionalFormatting sqref="CF90">
    <cfRule type="cellIs" dxfId="6277" priority="2177" operator="greaterThan">
      <formula>0</formula>
    </cfRule>
    <cfRule type="cellIs" dxfId="6276" priority="2178" operator="lessThanOrEqual">
      <formula>0</formula>
    </cfRule>
  </conditionalFormatting>
  <conditionalFormatting sqref="CE90">
    <cfRule type="cellIs" dxfId="6275" priority="2176" operator="greaterThanOrEqual">
      <formula>0</formula>
    </cfRule>
  </conditionalFormatting>
  <conditionalFormatting sqref="CE90">
    <cfRule type="cellIs" dxfId="6274" priority="2175" operator="lessThan">
      <formula>0</formula>
    </cfRule>
  </conditionalFormatting>
  <conditionalFormatting sqref="CJ90">
    <cfRule type="cellIs" dxfId="6273" priority="2173" operator="greaterThan">
      <formula>0</formula>
    </cfRule>
    <cfRule type="cellIs" dxfId="6272" priority="2174" operator="lessThanOrEqual">
      <formula>0</formula>
    </cfRule>
  </conditionalFormatting>
  <conditionalFormatting sqref="CI90">
    <cfRule type="cellIs" dxfId="6271" priority="2172" operator="greaterThanOrEqual">
      <formula>0</formula>
    </cfRule>
  </conditionalFormatting>
  <conditionalFormatting sqref="CI90">
    <cfRule type="cellIs" dxfId="6270" priority="2171" operator="lessThan">
      <formula>0</formula>
    </cfRule>
  </conditionalFormatting>
  <conditionalFormatting sqref="CL90">
    <cfRule type="cellIs" dxfId="6269" priority="2170" operator="greaterThanOrEqual">
      <formula>0</formula>
    </cfRule>
  </conditionalFormatting>
  <conditionalFormatting sqref="CL90">
    <cfRule type="cellIs" dxfId="6268" priority="2169" operator="lessThan">
      <formula>0</formula>
    </cfRule>
  </conditionalFormatting>
  <conditionalFormatting sqref="CM90">
    <cfRule type="cellIs" dxfId="6267" priority="2168" operator="greaterThanOrEqual">
      <formula>0</formula>
    </cfRule>
  </conditionalFormatting>
  <conditionalFormatting sqref="CM90">
    <cfRule type="cellIs" dxfId="6266" priority="2167" operator="lessThan">
      <formula>0</formula>
    </cfRule>
  </conditionalFormatting>
  <conditionalFormatting sqref="CF147">
    <cfRule type="cellIs" dxfId="6265" priority="2165" operator="greaterThan">
      <formula>0</formula>
    </cfRule>
    <cfRule type="cellIs" dxfId="6264" priority="2166" operator="lessThanOrEqual">
      <formula>0</formula>
    </cfRule>
  </conditionalFormatting>
  <conditionalFormatting sqref="CI147 CL147:CM147 CE147">
    <cfRule type="cellIs" dxfId="6263" priority="2164" operator="greaterThanOrEqual">
      <formula>0</formula>
    </cfRule>
  </conditionalFormatting>
  <conditionalFormatting sqref="CI147 CL147:CM147 CE147">
    <cfRule type="cellIs" dxfId="6262" priority="2163" operator="lessThan">
      <formula>0</formula>
    </cfRule>
  </conditionalFormatting>
  <conditionalFormatting sqref="CJ147">
    <cfRule type="cellIs" dxfId="6261" priority="2161" operator="greaterThan">
      <formula>0</formula>
    </cfRule>
    <cfRule type="cellIs" dxfId="6260" priority="2162" operator="lessThanOrEqual">
      <formula>0</formula>
    </cfRule>
  </conditionalFormatting>
  <conditionalFormatting sqref="CQ13:CQ14">
    <cfRule type="cellIs" dxfId="6259" priority="2159" operator="greaterThan">
      <formula>0</formula>
    </cfRule>
    <cfRule type="cellIs" dxfId="6258" priority="2160" operator="lessThanOrEqual">
      <formula>0</formula>
    </cfRule>
  </conditionalFormatting>
  <conditionalFormatting sqref="CQ16:CQ17">
    <cfRule type="cellIs" dxfId="6257" priority="2157" operator="greaterThan">
      <formula>0</formula>
    </cfRule>
    <cfRule type="cellIs" dxfId="6256" priority="2158" operator="lessThanOrEqual">
      <formula>0</formula>
    </cfRule>
  </conditionalFormatting>
  <conditionalFormatting sqref="CQ19:CQ20">
    <cfRule type="cellIs" dxfId="6255" priority="2155" operator="greaterThan">
      <formula>0</formula>
    </cfRule>
    <cfRule type="cellIs" dxfId="6254" priority="2156" operator="lessThanOrEqual">
      <formula>0</formula>
    </cfRule>
  </conditionalFormatting>
  <conditionalFormatting sqref="CQ29:CQ30">
    <cfRule type="cellIs" dxfId="6253" priority="2153" operator="greaterThan">
      <formula>0</formula>
    </cfRule>
    <cfRule type="cellIs" dxfId="6252" priority="2154" operator="lessThanOrEqual">
      <formula>0</formula>
    </cfRule>
  </conditionalFormatting>
  <conditionalFormatting sqref="CQ22:CQ23">
    <cfRule type="cellIs" dxfId="6251" priority="2151" operator="greaterThan">
      <formula>0</formula>
    </cfRule>
    <cfRule type="cellIs" dxfId="6250" priority="2152" operator="lessThanOrEqual">
      <formula>0</formula>
    </cfRule>
  </conditionalFormatting>
  <conditionalFormatting sqref="CQ32:CQ33">
    <cfRule type="cellIs" dxfId="6249" priority="2149" operator="greaterThan">
      <formula>0</formula>
    </cfRule>
    <cfRule type="cellIs" dxfId="6248" priority="2150" operator="lessThanOrEqual">
      <formula>0</formula>
    </cfRule>
  </conditionalFormatting>
  <conditionalFormatting sqref="CQ35:CQ36">
    <cfRule type="cellIs" dxfId="6247" priority="2147" operator="greaterThan">
      <formula>0</formula>
    </cfRule>
    <cfRule type="cellIs" dxfId="6246" priority="2148" operator="lessThanOrEqual">
      <formula>0</formula>
    </cfRule>
  </conditionalFormatting>
  <conditionalFormatting sqref="CQ38:CQ39">
    <cfRule type="cellIs" dxfId="6245" priority="2145" operator="greaterThan">
      <formula>0</formula>
    </cfRule>
    <cfRule type="cellIs" dxfId="6244" priority="2146" operator="lessThanOrEqual">
      <formula>0</formula>
    </cfRule>
  </conditionalFormatting>
  <conditionalFormatting sqref="CQ48:CQ49">
    <cfRule type="cellIs" dxfId="6243" priority="2143" operator="greaterThan">
      <formula>0</formula>
    </cfRule>
    <cfRule type="cellIs" dxfId="6242" priority="2144" operator="lessThanOrEqual">
      <formula>0</formula>
    </cfRule>
  </conditionalFormatting>
  <conditionalFormatting sqref="CQ63:CQ64">
    <cfRule type="cellIs" dxfId="6241" priority="2141" operator="greaterThan">
      <formula>0</formula>
    </cfRule>
    <cfRule type="cellIs" dxfId="6240" priority="2142" operator="lessThanOrEqual">
      <formula>0</formula>
    </cfRule>
  </conditionalFormatting>
  <conditionalFormatting sqref="CQ53:CQ54">
    <cfRule type="cellIs" dxfId="6239" priority="2139" operator="greaterThan">
      <formula>0</formula>
    </cfRule>
    <cfRule type="cellIs" dxfId="6238" priority="2140" operator="lessThanOrEqual">
      <formula>0</formula>
    </cfRule>
  </conditionalFormatting>
  <conditionalFormatting sqref="CQ15">
    <cfRule type="cellIs" dxfId="6237" priority="2137" operator="greaterThan">
      <formula>0</formula>
    </cfRule>
    <cfRule type="cellIs" dxfId="6236" priority="2138" operator="lessThanOrEqual">
      <formula>0</formula>
    </cfRule>
  </conditionalFormatting>
  <conditionalFormatting sqref="CQ18">
    <cfRule type="cellIs" dxfId="6235" priority="2135" operator="greaterThan">
      <formula>0</formula>
    </cfRule>
    <cfRule type="cellIs" dxfId="6234" priority="2136" operator="lessThanOrEqual">
      <formula>0</formula>
    </cfRule>
  </conditionalFormatting>
  <conditionalFormatting sqref="CQ21">
    <cfRule type="cellIs" dxfId="6233" priority="2133" operator="greaterThan">
      <formula>0</formula>
    </cfRule>
    <cfRule type="cellIs" dxfId="6232" priority="2134" operator="lessThanOrEqual">
      <formula>0</formula>
    </cfRule>
  </conditionalFormatting>
  <conditionalFormatting sqref="CQ31">
    <cfRule type="cellIs" dxfId="6231" priority="2131" operator="greaterThan">
      <formula>0</formula>
    </cfRule>
    <cfRule type="cellIs" dxfId="6230" priority="2132" operator="lessThanOrEqual">
      <formula>0</formula>
    </cfRule>
  </conditionalFormatting>
  <conditionalFormatting sqref="CQ24">
    <cfRule type="cellIs" dxfId="6229" priority="2129" operator="greaterThan">
      <formula>0</formula>
    </cfRule>
    <cfRule type="cellIs" dxfId="6228" priority="2130" operator="lessThanOrEqual">
      <formula>0</formula>
    </cfRule>
  </conditionalFormatting>
  <conditionalFormatting sqref="CQ34">
    <cfRule type="cellIs" dxfId="6227" priority="2127" operator="greaterThan">
      <formula>0</formula>
    </cfRule>
    <cfRule type="cellIs" dxfId="6226" priority="2128" operator="lessThanOrEqual">
      <formula>0</formula>
    </cfRule>
  </conditionalFormatting>
  <conditionalFormatting sqref="CQ37">
    <cfRule type="cellIs" dxfId="6225" priority="2125" operator="greaterThan">
      <formula>0</formula>
    </cfRule>
    <cfRule type="cellIs" dxfId="6224" priority="2126" operator="lessThanOrEqual">
      <formula>0</formula>
    </cfRule>
  </conditionalFormatting>
  <conditionalFormatting sqref="CQ40">
    <cfRule type="cellIs" dxfId="6223" priority="2123" operator="greaterThan">
      <formula>0</formula>
    </cfRule>
    <cfRule type="cellIs" dxfId="6222" priority="2124" operator="lessThanOrEqual">
      <formula>0</formula>
    </cfRule>
  </conditionalFormatting>
  <conditionalFormatting sqref="CQ26">
    <cfRule type="cellIs" dxfId="6221" priority="2121" operator="greaterThan">
      <formula>0</formula>
    </cfRule>
    <cfRule type="cellIs" dxfId="6220" priority="2122" operator="lessThanOrEqual">
      <formula>0</formula>
    </cfRule>
  </conditionalFormatting>
  <conditionalFormatting sqref="CQ66 CQ68 CQ71">
    <cfRule type="cellIs" dxfId="6219" priority="2119" operator="greaterThan">
      <formula>0</formula>
    </cfRule>
    <cfRule type="cellIs" dxfId="6218" priority="2120" operator="lessThanOrEqual">
      <formula>0</formula>
    </cfRule>
  </conditionalFormatting>
  <conditionalFormatting sqref="CP13:CP14 CP16:CP17 CP19:CP20 CP22:CP23 CP29:CP30 CP32:CP33 CP35:CP36 CP38:CP39 CP48:CP49 CP53:CP54">
    <cfRule type="cellIs" dxfId="6217" priority="2117" operator="lessThan">
      <formula>0</formula>
    </cfRule>
    <cfRule type="cellIs" dxfId="6216" priority="2118" operator="greaterThanOrEqual">
      <formula>0</formula>
    </cfRule>
  </conditionalFormatting>
  <conditionalFormatting sqref="CP15 CP18 CP21 CP24 CP26 CP31 CP34 CP37 CP40">
    <cfRule type="cellIs" dxfId="6215" priority="2116" operator="greaterThanOrEqual">
      <formula>0</formula>
    </cfRule>
  </conditionalFormatting>
  <conditionalFormatting sqref="CP15 CP18 CP21 CP24 CP26 CP31 CP34 CP37 CP40">
    <cfRule type="cellIs" dxfId="6214" priority="2115" operator="lessThan">
      <formula>0</formula>
    </cfRule>
  </conditionalFormatting>
  <conditionalFormatting sqref="CQ73">
    <cfRule type="cellIs" dxfId="6213" priority="2113" operator="greaterThan">
      <formula>0</formula>
    </cfRule>
    <cfRule type="cellIs" dxfId="6212" priority="2114" operator="lessThanOrEqual">
      <formula>0</formula>
    </cfRule>
  </conditionalFormatting>
  <conditionalFormatting sqref="CQ67">
    <cfRule type="cellIs" dxfId="6211" priority="2111" operator="greaterThan">
      <formula>0</formula>
    </cfRule>
    <cfRule type="cellIs" dxfId="6210" priority="2112" operator="lessThanOrEqual">
      <formula>0</formula>
    </cfRule>
  </conditionalFormatting>
  <conditionalFormatting sqref="CP67">
    <cfRule type="cellIs" dxfId="6209" priority="2109" operator="greaterThanOrEqual">
      <formula>0</formula>
    </cfRule>
    <cfRule type="cellIs" dxfId="6208" priority="2110" operator="lessThan">
      <formula>0</formula>
    </cfRule>
  </conditionalFormatting>
  <conditionalFormatting sqref="CW13:CW14 CW16:CW17 CW19:CW20 CW22:CW23 CW29:CW30 CW32:CW33 CW35:CW36 CW38:CW39 CW48:CW49">
    <cfRule type="cellIs" dxfId="6207" priority="2107" operator="lessThan">
      <formula>0</formula>
    </cfRule>
    <cfRule type="cellIs" dxfId="6206" priority="2108" operator="greaterThanOrEqual">
      <formula>0</formula>
    </cfRule>
  </conditionalFormatting>
  <conditionalFormatting sqref="CW15 CW24 CW18 CW21 CW31 CW34 CW37 CW40">
    <cfRule type="cellIs" dxfId="6205" priority="2106" operator="greaterThanOrEqual">
      <formula>0</formula>
    </cfRule>
  </conditionalFormatting>
  <conditionalFormatting sqref="CW15 CW24 CW18 CW21 CW31 CW34 CW37 CW40">
    <cfRule type="cellIs" dxfId="6204" priority="2105" operator="lessThan">
      <formula>0</formula>
    </cfRule>
  </conditionalFormatting>
  <conditionalFormatting sqref="CW71 CW73">
    <cfRule type="cellIs" dxfId="6203" priority="2103" operator="lessThan">
      <formula>0</formula>
    </cfRule>
    <cfRule type="cellIs" dxfId="6202" priority="2104" operator="greaterThanOrEqual">
      <formula>0</formula>
    </cfRule>
  </conditionalFormatting>
  <conditionalFormatting sqref="CW67">
    <cfRule type="cellIs" dxfId="6201" priority="2101" operator="greaterThanOrEqual">
      <formula>0</formula>
    </cfRule>
    <cfRule type="cellIs" dxfId="6200" priority="2102" operator="lessThan">
      <formula>0</formula>
    </cfRule>
  </conditionalFormatting>
  <conditionalFormatting sqref="CX13:CX14">
    <cfRule type="cellIs" dxfId="6199" priority="2099" operator="greaterThan">
      <formula>0</formula>
    </cfRule>
    <cfRule type="cellIs" dxfId="6198" priority="2100" operator="lessThanOrEqual">
      <formula>0</formula>
    </cfRule>
  </conditionalFormatting>
  <conditionalFormatting sqref="CX68">
    <cfRule type="cellIs" dxfId="6197" priority="2097" operator="lessThan">
      <formula>0</formula>
    </cfRule>
    <cfRule type="cellIs" dxfId="6196" priority="2098" operator="greaterThanOrEqual">
      <formula>0</formula>
    </cfRule>
  </conditionalFormatting>
  <conditionalFormatting sqref="CX15 CX24 CX18 CX21 CX31 CX34 CX37 CX40">
    <cfRule type="cellIs" dxfId="6195" priority="2096" operator="greaterThanOrEqual">
      <formula>0</formula>
    </cfRule>
  </conditionalFormatting>
  <conditionalFormatting sqref="CX15 CX24 CX18 CX21 CX31 CX34 CX37 CX40">
    <cfRule type="cellIs" dxfId="6194" priority="2095" operator="lessThan">
      <formula>0</formula>
    </cfRule>
  </conditionalFormatting>
  <conditionalFormatting sqref="CW68">
    <cfRule type="cellIs" dxfId="6193" priority="2093" operator="lessThan">
      <formula>0</formula>
    </cfRule>
    <cfRule type="cellIs" dxfId="6192" priority="2094" operator="greaterThanOrEqual">
      <formula>0</formula>
    </cfRule>
  </conditionalFormatting>
  <conditionalFormatting sqref="CX71 CX73">
    <cfRule type="cellIs" dxfId="6191" priority="2091" operator="lessThan">
      <formula>0</formula>
    </cfRule>
    <cfRule type="cellIs" dxfId="6190" priority="2092" operator="greaterThanOrEqual">
      <formula>0</formula>
    </cfRule>
  </conditionalFormatting>
  <conditionalFormatting sqref="CX67">
    <cfRule type="cellIs" dxfId="6189" priority="2089" operator="lessThan">
      <formula>0</formula>
    </cfRule>
    <cfRule type="cellIs" dxfId="6188" priority="2090" operator="greaterThanOrEqual">
      <formula>0</formula>
    </cfRule>
  </conditionalFormatting>
  <conditionalFormatting sqref="CP62">
    <cfRule type="cellIs" dxfId="6187" priority="2070" operator="greaterThanOrEqual">
      <formula>0</formula>
    </cfRule>
  </conditionalFormatting>
  <conditionalFormatting sqref="CP62">
    <cfRule type="cellIs" dxfId="6186" priority="2069" operator="lessThan">
      <formula>0</formula>
    </cfRule>
  </conditionalFormatting>
  <conditionalFormatting sqref="CQ44">
    <cfRule type="cellIs" dxfId="6185" priority="2079" operator="greaterThan">
      <formula>0</formula>
    </cfRule>
    <cfRule type="cellIs" dxfId="6184" priority="2080" operator="lessThanOrEqual">
      <formula>0</formula>
    </cfRule>
  </conditionalFormatting>
  <conditionalFormatting sqref="CQ47">
    <cfRule type="cellIs" dxfId="6183" priority="2077" operator="greaterThan">
      <formula>0</formula>
    </cfRule>
    <cfRule type="cellIs" dxfId="6182" priority="2078" operator="lessThanOrEqual">
      <formula>0</formula>
    </cfRule>
  </conditionalFormatting>
  <conditionalFormatting sqref="CQ50">
    <cfRule type="cellIs" dxfId="6181" priority="2075" operator="greaterThan">
      <formula>0</formula>
    </cfRule>
    <cfRule type="cellIs" dxfId="6180" priority="2076" operator="lessThanOrEqual">
      <formula>0</formula>
    </cfRule>
  </conditionalFormatting>
  <conditionalFormatting sqref="CQ28">
    <cfRule type="cellIs" dxfId="6179" priority="2087" operator="greaterThan">
      <formula>0</formula>
    </cfRule>
    <cfRule type="cellIs" dxfId="6178" priority="2088" operator="lessThanOrEqual">
      <formula>0</formula>
    </cfRule>
  </conditionalFormatting>
  <conditionalFormatting sqref="CQ41">
    <cfRule type="cellIs" dxfId="6177" priority="2085" operator="greaterThan">
      <formula>0</formula>
    </cfRule>
    <cfRule type="cellIs" dxfId="6176" priority="2086" operator="lessThanOrEqual">
      <formula>0</formula>
    </cfRule>
  </conditionalFormatting>
  <conditionalFormatting sqref="CT182">
    <cfRule type="cellIs" dxfId="6175" priority="1874" operator="greaterThanOrEqual">
      <formula>0</formula>
    </cfRule>
  </conditionalFormatting>
  <conditionalFormatting sqref="CT182">
    <cfRule type="cellIs" dxfId="6174" priority="1873" operator="lessThan">
      <formula>0</formula>
    </cfRule>
  </conditionalFormatting>
  <conditionalFormatting sqref="CQ42:CQ43 CQ45:CQ46">
    <cfRule type="cellIs" dxfId="6173" priority="2083" operator="greaterThan">
      <formula>0</formula>
    </cfRule>
    <cfRule type="cellIs" dxfId="6172" priority="2084" operator="lessThanOrEqual">
      <formula>0</formula>
    </cfRule>
  </conditionalFormatting>
  <conditionalFormatting sqref="CQ57:CQ58 CQ60:CQ61">
    <cfRule type="cellIs" dxfId="6171" priority="2081" operator="greaterThan">
      <formula>0</formula>
    </cfRule>
    <cfRule type="cellIs" dxfId="6170" priority="2082" operator="lessThanOrEqual">
      <formula>0</formula>
    </cfRule>
  </conditionalFormatting>
  <conditionalFormatting sqref="CQ59">
    <cfRule type="cellIs" dxfId="6169" priority="2073" operator="greaterThan">
      <formula>0</formula>
    </cfRule>
    <cfRule type="cellIs" dxfId="6168" priority="2074" operator="lessThanOrEqual">
      <formula>0</formula>
    </cfRule>
  </conditionalFormatting>
  <conditionalFormatting sqref="CQ62">
    <cfRule type="cellIs" dxfId="6167" priority="2071" operator="greaterThan">
      <formula>0</formula>
    </cfRule>
    <cfRule type="cellIs" dxfId="6166" priority="2072" operator="lessThanOrEqual">
      <formula>0</formula>
    </cfRule>
  </conditionalFormatting>
  <conditionalFormatting sqref="CQ65">
    <cfRule type="cellIs" dxfId="6165" priority="2067" operator="greaterThan">
      <formula>0</formula>
    </cfRule>
    <cfRule type="cellIs" dxfId="6164" priority="2068" operator="lessThanOrEqual">
      <formula>0</formula>
    </cfRule>
  </conditionalFormatting>
  <conditionalFormatting sqref="CU47">
    <cfRule type="cellIs" dxfId="6163" priority="1737" operator="greaterThan">
      <formula>0</formula>
    </cfRule>
    <cfRule type="cellIs" dxfId="6162" priority="1738" operator="lessThanOrEqual">
      <formula>0</formula>
    </cfRule>
  </conditionalFormatting>
  <conditionalFormatting sqref="CU59">
    <cfRule type="cellIs" dxfId="6161" priority="1733" operator="greaterThan">
      <formula>0</formula>
    </cfRule>
    <cfRule type="cellIs" dxfId="6160" priority="1734" operator="lessThanOrEqual">
      <formula>0</formula>
    </cfRule>
  </conditionalFormatting>
  <conditionalFormatting sqref="CT62">
    <cfRule type="cellIs" dxfId="6159" priority="1730" operator="greaterThanOrEqual">
      <formula>0</formula>
    </cfRule>
  </conditionalFormatting>
  <conditionalFormatting sqref="CT62">
    <cfRule type="cellIs" dxfId="6158" priority="1729" operator="lessThan">
      <formula>0</formula>
    </cfRule>
  </conditionalFormatting>
  <conditionalFormatting sqref="CQ134">
    <cfRule type="cellIs" dxfId="6157" priority="2065" operator="greaterThan">
      <formula>0</formula>
    </cfRule>
    <cfRule type="cellIs" dxfId="6156" priority="2066" operator="lessThanOrEqual">
      <formula>0</formula>
    </cfRule>
  </conditionalFormatting>
  <conditionalFormatting sqref="CQ136:CQ137">
    <cfRule type="cellIs" dxfId="6155" priority="2063" operator="greaterThan">
      <formula>0</formula>
    </cfRule>
    <cfRule type="cellIs" dxfId="6154" priority="2064" operator="lessThanOrEqual">
      <formula>0</formula>
    </cfRule>
  </conditionalFormatting>
  <conditionalFormatting sqref="CQ173:CQ174">
    <cfRule type="cellIs" dxfId="6153" priority="2045" operator="greaterThan">
      <formula>0</formula>
    </cfRule>
    <cfRule type="cellIs" dxfId="6152" priority="2046" operator="lessThanOrEqual">
      <formula>0</formula>
    </cfRule>
  </conditionalFormatting>
  <conditionalFormatting sqref="CQ144">
    <cfRule type="cellIs" dxfId="6151" priority="2035" operator="greaterThan">
      <formula>0</formula>
    </cfRule>
    <cfRule type="cellIs" dxfId="6150" priority="2036" operator="lessThanOrEqual">
      <formula>0</formula>
    </cfRule>
  </conditionalFormatting>
  <conditionalFormatting sqref="CQ154">
    <cfRule type="cellIs" dxfId="6149" priority="2033" operator="greaterThan">
      <formula>0</formula>
    </cfRule>
    <cfRule type="cellIs" dxfId="6148" priority="2034" operator="lessThanOrEqual">
      <formula>0</formula>
    </cfRule>
  </conditionalFormatting>
  <conditionalFormatting sqref="CQ157">
    <cfRule type="cellIs" dxfId="6147" priority="2031" operator="greaterThan">
      <formula>0</formula>
    </cfRule>
    <cfRule type="cellIs" dxfId="6146" priority="2032" operator="lessThanOrEqual">
      <formula>0</formula>
    </cfRule>
  </conditionalFormatting>
  <conditionalFormatting sqref="CP164">
    <cfRule type="cellIs" dxfId="6145" priority="1916" operator="greaterThanOrEqual">
      <formula>0</formula>
    </cfRule>
  </conditionalFormatting>
  <conditionalFormatting sqref="CP164">
    <cfRule type="cellIs" dxfId="6144" priority="1915" operator="lessThan">
      <formula>0</formula>
    </cfRule>
  </conditionalFormatting>
  <conditionalFormatting sqref="CQ164">
    <cfRule type="cellIs" dxfId="6143" priority="1917" operator="greaterThan">
      <formula>0</formula>
    </cfRule>
    <cfRule type="cellIs" dxfId="6142" priority="1918" operator="lessThanOrEqual">
      <formula>0</formula>
    </cfRule>
  </conditionalFormatting>
  <conditionalFormatting sqref="CT185">
    <cfRule type="cellIs" dxfId="6141" priority="1864" operator="greaterThanOrEqual">
      <formula>0</formula>
    </cfRule>
  </conditionalFormatting>
  <conditionalFormatting sqref="CT185">
    <cfRule type="cellIs" dxfId="6140" priority="1863" operator="lessThan">
      <formula>0</formula>
    </cfRule>
  </conditionalFormatting>
  <conditionalFormatting sqref="CX145">
    <cfRule type="cellIs" dxfId="6139" priority="1962" operator="greaterThanOrEqual">
      <formula>0</formula>
    </cfRule>
  </conditionalFormatting>
  <conditionalFormatting sqref="CX145">
    <cfRule type="cellIs" dxfId="6138" priority="1961" operator="lessThan">
      <formula>0</formula>
    </cfRule>
  </conditionalFormatting>
  <conditionalFormatting sqref="CT160 CT186">
    <cfRule type="cellIs" dxfId="6137" priority="2014" operator="greaterThanOrEqual">
      <formula>0</formula>
    </cfRule>
  </conditionalFormatting>
  <conditionalFormatting sqref="CT160 CT186">
    <cfRule type="cellIs" dxfId="6136" priority="2013" operator="lessThan">
      <formula>0</formula>
    </cfRule>
  </conditionalFormatting>
  <conditionalFormatting sqref="CQ171">
    <cfRule type="cellIs" dxfId="6135" priority="1943" operator="greaterThan">
      <formula>0</formula>
    </cfRule>
    <cfRule type="cellIs" dxfId="6134" priority="1944" operator="lessThanOrEqual">
      <formula>0</formula>
    </cfRule>
  </conditionalFormatting>
  <conditionalFormatting sqref="CP171">
    <cfRule type="cellIs" dxfId="6133" priority="1942" operator="greaterThanOrEqual">
      <formula>0</formula>
    </cfRule>
  </conditionalFormatting>
  <conditionalFormatting sqref="CP171">
    <cfRule type="cellIs" dxfId="6132" priority="1941" operator="lessThan">
      <formula>0</formula>
    </cfRule>
  </conditionalFormatting>
  <conditionalFormatting sqref="CX167">
    <cfRule type="cellIs" dxfId="6131" priority="1900" operator="greaterThanOrEqual">
      <formula>0</formula>
    </cfRule>
  </conditionalFormatting>
  <conditionalFormatting sqref="CX167">
    <cfRule type="cellIs" dxfId="6130" priority="1899" operator="lessThan">
      <formula>0</formula>
    </cfRule>
  </conditionalFormatting>
  <conditionalFormatting sqref="CQ139:CQ140">
    <cfRule type="cellIs" dxfId="6129" priority="2061" operator="greaterThan">
      <formula>0</formula>
    </cfRule>
    <cfRule type="cellIs" dxfId="6128" priority="2062" operator="lessThanOrEqual">
      <formula>0</formula>
    </cfRule>
  </conditionalFormatting>
  <conditionalFormatting sqref="CQ149:CQ150">
    <cfRule type="cellIs" dxfId="6127" priority="2059" operator="greaterThan">
      <formula>0</formula>
    </cfRule>
    <cfRule type="cellIs" dxfId="6126" priority="2060" operator="lessThanOrEqual">
      <formula>0</formula>
    </cfRule>
  </conditionalFormatting>
  <conditionalFormatting sqref="CQ142:CQ143">
    <cfRule type="cellIs" dxfId="6125" priority="2057" operator="greaterThan">
      <formula>0</formula>
    </cfRule>
    <cfRule type="cellIs" dxfId="6124" priority="2058" operator="lessThanOrEqual">
      <formula>0</formula>
    </cfRule>
  </conditionalFormatting>
  <conditionalFormatting sqref="CQ152:CQ153">
    <cfRule type="cellIs" dxfId="6123" priority="2055" operator="greaterThan">
      <formula>0</formula>
    </cfRule>
    <cfRule type="cellIs" dxfId="6122" priority="2056" operator="lessThanOrEqual">
      <formula>0</formula>
    </cfRule>
  </conditionalFormatting>
  <conditionalFormatting sqref="CQ155:CQ156">
    <cfRule type="cellIs" dxfId="6121" priority="2053" operator="greaterThan">
      <formula>0</formula>
    </cfRule>
    <cfRule type="cellIs" dxfId="6120" priority="2054" operator="lessThanOrEqual">
      <formula>0</formula>
    </cfRule>
  </conditionalFormatting>
  <conditionalFormatting sqref="CQ158:CQ159">
    <cfRule type="cellIs" dxfId="6119" priority="2051" operator="greaterThan">
      <formula>0</formula>
    </cfRule>
    <cfRule type="cellIs" dxfId="6118" priority="2052" operator="lessThanOrEqual">
      <formula>0</formula>
    </cfRule>
  </conditionalFormatting>
  <conditionalFormatting sqref="CQ168:CQ169">
    <cfRule type="cellIs" dxfId="6117" priority="2049" operator="greaterThan">
      <formula>0</formula>
    </cfRule>
    <cfRule type="cellIs" dxfId="6116" priority="2050" operator="lessThanOrEqual">
      <formula>0</formula>
    </cfRule>
  </conditionalFormatting>
  <conditionalFormatting sqref="CQ183:CQ184">
    <cfRule type="cellIs" dxfId="6115" priority="2047" operator="greaterThan">
      <formula>0</formula>
    </cfRule>
    <cfRule type="cellIs" dxfId="6114" priority="2048" operator="lessThanOrEqual">
      <formula>0</formula>
    </cfRule>
  </conditionalFormatting>
  <conditionalFormatting sqref="CQ135">
    <cfRule type="cellIs" dxfId="6113" priority="2043" operator="greaterThan">
      <formula>0</formula>
    </cfRule>
    <cfRule type="cellIs" dxfId="6112" priority="2044" operator="lessThanOrEqual">
      <formula>0</formula>
    </cfRule>
  </conditionalFormatting>
  <conditionalFormatting sqref="CQ138">
    <cfRule type="cellIs" dxfId="6111" priority="2041" operator="greaterThan">
      <formula>0</formula>
    </cfRule>
    <cfRule type="cellIs" dxfId="6110" priority="2042" operator="lessThanOrEqual">
      <formula>0</formula>
    </cfRule>
  </conditionalFormatting>
  <conditionalFormatting sqref="CQ141">
    <cfRule type="cellIs" dxfId="6109" priority="2039" operator="greaterThan">
      <formula>0</formula>
    </cfRule>
    <cfRule type="cellIs" dxfId="6108" priority="2040" operator="lessThanOrEqual">
      <formula>0</formula>
    </cfRule>
  </conditionalFormatting>
  <conditionalFormatting sqref="CQ151">
    <cfRule type="cellIs" dxfId="6107" priority="2037" operator="greaterThan">
      <formula>0</formula>
    </cfRule>
    <cfRule type="cellIs" dxfId="6106" priority="2038" operator="lessThanOrEqual">
      <formula>0</formula>
    </cfRule>
  </conditionalFormatting>
  <conditionalFormatting sqref="CQ160">
    <cfRule type="cellIs" dxfId="6105" priority="2029" operator="greaterThan">
      <formula>0</formula>
    </cfRule>
    <cfRule type="cellIs" dxfId="6104" priority="2030" operator="lessThanOrEqual">
      <formula>0</formula>
    </cfRule>
  </conditionalFormatting>
  <conditionalFormatting sqref="CQ146">
    <cfRule type="cellIs" dxfId="6103" priority="2027" operator="greaterThan">
      <formula>0</formula>
    </cfRule>
    <cfRule type="cellIs" dxfId="6102" priority="2028" operator="lessThanOrEqual">
      <formula>0</formula>
    </cfRule>
  </conditionalFormatting>
  <conditionalFormatting sqref="CQ186">
    <cfRule type="cellIs" dxfId="6101" priority="2025" operator="greaterThan">
      <formula>0</formula>
    </cfRule>
    <cfRule type="cellIs" dxfId="6100" priority="2026" operator="lessThanOrEqual">
      <formula>0</formula>
    </cfRule>
  </conditionalFormatting>
  <conditionalFormatting sqref="CP133:CP134 CP136:CP137 CP139:CP140 CP149:CP150 CP142:CP143 CP152:CP153 CP155:CP156 CP158:CP159 CP168:CP169 CP183:CP184 CP173:CP174 CT183:CT184 CT173:CT174 CW183:CX184 CW173:CX174">
    <cfRule type="cellIs" dxfId="6099" priority="2023" operator="lessThan">
      <formula>0</formula>
    </cfRule>
    <cfRule type="cellIs" dxfId="6098" priority="2024" operator="greaterThanOrEqual">
      <formula>0</formula>
    </cfRule>
  </conditionalFormatting>
  <conditionalFormatting sqref="CP135 CP138 CP141 CP154 CP157 CP160 CP186 CT146 CW146:CX146 CP151 CP144 CP146">
    <cfRule type="cellIs" dxfId="6097" priority="2022" operator="greaterThanOrEqual">
      <formula>0</formula>
    </cfRule>
  </conditionalFormatting>
  <conditionalFormatting sqref="CP135 CP138 CP141 CP154 CP157 CP160 CP186 CT146 CW146:CX146 CP151 CP144 CP146">
    <cfRule type="cellIs" dxfId="6096" priority="2021" operator="lessThan">
      <formula>0</formula>
    </cfRule>
  </conditionalFormatting>
  <conditionalFormatting sqref="CT133:CT134 CT136:CT137 CT139:CT140 CT149:CT150 CT142:CT143 CT152:CT153 CT155:CT156">
    <cfRule type="cellIs" dxfId="6095" priority="2019" operator="lessThan">
      <formula>0</formula>
    </cfRule>
    <cfRule type="cellIs" dxfId="6094" priority="2020" operator="greaterThanOrEqual">
      <formula>0</formula>
    </cfRule>
  </conditionalFormatting>
  <conditionalFormatting sqref="CT135 CT138 CT141 CT151 CT144 CT154 CT157">
    <cfRule type="cellIs" dxfId="6093" priority="2018" operator="greaterThanOrEqual">
      <formula>0</formula>
    </cfRule>
  </conditionalFormatting>
  <conditionalFormatting sqref="CT135 CT138 CT141 CT151 CT144 CT154 CT157">
    <cfRule type="cellIs" dxfId="6092" priority="2017" operator="lessThan">
      <formula>0</formula>
    </cfRule>
  </conditionalFormatting>
  <conditionalFormatting sqref="CT158:CT159 CT168:CT169">
    <cfRule type="cellIs" dxfId="6091" priority="2015" operator="lessThan">
      <formula>0</formula>
    </cfRule>
    <cfRule type="cellIs" dxfId="6090" priority="2016" operator="greaterThanOrEqual">
      <formula>0</formula>
    </cfRule>
  </conditionalFormatting>
  <conditionalFormatting sqref="CQ187">
    <cfRule type="cellIs" dxfId="6089" priority="2011" operator="greaterThan">
      <formula>0</formula>
    </cfRule>
    <cfRule type="cellIs" dxfId="6088" priority="2012" operator="lessThanOrEqual">
      <formula>0</formula>
    </cfRule>
  </conditionalFormatting>
  <conditionalFormatting sqref="CT187">
    <cfRule type="cellIs" dxfId="6087" priority="2009" operator="greaterThanOrEqual">
      <formula>0</formula>
    </cfRule>
    <cfRule type="cellIs" dxfId="6086" priority="2010" operator="lessThan">
      <formula>0</formula>
    </cfRule>
  </conditionalFormatting>
  <conditionalFormatting sqref="CP187">
    <cfRule type="cellIs" dxfId="6085" priority="2007" operator="greaterThanOrEqual">
      <formula>0</formula>
    </cfRule>
    <cfRule type="cellIs" dxfId="6084" priority="2008" operator="lessThan">
      <formula>0</formula>
    </cfRule>
  </conditionalFormatting>
  <conditionalFormatting sqref="CW133:CW134 CW136:CW137 CW139:CW140 CW149:CW150 CW142:CW143 CW152:CW153 CW155:CW156 CW158:CW159 CW168:CW169">
    <cfRule type="cellIs" dxfId="6083" priority="2005" operator="lessThan">
      <formula>0</formula>
    </cfRule>
    <cfRule type="cellIs" dxfId="6082" priority="2006" operator="greaterThanOrEqual">
      <formula>0</formula>
    </cfRule>
  </conditionalFormatting>
  <conditionalFormatting sqref="CW135 CW138 CW141 CW151 CW144 CW154 CW157 CW160 CW186">
    <cfRule type="cellIs" dxfId="6081" priority="2004" operator="greaterThanOrEqual">
      <formula>0</formula>
    </cfRule>
  </conditionalFormatting>
  <conditionalFormatting sqref="CW135 CW138 CW141 CW151 CW144 CW154 CW157 CW160 CW186">
    <cfRule type="cellIs" dxfId="6080" priority="2003" operator="lessThan">
      <formula>0</formula>
    </cfRule>
  </conditionalFormatting>
  <conditionalFormatting sqref="CW187">
    <cfRule type="cellIs" dxfId="6079" priority="2001" operator="greaterThanOrEqual">
      <formula>0</formula>
    </cfRule>
    <cfRule type="cellIs" dxfId="6078" priority="2002" operator="lessThan">
      <formula>0</formula>
    </cfRule>
  </conditionalFormatting>
  <conditionalFormatting sqref="CX133:CX134">
    <cfRule type="cellIs" dxfId="6077" priority="1999" operator="greaterThan">
      <formula>0</formula>
    </cfRule>
    <cfRule type="cellIs" dxfId="6076" priority="2000" operator="lessThanOrEqual">
      <formula>0</formula>
    </cfRule>
  </conditionalFormatting>
  <conditionalFormatting sqref="CX136:CX137">
    <cfRule type="cellIs" dxfId="6075" priority="1997" operator="greaterThan">
      <formula>0</formula>
    </cfRule>
    <cfRule type="cellIs" dxfId="6074" priority="1998" operator="lessThanOrEqual">
      <formula>0</formula>
    </cfRule>
  </conditionalFormatting>
  <conditionalFormatting sqref="CX139:CX140">
    <cfRule type="cellIs" dxfId="6073" priority="1995" operator="greaterThan">
      <formula>0</formula>
    </cfRule>
    <cfRule type="cellIs" dxfId="6072" priority="1996" operator="lessThanOrEqual">
      <formula>0</formula>
    </cfRule>
  </conditionalFormatting>
  <conditionalFormatting sqref="CX149:CX150">
    <cfRule type="cellIs" dxfId="6071" priority="1993" operator="greaterThan">
      <formula>0</formula>
    </cfRule>
    <cfRule type="cellIs" dxfId="6070" priority="1994" operator="lessThanOrEqual">
      <formula>0</formula>
    </cfRule>
  </conditionalFormatting>
  <conditionalFormatting sqref="CX142:CX143">
    <cfRule type="cellIs" dxfId="6069" priority="1991" operator="greaterThan">
      <formula>0</formula>
    </cfRule>
    <cfRule type="cellIs" dxfId="6068" priority="1992" operator="lessThanOrEqual">
      <formula>0</formula>
    </cfRule>
  </conditionalFormatting>
  <conditionalFormatting sqref="CX152:CX153">
    <cfRule type="cellIs" dxfId="6067" priority="1989" operator="greaterThan">
      <formula>0</formula>
    </cfRule>
    <cfRule type="cellIs" dxfId="6066" priority="1990" operator="lessThanOrEqual">
      <formula>0</formula>
    </cfRule>
  </conditionalFormatting>
  <conditionalFormatting sqref="CX155:CX156">
    <cfRule type="cellIs" dxfId="6065" priority="1987" operator="greaterThan">
      <formula>0</formula>
    </cfRule>
    <cfRule type="cellIs" dxfId="6064" priority="1988" operator="lessThanOrEqual">
      <formula>0</formula>
    </cfRule>
  </conditionalFormatting>
  <conditionalFormatting sqref="CX158:CX159 CX168:CX169">
    <cfRule type="cellIs" dxfId="6063" priority="1985" operator="lessThan">
      <formula>0</formula>
    </cfRule>
    <cfRule type="cellIs" dxfId="6062" priority="1986" operator="greaterThanOrEqual">
      <formula>0</formula>
    </cfRule>
  </conditionalFormatting>
  <conditionalFormatting sqref="CX135 CX138 CX141 CX151 CX144 CX154 CX157 CX160 CX186">
    <cfRule type="cellIs" dxfId="6061" priority="1984" operator="greaterThanOrEqual">
      <formula>0</formula>
    </cfRule>
  </conditionalFormatting>
  <conditionalFormatting sqref="CX135 CX138 CX141 CX151 CX144 CX154 CX157 CX160 CX186">
    <cfRule type="cellIs" dxfId="6060" priority="1983" operator="lessThan">
      <formula>0</formula>
    </cfRule>
  </conditionalFormatting>
  <conditionalFormatting sqref="CX187">
    <cfRule type="cellIs" dxfId="6059" priority="1981" operator="lessThan">
      <formula>0</formula>
    </cfRule>
    <cfRule type="cellIs" dxfId="6058" priority="1982" operator="greaterThanOrEqual">
      <formula>0</formula>
    </cfRule>
  </conditionalFormatting>
  <conditionalFormatting sqref="CQ172">
    <cfRule type="cellIs" dxfId="6057" priority="1979" operator="greaterThan">
      <formula>0</formula>
    </cfRule>
    <cfRule type="cellIs" dxfId="6056" priority="1980" operator="lessThanOrEqual">
      <formula>0</formula>
    </cfRule>
  </conditionalFormatting>
  <conditionalFormatting sqref="CP172">
    <cfRule type="cellIs" dxfId="6055" priority="1978" operator="greaterThanOrEqual">
      <formula>0</formula>
    </cfRule>
  </conditionalFormatting>
  <conditionalFormatting sqref="CP172">
    <cfRule type="cellIs" dxfId="6054" priority="1977" operator="lessThan">
      <formula>0</formula>
    </cfRule>
  </conditionalFormatting>
  <conditionalFormatting sqref="CT172">
    <cfRule type="cellIs" dxfId="6053" priority="1976" operator="greaterThanOrEqual">
      <formula>0</formula>
    </cfRule>
  </conditionalFormatting>
  <conditionalFormatting sqref="CT172">
    <cfRule type="cellIs" dxfId="6052" priority="1975" operator="lessThan">
      <formula>0</formula>
    </cfRule>
  </conditionalFormatting>
  <conditionalFormatting sqref="CW172">
    <cfRule type="cellIs" dxfId="6051" priority="1974" operator="greaterThanOrEqual">
      <formula>0</formula>
    </cfRule>
  </conditionalFormatting>
  <conditionalFormatting sqref="CW172">
    <cfRule type="cellIs" dxfId="6050" priority="1973" operator="lessThan">
      <formula>0</formula>
    </cfRule>
  </conditionalFormatting>
  <conditionalFormatting sqref="CX172">
    <cfRule type="cellIs" dxfId="6049" priority="1972" operator="greaterThanOrEqual">
      <formula>0</formula>
    </cfRule>
  </conditionalFormatting>
  <conditionalFormatting sqref="CX172">
    <cfRule type="cellIs" dxfId="6048" priority="1971" operator="lessThan">
      <formula>0</formula>
    </cfRule>
  </conditionalFormatting>
  <conditionalFormatting sqref="CP161">
    <cfRule type="cellIs" dxfId="6047" priority="1950" operator="greaterThanOrEqual">
      <formula>0</formula>
    </cfRule>
  </conditionalFormatting>
  <conditionalFormatting sqref="CP161">
    <cfRule type="cellIs" dxfId="6046" priority="1949" operator="lessThan">
      <formula>0</formula>
    </cfRule>
  </conditionalFormatting>
  <conditionalFormatting sqref="CQ145">
    <cfRule type="cellIs" dxfId="6045" priority="1969" operator="greaterThan">
      <formula>0</formula>
    </cfRule>
    <cfRule type="cellIs" dxfId="6044" priority="1970" operator="lessThanOrEqual">
      <formula>0</formula>
    </cfRule>
  </conditionalFormatting>
  <conditionalFormatting sqref="CP145">
    <cfRule type="cellIs" dxfId="6043" priority="1968" operator="greaterThanOrEqual">
      <formula>0</formula>
    </cfRule>
  </conditionalFormatting>
  <conditionalFormatting sqref="CP145">
    <cfRule type="cellIs" dxfId="6042" priority="1967" operator="lessThan">
      <formula>0</formula>
    </cfRule>
  </conditionalFormatting>
  <conditionalFormatting sqref="CT145">
    <cfRule type="cellIs" dxfId="6041" priority="1966" operator="greaterThanOrEqual">
      <formula>0</formula>
    </cfRule>
  </conditionalFormatting>
  <conditionalFormatting sqref="CT145">
    <cfRule type="cellIs" dxfId="6040" priority="1965" operator="lessThan">
      <formula>0</formula>
    </cfRule>
  </conditionalFormatting>
  <conditionalFormatting sqref="CW145">
    <cfRule type="cellIs" dxfId="6039" priority="1964" operator="greaterThanOrEqual">
      <formula>0</formula>
    </cfRule>
  </conditionalFormatting>
  <conditionalFormatting sqref="CW145">
    <cfRule type="cellIs" dxfId="6038" priority="1963" operator="lessThan">
      <formula>0</formula>
    </cfRule>
  </conditionalFormatting>
  <conditionalFormatting sqref="CT148">
    <cfRule type="cellIs" dxfId="6037" priority="1956" operator="greaterThanOrEqual">
      <formula>0</formula>
    </cfRule>
  </conditionalFormatting>
  <conditionalFormatting sqref="CT148">
    <cfRule type="cellIs" dxfId="6036" priority="1955" operator="lessThan">
      <formula>0</formula>
    </cfRule>
  </conditionalFormatting>
  <conditionalFormatting sqref="CW164">
    <cfRule type="cellIs" dxfId="6035" priority="1912" operator="greaterThanOrEqual">
      <formula>0</formula>
    </cfRule>
  </conditionalFormatting>
  <conditionalFormatting sqref="CW164">
    <cfRule type="cellIs" dxfId="6034" priority="1911" operator="lessThan">
      <formula>0</formula>
    </cfRule>
  </conditionalFormatting>
  <conditionalFormatting sqref="CW148:CX148">
    <cfRule type="cellIs" dxfId="6033" priority="1954" operator="greaterThanOrEqual">
      <formula>0</formula>
    </cfRule>
  </conditionalFormatting>
  <conditionalFormatting sqref="CW148:CX148">
    <cfRule type="cellIs" dxfId="6032" priority="1953" operator="lessThan">
      <formula>0</formula>
    </cfRule>
  </conditionalFormatting>
  <conditionalFormatting sqref="CQ167">
    <cfRule type="cellIs" dxfId="6031" priority="1907" operator="greaterThan">
      <formula>0</formula>
    </cfRule>
    <cfRule type="cellIs" dxfId="6030" priority="1908" operator="lessThanOrEqual">
      <formula>0</formula>
    </cfRule>
  </conditionalFormatting>
  <conditionalFormatting sqref="CP167">
    <cfRule type="cellIs" dxfId="6029" priority="1906" operator="greaterThanOrEqual">
      <formula>0</formula>
    </cfRule>
  </conditionalFormatting>
  <conditionalFormatting sqref="CP167">
    <cfRule type="cellIs" dxfId="6028" priority="1905" operator="lessThan">
      <formula>0</formula>
    </cfRule>
  </conditionalFormatting>
  <conditionalFormatting sqref="CQ170">
    <cfRule type="cellIs" dxfId="6027" priority="1897" operator="greaterThan">
      <formula>0</formula>
    </cfRule>
    <cfRule type="cellIs" dxfId="6026" priority="1898" operator="lessThanOrEqual">
      <formula>0</formula>
    </cfRule>
  </conditionalFormatting>
  <conditionalFormatting sqref="CP170">
    <cfRule type="cellIs" dxfId="6025" priority="1896" operator="greaterThanOrEqual">
      <formula>0</formula>
    </cfRule>
  </conditionalFormatting>
  <conditionalFormatting sqref="CP170">
    <cfRule type="cellIs" dxfId="6024" priority="1895" operator="lessThan">
      <formula>0</formula>
    </cfRule>
  </conditionalFormatting>
  <conditionalFormatting sqref="CW171:CX171">
    <cfRule type="cellIs" dxfId="6023" priority="1938" operator="greaterThanOrEqual">
      <formula>0</formula>
    </cfRule>
  </conditionalFormatting>
  <conditionalFormatting sqref="CW171:CX171">
    <cfRule type="cellIs" dxfId="6022" priority="1937" operator="lessThan">
      <formula>0</formula>
    </cfRule>
  </conditionalFormatting>
  <conditionalFormatting sqref="CP179">
    <cfRule type="cellIs" dxfId="6021" priority="1886" operator="greaterThanOrEqual">
      <formula>0</formula>
    </cfRule>
  </conditionalFormatting>
  <conditionalFormatting sqref="CP179">
    <cfRule type="cellIs" dxfId="6020" priority="1885" operator="lessThan">
      <formula>0</formula>
    </cfRule>
  </conditionalFormatting>
  <conditionalFormatting sqref="CQ148">
    <cfRule type="cellIs" dxfId="6019" priority="1959" operator="greaterThan">
      <formula>0</formula>
    </cfRule>
    <cfRule type="cellIs" dxfId="6018" priority="1960" operator="lessThanOrEqual">
      <formula>0</formula>
    </cfRule>
  </conditionalFormatting>
  <conditionalFormatting sqref="CP148">
    <cfRule type="cellIs" dxfId="6017" priority="1958" operator="greaterThanOrEqual">
      <formula>0</formula>
    </cfRule>
  </conditionalFormatting>
  <conditionalFormatting sqref="CP148">
    <cfRule type="cellIs" dxfId="6016" priority="1957" operator="lessThan">
      <formula>0</formula>
    </cfRule>
  </conditionalFormatting>
  <conditionalFormatting sqref="CT161">
    <cfRule type="cellIs" dxfId="6015" priority="1948" operator="greaterThanOrEqual">
      <formula>0</formula>
    </cfRule>
  </conditionalFormatting>
  <conditionalFormatting sqref="CT161">
    <cfRule type="cellIs" dxfId="6014" priority="1947" operator="lessThan">
      <formula>0</formula>
    </cfRule>
  </conditionalFormatting>
  <conditionalFormatting sqref="CW161:CX161">
    <cfRule type="cellIs" dxfId="6013" priority="1946" operator="greaterThanOrEqual">
      <formula>0</formula>
    </cfRule>
  </conditionalFormatting>
  <conditionalFormatting sqref="CW161:CX161">
    <cfRule type="cellIs" dxfId="6012" priority="1945" operator="lessThan">
      <formula>0</formula>
    </cfRule>
  </conditionalFormatting>
  <conditionalFormatting sqref="CQ161">
    <cfRule type="cellIs" dxfId="6011" priority="1951" operator="greaterThan">
      <formula>0</formula>
    </cfRule>
    <cfRule type="cellIs" dxfId="6010" priority="1952" operator="lessThanOrEqual">
      <formula>0</formula>
    </cfRule>
  </conditionalFormatting>
  <conditionalFormatting sqref="CT171">
    <cfRule type="cellIs" dxfId="6009" priority="1940" operator="greaterThanOrEqual">
      <formula>0</formula>
    </cfRule>
  </conditionalFormatting>
  <conditionalFormatting sqref="CT171">
    <cfRule type="cellIs" dxfId="6008" priority="1939" operator="lessThan">
      <formula>0</formula>
    </cfRule>
  </conditionalFormatting>
  <conditionalFormatting sqref="CX164">
    <cfRule type="cellIs" dxfId="6007" priority="1909" operator="lessThan">
      <formula>0</formula>
    </cfRule>
  </conditionalFormatting>
  <conditionalFormatting sqref="CX170">
    <cfRule type="cellIs" dxfId="6006" priority="1889" operator="lessThan">
      <formula>0</formula>
    </cfRule>
  </conditionalFormatting>
  <conditionalFormatting sqref="CT164">
    <cfRule type="cellIs" dxfId="6005" priority="1914" operator="greaterThanOrEqual">
      <formula>0</formula>
    </cfRule>
  </conditionalFormatting>
  <conditionalFormatting sqref="CT164">
    <cfRule type="cellIs" dxfId="6004" priority="1913" operator="lessThan">
      <formula>0</formula>
    </cfRule>
  </conditionalFormatting>
  <conditionalFormatting sqref="CX164">
    <cfRule type="cellIs" dxfId="6003" priority="1910" operator="greaterThanOrEqual">
      <formula>0</formula>
    </cfRule>
  </conditionalFormatting>
  <conditionalFormatting sqref="CX179">
    <cfRule type="cellIs" dxfId="6002" priority="1879" operator="lessThan">
      <formula>0</formula>
    </cfRule>
  </conditionalFormatting>
  <conditionalFormatting sqref="CQ162:CQ163 CQ165:CQ166">
    <cfRule type="cellIs" dxfId="6001" priority="1935" operator="greaterThan">
      <formula>0</formula>
    </cfRule>
    <cfRule type="cellIs" dxfId="6000" priority="1936" operator="lessThanOrEqual">
      <formula>0</formula>
    </cfRule>
  </conditionalFormatting>
  <conditionalFormatting sqref="CP162:CP163 CP165:CP166">
    <cfRule type="cellIs" dxfId="5999" priority="1933" operator="lessThan">
      <formula>0</formula>
    </cfRule>
    <cfRule type="cellIs" dxfId="5998" priority="1934" operator="greaterThanOrEqual">
      <formula>0</formula>
    </cfRule>
  </conditionalFormatting>
  <conditionalFormatting sqref="CT162:CT163 CT165:CT166">
    <cfRule type="cellIs" dxfId="5997" priority="1931" operator="lessThan">
      <formula>0</formula>
    </cfRule>
    <cfRule type="cellIs" dxfId="5996" priority="1932" operator="greaterThanOrEqual">
      <formula>0</formula>
    </cfRule>
  </conditionalFormatting>
  <conditionalFormatting sqref="CW162:CW163 CW165:CW166">
    <cfRule type="cellIs" dxfId="5995" priority="1929" operator="lessThan">
      <formula>0</formula>
    </cfRule>
    <cfRule type="cellIs" dxfId="5994" priority="1930" operator="greaterThanOrEqual">
      <formula>0</formula>
    </cfRule>
  </conditionalFormatting>
  <conditionalFormatting sqref="CX162:CX163 CX165:CX166">
    <cfRule type="cellIs" dxfId="5993" priority="1927" operator="lessThan">
      <formula>0</formula>
    </cfRule>
    <cfRule type="cellIs" dxfId="5992" priority="1928" operator="greaterThanOrEqual">
      <formula>0</formula>
    </cfRule>
  </conditionalFormatting>
  <conditionalFormatting sqref="CT177:CT178 CT180:CT181">
    <cfRule type="cellIs" dxfId="5991" priority="1921" operator="lessThan">
      <formula>0</formula>
    </cfRule>
    <cfRule type="cellIs" dxfId="5990" priority="1922" operator="greaterThanOrEqual">
      <formula>0</formula>
    </cfRule>
  </conditionalFormatting>
  <conditionalFormatting sqref="CW177:CX178 CW180:CX181">
    <cfRule type="cellIs" dxfId="5989" priority="1919" operator="lessThan">
      <formula>0</formula>
    </cfRule>
    <cfRule type="cellIs" dxfId="5988" priority="1920" operator="greaterThanOrEqual">
      <formula>0</formula>
    </cfRule>
  </conditionalFormatting>
  <conditionalFormatting sqref="CQ177:CQ178 CQ180:CQ181">
    <cfRule type="cellIs" dxfId="5987" priority="1925" operator="greaterThan">
      <formula>0</formula>
    </cfRule>
    <cfRule type="cellIs" dxfId="5986" priority="1926" operator="lessThanOrEqual">
      <formula>0</formula>
    </cfRule>
  </conditionalFormatting>
  <conditionalFormatting sqref="CP177:CP178 CP180:CP181">
    <cfRule type="cellIs" dxfId="5985" priority="1923" operator="lessThan">
      <formula>0</formula>
    </cfRule>
    <cfRule type="cellIs" dxfId="5984" priority="1924" operator="greaterThanOrEqual">
      <formula>0</formula>
    </cfRule>
  </conditionalFormatting>
  <conditionalFormatting sqref="CQ179">
    <cfRule type="cellIs" dxfId="5983" priority="1887" operator="greaterThan">
      <formula>0</formula>
    </cfRule>
    <cfRule type="cellIs" dxfId="5982" priority="1888" operator="lessThanOrEqual">
      <formula>0</formula>
    </cfRule>
  </conditionalFormatting>
  <conditionalFormatting sqref="CP182">
    <cfRule type="cellIs" dxfId="5981" priority="1876" operator="greaterThanOrEqual">
      <formula>0</formula>
    </cfRule>
  </conditionalFormatting>
  <conditionalFormatting sqref="CP182">
    <cfRule type="cellIs" dxfId="5980" priority="1875" operator="lessThan">
      <formula>0</formula>
    </cfRule>
  </conditionalFormatting>
  <conditionalFormatting sqref="CT167">
    <cfRule type="cellIs" dxfId="5979" priority="1904" operator="greaterThanOrEqual">
      <formula>0</formula>
    </cfRule>
  </conditionalFormatting>
  <conditionalFormatting sqref="CT167">
    <cfRule type="cellIs" dxfId="5978" priority="1903" operator="lessThan">
      <formula>0</formula>
    </cfRule>
  </conditionalFormatting>
  <conditionalFormatting sqref="CW167">
    <cfRule type="cellIs" dxfId="5977" priority="1902" operator="greaterThanOrEqual">
      <formula>0</formula>
    </cfRule>
  </conditionalFormatting>
  <conditionalFormatting sqref="CW167">
    <cfRule type="cellIs" dxfId="5976" priority="1901" operator="lessThan">
      <formula>0</formula>
    </cfRule>
  </conditionalFormatting>
  <conditionalFormatting sqref="CX182">
    <cfRule type="cellIs" dxfId="5975" priority="1869" operator="lessThan">
      <formula>0</formula>
    </cfRule>
  </conditionalFormatting>
  <conditionalFormatting sqref="CQ182">
    <cfRule type="cellIs" dxfId="5974" priority="1877" operator="greaterThan">
      <formula>0</formula>
    </cfRule>
    <cfRule type="cellIs" dxfId="5973" priority="1878" operator="lessThanOrEqual">
      <formula>0</formula>
    </cfRule>
  </conditionalFormatting>
  <conditionalFormatting sqref="CP185">
    <cfRule type="cellIs" dxfId="5972" priority="1866" operator="greaterThanOrEqual">
      <formula>0</formula>
    </cfRule>
  </conditionalFormatting>
  <conditionalFormatting sqref="CP185">
    <cfRule type="cellIs" dxfId="5971" priority="1865" operator="lessThan">
      <formula>0</formula>
    </cfRule>
  </conditionalFormatting>
  <conditionalFormatting sqref="CW170">
    <cfRule type="cellIs" dxfId="5970" priority="1892" operator="greaterThanOrEqual">
      <formula>0</formula>
    </cfRule>
  </conditionalFormatting>
  <conditionalFormatting sqref="CW170">
    <cfRule type="cellIs" dxfId="5969" priority="1891" operator="lessThan">
      <formula>0</formula>
    </cfRule>
  </conditionalFormatting>
  <conditionalFormatting sqref="CX185">
    <cfRule type="cellIs" dxfId="5968" priority="1859" operator="lessThan">
      <formula>0</formula>
    </cfRule>
  </conditionalFormatting>
  <conditionalFormatting sqref="CT170">
    <cfRule type="cellIs" dxfId="5967" priority="1894" operator="greaterThanOrEqual">
      <formula>0</formula>
    </cfRule>
  </conditionalFormatting>
  <conditionalFormatting sqref="CT170">
    <cfRule type="cellIs" dxfId="5966" priority="1893" operator="lessThan">
      <formula>0</formula>
    </cfRule>
  </conditionalFormatting>
  <conditionalFormatting sqref="CX170">
    <cfRule type="cellIs" dxfId="5965" priority="1890" operator="greaterThanOrEqual">
      <formula>0</formula>
    </cfRule>
  </conditionalFormatting>
  <conditionalFormatting sqref="CQ185">
    <cfRule type="cellIs" dxfId="5964" priority="1867" operator="greaterThan">
      <formula>0</formula>
    </cfRule>
    <cfRule type="cellIs" dxfId="5963" priority="1868" operator="lessThanOrEqual">
      <formula>0</formula>
    </cfRule>
  </conditionalFormatting>
  <conditionalFormatting sqref="CT179">
    <cfRule type="cellIs" dxfId="5962" priority="1884" operator="greaterThanOrEqual">
      <formula>0</formula>
    </cfRule>
  </conditionalFormatting>
  <conditionalFormatting sqref="CT179">
    <cfRule type="cellIs" dxfId="5961" priority="1883" operator="lessThan">
      <formula>0</formula>
    </cfRule>
  </conditionalFormatting>
  <conditionalFormatting sqref="CW179">
    <cfRule type="cellIs" dxfId="5960" priority="1882" operator="greaterThanOrEqual">
      <formula>0</formula>
    </cfRule>
  </conditionalFormatting>
  <conditionalFormatting sqref="CW179">
    <cfRule type="cellIs" dxfId="5959" priority="1881" operator="lessThan">
      <formula>0</formula>
    </cfRule>
  </conditionalFormatting>
  <conditionalFormatting sqref="CX179">
    <cfRule type="cellIs" dxfId="5958" priority="1880" operator="greaterThanOrEqual">
      <formula>0</formula>
    </cfRule>
  </conditionalFormatting>
  <conditionalFormatting sqref="CW182">
    <cfRule type="cellIs" dxfId="5957" priority="1872" operator="greaterThanOrEqual">
      <formula>0</formula>
    </cfRule>
  </conditionalFormatting>
  <conditionalFormatting sqref="CW182">
    <cfRule type="cellIs" dxfId="5956" priority="1871" operator="lessThan">
      <formula>0</formula>
    </cfRule>
  </conditionalFormatting>
  <conditionalFormatting sqref="CX182">
    <cfRule type="cellIs" dxfId="5955" priority="1870" operator="greaterThanOrEqual">
      <formula>0</formula>
    </cfRule>
  </conditionalFormatting>
  <conditionalFormatting sqref="CW185">
    <cfRule type="cellIs" dxfId="5954" priority="1862" operator="greaterThanOrEqual">
      <formula>0</formula>
    </cfRule>
  </conditionalFormatting>
  <conditionalFormatting sqref="CW185">
    <cfRule type="cellIs" dxfId="5953" priority="1861" operator="lessThan">
      <formula>0</formula>
    </cfRule>
  </conditionalFormatting>
  <conditionalFormatting sqref="CX185">
    <cfRule type="cellIs" dxfId="5952" priority="1860" operator="greaterThanOrEqual">
      <formula>0</formula>
    </cfRule>
  </conditionalFormatting>
  <conditionalFormatting sqref="CQ25">
    <cfRule type="cellIs" dxfId="5951" priority="1857" operator="greaterThan">
      <formula>0</formula>
    </cfRule>
    <cfRule type="cellIs" dxfId="5950" priority="1858" operator="lessThanOrEqual">
      <formula>0</formula>
    </cfRule>
  </conditionalFormatting>
  <conditionalFormatting sqref="CX52">
    <cfRule type="cellIs" dxfId="5949" priority="1845" operator="lessThan">
      <formula>0</formula>
    </cfRule>
  </conditionalFormatting>
  <conditionalFormatting sqref="CQ56">
    <cfRule type="cellIs" dxfId="5948" priority="1855" operator="greaterThan">
      <formula>0</formula>
    </cfRule>
    <cfRule type="cellIs" dxfId="5947" priority="1856" operator="lessThanOrEqual">
      <formula>0</formula>
    </cfRule>
  </conditionalFormatting>
  <conditionalFormatting sqref="CP56">
    <cfRule type="cellIs" dxfId="5946" priority="1854" operator="greaterThanOrEqual">
      <formula>0</formula>
    </cfRule>
  </conditionalFormatting>
  <conditionalFormatting sqref="CP56">
    <cfRule type="cellIs" dxfId="5945" priority="1853" operator="lessThan">
      <formula>0</formula>
    </cfRule>
  </conditionalFormatting>
  <conditionalFormatting sqref="CQ52">
    <cfRule type="cellIs" dxfId="5944" priority="1851" operator="greaterThan">
      <formula>0</formula>
    </cfRule>
    <cfRule type="cellIs" dxfId="5943" priority="1852" operator="lessThanOrEqual">
      <formula>0</formula>
    </cfRule>
  </conditionalFormatting>
  <conditionalFormatting sqref="CP52">
    <cfRule type="cellIs" dxfId="5942" priority="1850" operator="greaterThanOrEqual">
      <formula>0</formula>
    </cfRule>
  </conditionalFormatting>
  <conditionalFormatting sqref="CP52">
    <cfRule type="cellIs" dxfId="5941" priority="1849" operator="lessThan">
      <formula>0</formula>
    </cfRule>
  </conditionalFormatting>
  <conditionalFormatting sqref="CW52">
    <cfRule type="cellIs" dxfId="5940" priority="1848" operator="greaterThanOrEqual">
      <formula>0</formula>
    </cfRule>
  </conditionalFormatting>
  <conditionalFormatting sqref="CW52">
    <cfRule type="cellIs" dxfId="5939" priority="1847" operator="lessThan">
      <formula>0</formula>
    </cfRule>
  </conditionalFormatting>
  <conditionalFormatting sqref="CX52">
    <cfRule type="cellIs" dxfId="5938" priority="1846" operator="greaterThanOrEqual">
      <formula>0</formula>
    </cfRule>
  </conditionalFormatting>
  <conditionalFormatting sqref="CQ69">
    <cfRule type="cellIs" dxfId="5937" priority="1843" operator="greaterThan">
      <formula>0</formula>
    </cfRule>
    <cfRule type="cellIs" dxfId="5936" priority="1844" operator="lessThanOrEqual">
      <formula>0</formula>
    </cfRule>
  </conditionalFormatting>
  <conditionalFormatting sqref="CW69">
    <cfRule type="cellIs" dxfId="5935" priority="1841" operator="lessThan">
      <formula>0</formula>
    </cfRule>
    <cfRule type="cellIs" dxfId="5934" priority="1842" operator="greaterThanOrEqual">
      <formula>0</formula>
    </cfRule>
  </conditionalFormatting>
  <conditionalFormatting sqref="CX69">
    <cfRule type="cellIs" dxfId="5933" priority="1839" operator="lessThan">
      <formula>0</formula>
    </cfRule>
    <cfRule type="cellIs" dxfId="5932" priority="1840" operator="greaterThanOrEqual">
      <formula>0</formula>
    </cfRule>
  </conditionalFormatting>
  <conditionalFormatting sqref="CQ70">
    <cfRule type="cellIs" dxfId="5931" priority="1837" operator="greaterThan">
      <formula>0</formula>
    </cfRule>
    <cfRule type="cellIs" dxfId="5930" priority="1838" operator="lessThanOrEqual">
      <formula>0</formula>
    </cfRule>
  </conditionalFormatting>
  <conditionalFormatting sqref="CW72">
    <cfRule type="cellIs" dxfId="5929" priority="1835" operator="lessThan">
      <formula>0</formula>
    </cfRule>
    <cfRule type="cellIs" dxfId="5928" priority="1836" operator="greaterThanOrEqual">
      <formula>0</formula>
    </cfRule>
  </conditionalFormatting>
  <conditionalFormatting sqref="CQ72">
    <cfRule type="cellIs" dxfId="5927" priority="1833" operator="greaterThan">
      <formula>0</formula>
    </cfRule>
    <cfRule type="cellIs" dxfId="5926" priority="1834" operator="lessThanOrEqual">
      <formula>0</formula>
    </cfRule>
  </conditionalFormatting>
  <conditionalFormatting sqref="CP25">
    <cfRule type="cellIs" dxfId="5925" priority="1832" operator="greaterThanOrEqual">
      <formula>0</formula>
    </cfRule>
  </conditionalFormatting>
  <conditionalFormatting sqref="CP25">
    <cfRule type="cellIs" dxfId="5924" priority="1831" operator="lessThan">
      <formula>0</formula>
    </cfRule>
  </conditionalFormatting>
  <conditionalFormatting sqref="CP28">
    <cfRule type="cellIs" dxfId="5923" priority="1830" operator="greaterThanOrEqual">
      <formula>0</formula>
    </cfRule>
  </conditionalFormatting>
  <conditionalFormatting sqref="CP28">
    <cfRule type="cellIs" dxfId="5922" priority="1829" operator="lessThan">
      <formula>0</formula>
    </cfRule>
  </conditionalFormatting>
  <conditionalFormatting sqref="CP41">
    <cfRule type="cellIs" dxfId="5921" priority="1828" operator="greaterThanOrEqual">
      <formula>0</formula>
    </cfRule>
  </conditionalFormatting>
  <conditionalFormatting sqref="CP41">
    <cfRule type="cellIs" dxfId="5920" priority="1827" operator="lessThan">
      <formula>0</formula>
    </cfRule>
  </conditionalFormatting>
  <conditionalFormatting sqref="CP44">
    <cfRule type="cellIs" dxfId="5919" priority="1826" operator="greaterThanOrEqual">
      <formula>0</formula>
    </cfRule>
  </conditionalFormatting>
  <conditionalFormatting sqref="CP44">
    <cfRule type="cellIs" dxfId="5918" priority="1825" operator="lessThan">
      <formula>0</formula>
    </cfRule>
  </conditionalFormatting>
  <conditionalFormatting sqref="CP47">
    <cfRule type="cellIs" dxfId="5917" priority="1824" operator="greaterThanOrEqual">
      <formula>0</formula>
    </cfRule>
  </conditionalFormatting>
  <conditionalFormatting sqref="CP47">
    <cfRule type="cellIs" dxfId="5916" priority="1823" operator="lessThan">
      <formula>0</formula>
    </cfRule>
  </conditionalFormatting>
  <conditionalFormatting sqref="CP50">
    <cfRule type="cellIs" dxfId="5915" priority="1822" operator="greaterThanOrEqual">
      <formula>0</formula>
    </cfRule>
  </conditionalFormatting>
  <conditionalFormatting sqref="CP50">
    <cfRule type="cellIs" dxfId="5914" priority="1821" operator="lessThan">
      <formula>0</formula>
    </cfRule>
  </conditionalFormatting>
  <conditionalFormatting sqref="CP51">
    <cfRule type="cellIs" dxfId="5913" priority="1820" operator="greaterThanOrEqual">
      <formula>0</formula>
    </cfRule>
  </conditionalFormatting>
  <conditionalFormatting sqref="CP51">
    <cfRule type="cellIs" dxfId="5912" priority="1819" operator="lessThan">
      <formula>0</formula>
    </cfRule>
  </conditionalFormatting>
  <conditionalFormatting sqref="CP59">
    <cfRule type="cellIs" dxfId="5911" priority="1818" operator="greaterThanOrEqual">
      <formula>0</formula>
    </cfRule>
  </conditionalFormatting>
  <conditionalFormatting sqref="CP59">
    <cfRule type="cellIs" dxfId="5910" priority="1817" operator="lessThan">
      <formula>0</formula>
    </cfRule>
  </conditionalFormatting>
  <conditionalFormatting sqref="CP65">
    <cfRule type="cellIs" dxfId="5909" priority="1816" operator="greaterThanOrEqual">
      <formula>0</formula>
    </cfRule>
  </conditionalFormatting>
  <conditionalFormatting sqref="CP65">
    <cfRule type="cellIs" dxfId="5908" priority="1815" operator="lessThan">
      <formula>0</formula>
    </cfRule>
  </conditionalFormatting>
  <conditionalFormatting sqref="CP66">
    <cfRule type="cellIs" dxfId="5907" priority="1814" operator="greaterThanOrEqual">
      <formula>0</formula>
    </cfRule>
  </conditionalFormatting>
  <conditionalFormatting sqref="CP66">
    <cfRule type="cellIs" dxfId="5906" priority="1813" operator="lessThan">
      <formula>0</formula>
    </cfRule>
  </conditionalFormatting>
  <conditionalFormatting sqref="CP68:CP70">
    <cfRule type="cellIs" dxfId="5905" priority="1811" operator="lessThan">
      <formula>0</formula>
    </cfRule>
    <cfRule type="cellIs" dxfId="5904" priority="1812" operator="greaterThanOrEqual">
      <formula>0</formula>
    </cfRule>
  </conditionalFormatting>
  <conditionalFormatting sqref="CP71:CP72">
    <cfRule type="cellIs" dxfId="5903" priority="1810" operator="greaterThanOrEqual">
      <formula>0</formula>
    </cfRule>
  </conditionalFormatting>
  <conditionalFormatting sqref="CP71:CP72">
    <cfRule type="cellIs" dxfId="5902" priority="1809" operator="lessThan">
      <formula>0</formula>
    </cfRule>
  </conditionalFormatting>
  <conditionalFormatting sqref="CP73">
    <cfRule type="cellIs" dxfId="5901" priority="1808" operator="greaterThanOrEqual">
      <formula>0</formula>
    </cfRule>
  </conditionalFormatting>
  <conditionalFormatting sqref="CP73">
    <cfRule type="cellIs" dxfId="5900" priority="1807" operator="lessThan">
      <formula>0</formula>
    </cfRule>
  </conditionalFormatting>
  <conditionalFormatting sqref="CP42:CP43">
    <cfRule type="cellIs" dxfId="5899" priority="1805" operator="lessThan">
      <formula>0</formula>
    </cfRule>
    <cfRule type="cellIs" dxfId="5898" priority="1806" operator="greaterThanOrEqual">
      <formula>0</formula>
    </cfRule>
  </conditionalFormatting>
  <conditionalFormatting sqref="CP45:CP46">
    <cfRule type="cellIs" dxfId="5897" priority="1803" operator="lessThan">
      <formula>0</formula>
    </cfRule>
    <cfRule type="cellIs" dxfId="5896" priority="1804" operator="greaterThanOrEqual">
      <formula>0</formula>
    </cfRule>
  </conditionalFormatting>
  <conditionalFormatting sqref="CP57:CP58">
    <cfRule type="cellIs" dxfId="5895" priority="1801" operator="lessThan">
      <formula>0</formula>
    </cfRule>
    <cfRule type="cellIs" dxfId="5894" priority="1802" operator="greaterThanOrEqual">
      <formula>0</formula>
    </cfRule>
  </conditionalFormatting>
  <conditionalFormatting sqref="CP60:CP61">
    <cfRule type="cellIs" dxfId="5893" priority="1799" operator="lessThan">
      <formula>0</formula>
    </cfRule>
    <cfRule type="cellIs" dxfId="5892" priority="1800" operator="greaterThanOrEqual">
      <formula>0</formula>
    </cfRule>
  </conditionalFormatting>
  <conditionalFormatting sqref="CP63:CP64">
    <cfRule type="cellIs" dxfId="5891" priority="1797" operator="lessThan">
      <formula>0</formula>
    </cfRule>
    <cfRule type="cellIs" dxfId="5890" priority="1798" operator="greaterThanOrEqual">
      <formula>0</formula>
    </cfRule>
  </conditionalFormatting>
  <conditionalFormatting sqref="CU13:CU14">
    <cfRule type="cellIs" dxfId="5889" priority="1795" operator="greaterThan">
      <formula>0</formula>
    </cfRule>
    <cfRule type="cellIs" dxfId="5888" priority="1796" operator="lessThanOrEqual">
      <formula>0</formula>
    </cfRule>
  </conditionalFormatting>
  <conditionalFormatting sqref="CU16:CU17">
    <cfRule type="cellIs" dxfId="5887" priority="1793" operator="greaterThan">
      <formula>0</formula>
    </cfRule>
    <cfRule type="cellIs" dxfId="5886" priority="1794" operator="lessThanOrEqual">
      <formula>0</formula>
    </cfRule>
  </conditionalFormatting>
  <conditionalFormatting sqref="CU19:CU20">
    <cfRule type="cellIs" dxfId="5885" priority="1791" operator="greaterThan">
      <formula>0</formula>
    </cfRule>
    <cfRule type="cellIs" dxfId="5884" priority="1792" operator="lessThanOrEqual">
      <formula>0</formula>
    </cfRule>
  </conditionalFormatting>
  <conditionalFormatting sqref="CU29:CU30">
    <cfRule type="cellIs" dxfId="5883" priority="1789" operator="greaterThan">
      <formula>0</formula>
    </cfRule>
    <cfRule type="cellIs" dxfId="5882" priority="1790" operator="lessThanOrEqual">
      <formula>0</formula>
    </cfRule>
  </conditionalFormatting>
  <conditionalFormatting sqref="CU22:CU23">
    <cfRule type="cellIs" dxfId="5881" priority="1787" operator="greaterThan">
      <formula>0</formula>
    </cfRule>
    <cfRule type="cellIs" dxfId="5880" priority="1788" operator="lessThanOrEqual">
      <formula>0</formula>
    </cfRule>
  </conditionalFormatting>
  <conditionalFormatting sqref="CU32:CU33">
    <cfRule type="cellIs" dxfId="5879" priority="1785" operator="greaterThan">
      <formula>0</formula>
    </cfRule>
    <cfRule type="cellIs" dxfId="5878" priority="1786" operator="lessThanOrEqual">
      <formula>0</formula>
    </cfRule>
  </conditionalFormatting>
  <conditionalFormatting sqref="CU35:CU36">
    <cfRule type="cellIs" dxfId="5877" priority="1783" operator="greaterThan">
      <formula>0</formula>
    </cfRule>
    <cfRule type="cellIs" dxfId="5876" priority="1784" operator="lessThanOrEqual">
      <formula>0</formula>
    </cfRule>
  </conditionalFormatting>
  <conditionalFormatting sqref="CU38:CU39">
    <cfRule type="cellIs" dxfId="5875" priority="1781" operator="greaterThan">
      <formula>0</formula>
    </cfRule>
    <cfRule type="cellIs" dxfId="5874" priority="1782" operator="lessThanOrEqual">
      <formula>0</formula>
    </cfRule>
  </conditionalFormatting>
  <conditionalFormatting sqref="CU48:CU49">
    <cfRule type="cellIs" dxfId="5873" priority="1779" operator="greaterThan">
      <formula>0</formula>
    </cfRule>
    <cfRule type="cellIs" dxfId="5872" priority="1780" operator="lessThanOrEqual">
      <formula>0</formula>
    </cfRule>
  </conditionalFormatting>
  <conditionalFormatting sqref="CU63:CU64">
    <cfRule type="cellIs" dxfId="5871" priority="1777" operator="greaterThan">
      <formula>0</formula>
    </cfRule>
    <cfRule type="cellIs" dxfId="5870" priority="1778" operator="lessThanOrEqual">
      <formula>0</formula>
    </cfRule>
  </conditionalFormatting>
  <conditionalFormatting sqref="CU53:CU54">
    <cfRule type="cellIs" dxfId="5869" priority="1775" operator="greaterThan">
      <formula>0</formula>
    </cfRule>
    <cfRule type="cellIs" dxfId="5868" priority="1776" operator="lessThanOrEqual">
      <formula>0</formula>
    </cfRule>
  </conditionalFormatting>
  <conditionalFormatting sqref="CU15">
    <cfRule type="cellIs" dxfId="5867" priority="1773" operator="greaterThan">
      <formula>0</formula>
    </cfRule>
    <cfRule type="cellIs" dxfId="5866" priority="1774" operator="lessThanOrEqual">
      <formula>0</formula>
    </cfRule>
  </conditionalFormatting>
  <conditionalFormatting sqref="CU18">
    <cfRule type="cellIs" dxfId="5865" priority="1771" operator="greaterThan">
      <formula>0</formula>
    </cfRule>
    <cfRule type="cellIs" dxfId="5864" priority="1772" operator="lessThanOrEqual">
      <formula>0</formula>
    </cfRule>
  </conditionalFormatting>
  <conditionalFormatting sqref="CU21">
    <cfRule type="cellIs" dxfId="5863" priority="1769" operator="greaterThan">
      <formula>0</formula>
    </cfRule>
    <cfRule type="cellIs" dxfId="5862" priority="1770" operator="lessThanOrEqual">
      <formula>0</formula>
    </cfRule>
  </conditionalFormatting>
  <conditionalFormatting sqref="CU31">
    <cfRule type="cellIs" dxfId="5861" priority="1767" operator="greaterThan">
      <formula>0</formula>
    </cfRule>
    <cfRule type="cellIs" dxfId="5860" priority="1768" operator="lessThanOrEqual">
      <formula>0</formula>
    </cfRule>
  </conditionalFormatting>
  <conditionalFormatting sqref="CU24">
    <cfRule type="cellIs" dxfId="5859" priority="1765" operator="greaterThan">
      <formula>0</formula>
    </cfRule>
    <cfRule type="cellIs" dxfId="5858" priority="1766" operator="lessThanOrEqual">
      <formula>0</formula>
    </cfRule>
  </conditionalFormatting>
  <conditionalFormatting sqref="CU34">
    <cfRule type="cellIs" dxfId="5857" priority="1763" operator="greaterThan">
      <formula>0</formula>
    </cfRule>
    <cfRule type="cellIs" dxfId="5856" priority="1764" operator="lessThanOrEqual">
      <formula>0</formula>
    </cfRule>
  </conditionalFormatting>
  <conditionalFormatting sqref="CU37">
    <cfRule type="cellIs" dxfId="5855" priority="1761" operator="greaterThan">
      <formula>0</formula>
    </cfRule>
    <cfRule type="cellIs" dxfId="5854" priority="1762" operator="lessThanOrEqual">
      <formula>0</formula>
    </cfRule>
  </conditionalFormatting>
  <conditionalFormatting sqref="CU40">
    <cfRule type="cellIs" dxfId="5853" priority="1759" operator="greaterThan">
      <formula>0</formula>
    </cfRule>
    <cfRule type="cellIs" dxfId="5852" priority="1760" operator="lessThanOrEqual">
      <formula>0</formula>
    </cfRule>
  </conditionalFormatting>
  <conditionalFormatting sqref="CU26">
    <cfRule type="cellIs" dxfId="5851" priority="1757" operator="greaterThan">
      <formula>0</formula>
    </cfRule>
    <cfRule type="cellIs" dxfId="5850" priority="1758" operator="lessThanOrEqual">
      <formula>0</formula>
    </cfRule>
  </conditionalFormatting>
  <conditionalFormatting sqref="CU66">
    <cfRule type="cellIs" dxfId="5849" priority="1755" operator="greaterThan">
      <formula>0</formula>
    </cfRule>
    <cfRule type="cellIs" dxfId="5848" priority="1756" operator="lessThanOrEqual">
      <formula>0</formula>
    </cfRule>
  </conditionalFormatting>
  <conditionalFormatting sqref="CT13:CT14 CT16:CT17 CT19:CT20 CT22:CT23 CT29:CT30 CT32:CT33 CT35:CT36 CT38:CT39 CT48:CT49 CT53:CT54">
    <cfRule type="cellIs" dxfId="5847" priority="1753" operator="lessThan">
      <formula>0</formula>
    </cfRule>
    <cfRule type="cellIs" dxfId="5846" priority="1754" operator="greaterThanOrEqual">
      <formula>0</formula>
    </cfRule>
  </conditionalFormatting>
  <conditionalFormatting sqref="CT15 CT18 CT21 CT24 CT26 CT31 CT34 CT37 CT40">
    <cfRule type="cellIs" dxfId="5845" priority="1752" operator="greaterThanOrEqual">
      <formula>0</formula>
    </cfRule>
  </conditionalFormatting>
  <conditionalFormatting sqref="CT15 CT18 CT21 CT24 CT26 CT31 CT34 CT37 CT40">
    <cfRule type="cellIs" dxfId="5844" priority="1751" operator="lessThan">
      <formula>0</formula>
    </cfRule>
  </conditionalFormatting>
  <conditionalFormatting sqref="CU51">
    <cfRule type="cellIs" dxfId="5843" priority="1745" operator="greaterThan">
      <formula>0</formula>
    </cfRule>
    <cfRule type="cellIs" dxfId="5842" priority="1746" operator="lessThanOrEqual">
      <formula>0</formula>
    </cfRule>
  </conditionalFormatting>
  <conditionalFormatting sqref="CU44">
    <cfRule type="cellIs" dxfId="5841" priority="1739" operator="greaterThan">
      <formula>0</formula>
    </cfRule>
    <cfRule type="cellIs" dxfId="5840" priority="1740" operator="lessThanOrEqual">
      <formula>0</formula>
    </cfRule>
  </conditionalFormatting>
  <conditionalFormatting sqref="CU50">
    <cfRule type="cellIs" dxfId="5839" priority="1735" operator="greaterThan">
      <formula>0</formula>
    </cfRule>
    <cfRule type="cellIs" dxfId="5838" priority="1736" operator="lessThanOrEqual">
      <formula>0</formula>
    </cfRule>
  </conditionalFormatting>
  <conditionalFormatting sqref="CU28">
    <cfRule type="cellIs" dxfId="5837" priority="1749" operator="greaterThan">
      <formula>0</formula>
    </cfRule>
    <cfRule type="cellIs" dxfId="5836" priority="1750" operator="lessThanOrEqual">
      <formula>0</formula>
    </cfRule>
  </conditionalFormatting>
  <conditionalFormatting sqref="CU41">
    <cfRule type="cellIs" dxfId="5835" priority="1747" operator="greaterThan">
      <formula>0</formula>
    </cfRule>
    <cfRule type="cellIs" dxfId="5834" priority="1748" operator="lessThanOrEqual">
      <formula>0</formula>
    </cfRule>
  </conditionalFormatting>
  <conditionalFormatting sqref="CU42:CU43 CU45:CU46">
    <cfRule type="cellIs" dxfId="5833" priority="1743" operator="greaterThan">
      <formula>0</formula>
    </cfRule>
    <cfRule type="cellIs" dxfId="5832" priority="1744" operator="lessThanOrEqual">
      <formula>0</formula>
    </cfRule>
  </conditionalFormatting>
  <conditionalFormatting sqref="CU57:CU58 CU60:CU61">
    <cfRule type="cellIs" dxfId="5831" priority="1741" operator="greaterThan">
      <formula>0</formula>
    </cfRule>
    <cfRule type="cellIs" dxfId="5830" priority="1742" operator="lessThanOrEqual">
      <formula>0</formula>
    </cfRule>
  </conditionalFormatting>
  <conditionalFormatting sqref="CU62">
    <cfRule type="cellIs" dxfId="5829" priority="1731" operator="greaterThan">
      <formula>0</formula>
    </cfRule>
    <cfRule type="cellIs" dxfId="5828" priority="1732" operator="lessThanOrEqual">
      <formula>0</formula>
    </cfRule>
  </conditionalFormatting>
  <conditionalFormatting sqref="CU65">
    <cfRule type="cellIs" dxfId="5827" priority="1727" operator="greaterThan">
      <formula>0</formula>
    </cfRule>
    <cfRule type="cellIs" dxfId="5826" priority="1728" operator="lessThanOrEqual">
      <formula>0</formula>
    </cfRule>
  </conditionalFormatting>
  <conditionalFormatting sqref="CU25">
    <cfRule type="cellIs" dxfId="5825" priority="1725" operator="greaterThan">
      <formula>0</formula>
    </cfRule>
    <cfRule type="cellIs" dxfId="5824" priority="1726" operator="lessThanOrEqual">
      <formula>0</formula>
    </cfRule>
  </conditionalFormatting>
  <conditionalFormatting sqref="CU56">
    <cfRule type="cellIs" dxfId="5823" priority="1723" operator="greaterThan">
      <formula>0</formula>
    </cfRule>
    <cfRule type="cellIs" dxfId="5822" priority="1724" operator="lessThanOrEqual">
      <formula>0</formula>
    </cfRule>
  </conditionalFormatting>
  <conditionalFormatting sqref="CT56">
    <cfRule type="cellIs" dxfId="5821" priority="1722" operator="greaterThanOrEqual">
      <formula>0</formula>
    </cfRule>
  </conditionalFormatting>
  <conditionalFormatting sqref="CT56">
    <cfRule type="cellIs" dxfId="5820" priority="1721" operator="lessThan">
      <formula>0</formula>
    </cfRule>
  </conditionalFormatting>
  <conditionalFormatting sqref="CU52">
    <cfRule type="cellIs" dxfId="5819" priority="1719" operator="greaterThan">
      <formula>0</formula>
    </cfRule>
    <cfRule type="cellIs" dxfId="5818" priority="1720" operator="lessThanOrEqual">
      <formula>0</formula>
    </cfRule>
  </conditionalFormatting>
  <conditionalFormatting sqref="CT52">
    <cfRule type="cellIs" dxfId="5817" priority="1718" operator="greaterThanOrEqual">
      <formula>0</formula>
    </cfRule>
  </conditionalFormatting>
  <conditionalFormatting sqref="CT52">
    <cfRule type="cellIs" dxfId="5816" priority="1717" operator="lessThan">
      <formula>0</formula>
    </cfRule>
  </conditionalFormatting>
  <conditionalFormatting sqref="CT25">
    <cfRule type="cellIs" dxfId="5815" priority="1716" operator="greaterThanOrEqual">
      <formula>0</formula>
    </cfRule>
  </conditionalFormatting>
  <conditionalFormatting sqref="CT25">
    <cfRule type="cellIs" dxfId="5814" priority="1715" operator="lessThan">
      <formula>0</formula>
    </cfRule>
  </conditionalFormatting>
  <conditionalFormatting sqref="CT28">
    <cfRule type="cellIs" dxfId="5813" priority="1714" operator="greaterThanOrEqual">
      <formula>0</formula>
    </cfRule>
  </conditionalFormatting>
  <conditionalFormatting sqref="CT28">
    <cfRule type="cellIs" dxfId="5812" priority="1713" operator="lessThan">
      <formula>0</formula>
    </cfRule>
  </conditionalFormatting>
  <conditionalFormatting sqref="CT41">
    <cfRule type="cellIs" dxfId="5811" priority="1712" operator="greaterThanOrEqual">
      <formula>0</formula>
    </cfRule>
  </conditionalFormatting>
  <conditionalFormatting sqref="CT41">
    <cfRule type="cellIs" dxfId="5810" priority="1711" operator="lessThan">
      <formula>0</formula>
    </cfRule>
  </conditionalFormatting>
  <conditionalFormatting sqref="CT44">
    <cfRule type="cellIs" dxfId="5809" priority="1710" operator="greaterThanOrEqual">
      <formula>0</formula>
    </cfRule>
  </conditionalFormatting>
  <conditionalFormatting sqref="CT44">
    <cfRule type="cellIs" dxfId="5808" priority="1709" operator="lessThan">
      <formula>0</formula>
    </cfRule>
  </conditionalFormatting>
  <conditionalFormatting sqref="CT47">
    <cfRule type="cellIs" dxfId="5807" priority="1708" operator="greaterThanOrEqual">
      <formula>0</formula>
    </cfRule>
  </conditionalFormatting>
  <conditionalFormatting sqref="CT47">
    <cfRule type="cellIs" dxfId="5806" priority="1707" operator="lessThan">
      <formula>0</formula>
    </cfRule>
  </conditionalFormatting>
  <conditionalFormatting sqref="CT50">
    <cfRule type="cellIs" dxfId="5805" priority="1706" operator="greaterThanOrEqual">
      <formula>0</formula>
    </cfRule>
  </conditionalFormatting>
  <conditionalFormatting sqref="CT50">
    <cfRule type="cellIs" dxfId="5804" priority="1705" operator="lessThan">
      <formula>0</formula>
    </cfRule>
  </conditionalFormatting>
  <conditionalFormatting sqref="CT51">
    <cfRule type="cellIs" dxfId="5803" priority="1704" operator="greaterThanOrEqual">
      <formula>0</formula>
    </cfRule>
  </conditionalFormatting>
  <conditionalFormatting sqref="CT51">
    <cfRule type="cellIs" dxfId="5802" priority="1703" operator="lessThan">
      <formula>0</formula>
    </cfRule>
  </conditionalFormatting>
  <conditionalFormatting sqref="CT59">
    <cfRule type="cellIs" dxfId="5801" priority="1702" operator="greaterThanOrEqual">
      <formula>0</formula>
    </cfRule>
  </conditionalFormatting>
  <conditionalFormatting sqref="CT59">
    <cfRule type="cellIs" dxfId="5800" priority="1701" operator="lessThan">
      <formula>0</formula>
    </cfRule>
  </conditionalFormatting>
  <conditionalFormatting sqref="CT65">
    <cfRule type="cellIs" dxfId="5799" priority="1700" operator="greaterThanOrEqual">
      <formula>0</formula>
    </cfRule>
  </conditionalFormatting>
  <conditionalFormatting sqref="CT65">
    <cfRule type="cellIs" dxfId="5798" priority="1699" operator="lessThan">
      <formula>0</formula>
    </cfRule>
  </conditionalFormatting>
  <conditionalFormatting sqref="CT66">
    <cfRule type="cellIs" dxfId="5797" priority="1698" operator="greaterThanOrEqual">
      <formula>0</formula>
    </cfRule>
  </conditionalFormatting>
  <conditionalFormatting sqref="CT66">
    <cfRule type="cellIs" dxfId="5796" priority="1697" operator="lessThan">
      <formula>0</formula>
    </cfRule>
  </conditionalFormatting>
  <conditionalFormatting sqref="CT42:CT43">
    <cfRule type="cellIs" dxfId="5795" priority="1695" operator="lessThan">
      <formula>0</formula>
    </cfRule>
    <cfRule type="cellIs" dxfId="5794" priority="1696" operator="greaterThanOrEqual">
      <formula>0</formula>
    </cfRule>
  </conditionalFormatting>
  <conditionalFormatting sqref="CT45:CT46">
    <cfRule type="cellIs" dxfId="5793" priority="1693" operator="lessThan">
      <formula>0</formula>
    </cfRule>
    <cfRule type="cellIs" dxfId="5792" priority="1694" operator="greaterThanOrEqual">
      <formula>0</formula>
    </cfRule>
  </conditionalFormatting>
  <conditionalFormatting sqref="CT57:CT58">
    <cfRule type="cellIs" dxfId="5791" priority="1691" operator="lessThan">
      <formula>0</formula>
    </cfRule>
    <cfRule type="cellIs" dxfId="5790" priority="1692" operator="greaterThanOrEqual">
      <formula>0</formula>
    </cfRule>
  </conditionalFormatting>
  <conditionalFormatting sqref="CT60:CT61">
    <cfRule type="cellIs" dxfId="5789" priority="1689" operator="lessThan">
      <formula>0</formula>
    </cfRule>
    <cfRule type="cellIs" dxfId="5788" priority="1690" operator="greaterThanOrEqual">
      <formula>0</formula>
    </cfRule>
  </conditionalFormatting>
  <conditionalFormatting sqref="CT63:CT64">
    <cfRule type="cellIs" dxfId="5787" priority="1687" operator="lessThan">
      <formula>0</formula>
    </cfRule>
    <cfRule type="cellIs" dxfId="5786" priority="1688" operator="greaterThanOrEqual">
      <formula>0</formula>
    </cfRule>
  </conditionalFormatting>
  <conditionalFormatting sqref="CU68 CU71">
    <cfRule type="cellIs" dxfId="5785" priority="1685" operator="greaterThan">
      <formula>0</formula>
    </cfRule>
    <cfRule type="cellIs" dxfId="5784" priority="1686" operator="lessThanOrEqual">
      <formula>0</formula>
    </cfRule>
  </conditionalFormatting>
  <conditionalFormatting sqref="CU73">
    <cfRule type="cellIs" dxfId="5783" priority="1683" operator="greaterThan">
      <formula>0</formula>
    </cfRule>
    <cfRule type="cellIs" dxfId="5782" priority="1684" operator="lessThanOrEqual">
      <formula>0</formula>
    </cfRule>
  </conditionalFormatting>
  <conditionalFormatting sqref="CU69">
    <cfRule type="cellIs" dxfId="5781" priority="1681" operator="greaterThan">
      <formula>0</formula>
    </cfRule>
    <cfRule type="cellIs" dxfId="5780" priority="1682" operator="lessThanOrEqual">
      <formula>0</formula>
    </cfRule>
  </conditionalFormatting>
  <conditionalFormatting sqref="CU70">
    <cfRule type="cellIs" dxfId="5779" priority="1679" operator="greaterThan">
      <formula>0</formula>
    </cfRule>
    <cfRule type="cellIs" dxfId="5778" priority="1680" operator="lessThanOrEqual">
      <formula>0</formula>
    </cfRule>
  </conditionalFormatting>
  <conditionalFormatting sqref="CU72">
    <cfRule type="cellIs" dxfId="5777" priority="1677" operator="greaterThan">
      <formula>0</formula>
    </cfRule>
    <cfRule type="cellIs" dxfId="5776" priority="1678" operator="lessThanOrEqual">
      <formula>0</formula>
    </cfRule>
  </conditionalFormatting>
  <conditionalFormatting sqref="CT68:CT70">
    <cfRule type="cellIs" dxfId="5775" priority="1675" operator="lessThan">
      <formula>0</formula>
    </cfRule>
    <cfRule type="cellIs" dxfId="5774" priority="1676" operator="greaterThanOrEqual">
      <formula>0</formula>
    </cfRule>
  </conditionalFormatting>
  <conditionalFormatting sqref="CT71:CT72">
    <cfRule type="cellIs" dxfId="5773" priority="1674" operator="greaterThanOrEqual">
      <formula>0</formula>
    </cfRule>
  </conditionalFormatting>
  <conditionalFormatting sqref="CT71:CT72">
    <cfRule type="cellIs" dxfId="5772" priority="1673" operator="lessThan">
      <formula>0</formula>
    </cfRule>
  </conditionalFormatting>
  <conditionalFormatting sqref="CT73">
    <cfRule type="cellIs" dxfId="5771" priority="1672" operator="greaterThanOrEqual">
      <formula>0</formula>
    </cfRule>
  </conditionalFormatting>
  <conditionalFormatting sqref="CT73">
    <cfRule type="cellIs" dxfId="5770" priority="1671" operator="lessThan">
      <formula>0</formula>
    </cfRule>
  </conditionalFormatting>
  <conditionalFormatting sqref="CU67">
    <cfRule type="cellIs" dxfId="5769" priority="1669" operator="greaterThan">
      <formula>0</formula>
    </cfRule>
    <cfRule type="cellIs" dxfId="5768" priority="1670" operator="lessThanOrEqual">
      <formula>0</formula>
    </cfRule>
  </conditionalFormatting>
  <conditionalFormatting sqref="CT67">
    <cfRule type="cellIs" dxfId="5767" priority="1667" operator="greaterThanOrEqual">
      <formula>0</formula>
    </cfRule>
    <cfRule type="cellIs" dxfId="5766" priority="1668" operator="lessThan">
      <formula>0</formula>
    </cfRule>
  </conditionalFormatting>
  <conditionalFormatting sqref="CQ51">
    <cfRule type="cellIs" dxfId="5765" priority="1665" operator="greaterThan">
      <formula>0</formula>
    </cfRule>
    <cfRule type="cellIs" dxfId="5764" priority="1666" operator="lessThanOrEqual">
      <formula>0</formula>
    </cfRule>
  </conditionalFormatting>
  <conditionalFormatting sqref="CW42:CW43">
    <cfRule type="cellIs" dxfId="5763" priority="1663" operator="lessThan">
      <formula>0</formula>
    </cfRule>
    <cfRule type="cellIs" dxfId="5762" priority="1664" operator="greaterThanOrEqual">
      <formula>0</formula>
    </cfRule>
  </conditionalFormatting>
  <conditionalFormatting sqref="CW45:CW46">
    <cfRule type="cellIs" dxfId="5761" priority="1661" operator="lessThan">
      <formula>0</formula>
    </cfRule>
    <cfRule type="cellIs" dxfId="5760" priority="1662" operator="greaterThanOrEqual">
      <formula>0</formula>
    </cfRule>
  </conditionalFormatting>
  <conditionalFormatting sqref="CW53:CW54">
    <cfRule type="cellIs" dxfId="5759" priority="1659" operator="lessThan">
      <formula>0</formula>
    </cfRule>
    <cfRule type="cellIs" dxfId="5758" priority="1660" operator="greaterThanOrEqual">
      <formula>0</formula>
    </cfRule>
  </conditionalFormatting>
  <conditionalFormatting sqref="CW57:CW58">
    <cfRule type="cellIs" dxfId="5757" priority="1657" operator="lessThan">
      <formula>0</formula>
    </cfRule>
    <cfRule type="cellIs" dxfId="5756" priority="1658" operator="greaterThanOrEqual">
      <formula>0</formula>
    </cfRule>
  </conditionalFormatting>
  <conditionalFormatting sqref="CW60:CW61">
    <cfRule type="cellIs" dxfId="5755" priority="1655" operator="lessThan">
      <formula>0</formula>
    </cfRule>
    <cfRule type="cellIs" dxfId="5754" priority="1656" operator="greaterThanOrEqual">
      <formula>0</formula>
    </cfRule>
  </conditionalFormatting>
  <conditionalFormatting sqref="CW63:CW64">
    <cfRule type="cellIs" dxfId="5753" priority="1653" operator="lessThan">
      <formula>0</formula>
    </cfRule>
    <cfRule type="cellIs" dxfId="5752" priority="1654" operator="greaterThanOrEqual">
      <formula>0</formula>
    </cfRule>
  </conditionalFormatting>
  <conditionalFormatting sqref="CW25">
    <cfRule type="cellIs" dxfId="5751" priority="1652" operator="greaterThanOrEqual">
      <formula>0</formula>
    </cfRule>
  </conditionalFormatting>
  <conditionalFormatting sqref="CW25">
    <cfRule type="cellIs" dxfId="5750" priority="1651" operator="lessThan">
      <formula>0</formula>
    </cfRule>
  </conditionalFormatting>
  <conditionalFormatting sqref="CW26">
    <cfRule type="cellIs" dxfId="5749" priority="1650" operator="greaterThanOrEqual">
      <formula>0</formula>
    </cfRule>
  </conditionalFormatting>
  <conditionalFormatting sqref="CW26">
    <cfRule type="cellIs" dxfId="5748" priority="1649" operator="lessThan">
      <formula>0</formula>
    </cfRule>
  </conditionalFormatting>
  <conditionalFormatting sqref="CW28">
    <cfRule type="cellIs" dxfId="5747" priority="1648" operator="greaterThanOrEqual">
      <formula>0</formula>
    </cfRule>
  </conditionalFormatting>
  <conditionalFormatting sqref="CW28">
    <cfRule type="cellIs" dxfId="5746" priority="1647" operator="lessThan">
      <formula>0</formula>
    </cfRule>
  </conditionalFormatting>
  <conditionalFormatting sqref="CW41">
    <cfRule type="cellIs" dxfId="5745" priority="1646" operator="greaterThanOrEqual">
      <formula>0</formula>
    </cfRule>
  </conditionalFormatting>
  <conditionalFormatting sqref="CW41">
    <cfRule type="cellIs" dxfId="5744" priority="1645" operator="lessThan">
      <formula>0</formula>
    </cfRule>
  </conditionalFormatting>
  <conditionalFormatting sqref="CW44">
    <cfRule type="cellIs" dxfId="5743" priority="1644" operator="greaterThanOrEqual">
      <formula>0</formula>
    </cfRule>
  </conditionalFormatting>
  <conditionalFormatting sqref="CW44">
    <cfRule type="cellIs" dxfId="5742" priority="1643" operator="lessThan">
      <formula>0</formula>
    </cfRule>
  </conditionalFormatting>
  <conditionalFormatting sqref="CW47">
    <cfRule type="cellIs" dxfId="5741" priority="1642" operator="greaterThanOrEqual">
      <formula>0</formula>
    </cfRule>
  </conditionalFormatting>
  <conditionalFormatting sqref="CW47">
    <cfRule type="cellIs" dxfId="5740" priority="1641" operator="lessThan">
      <formula>0</formula>
    </cfRule>
  </conditionalFormatting>
  <conditionalFormatting sqref="CW50">
    <cfRule type="cellIs" dxfId="5739" priority="1640" operator="greaterThanOrEqual">
      <formula>0</formula>
    </cfRule>
  </conditionalFormatting>
  <conditionalFormatting sqref="CW50">
    <cfRule type="cellIs" dxfId="5738" priority="1639" operator="lessThan">
      <formula>0</formula>
    </cfRule>
  </conditionalFormatting>
  <conditionalFormatting sqref="CW51">
    <cfRule type="cellIs" dxfId="5737" priority="1638" operator="greaterThanOrEqual">
      <formula>0</formula>
    </cfRule>
  </conditionalFormatting>
  <conditionalFormatting sqref="CW51">
    <cfRule type="cellIs" dxfId="5736" priority="1637" operator="lessThan">
      <formula>0</formula>
    </cfRule>
  </conditionalFormatting>
  <conditionalFormatting sqref="CW59">
    <cfRule type="cellIs" dxfId="5735" priority="1636" operator="greaterThanOrEqual">
      <formula>0</formula>
    </cfRule>
  </conditionalFormatting>
  <conditionalFormatting sqref="CW59">
    <cfRule type="cellIs" dxfId="5734" priority="1635" operator="lessThan">
      <formula>0</formula>
    </cfRule>
  </conditionalFormatting>
  <conditionalFormatting sqref="CW62">
    <cfRule type="cellIs" dxfId="5733" priority="1634" operator="greaterThanOrEqual">
      <formula>0</formula>
    </cfRule>
  </conditionalFormatting>
  <conditionalFormatting sqref="CW62">
    <cfRule type="cellIs" dxfId="5732" priority="1633" operator="lessThan">
      <formula>0</formula>
    </cfRule>
  </conditionalFormatting>
  <conditionalFormatting sqref="CW65">
    <cfRule type="cellIs" dxfId="5731" priority="1632" operator="greaterThanOrEqual">
      <formula>0</formula>
    </cfRule>
  </conditionalFormatting>
  <conditionalFormatting sqref="CW65">
    <cfRule type="cellIs" dxfId="5730" priority="1631" operator="lessThan">
      <formula>0</formula>
    </cfRule>
  </conditionalFormatting>
  <conditionalFormatting sqref="CW56">
    <cfRule type="cellIs" dxfId="5729" priority="1630" operator="greaterThanOrEqual">
      <formula>0</formula>
    </cfRule>
  </conditionalFormatting>
  <conditionalFormatting sqref="CW56">
    <cfRule type="cellIs" dxfId="5728" priority="1629" operator="lessThan">
      <formula>0</formula>
    </cfRule>
  </conditionalFormatting>
  <conditionalFormatting sqref="CW66">
    <cfRule type="cellIs" dxfId="5727" priority="1628" operator="greaterThanOrEqual">
      <formula>0</formula>
    </cfRule>
  </conditionalFormatting>
  <conditionalFormatting sqref="CW66">
    <cfRule type="cellIs" dxfId="5726" priority="1627" operator="lessThan">
      <formula>0</formula>
    </cfRule>
  </conditionalFormatting>
  <conditionalFormatting sqref="CX16:CX17">
    <cfRule type="cellIs" dxfId="5725" priority="1625" operator="greaterThan">
      <formula>0</formula>
    </cfRule>
    <cfRule type="cellIs" dxfId="5724" priority="1626" operator="lessThanOrEqual">
      <formula>0</formula>
    </cfRule>
  </conditionalFormatting>
  <conditionalFormatting sqref="CX19:CX20">
    <cfRule type="cellIs" dxfId="5723" priority="1623" operator="greaterThan">
      <formula>0</formula>
    </cfRule>
    <cfRule type="cellIs" dxfId="5722" priority="1624" operator="lessThanOrEqual">
      <formula>0</formula>
    </cfRule>
  </conditionalFormatting>
  <conditionalFormatting sqref="CX22:CX23">
    <cfRule type="cellIs" dxfId="5721" priority="1621" operator="greaterThan">
      <formula>0</formula>
    </cfRule>
    <cfRule type="cellIs" dxfId="5720" priority="1622" operator="lessThanOrEqual">
      <formula>0</formula>
    </cfRule>
  </conditionalFormatting>
  <conditionalFormatting sqref="CX29:CX30">
    <cfRule type="cellIs" dxfId="5719" priority="1619" operator="greaterThan">
      <formula>0</formula>
    </cfRule>
    <cfRule type="cellIs" dxfId="5718" priority="1620" operator="lessThanOrEqual">
      <formula>0</formula>
    </cfRule>
  </conditionalFormatting>
  <conditionalFormatting sqref="CX32:CX33">
    <cfRule type="cellIs" dxfId="5717" priority="1617" operator="greaterThan">
      <formula>0</formula>
    </cfRule>
    <cfRule type="cellIs" dxfId="5716" priority="1618" operator="lessThanOrEqual">
      <formula>0</formula>
    </cfRule>
  </conditionalFormatting>
  <conditionalFormatting sqref="CX35:CX36">
    <cfRule type="cellIs" dxfId="5715" priority="1615" operator="greaterThan">
      <formula>0</formula>
    </cfRule>
    <cfRule type="cellIs" dxfId="5714" priority="1616" operator="lessThanOrEqual">
      <formula>0</formula>
    </cfRule>
  </conditionalFormatting>
  <conditionalFormatting sqref="CX38:CX39">
    <cfRule type="cellIs" dxfId="5713" priority="1613" operator="greaterThan">
      <formula>0</formula>
    </cfRule>
    <cfRule type="cellIs" dxfId="5712" priority="1614" operator="lessThanOrEqual">
      <formula>0</formula>
    </cfRule>
  </conditionalFormatting>
  <conditionalFormatting sqref="CX42:CX43">
    <cfRule type="cellIs" dxfId="5711" priority="1611" operator="greaterThan">
      <formula>0</formula>
    </cfRule>
    <cfRule type="cellIs" dxfId="5710" priority="1612" operator="lessThanOrEqual">
      <formula>0</formula>
    </cfRule>
  </conditionalFormatting>
  <conditionalFormatting sqref="CX45:CX46">
    <cfRule type="cellIs" dxfId="5709" priority="1609" operator="greaterThan">
      <formula>0</formula>
    </cfRule>
    <cfRule type="cellIs" dxfId="5708" priority="1610" operator="lessThanOrEqual">
      <formula>0</formula>
    </cfRule>
  </conditionalFormatting>
  <conditionalFormatting sqref="CX48:CX49">
    <cfRule type="cellIs" dxfId="5707" priority="1607" operator="greaterThan">
      <formula>0</formula>
    </cfRule>
    <cfRule type="cellIs" dxfId="5706" priority="1608" operator="lessThanOrEqual">
      <formula>0</formula>
    </cfRule>
  </conditionalFormatting>
  <conditionalFormatting sqref="CX53:CX54">
    <cfRule type="cellIs" dxfId="5705" priority="1605" operator="greaterThan">
      <formula>0</formula>
    </cfRule>
    <cfRule type="cellIs" dxfId="5704" priority="1606" operator="lessThanOrEqual">
      <formula>0</formula>
    </cfRule>
  </conditionalFormatting>
  <conditionalFormatting sqref="CX57:CX58">
    <cfRule type="cellIs" dxfId="5703" priority="1603" operator="greaterThan">
      <formula>0</formula>
    </cfRule>
    <cfRule type="cellIs" dxfId="5702" priority="1604" operator="lessThanOrEqual">
      <formula>0</formula>
    </cfRule>
  </conditionalFormatting>
  <conditionalFormatting sqref="CX60:CX61">
    <cfRule type="cellIs" dxfId="5701" priority="1601" operator="greaterThan">
      <formula>0</formula>
    </cfRule>
    <cfRule type="cellIs" dxfId="5700" priority="1602" operator="lessThanOrEqual">
      <formula>0</formula>
    </cfRule>
  </conditionalFormatting>
  <conditionalFormatting sqref="CX63:CX64">
    <cfRule type="cellIs" dxfId="5699" priority="1599" operator="greaterThan">
      <formula>0</formula>
    </cfRule>
    <cfRule type="cellIs" dxfId="5698" priority="1600" operator="lessThanOrEqual">
      <formula>0</formula>
    </cfRule>
  </conditionalFormatting>
  <conditionalFormatting sqref="CX25">
    <cfRule type="cellIs" dxfId="5697" priority="1598" operator="greaterThanOrEqual">
      <formula>0</formula>
    </cfRule>
  </conditionalFormatting>
  <conditionalFormatting sqref="CX25">
    <cfRule type="cellIs" dxfId="5696" priority="1597" operator="lessThan">
      <formula>0</formula>
    </cfRule>
  </conditionalFormatting>
  <conditionalFormatting sqref="CX26">
    <cfRule type="cellIs" dxfId="5695" priority="1596" operator="greaterThanOrEqual">
      <formula>0</formula>
    </cfRule>
  </conditionalFormatting>
  <conditionalFormatting sqref="CX26">
    <cfRule type="cellIs" dxfId="5694" priority="1595" operator="lessThan">
      <formula>0</formula>
    </cfRule>
  </conditionalFormatting>
  <conditionalFormatting sqref="CX28">
    <cfRule type="cellIs" dxfId="5693" priority="1594" operator="greaterThanOrEqual">
      <formula>0</formula>
    </cfRule>
  </conditionalFormatting>
  <conditionalFormatting sqref="CX28">
    <cfRule type="cellIs" dxfId="5692" priority="1593" operator="lessThan">
      <formula>0</formula>
    </cfRule>
  </conditionalFormatting>
  <conditionalFormatting sqref="CX41">
    <cfRule type="cellIs" dxfId="5691" priority="1592" operator="greaterThanOrEqual">
      <formula>0</formula>
    </cfRule>
  </conditionalFormatting>
  <conditionalFormatting sqref="CX41">
    <cfRule type="cellIs" dxfId="5690" priority="1591" operator="lessThan">
      <formula>0</formula>
    </cfRule>
  </conditionalFormatting>
  <conditionalFormatting sqref="CX44">
    <cfRule type="cellIs" dxfId="5689" priority="1590" operator="greaterThanOrEqual">
      <formula>0</formula>
    </cfRule>
  </conditionalFormatting>
  <conditionalFormatting sqref="CX44">
    <cfRule type="cellIs" dxfId="5688" priority="1589" operator="lessThan">
      <formula>0</formula>
    </cfRule>
  </conditionalFormatting>
  <conditionalFormatting sqref="CX47">
    <cfRule type="cellIs" dxfId="5687" priority="1588" operator="greaterThanOrEqual">
      <formula>0</formula>
    </cfRule>
  </conditionalFormatting>
  <conditionalFormatting sqref="CX47">
    <cfRule type="cellIs" dxfId="5686" priority="1587" operator="lessThan">
      <formula>0</formula>
    </cfRule>
  </conditionalFormatting>
  <conditionalFormatting sqref="CX50">
    <cfRule type="cellIs" dxfId="5685" priority="1586" operator="greaterThanOrEqual">
      <formula>0</formula>
    </cfRule>
  </conditionalFormatting>
  <conditionalFormatting sqref="CX50">
    <cfRule type="cellIs" dxfId="5684" priority="1585" operator="lessThan">
      <formula>0</formula>
    </cfRule>
  </conditionalFormatting>
  <conditionalFormatting sqref="CX51">
    <cfRule type="cellIs" dxfId="5683" priority="1584" operator="greaterThanOrEqual">
      <formula>0</formula>
    </cfRule>
  </conditionalFormatting>
  <conditionalFormatting sqref="CX51">
    <cfRule type="cellIs" dxfId="5682" priority="1583" operator="lessThan">
      <formula>0</formula>
    </cfRule>
  </conditionalFormatting>
  <conditionalFormatting sqref="CT107">
    <cfRule type="cellIs" dxfId="5681" priority="1350" operator="greaterThanOrEqual">
      <formula>0</formula>
    </cfRule>
  </conditionalFormatting>
  <conditionalFormatting sqref="CT107">
    <cfRule type="cellIs" dxfId="5680" priority="1349" operator="lessThan">
      <formula>0</formula>
    </cfRule>
  </conditionalFormatting>
  <conditionalFormatting sqref="CX59">
    <cfRule type="cellIs" dxfId="5679" priority="1582" operator="greaterThanOrEqual">
      <formula>0</formula>
    </cfRule>
  </conditionalFormatting>
  <conditionalFormatting sqref="CX59">
    <cfRule type="cellIs" dxfId="5678" priority="1581" operator="lessThan">
      <formula>0</formula>
    </cfRule>
  </conditionalFormatting>
  <conditionalFormatting sqref="CX62">
    <cfRule type="cellIs" dxfId="5677" priority="1580" operator="greaterThanOrEqual">
      <formula>0</formula>
    </cfRule>
  </conditionalFormatting>
  <conditionalFormatting sqref="CX62">
    <cfRule type="cellIs" dxfId="5676" priority="1579" operator="lessThan">
      <formula>0</formula>
    </cfRule>
  </conditionalFormatting>
  <conditionalFormatting sqref="CX65">
    <cfRule type="cellIs" dxfId="5675" priority="1578" operator="greaterThanOrEqual">
      <formula>0</formula>
    </cfRule>
  </conditionalFormatting>
  <conditionalFormatting sqref="CX65">
    <cfRule type="cellIs" dxfId="5674" priority="1577" operator="lessThan">
      <formula>0</formula>
    </cfRule>
  </conditionalFormatting>
  <conditionalFormatting sqref="CX56">
    <cfRule type="cellIs" dxfId="5673" priority="1575" operator="lessThan">
      <formula>0</formula>
    </cfRule>
  </conditionalFormatting>
  <conditionalFormatting sqref="CX56">
    <cfRule type="cellIs" dxfId="5672" priority="1576" operator="greaterThanOrEqual">
      <formula>0</formula>
    </cfRule>
  </conditionalFormatting>
  <conditionalFormatting sqref="CX66">
    <cfRule type="cellIs" dxfId="5671" priority="1573" operator="lessThan">
      <formula>0</formula>
    </cfRule>
  </conditionalFormatting>
  <conditionalFormatting sqref="CX66">
    <cfRule type="cellIs" dxfId="5670" priority="1574" operator="greaterThanOrEqual">
      <formula>0</formula>
    </cfRule>
  </conditionalFormatting>
  <conditionalFormatting sqref="CW70">
    <cfRule type="cellIs" dxfId="5669" priority="1571" operator="lessThan">
      <formula>0</formula>
    </cfRule>
    <cfRule type="cellIs" dxfId="5668" priority="1572" operator="greaterThanOrEqual">
      <formula>0</formula>
    </cfRule>
  </conditionalFormatting>
  <conditionalFormatting sqref="CX70">
    <cfRule type="cellIs" dxfId="5667" priority="1569" operator="lessThan">
      <formula>0</formula>
    </cfRule>
    <cfRule type="cellIs" dxfId="5666" priority="1570" operator="greaterThanOrEqual">
      <formula>0</formula>
    </cfRule>
  </conditionalFormatting>
  <conditionalFormatting sqref="CX72">
    <cfRule type="cellIs" dxfId="5665" priority="1567" operator="lessThan">
      <formula>0</formula>
    </cfRule>
    <cfRule type="cellIs" dxfId="5664" priority="1568" operator="greaterThanOrEqual">
      <formula>0</formula>
    </cfRule>
  </conditionalFormatting>
  <conditionalFormatting sqref="CX123:CX124">
    <cfRule type="cellIs" dxfId="5663" priority="1239" operator="greaterThan">
      <formula>0</formula>
    </cfRule>
    <cfRule type="cellIs" dxfId="5662" priority="1240" operator="lessThanOrEqual">
      <formula>0</formula>
    </cfRule>
  </conditionalFormatting>
  <conditionalFormatting sqref="CX119">
    <cfRule type="cellIs" dxfId="5661" priority="1214" operator="greaterThanOrEqual">
      <formula>0</formula>
    </cfRule>
  </conditionalFormatting>
  <conditionalFormatting sqref="CX119">
    <cfRule type="cellIs" dxfId="5660" priority="1213" operator="lessThan">
      <formula>0</formula>
    </cfRule>
  </conditionalFormatting>
  <conditionalFormatting sqref="CX129">
    <cfRule type="cellIs" dxfId="5659" priority="1212" operator="greaterThanOrEqual">
      <formula>0</formula>
    </cfRule>
  </conditionalFormatting>
  <conditionalFormatting sqref="CX129">
    <cfRule type="cellIs" dxfId="5658" priority="1211" operator="lessThan">
      <formula>0</formula>
    </cfRule>
  </conditionalFormatting>
  <conditionalFormatting sqref="CX118">
    <cfRule type="cellIs" dxfId="5657" priority="1208" operator="greaterThanOrEqual">
      <formula>0</formula>
    </cfRule>
  </conditionalFormatting>
  <conditionalFormatting sqref="CX118">
    <cfRule type="cellIs" dxfId="5656" priority="1207" operator="lessThan">
      <formula>0</formula>
    </cfRule>
  </conditionalFormatting>
  <conditionalFormatting sqref="CW76:CW77 CW79:CW80 CW82:CW83 CW85:CW86 CW92:CW93 CW95:CW96 CW98:CW99 CW101:CW102 CW111:CW112">
    <cfRule type="cellIs" dxfId="5655" priority="1317" operator="lessThan">
      <formula>0</formula>
    </cfRule>
    <cfRule type="cellIs" dxfId="5654" priority="1318" operator="greaterThanOrEqual">
      <formula>0</formula>
    </cfRule>
  </conditionalFormatting>
  <conditionalFormatting sqref="CU95:CU96">
    <cfRule type="cellIs" dxfId="5653" priority="1425" operator="greaterThan">
      <formula>0</formula>
    </cfRule>
    <cfRule type="cellIs" dxfId="5652" priority="1426" operator="lessThanOrEqual">
      <formula>0</formula>
    </cfRule>
  </conditionalFormatting>
  <conditionalFormatting sqref="CW107">
    <cfRule type="cellIs" dxfId="5651" priority="1282" operator="greaterThanOrEqual">
      <formula>0</formula>
    </cfRule>
  </conditionalFormatting>
  <conditionalFormatting sqref="CW107">
    <cfRule type="cellIs" dxfId="5650" priority="1281" operator="lessThan">
      <formula>0</formula>
    </cfRule>
  </conditionalFormatting>
  <conditionalFormatting sqref="CX113">
    <cfRule type="cellIs" dxfId="5649" priority="1224" operator="greaterThanOrEqual">
      <formula>0</formula>
    </cfRule>
  </conditionalFormatting>
  <conditionalFormatting sqref="CX113">
    <cfRule type="cellIs" dxfId="5648" priority="1223" operator="lessThan">
      <formula>0</formula>
    </cfRule>
  </conditionalFormatting>
  <conditionalFormatting sqref="CW114">
    <cfRule type="cellIs" dxfId="5647" priority="1276" operator="greaterThanOrEqual">
      <formula>0</formula>
    </cfRule>
  </conditionalFormatting>
  <conditionalFormatting sqref="CW114">
    <cfRule type="cellIs" dxfId="5646" priority="1275" operator="lessThan">
      <formula>0</formula>
    </cfRule>
  </conditionalFormatting>
  <conditionalFormatting sqref="CX125">
    <cfRule type="cellIs" dxfId="5645" priority="1217" operator="lessThan">
      <formula>0</formula>
    </cfRule>
  </conditionalFormatting>
  <conditionalFormatting sqref="CX125">
    <cfRule type="cellIs" dxfId="5644" priority="1218" operator="greaterThanOrEqual">
      <formula>0</formula>
    </cfRule>
  </conditionalFormatting>
  <conditionalFormatting sqref="CP55">
    <cfRule type="cellIs" dxfId="5643" priority="1566" operator="greaterThanOrEqual">
      <formula>0</formula>
    </cfRule>
  </conditionalFormatting>
  <conditionalFormatting sqref="CP55">
    <cfRule type="cellIs" dxfId="5642" priority="1565" operator="lessThan">
      <formula>0</formula>
    </cfRule>
  </conditionalFormatting>
  <conditionalFormatting sqref="CU55">
    <cfRule type="cellIs" dxfId="5641" priority="1563" operator="greaterThan">
      <formula>0</formula>
    </cfRule>
    <cfRule type="cellIs" dxfId="5640" priority="1564" operator="lessThanOrEqual">
      <formula>0</formula>
    </cfRule>
  </conditionalFormatting>
  <conditionalFormatting sqref="CT55">
    <cfRule type="cellIs" dxfId="5639" priority="1562" operator="greaterThanOrEqual">
      <formula>0</formula>
    </cfRule>
  </conditionalFormatting>
  <conditionalFormatting sqref="CT55">
    <cfRule type="cellIs" dxfId="5638" priority="1561" operator="lessThan">
      <formula>0</formula>
    </cfRule>
  </conditionalFormatting>
  <conditionalFormatting sqref="CQ55">
    <cfRule type="cellIs" dxfId="5637" priority="1559" operator="greaterThan">
      <formula>0</formula>
    </cfRule>
    <cfRule type="cellIs" dxfId="5636" priority="1560" operator="lessThanOrEqual">
      <formula>0</formula>
    </cfRule>
  </conditionalFormatting>
  <conditionalFormatting sqref="CW55">
    <cfRule type="cellIs" dxfId="5635" priority="1558" operator="greaterThanOrEqual">
      <formula>0</formula>
    </cfRule>
  </conditionalFormatting>
  <conditionalFormatting sqref="CW55">
    <cfRule type="cellIs" dxfId="5634" priority="1557" operator="lessThan">
      <formula>0</formula>
    </cfRule>
  </conditionalFormatting>
  <conditionalFormatting sqref="CX55">
    <cfRule type="cellIs" dxfId="5633" priority="1556" operator="greaterThanOrEqual">
      <formula>0</formula>
    </cfRule>
  </conditionalFormatting>
  <conditionalFormatting sqref="CX55">
    <cfRule type="cellIs" dxfId="5632" priority="1555" operator="lessThan">
      <formula>0</formula>
    </cfRule>
  </conditionalFormatting>
  <conditionalFormatting sqref="CX128">
    <cfRule type="cellIs" dxfId="5631" priority="1216" operator="greaterThanOrEqual">
      <formula>0</formula>
    </cfRule>
  </conditionalFormatting>
  <conditionalFormatting sqref="CX128">
    <cfRule type="cellIs" dxfId="5630" priority="1215" operator="lessThan">
      <formula>0</formula>
    </cfRule>
  </conditionalFormatting>
  <conditionalFormatting sqref="CQ76:CQ77">
    <cfRule type="cellIs" dxfId="5629" priority="1553" operator="greaterThan">
      <formula>0</formula>
    </cfRule>
    <cfRule type="cellIs" dxfId="5628" priority="1554" operator="lessThanOrEqual">
      <formula>0</formula>
    </cfRule>
  </conditionalFormatting>
  <conditionalFormatting sqref="CQ79:CQ80">
    <cfRule type="cellIs" dxfId="5627" priority="1551" operator="greaterThan">
      <formula>0</formula>
    </cfRule>
    <cfRule type="cellIs" dxfId="5626" priority="1552" operator="lessThanOrEqual">
      <formula>0</formula>
    </cfRule>
  </conditionalFormatting>
  <conditionalFormatting sqref="CQ82:CQ83">
    <cfRule type="cellIs" dxfId="5625" priority="1549" operator="greaterThan">
      <formula>0</formula>
    </cfRule>
    <cfRule type="cellIs" dxfId="5624" priority="1550" operator="lessThanOrEqual">
      <formula>0</formula>
    </cfRule>
  </conditionalFormatting>
  <conditionalFormatting sqref="CQ92:CQ93">
    <cfRule type="cellIs" dxfId="5623" priority="1547" operator="greaterThan">
      <formula>0</formula>
    </cfRule>
    <cfRule type="cellIs" dxfId="5622" priority="1548" operator="lessThanOrEqual">
      <formula>0</formula>
    </cfRule>
  </conditionalFormatting>
  <conditionalFormatting sqref="CQ85:CQ86">
    <cfRule type="cellIs" dxfId="5621" priority="1545" operator="greaterThan">
      <formula>0</formula>
    </cfRule>
    <cfRule type="cellIs" dxfId="5620" priority="1546" operator="lessThanOrEqual">
      <formula>0</formula>
    </cfRule>
  </conditionalFormatting>
  <conditionalFormatting sqref="CQ95:CQ96">
    <cfRule type="cellIs" dxfId="5619" priority="1543" operator="greaterThan">
      <formula>0</formula>
    </cfRule>
    <cfRule type="cellIs" dxfId="5618" priority="1544" operator="lessThanOrEqual">
      <formula>0</formula>
    </cfRule>
  </conditionalFormatting>
  <conditionalFormatting sqref="CQ98:CQ99">
    <cfRule type="cellIs" dxfId="5617" priority="1541" operator="greaterThan">
      <formula>0</formula>
    </cfRule>
    <cfRule type="cellIs" dxfId="5616" priority="1542" operator="lessThanOrEqual">
      <formula>0</formula>
    </cfRule>
  </conditionalFormatting>
  <conditionalFormatting sqref="CQ101:CQ102">
    <cfRule type="cellIs" dxfId="5615" priority="1539" operator="greaterThan">
      <formula>0</formula>
    </cfRule>
    <cfRule type="cellIs" dxfId="5614" priority="1540" operator="lessThanOrEqual">
      <formula>0</formula>
    </cfRule>
  </conditionalFormatting>
  <conditionalFormatting sqref="CQ111:CQ112">
    <cfRule type="cellIs" dxfId="5613" priority="1537" operator="greaterThan">
      <formula>0</formula>
    </cfRule>
    <cfRule type="cellIs" dxfId="5612" priority="1538" operator="lessThanOrEqual">
      <formula>0</formula>
    </cfRule>
  </conditionalFormatting>
  <conditionalFormatting sqref="CQ126:CQ127">
    <cfRule type="cellIs" dxfId="5611" priority="1535" operator="greaterThan">
      <formula>0</formula>
    </cfRule>
    <cfRule type="cellIs" dxfId="5610" priority="1536" operator="lessThanOrEqual">
      <formula>0</formula>
    </cfRule>
  </conditionalFormatting>
  <conditionalFormatting sqref="CQ116:CQ117">
    <cfRule type="cellIs" dxfId="5609" priority="1533" operator="greaterThan">
      <formula>0</formula>
    </cfRule>
    <cfRule type="cellIs" dxfId="5608" priority="1534" operator="lessThanOrEqual">
      <formula>0</formula>
    </cfRule>
  </conditionalFormatting>
  <conditionalFormatting sqref="CQ78">
    <cfRule type="cellIs" dxfId="5607" priority="1531" operator="greaterThan">
      <formula>0</formula>
    </cfRule>
    <cfRule type="cellIs" dxfId="5606" priority="1532" operator="lessThanOrEqual">
      <formula>0</formula>
    </cfRule>
  </conditionalFormatting>
  <conditionalFormatting sqref="CQ81">
    <cfRule type="cellIs" dxfId="5605" priority="1529" operator="greaterThan">
      <formula>0</formula>
    </cfRule>
    <cfRule type="cellIs" dxfId="5604" priority="1530" operator="lessThanOrEqual">
      <formula>0</formula>
    </cfRule>
  </conditionalFormatting>
  <conditionalFormatting sqref="CQ84">
    <cfRule type="cellIs" dxfId="5603" priority="1527" operator="greaterThan">
      <formula>0</formula>
    </cfRule>
    <cfRule type="cellIs" dxfId="5602" priority="1528" operator="lessThanOrEqual">
      <formula>0</formula>
    </cfRule>
  </conditionalFormatting>
  <conditionalFormatting sqref="CQ94">
    <cfRule type="cellIs" dxfId="5601" priority="1525" operator="greaterThan">
      <formula>0</formula>
    </cfRule>
    <cfRule type="cellIs" dxfId="5600" priority="1526" operator="lessThanOrEqual">
      <formula>0</formula>
    </cfRule>
  </conditionalFormatting>
  <conditionalFormatting sqref="CQ87">
    <cfRule type="cellIs" dxfId="5599" priority="1523" operator="greaterThan">
      <formula>0</formula>
    </cfRule>
    <cfRule type="cellIs" dxfId="5598" priority="1524" operator="lessThanOrEqual">
      <formula>0</formula>
    </cfRule>
  </conditionalFormatting>
  <conditionalFormatting sqref="CQ97">
    <cfRule type="cellIs" dxfId="5597" priority="1521" operator="greaterThan">
      <formula>0</formula>
    </cfRule>
    <cfRule type="cellIs" dxfId="5596" priority="1522" operator="lessThanOrEqual">
      <formula>0</formula>
    </cfRule>
  </conditionalFormatting>
  <conditionalFormatting sqref="CQ100">
    <cfRule type="cellIs" dxfId="5595" priority="1519" operator="greaterThan">
      <formula>0</formula>
    </cfRule>
    <cfRule type="cellIs" dxfId="5594" priority="1520" operator="lessThanOrEqual">
      <formula>0</formula>
    </cfRule>
  </conditionalFormatting>
  <conditionalFormatting sqref="CQ103">
    <cfRule type="cellIs" dxfId="5593" priority="1517" operator="greaterThan">
      <formula>0</formula>
    </cfRule>
    <cfRule type="cellIs" dxfId="5592" priority="1518" operator="lessThanOrEqual">
      <formula>0</formula>
    </cfRule>
  </conditionalFormatting>
  <conditionalFormatting sqref="CQ89">
    <cfRule type="cellIs" dxfId="5591" priority="1515" operator="greaterThan">
      <formula>0</formula>
    </cfRule>
    <cfRule type="cellIs" dxfId="5590" priority="1516" operator="lessThanOrEqual">
      <formula>0</formula>
    </cfRule>
  </conditionalFormatting>
  <conditionalFormatting sqref="CQ129">
    <cfRule type="cellIs" dxfId="5589" priority="1513" operator="greaterThan">
      <formula>0</formula>
    </cfRule>
    <cfRule type="cellIs" dxfId="5588" priority="1514" operator="lessThanOrEqual">
      <formula>0</formula>
    </cfRule>
  </conditionalFormatting>
  <conditionalFormatting sqref="CP76:CP77 CP79:CP80 CP82:CP83 CP85:CP86 CP92:CP93 CP95:CP96 CP98:CP99 CP101:CP102 CP111:CP112 CP116:CP117">
    <cfRule type="cellIs" dxfId="5587" priority="1511" operator="lessThan">
      <formula>0</formula>
    </cfRule>
    <cfRule type="cellIs" dxfId="5586" priority="1512" operator="greaterThanOrEqual">
      <formula>0</formula>
    </cfRule>
  </conditionalFormatting>
  <conditionalFormatting sqref="CP78 CP81 CP84 CP87 CP89 CP94 CP97 CP100 CP103">
    <cfRule type="cellIs" dxfId="5585" priority="1510" operator="greaterThanOrEqual">
      <formula>0</formula>
    </cfRule>
  </conditionalFormatting>
  <conditionalFormatting sqref="CP78 CP81 CP84 CP87 CP89 CP94 CP97 CP100 CP103">
    <cfRule type="cellIs" dxfId="5584" priority="1509" operator="lessThan">
      <formula>0</formula>
    </cfRule>
  </conditionalFormatting>
  <conditionalFormatting sqref="CQ130">
    <cfRule type="cellIs" dxfId="5583" priority="1507" operator="greaterThan">
      <formula>0</formula>
    </cfRule>
    <cfRule type="cellIs" dxfId="5582" priority="1508" operator="lessThanOrEqual">
      <formula>0</formula>
    </cfRule>
  </conditionalFormatting>
  <conditionalFormatting sqref="CP130">
    <cfRule type="cellIs" dxfId="5581" priority="1505" operator="greaterThanOrEqual">
      <formula>0</formula>
    </cfRule>
    <cfRule type="cellIs" dxfId="5580" priority="1506" operator="lessThan">
      <formula>0</formula>
    </cfRule>
  </conditionalFormatting>
  <conditionalFormatting sqref="CP125">
    <cfRule type="cellIs" dxfId="5579" priority="1486" operator="greaterThanOrEqual">
      <formula>0</formula>
    </cfRule>
  </conditionalFormatting>
  <conditionalFormatting sqref="CP125">
    <cfRule type="cellIs" dxfId="5578" priority="1485" operator="lessThan">
      <formula>0</formula>
    </cfRule>
  </conditionalFormatting>
  <conditionalFormatting sqref="CQ107">
    <cfRule type="cellIs" dxfId="5577" priority="1495" operator="greaterThan">
      <formula>0</formula>
    </cfRule>
    <cfRule type="cellIs" dxfId="5576" priority="1496" operator="lessThanOrEqual">
      <formula>0</formula>
    </cfRule>
  </conditionalFormatting>
  <conditionalFormatting sqref="CQ110">
    <cfRule type="cellIs" dxfId="5575" priority="1493" operator="greaterThan">
      <formula>0</formula>
    </cfRule>
    <cfRule type="cellIs" dxfId="5574" priority="1494" operator="lessThanOrEqual">
      <formula>0</formula>
    </cfRule>
  </conditionalFormatting>
  <conditionalFormatting sqref="CQ113">
    <cfRule type="cellIs" dxfId="5573" priority="1491" operator="greaterThan">
      <formula>0</formula>
    </cfRule>
    <cfRule type="cellIs" dxfId="5572" priority="1492" operator="lessThanOrEqual">
      <formula>0</formula>
    </cfRule>
  </conditionalFormatting>
  <conditionalFormatting sqref="CQ91">
    <cfRule type="cellIs" dxfId="5571" priority="1503" operator="greaterThan">
      <formula>0</formula>
    </cfRule>
    <cfRule type="cellIs" dxfId="5570" priority="1504" operator="lessThanOrEqual">
      <formula>0</formula>
    </cfRule>
  </conditionalFormatting>
  <conditionalFormatting sqref="CQ104">
    <cfRule type="cellIs" dxfId="5569" priority="1501" operator="greaterThan">
      <formula>0</formula>
    </cfRule>
    <cfRule type="cellIs" dxfId="5568" priority="1502" operator="lessThanOrEqual">
      <formula>0</formula>
    </cfRule>
  </conditionalFormatting>
  <conditionalFormatting sqref="CQ105:CQ106 CQ108:CQ109">
    <cfRule type="cellIs" dxfId="5567" priority="1499" operator="greaterThan">
      <formula>0</formula>
    </cfRule>
    <cfRule type="cellIs" dxfId="5566" priority="1500" operator="lessThanOrEqual">
      <formula>0</formula>
    </cfRule>
  </conditionalFormatting>
  <conditionalFormatting sqref="CQ120:CQ121 CQ123:CQ124">
    <cfRule type="cellIs" dxfId="5565" priority="1497" operator="greaterThan">
      <formula>0</formula>
    </cfRule>
    <cfRule type="cellIs" dxfId="5564" priority="1498" operator="lessThanOrEqual">
      <formula>0</formula>
    </cfRule>
  </conditionalFormatting>
  <conditionalFormatting sqref="CQ122">
    <cfRule type="cellIs" dxfId="5563" priority="1489" operator="greaterThan">
      <formula>0</formula>
    </cfRule>
    <cfRule type="cellIs" dxfId="5562" priority="1490" operator="lessThanOrEqual">
      <formula>0</formula>
    </cfRule>
  </conditionalFormatting>
  <conditionalFormatting sqref="CQ125">
    <cfRule type="cellIs" dxfId="5561" priority="1487" operator="greaterThan">
      <formula>0</formula>
    </cfRule>
    <cfRule type="cellIs" dxfId="5560" priority="1488" operator="lessThanOrEqual">
      <formula>0</formula>
    </cfRule>
  </conditionalFormatting>
  <conditionalFormatting sqref="CQ128">
    <cfRule type="cellIs" dxfId="5559" priority="1483" operator="greaterThan">
      <formula>0</formula>
    </cfRule>
    <cfRule type="cellIs" dxfId="5558" priority="1484" operator="lessThanOrEqual">
      <formula>0</formula>
    </cfRule>
  </conditionalFormatting>
  <conditionalFormatting sqref="CQ88">
    <cfRule type="cellIs" dxfId="5557" priority="1481" operator="greaterThan">
      <formula>0</formula>
    </cfRule>
    <cfRule type="cellIs" dxfId="5556" priority="1482" operator="lessThanOrEqual">
      <formula>0</formula>
    </cfRule>
  </conditionalFormatting>
  <conditionalFormatting sqref="CQ119">
    <cfRule type="cellIs" dxfId="5555" priority="1479" operator="greaterThan">
      <formula>0</formula>
    </cfRule>
    <cfRule type="cellIs" dxfId="5554" priority="1480" operator="lessThanOrEqual">
      <formula>0</formula>
    </cfRule>
  </conditionalFormatting>
  <conditionalFormatting sqref="CP119">
    <cfRule type="cellIs" dxfId="5553" priority="1478" operator="greaterThanOrEqual">
      <formula>0</formula>
    </cfRule>
  </conditionalFormatting>
  <conditionalFormatting sqref="CP119">
    <cfRule type="cellIs" dxfId="5552" priority="1477" operator="lessThan">
      <formula>0</formula>
    </cfRule>
  </conditionalFormatting>
  <conditionalFormatting sqref="CQ115">
    <cfRule type="cellIs" dxfId="5551" priority="1475" operator="greaterThan">
      <formula>0</formula>
    </cfRule>
    <cfRule type="cellIs" dxfId="5550" priority="1476" operator="lessThanOrEqual">
      <formula>0</formula>
    </cfRule>
  </conditionalFormatting>
  <conditionalFormatting sqref="CP115">
    <cfRule type="cellIs" dxfId="5549" priority="1474" operator="greaterThanOrEqual">
      <formula>0</formula>
    </cfRule>
  </conditionalFormatting>
  <conditionalFormatting sqref="CP115">
    <cfRule type="cellIs" dxfId="5548" priority="1473" operator="lessThan">
      <formula>0</formula>
    </cfRule>
  </conditionalFormatting>
  <conditionalFormatting sqref="CP88">
    <cfRule type="cellIs" dxfId="5547" priority="1472" operator="greaterThanOrEqual">
      <formula>0</formula>
    </cfRule>
  </conditionalFormatting>
  <conditionalFormatting sqref="CP88">
    <cfRule type="cellIs" dxfId="5546" priority="1471" operator="lessThan">
      <formula>0</formula>
    </cfRule>
  </conditionalFormatting>
  <conditionalFormatting sqref="CP91">
    <cfRule type="cellIs" dxfId="5545" priority="1470" operator="greaterThanOrEqual">
      <formula>0</formula>
    </cfRule>
  </conditionalFormatting>
  <conditionalFormatting sqref="CP91">
    <cfRule type="cellIs" dxfId="5544" priority="1469" operator="lessThan">
      <formula>0</formula>
    </cfRule>
  </conditionalFormatting>
  <conditionalFormatting sqref="CP104">
    <cfRule type="cellIs" dxfId="5543" priority="1468" operator="greaterThanOrEqual">
      <formula>0</formula>
    </cfRule>
  </conditionalFormatting>
  <conditionalFormatting sqref="CP104">
    <cfRule type="cellIs" dxfId="5542" priority="1467" operator="lessThan">
      <formula>0</formula>
    </cfRule>
  </conditionalFormatting>
  <conditionalFormatting sqref="CP107">
    <cfRule type="cellIs" dxfId="5541" priority="1466" operator="greaterThanOrEqual">
      <formula>0</formula>
    </cfRule>
  </conditionalFormatting>
  <conditionalFormatting sqref="CP107">
    <cfRule type="cellIs" dxfId="5540" priority="1465" operator="lessThan">
      <formula>0</formula>
    </cfRule>
  </conditionalFormatting>
  <conditionalFormatting sqref="CP110">
    <cfRule type="cellIs" dxfId="5539" priority="1464" operator="greaterThanOrEqual">
      <formula>0</formula>
    </cfRule>
  </conditionalFormatting>
  <conditionalFormatting sqref="CP110">
    <cfRule type="cellIs" dxfId="5538" priority="1463" operator="lessThan">
      <formula>0</formula>
    </cfRule>
  </conditionalFormatting>
  <conditionalFormatting sqref="CP113">
    <cfRule type="cellIs" dxfId="5537" priority="1462" operator="greaterThanOrEqual">
      <formula>0</formula>
    </cfRule>
  </conditionalFormatting>
  <conditionalFormatting sqref="CP113">
    <cfRule type="cellIs" dxfId="5536" priority="1461" operator="lessThan">
      <formula>0</formula>
    </cfRule>
  </conditionalFormatting>
  <conditionalFormatting sqref="CP114">
    <cfRule type="cellIs" dxfId="5535" priority="1460" operator="greaterThanOrEqual">
      <formula>0</formula>
    </cfRule>
  </conditionalFormatting>
  <conditionalFormatting sqref="CP114">
    <cfRule type="cellIs" dxfId="5534" priority="1459" operator="lessThan">
      <formula>0</formula>
    </cfRule>
  </conditionalFormatting>
  <conditionalFormatting sqref="CP122">
    <cfRule type="cellIs" dxfId="5533" priority="1458" operator="greaterThanOrEqual">
      <formula>0</formula>
    </cfRule>
  </conditionalFormatting>
  <conditionalFormatting sqref="CP122">
    <cfRule type="cellIs" dxfId="5532" priority="1457" operator="lessThan">
      <formula>0</formula>
    </cfRule>
  </conditionalFormatting>
  <conditionalFormatting sqref="CP128">
    <cfRule type="cellIs" dxfId="5531" priority="1456" operator="greaterThanOrEqual">
      <formula>0</formula>
    </cfRule>
  </conditionalFormatting>
  <conditionalFormatting sqref="CP128">
    <cfRule type="cellIs" dxfId="5530" priority="1455" operator="lessThan">
      <formula>0</formula>
    </cfRule>
  </conditionalFormatting>
  <conditionalFormatting sqref="CP129">
    <cfRule type="cellIs" dxfId="5529" priority="1454" operator="greaterThanOrEqual">
      <formula>0</formula>
    </cfRule>
  </conditionalFormatting>
  <conditionalFormatting sqref="CP129">
    <cfRule type="cellIs" dxfId="5528" priority="1453" operator="lessThan">
      <formula>0</formula>
    </cfRule>
  </conditionalFormatting>
  <conditionalFormatting sqref="CP105:CP106">
    <cfRule type="cellIs" dxfId="5527" priority="1451" operator="lessThan">
      <formula>0</formula>
    </cfRule>
    <cfRule type="cellIs" dxfId="5526" priority="1452" operator="greaterThanOrEqual">
      <formula>0</formula>
    </cfRule>
  </conditionalFormatting>
  <conditionalFormatting sqref="CP108:CP109">
    <cfRule type="cellIs" dxfId="5525" priority="1449" operator="lessThan">
      <formula>0</formula>
    </cfRule>
    <cfRule type="cellIs" dxfId="5524" priority="1450" operator="greaterThanOrEqual">
      <formula>0</formula>
    </cfRule>
  </conditionalFormatting>
  <conditionalFormatting sqref="CP120:CP121">
    <cfRule type="cellIs" dxfId="5523" priority="1447" operator="lessThan">
      <formula>0</formula>
    </cfRule>
    <cfRule type="cellIs" dxfId="5522" priority="1448" operator="greaterThanOrEqual">
      <formula>0</formula>
    </cfRule>
  </conditionalFormatting>
  <conditionalFormatting sqref="CP123:CP124">
    <cfRule type="cellIs" dxfId="5521" priority="1445" operator="lessThan">
      <formula>0</formula>
    </cfRule>
    <cfRule type="cellIs" dxfId="5520" priority="1446" operator="greaterThanOrEqual">
      <formula>0</formula>
    </cfRule>
  </conditionalFormatting>
  <conditionalFormatting sqref="CP126:CP127">
    <cfRule type="cellIs" dxfId="5519" priority="1443" operator="lessThan">
      <formula>0</formula>
    </cfRule>
    <cfRule type="cellIs" dxfId="5518" priority="1444" operator="greaterThanOrEqual">
      <formula>0</formula>
    </cfRule>
  </conditionalFormatting>
  <conditionalFormatting sqref="CQ114">
    <cfRule type="cellIs" dxfId="5517" priority="1441" operator="greaterThan">
      <formula>0</formula>
    </cfRule>
    <cfRule type="cellIs" dxfId="5516" priority="1442" operator="lessThanOrEqual">
      <formula>0</formula>
    </cfRule>
  </conditionalFormatting>
  <conditionalFormatting sqref="CP118">
    <cfRule type="cellIs" dxfId="5515" priority="1440" operator="greaterThanOrEqual">
      <formula>0</formula>
    </cfRule>
  </conditionalFormatting>
  <conditionalFormatting sqref="CP118">
    <cfRule type="cellIs" dxfId="5514" priority="1439" operator="lessThan">
      <formula>0</formula>
    </cfRule>
  </conditionalFormatting>
  <conditionalFormatting sqref="CQ118">
    <cfRule type="cellIs" dxfId="5513" priority="1437" operator="greaterThan">
      <formula>0</formula>
    </cfRule>
    <cfRule type="cellIs" dxfId="5512" priority="1438" operator="lessThanOrEqual">
      <formula>0</formula>
    </cfRule>
  </conditionalFormatting>
  <conditionalFormatting sqref="CU76:CU77">
    <cfRule type="cellIs" dxfId="5511" priority="1435" operator="greaterThan">
      <formula>0</formula>
    </cfRule>
    <cfRule type="cellIs" dxfId="5510" priority="1436" operator="lessThanOrEqual">
      <formula>0</formula>
    </cfRule>
  </conditionalFormatting>
  <conditionalFormatting sqref="CU79:CU80">
    <cfRule type="cellIs" dxfId="5509" priority="1433" operator="greaterThan">
      <formula>0</formula>
    </cfRule>
    <cfRule type="cellIs" dxfId="5508" priority="1434" operator="lessThanOrEqual">
      <formula>0</formula>
    </cfRule>
  </conditionalFormatting>
  <conditionalFormatting sqref="CU82:CU83">
    <cfRule type="cellIs" dxfId="5507" priority="1431" operator="greaterThan">
      <formula>0</formula>
    </cfRule>
    <cfRule type="cellIs" dxfId="5506" priority="1432" operator="lessThanOrEqual">
      <formula>0</formula>
    </cfRule>
  </conditionalFormatting>
  <conditionalFormatting sqref="CU92:CU93">
    <cfRule type="cellIs" dxfId="5505" priority="1429" operator="greaterThan">
      <formula>0</formula>
    </cfRule>
    <cfRule type="cellIs" dxfId="5504" priority="1430" operator="lessThanOrEqual">
      <formula>0</formula>
    </cfRule>
  </conditionalFormatting>
  <conditionalFormatting sqref="CU85:CU86">
    <cfRule type="cellIs" dxfId="5503" priority="1427" operator="greaterThan">
      <formula>0</formula>
    </cfRule>
    <cfRule type="cellIs" dxfId="5502" priority="1428" operator="lessThanOrEqual">
      <formula>0</formula>
    </cfRule>
  </conditionalFormatting>
  <conditionalFormatting sqref="CU98:CU99">
    <cfRule type="cellIs" dxfId="5501" priority="1423" operator="greaterThan">
      <formula>0</formula>
    </cfRule>
    <cfRule type="cellIs" dxfId="5500" priority="1424" operator="lessThanOrEqual">
      <formula>0</formula>
    </cfRule>
  </conditionalFormatting>
  <conditionalFormatting sqref="CU101:CU102">
    <cfRule type="cellIs" dxfId="5499" priority="1421" operator="greaterThan">
      <formula>0</formula>
    </cfRule>
    <cfRule type="cellIs" dxfId="5498" priority="1422" operator="lessThanOrEqual">
      <formula>0</formula>
    </cfRule>
  </conditionalFormatting>
  <conditionalFormatting sqref="CU111:CU112">
    <cfRule type="cellIs" dxfId="5497" priority="1419" operator="greaterThan">
      <formula>0</formula>
    </cfRule>
    <cfRule type="cellIs" dxfId="5496" priority="1420" operator="lessThanOrEqual">
      <formula>0</formula>
    </cfRule>
  </conditionalFormatting>
  <conditionalFormatting sqref="CU126:CU127">
    <cfRule type="cellIs" dxfId="5495" priority="1417" operator="greaterThan">
      <formula>0</formula>
    </cfRule>
    <cfRule type="cellIs" dxfId="5494" priority="1418" operator="lessThanOrEqual">
      <formula>0</formula>
    </cfRule>
  </conditionalFormatting>
  <conditionalFormatting sqref="CU116:CU117">
    <cfRule type="cellIs" dxfId="5493" priority="1415" operator="greaterThan">
      <formula>0</formula>
    </cfRule>
    <cfRule type="cellIs" dxfId="5492" priority="1416" operator="lessThanOrEqual">
      <formula>0</formula>
    </cfRule>
  </conditionalFormatting>
  <conditionalFormatting sqref="CU78">
    <cfRule type="cellIs" dxfId="5491" priority="1413" operator="greaterThan">
      <formula>0</formula>
    </cfRule>
    <cfRule type="cellIs" dxfId="5490" priority="1414" operator="lessThanOrEqual">
      <formula>0</formula>
    </cfRule>
  </conditionalFormatting>
  <conditionalFormatting sqref="CU81">
    <cfRule type="cellIs" dxfId="5489" priority="1411" operator="greaterThan">
      <formula>0</formula>
    </cfRule>
    <cfRule type="cellIs" dxfId="5488" priority="1412" operator="lessThanOrEqual">
      <formula>0</formula>
    </cfRule>
  </conditionalFormatting>
  <conditionalFormatting sqref="CU84">
    <cfRule type="cellIs" dxfId="5487" priority="1409" operator="greaterThan">
      <formula>0</formula>
    </cfRule>
    <cfRule type="cellIs" dxfId="5486" priority="1410" operator="lessThanOrEqual">
      <formula>0</formula>
    </cfRule>
  </conditionalFormatting>
  <conditionalFormatting sqref="CU94">
    <cfRule type="cellIs" dxfId="5485" priority="1407" operator="greaterThan">
      <formula>0</formula>
    </cfRule>
    <cfRule type="cellIs" dxfId="5484" priority="1408" operator="lessThanOrEqual">
      <formula>0</formula>
    </cfRule>
  </conditionalFormatting>
  <conditionalFormatting sqref="CU87">
    <cfRule type="cellIs" dxfId="5483" priority="1405" operator="greaterThan">
      <formula>0</formula>
    </cfRule>
    <cfRule type="cellIs" dxfId="5482" priority="1406" operator="lessThanOrEqual">
      <formula>0</formula>
    </cfRule>
  </conditionalFormatting>
  <conditionalFormatting sqref="CU97">
    <cfRule type="cellIs" dxfId="5481" priority="1403" operator="greaterThan">
      <formula>0</formula>
    </cfRule>
    <cfRule type="cellIs" dxfId="5480" priority="1404" operator="lessThanOrEqual">
      <formula>0</formula>
    </cfRule>
  </conditionalFormatting>
  <conditionalFormatting sqref="CU100">
    <cfRule type="cellIs" dxfId="5479" priority="1401" operator="greaterThan">
      <formula>0</formula>
    </cfRule>
    <cfRule type="cellIs" dxfId="5478" priority="1402" operator="lessThanOrEqual">
      <formula>0</formula>
    </cfRule>
  </conditionalFormatting>
  <conditionalFormatting sqref="CU103">
    <cfRule type="cellIs" dxfId="5477" priority="1399" operator="greaterThan">
      <formula>0</formula>
    </cfRule>
    <cfRule type="cellIs" dxfId="5476" priority="1400" operator="lessThanOrEqual">
      <formula>0</formula>
    </cfRule>
  </conditionalFormatting>
  <conditionalFormatting sqref="CU89">
    <cfRule type="cellIs" dxfId="5475" priority="1397" operator="greaterThan">
      <formula>0</formula>
    </cfRule>
    <cfRule type="cellIs" dxfId="5474" priority="1398" operator="lessThanOrEqual">
      <formula>0</formula>
    </cfRule>
  </conditionalFormatting>
  <conditionalFormatting sqref="CU129">
    <cfRule type="cellIs" dxfId="5473" priority="1395" operator="greaterThan">
      <formula>0</formula>
    </cfRule>
    <cfRule type="cellIs" dxfId="5472" priority="1396" operator="lessThanOrEqual">
      <formula>0</formula>
    </cfRule>
  </conditionalFormatting>
  <conditionalFormatting sqref="CT76:CT77 CT79:CT80 CT82:CT83 CT85:CT86 CT92:CT93 CT95:CT96 CT98:CT99 CT101:CT102 CT111:CT112 CT116:CT117">
    <cfRule type="cellIs" dxfId="5471" priority="1393" operator="lessThan">
      <formula>0</formula>
    </cfRule>
    <cfRule type="cellIs" dxfId="5470" priority="1394" operator="greaterThanOrEqual">
      <formula>0</formula>
    </cfRule>
  </conditionalFormatting>
  <conditionalFormatting sqref="CT78 CT81 CT84 CT87 CT89 CT94 CT97 CT100 CT103">
    <cfRule type="cellIs" dxfId="5469" priority="1392" operator="greaterThanOrEqual">
      <formula>0</formula>
    </cfRule>
  </conditionalFormatting>
  <conditionalFormatting sqref="CT78 CT81 CT84 CT87 CT89 CT94 CT97 CT100 CT103">
    <cfRule type="cellIs" dxfId="5468" priority="1391" operator="lessThan">
      <formula>0</formula>
    </cfRule>
  </conditionalFormatting>
  <conditionalFormatting sqref="CT125">
    <cfRule type="cellIs" dxfId="5467" priority="1370" operator="greaterThanOrEqual">
      <formula>0</formula>
    </cfRule>
  </conditionalFormatting>
  <conditionalFormatting sqref="CT125">
    <cfRule type="cellIs" dxfId="5466" priority="1369" operator="lessThan">
      <formula>0</formula>
    </cfRule>
  </conditionalFormatting>
  <conditionalFormatting sqref="CU114">
    <cfRule type="cellIs" dxfId="5465" priority="1385" operator="greaterThan">
      <formula>0</formula>
    </cfRule>
    <cfRule type="cellIs" dxfId="5464" priority="1386" operator="lessThanOrEqual">
      <formula>0</formula>
    </cfRule>
  </conditionalFormatting>
  <conditionalFormatting sqref="CU107">
    <cfRule type="cellIs" dxfId="5463" priority="1379" operator="greaterThan">
      <formula>0</formula>
    </cfRule>
    <cfRule type="cellIs" dxfId="5462" priority="1380" operator="lessThanOrEqual">
      <formula>0</formula>
    </cfRule>
  </conditionalFormatting>
  <conditionalFormatting sqref="CU110">
    <cfRule type="cellIs" dxfId="5461" priority="1377" operator="greaterThan">
      <formula>0</formula>
    </cfRule>
    <cfRule type="cellIs" dxfId="5460" priority="1378" operator="lessThanOrEqual">
      <formula>0</formula>
    </cfRule>
  </conditionalFormatting>
  <conditionalFormatting sqref="CU113">
    <cfRule type="cellIs" dxfId="5459" priority="1375" operator="greaterThan">
      <formula>0</formula>
    </cfRule>
    <cfRule type="cellIs" dxfId="5458" priority="1376" operator="lessThanOrEqual">
      <formula>0</formula>
    </cfRule>
  </conditionalFormatting>
  <conditionalFormatting sqref="CU91">
    <cfRule type="cellIs" dxfId="5457" priority="1389" operator="greaterThan">
      <formula>0</formula>
    </cfRule>
    <cfRule type="cellIs" dxfId="5456" priority="1390" operator="lessThanOrEqual">
      <formula>0</formula>
    </cfRule>
  </conditionalFormatting>
  <conditionalFormatting sqref="CU104">
    <cfRule type="cellIs" dxfId="5455" priority="1387" operator="greaterThan">
      <formula>0</formula>
    </cfRule>
    <cfRule type="cellIs" dxfId="5454" priority="1388" operator="lessThanOrEqual">
      <formula>0</formula>
    </cfRule>
  </conditionalFormatting>
  <conditionalFormatting sqref="CU105:CU106 CU108:CU109">
    <cfRule type="cellIs" dxfId="5453" priority="1383" operator="greaterThan">
      <formula>0</formula>
    </cfRule>
    <cfRule type="cellIs" dxfId="5452" priority="1384" operator="lessThanOrEqual">
      <formula>0</formula>
    </cfRule>
  </conditionalFormatting>
  <conditionalFormatting sqref="CU120:CU121 CU123:CU124">
    <cfRule type="cellIs" dxfId="5451" priority="1381" operator="greaterThan">
      <formula>0</formula>
    </cfRule>
    <cfRule type="cellIs" dxfId="5450" priority="1382" operator="lessThanOrEqual">
      <formula>0</formula>
    </cfRule>
  </conditionalFormatting>
  <conditionalFormatting sqref="CU122">
    <cfRule type="cellIs" dxfId="5449" priority="1373" operator="greaterThan">
      <formula>0</formula>
    </cfRule>
    <cfRule type="cellIs" dxfId="5448" priority="1374" operator="lessThanOrEqual">
      <formula>0</formula>
    </cfRule>
  </conditionalFormatting>
  <conditionalFormatting sqref="CU125">
    <cfRule type="cellIs" dxfId="5447" priority="1371" operator="greaterThan">
      <formula>0</formula>
    </cfRule>
    <cfRule type="cellIs" dxfId="5446" priority="1372" operator="lessThanOrEqual">
      <formula>0</formula>
    </cfRule>
  </conditionalFormatting>
  <conditionalFormatting sqref="CU128">
    <cfRule type="cellIs" dxfId="5445" priority="1367" operator="greaterThan">
      <formula>0</formula>
    </cfRule>
    <cfRule type="cellIs" dxfId="5444" priority="1368" operator="lessThanOrEqual">
      <formula>0</formula>
    </cfRule>
  </conditionalFormatting>
  <conditionalFormatting sqref="CU88">
    <cfRule type="cellIs" dxfId="5443" priority="1365" operator="greaterThan">
      <formula>0</formula>
    </cfRule>
    <cfRule type="cellIs" dxfId="5442" priority="1366" operator="lessThanOrEqual">
      <formula>0</formula>
    </cfRule>
  </conditionalFormatting>
  <conditionalFormatting sqref="CU119">
    <cfRule type="cellIs" dxfId="5441" priority="1363" operator="greaterThan">
      <formula>0</formula>
    </cfRule>
    <cfRule type="cellIs" dxfId="5440" priority="1364" operator="lessThanOrEqual">
      <formula>0</formula>
    </cfRule>
  </conditionalFormatting>
  <conditionalFormatting sqref="CT119">
    <cfRule type="cellIs" dxfId="5439" priority="1362" operator="greaterThanOrEqual">
      <formula>0</formula>
    </cfRule>
  </conditionalFormatting>
  <conditionalFormatting sqref="CT119">
    <cfRule type="cellIs" dxfId="5438" priority="1361" operator="lessThan">
      <formula>0</formula>
    </cfRule>
  </conditionalFormatting>
  <conditionalFormatting sqref="CU115">
    <cfRule type="cellIs" dxfId="5437" priority="1359" operator="greaterThan">
      <formula>0</formula>
    </cfRule>
    <cfRule type="cellIs" dxfId="5436" priority="1360" operator="lessThanOrEqual">
      <formula>0</formula>
    </cfRule>
  </conditionalFormatting>
  <conditionalFormatting sqref="CT115">
    <cfRule type="cellIs" dxfId="5435" priority="1358" operator="greaterThanOrEqual">
      <formula>0</formula>
    </cfRule>
  </conditionalFormatting>
  <conditionalFormatting sqref="CT115">
    <cfRule type="cellIs" dxfId="5434" priority="1357" operator="lessThan">
      <formula>0</formula>
    </cfRule>
  </conditionalFormatting>
  <conditionalFormatting sqref="CT88">
    <cfRule type="cellIs" dxfId="5433" priority="1356" operator="greaterThanOrEqual">
      <formula>0</formula>
    </cfRule>
  </conditionalFormatting>
  <conditionalFormatting sqref="CT88">
    <cfRule type="cellIs" dxfId="5432" priority="1355" operator="lessThan">
      <formula>0</formula>
    </cfRule>
  </conditionalFormatting>
  <conditionalFormatting sqref="CT91">
    <cfRule type="cellIs" dxfId="5431" priority="1354" operator="greaterThanOrEqual">
      <formula>0</formula>
    </cfRule>
  </conditionalFormatting>
  <conditionalFormatting sqref="CT91">
    <cfRule type="cellIs" dxfId="5430" priority="1353" operator="lessThan">
      <formula>0</formula>
    </cfRule>
  </conditionalFormatting>
  <conditionalFormatting sqref="CT104">
    <cfRule type="cellIs" dxfId="5429" priority="1352" operator="greaterThanOrEqual">
      <formula>0</formula>
    </cfRule>
  </conditionalFormatting>
  <conditionalFormatting sqref="CT104">
    <cfRule type="cellIs" dxfId="5428" priority="1351" operator="lessThan">
      <formula>0</formula>
    </cfRule>
  </conditionalFormatting>
  <conditionalFormatting sqref="CT110">
    <cfRule type="cellIs" dxfId="5427" priority="1348" operator="greaterThanOrEqual">
      <formula>0</formula>
    </cfRule>
  </conditionalFormatting>
  <conditionalFormatting sqref="CT110">
    <cfRule type="cellIs" dxfId="5426" priority="1347" operator="lessThan">
      <formula>0</formula>
    </cfRule>
  </conditionalFormatting>
  <conditionalFormatting sqref="CT113">
    <cfRule type="cellIs" dxfId="5425" priority="1346" operator="greaterThanOrEqual">
      <formula>0</formula>
    </cfRule>
  </conditionalFormatting>
  <conditionalFormatting sqref="CT113">
    <cfRule type="cellIs" dxfId="5424" priority="1345" operator="lessThan">
      <formula>0</formula>
    </cfRule>
  </conditionalFormatting>
  <conditionalFormatting sqref="CT114">
    <cfRule type="cellIs" dxfId="5423" priority="1344" operator="greaterThanOrEqual">
      <formula>0</formula>
    </cfRule>
  </conditionalFormatting>
  <conditionalFormatting sqref="CT114">
    <cfRule type="cellIs" dxfId="5422" priority="1343" operator="lessThan">
      <formula>0</formula>
    </cfRule>
  </conditionalFormatting>
  <conditionalFormatting sqref="CT122">
    <cfRule type="cellIs" dxfId="5421" priority="1342" operator="greaterThanOrEqual">
      <formula>0</formula>
    </cfRule>
  </conditionalFormatting>
  <conditionalFormatting sqref="CT122">
    <cfRule type="cellIs" dxfId="5420" priority="1341" operator="lessThan">
      <formula>0</formula>
    </cfRule>
  </conditionalFormatting>
  <conditionalFormatting sqref="CT128">
    <cfRule type="cellIs" dxfId="5419" priority="1340" operator="greaterThanOrEqual">
      <formula>0</formula>
    </cfRule>
  </conditionalFormatting>
  <conditionalFormatting sqref="CT128">
    <cfRule type="cellIs" dxfId="5418" priority="1339" operator="lessThan">
      <formula>0</formula>
    </cfRule>
  </conditionalFormatting>
  <conditionalFormatting sqref="CT129">
    <cfRule type="cellIs" dxfId="5417" priority="1338" operator="greaterThanOrEqual">
      <formula>0</formula>
    </cfRule>
  </conditionalFormatting>
  <conditionalFormatting sqref="CT129">
    <cfRule type="cellIs" dxfId="5416" priority="1337" operator="lessThan">
      <formula>0</formula>
    </cfRule>
  </conditionalFormatting>
  <conditionalFormatting sqref="CT105:CT106">
    <cfRule type="cellIs" dxfId="5415" priority="1335" operator="lessThan">
      <formula>0</formula>
    </cfRule>
    <cfRule type="cellIs" dxfId="5414" priority="1336" operator="greaterThanOrEqual">
      <formula>0</formula>
    </cfRule>
  </conditionalFormatting>
  <conditionalFormatting sqref="CT108:CT109">
    <cfRule type="cellIs" dxfId="5413" priority="1333" operator="lessThan">
      <formula>0</formula>
    </cfRule>
    <cfRule type="cellIs" dxfId="5412" priority="1334" operator="greaterThanOrEqual">
      <formula>0</formula>
    </cfRule>
  </conditionalFormatting>
  <conditionalFormatting sqref="CT120:CT121">
    <cfRule type="cellIs" dxfId="5411" priority="1331" operator="lessThan">
      <formula>0</formula>
    </cfRule>
    <cfRule type="cellIs" dxfId="5410" priority="1332" operator="greaterThanOrEqual">
      <formula>0</formula>
    </cfRule>
  </conditionalFormatting>
  <conditionalFormatting sqref="CT123:CT124">
    <cfRule type="cellIs" dxfId="5409" priority="1329" operator="lessThan">
      <formula>0</formula>
    </cfRule>
    <cfRule type="cellIs" dxfId="5408" priority="1330" operator="greaterThanOrEqual">
      <formula>0</formula>
    </cfRule>
  </conditionalFormatting>
  <conditionalFormatting sqref="CT126:CT127">
    <cfRule type="cellIs" dxfId="5407" priority="1327" operator="lessThan">
      <formula>0</formula>
    </cfRule>
    <cfRule type="cellIs" dxfId="5406" priority="1328" operator="greaterThanOrEqual">
      <formula>0</formula>
    </cfRule>
  </conditionalFormatting>
  <conditionalFormatting sqref="CU130">
    <cfRule type="cellIs" dxfId="5405" priority="1325" operator="greaterThan">
      <formula>0</formula>
    </cfRule>
    <cfRule type="cellIs" dxfId="5404" priority="1326" operator="lessThanOrEqual">
      <formula>0</formula>
    </cfRule>
  </conditionalFormatting>
  <conditionalFormatting sqref="CT130">
    <cfRule type="cellIs" dxfId="5403" priority="1323" operator="greaterThanOrEqual">
      <formula>0</formula>
    </cfRule>
    <cfRule type="cellIs" dxfId="5402" priority="1324" operator="lessThan">
      <formula>0</formula>
    </cfRule>
  </conditionalFormatting>
  <conditionalFormatting sqref="CU118">
    <cfRule type="cellIs" dxfId="5401" priority="1321" operator="greaterThan">
      <formula>0</formula>
    </cfRule>
    <cfRule type="cellIs" dxfId="5400" priority="1322" operator="lessThanOrEqual">
      <formula>0</formula>
    </cfRule>
  </conditionalFormatting>
  <conditionalFormatting sqref="CT118">
    <cfRule type="cellIs" dxfId="5399" priority="1320" operator="greaterThanOrEqual">
      <formula>0</formula>
    </cfRule>
  </conditionalFormatting>
  <conditionalFormatting sqref="CT118">
    <cfRule type="cellIs" dxfId="5398" priority="1319" operator="lessThan">
      <formula>0</formula>
    </cfRule>
  </conditionalFormatting>
  <conditionalFormatting sqref="CW78 CW87 CW81 CW84 CW94 CW97 CW100 CW103">
    <cfRule type="cellIs" dxfId="5397" priority="1316" operator="greaterThanOrEqual">
      <formula>0</formula>
    </cfRule>
  </conditionalFormatting>
  <conditionalFormatting sqref="CW78 CW87 CW81 CW84 CW94 CW97 CW100 CW103">
    <cfRule type="cellIs" dxfId="5396" priority="1315" operator="lessThan">
      <formula>0</formula>
    </cfRule>
  </conditionalFormatting>
  <conditionalFormatting sqref="CW130">
    <cfRule type="cellIs" dxfId="5395" priority="1313" operator="greaterThanOrEqual">
      <formula>0</formula>
    </cfRule>
    <cfRule type="cellIs" dxfId="5394" priority="1314" operator="lessThan">
      <formula>0</formula>
    </cfRule>
  </conditionalFormatting>
  <conditionalFormatting sqref="CX76:CX77">
    <cfRule type="cellIs" dxfId="5393" priority="1311" operator="greaterThan">
      <formula>0</formula>
    </cfRule>
    <cfRule type="cellIs" dxfId="5392" priority="1312" operator="lessThanOrEqual">
      <formula>0</formula>
    </cfRule>
  </conditionalFormatting>
  <conditionalFormatting sqref="CX78 CX87 CX81 CX84 CX94 CX97 CX100 CX103">
    <cfRule type="cellIs" dxfId="5391" priority="1310" operator="greaterThanOrEqual">
      <formula>0</formula>
    </cfRule>
  </conditionalFormatting>
  <conditionalFormatting sqref="CX78 CX87 CX81 CX84 CX94 CX97 CX100 CX103">
    <cfRule type="cellIs" dxfId="5390" priority="1309" operator="lessThan">
      <formula>0</formula>
    </cfRule>
  </conditionalFormatting>
  <conditionalFormatting sqref="CX130">
    <cfRule type="cellIs" dxfId="5389" priority="1307" operator="lessThan">
      <formula>0</formula>
    </cfRule>
    <cfRule type="cellIs" dxfId="5388" priority="1308" operator="greaterThanOrEqual">
      <formula>0</formula>
    </cfRule>
  </conditionalFormatting>
  <conditionalFormatting sqref="CX115">
    <cfRule type="cellIs" dxfId="5387" priority="1303" operator="lessThan">
      <formula>0</formula>
    </cfRule>
  </conditionalFormatting>
  <conditionalFormatting sqref="CW115">
    <cfRule type="cellIs" dxfId="5386" priority="1306" operator="greaterThanOrEqual">
      <formula>0</formula>
    </cfRule>
  </conditionalFormatting>
  <conditionalFormatting sqref="CW115">
    <cfRule type="cellIs" dxfId="5385" priority="1305" operator="lessThan">
      <formula>0</formula>
    </cfRule>
  </conditionalFormatting>
  <conditionalFormatting sqref="CX115">
    <cfRule type="cellIs" dxfId="5384" priority="1304" operator="greaterThanOrEqual">
      <formula>0</formula>
    </cfRule>
  </conditionalFormatting>
  <conditionalFormatting sqref="CW105:CW106">
    <cfRule type="cellIs" dxfId="5383" priority="1301" operator="lessThan">
      <formula>0</formula>
    </cfRule>
    <cfRule type="cellIs" dxfId="5382" priority="1302" operator="greaterThanOrEqual">
      <formula>0</formula>
    </cfRule>
  </conditionalFormatting>
  <conditionalFormatting sqref="CW108:CW109">
    <cfRule type="cellIs" dxfId="5381" priority="1299" operator="lessThan">
      <formula>0</formula>
    </cfRule>
    <cfRule type="cellIs" dxfId="5380" priority="1300" operator="greaterThanOrEqual">
      <formula>0</formula>
    </cfRule>
  </conditionalFormatting>
  <conditionalFormatting sqref="CW116:CW117">
    <cfRule type="cellIs" dxfId="5379" priority="1297" operator="lessThan">
      <formula>0</formula>
    </cfRule>
    <cfRule type="cellIs" dxfId="5378" priority="1298" operator="greaterThanOrEqual">
      <formula>0</formula>
    </cfRule>
  </conditionalFormatting>
  <conditionalFormatting sqref="CW120:CW121">
    <cfRule type="cellIs" dxfId="5377" priority="1295" operator="lessThan">
      <formula>0</formula>
    </cfRule>
    <cfRule type="cellIs" dxfId="5376" priority="1296" operator="greaterThanOrEqual">
      <formula>0</formula>
    </cfRule>
  </conditionalFormatting>
  <conditionalFormatting sqref="CW123:CW124">
    <cfRule type="cellIs" dxfId="5375" priority="1293" operator="lessThan">
      <formula>0</formula>
    </cfRule>
    <cfRule type="cellIs" dxfId="5374" priority="1294" operator="greaterThanOrEqual">
      <formula>0</formula>
    </cfRule>
  </conditionalFormatting>
  <conditionalFormatting sqref="CW126:CW127">
    <cfRule type="cellIs" dxfId="5373" priority="1291" operator="lessThan">
      <formula>0</formula>
    </cfRule>
    <cfRule type="cellIs" dxfId="5372" priority="1292" operator="greaterThanOrEqual">
      <formula>0</formula>
    </cfRule>
  </conditionalFormatting>
  <conditionalFormatting sqref="CW88">
    <cfRule type="cellIs" dxfId="5371" priority="1290" operator="greaterThanOrEqual">
      <formula>0</formula>
    </cfRule>
  </conditionalFormatting>
  <conditionalFormatting sqref="CW88">
    <cfRule type="cellIs" dxfId="5370" priority="1289" operator="lessThan">
      <formula>0</formula>
    </cfRule>
  </conditionalFormatting>
  <conditionalFormatting sqref="CW89">
    <cfRule type="cellIs" dxfId="5369" priority="1288" operator="greaterThanOrEqual">
      <formula>0</formula>
    </cfRule>
  </conditionalFormatting>
  <conditionalFormatting sqref="CW89">
    <cfRule type="cellIs" dxfId="5368" priority="1287" operator="lessThan">
      <formula>0</formula>
    </cfRule>
  </conditionalFormatting>
  <conditionalFormatting sqref="CW91">
    <cfRule type="cellIs" dxfId="5367" priority="1286" operator="greaterThanOrEqual">
      <formula>0</formula>
    </cfRule>
  </conditionalFormatting>
  <conditionalFormatting sqref="CW91">
    <cfRule type="cellIs" dxfId="5366" priority="1285" operator="lessThan">
      <formula>0</formula>
    </cfRule>
  </conditionalFormatting>
  <conditionalFormatting sqref="CW104">
    <cfRule type="cellIs" dxfId="5365" priority="1284" operator="greaterThanOrEqual">
      <formula>0</formula>
    </cfRule>
  </conditionalFormatting>
  <conditionalFormatting sqref="CW104">
    <cfRule type="cellIs" dxfId="5364" priority="1283" operator="lessThan">
      <formula>0</formula>
    </cfRule>
  </conditionalFormatting>
  <conditionalFormatting sqref="CW110">
    <cfRule type="cellIs" dxfId="5363" priority="1280" operator="greaterThanOrEqual">
      <formula>0</formula>
    </cfRule>
  </conditionalFormatting>
  <conditionalFormatting sqref="CW110">
    <cfRule type="cellIs" dxfId="5362" priority="1279" operator="lessThan">
      <formula>0</formula>
    </cfRule>
  </conditionalFormatting>
  <conditionalFormatting sqref="CW113">
    <cfRule type="cellIs" dxfId="5361" priority="1278" operator="greaterThanOrEqual">
      <formula>0</formula>
    </cfRule>
  </conditionalFormatting>
  <conditionalFormatting sqref="CW113">
    <cfRule type="cellIs" dxfId="5360" priority="1277" operator="lessThan">
      <formula>0</formula>
    </cfRule>
  </conditionalFormatting>
  <conditionalFormatting sqref="CW122">
    <cfRule type="cellIs" dxfId="5359" priority="1274" operator="greaterThanOrEqual">
      <formula>0</formula>
    </cfRule>
  </conditionalFormatting>
  <conditionalFormatting sqref="CW122">
    <cfRule type="cellIs" dxfId="5358" priority="1273" operator="lessThan">
      <formula>0</formula>
    </cfRule>
  </conditionalFormatting>
  <conditionalFormatting sqref="CW125">
    <cfRule type="cellIs" dxfId="5357" priority="1272" operator="greaterThanOrEqual">
      <formula>0</formula>
    </cfRule>
  </conditionalFormatting>
  <conditionalFormatting sqref="CW125">
    <cfRule type="cellIs" dxfId="5356" priority="1271" operator="lessThan">
      <formula>0</formula>
    </cfRule>
  </conditionalFormatting>
  <conditionalFormatting sqref="CW128">
    <cfRule type="cellIs" dxfId="5355" priority="1270" operator="greaterThanOrEqual">
      <formula>0</formula>
    </cfRule>
  </conditionalFormatting>
  <conditionalFormatting sqref="CW128">
    <cfRule type="cellIs" dxfId="5354" priority="1269" operator="lessThan">
      <formula>0</formula>
    </cfRule>
  </conditionalFormatting>
  <conditionalFormatting sqref="CW119">
    <cfRule type="cellIs" dxfId="5353" priority="1268" operator="greaterThanOrEqual">
      <formula>0</formula>
    </cfRule>
  </conditionalFormatting>
  <conditionalFormatting sqref="CW119">
    <cfRule type="cellIs" dxfId="5352" priority="1267" operator="lessThan">
      <formula>0</formula>
    </cfRule>
  </conditionalFormatting>
  <conditionalFormatting sqref="CW129">
    <cfRule type="cellIs" dxfId="5351" priority="1266" operator="greaterThanOrEqual">
      <formula>0</formula>
    </cfRule>
  </conditionalFormatting>
  <conditionalFormatting sqref="CW129">
    <cfRule type="cellIs" dxfId="5350" priority="1265" operator="lessThan">
      <formula>0</formula>
    </cfRule>
  </conditionalFormatting>
  <conditionalFormatting sqref="CX79:CX80">
    <cfRule type="cellIs" dxfId="5349" priority="1263" operator="greaterThan">
      <formula>0</formula>
    </cfRule>
    <cfRule type="cellIs" dxfId="5348" priority="1264" operator="lessThanOrEqual">
      <formula>0</formula>
    </cfRule>
  </conditionalFormatting>
  <conditionalFormatting sqref="CX82:CX83">
    <cfRule type="cellIs" dxfId="5347" priority="1261" operator="greaterThan">
      <formula>0</formula>
    </cfRule>
    <cfRule type="cellIs" dxfId="5346" priority="1262" operator="lessThanOrEqual">
      <formula>0</formula>
    </cfRule>
  </conditionalFormatting>
  <conditionalFormatting sqref="CX85:CX86">
    <cfRule type="cellIs" dxfId="5345" priority="1259" operator="greaterThan">
      <formula>0</formula>
    </cfRule>
    <cfRule type="cellIs" dxfId="5344" priority="1260" operator="lessThanOrEqual">
      <formula>0</formula>
    </cfRule>
  </conditionalFormatting>
  <conditionalFormatting sqref="CX92:CX93">
    <cfRule type="cellIs" dxfId="5343" priority="1257" operator="greaterThan">
      <formula>0</formula>
    </cfRule>
    <cfRule type="cellIs" dxfId="5342" priority="1258" operator="lessThanOrEqual">
      <formula>0</formula>
    </cfRule>
  </conditionalFormatting>
  <conditionalFormatting sqref="CX95:CX96">
    <cfRule type="cellIs" dxfId="5341" priority="1255" operator="greaterThan">
      <formula>0</formula>
    </cfRule>
    <cfRule type="cellIs" dxfId="5340" priority="1256" operator="lessThanOrEqual">
      <formula>0</formula>
    </cfRule>
  </conditionalFormatting>
  <conditionalFormatting sqref="CX98:CX99">
    <cfRule type="cellIs" dxfId="5339" priority="1253" operator="greaterThan">
      <formula>0</formula>
    </cfRule>
    <cfRule type="cellIs" dxfId="5338" priority="1254" operator="lessThanOrEqual">
      <formula>0</formula>
    </cfRule>
  </conditionalFormatting>
  <conditionalFormatting sqref="CX101:CX102">
    <cfRule type="cellIs" dxfId="5337" priority="1251" operator="greaterThan">
      <formula>0</formula>
    </cfRule>
    <cfRule type="cellIs" dxfId="5336" priority="1252" operator="lessThanOrEqual">
      <formula>0</formula>
    </cfRule>
  </conditionalFormatting>
  <conditionalFormatting sqref="CX105:CX106">
    <cfRule type="cellIs" dxfId="5335" priority="1249" operator="greaterThan">
      <formula>0</formula>
    </cfRule>
    <cfRule type="cellIs" dxfId="5334" priority="1250" operator="lessThanOrEqual">
      <formula>0</formula>
    </cfRule>
  </conditionalFormatting>
  <conditionalFormatting sqref="CX108:CX109">
    <cfRule type="cellIs" dxfId="5333" priority="1247" operator="greaterThan">
      <formula>0</formula>
    </cfRule>
    <cfRule type="cellIs" dxfId="5332" priority="1248" operator="lessThanOrEqual">
      <formula>0</formula>
    </cfRule>
  </conditionalFormatting>
  <conditionalFormatting sqref="CX111:CX112">
    <cfRule type="cellIs" dxfId="5331" priority="1245" operator="greaterThan">
      <formula>0</formula>
    </cfRule>
    <cfRule type="cellIs" dxfId="5330" priority="1246" operator="lessThanOrEqual">
      <formula>0</formula>
    </cfRule>
  </conditionalFormatting>
  <conditionalFormatting sqref="CX116:CX117">
    <cfRule type="cellIs" dxfId="5329" priority="1243" operator="greaterThan">
      <formula>0</formula>
    </cfRule>
    <cfRule type="cellIs" dxfId="5328" priority="1244" operator="lessThanOrEqual">
      <formula>0</formula>
    </cfRule>
  </conditionalFormatting>
  <conditionalFormatting sqref="CX120:CX121">
    <cfRule type="cellIs" dxfId="5327" priority="1241" operator="greaterThan">
      <formula>0</formula>
    </cfRule>
    <cfRule type="cellIs" dxfId="5326" priority="1242" operator="lessThanOrEqual">
      <formula>0</formula>
    </cfRule>
  </conditionalFormatting>
  <conditionalFormatting sqref="CX126:CX127">
    <cfRule type="cellIs" dxfId="5325" priority="1237" operator="greaterThan">
      <formula>0</formula>
    </cfRule>
    <cfRule type="cellIs" dxfId="5324" priority="1238" operator="lessThanOrEqual">
      <formula>0</formula>
    </cfRule>
  </conditionalFormatting>
  <conditionalFormatting sqref="CX88">
    <cfRule type="cellIs" dxfId="5323" priority="1236" operator="greaterThanOrEqual">
      <formula>0</formula>
    </cfRule>
  </conditionalFormatting>
  <conditionalFormatting sqref="CX88">
    <cfRule type="cellIs" dxfId="5322" priority="1235" operator="lessThan">
      <formula>0</formula>
    </cfRule>
  </conditionalFormatting>
  <conditionalFormatting sqref="CX89">
    <cfRule type="cellIs" dxfId="5321" priority="1234" operator="greaterThanOrEqual">
      <formula>0</formula>
    </cfRule>
  </conditionalFormatting>
  <conditionalFormatting sqref="CX89">
    <cfRule type="cellIs" dxfId="5320" priority="1233" operator="lessThan">
      <formula>0</formula>
    </cfRule>
  </conditionalFormatting>
  <conditionalFormatting sqref="CX91">
    <cfRule type="cellIs" dxfId="5319" priority="1232" operator="greaterThanOrEqual">
      <formula>0</formula>
    </cfRule>
  </conditionalFormatting>
  <conditionalFormatting sqref="CX91">
    <cfRule type="cellIs" dxfId="5318" priority="1231" operator="lessThan">
      <formula>0</formula>
    </cfRule>
  </conditionalFormatting>
  <conditionalFormatting sqref="CX104">
    <cfRule type="cellIs" dxfId="5317" priority="1230" operator="greaterThanOrEqual">
      <formula>0</formula>
    </cfRule>
  </conditionalFormatting>
  <conditionalFormatting sqref="CX104">
    <cfRule type="cellIs" dxfId="5316" priority="1229" operator="lessThan">
      <formula>0</formula>
    </cfRule>
  </conditionalFormatting>
  <conditionalFormatting sqref="CX107">
    <cfRule type="cellIs" dxfId="5315" priority="1228" operator="greaterThanOrEqual">
      <formula>0</formula>
    </cfRule>
  </conditionalFormatting>
  <conditionalFormatting sqref="CX107">
    <cfRule type="cellIs" dxfId="5314" priority="1227" operator="lessThan">
      <formula>0</formula>
    </cfRule>
  </conditionalFormatting>
  <conditionalFormatting sqref="CX110">
    <cfRule type="cellIs" dxfId="5313" priority="1226" operator="greaterThanOrEqual">
      <formula>0</formula>
    </cfRule>
  </conditionalFormatting>
  <conditionalFormatting sqref="CX110">
    <cfRule type="cellIs" dxfId="5312" priority="1225" operator="lessThan">
      <formula>0</formula>
    </cfRule>
  </conditionalFormatting>
  <conditionalFormatting sqref="CX114">
    <cfRule type="cellIs" dxfId="5311" priority="1222" operator="greaterThanOrEqual">
      <formula>0</formula>
    </cfRule>
  </conditionalFormatting>
  <conditionalFormatting sqref="CX114">
    <cfRule type="cellIs" dxfId="5310" priority="1221" operator="lessThan">
      <formula>0</formula>
    </cfRule>
  </conditionalFormatting>
  <conditionalFormatting sqref="CX122">
    <cfRule type="cellIs" dxfId="5309" priority="1220" operator="greaterThanOrEqual">
      <formula>0</formula>
    </cfRule>
  </conditionalFormatting>
  <conditionalFormatting sqref="CX122">
    <cfRule type="cellIs" dxfId="5308" priority="1219" operator="lessThan">
      <formula>0</formula>
    </cfRule>
  </conditionalFormatting>
  <conditionalFormatting sqref="CW118">
    <cfRule type="cellIs" dxfId="5307" priority="1210" operator="greaterThanOrEqual">
      <formula>0</formula>
    </cfRule>
  </conditionalFormatting>
  <conditionalFormatting sqref="CW118">
    <cfRule type="cellIs" dxfId="5306" priority="1209" operator="lessThan">
      <formula>0</formula>
    </cfRule>
  </conditionalFormatting>
  <conditionalFormatting sqref="CQ133">
    <cfRule type="cellIs" dxfId="5305" priority="1205" operator="lessThan">
      <formula>0</formula>
    </cfRule>
    <cfRule type="cellIs" dxfId="5304" priority="1206" operator="greaterThanOrEqual">
      <formula>0</formula>
    </cfRule>
  </conditionalFormatting>
  <conditionalFormatting sqref="CQ176">
    <cfRule type="cellIs" dxfId="5303" priority="1203" operator="greaterThan">
      <formula>0</formula>
    </cfRule>
    <cfRule type="cellIs" dxfId="5302" priority="1204" operator="lessThanOrEqual">
      <formula>0</formula>
    </cfRule>
  </conditionalFormatting>
  <conditionalFormatting sqref="CP176">
    <cfRule type="cellIs" dxfId="5301" priority="1202" operator="greaterThanOrEqual">
      <formula>0</formula>
    </cfRule>
  </conditionalFormatting>
  <conditionalFormatting sqref="CP176">
    <cfRule type="cellIs" dxfId="5300" priority="1201" operator="lessThan">
      <formula>0</formula>
    </cfRule>
  </conditionalFormatting>
  <conditionalFormatting sqref="CT176">
    <cfRule type="cellIs" dxfId="5299" priority="1200" operator="greaterThanOrEqual">
      <formula>0</formula>
    </cfRule>
  </conditionalFormatting>
  <conditionalFormatting sqref="CT176">
    <cfRule type="cellIs" dxfId="5298" priority="1199" operator="lessThan">
      <formula>0</formula>
    </cfRule>
  </conditionalFormatting>
  <conditionalFormatting sqref="CW176">
    <cfRule type="cellIs" dxfId="5297" priority="1198" operator="greaterThanOrEqual">
      <formula>0</formula>
    </cfRule>
  </conditionalFormatting>
  <conditionalFormatting sqref="CW176">
    <cfRule type="cellIs" dxfId="5296" priority="1197" operator="lessThan">
      <formula>0</formula>
    </cfRule>
  </conditionalFormatting>
  <conditionalFormatting sqref="CX176">
    <cfRule type="cellIs" dxfId="5295" priority="1196" operator="greaterThanOrEqual">
      <formula>0</formula>
    </cfRule>
  </conditionalFormatting>
  <conditionalFormatting sqref="CX176">
    <cfRule type="cellIs" dxfId="5294" priority="1195" operator="lessThan">
      <formula>0</formula>
    </cfRule>
  </conditionalFormatting>
  <conditionalFormatting sqref="CQ175">
    <cfRule type="cellIs" dxfId="5293" priority="1193" operator="greaterThan">
      <formula>0</formula>
    </cfRule>
    <cfRule type="cellIs" dxfId="5292" priority="1194" operator="lessThanOrEqual">
      <formula>0</formula>
    </cfRule>
  </conditionalFormatting>
  <conditionalFormatting sqref="CP175">
    <cfRule type="cellIs" dxfId="5291" priority="1192" operator="greaterThanOrEqual">
      <formula>0</formula>
    </cfRule>
  </conditionalFormatting>
  <conditionalFormatting sqref="CP175">
    <cfRule type="cellIs" dxfId="5290" priority="1191" operator="lessThan">
      <formula>0</formula>
    </cfRule>
  </conditionalFormatting>
  <conditionalFormatting sqref="CW175:CX175">
    <cfRule type="cellIs" dxfId="5289" priority="1188" operator="greaterThanOrEqual">
      <formula>0</formula>
    </cfRule>
  </conditionalFormatting>
  <conditionalFormatting sqref="CW175:CX175">
    <cfRule type="cellIs" dxfId="5288" priority="1187" operator="lessThan">
      <formula>0</formula>
    </cfRule>
  </conditionalFormatting>
  <conditionalFormatting sqref="CT175">
    <cfRule type="cellIs" dxfId="5287" priority="1190" operator="greaterThanOrEqual">
      <formula>0</formula>
    </cfRule>
  </conditionalFormatting>
  <conditionalFormatting sqref="CT175">
    <cfRule type="cellIs" dxfId="5286" priority="1189" operator="lessThan">
      <formula>0</formula>
    </cfRule>
  </conditionalFormatting>
  <conditionalFormatting sqref="CU134">
    <cfRule type="cellIs" dxfId="5285" priority="1185" operator="greaterThan">
      <formula>0</formula>
    </cfRule>
    <cfRule type="cellIs" dxfId="5284" priority="1186" operator="lessThanOrEqual">
      <formula>0</formula>
    </cfRule>
  </conditionalFormatting>
  <conditionalFormatting sqref="CU136:CU137">
    <cfRule type="cellIs" dxfId="5283" priority="1183" operator="greaterThan">
      <formula>0</formula>
    </cfRule>
    <cfRule type="cellIs" dxfId="5282" priority="1184" operator="lessThanOrEqual">
      <formula>0</formula>
    </cfRule>
  </conditionalFormatting>
  <conditionalFormatting sqref="CU173:CU174">
    <cfRule type="cellIs" dxfId="5281" priority="1165" operator="greaterThan">
      <formula>0</formula>
    </cfRule>
    <cfRule type="cellIs" dxfId="5280" priority="1166" operator="lessThanOrEqual">
      <formula>0</formula>
    </cfRule>
  </conditionalFormatting>
  <conditionalFormatting sqref="CU144">
    <cfRule type="cellIs" dxfId="5279" priority="1155" operator="greaterThan">
      <formula>0</formula>
    </cfRule>
    <cfRule type="cellIs" dxfId="5278" priority="1156" operator="lessThanOrEqual">
      <formula>0</formula>
    </cfRule>
  </conditionalFormatting>
  <conditionalFormatting sqref="CU154">
    <cfRule type="cellIs" dxfId="5277" priority="1153" operator="greaterThan">
      <formula>0</formula>
    </cfRule>
    <cfRule type="cellIs" dxfId="5276" priority="1154" operator="lessThanOrEqual">
      <formula>0</formula>
    </cfRule>
  </conditionalFormatting>
  <conditionalFormatting sqref="CU157">
    <cfRule type="cellIs" dxfId="5275" priority="1151" operator="greaterThan">
      <formula>0</formula>
    </cfRule>
    <cfRule type="cellIs" dxfId="5274" priority="1152" operator="lessThanOrEqual">
      <formula>0</formula>
    </cfRule>
  </conditionalFormatting>
  <conditionalFormatting sqref="CU164">
    <cfRule type="cellIs" dxfId="5273" priority="1127" operator="greaterThan">
      <formula>0</formula>
    </cfRule>
    <cfRule type="cellIs" dxfId="5272" priority="1128" operator="lessThanOrEqual">
      <formula>0</formula>
    </cfRule>
  </conditionalFormatting>
  <conditionalFormatting sqref="CU171">
    <cfRule type="cellIs" dxfId="5271" priority="1133" operator="greaterThan">
      <formula>0</formula>
    </cfRule>
    <cfRule type="cellIs" dxfId="5270" priority="1134" operator="lessThanOrEqual">
      <formula>0</formula>
    </cfRule>
  </conditionalFormatting>
  <conditionalFormatting sqref="CU139:CU140">
    <cfRule type="cellIs" dxfId="5269" priority="1181" operator="greaterThan">
      <formula>0</formula>
    </cfRule>
    <cfRule type="cellIs" dxfId="5268" priority="1182" operator="lessThanOrEqual">
      <formula>0</formula>
    </cfRule>
  </conditionalFormatting>
  <conditionalFormatting sqref="CU149:CU150">
    <cfRule type="cellIs" dxfId="5267" priority="1179" operator="greaterThan">
      <formula>0</formula>
    </cfRule>
    <cfRule type="cellIs" dxfId="5266" priority="1180" operator="lessThanOrEqual">
      <formula>0</formula>
    </cfRule>
  </conditionalFormatting>
  <conditionalFormatting sqref="CU142:CU143">
    <cfRule type="cellIs" dxfId="5265" priority="1177" operator="greaterThan">
      <formula>0</formula>
    </cfRule>
    <cfRule type="cellIs" dxfId="5264" priority="1178" operator="lessThanOrEqual">
      <formula>0</formula>
    </cfRule>
  </conditionalFormatting>
  <conditionalFormatting sqref="CU152:CU153">
    <cfRule type="cellIs" dxfId="5263" priority="1175" operator="greaterThan">
      <formula>0</formula>
    </cfRule>
    <cfRule type="cellIs" dxfId="5262" priority="1176" operator="lessThanOrEqual">
      <formula>0</formula>
    </cfRule>
  </conditionalFormatting>
  <conditionalFormatting sqref="CU155:CU156">
    <cfRule type="cellIs" dxfId="5261" priority="1173" operator="greaterThan">
      <formula>0</formula>
    </cfRule>
    <cfRule type="cellIs" dxfId="5260" priority="1174" operator="lessThanOrEqual">
      <formula>0</formula>
    </cfRule>
  </conditionalFormatting>
  <conditionalFormatting sqref="CU158:CU159">
    <cfRule type="cellIs" dxfId="5259" priority="1171" operator="greaterThan">
      <formula>0</formula>
    </cfRule>
    <cfRule type="cellIs" dxfId="5258" priority="1172" operator="lessThanOrEqual">
      <formula>0</formula>
    </cfRule>
  </conditionalFormatting>
  <conditionalFormatting sqref="CU168:CU169">
    <cfRule type="cellIs" dxfId="5257" priority="1169" operator="greaterThan">
      <formula>0</formula>
    </cfRule>
    <cfRule type="cellIs" dxfId="5256" priority="1170" operator="lessThanOrEqual">
      <formula>0</formula>
    </cfRule>
  </conditionalFormatting>
  <conditionalFormatting sqref="CU183:CU184">
    <cfRule type="cellIs" dxfId="5255" priority="1167" operator="greaterThan">
      <formula>0</formula>
    </cfRule>
    <cfRule type="cellIs" dxfId="5254" priority="1168" operator="lessThanOrEqual">
      <formula>0</formula>
    </cfRule>
  </conditionalFormatting>
  <conditionalFormatting sqref="CU135">
    <cfRule type="cellIs" dxfId="5253" priority="1163" operator="greaterThan">
      <formula>0</formula>
    </cfRule>
    <cfRule type="cellIs" dxfId="5252" priority="1164" operator="lessThanOrEqual">
      <formula>0</formula>
    </cfRule>
  </conditionalFormatting>
  <conditionalFormatting sqref="CU138">
    <cfRule type="cellIs" dxfId="5251" priority="1161" operator="greaterThan">
      <formula>0</formula>
    </cfRule>
    <cfRule type="cellIs" dxfId="5250" priority="1162" operator="lessThanOrEqual">
      <formula>0</formula>
    </cfRule>
  </conditionalFormatting>
  <conditionalFormatting sqref="CU141">
    <cfRule type="cellIs" dxfId="5249" priority="1159" operator="greaterThan">
      <formula>0</formula>
    </cfRule>
    <cfRule type="cellIs" dxfId="5248" priority="1160" operator="lessThanOrEqual">
      <formula>0</formula>
    </cfRule>
  </conditionalFormatting>
  <conditionalFormatting sqref="CU151">
    <cfRule type="cellIs" dxfId="5247" priority="1157" operator="greaterThan">
      <formula>0</formula>
    </cfRule>
    <cfRule type="cellIs" dxfId="5246" priority="1158" operator="lessThanOrEqual">
      <formula>0</formula>
    </cfRule>
  </conditionalFormatting>
  <conditionalFormatting sqref="CU160">
    <cfRule type="cellIs" dxfId="5245" priority="1149" operator="greaterThan">
      <formula>0</formula>
    </cfRule>
    <cfRule type="cellIs" dxfId="5244" priority="1150" operator="lessThanOrEqual">
      <formula>0</formula>
    </cfRule>
  </conditionalFormatting>
  <conditionalFormatting sqref="CU146">
    <cfRule type="cellIs" dxfId="5243" priority="1147" operator="greaterThan">
      <formula>0</formula>
    </cfRule>
    <cfRule type="cellIs" dxfId="5242" priority="1148" operator="lessThanOrEqual">
      <formula>0</formula>
    </cfRule>
  </conditionalFormatting>
  <conditionalFormatting sqref="CU186">
    <cfRule type="cellIs" dxfId="5241" priority="1145" operator="greaterThan">
      <formula>0</formula>
    </cfRule>
    <cfRule type="cellIs" dxfId="5240" priority="1146" operator="lessThanOrEqual">
      <formula>0</formula>
    </cfRule>
  </conditionalFormatting>
  <conditionalFormatting sqref="CU187">
    <cfRule type="cellIs" dxfId="5239" priority="1143" operator="greaterThan">
      <formula>0</formula>
    </cfRule>
    <cfRule type="cellIs" dxfId="5238" priority="1144" operator="lessThanOrEqual">
      <formula>0</formula>
    </cfRule>
  </conditionalFormatting>
  <conditionalFormatting sqref="CU172">
    <cfRule type="cellIs" dxfId="5237" priority="1141" operator="greaterThan">
      <formula>0</formula>
    </cfRule>
    <cfRule type="cellIs" dxfId="5236" priority="1142" operator="lessThanOrEqual">
      <formula>0</formula>
    </cfRule>
  </conditionalFormatting>
  <conditionalFormatting sqref="CU145">
    <cfRule type="cellIs" dxfId="5235" priority="1139" operator="greaterThan">
      <formula>0</formula>
    </cfRule>
    <cfRule type="cellIs" dxfId="5234" priority="1140" operator="lessThanOrEqual">
      <formula>0</formula>
    </cfRule>
  </conditionalFormatting>
  <conditionalFormatting sqref="CU167">
    <cfRule type="cellIs" dxfId="5233" priority="1125" operator="greaterThan">
      <formula>0</formula>
    </cfRule>
    <cfRule type="cellIs" dxfId="5232" priority="1126" operator="lessThanOrEqual">
      <formula>0</formula>
    </cfRule>
  </conditionalFormatting>
  <conditionalFormatting sqref="CU170">
    <cfRule type="cellIs" dxfId="5231" priority="1123" operator="greaterThan">
      <formula>0</formula>
    </cfRule>
    <cfRule type="cellIs" dxfId="5230" priority="1124" operator="lessThanOrEqual">
      <formula>0</formula>
    </cfRule>
  </conditionalFormatting>
  <conditionalFormatting sqref="CU148">
    <cfRule type="cellIs" dxfId="5229" priority="1137" operator="greaterThan">
      <formula>0</formula>
    </cfRule>
    <cfRule type="cellIs" dxfId="5228" priority="1138" operator="lessThanOrEqual">
      <formula>0</formula>
    </cfRule>
  </conditionalFormatting>
  <conditionalFormatting sqref="CU161">
    <cfRule type="cellIs" dxfId="5227" priority="1135" operator="greaterThan">
      <formula>0</formula>
    </cfRule>
    <cfRule type="cellIs" dxfId="5226" priority="1136" operator="lessThanOrEqual">
      <formula>0</formula>
    </cfRule>
  </conditionalFormatting>
  <conditionalFormatting sqref="CU162:CU163 CU165:CU166">
    <cfRule type="cellIs" dxfId="5225" priority="1131" operator="greaterThan">
      <formula>0</formula>
    </cfRule>
    <cfRule type="cellIs" dxfId="5224" priority="1132" operator="lessThanOrEqual">
      <formula>0</formula>
    </cfRule>
  </conditionalFormatting>
  <conditionalFormatting sqref="CU177:CU178 CU180:CU181">
    <cfRule type="cellIs" dxfId="5223" priority="1129" operator="greaterThan">
      <formula>0</formula>
    </cfRule>
    <cfRule type="cellIs" dxfId="5222" priority="1130" operator="lessThanOrEqual">
      <formula>0</formula>
    </cfRule>
  </conditionalFormatting>
  <conditionalFormatting sqref="CU179">
    <cfRule type="cellIs" dxfId="5221" priority="1121" operator="greaterThan">
      <formula>0</formula>
    </cfRule>
    <cfRule type="cellIs" dxfId="5220" priority="1122" operator="lessThanOrEqual">
      <formula>0</formula>
    </cfRule>
  </conditionalFormatting>
  <conditionalFormatting sqref="CU182">
    <cfRule type="cellIs" dxfId="5219" priority="1119" operator="greaterThan">
      <formula>0</formula>
    </cfRule>
    <cfRule type="cellIs" dxfId="5218" priority="1120" operator="lessThanOrEqual">
      <formula>0</formula>
    </cfRule>
  </conditionalFormatting>
  <conditionalFormatting sqref="CU185">
    <cfRule type="cellIs" dxfId="5217" priority="1117" operator="greaterThan">
      <formula>0</formula>
    </cfRule>
    <cfRule type="cellIs" dxfId="5216" priority="1118" operator="lessThanOrEqual">
      <formula>0</formula>
    </cfRule>
  </conditionalFormatting>
  <conditionalFormatting sqref="CU133">
    <cfRule type="cellIs" dxfId="5215" priority="1115" operator="lessThan">
      <formula>0</formula>
    </cfRule>
    <cfRule type="cellIs" dxfId="5214" priority="1116" operator="greaterThanOrEqual">
      <formula>0</formula>
    </cfRule>
  </conditionalFormatting>
  <conditionalFormatting sqref="CU176">
    <cfRule type="cellIs" dxfId="5213" priority="1113" operator="greaterThan">
      <formula>0</formula>
    </cfRule>
    <cfRule type="cellIs" dxfId="5212" priority="1114" operator="lessThanOrEqual">
      <formula>0</formula>
    </cfRule>
  </conditionalFormatting>
  <conditionalFormatting sqref="CU175">
    <cfRule type="cellIs" dxfId="5211" priority="1111" operator="greaterThan">
      <formula>0</formula>
    </cfRule>
    <cfRule type="cellIs" dxfId="5210" priority="1112" operator="lessThanOrEqual">
      <formula>0</formula>
    </cfRule>
  </conditionalFormatting>
  <conditionalFormatting sqref="CQ27">
    <cfRule type="cellIs" dxfId="5209" priority="1109" operator="greaterThan">
      <formula>0</formula>
    </cfRule>
    <cfRule type="cellIs" dxfId="5208" priority="1110" operator="lessThanOrEqual">
      <formula>0</formula>
    </cfRule>
  </conditionalFormatting>
  <conditionalFormatting sqref="CP27">
    <cfRule type="cellIs" dxfId="5207" priority="1108" operator="greaterThanOrEqual">
      <formula>0</formula>
    </cfRule>
  </conditionalFormatting>
  <conditionalFormatting sqref="CP27">
    <cfRule type="cellIs" dxfId="5206" priority="1107" operator="lessThan">
      <formula>0</formula>
    </cfRule>
  </conditionalFormatting>
  <conditionalFormatting sqref="CU27">
    <cfRule type="cellIs" dxfId="5205" priority="1105" operator="greaterThan">
      <formula>0</formula>
    </cfRule>
    <cfRule type="cellIs" dxfId="5204" priority="1106" operator="lessThanOrEqual">
      <formula>0</formula>
    </cfRule>
  </conditionalFormatting>
  <conditionalFormatting sqref="CT27">
    <cfRule type="cellIs" dxfId="5203" priority="1104" operator="greaterThanOrEqual">
      <formula>0</formula>
    </cfRule>
  </conditionalFormatting>
  <conditionalFormatting sqref="CT27">
    <cfRule type="cellIs" dxfId="5202" priority="1103" operator="lessThan">
      <formula>0</formula>
    </cfRule>
  </conditionalFormatting>
  <conditionalFormatting sqref="CW27">
    <cfRule type="cellIs" dxfId="5201" priority="1102" operator="greaterThanOrEqual">
      <formula>0</formula>
    </cfRule>
  </conditionalFormatting>
  <conditionalFormatting sqref="CW27">
    <cfRule type="cellIs" dxfId="5200" priority="1101" operator="lessThan">
      <formula>0</formula>
    </cfRule>
  </conditionalFormatting>
  <conditionalFormatting sqref="CX27">
    <cfRule type="cellIs" dxfId="5199" priority="1100" operator="greaterThanOrEqual">
      <formula>0</formula>
    </cfRule>
  </conditionalFormatting>
  <conditionalFormatting sqref="CX27">
    <cfRule type="cellIs" dxfId="5198" priority="1099" operator="lessThan">
      <formula>0</formula>
    </cfRule>
  </conditionalFormatting>
  <conditionalFormatting sqref="CQ90">
    <cfRule type="cellIs" dxfId="5197" priority="1097" operator="greaterThan">
      <formula>0</formula>
    </cfRule>
    <cfRule type="cellIs" dxfId="5196" priority="1098" operator="lessThanOrEqual">
      <formula>0</formula>
    </cfRule>
  </conditionalFormatting>
  <conditionalFormatting sqref="CP90">
    <cfRule type="cellIs" dxfId="5195" priority="1096" operator="greaterThanOrEqual">
      <formula>0</formula>
    </cfRule>
  </conditionalFormatting>
  <conditionalFormatting sqref="CP90">
    <cfRule type="cellIs" dxfId="5194" priority="1095" operator="lessThan">
      <formula>0</formula>
    </cfRule>
  </conditionalFormatting>
  <conditionalFormatting sqref="CU90">
    <cfRule type="cellIs" dxfId="5193" priority="1093" operator="greaterThan">
      <formula>0</formula>
    </cfRule>
    <cfRule type="cellIs" dxfId="5192" priority="1094" operator="lessThanOrEqual">
      <formula>0</formula>
    </cfRule>
  </conditionalFormatting>
  <conditionalFormatting sqref="CT90">
    <cfRule type="cellIs" dxfId="5191" priority="1092" operator="greaterThanOrEqual">
      <formula>0</formula>
    </cfRule>
  </conditionalFormatting>
  <conditionalFormatting sqref="CT90">
    <cfRule type="cellIs" dxfId="5190" priority="1091" operator="lessThan">
      <formula>0</formula>
    </cfRule>
  </conditionalFormatting>
  <conditionalFormatting sqref="CW90">
    <cfRule type="cellIs" dxfId="5189" priority="1090" operator="greaterThanOrEqual">
      <formula>0</formula>
    </cfRule>
  </conditionalFormatting>
  <conditionalFormatting sqref="CW90">
    <cfRule type="cellIs" dxfId="5188" priority="1089" operator="lessThan">
      <formula>0</formula>
    </cfRule>
  </conditionalFormatting>
  <conditionalFormatting sqref="CX90">
    <cfRule type="cellIs" dxfId="5187" priority="1088" operator="greaterThanOrEqual">
      <formula>0</formula>
    </cfRule>
  </conditionalFormatting>
  <conditionalFormatting sqref="CX90">
    <cfRule type="cellIs" dxfId="5186" priority="1087" operator="lessThan">
      <formula>0</formula>
    </cfRule>
  </conditionalFormatting>
  <conditionalFormatting sqref="CQ147">
    <cfRule type="cellIs" dxfId="5185" priority="1085" operator="greaterThan">
      <formula>0</formula>
    </cfRule>
    <cfRule type="cellIs" dxfId="5184" priority="1086" operator="lessThanOrEqual">
      <formula>0</formula>
    </cfRule>
  </conditionalFormatting>
  <conditionalFormatting sqref="CT147 CW147:CX147 CP147">
    <cfRule type="cellIs" dxfId="5183" priority="1084" operator="greaterThanOrEqual">
      <formula>0</formula>
    </cfRule>
  </conditionalFormatting>
  <conditionalFormatting sqref="CT147 CW147:CX147 CP147">
    <cfRule type="cellIs" dxfId="5182" priority="1083" operator="lessThan">
      <formula>0</formula>
    </cfRule>
  </conditionalFormatting>
  <conditionalFormatting sqref="CU147">
    <cfRule type="cellIs" dxfId="5181" priority="1081" operator="greaterThan">
      <formula>0</formula>
    </cfRule>
    <cfRule type="cellIs" dxfId="5180" priority="1082" operator="lessThanOrEqual">
      <formula>0</formula>
    </cfRule>
  </conditionalFormatting>
  <conditionalFormatting sqref="DB13:DB14">
    <cfRule type="cellIs" dxfId="5179" priority="1079" operator="greaterThan">
      <formula>0</formula>
    </cfRule>
    <cfRule type="cellIs" dxfId="5178" priority="1080" operator="lessThanOrEqual">
      <formula>0</formula>
    </cfRule>
  </conditionalFormatting>
  <conditionalFormatting sqref="DB16:DB17">
    <cfRule type="cellIs" dxfId="5177" priority="1077" operator="greaterThan">
      <formula>0</formula>
    </cfRule>
    <cfRule type="cellIs" dxfId="5176" priority="1078" operator="lessThanOrEqual">
      <formula>0</formula>
    </cfRule>
  </conditionalFormatting>
  <conditionalFormatting sqref="DB19:DB20">
    <cfRule type="cellIs" dxfId="5175" priority="1075" operator="greaterThan">
      <formula>0</formula>
    </cfRule>
    <cfRule type="cellIs" dxfId="5174" priority="1076" operator="lessThanOrEqual">
      <formula>0</formula>
    </cfRule>
  </conditionalFormatting>
  <conditionalFormatting sqref="DB29:DB30">
    <cfRule type="cellIs" dxfId="5173" priority="1073" operator="greaterThan">
      <formula>0</formula>
    </cfRule>
    <cfRule type="cellIs" dxfId="5172" priority="1074" operator="lessThanOrEqual">
      <formula>0</formula>
    </cfRule>
  </conditionalFormatting>
  <conditionalFormatting sqref="DB22:DB23">
    <cfRule type="cellIs" dxfId="5171" priority="1071" operator="greaterThan">
      <formula>0</formula>
    </cfRule>
    <cfRule type="cellIs" dxfId="5170" priority="1072" operator="lessThanOrEqual">
      <formula>0</formula>
    </cfRule>
  </conditionalFormatting>
  <conditionalFormatting sqref="DB32:DB33">
    <cfRule type="cellIs" dxfId="5169" priority="1069" operator="greaterThan">
      <formula>0</formula>
    </cfRule>
    <cfRule type="cellIs" dxfId="5168" priority="1070" operator="lessThanOrEqual">
      <formula>0</formula>
    </cfRule>
  </conditionalFormatting>
  <conditionalFormatting sqref="DB35:DB36">
    <cfRule type="cellIs" dxfId="5167" priority="1067" operator="greaterThan">
      <formula>0</formula>
    </cfRule>
    <cfRule type="cellIs" dxfId="5166" priority="1068" operator="lessThanOrEqual">
      <formula>0</formula>
    </cfRule>
  </conditionalFormatting>
  <conditionalFormatting sqref="DB38:DB39">
    <cfRule type="cellIs" dxfId="5165" priority="1065" operator="greaterThan">
      <formula>0</formula>
    </cfRule>
    <cfRule type="cellIs" dxfId="5164" priority="1066" operator="lessThanOrEqual">
      <formula>0</formula>
    </cfRule>
  </conditionalFormatting>
  <conditionalFormatting sqref="DB48:DB49">
    <cfRule type="cellIs" dxfId="5163" priority="1063" operator="greaterThan">
      <formula>0</formula>
    </cfRule>
    <cfRule type="cellIs" dxfId="5162" priority="1064" operator="lessThanOrEqual">
      <formula>0</formula>
    </cfRule>
  </conditionalFormatting>
  <conditionalFormatting sqref="DB63:DB64">
    <cfRule type="cellIs" dxfId="5161" priority="1061" operator="greaterThan">
      <formula>0</formula>
    </cfRule>
    <cfRule type="cellIs" dxfId="5160" priority="1062" operator="lessThanOrEqual">
      <formula>0</formula>
    </cfRule>
  </conditionalFormatting>
  <conditionalFormatting sqref="DB53:DB54">
    <cfRule type="cellIs" dxfId="5159" priority="1059" operator="greaterThan">
      <formula>0</formula>
    </cfRule>
    <cfRule type="cellIs" dxfId="5158" priority="1060" operator="lessThanOrEqual">
      <formula>0</formula>
    </cfRule>
  </conditionalFormatting>
  <conditionalFormatting sqref="DB15">
    <cfRule type="cellIs" dxfId="5157" priority="1057" operator="greaterThan">
      <formula>0</formula>
    </cfRule>
    <cfRule type="cellIs" dxfId="5156" priority="1058" operator="lessThanOrEqual">
      <formula>0</formula>
    </cfRule>
  </conditionalFormatting>
  <conditionalFormatting sqref="DB18">
    <cfRule type="cellIs" dxfId="5155" priority="1055" operator="greaterThan">
      <formula>0</formula>
    </cfRule>
    <cfRule type="cellIs" dxfId="5154" priority="1056" operator="lessThanOrEqual">
      <formula>0</formula>
    </cfRule>
  </conditionalFormatting>
  <conditionalFormatting sqref="DB21">
    <cfRule type="cellIs" dxfId="5153" priority="1053" operator="greaterThan">
      <formula>0</formula>
    </cfRule>
    <cfRule type="cellIs" dxfId="5152" priority="1054" operator="lessThanOrEqual">
      <formula>0</formula>
    </cfRule>
  </conditionalFormatting>
  <conditionalFormatting sqref="DB31">
    <cfRule type="cellIs" dxfId="5151" priority="1051" operator="greaterThan">
      <formula>0</formula>
    </cfRule>
    <cfRule type="cellIs" dxfId="5150" priority="1052" operator="lessThanOrEqual">
      <formula>0</formula>
    </cfRule>
  </conditionalFormatting>
  <conditionalFormatting sqref="DB24">
    <cfRule type="cellIs" dxfId="5149" priority="1049" operator="greaterThan">
      <formula>0</formula>
    </cfRule>
    <cfRule type="cellIs" dxfId="5148" priority="1050" operator="lessThanOrEqual">
      <formula>0</formula>
    </cfRule>
  </conditionalFormatting>
  <conditionalFormatting sqref="DB34">
    <cfRule type="cellIs" dxfId="5147" priority="1047" operator="greaterThan">
      <formula>0</formula>
    </cfRule>
    <cfRule type="cellIs" dxfId="5146" priority="1048" operator="lessThanOrEqual">
      <formula>0</formula>
    </cfRule>
  </conditionalFormatting>
  <conditionalFormatting sqref="DB37">
    <cfRule type="cellIs" dxfId="5145" priority="1045" operator="greaterThan">
      <formula>0</formula>
    </cfRule>
    <cfRule type="cellIs" dxfId="5144" priority="1046" operator="lessThanOrEqual">
      <formula>0</formula>
    </cfRule>
  </conditionalFormatting>
  <conditionalFormatting sqref="DB40">
    <cfRule type="cellIs" dxfId="5143" priority="1043" operator="greaterThan">
      <formula>0</formula>
    </cfRule>
    <cfRule type="cellIs" dxfId="5142" priority="1044" operator="lessThanOrEqual">
      <formula>0</formula>
    </cfRule>
  </conditionalFormatting>
  <conditionalFormatting sqref="DB26">
    <cfRule type="cellIs" dxfId="5141" priority="1041" operator="greaterThan">
      <formula>0</formula>
    </cfRule>
    <cfRule type="cellIs" dxfId="5140" priority="1042" operator="lessThanOrEqual">
      <formula>0</formula>
    </cfRule>
  </conditionalFormatting>
  <conditionalFormatting sqref="DB66 DB68 DB71">
    <cfRule type="cellIs" dxfId="5139" priority="1039" operator="greaterThan">
      <formula>0</formula>
    </cfRule>
    <cfRule type="cellIs" dxfId="5138" priority="1040" operator="lessThanOrEqual">
      <formula>0</formula>
    </cfRule>
  </conditionalFormatting>
  <conditionalFormatting sqref="DA13:DA14 DA16:DA17 DA19:DA20 DA22:DA23 DA29:DA30 DA32:DA33 DA35:DA36 DA38:DA39 DA48:DA49 DA53:DA54">
    <cfRule type="cellIs" dxfId="5137" priority="1037" operator="lessThan">
      <formula>0</formula>
    </cfRule>
    <cfRule type="cellIs" dxfId="5136" priority="1038" operator="greaterThanOrEqual">
      <formula>0</formula>
    </cfRule>
  </conditionalFormatting>
  <conditionalFormatting sqref="DA15 DA18 DA21 DA24 DA26 DA31 DA34 DA37 DA40">
    <cfRule type="cellIs" dxfId="5135" priority="1036" operator="greaterThanOrEqual">
      <formula>0</formula>
    </cfRule>
  </conditionalFormatting>
  <conditionalFormatting sqref="DA15 DA18 DA21 DA24 DA26 DA31 DA34 DA37 DA40">
    <cfRule type="cellIs" dxfId="5134" priority="1035" operator="lessThan">
      <formula>0</formula>
    </cfRule>
  </conditionalFormatting>
  <conditionalFormatting sqref="DB73">
    <cfRule type="cellIs" dxfId="5133" priority="1033" operator="greaterThan">
      <formula>0</formula>
    </cfRule>
    <cfRule type="cellIs" dxfId="5132" priority="1034" operator="lessThanOrEqual">
      <formula>0</formula>
    </cfRule>
  </conditionalFormatting>
  <conditionalFormatting sqref="DB67">
    <cfRule type="cellIs" dxfId="5131" priority="1031" operator="greaterThan">
      <formula>0</formula>
    </cfRule>
    <cfRule type="cellIs" dxfId="5130" priority="1032" operator="lessThanOrEqual">
      <formula>0</formula>
    </cfRule>
  </conditionalFormatting>
  <conditionalFormatting sqref="DA67">
    <cfRule type="cellIs" dxfId="5129" priority="1029" operator="greaterThanOrEqual">
      <formula>0</formula>
    </cfRule>
    <cfRule type="cellIs" dxfId="5128" priority="1030" operator="lessThan">
      <formula>0</formula>
    </cfRule>
  </conditionalFormatting>
  <conditionalFormatting sqref="DH13:DH14 DH16:DH17 DH19:DH20 DH22:DH23 DH29:DH30 DH32:DH33 DH35:DH36 DH38:DH39 DH48:DH49">
    <cfRule type="cellIs" dxfId="5127" priority="1027" operator="lessThan">
      <formula>0</formula>
    </cfRule>
    <cfRule type="cellIs" dxfId="5126" priority="1028" operator="greaterThanOrEqual">
      <formula>0</formula>
    </cfRule>
  </conditionalFormatting>
  <conditionalFormatting sqref="DH15 DH24 DH18 DH21 DH31 DH34 DH37 DH40">
    <cfRule type="cellIs" dxfId="5125" priority="1026" operator="greaterThanOrEqual">
      <formula>0</formula>
    </cfRule>
  </conditionalFormatting>
  <conditionalFormatting sqref="DH15 DH24 DH18 DH21 DH31 DH34 DH37 DH40">
    <cfRule type="cellIs" dxfId="5124" priority="1025" operator="lessThan">
      <formula>0</formula>
    </cfRule>
  </conditionalFormatting>
  <conditionalFormatting sqref="DH71 DH73">
    <cfRule type="cellIs" dxfId="5123" priority="1023" operator="lessThan">
      <formula>0</formula>
    </cfRule>
    <cfRule type="cellIs" dxfId="5122" priority="1024" operator="greaterThanOrEqual">
      <formula>0</formula>
    </cfRule>
  </conditionalFormatting>
  <conditionalFormatting sqref="DH67">
    <cfRule type="cellIs" dxfId="5121" priority="1021" operator="greaterThanOrEqual">
      <formula>0</formula>
    </cfRule>
    <cfRule type="cellIs" dxfId="5120" priority="1022" operator="lessThan">
      <formula>0</formula>
    </cfRule>
  </conditionalFormatting>
  <conditionalFormatting sqref="DI13:DI14">
    <cfRule type="cellIs" dxfId="5119" priority="1019" operator="greaterThan">
      <formula>0</formula>
    </cfRule>
    <cfRule type="cellIs" dxfId="5118" priority="1020" operator="lessThanOrEqual">
      <formula>0</formula>
    </cfRule>
  </conditionalFormatting>
  <conditionalFormatting sqref="DI68">
    <cfRule type="cellIs" dxfId="5117" priority="1017" operator="lessThan">
      <formula>0</formula>
    </cfRule>
    <cfRule type="cellIs" dxfId="5116" priority="1018" operator="greaterThanOrEqual">
      <formula>0</formula>
    </cfRule>
  </conditionalFormatting>
  <conditionalFormatting sqref="DI15 DI24 DI18 DI21 DI31 DI34 DI37 DI40">
    <cfRule type="cellIs" dxfId="5115" priority="1016" operator="greaterThanOrEqual">
      <formula>0</formula>
    </cfRule>
  </conditionalFormatting>
  <conditionalFormatting sqref="DI15 DI24 DI18 DI21 DI31 DI34 DI37 DI40">
    <cfRule type="cellIs" dxfId="5114" priority="1015" operator="lessThan">
      <formula>0</formula>
    </cfRule>
  </conditionalFormatting>
  <conditionalFormatting sqref="DH68">
    <cfRule type="cellIs" dxfId="5113" priority="1013" operator="lessThan">
      <formula>0</formula>
    </cfRule>
    <cfRule type="cellIs" dxfId="5112" priority="1014" operator="greaterThanOrEqual">
      <formula>0</formula>
    </cfRule>
  </conditionalFormatting>
  <conditionalFormatting sqref="DI71 DI73">
    <cfRule type="cellIs" dxfId="5111" priority="1011" operator="lessThan">
      <formula>0</formula>
    </cfRule>
    <cfRule type="cellIs" dxfId="5110" priority="1012" operator="greaterThanOrEqual">
      <formula>0</formula>
    </cfRule>
  </conditionalFormatting>
  <conditionalFormatting sqref="DI67">
    <cfRule type="cellIs" dxfId="5109" priority="1009" operator="lessThan">
      <formula>0</formula>
    </cfRule>
    <cfRule type="cellIs" dxfId="5108" priority="1010" operator="greaterThanOrEqual">
      <formula>0</formula>
    </cfRule>
  </conditionalFormatting>
  <conditionalFormatting sqref="DA62">
    <cfRule type="cellIs" dxfId="5107" priority="990" operator="greaterThanOrEqual">
      <formula>0</formula>
    </cfRule>
  </conditionalFormatting>
  <conditionalFormatting sqref="DA62">
    <cfRule type="cellIs" dxfId="5106" priority="989" operator="lessThan">
      <formula>0</formula>
    </cfRule>
  </conditionalFormatting>
  <conditionalFormatting sqref="DB44">
    <cfRule type="cellIs" dxfId="5105" priority="999" operator="greaterThan">
      <formula>0</formula>
    </cfRule>
    <cfRule type="cellIs" dxfId="5104" priority="1000" operator="lessThanOrEqual">
      <formula>0</formula>
    </cfRule>
  </conditionalFormatting>
  <conditionalFormatting sqref="DB47">
    <cfRule type="cellIs" dxfId="5103" priority="997" operator="greaterThan">
      <formula>0</formula>
    </cfRule>
    <cfRule type="cellIs" dxfId="5102" priority="998" operator="lessThanOrEqual">
      <formula>0</formula>
    </cfRule>
  </conditionalFormatting>
  <conditionalFormatting sqref="DB50">
    <cfRule type="cellIs" dxfId="5101" priority="995" operator="greaterThan">
      <formula>0</formula>
    </cfRule>
    <cfRule type="cellIs" dxfId="5100" priority="996" operator="lessThanOrEqual">
      <formula>0</formula>
    </cfRule>
  </conditionalFormatting>
  <conditionalFormatting sqref="DB28">
    <cfRule type="cellIs" dxfId="5099" priority="1007" operator="greaterThan">
      <formula>0</formula>
    </cfRule>
    <cfRule type="cellIs" dxfId="5098" priority="1008" operator="lessThanOrEqual">
      <formula>0</formula>
    </cfRule>
  </conditionalFormatting>
  <conditionalFormatting sqref="DB41">
    <cfRule type="cellIs" dxfId="5097" priority="1005" operator="greaterThan">
      <formula>0</formula>
    </cfRule>
    <cfRule type="cellIs" dxfId="5096" priority="1006" operator="lessThanOrEqual">
      <formula>0</formula>
    </cfRule>
  </conditionalFormatting>
  <conditionalFormatting sqref="DE182">
    <cfRule type="cellIs" dxfId="5095" priority="794" operator="greaterThanOrEqual">
      <formula>0</formula>
    </cfRule>
  </conditionalFormatting>
  <conditionalFormatting sqref="DE182">
    <cfRule type="cellIs" dxfId="5094" priority="793" operator="lessThan">
      <formula>0</formula>
    </cfRule>
  </conditionalFormatting>
  <conditionalFormatting sqref="DB42:DB43 DB45:DB46">
    <cfRule type="cellIs" dxfId="5093" priority="1003" operator="greaterThan">
      <formula>0</formula>
    </cfRule>
    <cfRule type="cellIs" dxfId="5092" priority="1004" operator="lessThanOrEqual">
      <formula>0</formula>
    </cfRule>
  </conditionalFormatting>
  <conditionalFormatting sqref="DB57:DB58 DB60:DB61">
    <cfRule type="cellIs" dxfId="5091" priority="1001" operator="greaterThan">
      <formula>0</formula>
    </cfRule>
    <cfRule type="cellIs" dxfId="5090" priority="1002" operator="lessThanOrEqual">
      <formula>0</formula>
    </cfRule>
  </conditionalFormatting>
  <conditionalFormatting sqref="DB59">
    <cfRule type="cellIs" dxfId="5089" priority="993" operator="greaterThan">
      <formula>0</formula>
    </cfRule>
    <cfRule type="cellIs" dxfId="5088" priority="994" operator="lessThanOrEqual">
      <formula>0</formula>
    </cfRule>
  </conditionalFormatting>
  <conditionalFormatting sqref="DB62">
    <cfRule type="cellIs" dxfId="5087" priority="991" operator="greaterThan">
      <formula>0</formula>
    </cfRule>
    <cfRule type="cellIs" dxfId="5086" priority="992" operator="lessThanOrEqual">
      <formula>0</formula>
    </cfRule>
  </conditionalFormatting>
  <conditionalFormatting sqref="DB65">
    <cfRule type="cellIs" dxfId="5085" priority="987" operator="greaterThan">
      <formula>0</formula>
    </cfRule>
    <cfRule type="cellIs" dxfId="5084" priority="988" operator="lessThanOrEqual">
      <formula>0</formula>
    </cfRule>
  </conditionalFormatting>
  <conditionalFormatting sqref="DF47">
    <cfRule type="cellIs" dxfId="5083" priority="657" operator="greaterThan">
      <formula>0</formula>
    </cfRule>
    <cfRule type="cellIs" dxfId="5082" priority="658" operator="lessThanOrEqual">
      <formula>0</formula>
    </cfRule>
  </conditionalFormatting>
  <conditionalFormatting sqref="DF59">
    <cfRule type="cellIs" dxfId="5081" priority="653" operator="greaterThan">
      <formula>0</formula>
    </cfRule>
    <cfRule type="cellIs" dxfId="5080" priority="654" operator="lessThanOrEqual">
      <formula>0</formula>
    </cfRule>
  </conditionalFormatting>
  <conditionalFormatting sqref="DE62">
    <cfRule type="cellIs" dxfId="5079" priority="650" operator="greaterThanOrEqual">
      <formula>0</formula>
    </cfRule>
  </conditionalFormatting>
  <conditionalFormatting sqref="DE62">
    <cfRule type="cellIs" dxfId="5078" priority="649" operator="lessThan">
      <formula>0</formula>
    </cfRule>
  </conditionalFormatting>
  <conditionalFormatting sqref="DB134">
    <cfRule type="cellIs" dxfId="5077" priority="985" operator="greaterThan">
      <formula>0</formula>
    </cfRule>
    <cfRule type="cellIs" dxfId="5076" priority="986" operator="lessThanOrEqual">
      <formula>0</formula>
    </cfRule>
  </conditionalFormatting>
  <conditionalFormatting sqref="DB136:DB137">
    <cfRule type="cellIs" dxfId="5075" priority="983" operator="greaterThan">
      <formula>0</formula>
    </cfRule>
    <cfRule type="cellIs" dxfId="5074" priority="984" operator="lessThanOrEqual">
      <formula>0</formula>
    </cfRule>
  </conditionalFormatting>
  <conditionalFormatting sqref="DB173:DB174">
    <cfRule type="cellIs" dxfId="5073" priority="965" operator="greaterThan">
      <formula>0</formula>
    </cfRule>
    <cfRule type="cellIs" dxfId="5072" priority="966" operator="lessThanOrEqual">
      <formula>0</formula>
    </cfRule>
  </conditionalFormatting>
  <conditionalFormatting sqref="DB144">
    <cfRule type="cellIs" dxfId="5071" priority="955" operator="greaterThan">
      <formula>0</formula>
    </cfRule>
    <cfRule type="cellIs" dxfId="5070" priority="956" operator="lessThanOrEqual">
      <formula>0</formula>
    </cfRule>
  </conditionalFormatting>
  <conditionalFormatting sqref="DB154">
    <cfRule type="cellIs" dxfId="5069" priority="953" operator="greaterThan">
      <formula>0</formula>
    </cfRule>
    <cfRule type="cellIs" dxfId="5068" priority="954" operator="lessThanOrEqual">
      <formula>0</formula>
    </cfRule>
  </conditionalFormatting>
  <conditionalFormatting sqref="DB157">
    <cfRule type="cellIs" dxfId="5067" priority="951" operator="greaterThan">
      <formula>0</formula>
    </cfRule>
    <cfRule type="cellIs" dxfId="5066" priority="952" operator="lessThanOrEqual">
      <formula>0</formula>
    </cfRule>
  </conditionalFormatting>
  <conditionalFormatting sqref="DA164">
    <cfRule type="cellIs" dxfId="5065" priority="836" operator="greaterThanOrEqual">
      <formula>0</formula>
    </cfRule>
  </conditionalFormatting>
  <conditionalFormatting sqref="DA164">
    <cfRule type="cellIs" dxfId="5064" priority="835" operator="lessThan">
      <formula>0</formula>
    </cfRule>
  </conditionalFormatting>
  <conditionalFormatting sqref="DB164">
    <cfRule type="cellIs" dxfId="5063" priority="837" operator="greaterThan">
      <formula>0</formula>
    </cfRule>
    <cfRule type="cellIs" dxfId="5062" priority="838" operator="lessThanOrEqual">
      <formula>0</formula>
    </cfRule>
  </conditionalFormatting>
  <conditionalFormatting sqref="DE185">
    <cfRule type="cellIs" dxfId="5061" priority="784" operator="greaterThanOrEqual">
      <formula>0</formula>
    </cfRule>
  </conditionalFormatting>
  <conditionalFormatting sqref="DE185">
    <cfRule type="cellIs" dxfId="5060" priority="783" operator="lessThan">
      <formula>0</formula>
    </cfRule>
  </conditionalFormatting>
  <conditionalFormatting sqref="DI145">
    <cfRule type="cellIs" dxfId="5059" priority="882" operator="greaterThanOrEqual">
      <formula>0</formula>
    </cfRule>
  </conditionalFormatting>
  <conditionalFormatting sqref="DI145">
    <cfRule type="cellIs" dxfId="5058" priority="881" operator="lessThan">
      <formula>0</formula>
    </cfRule>
  </conditionalFormatting>
  <conditionalFormatting sqref="DE160 DE186">
    <cfRule type="cellIs" dxfId="5057" priority="934" operator="greaterThanOrEqual">
      <formula>0</formula>
    </cfRule>
  </conditionalFormatting>
  <conditionalFormatting sqref="DE160 DE186">
    <cfRule type="cellIs" dxfId="5056" priority="933" operator="lessThan">
      <formula>0</formula>
    </cfRule>
  </conditionalFormatting>
  <conditionalFormatting sqref="DB171">
    <cfRule type="cellIs" dxfId="5055" priority="863" operator="greaterThan">
      <formula>0</formula>
    </cfRule>
    <cfRule type="cellIs" dxfId="5054" priority="864" operator="lessThanOrEqual">
      <formula>0</formula>
    </cfRule>
  </conditionalFormatting>
  <conditionalFormatting sqref="DA171">
    <cfRule type="cellIs" dxfId="5053" priority="862" operator="greaterThanOrEqual">
      <formula>0</formula>
    </cfRule>
  </conditionalFormatting>
  <conditionalFormatting sqref="DA171">
    <cfRule type="cellIs" dxfId="5052" priority="861" operator="lessThan">
      <formula>0</formula>
    </cfRule>
  </conditionalFormatting>
  <conditionalFormatting sqref="DI167">
    <cfRule type="cellIs" dxfId="5051" priority="820" operator="greaterThanOrEqual">
      <formula>0</formula>
    </cfRule>
  </conditionalFormatting>
  <conditionalFormatting sqref="DI167">
    <cfRule type="cellIs" dxfId="5050" priority="819" operator="lessThan">
      <formula>0</formula>
    </cfRule>
  </conditionalFormatting>
  <conditionalFormatting sqref="DB139:DB140">
    <cfRule type="cellIs" dxfId="5049" priority="981" operator="greaterThan">
      <formula>0</formula>
    </cfRule>
    <cfRule type="cellIs" dxfId="5048" priority="982" operator="lessThanOrEqual">
      <formula>0</formula>
    </cfRule>
  </conditionalFormatting>
  <conditionalFormatting sqref="DB149:DB150">
    <cfRule type="cellIs" dxfId="5047" priority="979" operator="greaterThan">
      <formula>0</formula>
    </cfRule>
    <cfRule type="cellIs" dxfId="5046" priority="980" operator="lessThanOrEqual">
      <formula>0</formula>
    </cfRule>
  </conditionalFormatting>
  <conditionalFormatting sqref="DB142:DB143">
    <cfRule type="cellIs" dxfId="5045" priority="977" operator="greaterThan">
      <formula>0</formula>
    </cfRule>
    <cfRule type="cellIs" dxfId="5044" priority="978" operator="lessThanOrEqual">
      <formula>0</formula>
    </cfRule>
  </conditionalFormatting>
  <conditionalFormatting sqref="DB152:DB153">
    <cfRule type="cellIs" dxfId="5043" priority="975" operator="greaterThan">
      <formula>0</formula>
    </cfRule>
    <cfRule type="cellIs" dxfId="5042" priority="976" operator="lessThanOrEqual">
      <formula>0</formula>
    </cfRule>
  </conditionalFormatting>
  <conditionalFormatting sqref="DB155:DB156">
    <cfRule type="cellIs" dxfId="5041" priority="973" operator="greaterThan">
      <formula>0</formula>
    </cfRule>
    <cfRule type="cellIs" dxfId="5040" priority="974" operator="lessThanOrEqual">
      <formula>0</formula>
    </cfRule>
  </conditionalFormatting>
  <conditionalFormatting sqref="DB158:DB159">
    <cfRule type="cellIs" dxfId="5039" priority="971" operator="greaterThan">
      <formula>0</formula>
    </cfRule>
    <cfRule type="cellIs" dxfId="5038" priority="972" operator="lessThanOrEqual">
      <formula>0</formula>
    </cfRule>
  </conditionalFormatting>
  <conditionalFormatting sqref="DB168:DB169">
    <cfRule type="cellIs" dxfId="5037" priority="969" operator="greaterThan">
      <formula>0</formula>
    </cfRule>
    <cfRule type="cellIs" dxfId="5036" priority="970" operator="lessThanOrEqual">
      <formula>0</formula>
    </cfRule>
  </conditionalFormatting>
  <conditionalFormatting sqref="DB183:DB184">
    <cfRule type="cellIs" dxfId="5035" priority="967" operator="greaterThan">
      <formula>0</formula>
    </cfRule>
    <cfRule type="cellIs" dxfId="5034" priority="968" operator="lessThanOrEqual">
      <formula>0</formula>
    </cfRule>
  </conditionalFormatting>
  <conditionalFormatting sqref="DB135">
    <cfRule type="cellIs" dxfId="5033" priority="963" operator="greaterThan">
      <formula>0</formula>
    </cfRule>
    <cfRule type="cellIs" dxfId="5032" priority="964" operator="lessThanOrEqual">
      <formula>0</formula>
    </cfRule>
  </conditionalFormatting>
  <conditionalFormatting sqref="DB138">
    <cfRule type="cellIs" dxfId="5031" priority="961" operator="greaterThan">
      <formula>0</formula>
    </cfRule>
    <cfRule type="cellIs" dxfId="5030" priority="962" operator="lessThanOrEqual">
      <formula>0</formula>
    </cfRule>
  </conditionalFormatting>
  <conditionalFormatting sqref="DB141">
    <cfRule type="cellIs" dxfId="5029" priority="959" operator="greaterThan">
      <formula>0</formula>
    </cfRule>
    <cfRule type="cellIs" dxfId="5028" priority="960" operator="lessThanOrEqual">
      <formula>0</formula>
    </cfRule>
  </conditionalFormatting>
  <conditionalFormatting sqref="DB151">
    <cfRule type="cellIs" dxfId="5027" priority="957" operator="greaterThan">
      <formula>0</formula>
    </cfRule>
    <cfRule type="cellIs" dxfId="5026" priority="958" operator="lessThanOrEqual">
      <formula>0</formula>
    </cfRule>
  </conditionalFormatting>
  <conditionalFormatting sqref="DB160">
    <cfRule type="cellIs" dxfId="5025" priority="949" operator="greaterThan">
      <formula>0</formula>
    </cfRule>
    <cfRule type="cellIs" dxfId="5024" priority="950" operator="lessThanOrEqual">
      <formula>0</formula>
    </cfRule>
  </conditionalFormatting>
  <conditionalFormatting sqref="DB146">
    <cfRule type="cellIs" dxfId="5023" priority="947" operator="greaterThan">
      <formula>0</formula>
    </cfRule>
    <cfRule type="cellIs" dxfId="5022" priority="948" operator="lessThanOrEqual">
      <formula>0</formula>
    </cfRule>
  </conditionalFormatting>
  <conditionalFormatting sqref="DB186">
    <cfRule type="cellIs" dxfId="5021" priority="945" operator="greaterThan">
      <formula>0</formula>
    </cfRule>
    <cfRule type="cellIs" dxfId="5020" priority="946" operator="lessThanOrEqual">
      <formula>0</formula>
    </cfRule>
  </conditionalFormatting>
  <conditionalFormatting sqref="DA133:DA134 DA136:DA137 DA139:DA140 DA149:DA150 DA142:DA143 DA152:DA153 DA155:DA156 DA158:DA159 DA168:DA169 DA183:DA184 DA173:DA174 DE183:DE184 DE173:DE174 DH183:DI184 DH173:DI174">
    <cfRule type="cellIs" dxfId="5019" priority="943" operator="lessThan">
      <formula>0</formula>
    </cfRule>
    <cfRule type="cellIs" dxfId="5018" priority="944" operator="greaterThanOrEqual">
      <formula>0</formula>
    </cfRule>
  </conditionalFormatting>
  <conditionalFormatting sqref="DA135 DA138 DA141 DA154 DA157 DA160 DA186 DE146 DH146:DI146 DA151 DA144 DA146">
    <cfRule type="cellIs" dxfId="5017" priority="942" operator="greaterThanOrEqual">
      <formula>0</formula>
    </cfRule>
  </conditionalFormatting>
  <conditionalFormatting sqref="DA135 DA138 DA141 DA154 DA157 DA160 DA186 DE146 DH146:DI146 DA151 DA144 DA146">
    <cfRule type="cellIs" dxfId="5016" priority="941" operator="lessThan">
      <formula>0</formula>
    </cfRule>
  </conditionalFormatting>
  <conditionalFormatting sqref="DE133:DE134 DE136:DE137 DE139:DE140 DE149:DE150 DE142:DE143 DE152:DE153 DE155:DE156">
    <cfRule type="cellIs" dxfId="5015" priority="939" operator="lessThan">
      <formula>0</formula>
    </cfRule>
    <cfRule type="cellIs" dxfId="5014" priority="940" operator="greaterThanOrEqual">
      <formula>0</formula>
    </cfRule>
  </conditionalFormatting>
  <conditionalFormatting sqref="DE135 DE138 DE141 DE151 DE144 DE154 DE157">
    <cfRule type="cellIs" dxfId="5013" priority="938" operator="greaterThanOrEqual">
      <formula>0</formula>
    </cfRule>
  </conditionalFormatting>
  <conditionalFormatting sqref="DE135 DE138 DE141 DE151 DE144 DE154 DE157">
    <cfRule type="cellIs" dxfId="5012" priority="937" operator="lessThan">
      <formula>0</formula>
    </cfRule>
  </conditionalFormatting>
  <conditionalFormatting sqref="DE158:DE159 DE168:DE169">
    <cfRule type="cellIs" dxfId="5011" priority="935" operator="lessThan">
      <formula>0</formula>
    </cfRule>
    <cfRule type="cellIs" dxfId="5010" priority="936" operator="greaterThanOrEqual">
      <formula>0</formula>
    </cfRule>
  </conditionalFormatting>
  <conditionalFormatting sqref="DB187">
    <cfRule type="cellIs" dxfId="5009" priority="931" operator="greaterThan">
      <formula>0</formula>
    </cfRule>
    <cfRule type="cellIs" dxfId="5008" priority="932" operator="lessThanOrEqual">
      <formula>0</formula>
    </cfRule>
  </conditionalFormatting>
  <conditionalFormatting sqref="DE187">
    <cfRule type="cellIs" dxfId="5007" priority="929" operator="greaterThanOrEqual">
      <formula>0</formula>
    </cfRule>
    <cfRule type="cellIs" dxfId="5006" priority="930" operator="lessThan">
      <formula>0</formula>
    </cfRule>
  </conditionalFormatting>
  <conditionalFormatting sqref="DA187">
    <cfRule type="cellIs" dxfId="5005" priority="927" operator="greaterThanOrEqual">
      <formula>0</formula>
    </cfRule>
    <cfRule type="cellIs" dxfId="5004" priority="928" operator="lessThan">
      <formula>0</formula>
    </cfRule>
  </conditionalFormatting>
  <conditionalFormatting sqref="DH133:DH134 DH136:DH137 DH139:DH140 DH149:DH150 DH142:DH143 DH152:DH153 DH155:DH156 DH158:DH159 DH168:DH169">
    <cfRule type="cellIs" dxfId="5003" priority="925" operator="lessThan">
      <formula>0</formula>
    </cfRule>
    <cfRule type="cellIs" dxfId="5002" priority="926" operator="greaterThanOrEqual">
      <formula>0</formula>
    </cfRule>
  </conditionalFormatting>
  <conditionalFormatting sqref="DH135 DH138 DH141 DH151 DH144 DH154 DH157 DH160 DH186">
    <cfRule type="cellIs" dxfId="5001" priority="924" operator="greaterThanOrEqual">
      <formula>0</formula>
    </cfRule>
  </conditionalFormatting>
  <conditionalFormatting sqref="DH135 DH138 DH141 DH151 DH144 DH154 DH157 DH160 DH186">
    <cfRule type="cellIs" dxfId="5000" priority="923" operator="lessThan">
      <formula>0</formula>
    </cfRule>
  </conditionalFormatting>
  <conditionalFormatting sqref="DH187">
    <cfRule type="cellIs" dxfId="4999" priority="921" operator="greaterThanOrEqual">
      <formula>0</formula>
    </cfRule>
    <cfRule type="cellIs" dxfId="4998" priority="922" operator="lessThan">
      <formula>0</formula>
    </cfRule>
  </conditionalFormatting>
  <conditionalFormatting sqref="DI133:DI134">
    <cfRule type="cellIs" dxfId="4997" priority="919" operator="greaterThan">
      <formula>0</formula>
    </cfRule>
    <cfRule type="cellIs" dxfId="4996" priority="920" operator="lessThanOrEqual">
      <formula>0</formula>
    </cfRule>
  </conditionalFormatting>
  <conditionalFormatting sqref="DI136:DI137">
    <cfRule type="cellIs" dxfId="4995" priority="917" operator="greaterThan">
      <formula>0</formula>
    </cfRule>
    <cfRule type="cellIs" dxfId="4994" priority="918" operator="lessThanOrEqual">
      <formula>0</formula>
    </cfRule>
  </conditionalFormatting>
  <conditionalFormatting sqref="DI139:DI140">
    <cfRule type="cellIs" dxfId="4993" priority="915" operator="greaterThan">
      <formula>0</formula>
    </cfRule>
    <cfRule type="cellIs" dxfId="4992" priority="916" operator="lessThanOrEqual">
      <formula>0</formula>
    </cfRule>
  </conditionalFormatting>
  <conditionalFormatting sqref="DI149:DI150">
    <cfRule type="cellIs" dxfId="4991" priority="913" operator="greaterThan">
      <formula>0</formula>
    </cfRule>
    <cfRule type="cellIs" dxfId="4990" priority="914" operator="lessThanOrEqual">
      <formula>0</formula>
    </cfRule>
  </conditionalFormatting>
  <conditionalFormatting sqref="DI142:DI143">
    <cfRule type="cellIs" dxfId="4989" priority="911" operator="greaterThan">
      <formula>0</formula>
    </cfRule>
    <cfRule type="cellIs" dxfId="4988" priority="912" operator="lessThanOrEqual">
      <formula>0</formula>
    </cfRule>
  </conditionalFormatting>
  <conditionalFormatting sqref="DI152:DI153">
    <cfRule type="cellIs" dxfId="4987" priority="909" operator="greaterThan">
      <formula>0</formula>
    </cfRule>
    <cfRule type="cellIs" dxfId="4986" priority="910" operator="lessThanOrEqual">
      <formula>0</formula>
    </cfRule>
  </conditionalFormatting>
  <conditionalFormatting sqref="DI155:DI156">
    <cfRule type="cellIs" dxfId="4985" priority="907" operator="greaterThan">
      <formula>0</formula>
    </cfRule>
    <cfRule type="cellIs" dxfId="4984" priority="908" operator="lessThanOrEqual">
      <formula>0</formula>
    </cfRule>
  </conditionalFormatting>
  <conditionalFormatting sqref="DI158:DI159 DI168:DI169">
    <cfRule type="cellIs" dxfId="4983" priority="905" operator="lessThan">
      <formula>0</formula>
    </cfRule>
    <cfRule type="cellIs" dxfId="4982" priority="906" operator="greaterThanOrEqual">
      <formula>0</formula>
    </cfRule>
  </conditionalFormatting>
  <conditionalFormatting sqref="DI135 DI138 DI141 DI151 DI144 DI154 DI157 DI160 DI186">
    <cfRule type="cellIs" dxfId="4981" priority="904" operator="greaterThanOrEqual">
      <formula>0</formula>
    </cfRule>
  </conditionalFormatting>
  <conditionalFormatting sqref="DI135 DI138 DI141 DI151 DI144 DI154 DI157 DI160 DI186">
    <cfRule type="cellIs" dxfId="4980" priority="903" operator="lessThan">
      <formula>0</formula>
    </cfRule>
  </conditionalFormatting>
  <conditionalFormatting sqref="DI187">
    <cfRule type="cellIs" dxfId="4979" priority="901" operator="lessThan">
      <formula>0</formula>
    </cfRule>
    <cfRule type="cellIs" dxfId="4978" priority="902" operator="greaterThanOrEqual">
      <formula>0</formula>
    </cfRule>
  </conditionalFormatting>
  <conditionalFormatting sqref="DB172">
    <cfRule type="cellIs" dxfId="4977" priority="899" operator="greaterThan">
      <formula>0</formula>
    </cfRule>
    <cfRule type="cellIs" dxfId="4976" priority="900" operator="lessThanOrEqual">
      <formula>0</formula>
    </cfRule>
  </conditionalFormatting>
  <conditionalFormatting sqref="DA172">
    <cfRule type="cellIs" dxfId="4975" priority="898" operator="greaterThanOrEqual">
      <formula>0</formula>
    </cfRule>
  </conditionalFormatting>
  <conditionalFormatting sqref="DA172">
    <cfRule type="cellIs" dxfId="4974" priority="897" operator="lessThan">
      <formula>0</formula>
    </cfRule>
  </conditionalFormatting>
  <conditionalFormatting sqref="DE172">
    <cfRule type="cellIs" dxfId="4973" priority="896" operator="greaterThanOrEqual">
      <formula>0</formula>
    </cfRule>
  </conditionalFormatting>
  <conditionalFormatting sqref="DE172">
    <cfRule type="cellIs" dxfId="4972" priority="895" operator="lessThan">
      <formula>0</formula>
    </cfRule>
  </conditionalFormatting>
  <conditionalFormatting sqref="DH172">
    <cfRule type="cellIs" dxfId="4971" priority="894" operator="greaterThanOrEqual">
      <formula>0</formula>
    </cfRule>
  </conditionalFormatting>
  <conditionalFormatting sqref="DH172">
    <cfRule type="cellIs" dxfId="4970" priority="893" operator="lessThan">
      <formula>0</formula>
    </cfRule>
  </conditionalFormatting>
  <conditionalFormatting sqref="DI172">
    <cfRule type="cellIs" dxfId="4969" priority="892" operator="greaterThanOrEqual">
      <formula>0</formula>
    </cfRule>
  </conditionalFormatting>
  <conditionalFormatting sqref="DI172">
    <cfRule type="cellIs" dxfId="4968" priority="891" operator="lessThan">
      <formula>0</formula>
    </cfRule>
  </conditionalFormatting>
  <conditionalFormatting sqref="DA161">
    <cfRule type="cellIs" dxfId="4967" priority="870" operator="greaterThanOrEqual">
      <formula>0</formula>
    </cfRule>
  </conditionalFormatting>
  <conditionalFormatting sqref="DA161">
    <cfRule type="cellIs" dxfId="4966" priority="869" operator="lessThan">
      <formula>0</formula>
    </cfRule>
  </conditionalFormatting>
  <conditionalFormatting sqref="DB145">
    <cfRule type="cellIs" dxfId="4965" priority="889" operator="greaterThan">
      <formula>0</formula>
    </cfRule>
    <cfRule type="cellIs" dxfId="4964" priority="890" operator="lessThanOrEqual">
      <formula>0</formula>
    </cfRule>
  </conditionalFormatting>
  <conditionalFormatting sqref="DA145">
    <cfRule type="cellIs" dxfId="4963" priority="888" operator="greaterThanOrEqual">
      <formula>0</formula>
    </cfRule>
  </conditionalFormatting>
  <conditionalFormatting sqref="DA145">
    <cfRule type="cellIs" dxfId="4962" priority="887" operator="lessThan">
      <formula>0</formula>
    </cfRule>
  </conditionalFormatting>
  <conditionalFormatting sqref="DE145">
    <cfRule type="cellIs" dxfId="4961" priority="886" operator="greaterThanOrEqual">
      <formula>0</formula>
    </cfRule>
  </conditionalFormatting>
  <conditionalFormatting sqref="DE145">
    <cfRule type="cellIs" dxfId="4960" priority="885" operator="lessThan">
      <formula>0</formula>
    </cfRule>
  </conditionalFormatting>
  <conditionalFormatting sqref="DH145">
    <cfRule type="cellIs" dxfId="4959" priority="884" operator="greaterThanOrEqual">
      <formula>0</formula>
    </cfRule>
  </conditionalFormatting>
  <conditionalFormatting sqref="DH145">
    <cfRule type="cellIs" dxfId="4958" priority="883" operator="lessThan">
      <formula>0</formula>
    </cfRule>
  </conditionalFormatting>
  <conditionalFormatting sqref="DE148">
    <cfRule type="cellIs" dxfId="4957" priority="876" operator="greaterThanOrEqual">
      <formula>0</formula>
    </cfRule>
  </conditionalFormatting>
  <conditionalFormatting sqref="DE148">
    <cfRule type="cellIs" dxfId="4956" priority="875" operator="lessThan">
      <formula>0</formula>
    </cfRule>
  </conditionalFormatting>
  <conditionalFormatting sqref="DH164">
    <cfRule type="cellIs" dxfId="4955" priority="832" operator="greaterThanOrEqual">
      <formula>0</formula>
    </cfRule>
  </conditionalFormatting>
  <conditionalFormatting sqref="DH164">
    <cfRule type="cellIs" dxfId="4954" priority="831" operator="lessThan">
      <formula>0</formula>
    </cfRule>
  </conditionalFormatting>
  <conditionalFormatting sqref="DH148:DI148">
    <cfRule type="cellIs" dxfId="4953" priority="874" operator="greaterThanOrEqual">
      <formula>0</formula>
    </cfRule>
  </conditionalFormatting>
  <conditionalFormatting sqref="DH148:DI148">
    <cfRule type="cellIs" dxfId="4952" priority="873" operator="lessThan">
      <formula>0</formula>
    </cfRule>
  </conditionalFormatting>
  <conditionalFormatting sqref="DB167">
    <cfRule type="cellIs" dxfId="4951" priority="827" operator="greaterThan">
      <formula>0</formula>
    </cfRule>
    <cfRule type="cellIs" dxfId="4950" priority="828" operator="lessThanOrEqual">
      <formula>0</formula>
    </cfRule>
  </conditionalFormatting>
  <conditionalFormatting sqref="DA167">
    <cfRule type="cellIs" dxfId="4949" priority="826" operator="greaterThanOrEqual">
      <formula>0</formula>
    </cfRule>
  </conditionalFormatting>
  <conditionalFormatting sqref="DA167">
    <cfRule type="cellIs" dxfId="4948" priority="825" operator="lessThan">
      <formula>0</formula>
    </cfRule>
  </conditionalFormatting>
  <conditionalFormatting sqref="DB170">
    <cfRule type="cellIs" dxfId="4947" priority="817" operator="greaterThan">
      <formula>0</formula>
    </cfRule>
    <cfRule type="cellIs" dxfId="4946" priority="818" operator="lessThanOrEqual">
      <formula>0</formula>
    </cfRule>
  </conditionalFormatting>
  <conditionalFormatting sqref="DA170">
    <cfRule type="cellIs" dxfId="4945" priority="816" operator="greaterThanOrEqual">
      <formula>0</formula>
    </cfRule>
  </conditionalFormatting>
  <conditionalFormatting sqref="DA170">
    <cfRule type="cellIs" dxfId="4944" priority="815" operator="lessThan">
      <formula>0</formula>
    </cfRule>
  </conditionalFormatting>
  <conditionalFormatting sqref="DH171:DI171">
    <cfRule type="cellIs" dxfId="4943" priority="858" operator="greaterThanOrEqual">
      <formula>0</formula>
    </cfRule>
  </conditionalFormatting>
  <conditionalFormatting sqref="DH171:DI171">
    <cfRule type="cellIs" dxfId="4942" priority="857" operator="lessThan">
      <formula>0</formula>
    </cfRule>
  </conditionalFormatting>
  <conditionalFormatting sqref="DA179">
    <cfRule type="cellIs" dxfId="4941" priority="806" operator="greaterThanOrEqual">
      <formula>0</formula>
    </cfRule>
  </conditionalFormatting>
  <conditionalFormatting sqref="DA179">
    <cfRule type="cellIs" dxfId="4940" priority="805" operator="lessThan">
      <formula>0</formula>
    </cfRule>
  </conditionalFormatting>
  <conditionalFormatting sqref="DB148">
    <cfRule type="cellIs" dxfId="4939" priority="879" operator="greaterThan">
      <formula>0</formula>
    </cfRule>
    <cfRule type="cellIs" dxfId="4938" priority="880" operator="lessThanOrEqual">
      <formula>0</formula>
    </cfRule>
  </conditionalFormatting>
  <conditionalFormatting sqref="DA148">
    <cfRule type="cellIs" dxfId="4937" priority="878" operator="greaterThanOrEqual">
      <formula>0</formula>
    </cfRule>
  </conditionalFormatting>
  <conditionalFormatting sqref="DA148">
    <cfRule type="cellIs" dxfId="4936" priority="877" operator="lessThan">
      <formula>0</formula>
    </cfRule>
  </conditionalFormatting>
  <conditionalFormatting sqref="DE161">
    <cfRule type="cellIs" dxfId="4935" priority="868" operator="greaterThanOrEqual">
      <formula>0</formula>
    </cfRule>
  </conditionalFormatting>
  <conditionalFormatting sqref="DE161">
    <cfRule type="cellIs" dxfId="4934" priority="867" operator="lessThan">
      <formula>0</formula>
    </cfRule>
  </conditionalFormatting>
  <conditionalFormatting sqref="DH161:DI161">
    <cfRule type="cellIs" dxfId="4933" priority="866" operator="greaterThanOrEqual">
      <formula>0</formula>
    </cfRule>
  </conditionalFormatting>
  <conditionalFormatting sqref="DH161:DI161">
    <cfRule type="cellIs" dxfId="4932" priority="865" operator="lessThan">
      <formula>0</formula>
    </cfRule>
  </conditionalFormatting>
  <conditionalFormatting sqref="DB161">
    <cfRule type="cellIs" dxfId="4931" priority="871" operator="greaterThan">
      <formula>0</formula>
    </cfRule>
    <cfRule type="cellIs" dxfId="4930" priority="872" operator="lessThanOrEqual">
      <formula>0</formula>
    </cfRule>
  </conditionalFormatting>
  <conditionalFormatting sqref="DE171">
    <cfRule type="cellIs" dxfId="4929" priority="860" operator="greaterThanOrEqual">
      <formula>0</formula>
    </cfRule>
  </conditionalFormatting>
  <conditionalFormatting sqref="DE171">
    <cfRule type="cellIs" dxfId="4928" priority="859" operator="lessThan">
      <formula>0</formula>
    </cfRule>
  </conditionalFormatting>
  <conditionalFormatting sqref="DI164">
    <cfRule type="cellIs" dxfId="4927" priority="829" operator="lessThan">
      <formula>0</formula>
    </cfRule>
  </conditionalFormatting>
  <conditionalFormatting sqref="DI170">
    <cfRule type="cellIs" dxfId="4926" priority="809" operator="lessThan">
      <formula>0</formula>
    </cfRule>
  </conditionalFormatting>
  <conditionalFormatting sqref="DE164">
    <cfRule type="cellIs" dxfId="4925" priority="834" operator="greaterThanOrEqual">
      <formula>0</formula>
    </cfRule>
  </conditionalFormatting>
  <conditionalFormatting sqref="DE164">
    <cfRule type="cellIs" dxfId="4924" priority="833" operator="lessThan">
      <formula>0</formula>
    </cfRule>
  </conditionalFormatting>
  <conditionalFormatting sqref="DI164">
    <cfRule type="cellIs" dxfId="4923" priority="830" operator="greaterThanOrEqual">
      <formula>0</formula>
    </cfRule>
  </conditionalFormatting>
  <conditionalFormatting sqref="DI179">
    <cfRule type="cellIs" dxfId="4922" priority="799" operator="lessThan">
      <formula>0</formula>
    </cfRule>
  </conditionalFormatting>
  <conditionalFormatting sqref="DB162:DB163 DB165:DB166">
    <cfRule type="cellIs" dxfId="4921" priority="855" operator="greaterThan">
      <formula>0</formula>
    </cfRule>
    <cfRule type="cellIs" dxfId="4920" priority="856" operator="lessThanOrEqual">
      <formula>0</formula>
    </cfRule>
  </conditionalFormatting>
  <conditionalFormatting sqref="DA162:DA163 DA165:DA166">
    <cfRule type="cellIs" dxfId="4919" priority="853" operator="lessThan">
      <formula>0</formula>
    </cfRule>
    <cfRule type="cellIs" dxfId="4918" priority="854" operator="greaterThanOrEqual">
      <formula>0</formula>
    </cfRule>
  </conditionalFormatting>
  <conditionalFormatting sqref="DE162:DE163 DE165:DE166">
    <cfRule type="cellIs" dxfId="4917" priority="851" operator="lessThan">
      <formula>0</formula>
    </cfRule>
    <cfRule type="cellIs" dxfId="4916" priority="852" operator="greaterThanOrEqual">
      <formula>0</formula>
    </cfRule>
  </conditionalFormatting>
  <conditionalFormatting sqref="DH162:DH163 DH165:DH166">
    <cfRule type="cellIs" dxfId="4915" priority="849" operator="lessThan">
      <formula>0</formula>
    </cfRule>
    <cfRule type="cellIs" dxfId="4914" priority="850" operator="greaterThanOrEqual">
      <formula>0</formula>
    </cfRule>
  </conditionalFormatting>
  <conditionalFormatting sqref="DI162:DI163 DI165:DI166">
    <cfRule type="cellIs" dxfId="4913" priority="847" operator="lessThan">
      <formula>0</formula>
    </cfRule>
    <cfRule type="cellIs" dxfId="4912" priority="848" operator="greaterThanOrEqual">
      <formula>0</formula>
    </cfRule>
  </conditionalFormatting>
  <conditionalFormatting sqref="DE177:DE178 DE180:DE181">
    <cfRule type="cellIs" dxfId="4911" priority="841" operator="lessThan">
      <formula>0</formula>
    </cfRule>
    <cfRule type="cellIs" dxfId="4910" priority="842" operator="greaterThanOrEqual">
      <formula>0</formula>
    </cfRule>
  </conditionalFormatting>
  <conditionalFormatting sqref="DH177:DI178 DH180:DI181">
    <cfRule type="cellIs" dxfId="4909" priority="839" operator="lessThan">
      <formula>0</formula>
    </cfRule>
    <cfRule type="cellIs" dxfId="4908" priority="840" operator="greaterThanOrEqual">
      <formula>0</formula>
    </cfRule>
  </conditionalFormatting>
  <conditionalFormatting sqref="DB177:DB178 DB180:DB181">
    <cfRule type="cellIs" dxfId="4907" priority="845" operator="greaterThan">
      <formula>0</formula>
    </cfRule>
    <cfRule type="cellIs" dxfId="4906" priority="846" operator="lessThanOrEqual">
      <formula>0</formula>
    </cfRule>
  </conditionalFormatting>
  <conditionalFormatting sqref="DA177:DA178 DA180:DA181">
    <cfRule type="cellIs" dxfId="4905" priority="843" operator="lessThan">
      <formula>0</formula>
    </cfRule>
    <cfRule type="cellIs" dxfId="4904" priority="844" operator="greaterThanOrEqual">
      <formula>0</formula>
    </cfRule>
  </conditionalFormatting>
  <conditionalFormatting sqref="DB179">
    <cfRule type="cellIs" dxfId="4903" priority="807" operator="greaterThan">
      <formula>0</formula>
    </cfRule>
    <cfRule type="cellIs" dxfId="4902" priority="808" operator="lessThanOrEqual">
      <formula>0</formula>
    </cfRule>
  </conditionalFormatting>
  <conditionalFormatting sqref="DA182">
    <cfRule type="cellIs" dxfId="4901" priority="796" operator="greaterThanOrEqual">
      <formula>0</formula>
    </cfRule>
  </conditionalFormatting>
  <conditionalFormatting sqref="DA182">
    <cfRule type="cellIs" dxfId="4900" priority="795" operator="lessThan">
      <formula>0</formula>
    </cfRule>
  </conditionalFormatting>
  <conditionalFormatting sqref="DE167">
    <cfRule type="cellIs" dxfId="4899" priority="824" operator="greaterThanOrEqual">
      <formula>0</formula>
    </cfRule>
  </conditionalFormatting>
  <conditionalFormatting sqref="DE167">
    <cfRule type="cellIs" dxfId="4898" priority="823" operator="lessThan">
      <formula>0</formula>
    </cfRule>
  </conditionalFormatting>
  <conditionalFormatting sqref="DH167">
    <cfRule type="cellIs" dxfId="4897" priority="822" operator="greaterThanOrEqual">
      <formula>0</formula>
    </cfRule>
  </conditionalFormatting>
  <conditionalFormatting sqref="DH167">
    <cfRule type="cellIs" dxfId="4896" priority="821" operator="lessThan">
      <formula>0</formula>
    </cfRule>
  </conditionalFormatting>
  <conditionalFormatting sqref="DI182">
    <cfRule type="cellIs" dxfId="4895" priority="789" operator="lessThan">
      <formula>0</formula>
    </cfRule>
  </conditionalFormatting>
  <conditionalFormatting sqref="DB182">
    <cfRule type="cellIs" dxfId="4894" priority="797" operator="greaterThan">
      <formula>0</formula>
    </cfRule>
    <cfRule type="cellIs" dxfId="4893" priority="798" operator="lessThanOrEqual">
      <formula>0</formula>
    </cfRule>
  </conditionalFormatting>
  <conditionalFormatting sqref="DA185">
    <cfRule type="cellIs" dxfId="4892" priority="786" operator="greaterThanOrEqual">
      <formula>0</formula>
    </cfRule>
  </conditionalFormatting>
  <conditionalFormatting sqref="DA185">
    <cfRule type="cellIs" dxfId="4891" priority="785" operator="lessThan">
      <formula>0</formula>
    </cfRule>
  </conditionalFormatting>
  <conditionalFormatting sqref="DH170">
    <cfRule type="cellIs" dxfId="4890" priority="812" operator="greaterThanOrEqual">
      <formula>0</formula>
    </cfRule>
  </conditionalFormatting>
  <conditionalFormatting sqref="DH170">
    <cfRule type="cellIs" dxfId="4889" priority="811" operator="lessThan">
      <formula>0</formula>
    </cfRule>
  </conditionalFormatting>
  <conditionalFormatting sqref="DI185">
    <cfRule type="cellIs" dxfId="4888" priority="779" operator="lessThan">
      <formula>0</formula>
    </cfRule>
  </conditionalFormatting>
  <conditionalFormatting sqref="DE170">
    <cfRule type="cellIs" dxfId="4887" priority="814" operator="greaterThanOrEqual">
      <formula>0</formula>
    </cfRule>
  </conditionalFormatting>
  <conditionalFormatting sqref="DE170">
    <cfRule type="cellIs" dxfId="4886" priority="813" operator="lessThan">
      <formula>0</formula>
    </cfRule>
  </conditionalFormatting>
  <conditionalFormatting sqref="DI170">
    <cfRule type="cellIs" dxfId="4885" priority="810" operator="greaterThanOrEqual">
      <formula>0</formula>
    </cfRule>
  </conditionalFormatting>
  <conditionalFormatting sqref="DB185">
    <cfRule type="cellIs" dxfId="4884" priority="787" operator="greaterThan">
      <formula>0</formula>
    </cfRule>
    <cfRule type="cellIs" dxfId="4883" priority="788" operator="lessThanOrEqual">
      <formula>0</formula>
    </cfRule>
  </conditionalFormatting>
  <conditionalFormatting sqref="DE179">
    <cfRule type="cellIs" dxfId="4882" priority="804" operator="greaterThanOrEqual">
      <formula>0</formula>
    </cfRule>
  </conditionalFormatting>
  <conditionalFormatting sqref="DE179">
    <cfRule type="cellIs" dxfId="4881" priority="803" operator="lessThan">
      <formula>0</formula>
    </cfRule>
  </conditionalFormatting>
  <conditionalFormatting sqref="DH179">
    <cfRule type="cellIs" dxfId="4880" priority="802" operator="greaterThanOrEqual">
      <formula>0</formula>
    </cfRule>
  </conditionalFormatting>
  <conditionalFormatting sqref="DH179">
    <cfRule type="cellIs" dxfId="4879" priority="801" operator="lessThan">
      <formula>0</formula>
    </cfRule>
  </conditionalFormatting>
  <conditionalFormatting sqref="DI179">
    <cfRule type="cellIs" dxfId="4878" priority="800" operator="greaterThanOrEqual">
      <formula>0</formula>
    </cfRule>
  </conditionalFormatting>
  <conditionalFormatting sqref="DH182">
    <cfRule type="cellIs" dxfId="4877" priority="792" operator="greaterThanOrEqual">
      <formula>0</formula>
    </cfRule>
  </conditionalFormatting>
  <conditionalFormatting sqref="DH182">
    <cfRule type="cellIs" dxfId="4876" priority="791" operator="lessThan">
      <formula>0</formula>
    </cfRule>
  </conditionalFormatting>
  <conditionalFormatting sqref="DI182">
    <cfRule type="cellIs" dxfId="4875" priority="790" operator="greaterThanOrEqual">
      <formula>0</formula>
    </cfRule>
  </conditionalFormatting>
  <conditionalFormatting sqref="DH185">
    <cfRule type="cellIs" dxfId="4874" priority="782" operator="greaterThanOrEqual">
      <formula>0</formula>
    </cfRule>
  </conditionalFormatting>
  <conditionalFormatting sqref="DH185">
    <cfRule type="cellIs" dxfId="4873" priority="781" operator="lessThan">
      <formula>0</formula>
    </cfRule>
  </conditionalFormatting>
  <conditionalFormatting sqref="DI185">
    <cfRule type="cellIs" dxfId="4872" priority="780" operator="greaterThanOrEqual">
      <formula>0</formula>
    </cfRule>
  </conditionalFormatting>
  <conditionalFormatting sqref="DB25">
    <cfRule type="cellIs" dxfId="4871" priority="777" operator="greaterThan">
      <formula>0</formula>
    </cfRule>
    <cfRule type="cellIs" dxfId="4870" priority="778" operator="lessThanOrEqual">
      <formula>0</formula>
    </cfRule>
  </conditionalFormatting>
  <conditionalFormatting sqref="DI52">
    <cfRule type="cellIs" dxfId="4869" priority="765" operator="lessThan">
      <formula>0</formula>
    </cfRule>
  </conditionalFormatting>
  <conditionalFormatting sqref="DB56">
    <cfRule type="cellIs" dxfId="4868" priority="775" operator="greaterThan">
      <formula>0</formula>
    </cfRule>
    <cfRule type="cellIs" dxfId="4867" priority="776" operator="lessThanOrEqual">
      <formula>0</formula>
    </cfRule>
  </conditionalFormatting>
  <conditionalFormatting sqref="DA56">
    <cfRule type="cellIs" dxfId="4866" priority="774" operator="greaterThanOrEqual">
      <formula>0</formula>
    </cfRule>
  </conditionalFormatting>
  <conditionalFormatting sqref="DA56">
    <cfRule type="cellIs" dxfId="4865" priority="773" operator="lessThan">
      <formula>0</formula>
    </cfRule>
  </conditionalFormatting>
  <conditionalFormatting sqref="DB52">
    <cfRule type="cellIs" dxfId="4864" priority="771" operator="greaterThan">
      <formula>0</formula>
    </cfRule>
    <cfRule type="cellIs" dxfId="4863" priority="772" operator="lessThanOrEqual">
      <formula>0</formula>
    </cfRule>
  </conditionalFormatting>
  <conditionalFormatting sqref="DA52">
    <cfRule type="cellIs" dxfId="4862" priority="770" operator="greaterThanOrEqual">
      <formula>0</formula>
    </cfRule>
  </conditionalFormatting>
  <conditionalFormatting sqref="DA52">
    <cfRule type="cellIs" dxfId="4861" priority="769" operator="lessThan">
      <formula>0</formula>
    </cfRule>
  </conditionalFormatting>
  <conditionalFormatting sqref="DH52">
    <cfRule type="cellIs" dxfId="4860" priority="768" operator="greaterThanOrEqual">
      <formula>0</formula>
    </cfRule>
  </conditionalFormatting>
  <conditionalFormatting sqref="DH52">
    <cfRule type="cellIs" dxfId="4859" priority="767" operator="lessThan">
      <formula>0</formula>
    </cfRule>
  </conditionalFormatting>
  <conditionalFormatting sqref="DI52">
    <cfRule type="cellIs" dxfId="4858" priority="766" operator="greaterThanOrEqual">
      <formula>0</formula>
    </cfRule>
  </conditionalFormatting>
  <conditionalFormatting sqref="DB69">
    <cfRule type="cellIs" dxfId="4857" priority="763" operator="greaterThan">
      <formula>0</formula>
    </cfRule>
    <cfRule type="cellIs" dxfId="4856" priority="764" operator="lessThanOrEqual">
      <formula>0</formula>
    </cfRule>
  </conditionalFormatting>
  <conditionalFormatting sqref="DH69">
    <cfRule type="cellIs" dxfId="4855" priority="761" operator="lessThan">
      <formula>0</formula>
    </cfRule>
    <cfRule type="cellIs" dxfId="4854" priority="762" operator="greaterThanOrEqual">
      <formula>0</formula>
    </cfRule>
  </conditionalFormatting>
  <conditionalFormatting sqref="DI69">
    <cfRule type="cellIs" dxfId="4853" priority="759" operator="lessThan">
      <formula>0</formula>
    </cfRule>
    <cfRule type="cellIs" dxfId="4852" priority="760" operator="greaterThanOrEqual">
      <formula>0</formula>
    </cfRule>
  </conditionalFormatting>
  <conditionalFormatting sqref="DB70">
    <cfRule type="cellIs" dxfId="4851" priority="757" operator="greaterThan">
      <formula>0</formula>
    </cfRule>
    <cfRule type="cellIs" dxfId="4850" priority="758" operator="lessThanOrEqual">
      <formula>0</formula>
    </cfRule>
  </conditionalFormatting>
  <conditionalFormatting sqref="DH72">
    <cfRule type="cellIs" dxfId="4849" priority="755" operator="lessThan">
      <formula>0</formula>
    </cfRule>
    <cfRule type="cellIs" dxfId="4848" priority="756" operator="greaterThanOrEqual">
      <formula>0</formula>
    </cfRule>
  </conditionalFormatting>
  <conditionalFormatting sqref="DB72">
    <cfRule type="cellIs" dxfId="4847" priority="753" operator="greaterThan">
      <formula>0</formula>
    </cfRule>
    <cfRule type="cellIs" dxfId="4846" priority="754" operator="lessThanOrEqual">
      <formula>0</formula>
    </cfRule>
  </conditionalFormatting>
  <conditionalFormatting sqref="DA25">
    <cfRule type="cellIs" dxfId="4845" priority="752" operator="greaterThanOrEqual">
      <formula>0</formula>
    </cfRule>
  </conditionalFormatting>
  <conditionalFormatting sqref="DA25">
    <cfRule type="cellIs" dxfId="4844" priority="751" operator="lessThan">
      <formula>0</formula>
    </cfRule>
  </conditionalFormatting>
  <conditionalFormatting sqref="DA28">
    <cfRule type="cellIs" dxfId="4843" priority="750" operator="greaterThanOrEqual">
      <formula>0</formula>
    </cfRule>
  </conditionalFormatting>
  <conditionalFormatting sqref="DA28">
    <cfRule type="cellIs" dxfId="4842" priority="749" operator="lessThan">
      <formula>0</formula>
    </cfRule>
  </conditionalFormatting>
  <conditionalFormatting sqref="DA41">
    <cfRule type="cellIs" dxfId="4841" priority="748" operator="greaterThanOrEqual">
      <formula>0</formula>
    </cfRule>
  </conditionalFormatting>
  <conditionalFormatting sqref="DA41">
    <cfRule type="cellIs" dxfId="4840" priority="747" operator="lessThan">
      <formula>0</formula>
    </cfRule>
  </conditionalFormatting>
  <conditionalFormatting sqref="DA44">
    <cfRule type="cellIs" dxfId="4839" priority="746" operator="greaterThanOrEqual">
      <formula>0</formula>
    </cfRule>
  </conditionalFormatting>
  <conditionalFormatting sqref="DA44">
    <cfRule type="cellIs" dxfId="4838" priority="745" operator="lessThan">
      <formula>0</formula>
    </cfRule>
  </conditionalFormatting>
  <conditionalFormatting sqref="DA47">
    <cfRule type="cellIs" dxfId="4837" priority="744" operator="greaterThanOrEqual">
      <formula>0</formula>
    </cfRule>
  </conditionalFormatting>
  <conditionalFormatting sqref="DA47">
    <cfRule type="cellIs" dxfId="4836" priority="743" operator="lessThan">
      <formula>0</formula>
    </cfRule>
  </conditionalFormatting>
  <conditionalFormatting sqref="DA50">
    <cfRule type="cellIs" dxfId="4835" priority="742" operator="greaterThanOrEqual">
      <formula>0</formula>
    </cfRule>
  </conditionalFormatting>
  <conditionalFormatting sqref="DA50">
    <cfRule type="cellIs" dxfId="4834" priority="741" operator="lessThan">
      <formula>0</formula>
    </cfRule>
  </conditionalFormatting>
  <conditionalFormatting sqref="DA51">
    <cfRule type="cellIs" dxfId="4833" priority="740" operator="greaterThanOrEqual">
      <formula>0</formula>
    </cfRule>
  </conditionalFormatting>
  <conditionalFormatting sqref="DA51">
    <cfRule type="cellIs" dxfId="4832" priority="739" operator="lessThan">
      <formula>0</formula>
    </cfRule>
  </conditionalFormatting>
  <conditionalFormatting sqref="DA59">
    <cfRule type="cellIs" dxfId="4831" priority="738" operator="greaterThanOrEqual">
      <formula>0</formula>
    </cfRule>
  </conditionalFormatting>
  <conditionalFormatting sqref="DA59">
    <cfRule type="cellIs" dxfId="4830" priority="737" operator="lessThan">
      <formula>0</formula>
    </cfRule>
  </conditionalFormatting>
  <conditionalFormatting sqref="DA65">
    <cfRule type="cellIs" dxfId="4829" priority="736" operator="greaterThanOrEqual">
      <formula>0</formula>
    </cfRule>
  </conditionalFormatting>
  <conditionalFormatting sqref="DA65">
    <cfRule type="cellIs" dxfId="4828" priority="735" operator="lessThan">
      <formula>0</formula>
    </cfRule>
  </conditionalFormatting>
  <conditionalFormatting sqref="DA66">
    <cfRule type="cellIs" dxfId="4827" priority="734" operator="greaterThanOrEqual">
      <formula>0</formula>
    </cfRule>
  </conditionalFormatting>
  <conditionalFormatting sqref="DA66">
    <cfRule type="cellIs" dxfId="4826" priority="733" operator="lessThan">
      <formula>0</formula>
    </cfRule>
  </conditionalFormatting>
  <conditionalFormatting sqref="DA68:DA70">
    <cfRule type="cellIs" dxfId="4825" priority="731" operator="lessThan">
      <formula>0</formula>
    </cfRule>
    <cfRule type="cellIs" dxfId="4824" priority="732" operator="greaterThanOrEqual">
      <formula>0</formula>
    </cfRule>
  </conditionalFormatting>
  <conditionalFormatting sqref="DA71:DA72">
    <cfRule type="cellIs" dxfId="4823" priority="730" operator="greaterThanOrEqual">
      <formula>0</formula>
    </cfRule>
  </conditionalFormatting>
  <conditionalFormatting sqref="DA71:DA72">
    <cfRule type="cellIs" dxfId="4822" priority="729" operator="lessThan">
      <formula>0</formula>
    </cfRule>
  </conditionalFormatting>
  <conditionalFormatting sqref="DA73">
    <cfRule type="cellIs" dxfId="4821" priority="728" operator="greaterThanOrEqual">
      <formula>0</formula>
    </cfRule>
  </conditionalFormatting>
  <conditionalFormatting sqref="DA73">
    <cfRule type="cellIs" dxfId="4820" priority="727" operator="lessThan">
      <formula>0</formula>
    </cfRule>
  </conditionalFormatting>
  <conditionalFormatting sqref="DA42:DA43">
    <cfRule type="cellIs" dxfId="4819" priority="725" operator="lessThan">
      <formula>0</formula>
    </cfRule>
    <cfRule type="cellIs" dxfId="4818" priority="726" operator="greaterThanOrEqual">
      <formula>0</formula>
    </cfRule>
  </conditionalFormatting>
  <conditionalFormatting sqref="DA45:DA46">
    <cfRule type="cellIs" dxfId="4817" priority="723" operator="lessThan">
      <formula>0</formula>
    </cfRule>
    <cfRule type="cellIs" dxfId="4816" priority="724" operator="greaterThanOrEqual">
      <formula>0</formula>
    </cfRule>
  </conditionalFormatting>
  <conditionalFormatting sqref="DA57:DA58">
    <cfRule type="cellIs" dxfId="4815" priority="721" operator="lessThan">
      <formula>0</formula>
    </cfRule>
    <cfRule type="cellIs" dxfId="4814" priority="722" operator="greaterThanOrEqual">
      <formula>0</formula>
    </cfRule>
  </conditionalFormatting>
  <conditionalFormatting sqref="DA60:DA61">
    <cfRule type="cellIs" dxfId="4813" priority="719" operator="lessThan">
      <formula>0</formula>
    </cfRule>
    <cfRule type="cellIs" dxfId="4812" priority="720" operator="greaterThanOrEqual">
      <formula>0</formula>
    </cfRule>
  </conditionalFormatting>
  <conditionalFormatting sqref="DA63:DA64">
    <cfRule type="cellIs" dxfId="4811" priority="717" operator="lessThan">
      <formula>0</formula>
    </cfRule>
    <cfRule type="cellIs" dxfId="4810" priority="718" operator="greaterThanOrEqual">
      <formula>0</formula>
    </cfRule>
  </conditionalFormatting>
  <conditionalFormatting sqref="DF13:DF14">
    <cfRule type="cellIs" dxfId="4809" priority="715" operator="greaterThan">
      <formula>0</formula>
    </cfRule>
    <cfRule type="cellIs" dxfId="4808" priority="716" operator="lessThanOrEqual">
      <formula>0</formula>
    </cfRule>
  </conditionalFormatting>
  <conditionalFormatting sqref="DF16:DF17">
    <cfRule type="cellIs" dxfId="4807" priority="713" operator="greaterThan">
      <formula>0</formula>
    </cfRule>
    <cfRule type="cellIs" dxfId="4806" priority="714" operator="lessThanOrEqual">
      <formula>0</formula>
    </cfRule>
  </conditionalFormatting>
  <conditionalFormatting sqref="DF19:DF20">
    <cfRule type="cellIs" dxfId="4805" priority="711" operator="greaterThan">
      <formula>0</formula>
    </cfRule>
    <cfRule type="cellIs" dxfId="4804" priority="712" operator="lessThanOrEqual">
      <formula>0</formula>
    </cfRule>
  </conditionalFormatting>
  <conditionalFormatting sqref="DF29:DF30">
    <cfRule type="cellIs" dxfId="4803" priority="709" operator="greaterThan">
      <formula>0</formula>
    </cfRule>
    <cfRule type="cellIs" dxfId="4802" priority="710" operator="lessThanOrEqual">
      <formula>0</formula>
    </cfRule>
  </conditionalFormatting>
  <conditionalFormatting sqref="DF22:DF23">
    <cfRule type="cellIs" dxfId="4801" priority="707" operator="greaterThan">
      <formula>0</formula>
    </cfRule>
    <cfRule type="cellIs" dxfId="4800" priority="708" operator="lessThanOrEqual">
      <formula>0</formula>
    </cfRule>
  </conditionalFormatting>
  <conditionalFormatting sqref="DF32:DF33">
    <cfRule type="cellIs" dxfId="4799" priority="705" operator="greaterThan">
      <formula>0</formula>
    </cfRule>
    <cfRule type="cellIs" dxfId="4798" priority="706" operator="lessThanOrEqual">
      <formula>0</formula>
    </cfRule>
  </conditionalFormatting>
  <conditionalFormatting sqref="DF35:DF36">
    <cfRule type="cellIs" dxfId="4797" priority="703" operator="greaterThan">
      <formula>0</formula>
    </cfRule>
    <cfRule type="cellIs" dxfId="4796" priority="704" operator="lessThanOrEqual">
      <formula>0</formula>
    </cfRule>
  </conditionalFormatting>
  <conditionalFormatting sqref="DF38:DF39">
    <cfRule type="cellIs" dxfId="4795" priority="701" operator="greaterThan">
      <formula>0</formula>
    </cfRule>
    <cfRule type="cellIs" dxfId="4794" priority="702" operator="lessThanOrEqual">
      <formula>0</formula>
    </cfRule>
  </conditionalFormatting>
  <conditionalFormatting sqref="DF48:DF49">
    <cfRule type="cellIs" dxfId="4793" priority="699" operator="greaterThan">
      <formula>0</formula>
    </cfRule>
    <cfRule type="cellIs" dxfId="4792" priority="700" operator="lessThanOrEqual">
      <formula>0</formula>
    </cfRule>
  </conditionalFormatting>
  <conditionalFormatting sqref="DF63:DF64">
    <cfRule type="cellIs" dxfId="4791" priority="697" operator="greaterThan">
      <formula>0</formula>
    </cfRule>
    <cfRule type="cellIs" dxfId="4790" priority="698" operator="lessThanOrEqual">
      <formula>0</formula>
    </cfRule>
  </conditionalFormatting>
  <conditionalFormatting sqref="DF53:DF54">
    <cfRule type="cellIs" dxfId="4789" priority="695" operator="greaterThan">
      <formula>0</formula>
    </cfRule>
    <cfRule type="cellIs" dxfId="4788" priority="696" operator="lessThanOrEqual">
      <formula>0</formula>
    </cfRule>
  </conditionalFormatting>
  <conditionalFormatting sqref="DF15">
    <cfRule type="cellIs" dxfId="4787" priority="693" operator="greaterThan">
      <formula>0</formula>
    </cfRule>
    <cfRule type="cellIs" dxfId="4786" priority="694" operator="lessThanOrEqual">
      <formula>0</formula>
    </cfRule>
  </conditionalFormatting>
  <conditionalFormatting sqref="DF18">
    <cfRule type="cellIs" dxfId="4785" priority="691" operator="greaterThan">
      <formula>0</formula>
    </cfRule>
    <cfRule type="cellIs" dxfId="4784" priority="692" operator="lessThanOrEqual">
      <formula>0</formula>
    </cfRule>
  </conditionalFormatting>
  <conditionalFormatting sqref="DF21">
    <cfRule type="cellIs" dxfId="4783" priority="689" operator="greaterThan">
      <formula>0</formula>
    </cfRule>
    <cfRule type="cellIs" dxfId="4782" priority="690" operator="lessThanOrEqual">
      <formula>0</formula>
    </cfRule>
  </conditionalFormatting>
  <conditionalFormatting sqref="DF31">
    <cfRule type="cellIs" dxfId="4781" priority="687" operator="greaterThan">
      <formula>0</formula>
    </cfRule>
    <cfRule type="cellIs" dxfId="4780" priority="688" operator="lessThanOrEqual">
      <formula>0</formula>
    </cfRule>
  </conditionalFormatting>
  <conditionalFormatting sqref="DF24">
    <cfRule type="cellIs" dxfId="4779" priority="685" operator="greaterThan">
      <formula>0</formula>
    </cfRule>
    <cfRule type="cellIs" dxfId="4778" priority="686" operator="lessThanOrEqual">
      <formula>0</formula>
    </cfRule>
  </conditionalFormatting>
  <conditionalFormatting sqref="DF34">
    <cfRule type="cellIs" dxfId="4777" priority="683" operator="greaterThan">
      <formula>0</formula>
    </cfRule>
    <cfRule type="cellIs" dxfId="4776" priority="684" operator="lessThanOrEqual">
      <formula>0</formula>
    </cfRule>
  </conditionalFormatting>
  <conditionalFormatting sqref="DF37">
    <cfRule type="cellIs" dxfId="4775" priority="681" operator="greaterThan">
      <formula>0</formula>
    </cfRule>
    <cfRule type="cellIs" dxfId="4774" priority="682" operator="lessThanOrEqual">
      <formula>0</formula>
    </cfRule>
  </conditionalFormatting>
  <conditionalFormatting sqref="DF40">
    <cfRule type="cellIs" dxfId="4773" priority="679" operator="greaterThan">
      <formula>0</formula>
    </cfRule>
    <cfRule type="cellIs" dxfId="4772" priority="680" operator="lessThanOrEqual">
      <formula>0</formula>
    </cfRule>
  </conditionalFormatting>
  <conditionalFormatting sqref="DF26">
    <cfRule type="cellIs" dxfId="4771" priority="677" operator="greaterThan">
      <formula>0</formula>
    </cfRule>
    <cfRule type="cellIs" dxfId="4770" priority="678" operator="lessThanOrEqual">
      <formula>0</formula>
    </cfRule>
  </conditionalFormatting>
  <conditionalFormatting sqref="DF66">
    <cfRule type="cellIs" dxfId="4769" priority="675" operator="greaterThan">
      <formula>0</formula>
    </cfRule>
    <cfRule type="cellIs" dxfId="4768" priority="676" operator="lessThanOrEqual">
      <formula>0</formula>
    </cfRule>
  </conditionalFormatting>
  <conditionalFormatting sqref="DE13:DE14 DE16:DE17 DE19:DE20 DE22:DE23 DE29:DE30 DE32:DE33 DE35:DE36 DE38:DE39 DE48:DE49 DE53:DE54">
    <cfRule type="cellIs" dxfId="4767" priority="673" operator="lessThan">
      <formula>0</formula>
    </cfRule>
    <cfRule type="cellIs" dxfId="4766" priority="674" operator="greaterThanOrEqual">
      <formula>0</formula>
    </cfRule>
  </conditionalFormatting>
  <conditionalFormatting sqref="DE15 DE18 DE21 DE24 DE26 DE31 DE34 DE37 DE40">
    <cfRule type="cellIs" dxfId="4765" priority="672" operator="greaterThanOrEqual">
      <formula>0</formula>
    </cfRule>
  </conditionalFormatting>
  <conditionalFormatting sqref="DE15 DE18 DE21 DE24 DE26 DE31 DE34 DE37 DE40">
    <cfRule type="cellIs" dxfId="4764" priority="671" operator="lessThan">
      <formula>0</formula>
    </cfRule>
  </conditionalFormatting>
  <conditionalFormatting sqref="DF51">
    <cfRule type="cellIs" dxfId="4763" priority="665" operator="greaterThan">
      <formula>0</formula>
    </cfRule>
    <cfRule type="cellIs" dxfId="4762" priority="666" operator="lessThanOrEqual">
      <formula>0</formula>
    </cfRule>
  </conditionalFormatting>
  <conditionalFormatting sqref="DF44">
    <cfRule type="cellIs" dxfId="4761" priority="659" operator="greaterThan">
      <formula>0</formula>
    </cfRule>
    <cfRule type="cellIs" dxfId="4760" priority="660" operator="lessThanOrEqual">
      <formula>0</formula>
    </cfRule>
  </conditionalFormatting>
  <conditionalFormatting sqref="DF50">
    <cfRule type="cellIs" dxfId="4759" priority="655" operator="greaterThan">
      <formula>0</formula>
    </cfRule>
    <cfRule type="cellIs" dxfId="4758" priority="656" operator="lessThanOrEqual">
      <formula>0</formula>
    </cfRule>
  </conditionalFormatting>
  <conditionalFormatting sqref="DF28">
    <cfRule type="cellIs" dxfId="4757" priority="669" operator="greaterThan">
      <formula>0</formula>
    </cfRule>
    <cfRule type="cellIs" dxfId="4756" priority="670" operator="lessThanOrEqual">
      <formula>0</formula>
    </cfRule>
  </conditionalFormatting>
  <conditionalFormatting sqref="DF41">
    <cfRule type="cellIs" dxfId="4755" priority="667" operator="greaterThan">
      <formula>0</formula>
    </cfRule>
    <cfRule type="cellIs" dxfId="4754" priority="668" operator="lessThanOrEqual">
      <formula>0</formula>
    </cfRule>
  </conditionalFormatting>
  <conditionalFormatting sqref="DF42:DF43 DF45:DF46">
    <cfRule type="cellIs" dxfId="4753" priority="663" operator="greaterThan">
      <formula>0</formula>
    </cfRule>
    <cfRule type="cellIs" dxfId="4752" priority="664" operator="lessThanOrEqual">
      <formula>0</formula>
    </cfRule>
  </conditionalFormatting>
  <conditionalFormatting sqref="DF57:DF58 DF60:DF61">
    <cfRule type="cellIs" dxfId="4751" priority="661" operator="greaterThan">
      <formula>0</formula>
    </cfRule>
    <cfRule type="cellIs" dxfId="4750" priority="662" operator="lessThanOrEqual">
      <formula>0</formula>
    </cfRule>
  </conditionalFormatting>
  <conditionalFormatting sqref="DF62">
    <cfRule type="cellIs" dxfId="4749" priority="651" operator="greaterThan">
      <formula>0</formula>
    </cfRule>
    <cfRule type="cellIs" dxfId="4748" priority="652" operator="lessThanOrEqual">
      <formula>0</formula>
    </cfRule>
  </conditionalFormatting>
  <conditionalFormatting sqref="DF65">
    <cfRule type="cellIs" dxfId="4747" priority="647" operator="greaterThan">
      <formula>0</formula>
    </cfRule>
    <cfRule type="cellIs" dxfId="4746" priority="648" operator="lessThanOrEqual">
      <formula>0</formula>
    </cfRule>
  </conditionalFormatting>
  <conditionalFormatting sqref="DF25">
    <cfRule type="cellIs" dxfId="4745" priority="645" operator="greaterThan">
      <formula>0</formula>
    </cfRule>
    <cfRule type="cellIs" dxfId="4744" priority="646" operator="lessThanOrEqual">
      <formula>0</formula>
    </cfRule>
  </conditionalFormatting>
  <conditionalFormatting sqref="DF56">
    <cfRule type="cellIs" dxfId="4743" priority="643" operator="greaterThan">
      <formula>0</formula>
    </cfRule>
    <cfRule type="cellIs" dxfId="4742" priority="644" operator="lessThanOrEqual">
      <formula>0</formula>
    </cfRule>
  </conditionalFormatting>
  <conditionalFormatting sqref="DE56">
    <cfRule type="cellIs" dxfId="4741" priority="642" operator="greaterThanOrEqual">
      <formula>0</formula>
    </cfRule>
  </conditionalFormatting>
  <conditionalFormatting sqref="DE56">
    <cfRule type="cellIs" dxfId="4740" priority="641" operator="lessThan">
      <formula>0</formula>
    </cfRule>
  </conditionalFormatting>
  <conditionalFormatting sqref="DF52">
    <cfRule type="cellIs" dxfId="4739" priority="639" operator="greaterThan">
      <formula>0</formula>
    </cfRule>
    <cfRule type="cellIs" dxfId="4738" priority="640" operator="lessThanOrEqual">
      <formula>0</formula>
    </cfRule>
  </conditionalFormatting>
  <conditionalFormatting sqref="DE52">
    <cfRule type="cellIs" dxfId="4737" priority="638" operator="greaterThanOrEqual">
      <formula>0</formula>
    </cfRule>
  </conditionalFormatting>
  <conditionalFormatting sqref="DE52">
    <cfRule type="cellIs" dxfId="4736" priority="637" operator="lessThan">
      <formula>0</formula>
    </cfRule>
  </conditionalFormatting>
  <conditionalFormatting sqref="DE25">
    <cfRule type="cellIs" dxfId="4735" priority="636" operator="greaterThanOrEqual">
      <formula>0</formula>
    </cfRule>
  </conditionalFormatting>
  <conditionalFormatting sqref="DE25">
    <cfRule type="cellIs" dxfId="4734" priority="635" operator="lessThan">
      <formula>0</formula>
    </cfRule>
  </conditionalFormatting>
  <conditionalFormatting sqref="DE28">
    <cfRule type="cellIs" dxfId="4733" priority="634" operator="greaterThanOrEqual">
      <formula>0</formula>
    </cfRule>
  </conditionalFormatting>
  <conditionalFormatting sqref="DE28">
    <cfRule type="cellIs" dxfId="4732" priority="633" operator="lessThan">
      <formula>0</formula>
    </cfRule>
  </conditionalFormatting>
  <conditionalFormatting sqref="DE41">
    <cfRule type="cellIs" dxfId="4731" priority="632" operator="greaterThanOrEqual">
      <formula>0</formula>
    </cfRule>
  </conditionalFormatting>
  <conditionalFormatting sqref="DE41">
    <cfRule type="cellIs" dxfId="4730" priority="631" operator="lessThan">
      <formula>0</formula>
    </cfRule>
  </conditionalFormatting>
  <conditionalFormatting sqref="DE44">
    <cfRule type="cellIs" dxfId="4729" priority="630" operator="greaterThanOrEqual">
      <formula>0</formula>
    </cfRule>
  </conditionalFormatting>
  <conditionalFormatting sqref="DE44">
    <cfRule type="cellIs" dxfId="4728" priority="629" operator="lessThan">
      <formula>0</formula>
    </cfRule>
  </conditionalFormatting>
  <conditionalFormatting sqref="DE47">
    <cfRule type="cellIs" dxfId="4727" priority="628" operator="greaterThanOrEqual">
      <formula>0</formula>
    </cfRule>
  </conditionalFormatting>
  <conditionalFormatting sqref="DE47">
    <cfRule type="cellIs" dxfId="4726" priority="627" operator="lessThan">
      <formula>0</formula>
    </cfRule>
  </conditionalFormatting>
  <conditionalFormatting sqref="DE50">
    <cfRule type="cellIs" dxfId="4725" priority="626" operator="greaterThanOrEqual">
      <formula>0</formula>
    </cfRule>
  </conditionalFormatting>
  <conditionalFormatting sqref="DE50">
    <cfRule type="cellIs" dxfId="4724" priority="625" operator="lessThan">
      <formula>0</formula>
    </cfRule>
  </conditionalFormatting>
  <conditionalFormatting sqref="DE51">
    <cfRule type="cellIs" dxfId="4723" priority="624" operator="greaterThanOrEqual">
      <formula>0</formula>
    </cfRule>
  </conditionalFormatting>
  <conditionalFormatting sqref="DE51">
    <cfRule type="cellIs" dxfId="4722" priority="623" operator="lessThan">
      <formula>0</formula>
    </cfRule>
  </conditionalFormatting>
  <conditionalFormatting sqref="DE59">
    <cfRule type="cellIs" dxfId="4721" priority="622" operator="greaterThanOrEqual">
      <formula>0</formula>
    </cfRule>
  </conditionalFormatting>
  <conditionalFormatting sqref="DE59">
    <cfRule type="cellIs" dxfId="4720" priority="621" operator="lessThan">
      <formula>0</formula>
    </cfRule>
  </conditionalFormatting>
  <conditionalFormatting sqref="DE65">
    <cfRule type="cellIs" dxfId="4719" priority="620" operator="greaterThanOrEqual">
      <formula>0</formula>
    </cfRule>
  </conditionalFormatting>
  <conditionalFormatting sqref="DE65">
    <cfRule type="cellIs" dxfId="4718" priority="619" operator="lessThan">
      <formula>0</formula>
    </cfRule>
  </conditionalFormatting>
  <conditionalFormatting sqref="DE66">
    <cfRule type="cellIs" dxfId="4717" priority="618" operator="greaterThanOrEqual">
      <formula>0</formula>
    </cfRule>
  </conditionalFormatting>
  <conditionalFormatting sqref="DE66">
    <cfRule type="cellIs" dxfId="4716" priority="617" operator="lessThan">
      <formula>0</formula>
    </cfRule>
  </conditionalFormatting>
  <conditionalFormatting sqref="DE42:DE43">
    <cfRule type="cellIs" dxfId="4715" priority="615" operator="lessThan">
      <formula>0</formula>
    </cfRule>
    <cfRule type="cellIs" dxfId="4714" priority="616" operator="greaterThanOrEqual">
      <formula>0</formula>
    </cfRule>
  </conditionalFormatting>
  <conditionalFormatting sqref="DE45:DE46">
    <cfRule type="cellIs" dxfId="4713" priority="613" operator="lessThan">
      <formula>0</formula>
    </cfRule>
    <cfRule type="cellIs" dxfId="4712" priority="614" operator="greaterThanOrEqual">
      <formula>0</formula>
    </cfRule>
  </conditionalFormatting>
  <conditionalFormatting sqref="DE57:DE58">
    <cfRule type="cellIs" dxfId="4711" priority="611" operator="lessThan">
      <formula>0</formula>
    </cfRule>
    <cfRule type="cellIs" dxfId="4710" priority="612" operator="greaterThanOrEqual">
      <formula>0</formula>
    </cfRule>
  </conditionalFormatting>
  <conditionalFormatting sqref="DE60:DE61">
    <cfRule type="cellIs" dxfId="4709" priority="609" operator="lessThan">
      <formula>0</formula>
    </cfRule>
    <cfRule type="cellIs" dxfId="4708" priority="610" operator="greaterThanOrEqual">
      <formula>0</formula>
    </cfRule>
  </conditionalFormatting>
  <conditionalFormatting sqref="DE63:DE64">
    <cfRule type="cellIs" dxfId="4707" priority="607" operator="lessThan">
      <formula>0</formula>
    </cfRule>
    <cfRule type="cellIs" dxfId="4706" priority="608" operator="greaterThanOrEqual">
      <formula>0</formula>
    </cfRule>
  </conditionalFormatting>
  <conditionalFormatting sqref="DF68 DF71">
    <cfRule type="cellIs" dxfId="4705" priority="605" operator="greaterThan">
      <formula>0</formula>
    </cfRule>
    <cfRule type="cellIs" dxfId="4704" priority="606" operator="lessThanOrEqual">
      <formula>0</formula>
    </cfRule>
  </conditionalFormatting>
  <conditionalFormatting sqref="DF73">
    <cfRule type="cellIs" dxfId="4703" priority="603" operator="greaterThan">
      <formula>0</formula>
    </cfRule>
    <cfRule type="cellIs" dxfId="4702" priority="604" operator="lessThanOrEqual">
      <formula>0</formula>
    </cfRule>
  </conditionalFormatting>
  <conditionalFormatting sqref="DF69">
    <cfRule type="cellIs" dxfId="4701" priority="601" operator="greaterThan">
      <formula>0</formula>
    </cfRule>
    <cfRule type="cellIs" dxfId="4700" priority="602" operator="lessThanOrEqual">
      <formula>0</formula>
    </cfRule>
  </conditionalFormatting>
  <conditionalFormatting sqref="DF70">
    <cfRule type="cellIs" dxfId="4699" priority="599" operator="greaterThan">
      <formula>0</formula>
    </cfRule>
    <cfRule type="cellIs" dxfId="4698" priority="600" operator="lessThanOrEqual">
      <formula>0</formula>
    </cfRule>
  </conditionalFormatting>
  <conditionalFormatting sqref="DF72">
    <cfRule type="cellIs" dxfId="4697" priority="597" operator="greaterThan">
      <formula>0</formula>
    </cfRule>
    <cfRule type="cellIs" dxfId="4696" priority="598" operator="lessThanOrEqual">
      <formula>0</formula>
    </cfRule>
  </conditionalFormatting>
  <conditionalFormatting sqref="DE68:DE70">
    <cfRule type="cellIs" dxfId="4695" priority="595" operator="lessThan">
      <formula>0</formula>
    </cfRule>
    <cfRule type="cellIs" dxfId="4694" priority="596" operator="greaterThanOrEqual">
      <formula>0</formula>
    </cfRule>
  </conditionalFormatting>
  <conditionalFormatting sqref="DE71:DE72">
    <cfRule type="cellIs" dxfId="4693" priority="594" operator="greaterThanOrEqual">
      <formula>0</formula>
    </cfRule>
  </conditionalFormatting>
  <conditionalFormatting sqref="DE71:DE72">
    <cfRule type="cellIs" dxfId="4692" priority="593" operator="lessThan">
      <formula>0</formula>
    </cfRule>
  </conditionalFormatting>
  <conditionalFormatting sqref="DE73">
    <cfRule type="cellIs" dxfId="4691" priority="592" operator="greaterThanOrEqual">
      <formula>0</formula>
    </cfRule>
  </conditionalFormatting>
  <conditionalFormatting sqref="DE73">
    <cfRule type="cellIs" dxfId="4690" priority="591" operator="lessThan">
      <formula>0</formula>
    </cfRule>
  </conditionalFormatting>
  <conditionalFormatting sqref="DF67">
    <cfRule type="cellIs" dxfId="4689" priority="589" operator="greaterThan">
      <formula>0</formula>
    </cfRule>
    <cfRule type="cellIs" dxfId="4688" priority="590" operator="lessThanOrEqual">
      <formula>0</formula>
    </cfRule>
  </conditionalFormatting>
  <conditionalFormatting sqref="DE67">
    <cfRule type="cellIs" dxfId="4687" priority="587" operator="greaterThanOrEqual">
      <formula>0</formula>
    </cfRule>
    <cfRule type="cellIs" dxfId="4686" priority="588" operator="lessThan">
      <formula>0</formula>
    </cfRule>
  </conditionalFormatting>
  <conditionalFormatting sqref="DB51">
    <cfRule type="cellIs" dxfId="4685" priority="585" operator="greaterThan">
      <formula>0</formula>
    </cfRule>
    <cfRule type="cellIs" dxfId="4684" priority="586" operator="lessThanOrEqual">
      <formula>0</formula>
    </cfRule>
  </conditionalFormatting>
  <conditionalFormatting sqref="DH42:DH43">
    <cfRule type="cellIs" dxfId="4683" priority="583" operator="lessThan">
      <formula>0</formula>
    </cfRule>
    <cfRule type="cellIs" dxfId="4682" priority="584" operator="greaterThanOrEqual">
      <formula>0</formula>
    </cfRule>
  </conditionalFormatting>
  <conditionalFormatting sqref="DH45:DH46">
    <cfRule type="cellIs" dxfId="4681" priority="581" operator="lessThan">
      <formula>0</formula>
    </cfRule>
    <cfRule type="cellIs" dxfId="4680" priority="582" operator="greaterThanOrEqual">
      <formula>0</formula>
    </cfRule>
  </conditionalFormatting>
  <conditionalFormatting sqref="DH53:DH54">
    <cfRule type="cellIs" dxfId="4679" priority="579" operator="lessThan">
      <formula>0</formula>
    </cfRule>
    <cfRule type="cellIs" dxfId="4678" priority="580" operator="greaterThanOrEqual">
      <formula>0</formula>
    </cfRule>
  </conditionalFormatting>
  <conditionalFormatting sqref="DH57:DH58">
    <cfRule type="cellIs" dxfId="4677" priority="577" operator="lessThan">
      <formula>0</formula>
    </cfRule>
    <cfRule type="cellIs" dxfId="4676" priority="578" operator="greaterThanOrEqual">
      <formula>0</formula>
    </cfRule>
  </conditionalFormatting>
  <conditionalFormatting sqref="DH60:DH61">
    <cfRule type="cellIs" dxfId="4675" priority="575" operator="lessThan">
      <formula>0</formula>
    </cfRule>
    <cfRule type="cellIs" dxfId="4674" priority="576" operator="greaterThanOrEqual">
      <formula>0</formula>
    </cfRule>
  </conditionalFormatting>
  <conditionalFormatting sqref="DH63:DH64">
    <cfRule type="cellIs" dxfId="4673" priority="573" operator="lessThan">
      <formula>0</formula>
    </cfRule>
    <cfRule type="cellIs" dxfId="4672" priority="574" operator="greaterThanOrEqual">
      <formula>0</formula>
    </cfRule>
  </conditionalFormatting>
  <conditionalFormatting sqref="DH25">
    <cfRule type="cellIs" dxfId="4671" priority="572" operator="greaterThanOrEqual">
      <formula>0</formula>
    </cfRule>
  </conditionalFormatting>
  <conditionalFormatting sqref="DH25">
    <cfRule type="cellIs" dxfId="4670" priority="571" operator="lessThan">
      <formula>0</formula>
    </cfRule>
  </conditionalFormatting>
  <conditionalFormatting sqref="DH26">
    <cfRule type="cellIs" dxfId="4669" priority="570" operator="greaterThanOrEqual">
      <formula>0</formula>
    </cfRule>
  </conditionalFormatting>
  <conditionalFormatting sqref="DH26">
    <cfRule type="cellIs" dxfId="4668" priority="569" operator="lessThan">
      <formula>0</formula>
    </cfRule>
  </conditionalFormatting>
  <conditionalFormatting sqref="DH28">
    <cfRule type="cellIs" dxfId="4667" priority="568" operator="greaterThanOrEqual">
      <formula>0</formula>
    </cfRule>
  </conditionalFormatting>
  <conditionalFormatting sqref="DH28">
    <cfRule type="cellIs" dxfId="4666" priority="567" operator="lessThan">
      <formula>0</formula>
    </cfRule>
  </conditionalFormatting>
  <conditionalFormatting sqref="DH41">
    <cfRule type="cellIs" dxfId="4665" priority="566" operator="greaterThanOrEqual">
      <formula>0</formula>
    </cfRule>
  </conditionalFormatting>
  <conditionalFormatting sqref="DH41">
    <cfRule type="cellIs" dxfId="4664" priority="565" operator="lessThan">
      <formula>0</formula>
    </cfRule>
  </conditionalFormatting>
  <conditionalFormatting sqref="DH44">
    <cfRule type="cellIs" dxfId="4663" priority="564" operator="greaterThanOrEqual">
      <formula>0</formula>
    </cfRule>
  </conditionalFormatting>
  <conditionalFormatting sqref="DH44">
    <cfRule type="cellIs" dxfId="4662" priority="563" operator="lessThan">
      <formula>0</formula>
    </cfRule>
  </conditionalFormatting>
  <conditionalFormatting sqref="DH47">
    <cfRule type="cellIs" dxfId="4661" priority="562" operator="greaterThanOrEqual">
      <formula>0</formula>
    </cfRule>
  </conditionalFormatting>
  <conditionalFormatting sqref="DH47">
    <cfRule type="cellIs" dxfId="4660" priority="561" operator="lessThan">
      <formula>0</formula>
    </cfRule>
  </conditionalFormatting>
  <conditionalFormatting sqref="DH50">
    <cfRule type="cellIs" dxfId="4659" priority="560" operator="greaterThanOrEqual">
      <formula>0</formula>
    </cfRule>
  </conditionalFormatting>
  <conditionalFormatting sqref="DH50">
    <cfRule type="cellIs" dxfId="4658" priority="559" operator="lessThan">
      <formula>0</formula>
    </cfRule>
  </conditionalFormatting>
  <conditionalFormatting sqref="DH51">
    <cfRule type="cellIs" dxfId="4657" priority="558" operator="greaterThanOrEqual">
      <formula>0</formula>
    </cfRule>
  </conditionalFormatting>
  <conditionalFormatting sqref="DH51">
    <cfRule type="cellIs" dxfId="4656" priority="557" operator="lessThan">
      <formula>0</formula>
    </cfRule>
  </conditionalFormatting>
  <conditionalFormatting sqref="DH59">
    <cfRule type="cellIs" dxfId="4655" priority="556" operator="greaterThanOrEqual">
      <formula>0</formula>
    </cfRule>
  </conditionalFormatting>
  <conditionalFormatting sqref="DH59">
    <cfRule type="cellIs" dxfId="4654" priority="555" operator="lessThan">
      <formula>0</formula>
    </cfRule>
  </conditionalFormatting>
  <conditionalFormatting sqref="DH62">
    <cfRule type="cellIs" dxfId="4653" priority="554" operator="greaterThanOrEqual">
      <formula>0</formula>
    </cfRule>
  </conditionalFormatting>
  <conditionalFormatting sqref="DH62">
    <cfRule type="cellIs" dxfId="4652" priority="553" operator="lessThan">
      <formula>0</formula>
    </cfRule>
  </conditionalFormatting>
  <conditionalFormatting sqref="DH65">
    <cfRule type="cellIs" dxfId="4651" priority="552" operator="greaterThanOrEqual">
      <formula>0</formula>
    </cfRule>
  </conditionalFormatting>
  <conditionalFormatting sqref="DH65">
    <cfRule type="cellIs" dxfId="4650" priority="551" operator="lessThan">
      <formula>0</formula>
    </cfRule>
  </conditionalFormatting>
  <conditionalFormatting sqref="DH56">
    <cfRule type="cellIs" dxfId="4649" priority="550" operator="greaterThanOrEqual">
      <formula>0</formula>
    </cfRule>
  </conditionalFormatting>
  <conditionalFormatting sqref="DH56">
    <cfRule type="cellIs" dxfId="4648" priority="549" operator="lessThan">
      <formula>0</formula>
    </cfRule>
  </conditionalFormatting>
  <conditionalFormatting sqref="DH66">
    <cfRule type="cellIs" dxfId="4647" priority="548" operator="greaterThanOrEqual">
      <formula>0</formula>
    </cfRule>
  </conditionalFormatting>
  <conditionalFormatting sqref="DH66">
    <cfRule type="cellIs" dxfId="4646" priority="547" operator="lessThan">
      <formula>0</formula>
    </cfRule>
  </conditionalFormatting>
  <conditionalFormatting sqref="DI16:DI17">
    <cfRule type="cellIs" dxfId="4645" priority="545" operator="greaterThan">
      <formula>0</formula>
    </cfRule>
    <cfRule type="cellIs" dxfId="4644" priority="546" operator="lessThanOrEqual">
      <formula>0</formula>
    </cfRule>
  </conditionalFormatting>
  <conditionalFormatting sqref="DI19:DI20">
    <cfRule type="cellIs" dxfId="4643" priority="543" operator="greaterThan">
      <formula>0</formula>
    </cfRule>
    <cfRule type="cellIs" dxfId="4642" priority="544" operator="lessThanOrEqual">
      <formula>0</formula>
    </cfRule>
  </conditionalFormatting>
  <conditionalFormatting sqref="DI22:DI23">
    <cfRule type="cellIs" dxfId="4641" priority="541" operator="greaterThan">
      <formula>0</formula>
    </cfRule>
    <cfRule type="cellIs" dxfId="4640" priority="542" operator="lessThanOrEqual">
      <formula>0</formula>
    </cfRule>
  </conditionalFormatting>
  <conditionalFormatting sqref="DI29:DI30">
    <cfRule type="cellIs" dxfId="4639" priority="539" operator="greaterThan">
      <formula>0</formula>
    </cfRule>
    <cfRule type="cellIs" dxfId="4638" priority="540" operator="lessThanOrEqual">
      <formula>0</formula>
    </cfRule>
  </conditionalFormatting>
  <conditionalFormatting sqref="DI32:DI33">
    <cfRule type="cellIs" dxfId="4637" priority="537" operator="greaterThan">
      <formula>0</formula>
    </cfRule>
    <cfRule type="cellIs" dxfId="4636" priority="538" operator="lessThanOrEqual">
      <formula>0</formula>
    </cfRule>
  </conditionalFormatting>
  <conditionalFormatting sqref="DI35:DI36">
    <cfRule type="cellIs" dxfId="4635" priority="535" operator="greaterThan">
      <formula>0</formula>
    </cfRule>
    <cfRule type="cellIs" dxfId="4634" priority="536" operator="lessThanOrEqual">
      <formula>0</formula>
    </cfRule>
  </conditionalFormatting>
  <conditionalFormatting sqref="DI38:DI39">
    <cfRule type="cellIs" dxfId="4633" priority="533" operator="greaterThan">
      <formula>0</formula>
    </cfRule>
    <cfRule type="cellIs" dxfId="4632" priority="534" operator="lessThanOrEqual">
      <formula>0</formula>
    </cfRule>
  </conditionalFormatting>
  <conditionalFormatting sqref="DI42:DI43">
    <cfRule type="cellIs" dxfId="4631" priority="531" operator="greaterThan">
      <formula>0</formula>
    </cfRule>
    <cfRule type="cellIs" dxfId="4630" priority="532" operator="lessThanOrEqual">
      <formula>0</formula>
    </cfRule>
  </conditionalFormatting>
  <conditionalFormatting sqref="DI45:DI46">
    <cfRule type="cellIs" dxfId="4629" priority="529" operator="greaterThan">
      <formula>0</formula>
    </cfRule>
    <cfRule type="cellIs" dxfId="4628" priority="530" operator="lessThanOrEqual">
      <formula>0</formula>
    </cfRule>
  </conditionalFormatting>
  <conditionalFormatting sqref="DI48:DI49">
    <cfRule type="cellIs" dxfId="4627" priority="527" operator="greaterThan">
      <formula>0</formula>
    </cfRule>
    <cfRule type="cellIs" dxfId="4626" priority="528" operator="lessThanOrEqual">
      <formula>0</formula>
    </cfRule>
  </conditionalFormatting>
  <conditionalFormatting sqref="DI53:DI54">
    <cfRule type="cellIs" dxfId="4625" priority="525" operator="greaterThan">
      <formula>0</formula>
    </cfRule>
    <cfRule type="cellIs" dxfId="4624" priority="526" operator="lessThanOrEqual">
      <formula>0</formula>
    </cfRule>
  </conditionalFormatting>
  <conditionalFormatting sqref="DI57:DI58">
    <cfRule type="cellIs" dxfId="4623" priority="523" operator="greaterThan">
      <formula>0</formula>
    </cfRule>
    <cfRule type="cellIs" dxfId="4622" priority="524" operator="lessThanOrEqual">
      <formula>0</formula>
    </cfRule>
  </conditionalFormatting>
  <conditionalFormatting sqref="DI60:DI61">
    <cfRule type="cellIs" dxfId="4621" priority="521" operator="greaterThan">
      <formula>0</formula>
    </cfRule>
    <cfRule type="cellIs" dxfId="4620" priority="522" operator="lessThanOrEqual">
      <formula>0</formula>
    </cfRule>
  </conditionalFormatting>
  <conditionalFormatting sqref="DI63:DI64">
    <cfRule type="cellIs" dxfId="4619" priority="519" operator="greaterThan">
      <formula>0</formula>
    </cfRule>
    <cfRule type="cellIs" dxfId="4618" priority="520" operator="lessThanOrEqual">
      <formula>0</formula>
    </cfRule>
  </conditionalFormatting>
  <conditionalFormatting sqref="DI25">
    <cfRule type="cellIs" dxfId="4617" priority="518" operator="greaterThanOrEqual">
      <formula>0</formula>
    </cfRule>
  </conditionalFormatting>
  <conditionalFormatting sqref="DI25">
    <cfRule type="cellIs" dxfId="4616" priority="517" operator="lessThan">
      <formula>0</formula>
    </cfRule>
  </conditionalFormatting>
  <conditionalFormatting sqref="DI26">
    <cfRule type="cellIs" dxfId="4615" priority="516" operator="greaterThanOrEqual">
      <formula>0</formula>
    </cfRule>
  </conditionalFormatting>
  <conditionalFormatting sqref="DI26">
    <cfRule type="cellIs" dxfId="4614" priority="515" operator="lessThan">
      <formula>0</formula>
    </cfRule>
  </conditionalFormatting>
  <conditionalFormatting sqref="DI28">
    <cfRule type="cellIs" dxfId="4613" priority="514" operator="greaterThanOrEqual">
      <formula>0</formula>
    </cfRule>
  </conditionalFormatting>
  <conditionalFormatting sqref="DI28">
    <cfRule type="cellIs" dxfId="4612" priority="513" operator="lessThan">
      <formula>0</formula>
    </cfRule>
  </conditionalFormatting>
  <conditionalFormatting sqref="DI41">
    <cfRule type="cellIs" dxfId="4611" priority="512" operator="greaterThanOrEqual">
      <formula>0</formula>
    </cfRule>
  </conditionalFormatting>
  <conditionalFormatting sqref="DI41">
    <cfRule type="cellIs" dxfId="4610" priority="511" operator="lessThan">
      <formula>0</formula>
    </cfRule>
  </conditionalFormatting>
  <conditionalFormatting sqref="DI44">
    <cfRule type="cellIs" dxfId="4609" priority="510" operator="greaterThanOrEqual">
      <formula>0</formula>
    </cfRule>
  </conditionalFormatting>
  <conditionalFormatting sqref="DI44">
    <cfRule type="cellIs" dxfId="4608" priority="509" operator="lessThan">
      <formula>0</formula>
    </cfRule>
  </conditionalFormatting>
  <conditionalFormatting sqref="DI47">
    <cfRule type="cellIs" dxfId="4607" priority="508" operator="greaterThanOrEqual">
      <formula>0</formula>
    </cfRule>
  </conditionalFormatting>
  <conditionalFormatting sqref="DI47">
    <cfRule type="cellIs" dxfId="4606" priority="507" operator="lessThan">
      <formula>0</formula>
    </cfRule>
  </conditionalFormatting>
  <conditionalFormatting sqref="DI50">
    <cfRule type="cellIs" dxfId="4605" priority="506" operator="greaterThanOrEqual">
      <formula>0</formula>
    </cfRule>
  </conditionalFormatting>
  <conditionalFormatting sqref="DI50">
    <cfRule type="cellIs" dxfId="4604" priority="505" operator="lessThan">
      <formula>0</formula>
    </cfRule>
  </conditionalFormatting>
  <conditionalFormatting sqref="DI51">
    <cfRule type="cellIs" dxfId="4603" priority="504" operator="greaterThanOrEqual">
      <formula>0</formula>
    </cfRule>
  </conditionalFormatting>
  <conditionalFormatting sqref="DI51">
    <cfRule type="cellIs" dxfId="4602" priority="503" operator="lessThan">
      <formula>0</formula>
    </cfRule>
  </conditionalFormatting>
  <conditionalFormatting sqref="DE107">
    <cfRule type="cellIs" dxfId="4601" priority="270" operator="greaterThanOrEqual">
      <formula>0</formula>
    </cfRule>
  </conditionalFormatting>
  <conditionalFormatting sqref="DE107">
    <cfRule type="cellIs" dxfId="4600" priority="269" operator="lessThan">
      <formula>0</formula>
    </cfRule>
  </conditionalFormatting>
  <conditionalFormatting sqref="DI59">
    <cfRule type="cellIs" dxfId="4599" priority="502" operator="greaterThanOrEqual">
      <formula>0</formula>
    </cfRule>
  </conditionalFormatting>
  <conditionalFormatting sqref="DI59">
    <cfRule type="cellIs" dxfId="4598" priority="501" operator="lessThan">
      <formula>0</formula>
    </cfRule>
  </conditionalFormatting>
  <conditionalFormatting sqref="DI62">
    <cfRule type="cellIs" dxfId="4597" priority="500" operator="greaterThanOrEqual">
      <formula>0</formula>
    </cfRule>
  </conditionalFormatting>
  <conditionalFormatting sqref="DI62">
    <cfRule type="cellIs" dxfId="4596" priority="499" operator="lessThan">
      <formula>0</formula>
    </cfRule>
  </conditionalFormatting>
  <conditionalFormatting sqref="DI65">
    <cfRule type="cellIs" dxfId="4595" priority="498" operator="greaterThanOrEqual">
      <formula>0</formula>
    </cfRule>
  </conditionalFormatting>
  <conditionalFormatting sqref="DI65">
    <cfRule type="cellIs" dxfId="4594" priority="497" operator="lessThan">
      <formula>0</formula>
    </cfRule>
  </conditionalFormatting>
  <conditionalFormatting sqref="DI56">
    <cfRule type="cellIs" dxfId="4593" priority="495" operator="lessThan">
      <formula>0</formula>
    </cfRule>
  </conditionalFormatting>
  <conditionalFormatting sqref="DI56">
    <cfRule type="cellIs" dxfId="4592" priority="496" operator="greaterThanOrEqual">
      <formula>0</formula>
    </cfRule>
  </conditionalFormatting>
  <conditionalFormatting sqref="DI66">
    <cfRule type="cellIs" dxfId="4591" priority="493" operator="lessThan">
      <formula>0</formula>
    </cfRule>
  </conditionalFormatting>
  <conditionalFormatting sqref="DI66">
    <cfRule type="cellIs" dxfId="4590" priority="494" operator="greaterThanOrEqual">
      <formula>0</formula>
    </cfRule>
  </conditionalFormatting>
  <conditionalFormatting sqref="DH70">
    <cfRule type="cellIs" dxfId="4589" priority="491" operator="lessThan">
      <formula>0</formula>
    </cfRule>
    <cfRule type="cellIs" dxfId="4588" priority="492" operator="greaterThanOrEqual">
      <formula>0</formula>
    </cfRule>
  </conditionalFormatting>
  <conditionalFormatting sqref="DI70">
    <cfRule type="cellIs" dxfId="4587" priority="489" operator="lessThan">
      <formula>0</formula>
    </cfRule>
    <cfRule type="cellIs" dxfId="4586" priority="490" operator="greaterThanOrEqual">
      <formula>0</formula>
    </cfRule>
  </conditionalFormatting>
  <conditionalFormatting sqref="DI72">
    <cfRule type="cellIs" dxfId="4585" priority="487" operator="lessThan">
      <formula>0</formula>
    </cfRule>
    <cfRule type="cellIs" dxfId="4584" priority="488" operator="greaterThanOrEqual">
      <formula>0</formula>
    </cfRule>
  </conditionalFormatting>
  <conditionalFormatting sqref="DI123:DI124">
    <cfRule type="cellIs" dxfId="4583" priority="159" operator="greaterThan">
      <formula>0</formula>
    </cfRule>
    <cfRule type="cellIs" dxfId="4582" priority="160" operator="lessThanOrEqual">
      <formula>0</formula>
    </cfRule>
  </conditionalFormatting>
  <conditionalFormatting sqref="DI119">
    <cfRule type="cellIs" dxfId="4581" priority="134" operator="greaterThanOrEqual">
      <formula>0</formula>
    </cfRule>
  </conditionalFormatting>
  <conditionalFormatting sqref="DI119">
    <cfRule type="cellIs" dxfId="4580" priority="133" operator="lessThan">
      <formula>0</formula>
    </cfRule>
  </conditionalFormatting>
  <conditionalFormatting sqref="DI129">
    <cfRule type="cellIs" dxfId="4579" priority="132" operator="greaterThanOrEqual">
      <formula>0</formula>
    </cfRule>
  </conditionalFormatting>
  <conditionalFormatting sqref="DI129">
    <cfRule type="cellIs" dxfId="4578" priority="131" operator="lessThan">
      <formula>0</formula>
    </cfRule>
  </conditionalFormatting>
  <conditionalFormatting sqref="DI118">
    <cfRule type="cellIs" dxfId="4577" priority="128" operator="greaterThanOrEqual">
      <formula>0</formula>
    </cfRule>
  </conditionalFormatting>
  <conditionalFormatting sqref="DI118">
    <cfRule type="cellIs" dxfId="4576" priority="127" operator="lessThan">
      <formula>0</formula>
    </cfRule>
  </conditionalFormatting>
  <conditionalFormatting sqref="DH76:DH77 DH79:DH80 DH82:DH83 DH85:DH86 DH92:DH93 DH95:DH96 DH98:DH99 DH101:DH102 DH111:DH112">
    <cfRule type="cellIs" dxfId="4575" priority="237" operator="lessThan">
      <formula>0</formula>
    </cfRule>
    <cfRule type="cellIs" dxfId="4574" priority="238" operator="greaterThanOrEqual">
      <formula>0</formula>
    </cfRule>
  </conditionalFormatting>
  <conditionalFormatting sqref="DF95:DF96">
    <cfRule type="cellIs" dxfId="4573" priority="345" operator="greaterThan">
      <formula>0</formula>
    </cfRule>
    <cfRule type="cellIs" dxfId="4572" priority="346" operator="lessThanOrEqual">
      <formula>0</formula>
    </cfRule>
  </conditionalFormatting>
  <conditionalFormatting sqref="DH107">
    <cfRule type="cellIs" dxfId="4571" priority="202" operator="greaterThanOrEqual">
      <formula>0</formula>
    </cfRule>
  </conditionalFormatting>
  <conditionalFormatting sqref="DH107">
    <cfRule type="cellIs" dxfId="4570" priority="201" operator="lessThan">
      <formula>0</formula>
    </cfRule>
  </conditionalFormatting>
  <conditionalFormatting sqref="DI113">
    <cfRule type="cellIs" dxfId="4569" priority="144" operator="greaterThanOrEqual">
      <formula>0</formula>
    </cfRule>
  </conditionalFormatting>
  <conditionalFormatting sqref="DI113">
    <cfRule type="cellIs" dxfId="4568" priority="143" operator="lessThan">
      <formula>0</formula>
    </cfRule>
  </conditionalFormatting>
  <conditionalFormatting sqref="DH114">
    <cfRule type="cellIs" dxfId="4567" priority="196" operator="greaterThanOrEqual">
      <formula>0</formula>
    </cfRule>
  </conditionalFormatting>
  <conditionalFormatting sqref="DH114">
    <cfRule type="cellIs" dxfId="4566" priority="195" operator="lessThan">
      <formula>0</formula>
    </cfRule>
  </conditionalFormatting>
  <conditionalFormatting sqref="DI125">
    <cfRule type="cellIs" dxfId="4565" priority="137" operator="lessThan">
      <formula>0</formula>
    </cfRule>
  </conditionalFormatting>
  <conditionalFormatting sqref="DI125">
    <cfRule type="cellIs" dxfId="4564" priority="138" operator="greaterThanOrEqual">
      <formula>0</formula>
    </cfRule>
  </conditionalFormatting>
  <conditionalFormatting sqref="DA55">
    <cfRule type="cellIs" dxfId="4563" priority="486" operator="greaterThanOrEqual">
      <formula>0</formula>
    </cfRule>
  </conditionalFormatting>
  <conditionalFormatting sqref="DA55">
    <cfRule type="cellIs" dxfId="4562" priority="485" operator="lessThan">
      <formula>0</formula>
    </cfRule>
  </conditionalFormatting>
  <conditionalFormatting sqref="DF55">
    <cfRule type="cellIs" dxfId="4561" priority="483" operator="greaterThan">
      <formula>0</formula>
    </cfRule>
    <cfRule type="cellIs" dxfId="4560" priority="484" operator="lessThanOrEqual">
      <formula>0</formula>
    </cfRule>
  </conditionalFormatting>
  <conditionalFormatting sqref="DE55">
    <cfRule type="cellIs" dxfId="4559" priority="482" operator="greaterThanOrEqual">
      <formula>0</formula>
    </cfRule>
  </conditionalFormatting>
  <conditionalFormatting sqref="DE55">
    <cfRule type="cellIs" dxfId="4558" priority="481" operator="lessThan">
      <formula>0</formula>
    </cfRule>
  </conditionalFormatting>
  <conditionalFormatting sqref="DB55">
    <cfRule type="cellIs" dxfId="4557" priority="479" operator="greaterThan">
      <formula>0</formula>
    </cfRule>
    <cfRule type="cellIs" dxfId="4556" priority="480" operator="lessThanOrEqual">
      <formula>0</formula>
    </cfRule>
  </conditionalFormatting>
  <conditionalFormatting sqref="DH55">
    <cfRule type="cellIs" dxfId="4555" priority="478" operator="greaterThanOrEqual">
      <formula>0</formula>
    </cfRule>
  </conditionalFormatting>
  <conditionalFormatting sqref="DH55">
    <cfRule type="cellIs" dxfId="4554" priority="477" operator="lessThan">
      <formula>0</formula>
    </cfRule>
  </conditionalFormatting>
  <conditionalFormatting sqref="DI55">
    <cfRule type="cellIs" dxfId="4553" priority="476" operator="greaterThanOrEqual">
      <formula>0</formula>
    </cfRule>
  </conditionalFormatting>
  <conditionalFormatting sqref="DI55">
    <cfRule type="cellIs" dxfId="4552" priority="475" operator="lessThan">
      <formula>0</formula>
    </cfRule>
  </conditionalFormatting>
  <conditionalFormatting sqref="DI128">
    <cfRule type="cellIs" dxfId="4551" priority="136" operator="greaterThanOrEqual">
      <formula>0</formula>
    </cfRule>
  </conditionalFormatting>
  <conditionalFormatting sqref="DI128">
    <cfRule type="cellIs" dxfId="4550" priority="135" operator="lessThan">
      <formula>0</formula>
    </cfRule>
  </conditionalFormatting>
  <conditionalFormatting sqref="DB76:DB77">
    <cfRule type="cellIs" dxfId="4549" priority="473" operator="greaterThan">
      <formula>0</formula>
    </cfRule>
    <cfRule type="cellIs" dxfId="4548" priority="474" operator="lessThanOrEqual">
      <formula>0</formula>
    </cfRule>
  </conditionalFormatting>
  <conditionalFormatting sqref="DB79:DB80">
    <cfRule type="cellIs" dxfId="4547" priority="471" operator="greaterThan">
      <formula>0</formula>
    </cfRule>
    <cfRule type="cellIs" dxfId="4546" priority="472" operator="lessThanOrEqual">
      <formula>0</formula>
    </cfRule>
  </conditionalFormatting>
  <conditionalFormatting sqref="DB82:DB83">
    <cfRule type="cellIs" dxfId="4545" priority="469" operator="greaterThan">
      <formula>0</formula>
    </cfRule>
    <cfRule type="cellIs" dxfId="4544" priority="470" operator="lessThanOrEqual">
      <formula>0</formula>
    </cfRule>
  </conditionalFormatting>
  <conditionalFormatting sqref="DB92:DB93">
    <cfRule type="cellIs" dxfId="4543" priority="467" operator="greaterThan">
      <formula>0</formula>
    </cfRule>
    <cfRule type="cellIs" dxfId="4542" priority="468" operator="lessThanOrEqual">
      <formula>0</formula>
    </cfRule>
  </conditionalFormatting>
  <conditionalFormatting sqref="DB85:DB86">
    <cfRule type="cellIs" dxfId="4541" priority="465" operator="greaterThan">
      <formula>0</formula>
    </cfRule>
    <cfRule type="cellIs" dxfId="4540" priority="466" operator="lessThanOrEqual">
      <formula>0</formula>
    </cfRule>
  </conditionalFormatting>
  <conditionalFormatting sqref="DB95:DB96">
    <cfRule type="cellIs" dxfId="4539" priority="463" operator="greaterThan">
      <formula>0</formula>
    </cfRule>
    <cfRule type="cellIs" dxfId="4538" priority="464" operator="lessThanOrEqual">
      <formula>0</formula>
    </cfRule>
  </conditionalFormatting>
  <conditionalFormatting sqref="DB98:DB99">
    <cfRule type="cellIs" dxfId="4537" priority="461" operator="greaterThan">
      <formula>0</formula>
    </cfRule>
    <cfRule type="cellIs" dxfId="4536" priority="462" operator="lessThanOrEqual">
      <formula>0</formula>
    </cfRule>
  </conditionalFormatting>
  <conditionalFormatting sqref="DB101:DB102">
    <cfRule type="cellIs" dxfId="4535" priority="459" operator="greaterThan">
      <formula>0</formula>
    </cfRule>
    <cfRule type="cellIs" dxfId="4534" priority="460" operator="lessThanOrEqual">
      <formula>0</formula>
    </cfRule>
  </conditionalFormatting>
  <conditionalFormatting sqref="DB111:DB112">
    <cfRule type="cellIs" dxfId="4533" priority="457" operator="greaterThan">
      <formula>0</formula>
    </cfRule>
    <cfRule type="cellIs" dxfId="4532" priority="458" operator="lessThanOrEqual">
      <formula>0</formula>
    </cfRule>
  </conditionalFormatting>
  <conditionalFormatting sqref="DB126:DB127">
    <cfRule type="cellIs" dxfId="4531" priority="455" operator="greaterThan">
      <formula>0</formula>
    </cfRule>
    <cfRule type="cellIs" dxfId="4530" priority="456" operator="lessThanOrEqual">
      <formula>0</formula>
    </cfRule>
  </conditionalFormatting>
  <conditionalFormatting sqref="DB116:DB117">
    <cfRule type="cellIs" dxfId="4529" priority="453" operator="greaterThan">
      <formula>0</formula>
    </cfRule>
    <cfRule type="cellIs" dxfId="4528" priority="454" operator="lessThanOrEqual">
      <formula>0</formula>
    </cfRule>
  </conditionalFormatting>
  <conditionalFormatting sqref="DB78">
    <cfRule type="cellIs" dxfId="4527" priority="451" operator="greaterThan">
      <formula>0</formula>
    </cfRule>
    <cfRule type="cellIs" dxfId="4526" priority="452" operator="lessThanOrEqual">
      <formula>0</formula>
    </cfRule>
  </conditionalFormatting>
  <conditionalFormatting sqref="DB81">
    <cfRule type="cellIs" dxfId="4525" priority="449" operator="greaterThan">
      <formula>0</formula>
    </cfRule>
    <cfRule type="cellIs" dxfId="4524" priority="450" operator="lessThanOrEqual">
      <formula>0</formula>
    </cfRule>
  </conditionalFormatting>
  <conditionalFormatting sqref="DB84">
    <cfRule type="cellIs" dxfId="4523" priority="447" operator="greaterThan">
      <formula>0</formula>
    </cfRule>
    <cfRule type="cellIs" dxfId="4522" priority="448" operator="lessThanOrEqual">
      <formula>0</formula>
    </cfRule>
  </conditionalFormatting>
  <conditionalFormatting sqref="DB94">
    <cfRule type="cellIs" dxfId="4521" priority="445" operator="greaterThan">
      <formula>0</formula>
    </cfRule>
    <cfRule type="cellIs" dxfId="4520" priority="446" operator="lessThanOrEqual">
      <formula>0</formula>
    </cfRule>
  </conditionalFormatting>
  <conditionalFormatting sqref="DB87">
    <cfRule type="cellIs" dxfId="4519" priority="443" operator="greaterThan">
      <formula>0</formula>
    </cfRule>
    <cfRule type="cellIs" dxfId="4518" priority="444" operator="lessThanOrEqual">
      <formula>0</formula>
    </cfRule>
  </conditionalFormatting>
  <conditionalFormatting sqref="DB97">
    <cfRule type="cellIs" dxfId="4517" priority="441" operator="greaterThan">
      <formula>0</formula>
    </cfRule>
    <cfRule type="cellIs" dxfId="4516" priority="442" operator="lessThanOrEqual">
      <formula>0</formula>
    </cfRule>
  </conditionalFormatting>
  <conditionalFormatting sqref="DB100">
    <cfRule type="cellIs" dxfId="4515" priority="439" operator="greaterThan">
      <formula>0</formula>
    </cfRule>
    <cfRule type="cellIs" dxfId="4514" priority="440" operator="lessThanOrEqual">
      <formula>0</formula>
    </cfRule>
  </conditionalFormatting>
  <conditionalFormatting sqref="DB103">
    <cfRule type="cellIs" dxfId="4513" priority="437" operator="greaterThan">
      <formula>0</formula>
    </cfRule>
    <cfRule type="cellIs" dxfId="4512" priority="438" operator="lessThanOrEqual">
      <formula>0</formula>
    </cfRule>
  </conditionalFormatting>
  <conditionalFormatting sqref="DB89">
    <cfRule type="cellIs" dxfId="4511" priority="435" operator="greaterThan">
      <formula>0</formula>
    </cfRule>
    <cfRule type="cellIs" dxfId="4510" priority="436" operator="lessThanOrEqual">
      <formula>0</formula>
    </cfRule>
  </conditionalFormatting>
  <conditionalFormatting sqref="DB129">
    <cfRule type="cellIs" dxfId="4509" priority="433" operator="greaterThan">
      <formula>0</formula>
    </cfRule>
    <cfRule type="cellIs" dxfId="4508" priority="434" operator="lessThanOrEqual">
      <formula>0</formula>
    </cfRule>
  </conditionalFormatting>
  <conditionalFormatting sqref="DA76:DA77 DA79:DA80 DA82:DA83 DA85:DA86 DA92:DA93 DA95:DA96 DA98:DA99 DA101:DA102 DA111:DA112 DA116:DA117">
    <cfRule type="cellIs" dxfId="4507" priority="431" operator="lessThan">
      <formula>0</formula>
    </cfRule>
    <cfRule type="cellIs" dxfId="4506" priority="432" operator="greaterThanOrEqual">
      <formula>0</formula>
    </cfRule>
  </conditionalFormatting>
  <conditionalFormatting sqref="DA78 DA81 DA84 DA87 DA89 DA94 DA97 DA100 DA103">
    <cfRule type="cellIs" dxfId="4505" priority="430" operator="greaterThanOrEqual">
      <formula>0</formula>
    </cfRule>
  </conditionalFormatting>
  <conditionalFormatting sqref="DA78 DA81 DA84 DA87 DA89 DA94 DA97 DA100 DA103">
    <cfRule type="cellIs" dxfId="4504" priority="429" operator="lessThan">
      <formula>0</formula>
    </cfRule>
  </conditionalFormatting>
  <conditionalFormatting sqref="DB130">
    <cfRule type="cellIs" dxfId="4503" priority="427" operator="greaterThan">
      <formula>0</formula>
    </cfRule>
    <cfRule type="cellIs" dxfId="4502" priority="428" operator="lessThanOrEqual">
      <formula>0</formula>
    </cfRule>
  </conditionalFormatting>
  <conditionalFormatting sqref="DA130">
    <cfRule type="cellIs" dxfId="4501" priority="425" operator="greaterThanOrEqual">
      <formula>0</formula>
    </cfRule>
    <cfRule type="cellIs" dxfId="4500" priority="426" operator="lessThan">
      <formula>0</formula>
    </cfRule>
  </conditionalFormatting>
  <conditionalFormatting sqref="DA125">
    <cfRule type="cellIs" dxfId="4499" priority="406" operator="greaterThanOrEqual">
      <formula>0</formula>
    </cfRule>
  </conditionalFormatting>
  <conditionalFormatting sqref="DA125">
    <cfRule type="cellIs" dxfId="4498" priority="405" operator="lessThan">
      <formula>0</formula>
    </cfRule>
  </conditionalFormatting>
  <conditionalFormatting sqref="DB107">
    <cfRule type="cellIs" dxfId="4497" priority="415" operator="greaterThan">
      <formula>0</formula>
    </cfRule>
    <cfRule type="cellIs" dxfId="4496" priority="416" operator="lessThanOrEqual">
      <formula>0</formula>
    </cfRule>
  </conditionalFormatting>
  <conditionalFormatting sqref="DB110">
    <cfRule type="cellIs" dxfId="4495" priority="413" operator="greaterThan">
      <formula>0</formula>
    </cfRule>
    <cfRule type="cellIs" dxfId="4494" priority="414" operator="lessThanOrEqual">
      <formula>0</formula>
    </cfRule>
  </conditionalFormatting>
  <conditionalFormatting sqref="DB113">
    <cfRule type="cellIs" dxfId="4493" priority="411" operator="greaterThan">
      <formula>0</formula>
    </cfRule>
    <cfRule type="cellIs" dxfId="4492" priority="412" operator="lessThanOrEqual">
      <formula>0</formula>
    </cfRule>
  </conditionalFormatting>
  <conditionalFormatting sqref="DB91">
    <cfRule type="cellIs" dxfId="4491" priority="423" operator="greaterThan">
      <formula>0</formula>
    </cfRule>
    <cfRule type="cellIs" dxfId="4490" priority="424" operator="lessThanOrEqual">
      <formula>0</formula>
    </cfRule>
  </conditionalFormatting>
  <conditionalFormatting sqref="DB104">
    <cfRule type="cellIs" dxfId="4489" priority="421" operator="greaterThan">
      <formula>0</formula>
    </cfRule>
    <cfRule type="cellIs" dxfId="4488" priority="422" operator="lessThanOrEqual">
      <formula>0</formula>
    </cfRule>
  </conditionalFormatting>
  <conditionalFormatting sqref="DB105:DB106 DB108:DB109">
    <cfRule type="cellIs" dxfId="4487" priority="419" operator="greaterThan">
      <formula>0</formula>
    </cfRule>
    <cfRule type="cellIs" dxfId="4486" priority="420" operator="lessThanOrEqual">
      <formula>0</formula>
    </cfRule>
  </conditionalFormatting>
  <conditionalFormatting sqref="DB120:DB121 DB123:DB124">
    <cfRule type="cellIs" dxfId="4485" priority="417" operator="greaterThan">
      <formula>0</formula>
    </cfRule>
    <cfRule type="cellIs" dxfId="4484" priority="418" operator="lessThanOrEqual">
      <formula>0</formula>
    </cfRule>
  </conditionalFormatting>
  <conditionalFormatting sqref="DB122">
    <cfRule type="cellIs" dxfId="4483" priority="409" operator="greaterThan">
      <formula>0</formula>
    </cfRule>
    <cfRule type="cellIs" dxfId="4482" priority="410" operator="lessThanOrEqual">
      <formula>0</formula>
    </cfRule>
  </conditionalFormatting>
  <conditionalFormatting sqref="DB125">
    <cfRule type="cellIs" dxfId="4481" priority="407" operator="greaterThan">
      <formula>0</formula>
    </cfRule>
    <cfRule type="cellIs" dxfId="4480" priority="408" operator="lessThanOrEqual">
      <formula>0</formula>
    </cfRule>
  </conditionalFormatting>
  <conditionalFormatting sqref="DB128">
    <cfRule type="cellIs" dxfId="4479" priority="403" operator="greaterThan">
      <formula>0</formula>
    </cfRule>
    <cfRule type="cellIs" dxfId="4478" priority="404" operator="lessThanOrEqual">
      <formula>0</formula>
    </cfRule>
  </conditionalFormatting>
  <conditionalFormatting sqref="DB88">
    <cfRule type="cellIs" dxfId="4477" priority="401" operator="greaterThan">
      <formula>0</formula>
    </cfRule>
    <cfRule type="cellIs" dxfId="4476" priority="402" operator="lessThanOrEqual">
      <formula>0</formula>
    </cfRule>
  </conditionalFormatting>
  <conditionalFormatting sqref="DB119">
    <cfRule type="cellIs" dxfId="4475" priority="399" operator="greaterThan">
      <formula>0</formula>
    </cfRule>
    <cfRule type="cellIs" dxfId="4474" priority="400" operator="lessThanOrEqual">
      <formula>0</formula>
    </cfRule>
  </conditionalFormatting>
  <conditionalFormatting sqref="DA119">
    <cfRule type="cellIs" dxfId="4473" priority="398" operator="greaterThanOrEqual">
      <formula>0</formula>
    </cfRule>
  </conditionalFormatting>
  <conditionalFormatting sqref="DA119">
    <cfRule type="cellIs" dxfId="4472" priority="397" operator="lessThan">
      <formula>0</formula>
    </cfRule>
  </conditionalFormatting>
  <conditionalFormatting sqref="DB115">
    <cfRule type="cellIs" dxfId="4471" priority="395" operator="greaterThan">
      <formula>0</formula>
    </cfRule>
    <cfRule type="cellIs" dxfId="4470" priority="396" operator="lessThanOrEqual">
      <formula>0</formula>
    </cfRule>
  </conditionalFormatting>
  <conditionalFormatting sqref="DA115">
    <cfRule type="cellIs" dxfId="4469" priority="394" operator="greaterThanOrEqual">
      <formula>0</formula>
    </cfRule>
  </conditionalFormatting>
  <conditionalFormatting sqref="DA115">
    <cfRule type="cellIs" dxfId="4468" priority="393" operator="lessThan">
      <formula>0</formula>
    </cfRule>
  </conditionalFormatting>
  <conditionalFormatting sqref="DA88">
    <cfRule type="cellIs" dxfId="4467" priority="392" operator="greaterThanOrEqual">
      <formula>0</formula>
    </cfRule>
  </conditionalFormatting>
  <conditionalFormatting sqref="DA88">
    <cfRule type="cellIs" dxfId="4466" priority="391" operator="lessThan">
      <formula>0</formula>
    </cfRule>
  </conditionalFormatting>
  <conditionalFormatting sqref="DA91">
    <cfRule type="cellIs" dxfId="4465" priority="390" operator="greaterThanOrEqual">
      <formula>0</formula>
    </cfRule>
  </conditionalFormatting>
  <conditionalFormatting sqref="DA91">
    <cfRule type="cellIs" dxfId="4464" priority="389" operator="lessThan">
      <formula>0</formula>
    </cfRule>
  </conditionalFormatting>
  <conditionalFormatting sqref="DA104">
    <cfRule type="cellIs" dxfId="4463" priority="388" operator="greaterThanOrEqual">
      <formula>0</formula>
    </cfRule>
  </conditionalFormatting>
  <conditionalFormatting sqref="DA104">
    <cfRule type="cellIs" dxfId="4462" priority="387" operator="lessThan">
      <formula>0</formula>
    </cfRule>
  </conditionalFormatting>
  <conditionalFormatting sqref="DA107">
    <cfRule type="cellIs" dxfId="4461" priority="386" operator="greaterThanOrEqual">
      <formula>0</formula>
    </cfRule>
  </conditionalFormatting>
  <conditionalFormatting sqref="DA107">
    <cfRule type="cellIs" dxfId="4460" priority="385" operator="lessThan">
      <formula>0</formula>
    </cfRule>
  </conditionalFormatting>
  <conditionalFormatting sqref="DA110">
    <cfRule type="cellIs" dxfId="4459" priority="384" operator="greaterThanOrEqual">
      <formula>0</formula>
    </cfRule>
  </conditionalFormatting>
  <conditionalFormatting sqref="DA110">
    <cfRule type="cellIs" dxfId="4458" priority="383" operator="lessThan">
      <formula>0</formula>
    </cfRule>
  </conditionalFormatting>
  <conditionalFormatting sqref="DA113">
    <cfRule type="cellIs" dxfId="4457" priority="382" operator="greaterThanOrEqual">
      <formula>0</formula>
    </cfRule>
  </conditionalFormatting>
  <conditionalFormatting sqref="DA113">
    <cfRule type="cellIs" dxfId="4456" priority="381" operator="lessThan">
      <formula>0</formula>
    </cfRule>
  </conditionalFormatting>
  <conditionalFormatting sqref="DA114">
    <cfRule type="cellIs" dxfId="4455" priority="380" operator="greaterThanOrEqual">
      <formula>0</formula>
    </cfRule>
  </conditionalFormatting>
  <conditionalFormatting sqref="DA114">
    <cfRule type="cellIs" dxfId="4454" priority="379" operator="lessThan">
      <formula>0</formula>
    </cfRule>
  </conditionalFormatting>
  <conditionalFormatting sqref="DA122">
    <cfRule type="cellIs" dxfId="4453" priority="378" operator="greaterThanOrEqual">
      <formula>0</formula>
    </cfRule>
  </conditionalFormatting>
  <conditionalFormatting sqref="DA122">
    <cfRule type="cellIs" dxfId="4452" priority="377" operator="lessThan">
      <formula>0</formula>
    </cfRule>
  </conditionalFormatting>
  <conditionalFormatting sqref="DA128">
    <cfRule type="cellIs" dxfId="4451" priority="376" operator="greaterThanOrEqual">
      <formula>0</formula>
    </cfRule>
  </conditionalFormatting>
  <conditionalFormatting sqref="DA128">
    <cfRule type="cellIs" dxfId="4450" priority="375" operator="lessThan">
      <formula>0</formula>
    </cfRule>
  </conditionalFormatting>
  <conditionalFormatting sqref="DA129">
    <cfRule type="cellIs" dxfId="4449" priority="374" operator="greaterThanOrEqual">
      <formula>0</formula>
    </cfRule>
  </conditionalFormatting>
  <conditionalFormatting sqref="DA129">
    <cfRule type="cellIs" dxfId="4448" priority="373" operator="lessThan">
      <formula>0</formula>
    </cfRule>
  </conditionalFormatting>
  <conditionalFormatting sqref="DA105:DA106">
    <cfRule type="cellIs" dxfId="4447" priority="371" operator="lessThan">
      <formula>0</formula>
    </cfRule>
    <cfRule type="cellIs" dxfId="4446" priority="372" operator="greaterThanOrEqual">
      <formula>0</formula>
    </cfRule>
  </conditionalFormatting>
  <conditionalFormatting sqref="DA108:DA109">
    <cfRule type="cellIs" dxfId="4445" priority="369" operator="lessThan">
      <formula>0</formula>
    </cfRule>
    <cfRule type="cellIs" dxfId="4444" priority="370" operator="greaterThanOrEqual">
      <formula>0</formula>
    </cfRule>
  </conditionalFormatting>
  <conditionalFormatting sqref="DA120:DA121">
    <cfRule type="cellIs" dxfId="4443" priority="367" operator="lessThan">
      <formula>0</formula>
    </cfRule>
    <cfRule type="cellIs" dxfId="4442" priority="368" operator="greaterThanOrEqual">
      <formula>0</formula>
    </cfRule>
  </conditionalFormatting>
  <conditionalFormatting sqref="DA123:DA124">
    <cfRule type="cellIs" dxfId="4441" priority="365" operator="lessThan">
      <formula>0</formula>
    </cfRule>
    <cfRule type="cellIs" dxfId="4440" priority="366" operator="greaterThanOrEqual">
      <formula>0</formula>
    </cfRule>
  </conditionalFormatting>
  <conditionalFormatting sqref="DA126:DA127">
    <cfRule type="cellIs" dxfId="4439" priority="363" operator="lessThan">
      <formula>0</formula>
    </cfRule>
    <cfRule type="cellIs" dxfId="4438" priority="364" operator="greaterThanOrEqual">
      <formula>0</formula>
    </cfRule>
  </conditionalFormatting>
  <conditionalFormatting sqref="DB114">
    <cfRule type="cellIs" dxfId="4437" priority="361" operator="greaterThan">
      <formula>0</formula>
    </cfRule>
    <cfRule type="cellIs" dxfId="4436" priority="362" operator="lessThanOrEqual">
      <formula>0</formula>
    </cfRule>
  </conditionalFormatting>
  <conditionalFormatting sqref="DA118">
    <cfRule type="cellIs" dxfId="4435" priority="360" operator="greaterThanOrEqual">
      <formula>0</formula>
    </cfRule>
  </conditionalFormatting>
  <conditionalFormatting sqref="DA118">
    <cfRule type="cellIs" dxfId="4434" priority="359" operator="lessThan">
      <formula>0</formula>
    </cfRule>
  </conditionalFormatting>
  <conditionalFormatting sqref="DB118">
    <cfRule type="cellIs" dxfId="4433" priority="357" operator="greaterThan">
      <formula>0</formula>
    </cfRule>
    <cfRule type="cellIs" dxfId="4432" priority="358" operator="lessThanOrEqual">
      <formula>0</formula>
    </cfRule>
  </conditionalFormatting>
  <conditionalFormatting sqref="DF76:DF77">
    <cfRule type="cellIs" dxfId="4431" priority="355" operator="greaterThan">
      <formula>0</formula>
    </cfRule>
    <cfRule type="cellIs" dxfId="4430" priority="356" operator="lessThanOrEqual">
      <formula>0</formula>
    </cfRule>
  </conditionalFormatting>
  <conditionalFormatting sqref="DF79:DF80">
    <cfRule type="cellIs" dxfId="4429" priority="353" operator="greaterThan">
      <formula>0</formula>
    </cfRule>
    <cfRule type="cellIs" dxfId="4428" priority="354" operator="lessThanOrEqual">
      <formula>0</formula>
    </cfRule>
  </conditionalFormatting>
  <conditionalFormatting sqref="DF82:DF83">
    <cfRule type="cellIs" dxfId="4427" priority="351" operator="greaterThan">
      <formula>0</formula>
    </cfRule>
    <cfRule type="cellIs" dxfId="4426" priority="352" operator="lessThanOrEqual">
      <formula>0</formula>
    </cfRule>
  </conditionalFormatting>
  <conditionalFormatting sqref="DF92:DF93">
    <cfRule type="cellIs" dxfId="4425" priority="349" operator="greaterThan">
      <formula>0</formula>
    </cfRule>
    <cfRule type="cellIs" dxfId="4424" priority="350" operator="lessThanOrEqual">
      <formula>0</formula>
    </cfRule>
  </conditionalFormatting>
  <conditionalFormatting sqref="DF85:DF86">
    <cfRule type="cellIs" dxfId="4423" priority="347" operator="greaterThan">
      <formula>0</formula>
    </cfRule>
    <cfRule type="cellIs" dxfId="4422" priority="348" operator="lessThanOrEqual">
      <formula>0</formula>
    </cfRule>
  </conditionalFormatting>
  <conditionalFormatting sqref="DF98:DF99">
    <cfRule type="cellIs" dxfId="4421" priority="343" operator="greaterThan">
      <formula>0</formula>
    </cfRule>
    <cfRule type="cellIs" dxfId="4420" priority="344" operator="lessThanOrEqual">
      <formula>0</formula>
    </cfRule>
  </conditionalFormatting>
  <conditionalFormatting sqref="DF101:DF102">
    <cfRule type="cellIs" dxfId="4419" priority="341" operator="greaterThan">
      <formula>0</formula>
    </cfRule>
    <cfRule type="cellIs" dxfId="4418" priority="342" operator="lessThanOrEqual">
      <formula>0</formula>
    </cfRule>
  </conditionalFormatting>
  <conditionalFormatting sqref="DF111:DF112">
    <cfRule type="cellIs" dxfId="4417" priority="339" operator="greaterThan">
      <formula>0</formula>
    </cfRule>
    <cfRule type="cellIs" dxfId="4416" priority="340" operator="lessThanOrEqual">
      <formula>0</formula>
    </cfRule>
  </conditionalFormatting>
  <conditionalFormatting sqref="DF126:DF127">
    <cfRule type="cellIs" dxfId="4415" priority="337" operator="greaterThan">
      <formula>0</formula>
    </cfRule>
    <cfRule type="cellIs" dxfId="4414" priority="338" operator="lessThanOrEqual">
      <formula>0</formula>
    </cfRule>
  </conditionalFormatting>
  <conditionalFormatting sqref="DF116:DF117">
    <cfRule type="cellIs" dxfId="4413" priority="335" operator="greaterThan">
      <formula>0</formula>
    </cfRule>
    <cfRule type="cellIs" dxfId="4412" priority="336" operator="lessThanOrEqual">
      <formula>0</formula>
    </cfRule>
  </conditionalFormatting>
  <conditionalFormatting sqref="DF78">
    <cfRule type="cellIs" dxfId="4411" priority="333" operator="greaterThan">
      <formula>0</formula>
    </cfRule>
    <cfRule type="cellIs" dxfId="4410" priority="334" operator="lessThanOrEqual">
      <formula>0</formula>
    </cfRule>
  </conditionalFormatting>
  <conditionalFormatting sqref="DF81">
    <cfRule type="cellIs" dxfId="4409" priority="331" operator="greaterThan">
      <formula>0</formula>
    </cfRule>
    <cfRule type="cellIs" dxfId="4408" priority="332" operator="lessThanOrEqual">
      <formula>0</formula>
    </cfRule>
  </conditionalFormatting>
  <conditionalFormatting sqref="DF84">
    <cfRule type="cellIs" dxfId="4407" priority="329" operator="greaterThan">
      <formula>0</formula>
    </cfRule>
    <cfRule type="cellIs" dxfId="4406" priority="330" operator="lessThanOrEqual">
      <formula>0</formula>
    </cfRule>
  </conditionalFormatting>
  <conditionalFormatting sqref="DF94">
    <cfRule type="cellIs" dxfId="4405" priority="327" operator="greaterThan">
      <formula>0</formula>
    </cfRule>
    <cfRule type="cellIs" dxfId="4404" priority="328" operator="lessThanOrEqual">
      <formula>0</formula>
    </cfRule>
  </conditionalFormatting>
  <conditionalFormatting sqref="DF87">
    <cfRule type="cellIs" dxfId="4403" priority="325" operator="greaterThan">
      <formula>0</formula>
    </cfRule>
    <cfRule type="cellIs" dxfId="4402" priority="326" operator="lessThanOrEqual">
      <formula>0</formula>
    </cfRule>
  </conditionalFormatting>
  <conditionalFormatting sqref="DF97">
    <cfRule type="cellIs" dxfId="4401" priority="323" operator="greaterThan">
      <formula>0</formula>
    </cfRule>
    <cfRule type="cellIs" dxfId="4400" priority="324" operator="lessThanOrEqual">
      <formula>0</formula>
    </cfRule>
  </conditionalFormatting>
  <conditionalFormatting sqref="DF100">
    <cfRule type="cellIs" dxfId="4399" priority="321" operator="greaterThan">
      <formula>0</formula>
    </cfRule>
    <cfRule type="cellIs" dxfId="4398" priority="322" operator="lessThanOrEqual">
      <formula>0</formula>
    </cfRule>
  </conditionalFormatting>
  <conditionalFormatting sqref="DF103">
    <cfRule type="cellIs" dxfId="4397" priority="319" operator="greaterThan">
      <formula>0</formula>
    </cfRule>
    <cfRule type="cellIs" dxfId="4396" priority="320" operator="lessThanOrEqual">
      <formula>0</formula>
    </cfRule>
  </conditionalFormatting>
  <conditionalFormatting sqref="DF89">
    <cfRule type="cellIs" dxfId="4395" priority="317" operator="greaterThan">
      <formula>0</formula>
    </cfRule>
    <cfRule type="cellIs" dxfId="4394" priority="318" operator="lessThanOrEqual">
      <formula>0</formula>
    </cfRule>
  </conditionalFormatting>
  <conditionalFormatting sqref="DF129">
    <cfRule type="cellIs" dxfId="4393" priority="315" operator="greaterThan">
      <formula>0</formula>
    </cfRule>
    <cfRule type="cellIs" dxfId="4392" priority="316" operator="lessThanOrEqual">
      <formula>0</formula>
    </cfRule>
  </conditionalFormatting>
  <conditionalFormatting sqref="DE76:DE77 DE79:DE80 DE82:DE83 DE85:DE86 DE92:DE93 DE95:DE96 DE98:DE99 DE101:DE102 DE111:DE112 DE116:DE117">
    <cfRule type="cellIs" dxfId="4391" priority="313" operator="lessThan">
      <formula>0</formula>
    </cfRule>
    <cfRule type="cellIs" dxfId="4390" priority="314" operator="greaterThanOrEqual">
      <formula>0</formula>
    </cfRule>
  </conditionalFormatting>
  <conditionalFormatting sqref="DE78 DE81 DE84 DE87 DE89 DE94 DE97 DE100 DE103">
    <cfRule type="cellIs" dxfId="4389" priority="312" operator="greaterThanOrEqual">
      <formula>0</formula>
    </cfRule>
  </conditionalFormatting>
  <conditionalFormatting sqref="DE78 DE81 DE84 DE87 DE89 DE94 DE97 DE100 DE103">
    <cfRule type="cellIs" dxfId="4388" priority="311" operator="lessThan">
      <formula>0</formula>
    </cfRule>
  </conditionalFormatting>
  <conditionalFormatting sqref="DE125">
    <cfRule type="cellIs" dxfId="4387" priority="290" operator="greaterThanOrEqual">
      <formula>0</formula>
    </cfRule>
  </conditionalFormatting>
  <conditionalFormatting sqref="DE125">
    <cfRule type="cellIs" dxfId="4386" priority="289" operator="lessThan">
      <formula>0</formula>
    </cfRule>
  </conditionalFormatting>
  <conditionalFormatting sqref="DF114">
    <cfRule type="cellIs" dxfId="4385" priority="305" operator="greaterThan">
      <formula>0</formula>
    </cfRule>
    <cfRule type="cellIs" dxfId="4384" priority="306" operator="lessThanOrEqual">
      <formula>0</formula>
    </cfRule>
  </conditionalFormatting>
  <conditionalFormatting sqref="DF107">
    <cfRule type="cellIs" dxfId="4383" priority="299" operator="greaterThan">
      <formula>0</formula>
    </cfRule>
    <cfRule type="cellIs" dxfId="4382" priority="300" operator="lessThanOrEqual">
      <formula>0</formula>
    </cfRule>
  </conditionalFormatting>
  <conditionalFormatting sqref="DF110">
    <cfRule type="cellIs" dxfId="4381" priority="297" operator="greaterThan">
      <formula>0</formula>
    </cfRule>
    <cfRule type="cellIs" dxfId="4380" priority="298" operator="lessThanOrEqual">
      <formula>0</formula>
    </cfRule>
  </conditionalFormatting>
  <conditionalFormatting sqref="DF113">
    <cfRule type="cellIs" dxfId="4379" priority="295" operator="greaterThan">
      <formula>0</formula>
    </cfRule>
    <cfRule type="cellIs" dxfId="4378" priority="296" operator="lessThanOrEqual">
      <formula>0</formula>
    </cfRule>
  </conditionalFormatting>
  <conditionalFormatting sqref="DF91">
    <cfRule type="cellIs" dxfId="4377" priority="309" operator="greaterThan">
      <formula>0</formula>
    </cfRule>
    <cfRule type="cellIs" dxfId="4376" priority="310" operator="lessThanOrEqual">
      <formula>0</formula>
    </cfRule>
  </conditionalFormatting>
  <conditionalFormatting sqref="DF104">
    <cfRule type="cellIs" dxfId="4375" priority="307" operator="greaterThan">
      <formula>0</formula>
    </cfRule>
    <cfRule type="cellIs" dxfId="4374" priority="308" operator="lessThanOrEqual">
      <formula>0</formula>
    </cfRule>
  </conditionalFormatting>
  <conditionalFormatting sqref="DF105:DF106 DF108:DF109">
    <cfRule type="cellIs" dxfId="4373" priority="303" operator="greaterThan">
      <formula>0</formula>
    </cfRule>
    <cfRule type="cellIs" dxfId="4372" priority="304" operator="lessThanOrEqual">
      <formula>0</formula>
    </cfRule>
  </conditionalFormatting>
  <conditionalFormatting sqref="DF120:DF121 DF123:DF124">
    <cfRule type="cellIs" dxfId="4371" priority="301" operator="greaterThan">
      <formula>0</formula>
    </cfRule>
    <cfRule type="cellIs" dxfId="4370" priority="302" operator="lessThanOrEqual">
      <formula>0</formula>
    </cfRule>
  </conditionalFormatting>
  <conditionalFormatting sqref="DF122">
    <cfRule type="cellIs" dxfId="4369" priority="293" operator="greaterThan">
      <formula>0</formula>
    </cfRule>
    <cfRule type="cellIs" dxfId="4368" priority="294" operator="lessThanOrEqual">
      <formula>0</formula>
    </cfRule>
  </conditionalFormatting>
  <conditionalFormatting sqref="DF125">
    <cfRule type="cellIs" dxfId="4367" priority="291" operator="greaterThan">
      <formula>0</formula>
    </cfRule>
    <cfRule type="cellIs" dxfId="4366" priority="292" operator="lessThanOrEqual">
      <formula>0</formula>
    </cfRule>
  </conditionalFormatting>
  <conditionalFormatting sqref="DF128">
    <cfRule type="cellIs" dxfId="4365" priority="287" operator="greaterThan">
      <formula>0</formula>
    </cfRule>
    <cfRule type="cellIs" dxfId="4364" priority="288" operator="lessThanOrEqual">
      <formula>0</formula>
    </cfRule>
  </conditionalFormatting>
  <conditionalFormatting sqref="DF88">
    <cfRule type="cellIs" dxfId="4363" priority="285" operator="greaterThan">
      <formula>0</formula>
    </cfRule>
    <cfRule type="cellIs" dxfId="4362" priority="286" operator="lessThanOrEqual">
      <formula>0</formula>
    </cfRule>
  </conditionalFormatting>
  <conditionalFormatting sqref="DF119">
    <cfRule type="cellIs" dxfId="4361" priority="283" operator="greaterThan">
      <formula>0</formula>
    </cfRule>
    <cfRule type="cellIs" dxfId="4360" priority="284" operator="lessThanOrEqual">
      <formula>0</formula>
    </cfRule>
  </conditionalFormatting>
  <conditionalFormatting sqref="DE119">
    <cfRule type="cellIs" dxfId="4359" priority="282" operator="greaterThanOrEqual">
      <formula>0</formula>
    </cfRule>
  </conditionalFormatting>
  <conditionalFormatting sqref="DE119">
    <cfRule type="cellIs" dxfId="4358" priority="281" operator="lessThan">
      <formula>0</formula>
    </cfRule>
  </conditionalFormatting>
  <conditionalFormatting sqref="DF115">
    <cfRule type="cellIs" dxfId="4357" priority="279" operator="greaterThan">
      <formula>0</formula>
    </cfRule>
    <cfRule type="cellIs" dxfId="4356" priority="280" operator="lessThanOrEqual">
      <formula>0</formula>
    </cfRule>
  </conditionalFormatting>
  <conditionalFormatting sqref="DE115">
    <cfRule type="cellIs" dxfId="4355" priority="278" operator="greaterThanOrEqual">
      <formula>0</formula>
    </cfRule>
  </conditionalFormatting>
  <conditionalFormatting sqref="DE115">
    <cfRule type="cellIs" dxfId="4354" priority="277" operator="lessThan">
      <formula>0</formula>
    </cfRule>
  </conditionalFormatting>
  <conditionalFormatting sqref="DE88">
    <cfRule type="cellIs" dxfId="4353" priority="276" operator="greaterThanOrEqual">
      <formula>0</formula>
    </cfRule>
  </conditionalFormatting>
  <conditionalFormatting sqref="DE88">
    <cfRule type="cellIs" dxfId="4352" priority="275" operator="lessThan">
      <formula>0</formula>
    </cfRule>
  </conditionalFormatting>
  <conditionalFormatting sqref="DE91">
    <cfRule type="cellIs" dxfId="4351" priority="274" operator="greaterThanOrEqual">
      <formula>0</formula>
    </cfRule>
  </conditionalFormatting>
  <conditionalFormatting sqref="DE91">
    <cfRule type="cellIs" dxfId="4350" priority="273" operator="lessThan">
      <formula>0</formula>
    </cfRule>
  </conditionalFormatting>
  <conditionalFormatting sqref="DE104">
    <cfRule type="cellIs" dxfId="4349" priority="272" operator="greaterThanOrEqual">
      <formula>0</formula>
    </cfRule>
  </conditionalFormatting>
  <conditionalFormatting sqref="DE104">
    <cfRule type="cellIs" dxfId="4348" priority="271" operator="lessThan">
      <formula>0</formula>
    </cfRule>
  </conditionalFormatting>
  <conditionalFormatting sqref="DE110">
    <cfRule type="cellIs" dxfId="4347" priority="268" operator="greaterThanOrEqual">
      <formula>0</formula>
    </cfRule>
  </conditionalFormatting>
  <conditionalFormatting sqref="DE110">
    <cfRule type="cellIs" dxfId="4346" priority="267" operator="lessThan">
      <formula>0</formula>
    </cfRule>
  </conditionalFormatting>
  <conditionalFormatting sqref="DE113">
    <cfRule type="cellIs" dxfId="4345" priority="266" operator="greaterThanOrEqual">
      <formula>0</formula>
    </cfRule>
  </conditionalFormatting>
  <conditionalFormatting sqref="DE113">
    <cfRule type="cellIs" dxfId="4344" priority="265" operator="lessThan">
      <formula>0</formula>
    </cfRule>
  </conditionalFormatting>
  <conditionalFormatting sqref="DE114">
    <cfRule type="cellIs" dxfId="4343" priority="264" operator="greaterThanOrEqual">
      <formula>0</formula>
    </cfRule>
  </conditionalFormatting>
  <conditionalFormatting sqref="DE114">
    <cfRule type="cellIs" dxfId="4342" priority="263" operator="lessThan">
      <formula>0</formula>
    </cfRule>
  </conditionalFormatting>
  <conditionalFormatting sqref="DE122">
    <cfRule type="cellIs" dxfId="4341" priority="262" operator="greaterThanOrEqual">
      <formula>0</formula>
    </cfRule>
  </conditionalFormatting>
  <conditionalFormatting sqref="DE122">
    <cfRule type="cellIs" dxfId="4340" priority="261" operator="lessThan">
      <formula>0</formula>
    </cfRule>
  </conditionalFormatting>
  <conditionalFormatting sqref="DE128">
    <cfRule type="cellIs" dxfId="4339" priority="260" operator="greaterThanOrEqual">
      <formula>0</formula>
    </cfRule>
  </conditionalFormatting>
  <conditionalFormatting sqref="DE128">
    <cfRule type="cellIs" dxfId="4338" priority="259" operator="lessThan">
      <formula>0</formula>
    </cfRule>
  </conditionalFormatting>
  <conditionalFormatting sqref="DE129">
    <cfRule type="cellIs" dxfId="4337" priority="258" operator="greaterThanOrEqual">
      <formula>0</formula>
    </cfRule>
  </conditionalFormatting>
  <conditionalFormatting sqref="DE129">
    <cfRule type="cellIs" dxfId="4336" priority="257" operator="lessThan">
      <formula>0</formula>
    </cfRule>
  </conditionalFormatting>
  <conditionalFormatting sqref="DE105:DE106">
    <cfRule type="cellIs" dxfId="4335" priority="255" operator="lessThan">
      <formula>0</formula>
    </cfRule>
    <cfRule type="cellIs" dxfId="4334" priority="256" operator="greaterThanOrEqual">
      <formula>0</formula>
    </cfRule>
  </conditionalFormatting>
  <conditionalFormatting sqref="DE108:DE109">
    <cfRule type="cellIs" dxfId="4333" priority="253" operator="lessThan">
      <formula>0</formula>
    </cfRule>
    <cfRule type="cellIs" dxfId="4332" priority="254" operator="greaterThanOrEqual">
      <formula>0</formula>
    </cfRule>
  </conditionalFormatting>
  <conditionalFormatting sqref="DE120:DE121">
    <cfRule type="cellIs" dxfId="4331" priority="251" operator="lessThan">
      <formula>0</formula>
    </cfRule>
    <cfRule type="cellIs" dxfId="4330" priority="252" operator="greaterThanOrEqual">
      <formula>0</formula>
    </cfRule>
  </conditionalFormatting>
  <conditionalFormatting sqref="DE123:DE124">
    <cfRule type="cellIs" dxfId="4329" priority="249" operator="lessThan">
      <formula>0</formula>
    </cfRule>
    <cfRule type="cellIs" dxfId="4328" priority="250" operator="greaterThanOrEqual">
      <formula>0</formula>
    </cfRule>
  </conditionalFormatting>
  <conditionalFormatting sqref="DE126:DE127">
    <cfRule type="cellIs" dxfId="4327" priority="247" operator="lessThan">
      <formula>0</formula>
    </cfRule>
    <cfRule type="cellIs" dxfId="4326" priority="248" operator="greaterThanOrEqual">
      <formula>0</formula>
    </cfRule>
  </conditionalFormatting>
  <conditionalFormatting sqref="DF130">
    <cfRule type="cellIs" dxfId="4325" priority="245" operator="greaterThan">
      <formula>0</formula>
    </cfRule>
    <cfRule type="cellIs" dxfId="4324" priority="246" operator="lessThanOrEqual">
      <formula>0</formula>
    </cfRule>
  </conditionalFormatting>
  <conditionalFormatting sqref="DE130">
    <cfRule type="cellIs" dxfId="4323" priority="243" operator="greaterThanOrEqual">
      <formula>0</formula>
    </cfRule>
    <cfRule type="cellIs" dxfId="4322" priority="244" operator="lessThan">
      <formula>0</formula>
    </cfRule>
  </conditionalFormatting>
  <conditionalFormatting sqref="DF118">
    <cfRule type="cellIs" dxfId="4321" priority="241" operator="greaterThan">
      <formula>0</formula>
    </cfRule>
    <cfRule type="cellIs" dxfId="4320" priority="242" operator="lessThanOrEqual">
      <formula>0</formula>
    </cfRule>
  </conditionalFormatting>
  <conditionalFormatting sqref="DE118">
    <cfRule type="cellIs" dxfId="4319" priority="240" operator="greaterThanOrEqual">
      <formula>0</formula>
    </cfRule>
  </conditionalFormatting>
  <conditionalFormatting sqref="DE118">
    <cfRule type="cellIs" dxfId="4318" priority="239" operator="lessThan">
      <formula>0</formula>
    </cfRule>
  </conditionalFormatting>
  <conditionalFormatting sqref="DH78 DH87 DH81 DH84 DH94 DH97 DH100 DH103">
    <cfRule type="cellIs" dxfId="4317" priority="236" operator="greaterThanOrEqual">
      <formula>0</formula>
    </cfRule>
  </conditionalFormatting>
  <conditionalFormatting sqref="DH78 DH87 DH81 DH84 DH94 DH97 DH100 DH103">
    <cfRule type="cellIs" dxfId="4316" priority="235" operator="lessThan">
      <formula>0</formula>
    </cfRule>
  </conditionalFormatting>
  <conditionalFormatting sqref="DH130">
    <cfRule type="cellIs" dxfId="4315" priority="233" operator="greaterThanOrEqual">
      <formula>0</formula>
    </cfRule>
    <cfRule type="cellIs" dxfId="4314" priority="234" operator="lessThan">
      <formula>0</formula>
    </cfRule>
  </conditionalFormatting>
  <conditionalFormatting sqref="DI76:DI77">
    <cfRule type="cellIs" dxfId="4313" priority="231" operator="greaterThan">
      <formula>0</formula>
    </cfRule>
    <cfRule type="cellIs" dxfId="4312" priority="232" operator="lessThanOrEqual">
      <formula>0</formula>
    </cfRule>
  </conditionalFormatting>
  <conditionalFormatting sqref="DI78 DI87 DI81 DI84 DI94 DI97 DI100 DI103">
    <cfRule type="cellIs" dxfId="4311" priority="230" operator="greaterThanOrEqual">
      <formula>0</formula>
    </cfRule>
  </conditionalFormatting>
  <conditionalFormatting sqref="DI78 DI87 DI81 DI84 DI94 DI97 DI100 DI103">
    <cfRule type="cellIs" dxfId="4310" priority="229" operator="lessThan">
      <formula>0</formula>
    </cfRule>
  </conditionalFormatting>
  <conditionalFormatting sqref="DI130">
    <cfRule type="cellIs" dxfId="4309" priority="227" operator="lessThan">
      <formula>0</formula>
    </cfRule>
    <cfRule type="cellIs" dxfId="4308" priority="228" operator="greaterThanOrEqual">
      <formula>0</formula>
    </cfRule>
  </conditionalFormatting>
  <conditionalFormatting sqref="DI115">
    <cfRule type="cellIs" dxfId="4307" priority="223" operator="lessThan">
      <formula>0</formula>
    </cfRule>
  </conditionalFormatting>
  <conditionalFormatting sqref="DH115">
    <cfRule type="cellIs" dxfId="4306" priority="226" operator="greaterThanOrEqual">
      <formula>0</formula>
    </cfRule>
  </conditionalFormatting>
  <conditionalFormatting sqref="DH115">
    <cfRule type="cellIs" dxfId="4305" priority="225" operator="lessThan">
      <formula>0</formula>
    </cfRule>
  </conditionalFormatting>
  <conditionalFormatting sqref="DI115">
    <cfRule type="cellIs" dxfId="4304" priority="224" operator="greaterThanOrEqual">
      <formula>0</formula>
    </cfRule>
  </conditionalFormatting>
  <conditionalFormatting sqref="DH105:DH106">
    <cfRule type="cellIs" dxfId="4303" priority="221" operator="lessThan">
      <formula>0</formula>
    </cfRule>
    <cfRule type="cellIs" dxfId="4302" priority="222" operator="greaterThanOrEqual">
      <formula>0</formula>
    </cfRule>
  </conditionalFormatting>
  <conditionalFormatting sqref="DH108:DH109">
    <cfRule type="cellIs" dxfId="4301" priority="219" operator="lessThan">
      <formula>0</formula>
    </cfRule>
    <cfRule type="cellIs" dxfId="4300" priority="220" operator="greaterThanOrEqual">
      <formula>0</formula>
    </cfRule>
  </conditionalFormatting>
  <conditionalFormatting sqref="DH116:DH117">
    <cfRule type="cellIs" dxfId="4299" priority="217" operator="lessThan">
      <formula>0</formula>
    </cfRule>
    <cfRule type="cellIs" dxfId="4298" priority="218" operator="greaterThanOrEqual">
      <formula>0</formula>
    </cfRule>
  </conditionalFormatting>
  <conditionalFormatting sqref="DH120:DH121">
    <cfRule type="cellIs" dxfId="4297" priority="215" operator="lessThan">
      <formula>0</formula>
    </cfRule>
    <cfRule type="cellIs" dxfId="4296" priority="216" operator="greaterThanOrEqual">
      <formula>0</formula>
    </cfRule>
  </conditionalFormatting>
  <conditionalFormatting sqref="DH123:DH124">
    <cfRule type="cellIs" dxfId="4295" priority="213" operator="lessThan">
      <formula>0</formula>
    </cfRule>
    <cfRule type="cellIs" dxfId="4294" priority="214" operator="greaterThanOrEqual">
      <formula>0</formula>
    </cfRule>
  </conditionalFormatting>
  <conditionalFormatting sqref="DH126:DH127">
    <cfRule type="cellIs" dxfId="4293" priority="211" operator="lessThan">
      <formula>0</formula>
    </cfRule>
    <cfRule type="cellIs" dxfId="4292" priority="212" operator="greaterThanOrEqual">
      <formula>0</formula>
    </cfRule>
  </conditionalFormatting>
  <conditionalFormatting sqref="DH88">
    <cfRule type="cellIs" dxfId="4291" priority="210" operator="greaterThanOrEqual">
      <formula>0</formula>
    </cfRule>
  </conditionalFormatting>
  <conditionalFormatting sqref="DH88">
    <cfRule type="cellIs" dxfId="4290" priority="209" operator="lessThan">
      <formula>0</formula>
    </cfRule>
  </conditionalFormatting>
  <conditionalFormatting sqref="DH89">
    <cfRule type="cellIs" dxfId="4289" priority="208" operator="greaterThanOrEqual">
      <formula>0</formula>
    </cfRule>
  </conditionalFormatting>
  <conditionalFormatting sqref="DH89">
    <cfRule type="cellIs" dxfId="4288" priority="207" operator="lessThan">
      <formula>0</formula>
    </cfRule>
  </conditionalFormatting>
  <conditionalFormatting sqref="DH91">
    <cfRule type="cellIs" dxfId="4287" priority="206" operator="greaterThanOrEqual">
      <formula>0</formula>
    </cfRule>
  </conditionalFormatting>
  <conditionalFormatting sqref="DH91">
    <cfRule type="cellIs" dxfId="4286" priority="205" operator="lessThan">
      <formula>0</formula>
    </cfRule>
  </conditionalFormatting>
  <conditionalFormatting sqref="DH104">
    <cfRule type="cellIs" dxfId="4285" priority="204" operator="greaterThanOrEqual">
      <formula>0</formula>
    </cfRule>
  </conditionalFormatting>
  <conditionalFormatting sqref="DH104">
    <cfRule type="cellIs" dxfId="4284" priority="203" operator="lessThan">
      <formula>0</formula>
    </cfRule>
  </conditionalFormatting>
  <conditionalFormatting sqref="DH110">
    <cfRule type="cellIs" dxfId="4283" priority="200" operator="greaterThanOrEqual">
      <formula>0</formula>
    </cfRule>
  </conditionalFormatting>
  <conditionalFormatting sqref="DH110">
    <cfRule type="cellIs" dxfId="4282" priority="199" operator="lessThan">
      <formula>0</formula>
    </cfRule>
  </conditionalFormatting>
  <conditionalFormatting sqref="DH113">
    <cfRule type="cellIs" dxfId="4281" priority="198" operator="greaterThanOrEqual">
      <formula>0</formula>
    </cfRule>
  </conditionalFormatting>
  <conditionalFormatting sqref="DH113">
    <cfRule type="cellIs" dxfId="4280" priority="197" operator="lessThan">
      <formula>0</formula>
    </cfRule>
  </conditionalFormatting>
  <conditionalFormatting sqref="DH122">
    <cfRule type="cellIs" dxfId="4279" priority="194" operator="greaterThanOrEqual">
      <formula>0</formula>
    </cfRule>
  </conditionalFormatting>
  <conditionalFormatting sqref="DH122">
    <cfRule type="cellIs" dxfId="4278" priority="193" operator="lessThan">
      <formula>0</formula>
    </cfRule>
  </conditionalFormatting>
  <conditionalFormatting sqref="DH125">
    <cfRule type="cellIs" dxfId="4277" priority="192" operator="greaterThanOrEqual">
      <formula>0</formula>
    </cfRule>
  </conditionalFormatting>
  <conditionalFormatting sqref="DH125">
    <cfRule type="cellIs" dxfId="4276" priority="191" operator="lessThan">
      <formula>0</formula>
    </cfRule>
  </conditionalFormatting>
  <conditionalFormatting sqref="DH128">
    <cfRule type="cellIs" dxfId="4275" priority="190" operator="greaterThanOrEqual">
      <formula>0</formula>
    </cfRule>
  </conditionalFormatting>
  <conditionalFormatting sqref="DH128">
    <cfRule type="cellIs" dxfId="4274" priority="189" operator="lessThan">
      <formula>0</formula>
    </cfRule>
  </conditionalFormatting>
  <conditionalFormatting sqref="DH119">
    <cfRule type="cellIs" dxfId="4273" priority="188" operator="greaterThanOrEqual">
      <formula>0</formula>
    </cfRule>
  </conditionalFormatting>
  <conditionalFormatting sqref="DH119">
    <cfRule type="cellIs" dxfId="4272" priority="187" operator="lessThan">
      <formula>0</formula>
    </cfRule>
  </conditionalFormatting>
  <conditionalFormatting sqref="DH129">
    <cfRule type="cellIs" dxfId="4271" priority="186" operator="greaterThanOrEqual">
      <formula>0</formula>
    </cfRule>
  </conditionalFormatting>
  <conditionalFormatting sqref="DH129">
    <cfRule type="cellIs" dxfId="4270" priority="185" operator="lessThan">
      <formula>0</formula>
    </cfRule>
  </conditionalFormatting>
  <conditionalFormatting sqref="DI79:DI80">
    <cfRule type="cellIs" dxfId="4269" priority="183" operator="greaterThan">
      <formula>0</formula>
    </cfRule>
    <cfRule type="cellIs" dxfId="4268" priority="184" operator="lessThanOrEqual">
      <formula>0</formula>
    </cfRule>
  </conditionalFormatting>
  <conditionalFormatting sqref="DI82:DI83">
    <cfRule type="cellIs" dxfId="4267" priority="181" operator="greaterThan">
      <formula>0</formula>
    </cfRule>
    <cfRule type="cellIs" dxfId="4266" priority="182" operator="lessThanOrEqual">
      <formula>0</formula>
    </cfRule>
  </conditionalFormatting>
  <conditionalFormatting sqref="DI85:DI86">
    <cfRule type="cellIs" dxfId="4265" priority="179" operator="greaterThan">
      <formula>0</formula>
    </cfRule>
    <cfRule type="cellIs" dxfId="4264" priority="180" operator="lessThanOrEqual">
      <formula>0</formula>
    </cfRule>
  </conditionalFormatting>
  <conditionalFormatting sqref="DI92:DI93">
    <cfRule type="cellIs" dxfId="4263" priority="177" operator="greaterThan">
      <formula>0</formula>
    </cfRule>
    <cfRule type="cellIs" dxfId="4262" priority="178" operator="lessThanOrEqual">
      <formula>0</formula>
    </cfRule>
  </conditionalFormatting>
  <conditionalFormatting sqref="DI95:DI96">
    <cfRule type="cellIs" dxfId="4261" priority="175" operator="greaterThan">
      <formula>0</formula>
    </cfRule>
    <cfRule type="cellIs" dxfId="4260" priority="176" operator="lessThanOrEqual">
      <formula>0</formula>
    </cfRule>
  </conditionalFormatting>
  <conditionalFormatting sqref="DI98:DI99">
    <cfRule type="cellIs" dxfId="4259" priority="173" operator="greaterThan">
      <formula>0</formula>
    </cfRule>
    <cfRule type="cellIs" dxfId="4258" priority="174" operator="lessThanOrEqual">
      <formula>0</formula>
    </cfRule>
  </conditionalFormatting>
  <conditionalFormatting sqref="DI101:DI102">
    <cfRule type="cellIs" dxfId="4257" priority="171" operator="greaterThan">
      <formula>0</formula>
    </cfRule>
    <cfRule type="cellIs" dxfId="4256" priority="172" operator="lessThanOrEqual">
      <formula>0</formula>
    </cfRule>
  </conditionalFormatting>
  <conditionalFormatting sqref="DI105:DI106">
    <cfRule type="cellIs" dxfId="4255" priority="169" operator="greaterThan">
      <formula>0</formula>
    </cfRule>
    <cfRule type="cellIs" dxfId="4254" priority="170" operator="lessThanOrEqual">
      <formula>0</formula>
    </cfRule>
  </conditionalFormatting>
  <conditionalFormatting sqref="DI108:DI109">
    <cfRule type="cellIs" dxfId="4253" priority="167" operator="greaterThan">
      <formula>0</formula>
    </cfRule>
    <cfRule type="cellIs" dxfId="4252" priority="168" operator="lessThanOrEqual">
      <formula>0</formula>
    </cfRule>
  </conditionalFormatting>
  <conditionalFormatting sqref="DI111:DI112">
    <cfRule type="cellIs" dxfId="4251" priority="165" operator="greaterThan">
      <formula>0</formula>
    </cfRule>
    <cfRule type="cellIs" dxfId="4250" priority="166" operator="lessThanOrEqual">
      <formula>0</formula>
    </cfRule>
  </conditionalFormatting>
  <conditionalFormatting sqref="DI116:DI117">
    <cfRule type="cellIs" dxfId="4249" priority="163" operator="greaterThan">
      <formula>0</formula>
    </cfRule>
    <cfRule type="cellIs" dxfId="4248" priority="164" operator="lessThanOrEqual">
      <formula>0</formula>
    </cfRule>
  </conditionalFormatting>
  <conditionalFormatting sqref="DI120:DI121">
    <cfRule type="cellIs" dxfId="4247" priority="161" operator="greaterThan">
      <formula>0</formula>
    </cfRule>
    <cfRule type="cellIs" dxfId="4246" priority="162" operator="lessThanOrEqual">
      <formula>0</formula>
    </cfRule>
  </conditionalFormatting>
  <conditionalFormatting sqref="DI126:DI127">
    <cfRule type="cellIs" dxfId="4245" priority="157" operator="greaterThan">
      <formula>0</formula>
    </cfRule>
    <cfRule type="cellIs" dxfId="4244" priority="158" operator="lessThanOrEqual">
      <formula>0</formula>
    </cfRule>
  </conditionalFormatting>
  <conditionalFormatting sqref="DI88">
    <cfRule type="cellIs" dxfId="4243" priority="156" operator="greaterThanOrEqual">
      <formula>0</formula>
    </cfRule>
  </conditionalFormatting>
  <conditionalFormatting sqref="DI88">
    <cfRule type="cellIs" dxfId="4242" priority="155" operator="lessThan">
      <formula>0</formula>
    </cfRule>
  </conditionalFormatting>
  <conditionalFormatting sqref="DI89">
    <cfRule type="cellIs" dxfId="4241" priority="154" operator="greaterThanOrEqual">
      <formula>0</formula>
    </cfRule>
  </conditionalFormatting>
  <conditionalFormatting sqref="DI89">
    <cfRule type="cellIs" dxfId="4240" priority="153" operator="lessThan">
      <formula>0</formula>
    </cfRule>
  </conditionalFormatting>
  <conditionalFormatting sqref="DI91">
    <cfRule type="cellIs" dxfId="4239" priority="152" operator="greaterThanOrEqual">
      <formula>0</formula>
    </cfRule>
  </conditionalFormatting>
  <conditionalFormatting sqref="DI91">
    <cfRule type="cellIs" dxfId="4238" priority="151" operator="lessThan">
      <formula>0</formula>
    </cfRule>
  </conditionalFormatting>
  <conditionalFormatting sqref="DI104">
    <cfRule type="cellIs" dxfId="4237" priority="150" operator="greaterThanOrEqual">
      <formula>0</formula>
    </cfRule>
  </conditionalFormatting>
  <conditionalFormatting sqref="DI104">
    <cfRule type="cellIs" dxfId="4236" priority="149" operator="lessThan">
      <formula>0</formula>
    </cfRule>
  </conditionalFormatting>
  <conditionalFormatting sqref="DI107">
    <cfRule type="cellIs" dxfId="4235" priority="148" operator="greaterThanOrEqual">
      <formula>0</formula>
    </cfRule>
  </conditionalFormatting>
  <conditionalFormatting sqref="DI107">
    <cfRule type="cellIs" dxfId="4234" priority="147" operator="lessThan">
      <formula>0</formula>
    </cfRule>
  </conditionalFormatting>
  <conditionalFormatting sqref="DI110">
    <cfRule type="cellIs" dxfId="4233" priority="146" operator="greaterThanOrEqual">
      <formula>0</formula>
    </cfRule>
  </conditionalFormatting>
  <conditionalFormatting sqref="DI110">
    <cfRule type="cellIs" dxfId="4232" priority="145" operator="lessThan">
      <formula>0</formula>
    </cfRule>
  </conditionalFormatting>
  <conditionalFormatting sqref="DI114">
    <cfRule type="cellIs" dxfId="4231" priority="142" operator="greaterThanOrEqual">
      <formula>0</formula>
    </cfRule>
  </conditionalFormatting>
  <conditionalFormatting sqref="DI114">
    <cfRule type="cellIs" dxfId="4230" priority="141" operator="lessThan">
      <formula>0</formula>
    </cfRule>
  </conditionalFormatting>
  <conditionalFormatting sqref="DI122">
    <cfRule type="cellIs" dxfId="4229" priority="140" operator="greaterThanOrEqual">
      <formula>0</formula>
    </cfRule>
  </conditionalFormatting>
  <conditionalFormatting sqref="DI122">
    <cfRule type="cellIs" dxfId="4228" priority="139" operator="lessThan">
      <formula>0</formula>
    </cfRule>
  </conditionalFormatting>
  <conditionalFormatting sqref="DH118">
    <cfRule type="cellIs" dxfId="4227" priority="130" operator="greaterThanOrEqual">
      <formula>0</formula>
    </cfRule>
  </conditionalFormatting>
  <conditionalFormatting sqref="DH118">
    <cfRule type="cellIs" dxfId="4226" priority="129" operator="lessThan">
      <formula>0</formula>
    </cfRule>
  </conditionalFormatting>
  <conditionalFormatting sqref="DB133">
    <cfRule type="cellIs" dxfId="4225" priority="125" operator="lessThan">
      <formula>0</formula>
    </cfRule>
    <cfRule type="cellIs" dxfId="4224" priority="126" operator="greaterThanOrEqual">
      <formula>0</formula>
    </cfRule>
  </conditionalFormatting>
  <conditionalFormatting sqref="DB176">
    <cfRule type="cellIs" dxfId="4223" priority="123" operator="greaterThan">
      <formula>0</formula>
    </cfRule>
    <cfRule type="cellIs" dxfId="4222" priority="124" operator="lessThanOrEqual">
      <formula>0</formula>
    </cfRule>
  </conditionalFormatting>
  <conditionalFormatting sqref="DA176">
    <cfRule type="cellIs" dxfId="4221" priority="122" operator="greaterThanOrEqual">
      <formula>0</formula>
    </cfRule>
  </conditionalFormatting>
  <conditionalFormatting sqref="DA176">
    <cfRule type="cellIs" dxfId="4220" priority="121" operator="lessThan">
      <formula>0</formula>
    </cfRule>
  </conditionalFormatting>
  <conditionalFormatting sqref="DE176">
    <cfRule type="cellIs" dxfId="4219" priority="120" operator="greaterThanOrEqual">
      <formula>0</formula>
    </cfRule>
  </conditionalFormatting>
  <conditionalFormatting sqref="DE176">
    <cfRule type="cellIs" dxfId="4218" priority="119" operator="lessThan">
      <formula>0</formula>
    </cfRule>
  </conditionalFormatting>
  <conditionalFormatting sqref="DH176">
    <cfRule type="cellIs" dxfId="4217" priority="118" operator="greaterThanOrEqual">
      <formula>0</formula>
    </cfRule>
  </conditionalFormatting>
  <conditionalFormatting sqref="DH176">
    <cfRule type="cellIs" dxfId="4216" priority="117" operator="lessThan">
      <formula>0</formula>
    </cfRule>
  </conditionalFormatting>
  <conditionalFormatting sqref="DI176">
    <cfRule type="cellIs" dxfId="4215" priority="116" operator="greaterThanOrEqual">
      <formula>0</formula>
    </cfRule>
  </conditionalFormatting>
  <conditionalFormatting sqref="DI176">
    <cfRule type="cellIs" dxfId="4214" priority="115" operator="lessThan">
      <formula>0</formula>
    </cfRule>
  </conditionalFormatting>
  <conditionalFormatting sqref="DB175">
    <cfRule type="cellIs" dxfId="4213" priority="113" operator="greaterThan">
      <formula>0</formula>
    </cfRule>
    <cfRule type="cellIs" dxfId="4212" priority="114" operator="lessThanOrEqual">
      <formula>0</formula>
    </cfRule>
  </conditionalFormatting>
  <conditionalFormatting sqref="DA175">
    <cfRule type="cellIs" dxfId="4211" priority="112" operator="greaterThanOrEqual">
      <formula>0</formula>
    </cfRule>
  </conditionalFormatting>
  <conditionalFormatting sqref="DA175">
    <cfRule type="cellIs" dxfId="4210" priority="111" operator="lessThan">
      <formula>0</formula>
    </cfRule>
  </conditionalFormatting>
  <conditionalFormatting sqref="DH175:DI175">
    <cfRule type="cellIs" dxfId="4209" priority="108" operator="greaterThanOrEqual">
      <formula>0</formula>
    </cfRule>
  </conditionalFormatting>
  <conditionalFormatting sqref="DH175:DI175">
    <cfRule type="cellIs" dxfId="4208" priority="107" operator="lessThan">
      <formula>0</formula>
    </cfRule>
  </conditionalFormatting>
  <conditionalFormatting sqref="DE175">
    <cfRule type="cellIs" dxfId="4207" priority="110" operator="greaterThanOrEqual">
      <formula>0</formula>
    </cfRule>
  </conditionalFormatting>
  <conditionalFormatting sqref="DE175">
    <cfRule type="cellIs" dxfId="4206" priority="109" operator="lessThan">
      <formula>0</formula>
    </cfRule>
  </conditionalFormatting>
  <conditionalFormatting sqref="DF134">
    <cfRule type="cellIs" dxfId="4205" priority="105" operator="greaterThan">
      <formula>0</formula>
    </cfRule>
    <cfRule type="cellIs" dxfId="4204" priority="106" operator="lessThanOrEqual">
      <formula>0</formula>
    </cfRule>
  </conditionalFormatting>
  <conditionalFormatting sqref="DF136:DF137">
    <cfRule type="cellIs" dxfId="4203" priority="103" operator="greaterThan">
      <formula>0</formula>
    </cfRule>
    <cfRule type="cellIs" dxfId="4202" priority="104" operator="lessThanOrEqual">
      <formula>0</formula>
    </cfRule>
  </conditionalFormatting>
  <conditionalFormatting sqref="DF173:DF174">
    <cfRule type="cellIs" dxfId="4201" priority="85" operator="greaterThan">
      <formula>0</formula>
    </cfRule>
    <cfRule type="cellIs" dxfId="4200" priority="86" operator="lessThanOrEqual">
      <formula>0</formula>
    </cfRule>
  </conditionalFormatting>
  <conditionalFormatting sqref="DF144">
    <cfRule type="cellIs" dxfId="4199" priority="75" operator="greaterThan">
      <formula>0</formula>
    </cfRule>
    <cfRule type="cellIs" dxfId="4198" priority="76" operator="lessThanOrEqual">
      <formula>0</formula>
    </cfRule>
  </conditionalFormatting>
  <conditionalFormatting sqref="DF154">
    <cfRule type="cellIs" dxfId="4197" priority="73" operator="greaterThan">
      <formula>0</formula>
    </cfRule>
    <cfRule type="cellIs" dxfId="4196" priority="74" operator="lessThanOrEqual">
      <formula>0</formula>
    </cfRule>
  </conditionalFormatting>
  <conditionalFormatting sqref="DF157">
    <cfRule type="cellIs" dxfId="4195" priority="71" operator="greaterThan">
      <formula>0</formula>
    </cfRule>
    <cfRule type="cellIs" dxfId="4194" priority="72" operator="lessThanOrEqual">
      <formula>0</formula>
    </cfRule>
  </conditionalFormatting>
  <conditionalFormatting sqref="DF164">
    <cfRule type="cellIs" dxfId="4193" priority="47" operator="greaterThan">
      <formula>0</formula>
    </cfRule>
    <cfRule type="cellIs" dxfId="4192" priority="48" operator="lessThanOrEqual">
      <formula>0</formula>
    </cfRule>
  </conditionalFormatting>
  <conditionalFormatting sqref="DF171">
    <cfRule type="cellIs" dxfId="4191" priority="53" operator="greaterThan">
      <formula>0</formula>
    </cfRule>
    <cfRule type="cellIs" dxfId="4190" priority="54" operator="lessThanOrEqual">
      <formula>0</formula>
    </cfRule>
  </conditionalFormatting>
  <conditionalFormatting sqref="DF139:DF140">
    <cfRule type="cellIs" dxfId="4189" priority="101" operator="greaterThan">
      <formula>0</formula>
    </cfRule>
    <cfRule type="cellIs" dxfId="4188" priority="102" operator="lessThanOrEqual">
      <formula>0</formula>
    </cfRule>
  </conditionalFormatting>
  <conditionalFormatting sqref="DF149:DF150">
    <cfRule type="cellIs" dxfId="4187" priority="99" operator="greaterThan">
      <formula>0</formula>
    </cfRule>
    <cfRule type="cellIs" dxfId="4186" priority="100" operator="lessThanOrEqual">
      <formula>0</formula>
    </cfRule>
  </conditionalFormatting>
  <conditionalFormatting sqref="DF142:DF143">
    <cfRule type="cellIs" dxfId="4185" priority="97" operator="greaterThan">
      <formula>0</formula>
    </cfRule>
    <cfRule type="cellIs" dxfId="4184" priority="98" operator="lessThanOrEqual">
      <formula>0</formula>
    </cfRule>
  </conditionalFormatting>
  <conditionalFormatting sqref="DF152:DF153">
    <cfRule type="cellIs" dxfId="4183" priority="95" operator="greaterThan">
      <formula>0</formula>
    </cfRule>
    <cfRule type="cellIs" dxfId="4182" priority="96" operator="lessThanOrEqual">
      <formula>0</formula>
    </cfRule>
  </conditionalFormatting>
  <conditionalFormatting sqref="DF155:DF156">
    <cfRule type="cellIs" dxfId="4181" priority="93" operator="greaterThan">
      <formula>0</formula>
    </cfRule>
    <cfRule type="cellIs" dxfId="4180" priority="94" operator="lessThanOrEqual">
      <formula>0</formula>
    </cfRule>
  </conditionalFormatting>
  <conditionalFormatting sqref="DF158:DF159">
    <cfRule type="cellIs" dxfId="4179" priority="91" operator="greaterThan">
      <formula>0</formula>
    </cfRule>
    <cfRule type="cellIs" dxfId="4178" priority="92" operator="lessThanOrEqual">
      <formula>0</formula>
    </cfRule>
  </conditionalFormatting>
  <conditionalFormatting sqref="DF168:DF169">
    <cfRule type="cellIs" dxfId="4177" priority="89" operator="greaterThan">
      <formula>0</formula>
    </cfRule>
    <cfRule type="cellIs" dxfId="4176" priority="90" operator="lessThanOrEqual">
      <formula>0</formula>
    </cfRule>
  </conditionalFormatting>
  <conditionalFormatting sqref="DF183:DF184">
    <cfRule type="cellIs" dxfId="4175" priority="87" operator="greaterThan">
      <formula>0</formula>
    </cfRule>
    <cfRule type="cellIs" dxfId="4174" priority="88" operator="lessThanOrEqual">
      <formula>0</formula>
    </cfRule>
  </conditionalFormatting>
  <conditionalFormatting sqref="DF135">
    <cfRule type="cellIs" dxfId="4173" priority="83" operator="greaterThan">
      <formula>0</formula>
    </cfRule>
    <cfRule type="cellIs" dxfId="4172" priority="84" operator="lessThanOrEqual">
      <formula>0</formula>
    </cfRule>
  </conditionalFormatting>
  <conditionalFormatting sqref="DF138">
    <cfRule type="cellIs" dxfId="4171" priority="81" operator="greaterThan">
      <formula>0</formula>
    </cfRule>
    <cfRule type="cellIs" dxfId="4170" priority="82" operator="lessThanOrEqual">
      <formula>0</formula>
    </cfRule>
  </conditionalFormatting>
  <conditionalFormatting sqref="DF141">
    <cfRule type="cellIs" dxfId="4169" priority="79" operator="greaterThan">
      <formula>0</formula>
    </cfRule>
    <cfRule type="cellIs" dxfId="4168" priority="80" operator="lessThanOrEqual">
      <formula>0</formula>
    </cfRule>
  </conditionalFormatting>
  <conditionalFormatting sqref="DF151">
    <cfRule type="cellIs" dxfId="4167" priority="77" operator="greaterThan">
      <formula>0</formula>
    </cfRule>
    <cfRule type="cellIs" dxfId="4166" priority="78" operator="lessThanOrEqual">
      <formula>0</formula>
    </cfRule>
  </conditionalFormatting>
  <conditionalFormatting sqref="DF160">
    <cfRule type="cellIs" dxfId="4165" priority="69" operator="greaterThan">
      <formula>0</formula>
    </cfRule>
    <cfRule type="cellIs" dxfId="4164" priority="70" operator="lessThanOrEqual">
      <formula>0</formula>
    </cfRule>
  </conditionalFormatting>
  <conditionalFormatting sqref="DF146">
    <cfRule type="cellIs" dxfId="4163" priority="67" operator="greaterThan">
      <formula>0</formula>
    </cfRule>
    <cfRule type="cellIs" dxfId="4162" priority="68" operator="lessThanOrEqual">
      <formula>0</formula>
    </cfRule>
  </conditionalFormatting>
  <conditionalFormatting sqref="DF186">
    <cfRule type="cellIs" dxfId="4161" priority="65" operator="greaterThan">
      <formula>0</formula>
    </cfRule>
    <cfRule type="cellIs" dxfId="4160" priority="66" operator="lessThanOrEqual">
      <formula>0</formula>
    </cfRule>
  </conditionalFormatting>
  <conditionalFormatting sqref="DF187">
    <cfRule type="cellIs" dxfId="4159" priority="63" operator="greaterThan">
      <formula>0</formula>
    </cfRule>
    <cfRule type="cellIs" dxfId="4158" priority="64" operator="lessThanOrEqual">
      <formula>0</formula>
    </cfRule>
  </conditionalFormatting>
  <conditionalFormatting sqref="DF172">
    <cfRule type="cellIs" dxfId="4157" priority="61" operator="greaterThan">
      <formula>0</formula>
    </cfRule>
    <cfRule type="cellIs" dxfId="4156" priority="62" operator="lessThanOrEqual">
      <formula>0</formula>
    </cfRule>
  </conditionalFormatting>
  <conditionalFormatting sqref="DF145">
    <cfRule type="cellIs" dxfId="4155" priority="59" operator="greaterThan">
      <formula>0</formula>
    </cfRule>
    <cfRule type="cellIs" dxfId="4154" priority="60" operator="lessThanOrEqual">
      <formula>0</formula>
    </cfRule>
  </conditionalFormatting>
  <conditionalFormatting sqref="DF167">
    <cfRule type="cellIs" dxfId="4153" priority="45" operator="greaterThan">
      <formula>0</formula>
    </cfRule>
    <cfRule type="cellIs" dxfId="4152" priority="46" operator="lessThanOrEqual">
      <formula>0</formula>
    </cfRule>
  </conditionalFormatting>
  <conditionalFormatting sqref="DF170">
    <cfRule type="cellIs" dxfId="4151" priority="43" operator="greaterThan">
      <formula>0</formula>
    </cfRule>
    <cfRule type="cellIs" dxfId="4150" priority="44" operator="lessThanOrEqual">
      <formula>0</formula>
    </cfRule>
  </conditionalFormatting>
  <conditionalFormatting sqref="DF148">
    <cfRule type="cellIs" dxfId="4149" priority="57" operator="greaterThan">
      <formula>0</formula>
    </cfRule>
    <cfRule type="cellIs" dxfId="4148" priority="58" operator="lessThanOrEqual">
      <formula>0</formula>
    </cfRule>
  </conditionalFormatting>
  <conditionalFormatting sqref="DF161">
    <cfRule type="cellIs" dxfId="4147" priority="55" operator="greaterThan">
      <formula>0</formula>
    </cfRule>
    <cfRule type="cellIs" dxfId="4146" priority="56" operator="lessThanOrEqual">
      <formula>0</formula>
    </cfRule>
  </conditionalFormatting>
  <conditionalFormatting sqref="DF162:DF163 DF165:DF166">
    <cfRule type="cellIs" dxfId="4145" priority="51" operator="greaterThan">
      <formula>0</formula>
    </cfRule>
    <cfRule type="cellIs" dxfId="4144" priority="52" operator="lessThanOrEqual">
      <formula>0</formula>
    </cfRule>
  </conditionalFormatting>
  <conditionalFormatting sqref="DF177:DF178 DF180:DF181">
    <cfRule type="cellIs" dxfId="4143" priority="49" operator="greaterThan">
      <formula>0</formula>
    </cfRule>
    <cfRule type="cellIs" dxfId="4142" priority="50" operator="lessThanOrEqual">
      <formula>0</formula>
    </cfRule>
  </conditionalFormatting>
  <conditionalFormatting sqref="DF179">
    <cfRule type="cellIs" dxfId="4141" priority="41" operator="greaterThan">
      <formula>0</formula>
    </cfRule>
    <cfRule type="cellIs" dxfId="4140" priority="42" operator="lessThanOrEqual">
      <formula>0</formula>
    </cfRule>
  </conditionalFormatting>
  <conditionalFormatting sqref="DF182">
    <cfRule type="cellIs" dxfId="4139" priority="39" operator="greaterThan">
      <formula>0</formula>
    </cfRule>
    <cfRule type="cellIs" dxfId="4138" priority="40" operator="lessThanOrEqual">
      <formula>0</formula>
    </cfRule>
  </conditionalFormatting>
  <conditionalFormatting sqref="DF185">
    <cfRule type="cellIs" dxfId="4137" priority="37" operator="greaterThan">
      <formula>0</formula>
    </cfRule>
    <cfRule type="cellIs" dxfId="4136" priority="38" operator="lessThanOrEqual">
      <formula>0</formula>
    </cfRule>
  </conditionalFormatting>
  <conditionalFormatting sqref="DF133">
    <cfRule type="cellIs" dxfId="4135" priority="35" operator="lessThan">
      <formula>0</formula>
    </cfRule>
    <cfRule type="cellIs" dxfId="4134" priority="36" operator="greaterThanOrEqual">
      <formula>0</formula>
    </cfRule>
  </conditionalFormatting>
  <conditionalFormatting sqref="DF176">
    <cfRule type="cellIs" dxfId="4133" priority="33" operator="greaterThan">
      <formula>0</formula>
    </cfRule>
    <cfRule type="cellIs" dxfId="4132" priority="34" operator="lessThanOrEqual">
      <formula>0</formula>
    </cfRule>
  </conditionalFormatting>
  <conditionalFormatting sqref="DF175">
    <cfRule type="cellIs" dxfId="4131" priority="31" operator="greaterThan">
      <formula>0</formula>
    </cfRule>
    <cfRule type="cellIs" dxfId="4130" priority="32" operator="lessThanOrEqual">
      <formula>0</formula>
    </cfRule>
  </conditionalFormatting>
  <conditionalFormatting sqref="DB27">
    <cfRule type="cellIs" dxfId="4129" priority="29" operator="greaterThan">
      <formula>0</formula>
    </cfRule>
    <cfRule type="cellIs" dxfId="4128" priority="30" operator="lessThanOrEqual">
      <formula>0</formula>
    </cfRule>
  </conditionalFormatting>
  <conditionalFormatting sqref="DA27">
    <cfRule type="cellIs" dxfId="4127" priority="28" operator="greaterThanOrEqual">
      <formula>0</formula>
    </cfRule>
  </conditionalFormatting>
  <conditionalFormatting sqref="DA27">
    <cfRule type="cellIs" dxfId="4126" priority="27" operator="lessThan">
      <formula>0</formula>
    </cfRule>
  </conditionalFormatting>
  <conditionalFormatting sqref="DF27">
    <cfRule type="cellIs" dxfId="4125" priority="25" operator="greaterThan">
      <formula>0</formula>
    </cfRule>
    <cfRule type="cellIs" dxfId="4124" priority="26" operator="lessThanOrEqual">
      <formula>0</formula>
    </cfRule>
  </conditionalFormatting>
  <conditionalFormatting sqref="DE27">
    <cfRule type="cellIs" dxfId="4123" priority="24" operator="greaterThanOrEqual">
      <formula>0</formula>
    </cfRule>
  </conditionalFormatting>
  <conditionalFormatting sqref="DE27">
    <cfRule type="cellIs" dxfId="4122" priority="23" operator="lessThan">
      <formula>0</formula>
    </cfRule>
  </conditionalFormatting>
  <conditionalFormatting sqref="DH27">
    <cfRule type="cellIs" dxfId="4121" priority="22" operator="greaterThanOrEqual">
      <formula>0</formula>
    </cfRule>
  </conditionalFormatting>
  <conditionalFormatting sqref="DH27">
    <cfRule type="cellIs" dxfId="4120" priority="21" operator="lessThan">
      <formula>0</formula>
    </cfRule>
  </conditionalFormatting>
  <conditionalFormatting sqref="DI27">
    <cfRule type="cellIs" dxfId="4119" priority="20" operator="greaterThanOrEqual">
      <formula>0</formula>
    </cfRule>
  </conditionalFormatting>
  <conditionalFormatting sqref="DI27">
    <cfRule type="cellIs" dxfId="4118" priority="19" operator="lessThan">
      <formula>0</formula>
    </cfRule>
  </conditionalFormatting>
  <conditionalFormatting sqref="DB90">
    <cfRule type="cellIs" dxfId="4117" priority="17" operator="greaterThan">
      <formula>0</formula>
    </cfRule>
    <cfRule type="cellIs" dxfId="4116" priority="18" operator="lessThanOrEqual">
      <formula>0</formula>
    </cfRule>
  </conditionalFormatting>
  <conditionalFormatting sqref="DA90">
    <cfRule type="cellIs" dxfId="4115" priority="16" operator="greaterThanOrEqual">
      <formula>0</formula>
    </cfRule>
  </conditionalFormatting>
  <conditionalFormatting sqref="DA90">
    <cfRule type="cellIs" dxfId="4114" priority="15" operator="lessThan">
      <formula>0</formula>
    </cfRule>
  </conditionalFormatting>
  <conditionalFormatting sqref="DF90">
    <cfRule type="cellIs" dxfId="4113" priority="13" operator="greaterThan">
      <formula>0</formula>
    </cfRule>
    <cfRule type="cellIs" dxfId="4112" priority="14" operator="lessThanOrEqual">
      <formula>0</formula>
    </cfRule>
  </conditionalFormatting>
  <conditionalFormatting sqref="DE90">
    <cfRule type="cellIs" dxfId="4111" priority="12" operator="greaterThanOrEqual">
      <formula>0</formula>
    </cfRule>
  </conditionalFormatting>
  <conditionalFormatting sqref="DE90">
    <cfRule type="cellIs" dxfId="4110" priority="11" operator="lessThan">
      <formula>0</formula>
    </cfRule>
  </conditionalFormatting>
  <conditionalFormatting sqref="DH90">
    <cfRule type="cellIs" dxfId="4109" priority="10" operator="greaterThanOrEqual">
      <formula>0</formula>
    </cfRule>
  </conditionalFormatting>
  <conditionalFormatting sqref="DH90">
    <cfRule type="cellIs" dxfId="4108" priority="9" operator="lessThan">
      <formula>0</formula>
    </cfRule>
  </conditionalFormatting>
  <conditionalFormatting sqref="DI90">
    <cfRule type="cellIs" dxfId="4107" priority="8" operator="greaterThanOrEqual">
      <formula>0</formula>
    </cfRule>
  </conditionalFormatting>
  <conditionalFormatting sqref="DI90">
    <cfRule type="cellIs" dxfId="4106" priority="7" operator="lessThan">
      <formula>0</formula>
    </cfRule>
  </conditionalFormatting>
  <conditionalFormatting sqref="DB147">
    <cfRule type="cellIs" dxfId="4105" priority="5" operator="greaterThan">
      <formula>0</formula>
    </cfRule>
    <cfRule type="cellIs" dxfId="4104" priority="6" operator="lessThanOrEqual">
      <formula>0</formula>
    </cfRule>
  </conditionalFormatting>
  <conditionalFormatting sqref="DE147 DH147:DI147 DA147">
    <cfRule type="cellIs" dxfId="4103" priority="4" operator="greaterThanOrEqual">
      <formula>0</formula>
    </cfRule>
  </conditionalFormatting>
  <conditionalFormatting sqref="DE147 DH147:DI147 DA147">
    <cfRule type="cellIs" dxfId="4102" priority="3" operator="lessThan">
      <formula>0</formula>
    </cfRule>
  </conditionalFormatting>
  <conditionalFormatting sqref="DF147">
    <cfRule type="cellIs" dxfId="4101" priority="1" operator="greaterThan">
      <formula>0</formula>
    </cfRule>
    <cfRule type="cellIs" dxfId="4100" priority="2" operator="lessThanOr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DJ227"/>
  <sheetViews>
    <sheetView showGridLines="0" zoomScale="80" zoomScaleNormal="8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23" sqref="C23"/>
    </sheetView>
  </sheetViews>
  <sheetFormatPr defaultColWidth="9.140625" defaultRowHeight="12.75" outlineLevelRow="3" x14ac:dyDescent="0.2"/>
  <cols>
    <col min="1" max="1" width="5" style="1" customWidth="1"/>
    <col min="2" max="3" width="38.85546875" style="1" customWidth="1"/>
    <col min="4" max="7" width="15" style="1" customWidth="1"/>
    <col min="8" max="8" width="15" style="2" customWidth="1"/>
    <col min="9" max="18" width="15" style="1" customWidth="1"/>
    <col min="19" max="19" width="15" style="2" customWidth="1"/>
    <col min="20" max="29" width="15" style="1" customWidth="1"/>
    <col min="30" max="30" width="15" style="2" customWidth="1"/>
    <col min="31" max="40" width="15" style="1" customWidth="1"/>
    <col min="41" max="41" width="15" style="2" customWidth="1"/>
    <col min="42" max="51" width="15" style="1" customWidth="1"/>
    <col min="52" max="52" width="15" style="2" customWidth="1"/>
    <col min="53" max="58" width="15" style="1" customWidth="1"/>
    <col min="59" max="59" width="15" style="1" customWidth="1" collapsed="1"/>
    <col min="60" max="62" width="15" style="1" customWidth="1"/>
    <col min="63" max="63" width="15" style="2" customWidth="1"/>
    <col min="64" max="73" width="15" style="1" customWidth="1"/>
    <col min="74" max="74" width="15" style="2" customWidth="1"/>
    <col min="75" max="84" width="15" style="1" customWidth="1"/>
    <col min="85" max="85" width="15" style="2" customWidth="1"/>
    <col min="86" max="95" width="15" style="1" customWidth="1"/>
    <col min="96" max="96" width="15" style="2" customWidth="1"/>
    <col min="97" max="106" width="15" style="1" customWidth="1"/>
    <col min="107" max="107" width="15" style="2" customWidth="1"/>
    <col min="108" max="113" width="15" style="1" customWidth="1"/>
    <col min="114" max="114" width="9.140625" style="1" collapsed="1"/>
    <col min="115" max="16384" width="9.140625" style="1"/>
  </cols>
  <sheetData>
    <row r="1" spans="1:113" ht="31.5" x14ac:dyDescent="0.2">
      <c r="B1" s="139" t="s">
        <v>197</v>
      </c>
    </row>
    <row r="2" spans="1:113" x14ac:dyDescent="0.2">
      <c r="B2" s="135" t="s">
        <v>146</v>
      </c>
      <c r="C2" s="138" t="s">
        <v>145</v>
      </c>
    </row>
    <row r="3" spans="1:113" x14ac:dyDescent="0.2">
      <c r="B3" s="135" t="s">
        <v>144</v>
      </c>
      <c r="C3" s="138" t="s">
        <v>150</v>
      </c>
    </row>
    <row r="4" spans="1:113" x14ac:dyDescent="0.2">
      <c r="B4" s="135" t="s">
        <v>191</v>
      </c>
      <c r="C4" s="138" t="s">
        <v>150</v>
      </c>
    </row>
    <row r="5" spans="1:113" x14ac:dyDescent="0.2">
      <c r="B5" s="135" t="s">
        <v>143</v>
      </c>
      <c r="C5" s="138" t="s">
        <v>142</v>
      </c>
      <c r="M5" s="136"/>
      <c r="X5" s="136"/>
      <c r="AI5" s="136"/>
      <c r="AT5" s="136"/>
      <c r="BE5" s="136"/>
      <c r="BP5" s="136"/>
      <c r="CA5" s="136"/>
      <c r="CL5" s="136"/>
      <c r="CW5" s="136"/>
      <c r="DH5" s="136"/>
    </row>
    <row r="6" spans="1:113" x14ac:dyDescent="0.2">
      <c r="B6" s="135" t="s">
        <v>141</v>
      </c>
      <c r="C6" s="137">
        <v>46174</v>
      </c>
      <c r="E6" s="2"/>
      <c r="F6" s="54"/>
      <c r="G6" s="54"/>
      <c r="M6" s="136"/>
      <c r="P6" s="2"/>
      <c r="Q6" s="54"/>
      <c r="R6" s="54"/>
      <c r="X6" s="136"/>
      <c r="AA6" s="2"/>
      <c r="AB6" s="54"/>
      <c r="AC6" s="54"/>
      <c r="AI6" s="136"/>
      <c r="AL6" s="2"/>
      <c r="AM6" s="54"/>
      <c r="AN6" s="54"/>
      <c r="AT6" s="136"/>
      <c r="AW6" s="2"/>
      <c r="AX6" s="54"/>
      <c r="AY6" s="54"/>
      <c r="BE6" s="136"/>
      <c r="BH6" s="2"/>
      <c r="BI6" s="54"/>
      <c r="BJ6" s="54"/>
      <c r="BP6" s="136"/>
      <c r="BS6" s="2"/>
      <c r="BT6" s="54"/>
      <c r="BU6" s="54"/>
      <c r="CA6" s="136"/>
      <c r="CD6" s="2"/>
      <c r="CE6" s="54"/>
      <c r="CF6" s="54"/>
      <c r="CL6" s="136"/>
      <c r="CO6" s="2"/>
      <c r="CP6" s="54"/>
      <c r="CQ6" s="54"/>
      <c r="CW6" s="136"/>
      <c r="CZ6" s="2"/>
      <c r="DA6" s="54"/>
      <c r="DB6" s="54"/>
      <c r="DH6" s="136"/>
    </row>
    <row r="7" spans="1:113" x14ac:dyDescent="0.2">
      <c r="B7" s="135" t="s">
        <v>140</v>
      </c>
      <c r="C7" s="134" t="s">
        <v>139</v>
      </c>
      <c r="D7" s="133"/>
      <c r="E7" s="128"/>
      <c r="F7" s="128"/>
      <c r="G7" s="129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9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9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9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9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9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9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9"/>
      <c r="CG7" s="128"/>
      <c r="CH7" s="128"/>
      <c r="CI7" s="128"/>
      <c r="CJ7" s="128"/>
      <c r="CK7" s="128"/>
      <c r="CL7" s="128"/>
      <c r="CM7" s="128"/>
      <c r="CN7" s="128"/>
      <c r="CO7" s="128"/>
      <c r="CP7" s="128"/>
      <c r="CQ7" s="129"/>
      <c r="CR7" s="128"/>
      <c r="CS7" s="128"/>
      <c r="CT7" s="128"/>
      <c r="CU7" s="128"/>
      <c r="CV7" s="128"/>
      <c r="CW7" s="128"/>
      <c r="CX7" s="128"/>
      <c r="CY7" s="128"/>
      <c r="CZ7" s="128"/>
      <c r="DA7" s="128"/>
      <c r="DB7" s="129"/>
      <c r="DC7" s="128"/>
      <c r="DD7" s="128"/>
      <c r="DE7" s="128"/>
      <c r="DF7" s="128"/>
      <c r="DG7" s="128"/>
      <c r="DH7" s="128"/>
      <c r="DI7" s="128"/>
    </row>
    <row r="8" spans="1:113" ht="13.5" thickBot="1" x14ac:dyDescent="0.25">
      <c r="B8" s="131"/>
      <c r="C8" s="130"/>
      <c r="D8" s="128"/>
      <c r="E8" s="128"/>
      <c r="F8" s="128"/>
      <c r="G8" s="129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9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9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9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9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9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9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9"/>
      <c r="CG8" s="128"/>
      <c r="CH8" s="128"/>
      <c r="CI8" s="128"/>
      <c r="CJ8" s="128"/>
      <c r="CK8" s="128"/>
      <c r="CL8" s="128"/>
      <c r="CM8" s="128"/>
      <c r="CN8" s="128"/>
      <c r="CO8" s="128"/>
      <c r="CP8" s="128"/>
      <c r="CQ8" s="129"/>
      <c r="CR8" s="128"/>
      <c r="CS8" s="128"/>
      <c r="CT8" s="128"/>
      <c r="CU8" s="128"/>
      <c r="CV8" s="128"/>
      <c r="CW8" s="128"/>
      <c r="CX8" s="128"/>
      <c r="CY8" s="128"/>
      <c r="CZ8" s="128"/>
      <c r="DA8" s="128"/>
      <c r="DB8" s="129"/>
      <c r="DC8" s="128"/>
      <c r="DD8" s="128"/>
      <c r="DE8" s="128"/>
      <c r="DF8" s="128"/>
      <c r="DG8" s="128"/>
      <c r="DH8" s="128"/>
      <c r="DI8" s="128"/>
    </row>
    <row r="9" spans="1:113" ht="15.75" customHeight="1" thickTop="1" x14ac:dyDescent="0.2">
      <c r="B9" s="127"/>
      <c r="C9" s="127"/>
      <c r="D9" s="234" t="s">
        <v>160</v>
      </c>
      <c r="E9" s="235"/>
      <c r="F9" s="235"/>
      <c r="G9" s="235"/>
      <c r="H9" s="235"/>
      <c r="I9" s="235"/>
      <c r="J9" s="235"/>
      <c r="K9" s="235"/>
      <c r="L9" s="235"/>
      <c r="M9" s="235"/>
      <c r="N9" s="236"/>
      <c r="O9" s="234" t="s">
        <v>152</v>
      </c>
      <c r="P9" s="235"/>
      <c r="Q9" s="235"/>
      <c r="R9" s="235"/>
      <c r="S9" s="235"/>
      <c r="T9" s="235"/>
      <c r="U9" s="235"/>
      <c r="V9" s="235"/>
      <c r="W9" s="235"/>
      <c r="X9" s="235"/>
      <c r="Y9" s="236"/>
      <c r="Z9" s="234" t="s">
        <v>153</v>
      </c>
      <c r="AA9" s="235"/>
      <c r="AB9" s="235"/>
      <c r="AC9" s="235"/>
      <c r="AD9" s="235"/>
      <c r="AE9" s="235"/>
      <c r="AF9" s="235"/>
      <c r="AG9" s="235"/>
      <c r="AH9" s="235"/>
      <c r="AI9" s="235"/>
      <c r="AJ9" s="236"/>
      <c r="AK9" s="234" t="s">
        <v>154</v>
      </c>
      <c r="AL9" s="235"/>
      <c r="AM9" s="235"/>
      <c r="AN9" s="235"/>
      <c r="AO9" s="235"/>
      <c r="AP9" s="235"/>
      <c r="AQ9" s="235"/>
      <c r="AR9" s="235"/>
      <c r="AS9" s="235"/>
      <c r="AT9" s="235"/>
      <c r="AU9" s="236"/>
      <c r="AV9" s="234" t="s">
        <v>155</v>
      </c>
      <c r="AW9" s="235"/>
      <c r="AX9" s="235"/>
      <c r="AY9" s="235"/>
      <c r="AZ9" s="235"/>
      <c r="BA9" s="235"/>
      <c r="BB9" s="235"/>
      <c r="BC9" s="235"/>
      <c r="BD9" s="235"/>
      <c r="BE9" s="235"/>
      <c r="BF9" s="236"/>
      <c r="BG9" s="234" t="s">
        <v>156</v>
      </c>
      <c r="BH9" s="235"/>
      <c r="BI9" s="235"/>
      <c r="BJ9" s="235"/>
      <c r="BK9" s="235"/>
      <c r="BL9" s="235"/>
      <c r="BM9" s="235"/>
      <c r="BN9" s="235"/>
      <c r="BO9" s="235"/>
      <c r="BP9" s="235"/>
      <c r="BQ9" s="236"/>
      <c r="BR9" s="234" t="s">
        <v>157</v>
      </c>
      <c r="BS9" s="235"/>
      <c r="BT9" s="235"/>
      <c r="BU9" s="235"/>
      <c r="BV9" s="235"/>
      <c r="BW9" s="235"/>
      <c r="BX9" s="235"/>
      <c r="BY9" s="235"/>
      <c r="BZ9" s="235"/>
      <c r="CA9" s="235"/>
      <c r="CB9" s="236"/>
      <c r="CC9" s="234" t="s">
        <v>158</v>
      </c>
      <c r="CD9" s="235"/>
      <c r="CE9" s="235"/>
      <c r="CF9" s="235"/>
      <c r="CG9" s="235"/>
      <c r="CH9" s="235"/>
      <c r="CI9" s="235"/>
      <c r="CJ9" s="235"/>
      <c r="CK9" s="235"/>
      <c r="CL9" s="235"/>
      <c r="CM9" s="236"/>
      <c r="CN9" s="234" t="s">
        <v>129</v>
      </c>
      <c r="CO9" s="235"/>
      <c r="CP9" s="235"/>
      <c r="CQ9" s="235"/>
      <c r="CR9" s="235"/>
      <c r="CS9" s="235"/>
      <c r="CT9" s="235"/>
      <c r="CU9" s="235"/>
      <c r="CV9" s="235"/>
      <c r="CW9" s="235"/>
      <c r="CX9" s="236"/>
      <c r="CY9" s="234" t="s">
        <v>159</v>
      </c>
      <c r="CZ9" s="235"/>
      <c r="DA9" s="235"/>
      <c r="DB9" s="235"/>
      <c r="DC9" s="235"/>
      <c r="DD9" s="235"/>
      <c r="DE9" s="235"/>
      <c r="DF9" s="235"/>
      <c r="DG9" s="235"/>
      <c r="DH9" s="235"/>
      <c r="DI9" s="236"/>
    </row>
    <row r="10" spans="1:113" ht="15.75" customHeight="1" x14ac:dyDescent="0.2">
      <c r="B10" s="127"/>
      <c r="C10" s="126"/>
      <c r="D10" s="237" t="s">
        <v>137</v>
      </c>
      <c r="E10" s="237"/>
      <c r="F10" s="237"/>
      <c r="G10" s="237"/>
      <c r="H10" s="238" t="s">
        <v>136</v>
      </c>
      <c r="I10" s="237"/>
      <c r="J10" s="237"/>
      <c r="K10" s="239"/>
      <c r="L10" s="240" t="s">
        <v>135</v>
      </c>
      <c r="M10" s="237"/>
      <c r="N10" s="241"/>
      <c r="O10" s="237" t="s">
        <v>137</v>
      </c>
      <c r="P10" s="237"/>
      <c r="Q10" s="237"/>
      <c r="R10" s="237"/>
      <c r="S10" s="238" t="s">
        <v>136</v>
      </c>
      <c r="T10" s="237"/>
      <c r="U10" s="237"/>
      <c r="V10" s="239"/>
      <c r="W10" s="240" t="s">
        <v>135</v>
      </c>
      <c r="X10" s="237"/>
      <c r="Y10" s="241"/>
      <c r="Z10" s="237" t="s">
        <v>137</v>
      </c>
      <c r="AA10" s="237"/>
      <c r="AB10" s="237"/>
      <c r="AC10" s="237"/>
      <c r="AD10" s="238" t="s">
        <v>136</v>
      </c>
      <c r="AE10" s="237"/>
      <c r="AF10" s="237"/>
      <c r="AG10" s="239"/>
      <c r="AH10" s="240" t="s">
        <v>135</v>
      </c>
      <c r="AI10" s="237"/>
      <c r="AJ10" s="241"/>
      <c r="AK10" s="237" t="s">
        <v>137</v>
      </c>
      <c r="AL10" s="237"/>
      <c r="AM10" s="237"/>
      <c r="AN10" s="237"/>
      <c r="AO10" s="238" t="s">
        <v>136</v>
      </c>
      <c r="AP10" s="237"/>
      <c r="AQ10" s="237"/>
      <c r="AR10" s="239"/>
      <c r="AS10" s="240" t="s">
        <v>135</v>
      </c>
      <c r="AT10" s="237"/>
      <c r="AU10" s="241"/>
      <c r="AV10" s="237" t="s">
        <v>137</v>
      </c>
      <c r="AW10" s="237"/>
      <c r="AX10" s="237"/>
      <c r="AY10" s="237"/>
      <c r="AZ10" s="238" t="s">
        <v>136</v>
      </c>
      <c r="BA10" s="237"/>
      <c r="BB10" s="237"/>
      <c r="BC10" s="239"/>
      <c r="BD10" s="240" t="s">
        <v>135</v>
      </c>
      <c r="BE10" s="237"/>
      <c r="BF10" s="241"/>
      <c r="BG10" s="237" t="s">
        <v>137</v>
      </c>
      <c r="BH10" s="237"/>
      <c r="BI10" s="237"/>
      <c r="BJ10" s="237"/>
      <c r="BK10" s="238" t="s">
        <v>136</v>
      </c>
      <c r="BL10" s="237"/>
      <c r="BM10" s="237"/>
      <c r="BN10" s="239"/>
      <c r="BO10" s="240" t="s">
        <v>135</v>
      </c>
      <c r="BP10" s="237"/>
      <c r="BQ10" s="241"/>
      <c r="BR10" s="237" t="s">
        <v>137</v>
      </c>
      <c r="BS10" s="237"/>
      <c r="BT10" s="237"/>
      <c r="BU10" s="237"/>
      <c r="BV10" s="238" t="s">
        <v>136</v>
      </c>
      <c r="BW10" s="237"/>
      <c r="BX10" s="237"/>
      <c r="BY10" s="239"/>
      <c r="BZ10" s="240" t="s">
        <v>135</v>
      </c>
      <c r="CA10" s="237"/>
      <c r="CB10" s="241"/>
      <c r="CC10" s="237" t="s">
        <v>137</v>
      </c>
      <c r="CD10" s="237"/>
      <c r="CE10" s="237"/>
      <c r="CF10" s="237"/>
      <c r="CG10" s="238" t="s">
        <v>136</v>
      </c>
      <c r="CH10" s="237"/>
      <c r="CI10" s="237"/>
      <c r="CJ10" s="239"/>
      <c r="CK10" s="240" t="s">
        <v>135</v>
      </c>
      <c r="CL10" s="237"/>
      <c r="CM10" s="241"/>
      <c r="CN10" s="237" t="s">
        <v>137</v>
      </c>
      <c r="CO10" s="237"/>
      <c r="CP10" s="237"/>
      <c r="CQ10" s="237"/>
      <c r="CR10" s="238" t="s">
        <v>136</v>
      </c>
      <c r="CS10" s="237"/>
      <c r="CT10" s="237"/>
      <c r="CU10" s="239"/>
      <c r="CV10" s="240" t="s">
        <v>135</v>
      </c>
      <c r="CW10" s="237"/>
      <c r="CX10" s="241"/>
      <c r="CY10" s="237" t="s">
        <v>137</v>
      </c>
      <c r="CZ10" s="237"/>
      <c r="DA10" s="237"/>
      <c r="DB10" s="237"/>
      <c r="DC10" s="238" t="s">
        <v>136</v>
      </c>
      <c r="DD10" s="237"/>
      <c r="DE10" s="237"/>
      <c r="DF10" s="239"/>
      <c r="DG10" s="240" t="s">
        <v>135</v>
      </c>
      <c r="DH10" s="237"/>
      <c r="DI10" s="241"/>
    </row>
    <row r="11" spans="1:113" ht="34.5" customHeight="1" x14ac:dyDescent="0.2">
      <c r="B11" s="127"/>
      <c r="C11" s="126"/>
      <c r="D11" s="125" t="s">
        <v>134</v>
      </c>
      <c r="E11" s="123" t="s">
        <v>132</v>
      </c>
      <c r="F11" s="242" t="s">
        <v>133</v>
      </c>
      <c r="G11" s="243"/>
      <c r="H11" s="221" t="s">
        <v>134</v>
      </c>
      <c r="I11" s="123" t="s">
        <v>132</v>
      </c>
      <c r="J11" s="242" t="s">
        <v>133</v>
      </c>
      <c r="K11" s="243"/>
      <c r="L11" s="122" t="s">
        <v>132</v>
      </c>
      <c r="M11" s="244" t="s">
        <v>131</v>
      </c>
      <c r="N11" s="245"/>
      <c r="O11" s="125" t="s">
        <v>134</v>
      </c>
      <c r="P11" s="123" t="s">
        <v>132</v>
      </c>
      <c r="Q11" s="242" t="s">
        <v>133</v>
      </c>
      <c r="R11" s="243"/>
      <c r="S11" s="221" t="s">
        <v>134</v>
      </c>
      <c r="T11" s="123" t="s">
        <v>132</v>
      </c>
      <c r="U11" s="242" t="s">
        <v>133</v>
      </c>
      <c r="V11" s="243"/>
      <c r="W11" s="122" t="s">
        <v>132</v>
      </c>
      <c r="X11" s="244" t="s">
        <v>131</v>
      </c>
      <c r="Y11" s="245"/>
      <c r="Z11" s="125" t="s">
        <v>134</v>
      </c>
      <c r="AA11" s="123" t="s">
        <v>132</v>
      </c>
      <c r="AB11" s="242" t="s">
        <v>133</v>
      </c>
      <c r="AC11" s="243"/>
      <c r="AD11" s="221" t="s">
        <v>134</v>
      </c>
      <c r="AE11" s="123" t="s">
        <v>132</v>
      </c>
      <c r="AF11" s="242" t="s">
        <v>133</v>
      </c>
      <c r="AG11" s="243"/>
      <c r="AH11" s="122" t="s">
        <v>132</v>
      </c>
      <c r="AI11" s="244" t="s">
        <v>131</v>
      </c>
      <c r="AJ11" s="245"/>
      <c r="AK11" s="125" t="s">
        <v>134</v>
      </c>
      <c r="AL11" s="123" t="s">
        <v>132</v>
      </c>
      <c r="AM11" s="242" t="s">
        <v>133</v>
      </c>
      <c r="AN11" s="243"/>
      <c r="AO11" s="221" t="s">
        <v>134</v>
      </c>
      <c r="AP11" s="123" t="s">
        <v>132</v>
      </c>
      <c r="AQ11" s="242" t="s">
        <v>133</v>
      </c>
      <c r="AR11" s="243"/>
      <c r="AS11" s="122" t="s">
        <v>132</v>
      </c>
      <c r="AT11" s="244" t="s">
        <v>131</v>
      </c>
      <c r="AU11" s="245"/>
      <c r="AV11" s="125" t="s">
        <v>134</v>
      </c>
      <c r="AW11" s="123" t="s">
        <v>132</v>
      </c>
      <c r="AX11" s="242" t="s">
        <v>133</v>
      </c>
      <c r="AY11" s="243"/>
      <c r="AZ11" s="221" t="s">
        <v>134</v>
      </c>
      <c r="BA11" s="123" t="s">
        <v>132</v>
      </c>
      <c r="BB11" s="242" t="s">
        <v>133</v>
      </c>
      <c r="BC11" s="243"/>
      <c r="BD11" s="122" t="s">
        <v>132</v>
      </c>
      <c r="BE11" s="244" t="s">
        <v>131</v>
      </c>
      <c r="BF11" s="245"/>
      <c r="BG11" s="125" t="s">
        <v>134</v>
      </c>
      <c r="BH11" s="123" t="s">
        <v>132</v>
      </c>
      <c r="BI11" s="242" t="s">
        <v>133</v>
      </c>
      <c r="BJ11" s="243"/>
      <c r="BK11" s="221" t="s">
        <v>134</v>
      </c>
      <c r="BL11" s="123" t="s">
        <v>132</v>
      </c>
      <c r="BM11" s="242" t="s">
        <v>133</v>
      </c>
      <c r="BN11" s="243"/>
      <c r="BO11" s="122" t="s">
        <v>132</v>
      </c>
      <c r="BP11" s="244" t="s">
        <v>131</v>
      </c>
      <c r="BQ11" s="245"/>
      <c r="BR11" s="125" t="s">
        <v>134</v>
      </c>
      <c r="BS11" s="123" t="s">
        <v>132</v>
      </c>
      <c r="BT11" s="242" t="s">
        <v>133</v>
      </c>
      <c r="BU11" s="243"/>
      <c r="BV11" s="221" t="s">
        <v>134</v>
      </c>
      <c r="BW11" s="123" t="s">
        <v>132</v>
      </c>
      <c r="BX11" s="242" t="s">
        <v>133</v>
      </c>
      <c r="BY11" s="243"/>
      <c r="BZ11" s="122" t="s">
        <v>132</v>
      </c>
      <c r="CA11" s="244" t="s">
        <v>131</v>
      </c>
      <c r="CB11" s="245"/>
      <c r="CC11" s="125" t="s">
        <v>134</v>
      </c>
      <c r="CD11" s="123" t="s">
        <v>132</v>
      </c>
      <c r="CE11" s="242" t="s">
        <v>133</v>
      </c>
      <c r="CF11" s="243"/>
      <c r="CG11" s="221" t="s">
        <v>134</v>
      </c>
      <c r="CH11" s="123" t="s">
        <v>132</v>
      </c>
      <c r="CI11" s="242" t="s">
        <v>133</v>
      </c>
      <c r="CJ11" s="243"/>
      <c r="CK11" s="122" t="s">
        <v>132</v>
      </c>
      <c r="CL11" s="244" t="s">
        <v>131</v>
      </c>
      <c r="CM11" s="245"/>
      <c r="CN11" s="125" t="s">
        <v>134</v>
      </c>
      <c r="CO11" s="123" t="s">
        <v>132</v>
      </c>
      <c r="CP11" s="242" t="s">
        <v>133</v>
      </c>
      <c r="CQ11" s="243"/>
      <c r="CR11" s="221" t="s">
        <v>134</v>
      </c>
      <c r="CS11" s="123" t="s">
        <v>132</v>
      </c>
      <c r="CT11" s="242" t="s">
        <v>133</v>
      </c>
      <c r="CU11" s="243"/>
      <c r="CV11" s="122" t="s">
        <v>132</v>
      </c>
      <c r="CW11" s="244" t="s">
        <v>131</v>
      </c>
      <c r="CX11" s="245"/>
      <c r="CY11" s="125" t="s">
        <v>134</v>
      </c>
      <c r="CZ11" s="123" t="s">
        <v>132</v>
      </c>
      <c r="DA11" s="242" t="s">
        <v>133</v>
      </c>
      <c r="DB11" s="243"/>
      <c r="DC11" s="221" t="s">
        <v>134</v>
      </c>
      <c r="DD11" s="123" t="s">
        <v>132</v>
      </c>
      <c r="DE11" s="242" t="s">
        <v>133</v>
      </c>
      <c r="DF11" s="243"/>
      <c r="DG11" s="122" t="s">
        <v>132</v>
      </c>
      <c r="DH11" s="244" t="s">
        <v>131</v>
      </c>
      <c r="DI11" s="245"/>
    </row>
    <row r="12" spans="1:113" ht="16.5" customHeight="1" thickBot="1" x14ac:dyDescent="0.25">
      <c r="A12" s="54"/>
      <c r="B12" s="70" t="s">
        <v>130</v>
      </c>
      <c r="C12" s="69" t="s">
        <v>129</v>
      </c>
      <c r="D12" s="120"/>
      <c r="E12" s="68"/>
      <c r="F12" s="64"/>
      <c r="G12" s="66"/>
      <c r="H12" s="121"/>
      <c r="I12" s="120"/>
      <c r="J12" s="66"/>
      <c r="K12" s="66"/>
      <c r="L12" s="65"/>
      <c r="M12" s="64"/>
      <c r="N12" s="63"/>
      <c r="O12" s="120"/>
      <c r="P12" s="68"/>
      <c r="Q12" s="64"/>
      <c r="R12" s="66"/>
      <c r="S12" s="121"/>
      <c r="T12" s="120"/>
      <c r="U12" s="66"/>
      <c r="V12" s="66"/>
      <c r="W12" s="65"/>
      <c r="X12" s="64"/>
      <c r="Y12" s="63"/>
      <c r="Z12" s="120"/>
      <c r="AA12" s="68"/>
      <c r="AB12" s="64"/>
      <c r="AC12" s="66"/>
      <c r="AD12" s="121"/>
      <c r="AE12" s="120"/>
      <c r="AF12" s="66"/>
      <c r="AG12" s="66"/>
      <c r="AH12" s="65"/>
      <c r="AI12" s="64"/>
      <c r="AJ12" s="63"/>
      <c r="AK12" s="120"/>
      <c r="AL12" s="68"/>
      <c r="AM12" s="64"/>
      <c r="AN12" s="66"/>
      <c r="AO12" s="121"/>
      <c r="AP12" s="120"/>
      <c r="AQ12" s="66"/>
      <c r="AR12" s="66"/>
      <c r="AS12" s="65"/>
      <c r="AT12" s="64"/>
      <c r="AU12" s="63"/>
      <c r="AV12" s="120"/>
      <c r="AW12" s="68"/>
      <c r="AX12" s="64"/>
      <c r="AY12" s="66"/>
      <c r="AZ12" s="121"/>
      <c r="BA12" s="120"/>
      <c r="BB12" s="66"/>
      <c r="BC12" s="66"/>
      <c r="BD12" s="65"/>
      <c r="BE12" s="64"/>
      <c r="BF12" s="63"/>
      <c r="BG12" s="120"/>
      <c r="BH12" s="68"/>
      <c r="BI12" s="64"/>
      <c r="BJ12" s="66"/>
      <c r="BK12" s="121"/>
      <c r="BL12" s="120"/>
      <c r="BM12" s="66"/>
      <c r="BN12" s="66"/>
      <c r="BO12" s="65"/>
      <c r="BP12" s="64"/>
      <c r="BQ12" s="63"/>
      <c r="BR12" s="120"/>
      <c r="BS12" s="68"/>
      <c r="BT12" s="64"/>
      <c r="BU12" s="66"/>
      <c r="BV12" s="121"/>
      <c r="BW12" s="120"/>
      <c r="BX12" s="66"/>
      <c r="BY12" s="66"/>
      <c r="BZ12" s="65"/>
      <c r="CA12" s="64"/>
      <c r="CB12" s="63"/>
      <c r="CC12" s="120"/>
      <c r="CD12" s="68"/>
      <c r="CE12" s="64"/>
      <c r="CF12" s="66"/>
      <c r="CG12" s="121"/>
      <c r="CH12" s="120"/>
      <c r="CI12" s="66"/>
      <c r="CJ12" s="66"/>
      <c r="CK12" s="65"/>
      <c r="CL12" s="64"/>
      <c r="CM12" s="63"/>
      <c r="CN12" s="120"/>
      <c r="CO12" s="68"/>
      <c r="CP12" s="64"/>
      <c r="CQ12" s="66"/>
      <c r="CR12" s="121"/>
      <c r="CS12" s="120"/>
      <c r="CT12" s="66"/>
      <c r="CU12" s="66"/>
      <c r="CV12" s="65"/>
      <c r="CW12" s="64"/>
      <c r="CX12" s="63"/>
      <c r="CY12" s="120"/>
      <c r="CZ12" s="68"/>
      <c r="DA12" s="64"/>
      <c r="DB12" s="66"/>
      <c r="DC12" s="121"/>
      <c r="DD12" s="120"/>
      <c r="DE12" s="66"/>
      <c r="DF12" s="66"/>
      <c r="DG12" s="65"/>
      <c r="DH12" s="64"/>
      <c r="DI12" s="63"/>
    </row>
    <row r="13" spans="1:113" ht="13.5" outlineLevel="3" thickTop="1" x14ac:dyDescent="0.2">
      <c r="A13" s="54"/>
      <c r="B13" s="38" t="s">
        <v>128</v>
      </c>
      <c r="C13" s="62" t="s">
        <v>127</v>
      </c>
      <c r="D13" s="61">
        <v>135195586.78999999</v>
      </c>
      <c r="E13" s="60">
        <v>145701750</v>
      </c>
      <c r="F13" s="32">
        <f t="shared" ref="F13:F67" si="0">D13-E13</f>
        <v>-10506163.210000008</v>
      </c>
      <c r="G13" s="78">
        <f t="shared" ref="G13:G67" si="1">IFERROR(D13/E13-1,"-")</f>
        <v>-7.2107323419245195E-2</v>
      </c>
      <c r="H13" s="39">
        <v>851059330</v>
      </c>
      <c r="I13" s="39">
        <v>866543899</v>
      </c>
      <c r="J13" s="32">
        <f t="shared" ref="J13:J67" si="2">H13-I13</f>
        <v>-15484569</v>
      </c>
      <c r="K13" s="78">
        <f t="shared" ref="K13:K67" si="3">IFERROR(H13/I13-1,"-")</f>
        <v>-1.7869341666209126E-2</v>
      </c>
      <c r="L13" s="39">
        <v>1740754399</v>
      </c>
      <c r="M13" s="32">
        <f t="shared" ref="M13:M67" si="4">H13-L13</f>
        <v>-889695069</v>
      </c>
      <c r="N13" s="79">
        <f t="shared" ref="N13:N67" si="5">IFERROR(M13/L13,"-")</f>
        <v>-0.51109741242710482</v>
      </c>
      <c r="O13" s="61">
        <v>135195586.78999999</v>
      </c>
      <c r="P13" s="60">
        <v>145701750</v>
      </c>
      <c r="Q13" s="32">
        <f t="shared" ref="Q13:Q67" si="6">O13-P13</f>
        <v>-10506163.210000008</v>
      </c>
      <c r="R13" s="78">
        <f t="shared" ref="R13:R67" si="7">IFERROR(O13/P13-1,"-")</f>
        <v>-7.2107323419245195E-2</v>
      </c>
      <c r="S13" s="39">
        <v>851059330</v>
      </c>
      <c r="T13" s="39">
        <v>866543899</v>
      </c>
      <c r="U13" s="32">
        <f t="shared" ref="U13:U67" si="8">S13-T13</f>
        <v>-15484569</v>
      </c>
      <c r="V13" s="78">
        <f t="shared" ref="V13:V67" si="9">IFERROR(S13/T13-1,"-")</f>
        <v>-1.7869341666209126E-2</v>
      </c>
      <c r="W13" s="39">
        <v>1740754399</v>
      </c>
      <c r="X13" s="32">
        <f t="shared" ref="X13:X67" si="10">S13-W13</f>
        <v>-889695069</v>
      </c>
      <c r="Y13" s="79">
        <f t="shared" ref="Y13:Y67" si="11">IFERROR(X13/W13,"-")</f>
        <v>-0.51109741242710482</v>
      </c>
      <c r="Z13" s="61">
        <v>135195586.78999999</v>
      </c>
      <c r="AA13" s="60">
        <v>145701750</v>
      </c>
      <c r="AB13" s="32">
        <f t="shared" ref="AB13:AB67" si="12">Z13-AA13</f>
        <v>-10506163.210000008</v>
      </c>
      <c r="AC13" s="78">
        <f t="shared" ref="AC13:AC67" si="13">IFERROR(Z13/AA13-1,"-")</f>
        <v>-7.2107323419245195E-2</v>
      </c>
      <c r="AD13" s="39">
        <v>851059330</v>
      </c>
      <c r="AE13" s="39">
        <v>866543899</v>
      </c>
      <c r="AF13" s="32">
        <f t="shared" ref="AF13:AF67" si="14">AD13-AE13</f>
        <v>-15484569</v>
      </c>
      <c r="AG13" s="78">
        <f t="shared" ref="AG13:AG67" si="15">IFERROR(AD13/AE13-1,"-")</f>
        <v>-1.7869341666209126E-2</v>
      </c>
      <c r="AH13" s="39">
        <v>1740754399</v>
      </c>
      <c r="AI13" s="32">
        <f t="shared" ref="AI13:AI67" si="16">AD13-AH13</f>
        <v>-889695069</v>
      </c>
      <c r="AJ13" s="79">
        <f t="shared" ref="AJ13:AJ67" si="17">IFERROR(AI13/AH13,"-")</f>
        <v>-0.51109741242710482</v>
      </c>
      <c r="AK13" s="61">
        <v>135195586.78999999</v>
      </c>
      <c r="AL13" s="60">
        <v>145701750</v>
      </c>
      <c r="AM13" s="32">
        <f t="shared" ref="AM13:AM67" si="18">AK13-AL13</f>
        <v>-10506163.210000008</v>
      </c>
      <c r="AN13" s="78">
        <f t="shared" ref="AN13:AN67" si="19">IFERROR(AK13/AL13-1,"-")</f>
        <v>-7.2107323419245195E-2</v>
      </c>
      <c r="AO13" s="39">
        <v>851059330</v>
      </c>
      <c r="AP13" s="39">
        <v>866543899</v>
      </c>
      <c r="AQ13" s="32">
        <f t="shared" ref="AQ13:AQ67" si="20">AO13-AP13</f>
        <v>-15484569</v>
      </c>
      <c r="AR13" s="78">
        <f t="shared" ref="AR13:AR67" si="21">IFERROR(AO13/AP13-1,"-")</f>
        <v>-1.7869341666209126E-2</v>
      </c>
      <c r="AS13" s="39">
        <v>1740754399</v>
      </c>
      <c r="AT13" s="32">
        <f t="shared" ref="AT13:AT67" si="22">AO13-AS13</f>
        <v>-889695069</v>
      </c>
      <c r="AU13" s="79">
        <f t="shared" ref="AU13:AU67" si="23">IFERROR(AT13/AS13,"-")</f>
        <v>-0.51109741242710482</v>
      </c>
      <c r="AV13" s="61">
        <v>135195586.78999999</v>
      </c>
      <c r="AW13" s="60">
        <v>145701750</v>
      </c>
      <c r="AX13" s="32">
        <f t="shared" ref="AX13:AX67" si="24">AV13-AW13</f>
        <v>-10506163.210000008</v>
      </c>
      <c r="AY13" s="78">
        <f t="shared" ref="AY13:AY67" si="25">IFERROR(AV13/AW13-1,"-")</f>
        <v>-7.2107323419245195E-2</v>
      </c>
      <c r="AZ13" s="39">
        <v>851059330</v>
      </c>
      <c r="BA13" s="39">
        <v>866543899</v>
      </c>
      <c r="BB13" s="32">
        <f t="shared" ref="BB13:BB67" si="26">AZ13-BA13</f>
        <v>-15484569</v>
      </c>
      <c r="BC13" s="78">
        <f t="shared" ref="BC13:BC67" si="27">IFERROR(AZ13/BA13-1,"-")</f>
        <v>-1.7869341666209126E-2</v>
      </c>
      <c r="BD13" s="39">
        <v>1740754399</v>
      </c>
      <c r="BE13" s="32">
        <f t="shared" ref="BE13:BE67" si="28">AZ13-BD13</f>
        <v>-889695069</v>
      </c>
      <c r="BF13" s="79">
        <f t="shared" ref="BF13:BF67" si="29">IFERROR(BE13/BD13,"-")</f>
        <v>-0.51109741242710482</v>
      </c>
      <c r="BG13" s="61">
        <v>135195586.78999999</v>
      </c>
      <c r="BH13" s="60">
        <v>145701750</v>
      </c>
      <c r="BI13" s="32">
        <f t="shared" ref="BI13:BI67" si="30">BG13-BH13</f>
        <v>-10506163.210000008</v>
      </c>
      <c r="BJ13" s="78">
        <f t="shared" ref="BJ13:BJ67" si="31">IFERROR(BG13/BH13-1,"-")</f>
        <v>-7.2107323419245195E-2</v>
      </c>
      <c r="BK13" s="39">
        <v>851059330</v>
      </c>
      <c r="BL13" s="39">
        <v>866543899</v>
      </c>
      <c r="BM13" s="32">
        <f t="shared" ref="BM13:BM67" si="32">BK13-BL13</f>
        <v>-15484569</v>
      </c>
      <c r="BN13" s="78">
        <f t="shared" ref="BN13:BN67" si="33">IFERROR(BK13/BL13-1,"-")</f>
        <v>-1.7869341666209126E-2</v>
      </c>
      <c r="BO13" s="39">
        <v>1740754399</v>
      </c>
      <c r="BP13" s="32">
        <f t="shared" ref="BP13:BP67" si="34">BK13-BO13</f>
        <v>-889695069</v>
      </c>
      <c r="BQ13" s="79">
        <f t="shared" ref="BQ13:BQ67" si="35">IFERROR(BP13/BO13,"-")</f>
        <v>-0.51109741242710482</v>
      </c>
      <c r="BR13" s="61">
        <v>135195586.78999999</v>
      </c>
      <c r="BS13" s="60">
        <v>145701750</v>
      </c>
      <c r="BT13" s="32">
        <f t="shared" ref="BT13:BT67" si="36">BR13-BS13</f>
        <v>-10506163.210000008</v>
      </c>
      <c r="BU13" s="78">
        <f t="shared" ref="BU13:BU67" si="37">IFERROR(BR13/BS13-1,"-")</f>
        <v>-7.2107323419245195E-2</v>
      </c>
      <c r="BV13" s="39">
        <v>851059330</v>
      </c>
      <c r="BW13" s="39">
        <v>866543899</v>
      </c>
      <c r="BX13" s="32">
        <f t="shared" ref="BX13:BX67" si="38">BV13-BW13</f>
        <v>-15484569</v>
      </c>
      <c r="BY13" s="78">
        <f t="shared" ref="BY13:BY67" si="39">IFERROR(BV13/BW13-1,"-")</f>
        <v>-1.7869341666209126E-2</v>
      </c>
      <c r="BZ13" s="39">
        <v>1740754399</v>
      </c>
      <c r="CA13" s="32">
        <f t="shared" ref="CA13:CA67" si="40">BV13-BZ13</f>
        <v>-889695069</v>
      </c>
      <c r="CB13" s="79">
        <f t="shared" ref="CB13:CB67" si="41">IFERROR(CA13/BZ13,"-")</f>
        <v>-0.51109741242710482</v>
      </c>
      <c r="CC13" s="61">
        <v>135195586.78999999</v>
      </c>
      <c r="CD13" s="60">
        <v>145701750</v>
      </c>
      <c r="CE13" s="32">
        <f t="shared" ref="CE13:CE67" si="42">CC13-CD13</f>
        <v>-10506163.210000008</v>
      </c>
      <c r="CF13" s="78">
        <f t="shared" ref="CF13:CF67" si="43">IFERROR(CC13/CD13-1,"-")</f>
        <v>-7.2107323419245195E-2</v>
      </c>
      <c r="CG13" s="39">
        <v>851059330</v>
      </c>
      <c r="CH13" s="39">
        <v>866543899</v>
      </c>
      <c r="CI13" s="32">
        <f t="shared" ref="CI13:CI67" si="44">CG13-CH13</f>
        <v>-15484569</v>
      </c>
      <c r="CJ13" s="78">
        <f t="shared" ref="CJ13:CJ67" si="45">IFERROR(CG13/CH13-1,"-")</f>
        <v>-1.7869341666209126E-2</v>
      </c>
      <c r="CK13" s="39">
        <v>1740754399</v>
      </c>
      <c r="CL13" s="32">
        <f t="shared" ref="CL13:CL67" si="46">CG13-CK13</f>
        <v>-889695069</v>
      </c>
      <c r="CM13" s="79">
        <f t="shared" ref="CM13:CM67" si="47">IFERROR(CL13/CK13,"-")</f>
        <v>-0.51109741242710482</v>
      </c>
      <c r="CN13" s="61">
        <v>135195586.78999999</v>
      </c>
      <c r="CO13" s="60">
        <v>145701750</v>
      </c>
      <c r="CP13" s="32">
        <f t="shared" ref="CP13:CP67" si="48">CN13-CO13</f>
        <v>-10506163.210000008</v>
      </c>
      <c r="CQ13" s="78">
        <f t="shared" ref="CQ13:CQ67" si="49">IFERROR(CN13/CO13-1,"-")</f>
        <v>-7.2107323419245195E-2</v>
      </c>
      <c r="CR13" s="39">
        <v>851059330</v>
      </c>
      <c r="CS13" s="39">
        <v>866543899</v>
      </c>
      <c r="CT13" s="32">
        <f t="shared" ref="CT13:CT67" si="50">CR13-CS13</f>
        <v>-15484569</v>
      </c>
      <c r="CU13" s="78">
        <f t="shared" ref="CU13:CU67" si="51">IFERROR(CR13/CS13-1,"-")</f>
        <v>-1.7869341666209126E-2</v>
      </c>
      <c r="CV13" s="39">
        <v>1740754399</v>
      </c>
      <c r="CW13" s="32">
        <f t="shared" ref="CW13:CW67" si="52">CR13-CV13</f>
        <v>-889695069</v>
      </c>
      <c r="CX13" s="79">
        <f t="shared" ref="CX13:CX67" si="53">IFERROR(CW13/CV13,"-")</f>
        <v>-0.51109741242710482</v>
      </c>
      <c r="CY13" s="61">
        <v>135195586.78999999</v>
      </c>
      <c r="CZ13" s="60">
        <v>145701750</v>
      </c>
      <c r="DA13" s="32">
        <f t="shared" ref="DA13:DA67" si="54">CY13-CZ13</f>
        <v>-10506163.210000008</v>
      </c>
      <c r="DB13" s="78">
        <f t="shared" ref="DB13:DB67" si="55">IFERROR(CY13/CZ13-1,"-")</f>
        <v>-7.2107323419245195E-2</v>
      </c>
      <c r="DC13" s="39">
        <v>851059330</v>
      </c>
      <c r="DD13" s="39">
        <v>866543899</v>
      </c>
      <c r="DE13" s="32">
        <f t="shared" ref="DE13:DE67" si="56">DC13-DD13</f>
        <v>-15484569</v>
      </c>
      <c r="DF13" s="78">
        <f t="shared" ref="DF13:DF67" si="57">IFERROR(DC13/DD13-1,"-")</f>
        <v>-1.7869341666209126E-2</v>
      </c>
      <c r="DG13" s="39">
        <v>1740754399</v>
      </c>
      <c r="DH13" s="32">
        <f t="shared" ref="DH13:DH67" si="58">DC13-DG13</f>
        <v>-889695069</v>
      </c>
      <c r="DI13" s="79">
        <f t="shared" ref="DI13:DI67" si="59">IFERROR(DH13/DG13,"-")</f>
        <v>-0.51109741242710482</v>
      </c>
    </row>
    <row r="14" spans="1:113" outlineLevel="3" x14ac:dyDescent="0.2">
      <c r="A14" s="54"/>
      <c r="B14" s="38" t="s">
        <v>126</v>
      </c>
      <c r="C14" s="49" t="s">
        <v>125</v>
      </c>
      <c r="D14" s="41">
        <v>27369683.629999999</v>
      </c>
      <c r="E14" s="40">
        <v>26954823.75</v>
      </c>
      <c r="F14" s="32">
        <f t="shared" si="0"/>
        <v>414859.87999999896</v>
      </c>
      <c r="G14" s="78">
        <f t="shared" si="1"/>
        <v>1.5390932763936105E-2</v>
      </c>
      <c r="H14" s="39">
        <v>198975930</v>
      </c>
      <c r="I14" s="39">
        <v>160310621.315</v>
      </c>
      <c r="J14" s="32">
        <f t="shared" si="2"/>
        <v>38665308.685000002</v>
      </c>
      <c r="K14" s="78">
        <f t="shared" si="3"/>
        <v>0.24118993718466841</v>
      </c>
      <c r="L14" s="39">
        <v>322039563.815</v>
      </c>
      <c r="M14" s="32">
        <f t="shared" si="4"/>
        <v>-123063633.815</v>
      </c>
      <c r="N14" s="77">
        <f t="shared" si="5"/>
        <v>-0.38213824524273537</v>
      </c>
      <c r="O14" s="41">
        <v>27369683.629999999</v>
      </c>
      <c r="P14" s="40">
        <v>26954823.75</v>
      </c>
      <c r="Q14" s="32">
        <f t="shared" si="6"/>
        <v>414859.87999999896</v>
      </c>
      <c r="R14" s="78">
        <f t="shared" si="7"/>
        <v>1.5390932763936105E-2</v>
      </c>
      <c r="S14" s="39">
        <v>198975930</v>
      </c>
      <c r="T14" s="39">
        <v>160310621.315</v>
      </c>
      <c r="U14" s="32">
        <f t="shared" si="8"/>
        <v>38665308.685000002</v>
      </c>
      <c r="V14" s="78">
        <f t="shared" si="9"/>
        <v>0.24118993718466841</v>
      </c>
      <c r="W14" s="39">
        <v>322039563.815</v>
      </c>
      <c r="X14" s="32">
        <f t="shared" si="10"/>
        <v>-123063633.815</v>
      </c>
      <c r="Y14" s="77">
        <f t="shared" si="11"/>
        <v>-0.38213824524273537</v>
      </c>
      <c r="Z14" s="41">
        <v>27369683.629999999</v>
      </c>
      <c r="AA14" s="40">
        <v>26954823.75</v>
      </c>
      <c r="AB14" s="32">
        <f t="shared" si="12"/>
        <v>414859.87999999896</v>
      </c>
      <c r="AC14" s="78">
        <f t="shared" si="13"/>
        <v>1.5390932763936105E-2</v>
      </c>
      <c r="AD14" s="39">
        <v>198975930</v>
      </c>
      <c r="AE14" s="39">
        <v>160310621.315</v>
      </c>
      <c r="AF14" s="32">
        <f t="shared" si="14"/>
        <v>38665308.685000002</v>
      </c>
      <c r="AG14" s="78">
        <f t="shared" si="15"/>
        <v>0.24118993718466841</v>
      </c>
      <c r="AH14" s="39">
        <v>322039563.815</v>
      </c>
      <c r="AI14" s="32">
        <f t="shared" si="16"/>
        <v>-123063633.815</v>
      </c>
      <c r="AJ14" s="77">
        <f t="shared" si="17"/>
        <v>-0.38213824524273537</v>
      </c>
      <c r="AK14" s="41">
        <v>27369683.629999999</v>
      </c>
      <c r="AL14" s="40">
        <v>26954823.75</v>
      </c>
      <c r="AM14" s="32">
        <f t="shared" si="18"/>
        <v>414859.87999999896</v>
      </c>
      <c r="AN14" s="78">
        <f t="shared" si="19"/>
        <v>1.5390932763936105E-2</v>
      </c>
      <c r="AO14" s="39">
        <v>198975930</v>
      </c>
      <c r="AP14" s="39">
        <v>160310621.315</v>
      </c>
      <c r="AQ14" s="32">
        <f t="shared" si="20"/>
        <v>38665308.685000002</v>
      </c>
      <c r="AR14" s="78">
        <f t="shared" si="21"/>
        <v>0.24118993718466841</v>
      </c>
      <c r="AS14" s="39">
        <v>322039563.815</v>
      </c>
      <c r="AT14" s="32">
        <f t="shared" si="22"/>
        <v>-123063633.815</v>
      </c>
      <c r="AU14" s="77">
        <f t="shared" si="23"/>
        <v>-0.38213824524273537</v>
      </c>
      <c r="AV14" s="41">
        <v>27369683.629999999</v>
      </c>
      <c r="AW14" s="40">
        <v>26954823.75</v>
      </c>
      <c r="AX14" s="32">
        <f t="shared" si="24"/>
        <v>414859.87999999896</v>
      </c>
      <c r="AY14" s="78">
        <f t="shared" si="25"/>
        <v>1.5390932763936105E-2</v>
      </c>
      <c r="AZ14" s="39">
        <v>198975930</v>
      </c>
      <c r="BA14" s="39">
        <v>160310621.315</v>
      </c>
      <c r="BB14" s="32">
        <f t="shared" si="26"/>
        <v>38665308.685000002</v>
      </c>
      <c r="BC14" s="78">
        <f t="shared" si="27"/>
        <v>0.24118993718466841</v>
      </c>
      <c r="BD14" s="39">
        <v>322039563.815</v>
      </c>
      <c r="BE14" s="32">
        <f t="shared" si="28"/>
        <v>-123063633.815</v>
      </c>
      <c r="BF14" s="77">
        <f t="shared" si="29"/>
        <v>-0.38213824524273537</v>
      </c>
      <c r="BG14" s="41">
        <v>27369683.629999999</v>
      </c>
      <c r="BH14" s="40">
        <v>26954823.75</v>
      </c>
      <c r="BI14" s="32">
        <f t="shared" si="30"/>
        <v>414859.87999999896</v>
      </c>
      <c r="BJ14" s="78">
        <f t="shared" si="31"/>
        <v>1.5390932763936105E-2</v>
      </c>
      <c r="BK14" s="39">
        <v>198975930</v>
      </c>
      <c r="BL14" s="39">
        <v>160310621.315</v>
      </c>
      <c r="BM14" s="32">
        <f t="shared" si="32"/>
        <v>38665308.685000002</v>
      </c>
      <c r="BN14" s="78">
        <f t="shared" si="33"/>
        <v>0.24118993718466841</v>
      </c>
      <c r="BO14" s="39">
        <v>322039563.815</v>
      </c>
      <c r="BP14" s="32">
        <f t="shared" si="34"/>
        <v>-123063633.815</v>
      </c>
      <c r="BQ14" s="77">
        <f t="shared" si="35"/>
        <v>-0.38213824524273537</v>
      </c>
      <c r="BR14" s="41">
        <v>27369683.629999999</v>
      </c>
      <c r="BS14" s="40">
        <v>26954823.75</v>
      </c>
      <c r="BT14" s="32">
        <f t="shared" si="36"/>
        <v>414859.87999999896</v>
      </c>
      <c r="BU14" s="78">
        <f t="shared" si="37"/>
        <v>1.5390932763936105E-2</v>
      </c>
      <c r="BV14" s="39">
        <v>198975930</v>
      </c>
      <c r="BW14" s="39">
        <v>160310621.315</v>
      </c>
      <c r="BX14" s="32">
        <f t="shared" si="38"/>
        <v>38665308.685000002</v>
      </c>
      <c r="BY14" s="78">
        <f t="shared" si="39"/>
        <v>0.24118993718466841</v>
      </c>
      <c r="BZ14" s="39">
        <v>322039563.815</v>
      </c>
      <c r="CA14" s="32">
        <f t="shared" si="40"/>
        <v>-123063633.815</v>
      </c>
      <c r="CB14" s="77">
        <f t="shared" si="41"/>
        <v>-0.38213824524273537</v>
      </c>
      <c r="CC14" s="41">
        <v>27369683.629999999</v>
      </c>
      <c r="CD14" s="40">
        <v>26954823.75</v>
      </c>
      <c r="CE14" s="32">
        <f t="shared" si="42"/>
        <v>414859.87999999896</v>
      </c>
      <c r="CF14" s="78">
        <f t="shared" si="43"/>
        <v>1.5390932763936105E-2</v>
      </c>
      <c r="CG14" s="39">
        <v>198975930</v>
      </c>
      <c r="CH14" s="39">
        <v>160310621.315</v>
      </c>
      <c r="CI14" s="32">
        <f t="shared" si="44"/>
        <v>38665308.685000002</v>
      </c>
      <c r="CJ14" s="78">
        <f t="shared" si="45"/>
        <v>0.24118993718466841</v>
      </c>
      <c r="CK14" s="39">
        <v>322039563.815</v>
      </c>
      <c r="CL14" s="32">
        <f t="shared" si="46"/>
        <v>-123063633.815</v>
      </c>
      <c r="CM14" s="77">
        <f t="shared" si="47"/>
        <v>-0.38213824524273537</v>
      </c>
      <c r="CN14" s="41">
        <v>27369683.629999999</v>
      </c>
      <c r="CO14" s="40">
        <v>26954823.75</v>
      </c>
      <c r="CP14" s="32">
        <f t="shared" si="48"/>
        <v>414859.87999999896</v>
      </c>
      <c r="CQ14" s="78">
        <f t="shared" si="49"/>
        <v>1.5390932763936105E-2</v>
      </c>
      <c r="CR14" s="39">
        <v>198975930</v>
      </c>
      <c r="CS14" s="39">
        <v>160310621.315</v>
      </c>
      <c r="CT14" s="32">
        <f t="shared" si="50"/>
        <v>38665308.685000002</v>
      </c>
      <c r="CU14" s="78">
        <f t="shared" si="51"/>
        <v>0.24118993718466841</v>
      </c>
      <c r="CV14" s="39">
        <v>322039563.815</v>
      </c>
      <c r="CW14" s="32">
        <f t="shared" si="52"/>
        <v>-123063633.815</v>
      </c>
      <c r="CX14" s="77">
        <f t="shared" si="53"/>
        <v>-0.38213824524273537</v>
      </c>
      <c r="CY14" s="41">
        <v>27369683.629999999</v>
      </c>
      <c r="CZ14" s="40">
        <v>26954823.75</v>
      </c>
      <c r="DA14" s="32">
        <f t="shared" si="54"/>
        <v>414859.87999999896</v>
      </c>
      <c r="DB14" s="78">
        <f t="shared" si="55"/>
        <v>1.5390932763936105E-2</v>
      </c>
      <c r="DC14" s="39">
        <v>198975930</v>
      </c>
      <c r="DD14" s="39">
        <v>160310621.315</v>
      </c>
      <c r="DE14" s="32">
        <f t="shared" si="56"/>
        <v>38665308.685000002</v>
      </c>
      <c r="DF14" s="78">
        <f t="shared" si="57"/>
        <v>0.24118993718466841</v>
      </c>
      <c r="DG14" s="39">
        <v>322039563.815</v>
      </c>
      <c r="DH14" s="32">
        <f t="shared" si="58"/>
        <v>-123063633.815</v>
      </c>
      <c r="DI14" s="77">
        <f t="shared" si="59"/>
        <v>-0.38213824524273537</v>
      </c>
    </row>
    <row r="15" spans="1:113" s="6" customFormat="1" outlineLevel="2" x14ac:dyDescent="0.2">
      <c r="A15" s="30"/>
      <c r="B15" s="29" t="s">
        <v>124</v>
      </c>
      <c r="C15" s="52" t="s">
        <v>123</v>
      </c>
      <c r="D15" s="27">
        <f>SUM(D13:D14)</f>
        <v>162565270.41999999</v>
      </c>
      <c r="E15" s="26">
        <f>SUM(E13:E14)</f>
        <v>172656573.75</v>
      </c>
      <c r="F15" s="23">
        <f t="shared" si="0"/>
        <v>-10091303.330000013</v>
      </c>
      <c r="G15" s="76">
        <f t="shared" si="1"/>
        <v>-5.844725810794682E-2</v>
      </c>
      <c r="H15" s="24">
        <f>SUM(H13:H14)</f>
        <v>1050035260</v>
      </c>
      <c r="I15" s="24">
        <f>SUM(I13:I14)</f>
        <v>1026854520.3150001</v>
      </c>
      <c r="J15" s="23">
        <f t="shared" si="2"/>
        <v>23180739.684999943</v>
      </c>
      <c r="K15" s="76">
        <f t="shared" si="3"/>
        <v>2.2574511994054358E-2</v>
      </c>
      <c r="L15" s="24">
        <f>SUM(L13:L14)</f>
        <v>2062793962.8150001</v>
      </c>
      <c r="M15" s="23">
        <f t="shared" si="4"/>
        <v>-1012758702.8150001</v>
      </c>
      <c r="N15" s="75">
        <f t="shared" si="5"/>
        <v>-0.49096454666414419</v>
      </c>
      <c r="O15" s="27">
        <f>SUM(O13:O14)</f>
        <v>162565270.41999999</v>
      </c>
      <c r="P15" s="26">
        <f>SUM(P13:P14)</f>
        <v>172656573.75</v>
      </c>
      <c r="Q15" s="23">
        <f t="shared" si="6"/>
        <v>-10091303.330000013</v>
      </c>
      <c r="R15" s="76">
        <f t="shared" si="7"/>
        <v>-5.844725810794682E-2</v>
      </c>
      <c r="S15" s="24">
        <f>SUM(S13:S14)</f>
        <v>1050035260</v>
      </c>
      <c r="T15" s="24">
        <f>SUM(T13:T14)</f>
        <v>1026854520.3150001</v>
      </c>
      <c r="U15" s="23">
        <f t="shared" si="8"/>
        <v>23180739.684999943</v>
      </c>
      <c r="V15" s="76">
        <f t="shared" si="9"/>
        <v>2.2574511994054358E-2</v>
      </c>
      <c r="W15" s="24">
        <f>SUM(W13:W14)</f>
        <v>2062793962.8150001</v>
      </c>
      <c r="X15" s="23">
        <f t="shared" si="10"/>
        <v>-1012758702.8150001</v>
      </c>
      <c r="Y15" s="75">
        <f t="shared" si="11"/>
        <v>-0.49096454666414419</v>
      </c>
      <c r="Z15" s="27">
        <f>SUM(Z13:Z14)</f>
        <v>162565270.41999999</v>
      </c>
      <c r="AA15" s="26">
        <f>SUM(AA13:AA14)</f>
        <v>172656573.75</v>
      </c>
      <c r="AB15" s="23">
        <f t="shared" si="12"/>
        <v>-10091303.330000013</v>
      </c>
      <c r="AC15" s="76">
        <f t="shared" si="13"/>
        <v>-5.844725810794682E-2</v>
      </c>
      <c r="AD15" s="24">
        <f>SUM(AD13:AD14)</f>
        <v>1050035260</v>
      </c>
      <c r="AE15" s="24">
        <f>SUM(AE13:AE14)</f>
        <v>1026854520.3150001</v>
      </c>
      <c r="AF15" s="23">
        <f t="shared" si="14"/>
        <v>23180739.684999943</v>
      </c>
      <c r="AG15" s="76">
        <f t="shared" si="15"/>
        <v>2.2574511994054358E-2</v>
      </c>
      <c r="AH15" s="24">
        <f>SUM(AH13:AH14)</f>
        <v>2062793962.8150001</v>
      </c>
      <c r="AI15" s="23">
        <f t="shared" si="16"/>
        <v>-1012758702.8150001</v>
      </c>
      <c r="AJ15" s="75">
        <f t="shared" si="17"/>
        <v>-0.49096454666414419</v>
      </c>
      <c r="AK15" s="27">
        <f>SUM(AK13:AK14)</f>
        <v>162565270.41999999</v>
      </c>
      <c r="AL15" s="26">
        <f>SUM(AL13:AL14)</f>
        <v>172656573.75</v>
      </c>
      <c r="AM15" s="23">
        <f t="shared" si="18"/>
        <v>-10091303.330000013</v>
      </c>
      <c r="AN15" s="76">
        <f t="shared" si="19"/>
        <v>-5.844725810794682E-2</v>
      </c>
      <c r="AO15" s="24">
        <f>SUM(AO13:AO14)</f>
        <v>1050035260</v>
      </c>
      <c r="AP15" s="24">
        <f>SUM(AP13:AP14)</f>
        <v>1026854520.3150001</v>
      </c>
      <c r="AQ15" s="23">
        <f t="shared" si="20"/>
        <v>23180739.684999943</v>
      </c>
      <c r="AR15" s="76">
        <f t="shared" si="21"/>
        <v>2.2574511994054358E-2</v>
      </c>
      <c r="AS15" s="24">
        <f>SUM(AS13:AS14)</f>
        <v>2062793962.8150001</v>
      </c>
      <c r="AT15" s="23">
        <f t="shared" si="22"/>
        <v>-1012758702.8150001</v>
      </c>
      <c r="AU15" s="75">
        <f t="shared" si="23"/>
        <v>-0.49096454666414419</v>
      </c>
      <c r="AV15" s="27">
        <f>SUM(AV13:AV14)</f>
        <v>162565270.41999999</v>
      </c>
      <c r="AW15" s="26">
        <f>SUM(AW13:AW14)</f>
        <v>172656573.75</v>
      </c>
      <c r="AX15" s="23">
        <f t="shared" si="24"/>
        <v>-10091303.330000013</v>
      </c>
      <c r="AY15" s="76">
        <f t="shared" si="25"/>
        <v>-5.844725810794682E-2</v>
      </c>
      <c r="AZ15" s="24">
        <f>SUM(AZ13:AZ14)</f>
        <v>1050035260</v>
      </c>
      <c r="BA15" s="24">
        <f>SUM(BA13:BA14)</f>
        <v>1026854520.3150001</v>
      </c>
      <c r="BB15" s="23">
        <f t="shared" si="26"/>
        <v>23180739.684999943</v>
      </c>
      <c r="BC15" s="76">
        <f t="shared" si="27"/>
        <v>2.2574511994054358E-2</v>
      </c>
      <c r="BD15" s="24">
        <f>SUM(BD13:BD14)</f>
        <v>2062793962.8150001</v>
      </c>
      <c r="BE15" s="23">
        <f t="shared" si="28"/>
        <v>-1012758702.8150001</v>
      </c>
      <c r="BF15" s="75">
        <f t="shared" si="29"/>
        <v>-0.49096454666414419</v>
      </c>
      <c r="BG15" s="27">
        <f>SUM(BG13:BG14)</f>
        <v>162565270.41999999</v>
      </c>
      <c r="BH15" s="26">
        <f>SUM(BH13:BH14)</f>
        <v>172656573.75</v>
      </c>
      <c r="BI15" s="23">
        <f t="shared" si="30"/>
        <v>-10091303.330000013</v>
      </c>
      <c r="BJ15" s="76">
        <f t="shared" si="31"/>
        <v>-5.844725810794682E-2</v>
      </c>
      <c r="BK15" s="24">
        <f>SUM(BK13:BK14)</f>
        <v>1050035260</v>
      </c>
      <c r="BL15" s="24">
        <f>SUM(BL13:BL14)</f>
        <v>1026854520.3150001</v>
      </c>
      <c r="BM15" s="23">
        <f t="shared" si="32"/>
        <v>23180739.684999943</v>
      </c>
      <c r="BN15" s="76">
        <f t="shared" si="33"/>
        <v>2.2574511994054358E-2</v>
      </c>
      <c r="BO15" s="24">
        <f>SUM(BO13:BO14)</f>
        <v>2062793962.8150001</v>
      </c>
      <c r="BP15" s="23">
        <f t="shared" si="34"/>
        <v>-1012758702.8150001</v>
      </c>
      <c r="BQ15" s="75">
        <f t="shared" si="35"/>
        <v>-0.49096454666414419</v>
      </c>
      <c r="BR15" s="27">
        <f>SUM(BR13:BR14)</f>
        <v>162565270.41999999</v>
      </c>
      <c r="BS15" s="26">
        <f>SUM(BS13:BS14)</f>
        <v>172656573.75</v>
      </c>
      <c r="BT15" s="23">
        <f t="shared" si="36"/>
        <v>-10091303.330000013</v>
      </c>
      <c r="BU15" s="76">
        <f t="shared" si="37"/>
        <v>-5.844725810794682E-2</v>
      </c>
      <c r="BV15" s="24">
        <f>SUM(BV13:BV14)</f>
        <v>1050035260</v>
      </c>
      <c r="BW15" s="24">
        <f>SUM(BW13:BW14)</f>
        <v>1026854520.3150001</v>
      </c>
      <c r="BX15" s="23">
        <f t="shared" si="38"/>
        <v>23180739.684999943</v>
      </c>
      <c r="BY15" s="76">
        <f t="shared" si="39"/>
        <v>2.2574511994054358E-2</v>
      </c>
      <c r="BZ15" s="24">
        <f>SUM(BZ13:BZ14)</f>
        <v>2062793962.8150001</v>
      </c>
      <c r="CA15" s="23">
        <f t="shared" si="40"/>
        <v>-1012758702.8150001</v>
      </c>
      <c r="CB15" s="75">
        <f t="shared" si="41"/>
        <v>-0.49096454666414419</v>
      </c>
      <c r="CC15" s="27">
        <f>SUM(CC13:CC14)</f>
        <v>162565270.41999999</v>
      </c>
      <c r="CD15" s="26">
        <f>SUM(CD13:CD14)</f>
        <v>172656573.75</v>
      </c>
      <c r="CE15" s="23">
        <f t="shared" si="42"/>
        <v>-10091303.330000013</v>
      </c>
      <c r="CF15" s="76">
        <f t="shared" si="43"/>
        <v>-5.844725810794682E-2</v>
      </c>
      <c r="CG15" s="24">
        <f>SUM(CG13:CG14)</f>
        <v>1050035260</v>
      </c>
      <c r="CH15" s="24">
        <f>SUM(CH13:CH14)</f>
        <v>1026854520.3150001</v>
      </c>
      <c r="CI15" s="23">
        <f t="shared" si="44"/>
        <v>23180739.684999943</v>
      </c>
      <c r="CJ15" s="76">
        <f t="shared" si="45"/>
        <v>2.2574511994054358E-2</v>
      </c>
      <c r="CK15" s="24">
        <f>SUM(CK13:CK14)</f>
        <v>2062793962.8150001</v>
      </c>
      <c r="CL15" s="23">
        <f t="shared" si="46"/>
        <v>-1012758702.8150001</v>
      </c>
      <c r="CM15" s="75">
        <f t="shared" si="47"/>
        <v>-0.49096454666414419</v>
      </c>
      <c r="CN15" s="27">
        <f>SUM(CN13:CN14)</f>
        <v>162565270.41999999</v>
      </c>
      <c r="CO15" s="26">
        <f>SUM(CO13:CO14)</f>
        <v>172656573.75</v>
      </c>
      <c r="CP15" s="23">
        <f t="shared" si="48"/>
        <v>-10091303.330000013</v>
      </c>
      <c r="CQ15" s="76">
        <f t="shared" si="49"/>
        <v>-5.844725810794682E-2</v>
      </c>
      <c r="CR15" s="24">
        <f>SUM(CR13:CR14)</f>
        <v>1050035260</v>
      </c>
      <c r="CS15" s="24">
        <f>SUM(CS13:CS14)</f>
        <v>1026854520.3150001</v>
      </c>
      <c r="CT15" s="23">
        <f t="shared" si="50"/>
        <v>23180739.684999943</v>
      </c>
      <c r="CU15" s="76">
        <f t="shared" si="51"/>
        <v>2.2574511994054358E-2</v>
      </c>
      <c r="CV15" s="24">
        <f>SUM(CV13:CV14)</f>
        <v>2062793962.8150001</v>
      </c>
      <c r="CW15" s="23">
        <f t="shared" si="52"/>
        <v>-1012758702.8150001</v>
      </c>
      <c r="CX15" s="75">
        <f t="shared" si="53"/>
        <v>-0.49096454666414419</v>
      </c>
      <c r="CY15" s="27">
        <f>SUM(CY13:CY14)</f>
        <v>162565270.41999999</v>
      </c>
      <c r="CZ15" s="26">
        <f>SUM(CZ13:CZ14)</f>
        <v>172656573.75</v>
      </c>
      <c r="DA15" s="23">
        <f t="shared" si="54"/>
        <v>-10091303.330000013</v>
      </c>
      <c r="DB15" s="76">
        <f t="shared" si="55"/>
        <v>-5.844725810794682E-2</v>
      </c>
      <c r="DC15" s="24">
        <f>SUM(DC13:DC14)</f>
        <v>1050035260</v>
      </c>
      <c r="DD15" s="24">
        <f>SUM(DD13:DD14)</f>
        <v>1026854520.3150001</v>
      </c>
      <c r="DE15" s="23">
        <f t="shared" si="56"/>
        <v>23180739.684999943</v>
      </c>
      <c r="DF15" s="76">
        <f t="shared" si="57"/>
        <v>2.2574511994054358E-2</v>
      </c>
      <c r="DG15" s="24">
        <f>SUM(DG13:DG14)</f>
        <v>2062793962.8150001</v>
      </c>
      <c r="DH15" s="23">
        <f t="shared" si="58"/>
        <v>-1012758702.8150001</v>
      </c>
      <c r="DI15" s="75">
        <f t="shared" si="59"/>
        <v>-0.49096454666414419</v>
      </c>
    </row>
    <row r="16" spans="1:113" outlineLevel="3" x14ac:dyDescent="0.2">
      <c r="A16" s="54"/>
      <c r="B16" s="57" t="s">
        <v>122</v>
      </c>
      <c r="C16" s="56" t="s">
        <v>121</v>
      </c>
      <c r="D16" s="41">
        <v>44268446.450000003</v>
      </c>
      <c r="E16" s="40">
        <v>41309276.698853597</v>
      </c>
      <c r="F16" s="32">
        <f t="shared" si="0"/>
        <v>2959169.7511464059</v>
      </c>
      <c r="G16" s="78">
        <f t="shared" si="1"/>
        <v>7.1634508943811293E-2</v>
      </c>
      <c r="H16" s="39">
        <v>416503908.48000002</v>
      </c>
      <c r="I16" s="39">
        <v>247877363.72588509</v>
      </c>
      <c r="J16" s="32">
        <f t="shared" si="2"/>
        <v>168626544.75411493</v>
      </c>
      <c r="K16" s="78">
        <f t="shared" si="3"/>
        <v>0.68028214524901265</v>
      </c>
      <c r="L16" s="39">
        <v>495733023.91900676</v>
      </c>
      <c r="M16" s="32">
        <f t="shared" si="4"/>
        <v>-79229115.439006746</v>
      </c>
      <c r="N16" s="77">
        <f t="shared" si="5"/>
        <v>-0.15982214542146633</v>
      </c>
      <c r="O16" s="41">
        <v>44268446.450000003</v>
      </c>
      <c r="P16" s="40">
        <v>41309276.698853597</v>
      </c>
      <c r="Q16" s="32">
        <f t="shared" si="6"/>
        <v>2959169.7511464059</v>
      </c>
      <c r="R16" s="78">
        <f t="shared" si="7"/>
        <v>7.1634508943811293E-2</v>
      </c>
      <c r="S16" s="39">
        <v>416503908.48000002</v>
      </c>
      <c r="T16" s="39">
        <v>247877363.72588509</v>
      </c>
      <c r="U16" s="32">
        <f t="shared" si="8"/>
        <v>168626544.75411493</v>
      </c>
      <c r="V16" s="78">
        <f t="shared" si="9"/>
        <v>0.68028214524901265</v>
      </c>
      <c r="W16" s="39">
        <v>495733023.91900676</v>
      </c>
      <c r="X16" s="32">
        <f t="shared" si="10"/>
        <v>-79229115.439006746</v>
      </c>
      <c r="Y16" s="77">
        <f t="shared" si="11"/>
        <v>-0.15982214542146633</v>
      </c>
      <c r="Z16" s="41">
        <v>44268446.450000003</v>
      </c>
      <c r="AA16" s="40">
        <v>41309276.698853597</v>
      </c>
      <c r="AB16" s="32">
        <f t="shared" si="12"/>
        <v>2959169.7511464059</v>
      </c>
      <c r="AC16" s="78">
        <f t="shared" si="13"/>
        <v>7.1634508943811293E-2</v>
      </c>
      <c r="AD16" s="39">
        <v>416503908.48000002</v>
      </c>
      <c r="AE16" s="39">
        <v>247877363.72588509</v>
      </c>
      <c r="AF16" s="32">
        <f t="shared" si="14"/>
        <v>168626544.75411493</v>
      </c>
      <c r="AG16" s="78">
        <f t="shared" si="15"/>
        <v>0.68028214524901265</v>
      </c>
      <c r="AH16" s="39">
        <v>495733023.91900676</v>
      </c>
      <c r="AI16" s="32">
        <f t="shared" si="16"/>
        <v>-79229115.439006746</v>
      </c>
      <c r="AJ16" s="77">
        <f t="shared" si="17"/>
        <v>-0.15982214542146633</v>
      </c>
      <c r="AK16" s="41">
        <v>44268446.450000003</v>
      </c>
      <c r="AL16" s="40">
        <v>41309276.698853597</v>
      </c>
      <c r="AM16" s="32">
        <f t="shared" si="18"/>
        <v>2959169.7511464059</v>
      </c>
      <c r="AN16" s="78">
        <f t="shared" si="19"/>
        <v>7.1634508943811293E-2</v>
      </c>
      <c r="AO16" s="39">
        <v>416503908.48000002</v>
      </c>
      <c r="AP16" s="39">
        <v>247877363.72588509</v>
      </c>
      <c r="AQ16" s="32">
        <f t="shared" si="20"/>
        <v>168626544.75411493</v>
      </c>
      <c r="AR16" s="78">
        <f t="shared" si="21"/>
        <v>0.68028214524901265</v>
      </c>
      <c r="AS16" s="39">
        <v>495733023.91900676</v>
      </c>
      <c r="AT16" s="32">
        <f t="shared" si="22"/>
        <v>-79229115.439006746</v>
      </c>
      <c r="AU16" s="77">
        <f t="shared" si="23"/>
        <v>-0.15982214542146633</v>
      </c>
      <c r="AV16" s="41">
        <v>44268446.450000003</v>
      </c>
      <c r="AW16" s="40">
        <v>41309276.698853597</v>
      </c>
      <c r="AX16" s="32">
        <f t="shared" si="24"/>
        <v>2959169.7511464059</v>
      </c>
      <c r="AY16" s="78">
        <f t="shared" si="25"/>
        <v>7.1634508943811293E-2</v>
      </c>
      <c r="AZ16" s="39">
        <v>416503908.48000002</v>
      </c>
      <c r="BA16" s="39">
        <v>247877363.72588509</v>
      </c>
      <c r="BB16" s="32">
        <f t="shared" si="26"/>
        <v>168626544.75411493</v>
      </c>
      <c r="BC16" s="78">
        <f t="shared" si="27"/>
        <v>0.68028214524901265</v>
      </c>
      <c r="BD16" s="39">
        <v>495733023.91900676</v>
      </c>
      <c r="BE16" s="32">
        <f t="shared" si="28"/>
        <v>-79229115.439006746</v>
      </c>
      <c r="BF16" s="77">
        <f t="shared" si="29"/>
        <v>-0.15982214542146633</v>
      </c>
      <c r="BG16" s="41">
        <v>44268446.450000003</v>
      </c>
      <c r="BH16" s="40">
        <v>41309276.698853597</v>
      </c>
      <c r="BI16" s="32">
        <f t="shared" si="30"/>
        <v>2959169.7511464059</v>
      </c>
      <c r="BJ16" s="78">
        <f t="shared" si="31"/>
        <v>7.1634508943811293E-2</v>
      </c>
      <c r="BK16" s="39">
        <v>416503908.48000002</v>
      </c>
      <c r="BL16" s="39">
        <v>247877363.72588509</v>
      </c>
      <c r="BM16" s="32">
        <f t="shared" si="32"/>
        <v>168626544.75411493</v>
      </c>
      <c r="BN16" s="78">
        <f t="shared" si="33"/>
        <v>0.68028214524901265</v>
      </c>
      <c r="BO16" s="39">
        <v>495733023.91900676</v>
      </c>
      <c r="BP16" s="32">
        <f t="shared" si="34"/>
        <v>-79229115.439006746</v>
      </c>
      <c r="BQ16" s="77">
        <f t="shared" si="35"/>
        <v>-0.15982214542146633</v>
      </c>
      <c r="BR16" s="41">
        <v>44268446.450000003</v>
      </c>
      <c r="BS16" s="40">
        <v>41309276.698853597</v>
      </c>
      <c r="BT16" s="32">
        <f t="shared" si="36"/>
        <v>2959169.7511464059</v>
      </c>
      <c r="BU16" s="78">
        <f t="shared" si="37"/>
        <v>7.1634508943811293E-2</v>
      </c>
      <c r="BV16" s="39">
        <v>416503908.48000002</v>
      </c>
      <c r="BW16" s="39">
        <v>247877363.72588509</v>
      </c>
      <c r="BX16" s="32">
        <f t="shared" si="38"/>
        <v>168626544.75411493</v>
      </c>
      <c r="BY16" s="78">
        <f t="shared" si="39"/>
        <v>0.68028214524901265</v>
      </c>
      <c r="BZ16" s="39">
        <v>495733023.91900676</v>
      </c>
      <c r="CA16" s="32">
        <f t="shared" si="40"/>
        <v>-79229115.439006746</v>
      </c>
      <c r="CB16" s="77">
        <f t="shared" si="41"/>
        <v>-0.15982214542146633</v>
      </c>
      <c r="CC16" s="41">
        <v>44268446.450000003</v>
      </c>
      <c r="CD16" s="40">
        <v>41309276.698853597</v>
      </c>
      <c r="CE16" s="32">
        <f t="shared" si="42"/>
        <v>2959169.7511464059</v>
      </c>
      <c r="CF16" s="78">
        <f t="shared" si="43"/>
        <v>7.1634508943811293E-2</v>
      </c>
      <c r="CG16" s="39">
        <v>416503908.48000002</v>
      </c>
      <c r="CH16" s="39">
        <v>247877363.72588509</v>
      </c>
      <c r="CI16" s="32">
        <f t="shared" si="44"/>
        <v>168626544.75411493</v>
      </c>
      <c r="CJ16" s="78">
        <f t="shared" si="45"/>
        <v>0.68028214524901265</v>
      </c>
      <c r="CK16" s="39">
        <v>495733023.91900676</v>
      </c>
      <c r="CL16" s="32">
        <f t="shared" si="46"/>
        <v>-79229115.439006746</v>
      </c>
      <c r="CM16" s="77">
        <f t="shared" si="47"/>
        <v>-0.15982214542146633</v>
      </c>
      <c r="CN16" s="41">
        <v>44268446.450000003</v>
      </c>
      <c r="CO16" s="40">
        <v>41309276.698853597</v>
      </c>
      <c r="CP16" s="32">
        <f t="shared" si="48"/>
        <v>2959169.7511464059</v>
      </c>
      <c r="CQ16" s="78">
        <f t="shared" si="49"/>
        <v>7.1634508943811293E-2</v>
      </c>
      <c r="CR16" s="39">
        <v>416503908.48000002</v>
      </c>
      <c r="CS16" s="39">
        <v>247877363.72588509</v>
      </c>
      <c r="CT16" s="32">
        <f t="shared" si="50"/>
        <v>168626544.75411493</v>
      </c>
      <c r="CU16" s="78">
        <f t="shared" si="51"/>
        <v>0.68028214524901265</v>
      </c>
      <c r="CV16" s="39">
        <v>495733023.91900676</v>
      </c>
      <c r="CW16" s="32">
        <f t="shared" si="52"/>
        <v>-79229115.439006746</v>
      </c>
      <c r="CX16" s="77">
        <f t="shared" si="53"/>
        <v>-0.15982214542146633</v>
      </c>
      <c r="CY16" s="41">
        <v>44268446.450000003</v>
      </c>
      <c r="CZ16" s="40">
        <v>41309276.698853597</v>
      </c>
      <c r="DA16" s="32">
        <f t="shared" si="54"/>
        <v>2959169.7511464059</v>
      </c>
      <c r="DB16" s="78">
        <f t="shared" si="55"/>
        <v>7.1634508943811293E-2</v>
      </c>
      <c r="DC16" s="39">
        <v>416503908.48000002</v>
      </c>
      <c r="DD16" s="39">
        <v>247877363.72588509</v>
      </c>
      <c r="DE16" s="32">
        <f t="shared" si="56"/>
        <v>168626544.75411493</v>
      </c>
      <c r="DF16" s="78">
        <f t="shared" si="57"/>
        <v>0.68028214524901265</v>
      </c>
      <c r="DG16" s="39">
        <v>495733023.91900676</v>
      </c>
      <c r="DH16" s="32">
        <f t="shared" si="58"/>
        <v>-79229115.439006746</v>
      </c>
      <c r="DI16" s="77">
        <f t="shared" si="59"/>
        <v>-0.15982214542146633</v>
      </c>
    </row>
    <row r="17" spans="1:113" outlineLevel="3" x14ac:dyDescent="0.2">
      <c r="A17" s="54"/>
      <c r="B17" s="38" t="s">
        <v>120</v>
      </c>
      <c r="C17" s="56" t="s">
        <v>119</v>
      </c>
      <c r="D17" s="41">
        <v>6226136.4199999999</v>
      </c>
      <c r="E17" s="40">
        <v>7642216.1892879102</v>
      </c>
      <c r="F17" s="32">
        <f t="shared" si="0"/>
        <v>-1416079.7692879103</v>
      </c>
      <c r="G17" s="78">
        <f t="shared" si="1"/>
        <v>-0.18529700471871347</v>
      </c>
      <c r="H17" s="39">
        <v>69999585.459999993</v>
      </c>
      <c r="I17" s="39">
        <v>45857312.289288707</v>
      </c>
      <c r="J17" s="32">
        <f t="shared" si="2"/>
        <v>24142273.170711286</v>
      </c>
      <c r="K17" s="78">
        <f t="shared" si="3"/>
        <v>0.5264650710100689</v>
      </c>
      <c r="L17" s="39">
        <v>91710609.42501618</v>
      </c>
      <c r="M17" s="32">
        <f t="shared" si="4"/>
        <v>-21711023.965016186</v>
      </c>
      <c r="N17" s="77">
        <f t="shared" si="5"/>
        <v>-0.23673404964959271</v>
      </c>
      <c r="O17" s="41">
        <v>6226136.4199999999</v>
      </c>
      <c r="P17" s="40">
        <v>7642216.1892879102</v>
      </c>
      <c r="Q17" s="32">
        <f t="shared" si="6"/>
        <v>-1416079.7692879103</v>
      </c>
      <c r="R17" s="78">
        <f t="shared" si="7"/>
        <v>-0.18529700471871347</v>
      </c>
      <c r="S17" s="39">
        <v>69999585.459999993</v>
      </c>
      <c r="T17" s="39">
        <v>45857312.289288707</v>
      </c>
      <c r="U17" s="32">
        <f t="shared" si="8"/>
        <v>24142273.170711286</v>
      </c>
      <c r="V17" s="78">
        <f t="shared" si="9"/>
        <v>0.5264650710100689</v>
      </c>
      <c r="W17" s="39">
        <v>91710609.42501618</v>
      </c>
      <c r="X17" s="32">
        <f t="shared" si="10"/>
        <v>-21711023.965016186</v>
      </c>
      <c r="Y17" s="77">
        <f t="shared" si="11"/>
        <v>-0.23673404964959271</v>
      </c>
      <c r="Z17" s="41">
        <v>6226136.4199999999</v>
      </c>
      <c r="AA17" s="40">
        <v>7642216.1892879102</v>
      </c>
      <c r="AB17" s="32">
        <f t="shared" si="12"/>
        <v>-1416079.7692879103</v>
      </c>
      <c r="AC17" s="78">
        <f t="shared" si="13"/>
        <v>-0.18529700471871347</v>
      </c>
      <c r="AD17" s="39">
        <v>69999585.459999993</v>
      </c>
      <c r="AE17" s="39">
        <v>45857312.289288707</v>
      </c>
      <c r="AF17" s="32">
        <f t="shared" si="14"/>
        <v>24142273.170711286</v>
      </c>
      <c r="AG17" s="78">
        <f t="shared" si="15"/>
        <v>0.5264650710100689</v>
      </c>
      <c r="AH17" s="39">
        <v>91710609.42501618</v>
      </c>
      <c r="AI17" s="32">
        <f t="shared" si="16"/>
        <v>-21711023.965016186</v>
      </c>
      <c r="AJ17" s="77">
        <f t="shared" si="17"/>
        <v>-0.23673404964959271</v>
      </c>
      <c r="AK17" s="41">
        <v>6226136.4199999999</v>
      </c>
      <c r="AL17" s="40">
        <v>7642216.1892879102</v>
      </c>
      <c r="AM17" s="32">
        <f t="shared" si="18"/>
        <v>-1416079.7692879103</v>
      </c>
      <c r="AN17" s="78">
        <f t="shared" si="19"/>
        <v>-0.18529700471871347</v>
      </c>
      <c r="AO17" s="39">
        <v>69999585.459999993</v>
      </c>
      <c r="AP17" s="39">
        <v>45857312.289288707</v>
      </c>
      <c r="AQ17" s="32">
        <f t="shared" si="20"/>
        <v>24142273.170711286</v>
      </c>
      <c r="AR17" s="78">
        <f t="shared" si="21"/>
        <v>0.5264650710100689</v>
      </c>
      <c r="AS17" s="39">
        <v>91710609.42501618</v>
      </c>
      <c r="AT17" s="32">
        <f t="shared" si="22"/>
        <v>-21711023.965016186</v>
      </c>
      <c r="AU17" s="77">
        <f t="shared" si="23"/>
        <v>-0.23673404964959271</v>
      </c>
      <c r="AV17" s="41">
        <v>6226136.4199999999</v>
      </c>
      <c r="AW17" s="40">
        <v>7642216.1892879102</v>
      </c>
      <c r="AX17" s="32">
        <f t="shared" si="24"/>
        <v>-1416079.7692879103</v>
      </c>
      <c r="AY17" s="78">
        <f t="shared" si="25"/>
        <v>-0.18529700471871347</v>
      </c>
      <c r="AZ17" s="39">
        <v>69999585.459999993</v>
      </c>
      <c r="BA17" s="39">
        <v>45857312.289288707</v>
      </c>
      <c r="BB17" s="32">
        <f t="shared" si="26"/>
        <v>24142273.170711286</v>
      </c>
      <c r="BC17" s="78">
        <f t="shared" si="27"/>
        <v>0.5264650710100689</v>
      </c>
      <c r="BD17" s="39">
        <v>91710609.42501618</v>
      </c>
      <c r="BE17" s="32">
        <f t="shared" si="28"/>
        <v>-21711023.965016186</v>
      </c>
      <c r="BF17" s="77">
        <f t="shared" si="29"/>
        <v>-0.23673404964959271</v>
      </c>
      <c r="BG17" s="41">
        <v>6226136.4199999999</v>
      </c>
      <c r="BH17" s="40">
        <v>7642216.1892879102</v>
      </c>
      <c r="BI17" s="32">
        <f t="shared" si="30"/>
        <v>-1416079.7692879103</v>
      </c>
      <c r="BJ17" s="78">
        <f t="shared" si="31"/>
        <v>-0.18529700471871347</v>
      </c>
      <c r="BK17" s="39">
        <v>69999585.459999993</v>
      </c>
      <c r="BL17" s="39">
        <v>45857312.289288707</v>
      </c>
      <c r="BM17" s="32">
        <f t="shared" si="32"/>
        <v>24142273.170711286</v>
      </c>
      <c r="BN17" s="78">
        <f t="shared" si="33"/>
        <v>0.5264650710100689</v>
      </c>
      <c r="BO17" s="39">
        <v>91710609.42501618</v>
      </c>
      <c r="BP17" s="32">
        <f t="shared" si="34"/>
        <v>-21711023.965016186</v>
      </c>
      <c r="BQ17" s="77">
        <f t="shared" si="35"/>
        <v>-0.23673404964959271</v>
      </c>
      <c r="BR17" s="41">
        <v>6226136.4199999999</v>
      </c>
      <c r="BS17" s="40">
        <v>7642216.1892879102</v>
      </c>
      <c r="BT17" s="32">
        <f t="shared" si="36"/>
        <v>-1416079.7692879103</v>
      </c>
      <c r="BU17" s="78">
        <f t="shared" si="37"/>
        <v>-0.18529700471871347</v>
      </c>
      <c r="BV17" s="39">
        <v>69999585.459999993</v>
      </c>
      <c r="BW17" s="39">
        <v>45857312.289288707</v>
      </c>
      <c r="BX17" s="32">
        <f t="shared" si="38"/>
        <v>24142273.170711286</v>
      </c>
      <c r="BY17" s="78">
        <f t="shared" si="39"/>
        <v>0.5264650710100689</v>
      </c>
      <c r="BZ17" s="39">
        <v>91710609.42501618</v>
      </c>
      <c r="CA17" s="32">
        <f t="shared" si="40"/>
        <v>-21711023.965016186</v>
      </c>
      <c r="CB17" s="77">
        <f t="shared" si="41"/>
        <v>-0.23673404964959271</v>
      </c>
      <c r="CC17" s="41">
        <v>6226136.4199999999</v>
      </c>
      <c r="CD17" s="40">
        <v>7642216.1892879102</v>
      </c>
      <c r="CE17" s="32">
        <f t="shared" si="42"/>
        <v>-1416079.7692879103</v>
      </c>
      <c r="CF17" s="78">
        <f t="shared" si="43"/>
        <v>-0.18529700471871347</v>
      </c>
      <c r="CG17" s="39">
        <v>69999585.459999993</v>
      </c>
      <c r="CH17" s="39">
        <v>45857312.289288707</v>
      </c>
      <c r="CI17" s="32">
        <f t="shared" si="44"/>
        <v>24142273.170711286</v>
      </c>
      <c r="CJ17" s="78">
        <f t="shared" si="45"/>
        <v>0.5264650710100689</v>
      </c>
      <c r="CK17" s="39">
        <v>91710609.42501618</v>
      </c>
      <c r="CL17" s="32">
        <f t="shared" si="46"/>
        <v>-21711023.965016186</v>
      </c>
      <c r="CM17" s="77">
        <f t="shared" si="47"/>
        <v>-0.23673404964959271</v>
      </c>
      <c r="CN17" s="41">
        <v>6226136.4199999999</v>
      </c>
      <c r="CO17" s="40">
        <v>7642216.1892879102</v>
      </c>
      <c r="CP17" s="32">
        <f t="shared" si="48"/>
        <v>-1416079.7692879103</v>
      </c>
      <c r="CQ17" s="78">
        <f t="shared" si="49"/>
        <v>-0.18529700471871347</v>
      </c>
      <c r="CR17" s="39">
        <v>69999585.459999993</v>
      </c>
      <c r="CS17" s="39">
        <v>45857312.289288707</v>
      </c>
      <c r="CT17" s="32">
        <f t="shared" si="50"/>
        <v>24142273.170711286</v>
      </c>
      <c r="CU17" s="78">
        <f t="shared" si="51"/>
        <v>0.5264650710100689</v>
      </c>
      <c r="CV17" s="39">
        <v>91710609.42501618</v>
      </c>
      <c r="CW17" s="32">
        <f t="shared" si="52"/>
        <v>-21711023.965016186</v>
      </c>
      <c r="CX17" s="77">
        <f t="shared" si="53"/>
        <v>-0.23673404964959271</v>
      </c>
      <c r="CY17" s="41">
        <v>6226136.4199999999</v>
      </c>
      <c r="CZ17" s="40">
        <v>7642216.1892879102</v>
      </c>
      <c r="DA17" s="32">
        <f t="shared" si="54"/>
        <v>-1416079.7692879103</v>
      </c>
      <c r="DB17" s="78">
        <f t="shared" si="55"/>
        <v>-0.18529700471871347</v>
      </c>
      <c r="DC17" s="39">
        <v>69999585.459999993</v>
      </c>
      <c r="DD17" s="39">
        <v>45857312.289288707</v>
      </c>
      <c r="DE17" s="32">
        <f t="shared" si="56"/>
        <v>24142273.170711286</v>
      </c>
      <c r="DF17" s="78">
        <f t="shared" si="57"/>
        <v>0.5264650710100689</v>
      </c>
      <c r="DG17" s="39">
        <v>91710609.42501618</v>
      </c>
      <c r="DH17" s="32">
        <f t="shared" si="58"/>
        <v>-21711023.965016186</v>
      </c>
      <c r="DI17" s="77">
        <f t="shared" si="59"/>
        <v>-0.23673404964959271</v>
      </c>
    </row>
    <row r="18" spans="1:113" s="6" customFormat="1" outlineLevel="2" x14ac:dyDescent="0.2">
      <c r="A18" s="30"/>
      <c r="B18" s="29" t="s">
        <v>118</v>
      </c>
      <c r="C18" s="52" t="s">
        <v>117</v>
      </c>
      <c r="D18" s="27">
        <f>SUM(D16:D17)</f>
        <v>50494582.870000005</v>
      </c>
      <c r="E18" s="26">
        <f>SUM(E16:E17)</f>
        <v>48951492.888141505</v>
      </c>
      <c r="F18" s="23">
        <f t="shared" si="0"/>
        <v>1543089.9818584993</v>
      </c>
      <c r="G18" s="76">
        <f t="shared" si="1"/>
        <v>3.1522838034472089E-2</v>
      </c>
      <c r="H18" s="24">
        <f>SUM(H16:H17)</f>
        <v>486503493.94</v>
      </c>
      <c r="I18" s="24">
        <f>SUM(I16:I17)</f>
        <v>293734676.01517379</v>
      </c>
      <c r="J18" s="23">
        <f t="shared" si="2"/>
        <v>192768817.9248262</v>
      </c>
      <c r="K18" s="76">
        <f t="shared" si="3"/>
        <v>0.6562685091863929</v>
      </c>
      <c r="L18" s="24">
        <f>SUM(L16:L17)</f>
        <v>587443633.34402299</v>
      </c>
      <c r="M18" s="23">
        <f t="shared" si="4"/>
        <v>-100940139.40402299</v>
      </c>
      <c r="N18" s="75">
        <f t="shared" si="5"/>
        <v>-0.17182948911952833</v>
      </c>
      <c r="O18" s="27">
        <f>SUM(O16:O17)</f>
        <v>50494582.870000005</v>
      </c>
      <c r="P18" s="26">
        <f>SUM(P16:P17)</f>
        <v>48951492.888141505</v>
      </c>
      <c r="Q18" s="23">
        <f t="shared" si="6"/>
        <v>1543089.9818584993</v>
      </c>
      <c r="R18" s="76">
        <f t="shared" si="7"/>
        <v>3.1522838034472089E-2</v>
      </c>
      <c r="S18" s="24">
        <f>SUM(S16:S17)</f>
        <v>486503493.94</v>
      </c>
      <c r="T18" s="24">
        <f>SUM(T16:T17)</f>
        <v>293734676.01517379</v>
      </c>
      <c r="U18" s="23">
        <f t="shared" si="8"/>
        <v>192768817.9248262</v>
      </c>
      <c r="V18" s="76">
        <f t="shared" si="9"/>
        <v>0.6562685091863929</v>
      </c>
      <c r="W18" s="24">
        <f>SUM(W16:W17)</f>
        <v>587443633.34402299</v>
      </c>
      <c r="X18" s="23">
        <f t="shared" si="10"/>
        <v>-100940139.40402299</v>
      </c>
      <c r="Y18" s="75">
        <f t="shared" si="11"/>
        <v>-0.17182948911952833</v>
      </c>
      <c r="Z18" s="27">
        <f>SUM(Z16:Z17)</f>
        <v>50494582.870000005</v>
      </c>
      <c r="AA18" s="26">
        <f>SUM(AA16:AA17)</f>
        <v>48951492.888141505</v>
      </c>
      <c r="AB18" s="23">
        <f t="shared" si="12"/>
        <v>1543089.9818584993</v>
      </c>
      <c r="AC18" s="76">
        <f t="shared" si="13"/>
        <v>3.1522838034472089E-2</v>
      </c>
      <c r="AD18" s="24">
        <f>SUM(AD16:AD17)</f>
        <v>486503493.94</v>
      </c>
      <c r="AE18" s="24">
        <f>SUM(AE16:AE17)</f>
        <v>293734676.01517379</v>
      </c>
      <c r="AF18" s="23">
        <f t="shared" si="14"/>
        <v>192768817.9248262</v>
      </c>
      <c r="AG18" s="76">
        <f t="shared" si="15"/>
        <v>0.6562685091863929</v>
      </c>
      <c r="AH18" s="24">
        <f>SUM(AH16:AH17)</f>
        <v>587443633.34402299</v>
      </c>
      <c r="AI18" s="23">
        <f t="shared" si="16"/>
        <v>-100940139.40402299</v>
      </c>
      <c r="AJ18" s="75">
        <f t="shared" si="17"/>
        <v>-0.17182948911952833</v>
      </c>
      <c r="AK18" s="27">
        <f>SUM(AK16:AK17)</f>
        <v>50494582.870000005</v>
      </c>
      <c r="AL18" s="26">
        <f>SUM(AL16:AL17)</f>
        <v>48951492.888141505</v>
      </c>
      <c r="AM18" s="23">
        <f t="shared" si="18"/>
        <v>1543089.9818584993</v>
      </c>
      <c r="AN18" s="76">
        <f t="shared" si="19"/>
        <v>3.1522838034472089E-2</v>
      </c>
      <c r="AO18" s="24">
        <f>SUM(AO16:AO17)</f>
        <v>486503493.94</v>
      </c>
      <c r="AP18" s="24">
        <f>SUM(AP16:AP17)</f>
        <v>293734676.01517379</v>
      </c>
      <c r="AQ18" s="23">
        <f t="shared" si="20"/>
        <v>192768817.9248262</v>
      </c>
      <c r="AR18" s="76">
        <f t="shared" si="21"/>
        <v>0.6562685091863929</v>
      </c>
      <c r="AS18" s="24">
        <f>SUM(AS16:AS17)</f>
        <v>587443633.34402299</v>
      </c>
      <c r="AT18" s="23">
        <f t="shared" si="22"/>
        <v>-100940139.40402299</v>
      </c>
      <c r="AU18" s="75">
        <f t="shared" si="23"/>
        <v>-0.17182948911952833</v>
      </c>
      <c r="AV18" s="27">
        <f>SUM(AV16:AV17)</f>
        <v>50494582.870000005</v>
      </c>
      <c r="AW18" s="26">
        <f>SUM(AW16:AW17)</f>
        <v>48951492.888141505</v>
      </c>
      <c r="AX18" s="23">
        <f t="shared" si="24"/>
        <v>1543089.9818584993</v>
      </c>
      <c r="AY18" s="76">
        <f t="shared" si="25"/>
        <v>3.1522838034472089E-2</v>
      </c>
      <c r="AZ18" s="24">
        <f>SUM(AZ16:AZ17)</f>
        <v>486503493.94</v>
      </c>
      <c r="BA18" s="24">
        <f>SUM(BA16:BA17)</f>
        <v>293734676.01517379</v>
      </c>
      <c r="BB18" s="23">
        <f t="shared" si="26"/>
        <v>192768817.9248262</v>
      </c>
      <c r="BC18" s="76">
        <f t="shared" si="27"/>
        <v>0.6562685091863929</v>
      </c>
      <c r="BD18" s="24">
        <f>SUM(BD16:BD17)</f>
        <v>587443633.34402299</v>
      </c>
      <c r="BE18" s="23">
        <f t="shared" si="28"/>
        <v>-100940139.40402299</v>
      </c>
      <c r="BF18" s="75">
        <f t="shared" si="29"/>
        <v>-0.17182948911952833</v>
      </c>
      <c r="BG18" s="27">
        <f>SUM(BG16:BG17)</f>
        <v>50494582.870000005</v>
      </c>
      <c r="BH18" s="26">
        <f>SUM(BH16:BH17)</f>
        <v>48951492.888141505</v>
      </c>
      <c r="BI18" s="23">
        <f t="shared" si="30"/>
        <v>1543089.9818584993</v>
      </c>
      <c r="BJ18" s="76">
        <f t="shared" si="31"/>
        <v>3.1522838034472089E-2</v>
      </c>
      <c r="BK18" s="24">
        <f>SUM(BK16:BK17)</f>
        <v>486503493.94</v>
      </c>
      <c r="BL18" s="24">
        <f>SUM(BL16:BL17)</f>
        <v>293734676.01517379</v>
      </c>
      <c r="BM18" s="23">
        <f t="shared" si="32"/>
        <v>192768817.9248262</v>
      </c>
      <c r="BN18" s="76">
        <f t="shared" si="33"/>
        <v>0.6562685091863929</v>
      </c>
      <c r="BO18" s="24">
        <f>SUM(BO16:BO17)</f>
        <v>587443633.34402299</v>
      </c>
      <c r="BP18" s="23">
        <f t="shared" si="34"/>
        <v>-100940139.40402299</v>
      </c>
      <c r="BQ18" s="75">
        <f t="shared" si="35"/>
        <v>-0.17182948911952833</v>
      </c>
      <c r="BR18" s="27">
        <f>SUM(BR16:BR17)</f>
        <v>50494582.870000005</v>
      </c>
      <c r="BS18" s="26">
        <f>SUM(BS16:BS17)</f>
        <v>48951492.888141505</v>
      </c>
      <c r="BT18" s="23">
        <f t="shared" si="36"/>
        <v>1543089.9818584993</v>
      </c>
      <c r="BU18" s="76">
        <f t="shared" si="37"/>
        <v>3.1522838034472089E-2</v>
      </c>
      <c r="BV18" s="24">
        <f>SUM(BV16:BV17)</f>
        <v>486503493.94</v>
      </c>
      <c r="BW18" s="24">
        <f>SUM(BW16:BW17)</f>
        <v>293734676.01517379</v>
      </c>
      <c r="BX18" s="23">
        <f t="shared" si="38"/>
        <v>192768817.9248262</v>
      </c>
      <c r="BY18" s="76">
        <f t="shared" si="39"/>
        <v>0.6562685091863929</v>
      </c>
      <c r="BZ18" s="24">
        <f>SUM(BZ16:BZ17)</f>
        <v>587443633.34402299</v>
      </c>
      <c r="CA18" s="23">
        <f t="shared" si="40"/>
        <v>-100940139.40402299</v>
      </c>
      <c r="CB18" s="75">
        <f t="shared" si="41"/>
        <v>-0.17182948911952833</v>
      </c>
      <c r="CC18" s="27">
        <f>SUM(CC16:CC17)</f>
        <v>50494582.870000005</v>
      </c>
      <c r="CD18" s="26">
        <f>SUM(CD16:CD17)</f>
        <v>48951492.888141505</v>
      </c>
      <c r="CE18" s="23">
        <f t="shared" si="42"/>
        <v>1543089.9818584993</v>
      </c>
      <c r="CF18" s="76">
        <f t="shared" si="43"/>
        <v>3.1522838034472089E-2</v>
      </c>
      <c r="CG18" s="24">
        <f>SUM(CG16:CG17)</f>
        <v>486503493.94</v>
      </c>
      <c r="CH18" s="24">
        <f>SUM(CH16:CH17)</f>
        <v>293734676.01517379</v>
      </c>
      <c r="CI18" s="23">
        <f t="shared" si="44"/>
        <v>192768817.9248262</v>
      </c>
      <c r="CJ18" s="76">
        <f t="shared" si="45"/>
        <v>0.6562685091863929</v>
      </c>
      <c r="CK18" s="24">
        <f>SUM(CK16:CK17)</f>
        <v>587443633.34402299</v>
      </c>
      <c r="CL18" s="23">
        <f t="shared" si="46"/>
        <v>-100940139.40402299</v>
      </c>
      <c r="CM18" s="75">
        <f t="shared" si="47"/>
        <v>-0.17182948911952833</v>
      </c>
      <c r="CN18" s="27">
        <f>SUM(CN16:CN17)</f>
        <v>50494582.870000005</v>
      </c>
      <c r="CO18" s="26">
        <f>SUM(CO16:CO17)</f>
        <v>48951492.888141505</v>
      </c>
      <c r="CP18" s="23">
        <f t="shared" si="48"/>
        <v>1543089.9818584993</v>
      </c>
      <c r="CQ18" s="76">
        <f t="shared" si="49"/>
        <v>3.1522838034472089E-2</v>
      </c>
      <c r="CR18" s="24">
        <f>SUM(CR16:CR17)</f>
        <v>486503493.94</v>
      </c>
      <c r="CS18" s="24">
        <f>SUM(CS16:CS17)</f>
        <v>293734676.01517379</v>
      </c>
      <c r="CT18" s="23">
        <f t="shared" si="50"/>
        <v>192768817.9248262</v>
      </c>
      <c r="CU18" s="76">
        <f t="shared" si="51"/>
        <v>0.6562685091863929</v>
      </c>
      <c r="CV18" s="24">
        <f>SUM(CV16:CV17)</f>
        <v>587443633.34402299</v>
      </c>
      <c r="CW18" s="23">
        <f t="shared" si="52"/>
        <v>-100940139.40402299</v>
      </c>
      <c r="CX18" s="75">
        <f t="shared" si="53"/>
        <v>-0.17182948911952833</v>
      </c>
      <c r="CY18" s="27">
        <f>SUM(CY16:CY17)</f>
        <v>50494582.870000005</v>
      </c>
      <c r="CZ18" s="26">
        <f>SUM(CZ16:CZ17)</f>
        <v>48951492.888141505</v>
      </c>
      <c r="DA18" s="23">
        <f t="shared" si="54"/>
        <v>1543089.9818584993</v>
      </c>
      <c r="DB18" s="76">
        <f t="shared" si="55"/>
        <v>3.1522838034472089E-2</v>
      </c>
      <c r="DC18" s="24">
        <f>SUM(DC16:DC17)</f>
        <v>486503493.94</v>
      </c>
      <c r="DD18" s="24">
        <f>SUM(DD16:DD17)</f>
        <v>293734676.01517379</v>
      </c>
      <c r="DE18" s="23">
        <f t="shared" si="56"/>
        <v>192768817.9248262</v>
      </c>
      <c r="DF18" s="76">
        <f t="shared" si="57"/>
        <v>0.6562685091863929</v>
      </c>
      <c r="DG18" s="24">
        <f>SUM(DG16:DG17)</f>
        <v>587443633.34402299</v>
      </c>
      <c r="DH18" s="23">
        <f t="shared" si="58"/>
        <v>-100940139.40402299</v>
      </c>
      <c r="DI18" s="75">
        <f t="shared" si="59"/>
        <v>-0.17182948911952833</v>
      </c>
    </row>
    <row r="19" spans="1:113" outlineLevel="3" x14ac:dyDescent="0.2">
      <c r="A19" s="54"/>
      <c r="B19" s="38" t="s">
        <v>116</v>
      </c>
      <c r="C19" s="49" t="s">
        <v>115</v>
      </c>
      <c r="D19" s="41">
        <v>502299.88</v>
      </c>
      <c r="E19" s="40">
        <v>0</v>
      </c>
      <c r="F19" s="32">
        <f t="shared" si="0"/>
        <v>502299.88</v>
      </c>
      <c r="G19" s="78" t="str">
        <f t="shared" si="1"/>
        <v>-</v>
      </c>
      <c r="H19" s="39">
        <v>2428673.09</v>
      </c>
      <c r="I19" s="39">
        <v>0</v>
      </c>
      <c r="J19" s="32">
        <f t="shared" si="2"/>
        <v>2428673.09</v>
      </c>
      <c r="K19" s="78" t="str">
        <f t="shared" si="3"/>
        <v>-</v>
      </c>
      <c r="L19" s="39">
        <v>0</v>
      </c>
      <c r="M19" s="32">
        <f t="shared" si="4"/>
        <v>2428673.09</v>
      </c>
      <c r="N19" s="77" t="str">
        <f t="shared" si="5"/>
        <v>-</v>
      </c>
      <c r="O19" s="41">
        <v>502299.88</v>
      </c>
      <c r="P19" s="40">
        <v>0</v>
      </c>
      <c r="Q19" s="32">
        <f t="shared" si="6"/>
        <v>502299.88</v>
      </c>
      <c r="R19" s="78" t="str">
        <f t="shared" si="7"/>
        <v>-</v>
      </c>
      <c r="S19" s="39">
        <v>2428673.09</v>
      </c>
      <c r="T19" s="39">
        <v>0</v>
      </c>
      <c r="U19" s="32">
        <f t="shared" si="8"/>
        <v>2428673.09</v>
      </c>
      <c r="V19" s="78" t="str">
        <f t="shared" si="9"/>
        <v>-</v>
      </c>
      <c r="W19" s="39">
        <v>0</v>
      </c>
      <c r="X19" s="32">
        <f t="shared" si="10"/>
        <v>2428673.09</v>
      </c>
      <c r="Y19" s="77" t="str">
        <f t="shared" si="11"/>
        <v>-</v>
      </c>
      <c r="Z19" s="41">
        <v>502299.88</v>
      </c>
      <c r="AA19" s="40">
        <v>0</v>
      </c>
      <c r="AB19" s="32">
        <f t="shared" si="12"/>
        <v>502299.88</v>
      </c>
      <c r="AC19" s="78" t="str">
        <f t="shared" si="13"/>
        <v>-</v>
      </c>
      <c r="AD19" s="39">
        <v>2428673.09</v>
      </c>
      <c r="AE19" s="39">
        <v>0</v>
      </c>
      <c r="AF19" s="32">
        <f t="shared" si="14"/>
        <v>2428673.09</v>
      </c>
      <c r="AG19" s="78" t="str">
        <f t="shared" si="15"/>
        <v>-</v>
      </c>
      <c r="AH19" s="39">
        <v>0</v>
      </c>
      <c r="AI19" s="32">
        <f t="shared" si="16"/>
        <v>2428673.09</v>
      </c>
      <c r="AJ19" s="77" t="str">
        <f t="shared" si="17"/>
        <v>-</v>
      </c>
      <c r="AK19" s="41">
        <v>502299.88</v>
      </c>
      <c r="AL19" s="40">
        <v>0</v>
      </c>
      <c r="AM19" s="32">
        <f t="shared" si="18"/>
        <v>502299.88</v>
      </c>
      <c r="AN19" s="78" t="str">
        <f t="shared" si="19"/>
        <v>-</v>
      </c>
      <c r="AO19" s="39">
        <v>2428673.09</v>
      </c>
      <c r="AP19" s="39">
        <v>0</v>
      </c>
      <c r="AQ19" s="32">
        <f t="shared" si="20"/>
        <v>2428673.09</v>
      </c>
      <c r="AR19" s="78" t="str">
        <f t="shared" si="21"/>
        <v>-</v>
      </c>
      <c r="AS19" s="39">
        <v>0</v>
      </c>
      <c r="AT19" s="32">
        <f t="shared" si="22"/>
        <v>2428673.09</v>
      </c>
      <c r="AU19" s="77" t="str">
        <f t="shared" si="23"/>
        <v>-</v>
      </c>
      <c r="AV19" s="41">
        <v>502299.88</v>
      </c>
      <c r="AW19" s="40">
        <v>0</v>
      </c>
      <c r="AX19" s="32">
        <f t="shared" si="24"/>
        <v>502299.88</v>
      </c>
      <c r="AY19" s="78" t="str">
        <f t="shared" si="25"/>
        <v>-</v>
      </c>
      <c r="AZ19" s="39">
        <v>2428673.09</v>
      </c>
      <c r="BA19" s="39">
        <v>0</v>
      </c>
      <c r="BB19" s="32">
        <f t="shared" si="26"/>
        <v>2428673.09</v>
      </c>
      <c r="BC19" s="78" t="str">
        <f t="shared" si="27"/>
        <v>-</v>
      </c>
      <c r="BD19" s="39">
        <v>0</v>
      </c>
      <c r="BE19" s="32">
        <f t="shared" si="28"/>
        <v>2428673.09</v>
      </c>
      <c r="BF19" s="77" t="str">
        <f t="shared" si="29"/>
        <v>-</v>
      </c>
      <c r="BG19" s="41">
        <v>502299.88</v>
      </c>
      <c r="BH19" s="40">
        <v>0</v>
      </c>
      <c r="BI19" s="32">
        <f t="shared" si="30"/>
        <v>502299.88</v>
      </c>
      <c r="BJ19" s="78" t="str">
        <f t="shared" si="31"/>
        <v>-</v>
      </c>
      <c r="BK19" s="39">
        <v>2428673.09</v>
      </c>
      <c r="BL19" s="39">
        <v>0</v>
      </c>
      <c r="BM19" s="32">
        <f t="shared" si="32"/>
        <v>2428673.09</v>
      </c>
      <c r="BN19" s="78" t="str">
        <f t="shared" si="33"/>
        <v>-</v>
      </c>
      <c r="BO19" s="39">
        <v>0</v>
      </c>
      <c r="BP19" s="32">
        <f t="shared" si="34"/>
        <v>2428673.09</v>
      </c>
      <c r="BQ19" s="77" t="str">
        <f t="shared" si="35"/>
        <v>-</v>
      </c>
      <c r="BR19" s="41">
        <v>502299.88</v>
      </c>
      <c r="BS19" s="40">
        <v>0</v>
      </c>
      <c r="BT19" s="32">
        <f t="shared" si="36"/>
        <v>502299.88</v>
      </c>
      <c r="BU19" s="78" t="str">
        <f t="shared" si="37"/>
        <v>-</v>
      </c>
      <c r="BV19" s="39">
        <v>2428673.09</v>
      </c>
      <c r="BW19" s="39">
        <v>0</v>
      </c>
      <c r="BX19" s="32">
        <f t="shared" si="38"/>
        <v>2428673.09</v>
      </c>
      <c r="BY19" s="78" t="str">
        <f t="shared" si="39"/>
        <v>-</v>
      </c>
      <c r="BZ19" s="39">
        <v>0</v>
      </c>
      <c r="CA19" s="32">
        <f t="shared" si="40"/>
        <v>2428673.09</v>
      </c>
      <c r="CB19" s="77" t="str">
        <f t="shared" si="41"/>
        <v>-</v>
      </c>
      <c r="CC19" s="41">
        <v>502299.88</v>
      </c>
      <c r="CD19" s="40">
        <v>0</v>
      </c>
      <c r="CE19" s="32">
        <f t="shared" si="42"/>
        <v>502299.88</v>
      </c>
      <c r="CF19" s="78" t="str">
        <f t="shared" si="43"/>
        <v>-</v>
      </c>
      <c r="CG19" s="39">
        <v>2428673.09</v>
      </c>
      <c r="CH19" s="39">
        <v>0</v>
      </c>
      <c r="CI19" s="32">
        <f t="shared" si="44"/>
        <v>2428673.09</v>
      </c>
      <c r="CJ19" s="78" t="str">
        <f t="shared" si="45"/>
        <v>-</v>
      </c>
      <c r="CK19" s="39">
        <v>0</v>
      </c>
      <c r="CL19" s="32">
        <f t="shared" si="46"/>
        <v>2428673.09</v>
      </c>
      <c r="CM19" s="77" t="str">
        <f t="shared" si="47"/>
        <v>-</v>
      </c>
      <c r="CN19" s="41">
        <v>502299.88</v>
      </c>
      <c r="CO19" s="40">
        <v>0</v>
      </c>
      <c r="CP19" s="32">
        <f t="shared" si="48"/>
        <v>502299.88</v>
      </c>
      <c r="CQ19" s="78" t="str">
        <f t="shared" si="49"/>
        <v>-</v>
      </c>
      <c r="CR19" s="39">
        <v>2428673.09</v>
      </c>
      <c r="CS19" s="39">
        <v>0</v>
      </c>
      <c r="CT19" s="32">
        <f t="shared" si="50"/>
        <v>2428673.09</v>
      </c>
      <c r="CU19" s="78" t="str">
        <f t="shared" si="51"/>
        <v>-</v>
      </c>
      <c r="CV19" s="39">
        <v>0</v>
      </c>
      <c r="CW19" s="32">
        <f t="shared" si="52"/>
        <v>2428673.09</v>
      </c>
      <c r="CX19" s="77" t="str">
        <f t="shared" si="53"/>
        <v>-</v>
      </c>
      <c r="CY19" s="41">
        <v>502299.88</v>
      </c>
      <c r="CZ19" s="40">
        <v>0</v>
      </c>
      <c r="DA19" s="32">
        <f t="shared" si="54"/>
        <v>502299.88</v>
      </c>
      <c r="DB19" s="78" t="str">
        <f t="shared" si="55"/>
        <v>-</v>
      </c>
      <c r="DC19" s="39">
        <v>2428673.09</v>
      </c>
      <c r="DD19" s="39">
        <v>0</v>
      </c>
      <c r="DE19" s="32">
        <f t="shared" si="56"/>
        <v>2428673.09</v>
      </c>
      <c r="DF19" s="78" t="str">
        <f t="shared" si="57"/>
        <v>-</v>
      </c>
      <c r="DG19" s="39">
        <v>0</v>
      </c>
      <c r="DH19" s="32">
        <f t="shared" si="58"/>
        <v>2428673.09</v>
      </c>
      <c r="DI19" s="77" t="str">
        <f t="shared" si="59"/>
        <v>-</v>
      </c>
    </row>
    <row r="20" spans="1:113" outlineLevel="3" x14ac:dyDescent="0.2">
      <c r="A20" s="54"/>
      <c r="B20" s="38" t="s">
        <v>114</v>
      </c>
      <c r="C20" s="49" t="s">
        <v>113</v>
      </c>
      <c r="D20" s="41">
        <v>81339.45</v>
      </c>
      <c r="E20" s="40">
        <v>0</v>
      </c>
      <c r="F20" s="32">
        <f t="shared" si="0"/>
        <v>81339.45</v>
      </c>
      <c r="G20" s="78" t="str">
        <f t="shared" si="1"/>
        <v>-</v>
      </c>
      <c r="H20" s="39">
        <v>429173.05</v>
      </c>
      <c r="I20" s="39">
        <v>0</v>
      </c>
      <c r="J20" s="32">
        <f t="shared" si="2"/>
        <v>429173.05</v>
      </c>
      <c r="K20" s="78" t="str">
        <f t="shared" si="3"/>
        <v>-</v>
      </c>
      <c r="L20" s="39">
        <v>0</v>
      </c>
      <c r="M20" s="32">
        <f t="shared" si="4"/>
        <v>429173.05</v>
      </c>
      <c r="N20" s="77" t="str">
        <f t="shared" si="5"/>
        <v>-</v>
      </c>
      <c r="O20" s="41">
        <v>81339.45</v>
      </c>
      <c r="P20" s="40">
        <v>0</v>
      </c>
      <c r="Q20" s="32">
        <f t="shared" si="6"/>
        <v>81339.45</v>
      </c>
      <c r="R20" s="78" t="str">
        <f t="shared" si="7"/>
        <v>-</v>
      </c>
      <c r="S20" s="39">
        <v>429173.05</v>
      </c>
      <c r="T20" s="39">
        <v>0</v>
      </c>
      <c r="U20" s="32">
        <f t="shared" si="8"/>
        <v>429173.05</v>
      </c>
      <c r="V20" s="78" t="str">
        <f t="shared" si="9"/>
        <v>-</v>
      </c>
      <c r="W20" s="39">
        <v>0</v>
      </c>
      <c r="X20" s="32">
        <f t="shared" si="10"/>
        <v>429173.05</v>
      </c>
      <c r="Y20" s="77" t="str">
        <f t="shared" si="11"/>
        <v>-</v>
      </c>
      <c r="Z20" s="41">
        <v>81339.45</v>
      </c>
      <c r="AA20" s="40">
        <v>0</v>
      </c>
      <c r="AB20" s="32">
        <f t="shared" si="12"/>
        <v>81339.45</v>
      </c>
      <c r="AC20" s="78" t="str">
        <f t="shared" si="13"/>
        <v>-</v>
      </c>
      <c r="AD20" s="39">
        <v>429173.05</v>
      </c>
      <c r="AE20" s="39">
        <v>0</v>
      </c>
      <c r="AF20" s="32">
        <f t="shared" si="14"/>
        <v>429173.05</v>
      </c>
      <c r="AG20" s="78" t="str">
        <f t="shared" si="15"/>
        <v>-</v>
      </c>
      <c r="AH20" s="39">
        <v>0</v>
      </c>
      <c r="AI20" s="32">
        <f t="shared" si="16"/>
        <v>429173.05</v>
      </c>
      <c r="AJ20" s="77" t="str">
        <f t="shared" si="17"/>
        <v>-</v>
      </c>
      <c r="AK20" s="41">
        <v>81339.45</v>
      </c>
      <c r="AL20" s="40">
        <v>0</v>
      </c>
      <c r="AM20" s="32">
        <f t="shared" si="18"/>
        <v>81339.45</v>
      </c>
      <c r="AN20" s="78" t="str">
        <f t="shared" si="19"/>
        <v>-</v>
      </c>
      <c r="AO20" s="39">
        <v>429173.05</v>
      </c>
      <c r="AP20" s="39">
        <v>0</v>
      </c>
      <c r="AQ20" s="32">
        <f t="shared" si="20"/>
        <v>429173.05</v>
      </c>
      <c r="AR20" s="78" t="str">
        <f t="shared" si="21"/>
        <v>-</v>
      </c>
      <c r="AS20" s="39">
        <v>0</v>
      </c>
      <c r="AT20" s="32">
        <f t="shared" si="22"/>
        <v>429173.05</v>
      </c>
      <c r="AU20" s="77" t="str">
        <f t="shared" si="23"/>
        <v>-</v>
      </c>
      <c r="AV20" s="41">
        <v>81339.45</v>
      </c>
      <c r="AW20" s="40">
        <v>0</v>
      </c>
      <c r="AX20" s="32">
        <f t="shared" si="24"/>
        <v>81339.45</v>
      </c>
      <c r="AY20" s="78" t="str">
        <f t="shared" si="25"/>
        <v>-</v>
      </c>
      <c r="AZ20" s="39">
        <v>429173.05</v>
      </c>
      <c r="BA20" s="39">
        <v>0</v>
      </c>
      <c r="BB20" s="32">
        <f t="shared" si="26"/>
        <v>429173.05</v>
      </c>
      <c r="BC20" s="78" t="str">
        <f t="shared" si="27"/>
        <v>-</v>
      </c>
      <c r="BD20" s="39">
        <v>0</v>
      </c>
      <c r="BE20" s="32">
        <f t="shared" si="28"/>
        <v>429173.05</v>
      </c>
      <c r="BF20" s="77" t="str">
        <f t="shared" si="29"/>
        <v>-</v>
      </c>
      <c r="BG20" s="41">
        <v>81339.45</v>
      </c>
      <c r="BH20" s="40">
        <v>0</v>
      </c>
      <c r="BI20" s="32">
        <f t="shared" si="30"/>
        <v>81339.45</v>
      </c>
      <c r="BJ20" s="78" t="str">
        <f t="shared" si="31"/>
        <v>-</v>
      </c>
      <c r="BK20" s="39">
        <v>429173.05</v>
      </c>
      <c r="BL20" s="39">
        <v>0</v>
      </c>
      <c r="BM20" s="32">
        <f t="shared" si="32"/>
        <v>429173.05</v>
      </c>
      <c r="BN20" s="78" t="str">
        <f t="shared" si="33"/>
        <v>-</v>
      </c>
      <c r="BO20" s="39">
        <v>0</v>
      </c>
      <c r="BP20" s="32">
        <f t="shared" si="34"/>
        <v>429173.05</v>
      </c>
      <c r="BQ20" s="77" t="str">
        <f t="shared" si="35"/>
        <v>-</v>
      </c>
      <c r="BR20" s="41">
        <v>81339.45</v>
      </c>
      <c r="BS20" s="40">
        <v>0</v>
      </c>
      <c r="BT20" s="32">
        <f t="shared" si="36"/>
        <v>81339.45</v>
      </c>
      <c r="BU20" s="78" t="str">
        <f t="shared" si="37"/>
        <v>-</v>
      </c>
      <c r="BV20" s="39">
        <v>429173.05</v>
      </c>
      <c r="BW20" s="39">
        <v>0</v>
      </c>
      <c r="BX20" s="32">
        <f t="shared" si="38"/>
        <v>429173.05</v>
      </c>
      <c r="BY20" s="78" t="str">
        <f t="shared" si="39"/>
        <v>-</v>
      </c>
      <c r="BZ20" s="39">
        <v>0</v>
      </c>
      <c r="CA20" s="32">
        <f t="shared" si="40"/>
        <v>429173.05</v>
      </c>
      <c r="CB20" s="77" t="str">
        <f t="shared" si="41"/>
        <v>-</v>
      </c>
      <c r="CC20" s="41">
        <v>81339.45</v>
      </c>
      <c r="CD20" s="40">
        <v>0</v>
      </c>
      <c r="CE20" s="32">
        <f t="shared" si="42"/>
        <v>81339.45</v>
      </c>
      <c r="CF20" s="78" t="str">
        <f t="shared" si="43"/>
        <v>-</v>
      </c>
      <c r="CG20" s="39">
        <v>429173.05</v>
      </c>
      <c r="CH20" s="39">
        <v>0</v>
      </c>
      <c r="CI20" s="32">
        <f t="shared" si="44"/>
        <v>429173.05</v>
      </c>
      <c r="CJ20" s="78" t="str">
        <f t="shared" si="45"/>
        <v>-</v>
      </c>
      <c r="CK20" s="39">
        <v>0</v>
      </c>
      <c r="CL20" s="32">
        <f t="shared" si="46"/>
        <v>429173.05</v>
      </c>
      <c r="CM20" s="77" t="str">
        <f t="shared" si="47"/>
        <v>-</v>
      </c>
      <c r="CN20" s="41">
        <v>81339.45</v>
      </c>
      <c r="CO20" s="40">
        <v>0</v>
      </c>
      <c r="CP20" s="32">
        <f t="shared" si="48"/>
        <v>81339.45</v>
      </c>
      <c r="CQ20" s="78" t="str">
        <f t="shared" si="49"/>
        <v>-</v>
      </c>
      <c r="CR20" s="39">
        <v>429173.05</v>
      </c>
      <c r="CS20" s="39">
        <v>0</v>
      </c>
      <c r="CT20" s="32">
        <f t="shared" si="50"/>
        <v>429173.05</v>
      </c>
      <c r="CU20" s="78" t="str">
        <f t="shared" si="51"/>
        <v>-</v>
      </c>
      <c r="CV20" s="39">
        <v>0</v>
      </c>
      <c r="CW20" s="32">
        <f t="shared" si="52"/>
        <v>429173.05</v>
      </c>
      <c r="CX20" s="77" t="str">
        <f t="shared" si="53"/>
        <v>-</v>
      </c>
      <c r="CY20" s="41">
        <v>81339.45</v>
      </c>
      <c r="CZ20" s="40">
        <v>0</v>
      </c>
      <c r="DA20" s="32">
        <f t="shared" si="54"/>
        <v>81339.45</v>
      </c>
      <c r="DB20" s="78" t="str">
        <f t="shared" si="55"/>
        <v>-</v>
      </c>
      <c r="DC20" s="39">
        <v>429173.05</v>
      </c>
      <c r="DD20" s="39">
        <v>0</v>
      </c>
      <c r="DE20" s="32">
        <f t="shared" si="56"/>
        <v>429173.05</v>
      </c>
      <c r="DF20" s="78" t="str">
        <f t="shared" si="57"/>
        <v>-</v>
      </c>
      <c r="DG20" s="39">
        <v>0</v>
      </c>
      <c r="DH20" s="32">
        <f t="shared" si="58"/>
        <v>429173.05</v>
      </c>
      <c r="DI20" s="77" t="str">
        <f t="shared" si="59"/>
        <v>-</v>
      </c>
    </row>
    <row r="21" spans="1:113" s="6" customFormat="1" outlineLevel="2" x14ac:dyDescent="0.2">
      <c r="A21" s="30"/>
      <c r="B21" s="29" t="s">
        <v>112</v>
      </c>
      <c r="C21" s="52" t="s">
        <v>111</v>
      </c>
      <c r="D21" s="27">
        <f>SUM(D19:D20)</f>
        <v>583639.32999999996</v>
      </c>
      <c r="E21" s="26">
        <f>SUM(E19:E20)</f>
        <v>0</v>
      </c>
      <c r="F21" s="23">
        <f t="shared" si="0"/>
        <v>583639.32999999996</v>
      </c>
      <c r="G21" s="76" t="str">
        <f t="shared" si="1"/>
        <v>-</v>
      </c>
      <c r="H21" s="24">
        <f>SUM(H19:H20)</f>
        <v>2857846.1399999997</v>
      </c>
      <c r="I21" s="24">
        <f>SUM(I19:I20)</f>
        <v>0</v>
      </c>
      <c r="J21" s="23">
        <f t="shared" si="2"/>
        <v>2857846.1399999997</v>
      </c>
      <c r="K21" s="76" t="str">
        <f t="shared" si="3"/>
        <v>-</v>
      </c>
      <c r="L21" s="24">
        <f>SUM(L19:L20)</f>
        <v>0</v>
      </c>
      <c r="M21" s="23">
        <f t="shared" si="4"/>
        <v>2857846.1399999997</v>
      </c>
      <c r="N21" s="75" t="str">
        <f t="shared" si="5"/>
        <v>-</v>
      </c>
      <c r="O21" s="27">
        <f>SUM(O19:O20)</f>
        <v>583639.32999999996</v>
      </c>
      <c r="P21" s="26">
        <f>SUM(P19:P20)</f>
        <v>0</v>
      </c>
      <c r="Q21" s="23">
        <f t="shared" si="6"/>
        <v>583639.32999999996</v>
      </c>
      <c r="R21" s="76" t="str">
        <f t="shared" si="7"/>
        <v>-</v>
      </c>
      <c r="S21" s="24">
        <f>SUM(S19:S20)</f>
        <v>2857846.1399999997</v>
      </c>
      <c r="T21" s="24">
        <f>SUM(T19:T20)</f>
        <v>0</v>
      </c>
      <c r="U21" s="23">
        <f t="shared" si="8"/>
        <v>2857846.1399999997</v>
      </c>
      <c r="V21" s="76" t="str">
        <f t="shared" si="9"/>
        <v>-</v>
      </c>
      <c r="W21" s="24">
        <f>SUM(W19:W20)</f>
        <v>0</v>
      </c>
      <c r="X21" s="23">
        <f t="shared" si="10"/>
        <v>2857846.1399999997</v>
      </c>
      <c r="Y21" s="75" t="str">
        <f t="shared" si="11"/>
        <v>-</v>
      </c>
      <c r="Z21" s="27">
        <f>SUM(Z19:Z20)</f>
        <v>583639.32999999996</v>
      </c>
      <c r="AA21" s="26">
        <f>SUM(AA19:AA20)</f>
        <v>0</v>
      </c>
      <c r="AB21" s="23">
        <f t="shared" si="12"/>
        <v>583639.32999999996</v>
      </c>
      <c r="AC21" s="76" t="str">
        <f t="shared" si="13"/>
        <v>-</v>
      </c>
      <c r="AD21" s="24">
        <f>SUM(AD19:AD20)</f>
        <v>2857846.1399999997</v>
      </c>
      <c r="AE21" s="24">
        <f>SUM(AE19:AE20)</f>
        <v>0</v>
      </c>
      <c r="AF21" s="23">
        <f t="shared" si="14"/>
        <v>2857846.1399999997</v>
      </c>
      <c r="AG21" s="76" t="str">
        <f t="shared" si="15"/>
        <v>-</v>
      </c>
      <c r="AH21" s="24">
        <f>SUM(AH19:AH20)</f>
        <v>0</v>
      </c>
      <c r="AI21" s="23">
        <f t="shared" si="16"/>
        <v>2857846.1399999997</v>
      </c>
      <c r="AJ21" s="75" t="str">
        <f t="shared" si="17"/>
        <v>-</v>
      </c>
      <c r="AK21" s="27">
        <f>SUM(AK19:AK20)</f>
        <v>583639.32999999996</v>
      </c>
      <c r="AL21" s="26">
        <f>SUM(AL19:AL20)</f>
        <v>0</v>
      </c>
      <c r="AM21" s="23">
        <f t="shared" si="18"/>
        <v>583639.32999999996</v>
      </c>
      <c r="AN21" s="76" t="str">
        <f t="shared" si="19"/>
        <v>-</v>
      </c>
      <c r="AO21" s="24">
        <f>SUM(AO19:AO20)</f>
        <v>2857846.1399999997</v>
      </c>
      <c r="AP21" s="24">
        <f>SUM(AP19:AP20)</f>
        <v>0</v>
      </c>
      <c r="AQ21" s="23">
        <f t="shared" si="20"/>
        <v>2857846.1399999997</v>
      </c>
      <c r="AR21" s="76" t="str">
        <f t="shared" si="21"/>
        <v>-</v>
      </c>
      <c r="AS21" s="24">
        <f>SUM(AS19:AS20)</f>
        <v>0</v>
      </c>
      <c r="AT21" s="23">
        <f t="shared" si="22"/>
        <v>2857846.1399999997</v>
      </c>
      <c r="AU21" s="75" t="str">
        <f t="shared" si="23"/>
        <v>-</v>
      </c>
      <c r="AV21" s="27">
        <f>SUM(AV19:AV20)</f>
        <v>583639.32999999996</v>
      </c>
      <c r="AW21" s="26">
        <f>SUM(AW19:AW20)</f>
        <v>0</v>
      </c>
      <c r="AX21" s="23">
        <f t="shared" si="24"/>
        <v>583639.32999999996</v>
      </c>
      <c r="AY21" s="76" t="str">
        <f t="shared" si="25"/>
        <v>-</v>
      </c>
      <c r="AZ21" s="24">
        <f>SUM(AZ19:AZ20)</f>
        <v>2857846.1399999997</v>
      </c>
      <c r="BA21" s="24">
        <f>SUM(BA19:BA20)</f>
        <v>0</v>
      </c>
      <c r="BB21" s="23">
        <f t="shared" si="26"/>
        <v>2857846.1399999997</v>
      </c>
      <c r="BC21" s="76" t="str">
        <f t="shared" si="27"/>
        <v>-</v>
      </c>
      <c r="BD21" s="24">
        <f>SUM(BD19:BD20)</f>
        <v>0</v>
      </c>
      <c r="BE21" s="23">
        <f t="shared" si="28"/>
        <v>2857846.1399999997</v>
      </c>
      <c r="BF21" s="75" t="str">
        <f t="shared" si="29"/>
        <v>-</v>
      </c>
      <c r="BG21" s="27">
        <f>SUM(BG19:BG20)</f>
        <v>583639.32999999996</v>
      </c>
      <c r="BH21" s="26">
        <f>SUM(BH19:BH20)</f>
        <v>0</v>
      </c>
      <c r="BI21" s="23">
        <f t="shared" si="30"/>
        <v>583639.32999999996</v>
      </c>
      <c r="BJ21" s="76" t="str">
        <f t="shared" si="31"/>
        <v>-</v>
      </c>
      <c r="BK21" s="24">
        <f>SUM(BK19:BK20)</f>
        <v>2857846.1399999997</v>
      </c>
      <c r="BL21" s="24">
        <f>SUM(BL19:BL20)</f>
        <v>0</v>
      </c>
      <c r="BM21" s="23">
        <f t="shared" si="32"/>
        <v>2857846.1399999997</v>
      </c>
      <c r="BN21" s="76" t="str">
        <f t="shared" si="33"/>
        <v>-</v>
      </c>
      <c r="BO21" s="24">
        <f>SUM(BO19:BO20)</f>
        <v>0</v>
      </c>
      <c r="BP21" s="23">
        <f t="shared" si="34"/>
        <v>2857846.1399999997</v>
      </c>
      <c r="BQ21" s="75" t="str">
        <f t="shared" si="35"/>
        <v>-</v>
      </c>
      <c r="BR21" s="27">
        <f>SUM(BR19:BR20)</f>
        <v>583639.32999999996</v>
      </c>
      <c r="BS21" s="26">
        <f>SUM(BS19:BS20)</f>
        <v>0</v>
      </c>
      <c r="BT21" s="23">
        <f t="shared" si="36"/>
        <v>583639.32999999996</v>
      </c>
      <c r="BU21" s="76" t="str">
        <f t="shared" si="37"/>
        <v>-</v>
      </c>
      <c r="BV21" s="24">
        <f>SUM(BV19:BV20)</f>
        <v>2857846.1399999997</v>
      </c>
      <c r="BW21" s="24">
        <f>SUM(BW19:BW20)</f>
        <v>0</v>
      </c>
      <c r="BX21" s="23">
        <f t="shared" si="38"/>
        <v>2857846.1399999997</v>
      </c>
      <c r="BY21" s="76" t="str">
        <f t="shared" si="39"/>
        <v>-</v>
      </c>
      <c r="BZ21" s="24">
        <f>SUM(BZ19:BZ20)</f>
        <v>0</v>
      </c>
      <c r="CA21" s="23">
        <f t="shared" si="40"/>
        <v>2857846.1399999997</v>
      </c>
      <c r="CB21" s="75" t="str">
        <f t="shared" si="41"/>
        <v>-</v>
      </c>
      <c r="CC21" s="27">
        <f>SUM(CC19:CC20)</f>
        <v>583639.32999999996</v>
      </c>
      <c r="CD21" s="26">
        <f>SUM(CD19:CD20)</f>
        <v>0</v>
      </c>
      <c r="CE21" s="23">
        <f t="shared" si="42"/>
        <v>583639.32999999996</v>
      </c>
      <c r="CF21" s="76" t="str">
        <f t="shared" si="43"/>
        <v>-</v>
      </c>
      <c r="CG21" s="24">
        <f>SUM(CG19:CG20)</f>
        <v>2857846.1399999997</v>
      </c>
      <c r="CH21" s="24">
        <f>SUM(CH19:CH20)</f>
        <v>0</v>
      </c>
      <c r="CI21" s="23">
        <f t="shared" si="44"/>
        <v>2857846.1399999997</v>
      </c>
      <c r="CJ21" s="76" t="str">
        <f t="shared" si="45"/>
        <v>-</v>
      </c>
      <c r="CK21" s="24">
        <f>SUM(CK19:CK20)</f>
        <v>0</v>
      </c>
      <c r="CL21" s="23">
        <f t="shared" si="46"/>
        <v>2857846.1399999997</v>
      </c>
      <c r="CM21" s="75" t="str">
        <f t="shared" si="47"/>
        <v>-</v>
      </c>
      <c r="CN21" s="27">
        <f>SUM(CN19:CN20)</f>
        <v>583639.32999999996</v>
      </c>
      <c r="CO21" s="26">
        <f>SUM(CO19:CO20)</f>
        <v>0</v>
      </c>
      <c r="CP21" s="23">
        <f t="shared" si="48"/>
        <v>583639.32999999996</v>
      </c>
      <c r="CQ21" s="76" t="str">
        <f t="shared" si="49"/>
        <v>-</v>
      </c>
      <c r="CR21" s="24">
        <f>SUM(CR19:CR20)</f>
        <v>2857846.1399999997</v>
      </c>
      <c r="CS21" s="24">
        <f>SUM(CS19:CS20)</f>
        <v>0</v>
      </c>
      <c r="CT21" s="23">
        <f t="shared" si="50"/>
        <v>2857846.1399999997</v>
      </c>
      <c r="CU21" s="76" t="str">
        <f t="shared" si="51"/>
        <v>-</v>
      </c>
      <c r="CV21" s="24">
        <f>SUM(CV19:CV20)</f>
        <v>0</v>
      </c>
      <c r="CW21" s="23">
        <f t="shared" si="52"/>
        <v>2857846.1399999997</v>
      </c>
      <c r="CX21" s="75" t="str">
        <f t="shared" si="53"/>
        <v>-</v>
      </c>
      <c r="CY21" s="27">
        <f>SUM(CY19:CY20)</f>
        <v>583639.32999999996</v>
      </c>
      <c r="CZ21" s="26">
        <f>SUM(CZ19:CZ20)</f>
        <v>0</v>
      </c>
      <c r="DA21" s="23">
        <f t="shared" si="54"/>
        <v>583639.32999999996</v>
      </c>
      <c r="DB21" s="76" t="str">
        <f t="shared" si="55"/>
        <v>-</v>
      </c>
      <c r="DC21" s="24">
        <f>SUM(DC19:DC20)</f>
        <v>2857846.1399999997</v>
      </c>
      <c r="DD21" s="24">
        <f>SUM(DD19:DD20)</f>
        <v>0</v>
      </c>
      <c r="DE21" s="23">
        <f t="shared" si="56"/>
        <v>2857846.1399999997</v>
      </c>
      <c r="DF21" s="76" t="str">
        <f t="shared" si="57"/>
        <v>-</v>
      </c>
      <c r="DG21" s="24">
        <f>SUM(DG19:DG20)</f>
        <v>0</v>
      </c>
      <c r="DH21" s="23">
        <f t="shared" si="58"/>
        <v>2857846.1399999997</v>
      </c>
      <c r="DI21" s="75" t="str">
        <f t="shared" si="59"/>
        <v>-</v>
      </c>
    </row>
    <row r="22" spans="1:113" outlineLevel="3" x14ac:dyDescent="0.2">
      <c r="A22" s="54"/>
      <c r="B22" s="38" t="s">
        <v>110</v>
      </c>
      <c r="C22" s="49" t="s">
        <v>109</v>
      </c>
      <c r="D22" s="41">
        <v>0</v>
      </c>
      <c r="E22" s="40">
        <v>0</v>
      </c>
      <c r="F22" s="32">
        <f t="shared" si="0"/>
        <v>0</v>
      </c>
      <c r="G22" s="78" t="str">
        <f t="shared" si="1"/>
        <v>-</v>
      </c>
      <c r="H22" s="39">
        <v>0</v>
      </c>
      <c r="I22" s="39">
        <v>0</v>
      </c>
      <c r="J22" s="32">
        <f t="shared" si="2"/>
        <v>0</v>
      </c>
      <c r="K22" s="78" t="str">
        <f t="shared" si="3"/>
        <v>-</v>
      </c>
      <c r="L22" s="39">
        <v>0</v>
      </c>
      <c r="M22" s="32">
        <f t="shared" si="4"/>
        <v>0</v>
      </c>
      <c r="N22" s="77" t="str">
        <f t="shared" si="5"/>
        <v>-</v>
      </c>
      <c r="O22" s="41">
        <v>0</v>
      </c>
      <c r="P22" s="40">
        <v>0</v>
      </c>
      <c r="Q22" s="32">
        <f t="shared" si="6"/>
        <v>0</v>
      </c>
      <c r="R22" s="78" t="str">
        <f t="shared" si="7"/>
        <v>-</v>
      </c>
      <c r="S22" s="39">
        <v>0</v>
      </c>
      <c r="T22" s="39">
        <v>0</v>
      </c>
      <c r="U22" s="32">
        <f t="shared" si="8"/>
        <v>0</v>
      </c>
      <c r="V22" s="78" t="str">
        <f t="shared" si="9"/>
        <v>-</v>
      </c>
      <c r="W22" s="39">
        <v>0</v>
      </c>
      <c r="X22" s="32">
        <f t="shared" si="10"/>
        <v>0</v>
      </c>
      <c r="Y22" s="77" t="str">
        <f t="shared" si="11"/>
        <v>-</v>
      </c>
      <c r="Z22" s="41">
        <v>0</v>
      </c>
      <c r="AA22" s="40">
        <v>0</v>
      </c>
      <c r="AB22" s="32">
        <f t="shared" si="12"/>
        <v>0</v>
      </c>
      <c r="AC22" s="78" t="str">
        <f t="shared" si="13"/>
        <v>-</v>
      </c>
      <c r="AD22" s="39">
        <v>0</v>
      </c>
      <c r="AE22" s="39">
        <v>0</v>
      </c>
      <c r="AF22" s="32">
        <f t="shared" si="14"/>
        <v>0</v>
      </c>
      <c r="AG22" s="78" t="str">
        <f t="shared" si="15"/>
        <v>-</v>
      </c>
      <c r="AH22" s="39">
        <v>0</v>
      </c>
      <c r="AI22" s="32">
        <f t="shared" si="16"/>
        <v>0</v>
      </c>
      <c r="AJ22" s="77" t="str">
        <f t="shared" si="17"/>
        <v>-</v>
      </c>
      <c r="AK22" s="41">
        <v>0</v>
      </c>
      <c r="AL22" s="40">
        <v>0</v>
      </c>
      <c r="AM22" s="32">
        <f t="shared" si="18"/>
        <v>0</v>
      </c>
      <c r="AN22" s="78" t="str">
        <f t="shared" si="19"/>
        <v>-</v>
      </c>
      <c r="AO22" s="39">
        <v>0</v>
      </c>
      <c r="AP22" s="39">
        <v>0</v>
      </c>
      <c r="AQ22" s="32">
        <f t="shared" si="20"/>
        <v>0</v>
      </c>
      <c r="AR22" s="78" t="str">
        <f t="shared" si="21"/>
        <v>-</v>
      </c>
      <c r="AS22" s="39">
        <v>0</v>
      </c>
      <c r="AT22" s="32">
        <f t="shared" si="22"/>
        <v>0</v>
      </c>
      <c r="AU22" s="77" t="str">
        <f t="shared" si="23"/>
        <v>-</v>
      </c>
      <c r="AV22" s="41">
        <v>0</v>
      </c>
      <c r="AW22" s="40">
        <v>0</v>
      </c>
      <c r="AX22" s="32">
        <f t="shared" si="24"/>
        <v>0</v>
      </c>
      <c r="AY22" s="78" t="str">
        <f t="shared" si="25"/>
        <v>-</v>
      </c>
      <c r="AZ22" s="39">
        <v>0</v>
      </c>
      <c r="BA22" s="39">
        <v>0</v>
      </c>
      <c r="BB22" s="32">
        <f t="shared" si="26"/>
        <v>0</v>
      </c>
      <c r="BC22" s="78" t="str">
        <f t="shared" si="27"/>
        <v>-</v>
      </c>
      <c r="BD22" s="39">
        <v>0</v>
      </c>
      <c r="BE22" s="32">
        <f t="shared" si="28"/>
        <v>0</v>
      </c>
      <c r="BF22" s="77" t="str">
        <f t="shared" si="29"/>
        <v>-</v>
      </c>
      <c r="BG22" s="41">
        <v>0</v>
      </c>
      <c r="BH22" s="40">
        <v>0</v>
      </c>
      <c r="BI22" s="32">
        <f t="shared" si="30"/>
        <v>0</v>
      </c>
      <c r="BJ22" s="78" t="str">
        <f t="shared" si="31"/>
        <v>-</v>
      </c>
      <c r="BK22" s="39">
        <v>0</v>
      </c>
      <c r="BL22" s="39">
        <v>0</v>
      </c>
      <c r="BM22" s="32">
        <f t="shared" si="32"/>
        <v>0</v>
      </c>
      <c r="BN22" s="78" t="str">
        <f t="shared" si="33"/>
        <v>-</v>
      </c>
      <c r="BO22" s="39">
        <v>0</v>
      </c>
      <c r="BP22" s="32">
        <f t="shared" si="34"/>
        <v>0</v>
      </c>
      <c r="BQ22" s="77" t="str">
        <f t="shared" si="35"/>
        <v>-</v>
      </c>
      <c r="BR22" s="41">
        <v>0</v>
      </c>
      <c r="BS22" s="40">
        <v>0</v>
      </c>
      <c r="BT22" s="32">
        <f t="shared" si="36"/>
        <v>0</v>
      </c>
      <c r="BU22" s="78" t="str">
        <f t="shared" si="37"/>
        <v>-</v>
      </c>
      <c r="BV22" s="39">
        <v>0</v>
      </c>
      <c r="BW22" s="39">
        <v>0</v>
      </c>
      <c r="BX22" s="32">
        <f t="shared" si="38"/>
        <v>0</v>
      </c>
      <c r="BY22" s="78" t="str">
        <f t="shared" si="39"/>
        <v>-</v>
      </c>
      <c r="BZ22" s="39">
        <v>0</v>
      </c>
      <c r="CA22" s="32">
        <f t="shared" si="40"/>
        <v>0</v>
      </c>
      <c r="CB22" s="77" t="str">
        <f t="shared" si="41"/>
        <v>-</v>
      </c>
      <c r="CC22" s="41">
        <v>0</v>
      </c>
      <c r="CD22" s="40">
        <v>0</v>
      </c>
      <c r="CE22" s="32">
        <f t="shared" si="42"/>
        <v>0</v>
      </c>
      <c r="CF22" s="78" t="str">
        <f t="shared" si="43"/>
        <v>-</v>
      </c>
      <c r="CG22" s="39">
        <v>0</v>
      </c>
      <c r="CH22" s="39">
        <v>0</v>
      </c>
      <c r="CI22" s="32">
        <f t="shared" si="44"/>
        <v>0</v>
      </c>
      <c r="CJ22" s="78" t="str">
        <f t="shared" si="45"/>
        <v>-</v>
      </c>
      <c r="CK22" s="39">
        <v>0</v>
      </c>
      <c r="CL22" s="32">
        <f t="shared" si="46"/>
        <v>0</v>
      </c>
      <c r="CM22" s="77" t="str">
        <f t="shared" si="47"/>
        <v>-</v>
      </c>
      <c r="CN22" s="41">
        <v>0</v>
      </c>
      <c r="CO22" s="40">
        <v>0</v>
      </c>
      <c r="CP22" s="32">
        <f t="shared" si="48"/>
        <v>0</v>
      </c>
      <c r="CQ22" s="78" t="str">
        <f t="shared" si="49"/>
        <v>-</v>
      </c>
      <c r="CR22" s="39">
        <v>0</v>
      </c>
      <c r="CS22" s="39">
        <v>0</v>
      </c>
      <c r="CT22" s="32">
        <f t="shared" si="50"/>
        <v>0</v>
      </c>
      <c r="CU22" s="78" t="str">
        <f t="shared" si="51"/>
        <v>-</v>
      </c>
      <c r="CV22" s="39">
        <v>0</v>
      </c>
      <c r="CW22" s="32">
        <f t="shared" si="52"/>
        <v>0</v>
      </c>
      <c r="CX22" s="77" t="str">
        <f t="shared" si="53"/>
        <v>-</v>
      </c>
      <c r="CY22" s="41">
        <v>0</v>
      </c>
      <c r="CZ22" s="40">
        <v>0</v>
      </c>
      <c r="DA22" s="32">
        <f t="shared" si="54"/>
        <v>0</v>
      </c>
      <c r="DB22" s="78" t="str">
        <f t="shared" si="55"/>
        <v>-</v>
      </c>
      <c r="DC22" s="39">
        <v>0</v>
      </c>
      <c r="DD22" s="39">
        <v>0</v>
      </c>
      <c r="DE22" s="32">
        <f t="shared" si="56"/>
        <v>0</v>
      </c>
      <c r="DF22" s="78" t="str">
        <f t="shared" si="57"/>
        <v>-</v>
      </c>
      <c r="DG22" s="39">
        <v>0</v>
      </c>
      <c r="DH22" s="32">
        <f t="shared" si="58"/>
        <v>0</v>
      </c>
      <c r="DI22" s="77" t="str">
        <f t="shared" si="59"/>
        <v>-</v>
      </c>
    </row>
    <row r="23" spans="1:113" outlineLevel="3" x14ac:dyDescent="0.2">
      <c r="A23" s="54"/>
      <c r="B23" s="38" t="s">
        <v>108</v>
      </c>
      <c r="C23" s="49" t="s">
        <v>107</v>
      </c>
      <c r="D23" s="41">
        <v>0</v>
      </c>
      <c r="E23" s="40">
        <v>0</v>
      </c>
      <c r="F23" s="32">
        <f t="shared" si="0"/>
        <v>0</v>
      </c>
      <c r="G23" s="78" t="str">
        <f t="shared" si="1"/>
        <v>-</v>
      </c>
      <c r="H23" s="39">
        <v>0</v>
      </c>
      <c r="I23" s="39">
        <v>0</v>
      </c>
      <c r="J23" s="32">
        <f t="shared" si="2"/>
        <v>0</v>
      </c>
      <c r="K23" s="78" t="str">
        <f t="shared" si="3"/>
        <v>-</v>
      </c>
      <c r="L23" s="39">
        <v>0</v>
      </c>
      <c r="M23" s="32">
        <f t="shared" si="4"/>
        <v>0</v>
      </c>
      <c r="N23" s="77" t="str">
        <f t="shared" si="5"/>
        <v>-</v>
      </c>
      <c r="O23" s="41">
        <v>0</v>
      </c>
      <c r="P23" s="40">
        <v>0</v>
      </c>
      <c r="Q23" s="32">
        <f t="shared" si="6"/>
        <v>0</v>
      </c>
      <c r="R23" s="78" t="str">
        <f t="shared" si="7"/>
        <v>-</v>
      </c>
      <c r="S23" s="39">
        <v>0</v>
      </c>
      <c r="T23" s="39">
        <v>0</v>
      </c>
      <c r="U23" s="32">
        <f t="shared" si="8"/>
        <v>0</v>
      </c>
      <c r="V23" s="78" t="str">
        <f t="shared" si="9"/>
        <v>-</v>
      </c>
      <c r="W23" s="39">
        <v>0</v>
      </c>
      <c r="X23" s="32">
        <f t="shared" si="10"/>
        <v>0</v>
      </c>
      <c r="Y23" s="77" t="str">
        <f t="shared" si="11"/>
        <v>-</v>
      </c>
      <c r="Z23" s="41">
        <v>0</v>
      </c>
      <c r="AA23" s="40">
        <v>0</v>
      </c>
      <c r="AB23" s="32">
        <f t="shared" si="12"/>
        <v>0</v>
      </c>
      <c r="AC23" s="78" t="str">
        <f t="shared" si="13"/>
        <v>-</v>
      </c>
      <c r="AD23" s="39">
        <v>0</v>
      </c>
      <c r="AE23" s="39">
        <v>0</v>
      </c>
      <c r="AF23" s="32">
        <f t="shared" si="14"/>
        <v>0</v>
      </c>
      <c r="AG23" s="78" t="str">
        <f t="shared" si="15"/>
        <v>-</v>
      </c>
      <c r="AH23" s="39">
        <v>0</v>
      </c>
      <c r="AI23" s="32">
        <f t="shared" si="16"/>
        <v>0</v>
      </c>
      <c r="AJ23" s="77" t="str">
        <f t="shared" si="17"/>
        <v>-</v>
      </c>
      <c r="AK23" s="41">
        <v>0</v>
      </c>
      <c r="AL23" s="40">
        <v>0</v>
      </c>
      <c r="AM23" s="32">
        <f t="shared" si="18"/>
        <v>0</v>
      </c>
      <c r="AN23" s="78" t="str">
        <f t="shared" si="19"/>
        <v>-</v>
      </c>
      <c r="AO23" s="39">
        <v>0</v>
      </c>
      <c r="AP23" s="39">
        <v>0</v>
      </c>
      <c r="AQ23" s="32">
        <f t="shared" si="20"/>
        <v>0</v>
      </c>
      <c r="AR23" s="78" t="str">
        <f t="shared" si="21"/>
        <v>-</v>
      </c>
      <c r="AS23" s="39">
        <v>0</v>
      </c>
      <c r="AT23" s="32">
        <f t="shared" si="22"/>
        <v>0</v>
      </c>
      <c r="AU23" s="77" t="str">
        <f t="shared" si="23"/>
        <v>-</v>
      </c>
      <c r="AV23" s="41">
        <v>0</v>
      </c>
      <c r="AW23" s="40">
        <v>0</v>
      </c>
      <c r="AX23" s="32">
        <f t="shared" si="24"/>
        <v>0</v>
      </c>
      <c r="AY23" s="78" t="str">
        <f t="shared" si="25"/>
        <v>-</v>
      </c>
      <c r="AZ23" s="39">
        <v>0</v>
      </c>
      <c r="BA23" s="39">
        <v>0</v>
      </c>
      <c r="BB23" s="32">
        <f t="shared" si="26"/>
        <v>0</v>
      </c>
      <c r="BC23" s="78" t="str">
        <f t="shared" si="27"/>
        <v>-</v>
      </c>
      <c r="BD23" s="39">
        <v>0</v>
      </c>
      <c r="BE23" s="32">
        <f t="shared" si="28"/>
        <v>0</v>
      </c>
      <c r="BF23" s="77" t="str">
        <f t="shared" si="29"/>
        <v>-</v>
      </c>
      <c r="BG23" s="41">
        <v>0</v>
      </c>
      <c r="BH23" s="40">
        <v>0</v>
      </c>
      <c r="BI23" s="32">
        <f t="shared" si="30"/>
        <v>0</v>
      </c>
      <c r="BJ23" s="78" t="str">
        <f t="shared" si="31"/>
        <v>-</v>
      </c>
      <c r="BK23" s="39">
        <v>0</v>
      </c>
      <c r="BL23" s="39">
        <v>0</v>
      </c>
      <c r="BM23" s="32">
        <f t="shared" si="32"/>
        <v>0</v>
      </c>
      <c r="BN23" s="78" t="str">
        <f t="shared" si="33"/>
        <v>-</v>
      </c>
      <c r="BO23" s="39">
        <v>0</v>
      </c>
      <c r="BP23" s="32">
        <f t="shared" si="34"/>
        <v>0</v>
      </c>
      <c r="BQ23" s="77" t="str">
        <f t="shared" si="35"/>
        <v>-</v>
      </c>
      <c r="BR23" s="41">
        <v>0</v>
      </c>
      <c r="BS23" s="40">
        <v>0</v>
      </c>
      <c r="BT23" s="32">
        <f t="shared" si="36"/>
        <v>0</v>
      </c>
      <c r="BU23" s="78" t="str">
        <f t="shared" si="37"/>
        <v>-</v>
      </c>
      <c r="BV23" s="39">
        <v>0</v>
      </c>
      <c r="BW23" s="39">
        <v>0</v>
      </c>
      <c r="BX23" s="32">
        <f t="shared" si="38"/>
        <v>0</v>
      </c>
      <c r="BY23" s="78" t="str">
        <f t="shared" si="39"/>
        <v>-</v>
      </c>
      <c r="BZ23" s="39">
        <v>0</v>
      </c>
      <c r="CA23" s="32">
        <f t="shared" si="40"/>
        <v>0</v>
      </c>
      <c r="CB23" s="77" t="str">
        <f t="shared" si="41"/>
        <v>-</v>
      </c>
      <c r="CC23" s="41">
        <v>0</v>
      </c>
      <c r="CD23" s="40">
        <v>0</v>
      </c>
      <c r="CE23" s="32">
        <f t="shared" si="42"/>
        <v>0</v>
      </c>
      <c r="CF23" s="78" t="str">
        <f t="shared" si="43"/>
        <v>-</v>
      </c>
      <c r="CG23" s="39">
        <v>0</v>
      </c>
      <c r="CH23" s="39">
        <v>0</v>
      </c>
      <c r="CI23" s="32">
        <f t="shared" si="44"/>
        <v>0</v>
      </c>
      <c r="CJ23" s="78" t="str">
        <f t="shared" si="45"/>
        <v>-</v>
      </c>
      <c r="CK23" s="39">
        <v>0</v>
      </c>
      <c r="CL23" s="32">
        <f t="shared" si="46"/>
        <v>0</v>
      </c>
      <c r="CM23" s="77" t="str">
        <f t="shared" si="47"/>
        <v>-</v>
      </c>
      <c r="CN23" s="41">
        <v>0</v>
      </c>
      <c r="CO23" s="40">
        <v>0</v>
      </c>
      <c r="CP23" s="32">
        <f t="shared" si="48"/>
        <v>0</v>
      </c>
      <c r="CQ23" s="78" t="str">
        <f t="shared" si="49"/>
        <v>-</v>
      </c>
      <c r="CR23" s="39">
        <v>0</v>
      </c>
      <c r="CS23" s="39">
        <v>0</v>
      </c>
      <c r="CT23" s="32">
        <f t="shared" si="50"/>
        <v>0</v>
      </c>
      <c r="CU23" s="78" t="str">
        <f t="shared" si="51"/>
        <v>-</v>
      </c>
      <c r="CV23" s="39">
        <v>0</v>
      </c>
      <c r="CW23" s="32">
        <f t="shared" si="52"/>
        <v>0</v>
      </c>
      <c r="CX23" s="77" t="str">
        <f t="shared" si="53"/>
        <v>-</v>
      </c>
      <c r="CY23" s="41">
        <v>0</v>
      </c>
      <c r="CZ23" s="40">
        <v>0</v>
      </c>
      <c r="DA23" s="32">
        <f t="shared" si="54"/>
        <v>0</v>
      </c>
      <c r="DB23" s="78" t="str">
        <f t="shared" si="55"/>
        <v>-</v>
      </c>
      <c r="DC23" s="39">
        <v>0</v>
      </c>
      <c r="DD23" s="39">
        <v>0</v>
      </c>
      <c r="DE23" s="32">
        <f t="shared" si="56"/>
        <v>0</v>
      </c>
      <c r="DF23" s="78" t="str">
        <f t="shared" si="57"/>
        <v>-</v>
      </c>
      <c r="DG23" s="39">
        <v>0</v>
      </c>
      <c r="DH23" s="32">
        <f t="shared" si="58"/>
        <v>0</v>
      </c>
      <c r="DI23" s="77" t="str">
        <f t="shared" si="59"/>
        <v>-</v>
      </c>
    </row>
    <row r="24" spans="1:113" s="6" customFormat="1" outlineLevel="2" x14ac:dyDescent="0.2">
      <c r="A24" s="30"/>
      <c r="B24" s="29" t="s">
        <v>106</v>
      </c>
      <c r="C24" s="52" t="s">
        <v>105</v>
      </c>
      <c r="D24" s="27">
        <f>SUM(D22:D23)</f>
        <v>0</v>
      </c>
      <c r="E24" s="26">
        <f>SUM(E22:E23)</f>
        <v>0</v>
      </c>
      <c r="F24" s="23">
        <f t="shared" si="0"/>
        <v>0</v>
      </c>
      <c r="G24" s="76" t="str">
        <f t="shared" si="1"/>
        <v>-</v>
      </c>
      <c r="H24" s="24">
        <f>SUM(H22:H23)</f>
        <v>0</v>
      </c>
      <c r="I24" s="24">
        <f>SUM(I22:I23)</f>
        <v>0</v>
      </c>
      <c r="J24" s="23">
        <f t="shared" si="2"/>
        <v>0</v>
      </c>
      <c r="K24" s="76" t="str">
        <f t="shared" si="3"/>
        <v>-</v>
      </c>
      <c r="L24" s="24">
        <f>SUM(L22:L23)</f>
        <v>0</v>
      </c>
      <c r="M24" s="23">
        <f t="shared" si="4"/>
        <v>0</v>
      </c>
      <c r="N24" s="75" t="str">
        <f t="shared" si="5"/>
        <v>-</v>
      </c>
      <c r="O24" s="27">
        <f>SUM(O22:O23)</f>
        <v>0</v>
      </c>
      <c r="P24" s="26">
        <f>SUM(P22:P23)</f>
        <v>0</v>
      </c>
      <c r="Q24" s="23">
        <f t="shared" si="6"/>
        <v>0</v>
      </c>
      <c r="R24" s="76" t="str">
        <f t="shared" si="7"/>
        <v>-</v>
      </c>
      <c r="S24" s="24">
        <f>SUM(S22:S23)</f>
        <v>0</v>
      </c>
      <c r="T24" s="24">
        <f>SUM(T22:T23)</f>
        <v>0</v>
      </c>
      <c r="U24" s="23">
        <f t="shared" si="8"/>
        <v>0</v>
      </c>
      <c r="V24" s="76" t="str">
        <f t="shared" si="9"/>
        <v>-</v>
      </c>
      <c r="W24" s="24">
        <f>SUM(W22:W23)</f>
        <v>0</v>
      </c>
      <c r="X24" s="23">
        <f t="shared" si="10"/>
        <v>0</v>
      </c>
      <c r="Y24" s="75" t="str">
        <f t="shared" si="11"/>
        <v>-</v>
      </c>
      <c r="Z24" s="27">
        <f>SUM(Z22:Z23)</f>
        <v>0</v>
      </c>
      <c r="AA24" s="26">
        <f>SUM(AA22:AA23)</f>
        <v>0</v>
      </c>
      <c r="AB24" s="23">
        <f t="shared" si="12"/>
        <v>0</v>
      </c>
      <c r="AC24" s="76" t="str">
        <f t="shared" si="13"/>
        <v>-</v>
      </c>
      <c r="AD24" s="24">
        <f>SUM(AD22:AD23)</f>
        <v>0</v>
      </c>
      <c r="AE24" s="24">
        <f>SUM(AE22:AE23)</f>
        <v>0</v>
      </c>
      <c r="AF24" s="23">
        <f t="shared" si="14"/>
        <v>0</v>
      </c>
      <c r="AG24" s="76" t="str">
        <f t="shared" si="15"/>
        <v>-</v>
      </c>
      <c r="AH24" s="24">
        <f>SUM(AH22:AH23)</f>
        <v>0</v>
      </c>
      <c r="AI24" s="23">
        <f t="shared" si="16"/>
        <v>0</v>
      </c>
      <c r="AJ24" s="75" t="str">
        <f t="shared" si="17"/>
        <v>-</v>
      </c>
      <c r="AK24" s="27">
        <f>SUM(AK22:AK23)</f>
        <v>0</v>
      </c>
      <c r="AL24" s="26">
        <f>SUM(AL22:AL23)</f>
        <v>0</v>
      </c>
      <c r="AM24" s="23">
        <f t="shared" si="18"/>
        <v>0</v>
      </c>
      <c r="AN24" s="76" t="str">
        <f t="shared" si="19"/>
        <v>-</v>
      </c>
      <c r="AO24" s="24">
        <f>SUM(AO22:AO23)</f>
        <v>0</v>
      </c>
      <c r="AP24" s="24">
        <f>SUM(AP22:AP23)</f>
        <v>0</v>
      </c>
      <c r="AQ24" s="23">
        <f t="shared" si="20"/>
        <v>0</v>
      </c>
      <c r="AR24" s="76" t="str">
        <f t="shared" si="21"/>
        <v>-</v>
      </c>
      <c r="AS24" s="24">
        <f>SUM(AS22:AS23)</f>
        <v>0</v>
      </c>
      <c r="AT24" s="23">
        <f t="shared" si="22"/>
        <v>0</v>
      </c>
      <c r="AU24" s="75" t="str">
        <f t="shared" si="23"/>
        <v>-</v>
      </c>
      <c r="AV24" s="27">
        <f>SUM(AV22:AV23)</f>
        <v>0</v>
      </c>
      <c r="AW24" s="26">
        <f>SUM(AW22:AW23)</f>
        <v>0</v>
      </c>
      <c r="AX24" s="23">
        <f t="shared" si="24"/>
        <v>0</v>
      </c>
      <c r="AY24" s="76" t="str">
        <f t="shared" si="25"/>
        <v>-</v>
      </c>
      <c r="AZ24" s="24">
        <f>SUM(AZ22:AZ23)</f>
        <v>0</v>
      </c>
      <c r="BA24" s="24">
        <f>SUM(BA22:BA23)</f>
        <v>0</v>
      </c>
      <c r="BB24" s="23">
        <f t="shared" si="26"/>
        <v>0</v>
      </c>
      <c r="BC24" s="76" t="str">
        <f t="shared" si="27"/>
        <v>-</v>
      </c>
      <c r="BD24" s="24">
        <f>SUM(BD22:BD23)</f>
        <v>0</v>
      </c>
      <c r="BE24" s="23">
        <f t="shared" si="28"/>
        <v>0</v>
      </c>
      <c r="BF24" s="75" t="str">
        <f t="shared" si="29"/>
        <v>-</v>
      </c>
      <c r="BG24" s="27">
        <f>SUM(BG22:BG23)</f>
        <v>0</v>
      </c>
      <c r="BH24" s="26">
        <f>SUM(BH22:BH23)</f>
        <v>0</v>
      </c>
      <c r="BI24" s="23">
        <f t="shared" si="30"/>
        <v>0</v>
      </c>
      <c r="BJ24" s="76" t="str">
        <f t="shared" si="31"/>
        <v>-</v>
      </c>
      <c r="BK24" s="24">
        <f>SUM(BK22:BK23)</f>
        <v>0</v>
      </c>
      <c r="BL24" s="24">
        <f>SUM(BL22:BL23)</f>
        <v>0</v>
      </c>
      <c r="BM24" s="23">
        <f t="shared" si="32"/>
        <v>0</v>
      </c>
      <c r="BN24" s="76" t="str">
        <f t="shared" si="33"/>
        <v>-</v>
      </c>
      <c r="BO24" s="24">
        <f>SUM(BO22:BO23)</f>
        <v>0</v>
      </c>
      <c r="BP24" s="23">
        <f t="shared" si="34"/>
        <v>0</v>
      </c>
      <c r="BQ24" s="75" t="str">
        <f t="shared" si="35"/>
        <v>-</v>
      </c>
      <c r="BR24" s="27">
        <f>SUM(BR22:BR23)</f>
        <v>0</v>
      </c>
      <c r="BS24" s="26">
        <f>SUM(BS22:BS23)</f>
        <v>0</v>
      </c>
      <c r="BT24" s="23">
        <f t="shared" si="36"/>
        <v>0</v>
      </c>
      <c r="BU24" s="76" t="str">
        <f t="shared" si="37"/>
        <v>-</v>
      </c>
      <c r="BV24" s="24">
        <f>SUM(BV22:BV23)</f>
        <v>0</v>
      </c>
      <c r="BW24" s="24">
        <f>SUM(BW22:BW23)</f>
        <v>0</v>
      </c>
      <c r="BX24" s="23">
        <f t="shared" si="38"/>
        <v>0</v>
      </c>
      <c r="BY24" s="76" t="str">
        <f t="shared" si="39"/>
        <v>-</v>
      </c>
      <c r="BZ24" s="24">
        <f>SUM(BZ22:BZ23)</f>
        <v>0</v>
      </c>
      <c r="CA24" s="23">
        <f t="shared" si="40"/>
        <v>0</v>
      </c>
      <c r="CB24" s="75" t="str">
        <f t="shared" si="41"/>
        <v>-</v>
      </c>
      <c r="CC24" s="27">
        <f>SUM(CC22:CC23)</f>
        <v>0</v>
      </c>
      <c r="CD24" s="26">
        <f>SUM(CD22:CD23)</f>
        <v>0</v>
      </c>
      <c r="CE24" s="23">
        <f t="shared" si="42"/>
        <v>0</v>
      </c>
      <c r="CF24" s="76" t="str">
        <f t="shared" si="43"/>
        <v>-</v>
      </c>
      <c r="CG24" s="24">
        <f>SUM(CG22:CG23)</f>
        <v>0</v>
      </c>
      <c r="CH24" s="24">
        <f>SUM(CH22:CH23)</f>
        <v>0</v>
      </c>
      <c r="CI24" s="23">
        <f t="shared" si="44"/>
        <v>0</v>
      </c>
      <c r="CJ24" s="76" t="str">
        <f t="shared" si="45"/>
        <v>-</v>
      </c>
      <c r="CK24" s="24">
        <f>SUM(CK22:CK23)</f>
        <v>0</v>
      </c>
      <c r="CL24" s="23">
        <f t="shared" si="46"/>
        <v>0</v>
      </c>
      <c r="CM24" s="75" t="str">
        <f t="shared" si="47"/>
        <v>-</v>
      </c>
      <c r="CN24" s="27">
        <f>SUM(CN22:CN23)</f>
        <v>0</v>
      </c>
      <c r="CO24" s="26">
        <f>SUM(CO22:CO23)</f>
        <v>0</v>
      </c>
      <c r="CP24" s="23">
        <f t="shared" si="48"/>
        <v>0</v>
      </c>
      <c r="CQ24" s="76" t="str">
        <f t="shared" si="49"/>
        <v>-</v>
      </c>
      <c r="CR24" s="24">
        <f>SUM(CR22:CR23)</f>
        <v>0</v>
      </c>
      <c r="CS24" s="24">
        <f>SUM(CS22:CS23)</f>
        <v>0</v>
      </c>
      <c r="CT24" s="23">
        <f t="shared" si="50"/>
        <v>0</v>
      </c>
      <c r="CU24" s="76" t="str">
        <f t="shared" si="51"/>
        <v>-</v>
      </c>
      <c r="CV24" s="24">
        <f>SUM(CV22:CV23)</f>
        <v>0</v>
      </c>
      <c r="CW24" s="23">
        <f t="shared" si="52"/>
        <v>0</v>
      </c>
      <c r="CX24" s="75" t="str">
        <f t="shared" si="53"/>
        <v>-</v>
      </c>
      <c r="CY24" s="27">
        <f>SUM(CY22:CY23)</f>
        <v>0</v>
      </c>
      <c r="CZ24" s="26">
        <f>SUM(CZ22:CZ23)</f>
        <v>0</v>
      </c>
      <c r="DA24" s="23">
        <f t="shared" si="54"/>
        <v>0</v>
      </c>
      <c r="DB24" s="76" t="str">
        <f t="shared" si="55"/>
        <v>-</v>
      </c>
      <c r="DC24" s="24">
        <f>SUM(DC22:DC23)</f>
        <v>0</v>
      </c>
      <c r="DD24" s="24">
        <f>SUM(DD22:DD23)</f>
        <v>0</v>
      </c>
      <c r="DE24" s="23">
        <f t="shared" si="56"/>
        <v>0</v>
      </c>
      <c r="DF24" s="76" t="str">
        <f t="shared" si="57"/>
        <v>-</v>
      </c>
      <c r="DG24" s="24">
        <f>SUM(DG22:DG23)</f>
        <v>0</v>
      </c>
      <c r="DH24" s="23">
        <f t="shared" si="58"/>
        <v>0</v>
      </c>
      <c r="DI24" s="75" t="str">
        <f t="shared" si="59"/>
        <v>-</v>
      </c>
    </row>
    <row r="25" spans="1:113" s="6" customFormat="1" outlineLevel="1" x14ac:dyDescent="0.2">
      <c r="A25" s="30"/>
      <c r="B25" s="48" t="s">
        <v>104</v>
      </c>
      <c r="C25" s="55" t="s">
        <v>103</v>
      </c>
      <c r="D25" s="46">
        <f>D15+D18+D21+D24</f>
        <v>213643492.62</v>
      </c>
      <c r="E25" s="45">
        <f>E15+E18+E21+E24</f>
        <v>221608066.63814151</v>
      </c>
      <c r="F25" s="23">
        <f t="shared" si="0"/>
        <v>-7964574.0181415081</v>
      </c>
      <c r="G25" s="76">
        <f t="shared" si="1"/>
        <v>-3.5939910216114423E-2</v>
      </c>
      <c r="H25" s="44">
        <f>H15+H18+H21+H24</f>
        <v>1539396600.0800002</v>
      </c>
      <c r="I25" s="44">
        <f>I15+I18+I21+I24</f>
        <v>1320589196.330174</v>
      </c>
      <c r="J25" s="23">
        <f t="shared" si="2"/>
        <v>218807403.74982619</v>
      </c>
      <c r="K25" s="76">
        <f t="shared" si="3"/>
        <v>0.16568922747352222</v>
      </c>
      <c r="L25" s="44">
        <f>L15+L18+L21+L24</f>
        <v>2650237596.1590233</v>
      </c>
      <c r="M25" s="23">
        <f t="shared" si="4"/>
        <v>-1110840996.0790231</v>
      </c>
      <c r="N25" s="75">
        <f t="shared" si="5"/>
        <v>-0.4191477012057182</v>
      </c>
      <c r="O25" s="46">
        <f>O15+O18+O21+O24</f>
        <v>213643492.62</v>
      </c>
      <c r="P25" s="45">
        <f>P15+P18+P21+P24</f>
        <v>221608066.63814151</v>
      </c>
      <c r="Q25" s="23">
        <f t="shared" si="6"/>
        <v>-7964574.0181415081</v>
      </c>
      <c r="R25" s="76">
        <f t="shared" si="7"/>
        <v>-3.5939910216114423E-2</v>
      </c>
      <c r="S25" s="44">
        <f>S15+S18+S21+S24</f>
        <v>1539396600.0800002</v>
      </c>
      <c r="T25" s="44">
        <f>T15+T18+T21+T24</f>
        <v>1320589196.330174</v>
      </c>
      <c r="U25" s="23">
        <f t="shared" si="8"/>
        <v>218807403.74982619</v>
      </c>
      <c r="V25" s="76">
        <f t="shared" si="9"/>
        <v>0.16568922747352222</v>
      </c>
      <c r="W25" s="44">
        <f>W15+W18+W21+W24</f>
        <v>2650237596.1590233</v>
      </c>
      <c r="X25" s="23">
        <f t="shared" si="10"/>
        <v>-1110840996.0790231</v>
      </c>
      <c r="Y25" s="75">
        <f t="shared" si="11"/>
        <v>-0.4191477012057182</v>
      </c>
      <c r="Z25" s="46">
        <f>Z15+Z18+Z21+Z24</f>
        <v>213643492.62</v>
      </c>
      <c r="AA25" s="45">
        <f>AA15+AA18+AA21+AA24</f>
        <v>221608066.63814151</v>
      </c>
      <c r="AB25" s="23">
        <f t="shared" si="12"/>
        <v>-7964574.0181415081</v>
      </c>
      <c r="AC25" s="76">
        <f t="shared" si="13"/>
        <v>-3.5939910216114423E-2</v>
      </c>
      <c r="AD25" s="44">
        <f>AD15+AD18+AD21+AD24</f>
        <v>1539396600.0800002</v>
      </c>
      <c r="AE25" s="44">
        <f>AE15+AE18+AE21+AE24</f>
        <v>1320589196.330174</v>
      </c>
      <c r="AF25" s="23">
        <f t="shared" si="14"/>
        <v>218807403.74982619</v>
      </c>
      <c r="AG25" s="76">
        <f t="shared" si="15"/>
        <v>0.16568922747352222</v>
      </c>
      <c r="AH25" s="44">
        <f>AH15+AH18+AH21+AH24</f>
        <v>2650237596.1590233</v>
      </c>
      <c r="AI25" s="23">
        <f t="shared" si="16"/>
        <v>-1110840996.0790231</v>
      </c>
      <c r="AJ25" s="75">
        <f t="shared" si="17"/>
        <v>-0.4191477012057182</v>
      </c>
      <c r="AK25" s="46">
        <f>AK15+AK18+AK21+AK24</f>
        <v>213643492.62</v>
      </c>
      <c r="AL25" s="45">
        <f>AL15+AL18+AL21+AL24</f>
        <v>221608066.63814151</v>
      </c>
      <c r="AM25" s="23">
        <f t="shared" si="18"/>
        <v>-7964574.0181415081</v>
      </c>
      <c r="AN25" s="76">
        <f t="shared" si="19"/>
        <v>-3.5939910216114423E-2</v>
      </c>
      <c r="AO25" s="44">
        <f>AO15+AO18+AO21+AO24</f>
        <v>1539396600.0800002</v>
      </c>
      <c r="AP25" s="44">
        <f>AP15+AP18+AP21+AP24</f>
        <v>1320589196.330174</v>
      </c>
      <c r="AQ25" s="23">
        <f t="shared" si="20"/>
        <v>218807403.74982619</v>
      </c>
      <c r="AR25" s="76">
        <f t="shared" si="21"/>
        <v>0.16568922747352222</v>
      </c>
      <c r="AS25" s="44">
        <f>AS15+AS18+AS21+AS24</f>
        <v>2650237596.1590233</v>
      </c>
      <c r="AT25" s="23">
        <f t="shared" si="22"/>
        <v>-1110840996.0790231</v>
      </c>
      <c r="AU25" s="75">
        <f t="shared" si="23"/>
        <v>-0.4191477012057182</v>
      </c>
      <c r="AV25" s="46">
        <f>AV15+AV18+AV21+AV24</f>
        <v>213643492.62</v>
      </c>
      <c r="AW25" s="45">
        <f>AW15+AW18+AW21+AW24</f>
        <v>221608066.63814151</v>
      </c>
      <c r="AX25" s="23">
        <f t="shared" si="24"/>
        <v>-7964574.0181415081</v>
      </c>
      <c r="AY25" s="76">
        <f t="shared" si="25"/>
        <v>-3.5939910216114423E-2</v>
      </c>
      <c r="AZ25" s="44">
        <f>AZ15+AZ18+AZ21+AZ24</f>
        <v>1539396600.0800002</v>
      </c>
      <c r="BA25" s="44">
        <f>BA15+BA18+BA21+BA24</f>
        <v>1320589196.330174</v>
      </c>
      <c r="BB25" s="23">
        <f t="shared" si="26"/>
        <v>218807403.74982619</v>
      </c>
      <c r="BC25" s="76">
        <f t="shared" si="27"/>
        <v>0.16568922747352222</v>
      </c>
      <c r="BD25" s="44">
        <f>BD15+BD18+BD21+BD24</f>
        <v>2650237596.1590233</v>
      </c>
      <c r="BE25" s="23">
        <f t="shared" si="28"/>
        <v>-1110840996.0790231</v>
      </c>
      <c r="BF25" s="75">
        <f t="shared" si="29"/>
        <v>-0.4191477012057182</v>
      </c>
      <c r="BG25" s="46">
        <f>BG15+BG18+BG21+BG24</f>
        <v>213643492.62</v>
      </c>
      <c r="BH25" s="45">
        <f>BH15+BH18+BH21+BH24</f>
        <v>221608066.63814151</v>
      </c>
      <c r="BI25" s="23">
        <f t="shared" si="30"/>
        <v>-7964574.0181415081</v>
      </c>
      <c r="BJ25" s="76">
        <f t="shared" si="31"/>
        <v>-3.5939910216114423E-2</v>
      </c>
      <c r="BK25" s="44">
        <f>BK15+BK18+BK21+BK24</f>
        <v>1539396600.0800002</v>
      </c>
      <c r="BL25" s="44">
        <f>BL15+BL18+BL21+BL24</f>
        <v>1320589196.330174</v>
      </c>
      <c r="BM25" s="23">
        <f t="shared" si="32"/>
        <v>218807403.74982619</v>
      </c>
      <c r="BN25" s="76">
        <f t="shared" si="33"/>
        <v>0.16568922747352222</v>
      </c>
      <c r="BO25" s="44">
        <f>BO15+BO18+BO21+BO24</f>
        <v>2650237596.1590233</v>
      </c>
      <c r="BP25" s="23">
        <f t="shared" si="34"/>
        <v>-1110840996.0790231</v>
      </c>
      <c r="BQ25" s="75">
        <f t="shared" si="35"/>
        <v>-0.4191477012057182</v>
      </c>
      <c r="BR25" s="46">
        <f>BR15+BR18+BR21+BR24</f>
        <v>213643492.62</v>
      </c>
      <c r="BS25" s="45">
        <f>BS15+BS18+BS21+BS24</f>
        <v>221608066.63814151</v>
      </c>
      <c r="BT25" s="23">
        <f t="shared" si="36"/>
        <v>-7964574.0181415081</v>
      </c>
      <c r="BU25" s="76">
        <f t="shared" si="37"/>
        <v>-3.5939910216114423E-2</v>
      </c>
      <c r="BV25" s="44">
        <f>BV15+BV18+BV21+BV24</f>
        <v>1539396600.0800002</v>
      </c>
      <c r="BW25" s="44">
        <f>BW15+BW18+BW21+BW24</f>
        <v>1320589196.330174</v>
      </c>
      <c r="BX25" s="23">
        <f t="shared" si="38"/>
        <v>218807403.74982619</v>
      </c>
      <c r="BY25" s="76">
        <f t="shared" si="39"/>
        <v>0.16568922747352222</v>
      </c>
      <c r="BZ25" s="44">
        <f>BZ15+BZ18+BZ21+BZ24</f>
        <v>2650237596.1590233</v>
      </c>
      <c r="CA25" s="23">
        <f t="shared" si="40"/>
        <v>-1110840996.0790231</v>
      </c>
      <c r="CB25" s="75">
        <f t="shared" si="41"/>
        <v>-0.4191477012057182</v>
      </c>
      <c r="CC25" s="46">
        <f>CC15+CC18+CC21+CC24</f>
        <v>213643492.62</v>
      </c>
      <c r="CD25" s="45">
        <f>CD15+CD18+CD21+CD24</f>
        <v>221608066.63814151</v>
      </c>
      <c r="CE25" s="23">
        <f t="shared" si="42"/>
        <v>-7964574.0181415081</v>
      </c>
      <c r="CF25" s="76">
        <f t="shared" si="43"/>
        <v>-3.5939910216114423E-2</v>
      </c>
      <c r="CG25" s="44">
        <f>CG15+CG18+CG21+CG24</f>
        <v>1539396600.0800002</v>
      </c>
      <c r="CH25" s="44">
        <f>CH15+CH18+CH21+CH24</f>
        <v>1320589196.330174</v>
      </c>
      <c r="CI25" s="23">
        <f t="shared" si="44"/>
        <v>218807403.74982619</v>
      </c>
      <c r="CJ25" s="76">
        <f t="shared" si="45"/>
        <v>0.16568922747352222</v>
      </c>
      <c r="CK25" s="44">
        <f>CK15+CK18+CK21+CK24</f>
        <v>2650237596.1590233</v>
      </c>
      <c r="CL25" s="23">
        <f t="shared" si="46"/>
        <v>-1110840996.0790231</v>
      </c>
      <c r="CM25" s="75">
        <f t="shared" si="47"/>
        <v>-0.4191477012057182</v>
      </c>
      <c r="CN25" s="46">
        <f>CN15+CN18+CN21+CN24</f>
        <v>213643492.62</v>
      </c>
      <c r="CO25" s="45">
        <f>CO15+CO18+CO21+CO24</f>
        <v>221608066.63814151</v>
      </c>
      <c r="CP25" s="23">
        <f t="shared" si="48"/>
        <v>-7964574.0181415081</v>
      </c>
      <c r="CQ25" s="76">
        <f t="shared" si="49"/>
        <v>-3.5939910216114423E-2</v>
      </c>
      <c r="CR25" s="44">
        <f>CR15+CR18+CR21+CR24</f>
        <v>1539396600.0800002</v>
      </c>
      <c r="CS25" s="44">
        <f>CS15+CS18+CS21+CS24</f>
        <v>1320589196.330174</v>
      </c>
      <c r="CT25" s="23">
        <f t="shared" si="50"/>
        <v>218807403.74982619</v>
      </c>
      <c r="CU25" s="76">
        <f t="shared" si="51"/>
        <v>0.16568922747352222</v>
      </c>
      <c r="CV25" s="44">
        <f>CV15+CV18+CV21+CV24</f>
        <v>2650237596.1590233</v>
      </c>
      <c r="CW25" s="23">
        <f t="shared" si="52"/>
        <v>-1110840996.0790231</v>
      </c>
      <c r="CX25" s="75">
        <f t="shared" si="53"/>
        <v>-0.4191477012057182</v>
      </c>
      <c r="CY25" s="46">
        <f>CY15+CY18+CY21+CY24</f>
        <v>213643492.62</v>
      </c>
      <c r="CZ25" s="45">
        <f>CZ15+CZ18+CZ21+CZ24</f>
        <v>221608066.63814151</v>
      </c>
      <c r="DA25" s="23">
        <f t="shared" si="54"/>
        <v>-7964574.0181415081</v>
      </c>
      <c r="DB25" s="76">
        <f t="shared" si="55"/>
        <v>-3.5939910216114423E-2</v>
      </c>
      <c r="DC25" s="44">
        <f>DC15+DC18+DC21+DC24</f>
        <v>1539396600.0800002</v>
      </c>
      <c r="DD25" s="44">
        <f>DD15+DD18+DD21+DD24</f>
        <v>1320589196.330174</v>
      </c>
      <c r="DE25" s="23">
        <f t="shared" si="56"/>
        <v>218807403.74982619</v>
      </c>
      <c r="DF25" s="76">
        <f t="shared" si="57"/>
        <v>0.16568922747352222</v>
      </c>
      <c r="DG25" s="44">
        <f>DG15+DG18+DG21+DG24</f>
        <v>2650237596.1590233</v>
      </c>
      <c r="DH25" s="23">
        <f t="shared" si="58"/>
        <v>-1110840996.0790231</v>
      </c>
      <c r="DI25" s="75">
        <f t="shared" si="59"/>
        <v>-0.4191477012057182</v>
      </c>
    </row>
    <row r="26" spans="1:113" s="6" customFormat="1" outlineLevel="2" x14ac:dyDescent="0.2">
      <c r="B26" s="29" t="s">
        <v>102</v>
      </c>
      <c r="C26" s="52" t="s">
        <v>101</v>
      </c>
      <c r="D26" s="27">
        <v>5000000</v>
      </c>
      <c r="E26" s="26">
        <v>5753441.4887820091</v>
      </c>
      <c r="F26" s="23">
        <f t="shared" si="0"/>
        <v>-753441.48878200911</v>
      </c>
      <c r="G26" s="76">
        <f t="shared" si="1"/>
        <v>-0.13095492328392666</v>
      </c>
      <c r="H26" s="24">
        <f>D26*6</f>
        <v>30000000</v>
      </c>
      <c r="I26" s="24">
        <v>33785316.582061373</v>
      </c>
      <c r="J26" s="23">
        <f t="shared" si="2"/>
        <v>-3785316.5820613727</v>
      </c>
      <c r="K26" s="76">
        <f t="shared" si="3"/>
        <v>-0.11204028746829098</v>
      </c>
      <c r="L26" s="24">
        <v>68305965.514753431</v>
      </c>
      <c r="M26" s="23">
        <f t="shared" si="4"/>
        <v>-38305965.514753431</v>
      </c>
      <c r="N26" s="75">
        <f t="shared" si="5"/>
        <v>-0.56079970799153278</v>
      </c>
      <c r="O26" s="27">
        <v>5000000</v>
      </c>
      <c r="P26" s="26">
        <v>5753441.4887820091</v>
      </c>
      <c r="Q26" s="23">
        <f t="shared" si="6"/>
        <v>-753441.48878200911</v>
      </c>
      <c r="R26" s="76">
        <f t="shared" si="7"/>
        <v>-0.13095492328392666</v>
      </c>
      <c r="S26" s="24">
        <f>O26*6</f>
        <v>30000000</v>
      </c>
      <c r="T26" s="24">
        <v>33785316.582061373</v>
      </c>
      <c r="U26" s="23">
        <f t="shared" si="8"/>
        <v>-3785316.5820613727</v>
      </c>
      <c r="V26" s="76">
        <f t="shared" si="9"/>
        <v>-0.11204028746829098</v>
      </c>
      <c r="W26" s="24">
        <v>68305965.514753431</v>
      </c>
      <c r="X26" s="23">
        <f t="shared" si="10"/>
        <v>-38305965.514753431</v>
      </c>
      <c r="Y26" s="75">
        <f t="shared" si="11"/>
        <v>-0.56079970799153278</v>
      </c>
      <c r="Z26" s="27">
        <v>5000000</v>
      </c>
      <c r="AA26" s="26">
        <v>5753441.4887820091</v>
      </c>
      <c r="AB26" s="23">
        <f t="shared" si="12"/>
        <v>-753441.48878200911</v>
      </c>
      <c r="AC26" s="76">
        <f t="shared" si="13"/>
        <v>-0.13095492328392666</v>
      </c>
      <c r="AD26" s="24">
        <f>Z26*6</f>
        <v>30000000</v>
      </c>
      <c r="AE26" s="24">
        <v>33785316.582061373</v>
      </c>
      <c r="AF26" s="23">
        <f t="shared" si="14"/>
        <v>-3785316.5820613727</v>
      </c>
      <c r="AG26" s="76">
        <f t="shared" si="15"/>
        <v>-0.11204028746829098</v>
      </c>
      <c r="AH26" s="24">
        <v>68305965.514753431</v>
      </c>
      <c r="AI26" s="23">
        <f t="shared" si="16"/>
        <v>-38305965.514753431</v>
      </c>
      <c r="AJ26" s="75">
        <f t="shared" si="17"/>
        <v>-0.56079970799153278</v>
      </c>
      <c r="AK26" s="27">
        <v>5000000</v>
      </c>
      <c r="AL26" s="26">
        <v>5753441.4887820091</v>
      </c>
      <c r="AM26" s="23">
        <f t="shared" si="18"/>
        <v>-753441.48878200911</v>
      </c>
      <c r="AN26" s="76">
        <f t="shared" si="19"/>
        <v>-0.13095492328392666</v>
      </c>
      <c r="AO26" s="24">
        <f>AK26*6</f>
        <v>30000000</v>
      </c>
      <c r="AP26" s="24">
        <v>33785316.582061373</v>
      </c>
      <c r="AQ26" s="23">
        <f t="shared" si="20"/>
        <v>-3785316.5820613727</v>
      </c>
      <c r="AR26" s="76">
        <f t="shared" si="21"/>
        <v>-0.11204028746829098</v>
      </c>
      <c r="AS26" s="24">
        <v>68305965.514753431</v>
      </c>
      <c r="AT26" s="23">
        <f t="shared" si="22"/>
        <v>-38305965.514753431</v>
      </c>
      <c r="AU26" s="75">
        <f t="shared" si="23"/>
        <v>-0.56079970799153278</v>
      </c>
      <c r="AV26" s="27">
        <v>5000000</v>
      </c>
      <c r="AW26" s="26">
        <v>5753441.4887820091</v>
      </c>
      <c r="AX26" s="23">
        <f t="shared" si="24"/>
        <v>-753441.48878200911</v>
      </c>
      <c r="AY26" s="76">
        <f t="shared" si="25"/>
        <v>-0.13095492328392666</v>
      </c>
      <c r="AZ26" s="24">
        <f>AV26*6</f>
        <v>30000000</v>
      </c>
      <c r="BA26" s="24">
        <v>33785316.582061373</v>
      </c>
      <c r="BB26" s="23">
        <f t="shared" si="26"/>
        <v>-3785316.5820613727</v>
      </c>
      <c r="BC26" s="76">
        <f t="shared" si="27"/>
        <v>-0.11204028746829098</v>
      </c>
      <c r="BD26" s="24">
        <v>68305965.514753431</v>
      </c>
      <c r="BE26" s="23">
        <f t="shared" si="28"/>
        <v>-38305965.514753431</v>
      </c>
      <c r="BF26" s="75">
        <f t="shared" si="29"/>
        <v>-0.56079970799153278</v>
      </c>
      <c r="BG26" s="27">
        <v>5000000</v>
      </c>
      <c r="BH26" s="26">
        <v>5753441.4887820091</v>
      </c>
      <c r="BI26" s="23">
        <f t="shared" si="30"/>
        <v>-753441.48878200911</v>
      </c>
      <c r="BJ26" s="76">
        <f t="shared" si="31"/>
        <v>-0.13095492328392666</v>
      </c>
      <c r="BK26" s="24">
        <f>BG26*6</f>
        <v>30000000</v>
      </c>
      <c r="BL26" s="24">
        <v>33785316.582061373</v>
      </c>
      <c r="BM26" s="23">
        <f t="shared" si="32"/>
        <v>-3785316.5820613727</v>
      </c>
      <c r="BN26" s="76">
        <f t="shared" si="33"/>
        <v>-0.11204028746829098</v>
      </c>
      <c r="BO26" s="24">
        <v>68305965.514753431</v>
      </c>
      <c r="BP26" s="23">
        <f t="shared" si="34"/>
        <v>-38305965.514753431</v>
      </c>
      <c r="BQ26" s="75">
        <f t="shared" si="35"/>
        <v>-0.56079970799153278</v>
      </c>
      <c r="BR26" s="27">
        <v>5000000</v>
      </c>
      <c r="BS26" s="26">
        <v>5753441.4887820091</v>
      </c>
      <c r="BT26" s="23">
        <f t="shared" si="36"/>
        <v>-753441.48878200911</v>
      </c>
      <c r="BU26" s="76">
        <f t="shared" si="37"/>
        <v>-0.13095492328392666</v>
      </c>
      <c r="BV26" s="24">
        <f>BR26*6</f>
        <v>30000000</v>
      </c>
      <c r="BW26" s="24">
        <v>33785316.582061373</v>
      </c>
      <c r="BX26" s="23">
        <f t="shared" si="38"/>
        <v>-3785316.5820613727</v>
      </c>
      <c r="BY26" s="76">
        <f t="shared" si="39"/>
        <v>-0.11204028746829098</v>
      </c>
      <c r="BZ26" s="24">
        <v>68305965.514753431</v>
      </c>
      <c r="CA26" s="23">
        <f t="shared" si="40"/>
        <v>-38305965.514753431</v>
      </c>
      <c r="CB26" s="75">
        <f t="shared" si="41"/>
        <v>-0.56079970799153278</v>
      </c>
      <c r="CC26" s="27">
        <v>5000000</v>
      </c>
      <c r="CD26" s="26">
        <v>5753441.4887820091</v>
      </c>
      <c r="CE26" s="23">
        <f t="shared" si="42"/>
        <v>-753441.48878200911</v>
      </c>
      <c r="CF26" s="76">
        <f t="shared" si="43"/>
        <v>-0.13095492328392666</v>
      </c>
      <c r="CG26" s="24">
        <f>CC26*6</f>
        <v>30000000</v>
      </c>
      <c r="CH26" s="24">
        <v>33785316.582061373</v>
      </c>
      <c r="CI26" s="23">
        <f t="shared" si="44"/>
        <v>-3785316.5820613727</v>
      </c>
      <c r="CJ26" s="76">
        <f t="shared" si="45"/>
        <v>-0.11204028746829098</v>
      </c>
      <c r="CK26" s="24">
        <v>68305965.514753431</v>
      </c>
      <c r="CL26" s="23">
        <f t="shared" si="46"/>
        <v>-38305965.514753431</v>
      </c>
      <c r="CM26" s="75">
        <f t="shared" si="47"/>
        <v>-0.56079970799153278</v>
      </c>
      <c r="CN26" s="27">
        <v>5000000</v>
      </c>
      <c r="CO26" s="26">
        <v>5753441.4887820091</v>
      </c>
      <c r="CP26" s="23">
        <f t="shared" si="48"/>
        <v>-753441.48878200911</v>
      </c>
      <c r="CQ26" s="76">
        <f t="shared" si="49"/>
        <v>-0.13095492328392666</v>
      </c>
      <c r="CR26" s="24">
        <f>CN26*6</f>
        <v>30000000</v>
      </c>
      <c r="CS26" s="24">
        <v>33785316.582061373</v>
      </c>
      <c r="CT26" s="23">
        <f t="shared" si="50"/>
        <v>-3785316.5820613727</v>
      </c>
      <c r="CU26" s="76">
        <f t="shared" si="51"/>
        <v>-0.11204028746829098</v>
      </c>
      <c r="CV26" s="24">
        <v>68305965.514753431</v>
      </c>
      <c r="CW26" s="23">
        <f t="shared" si="52"/>
        <v>-38305965.514753431</v>
      </c>
      <c r="CX26" s="75">
        <f t="shared" si="53"/>
        <v>-0.56079970799153278</v>
      </c>
      <c r="CY26" s="27">
        <v>5000000</v>
      </c>
      <c r="CZ26" s="26">
        <v>5753441.4887820091</v>
      </c>
      <c r="DA26" s="23">
        <f t="shared" si="54"/>
        <v>-753441.48878200911</v>
      </c>
      <c r="DB26" s="76">
        <f t="shared" si="55"/>
        <v>-0.13095492328392666</v>
      </c>
      <c r="DC26" s="24">
        <f>CY26*6</f>
        <v>30000000</v>
      </c>
      <c r="DD26" s="24">
        <v>33785316.582061373</v>
      </c>
      <c r="DE26" s="23">
        <f t="shared" si="56"/>
        <v>-3785316.5820613727</v>
      </c>
      <c r="DF26" s="76">
        <f t="shared" si="57"/>
        <v>-0.11204028746829098</v>
      </c>
      <c r="DG26" s="24">
        <v>68305965.514753431</v>
      </c>
      <c r="DH26" s="23">
        <f t="shared" si="58"/>
        <v>-38305965.514753431</v>
      </c>
      <c r="DI26" s="75">
        <f t="shared" si="59"/>
        <v>-0.56079970799153278</v>
      </c>
    </row>
    <row r="27" spans="1:113" s="6" customFormat="1" outlineLevel="2" x14ac:dyDescent="0.2">
      <c r="B27" s="29" t="s">
        <v>100</v>
      </c>
      <c r="C27" s="52" t="s">
        <v>99</v>
      </c>
      <c r="D27" s="27">
        <v>0</v>
      </c>
      <c r="E27" s="26">
        <v>0</v>
      </c>
      <c r="F27" s="23">
        <f t="shared" si="0"/>
        <v>0</v>
      </c>
      <c r="G27" s="76" t="str">
        <f t="shared" si="1"/>
        <v>-</v>
      </c>
      <c r="H27" s="24">
        <v>0</v>
      </c>
      <c r="I27" s="24">
        <v>0</v>
      </c>
      <c r="J27" s="23">
        <f t="shared" si="2"/>
        <v>0</v>
      </c>
      <c r="K27" s="76" t="str">
        <f t="shared" si="3"/>
        <v>-</v>
      </c>
      <c r="L27" s="24">
        <v>0</v>
      </c>
      <c r="M27" s="23">
        <f t="shared" si="4"/>
        <v>0</v>
      </c>
      <c r="N27" s="75" t="str">
        <f t="shared" si="5"/>
        <v>-</v>
      </c>
      <c r="O27" s="27">
        <v>0</v>
      </c>
      <c r="P27" s="26">
        <v>0</v>
      </c>
      <c r="Q27" s="23">
        <f t="shared" si="6"/>
        <v>0</v>
      </c>
      <c r="R27" s="76" t="str">
        <f t="shared" si="7"/>
        <v>-</v>
      </c>
      <c r="S27" s="24">
        <v>0</v>
      </c>
      <c r="T27" s="24">
        <v>0</v>
      </c>
      <c r="U27" s="23">
        <f t="shared" si="8"/>
        <v>0</v>
      </c>
      <c r="V27" s="76" t="str">
        <f t="shared" si="9"/>
        <v>-</v>
      </c>
      <c r="W27" s="24">
        <v>0</v>
      </c>
      <c r="X27" s="23">
        <f t="shared" si="10"/>
        <v>0</v>
      </c>
      <c r="Y27" s="75" t="str">
        <f t="shared" si="11"/>
        <v>-</v>
      </c>
      <c r="Z27" s="27">
        <v>0</v>
      </c>
      <c r="AA27" s="26">
        <v>0</v>
      </c>
      <c r="AB27" s="23">
        <f t="shared" si="12"/>
        <v>0</v>
      </c>
      <c r="AC27" s="76" t="str">
        <f t="shared" si="13"/>
        <v>-</v>
      </c>
      <c r="AD27" s="24">
        <v>0</v>
      </c>
      <c r="AE27" s="24">
        <v>0</v>
      </c>
      <c r="AF27" s="23">
        <f t="shared" si="14"/>
        <v>0</v>
      </c>
      <c r="AG27" s="76" t="str">
        <f t="shared" si="15"/>
        <v>-</v>
      </c>
      <c r="AH27" s="24">
        <v>0</v>
      </c>
      <c r="AI27" s="23">
        <f t="shared" si="16"/>
        <v>0</v>
      </c>
      <c r="AJ27" s="75" t="str">
        <f t="shared" si="17"/>
        <v>-</v>
      </c>
      <c r="AK27" s="27">
        <v>0</v>
      </c>
      <c r="AL27" s="26">
        <v>0</v>
      </c>
      <c r="AM27" s="23">
        <f t="shared" si="18"/>
        <v>0</v>
      </c>
      <c r="AN27" s="76" t="str">
        <f t="shared" si="19"/>
        <v>-</v>
      </c>
      <c r="AO27" s="24">
        <v>0</v>
      </c>
      <c r="AP27" s="24">
        <v>0</v>
      </c>
      <c r="AQ27" s="23">
        <f t="shared" si="20"/>
        <v>0</v>
      </c>
      <c r="AR27" s="76" t="str">
        <f t="shared" si="21"/>
        <v>-</v>
      </c>
      <c r="AS27" s="24">
        <v>0</v>
      </c>
      <c r="AT27" s="23">
        <f t="shared" si="22"/>
        <v>0</v>
      </c>
      <c r="AU27" s="75" t="str">
        <f t="shared" si="23"/>
        <v>-</v>
      </c>
      <c r="AV27" s="27">
        <v>0</v>
      </c>
      <c r="AW27" s="26">
        <v>0</v>
      </c>
      <c r="AX27" s="23">
        <f t="shared" si="24"/>
        <v>0</v>
      </c>
      <c r="AY27" s="76" t="str">
        <f t="shared" si="25"/>
        <v>-</v>
      </c>
      <c r="AZ27" s="24">
        <v>0</v>
      </c>
      <c r="BA27" s="24">
        <v>0</v>
      </c>
      <c r="BB27" s="23">
        <f t="shared" si="26"/>
        <v>0</v>
      </c>
      <c r="BC27" s="76" t="str">
        <f t="shared" si="27"/>
        <v>-</v>
      </c>
      <c r="BD27" s="24">
        <v>0</v>
      </c>
      <c r="BE27" s="23">
        <f t="shared" si="28"/>
        <v>0</v>
      </c>
      <c r="BF27" s="75" t="str">
        <f t="shared" si="29"/>
        <v>-</v>
      </c>
      <c r="BG27" s="27">
        <v>0</v>
      </c>
      <c r="BH27" s="26">
        <v>0</v>
      </c>
      <c r="BI27" s="23">
        <f t="shared" si="30"/>
        <v>0</v>
      </c>
      <c r="BJ27" s="76" t="str">
        <f t="shared" si="31"/>
        <v>-</v>
      </c>
      <c r="BK27" s="24">
        <v>0</v>
      </c>
      <c r="BL27" s="24">
        <v>0</v>
      </c>
      <c r="BM27" s="23">
        <f t="shared" si="32"/>
        <v>0</v>
      </c>
      <c r="BN27" s="76" t="str">
        <f t="shared" si="33"/>
        <v>-</v>
      </c>
      <c r="BO27" s="24">
        <v>0</v>
      </c>
      <c r="BP27" s="23">
        <f t="shared" si="34"/>
        <v>0</v>
      </c>
      <c r="BQ27" s="75" t="str">
        <f t="shared" si="35"/>
        <v>-</v>
      </c>
      <c r="BR27" s="27">
        <v>0</v>
      </c>
      <c r="BS27" s="26">
        <v>0</v>
      </c>
      <c r="BT27" s="23">
        <f t="shared" si="36"/>
        <v>0</v>
      </c>
      <c r="BU27" s="76" t="str">
        <f t="shared" si="37"/>
        <v>-</v>
      </c>
      <c r="BV27" s="24">
        <v>0</v>
      </c>
      <c r="BW27" s="24">
        <v>0</v>
      </c>
      <c r="BX27" s="23">
        <f t="shared" si="38"/>
        <v>0</v>
      </c>
      <c r="BY27" s="76" t="str">
        <f t="shared" si="39"/>
        <v>-</v>
      </c>
      <c r="BZ27" s="24">
        <v>0</v>
      </c>
      <c r="CA27" s="23">
        <f t="shared" si="40"/>
        <v>0</v>
      </c>
      <c r="CB27" s="75" t="str">
        <f t="shared" si="41"/>
        <v>-</v>
      </c>
      <c r="CC27" s="27">
        <v>0</v>
      </c>
      <c r="CD27" s="26">
        <v>0</v>
      </c>
      <c r="CE27" s="23">
        <f t="shared" si="42"/>
        <v>0</v>
      </c>
      <c r="CF27" s="76" t="str">
        <f t="shared" si="43"/>
        <v>-</v>
      </c>
      <c r="CG27" s="24">
        <v>0</v>
      </c>
      <c r="CH27" s="24">
        <v>0</v>
      </c>
      <c r="CI27" s="23">
        <f t="shared" si="44"/>
        <v>0</v>
      </c>
      <c r="CJ27" s="76" t="str">
        <f t="shared" si="45"/>
        <v>-</v>
      </c>
      <c r="CK27" s="24">
        <v>0</v>
      </c>
      <c r="CL27" s="23">
        <f t="shared" si="46"/>
        <v>0</v>
      </c>
      <c r="CM27" s="75" t="str">
        <f t="shared" si="47"/>
        <v>-</v>
      </c>
      <c r="CN27" s="27">
        <v>0</v>
      </c>
      <c r="CO27" s="26">
        <v>0</v>
      </c>
      <c r="CP27" s="23">
        <f t="shared" si="48"/>
        <v>0</v>
      </c>
      <c r="CQ27" s="76" t="str">
        <f t="shared" si="49"/>
        <v>-</v>
      </c>
      <c r="CR27" s="24">
        <v>0</v>
      </c>
      <c r="CS27" s="24">
        <v>0</v>
      </c>
      <c r="CT27" s="23">
        <f t="shared" si="50"/>
        <v>0</v>
      </c>
      <c r="CU27" s="76" t="str">
        <f t="shared" si="51"/>
        <v>-</v>
      </c>
      <c r="CV27" s="24">
        <v>0</v>
      </c>
      <c r="CW27" s="23">
        <f t="shared" si="52"/>
        <v>0</v>
      </c>
      <c r="CX27" s="75" t="str">
        <f t="shared" si="53"/>
        <v>-</v>
      </c>
      <c r="CY27" s="27">
        <v>0</v>
      </c>
      <c r="CZ27" s="26">
        <v>0</v>
      </c>
      <c r="DA27" s="23">
        <f t="shared" si="54"/>
        <v>0</v>
      </c>
      <c r="DB27" s="76" t="str">
        <f t="shared" si="55"/>
        <v>-</v>
      </c>
      <c r="DC27" s="24">
        <v>0</v>
      </c>
      <c r="DD27" s="24">
        <v>0</v>
      </c>
      <c r="DE27" s="23">
        <f t="shared" si="56"/>
        <v>0</v>
      </c>
      <c r="DF27" s="76" t="str">
        <f t="shared" si="57"/>
        <v>-</v>
      </c>
      <c r="DG27" s="24">
        <v>0</v>
      </c>
      <c r="DH27" s="23">
        <f t="shared" si="58"/>
        <v>0</v>
      </c>
      <c r="DI27" s="75" t="str">
        <f t="shared" si="59"/>
        <v>-</v>
      </c>
    </row>
    <row r="28" spans="1:113" s="6" customFormat="1" outlineLevel="1" x14ac:dyDescent="0.2">
      <c r="A28" s="30"/>
      <c r="B28" s="48" t="s">
        <v>98</v>
      </c>
      <c r="C28" s="55" t="s">
        <v>97</v>
      </c>
      <c r="D28" s="46">
        <f>SUM(D26:D27)</f>
        <v>5000000</v>
      </c>
      <c r="E28" s="45">
        <f>SUM(E26:E27)</f>
        <v>5753441.4887820091</v>
      </c>
      <c r="F28" s="23">
        <f t="shared" si="0"/>
        <v>-753441.48878200911</v>
      </c>
      <c r="G28" s="76">
        <f t="shared" si="1"/>
        <v>-0.13095492328392666</v>
      </c>
      <c r="H28" s="44">
        <f>SUM(H26:H27)</f>
        <v>30000000</v>
      </c>
      <c r="I28" s="44">
        <f>SUM(I26:I27)</f>
        <v>33785316.582061373</v>
      </c>
      <c r="J28" s="23">
        <f t="shared" si="2"/>
        <v>-3785316.5820613727</v>
      </c>
      <c r="K28" s="76">
        <f t="shared" si="3"/>
        <v>-0.11204028746829098</v>
      </c>
      <c r="L28" s="44">
        <f>SUM(L26:L27)</f>
        <v>68305965.514753431</v>
      </c>
      <c r="M28" s="23">
        <f t="shared" si="4"/>
        <v>-38305965.514753431</v>
      </c>
      <c r="N28" s="75">
        <f t="shared" si="5"/>
        <v>-0.56079970799153278</v>
      </c>
      <c r="O28" s="46">
        <f>SUM(O26:O27)</f>
        <v>5000000</v>
      </c>
      <c r="P28" s="45">
        <f>SUM(P26:P27)</f>
        <v>5753441.4887820091</v>
      </c>
      <c r="Q28" s="23">
        <f t="shared" si="6"/>
        <v>-753441.48878200911</v>
      </c>
      <c r="R28" s="76">
        <f t="shared" si="7"/>
        <v>-0.13095492328392666</v>
      </c>
      <c r="S28" s="44">
        <f>SUM(S26:S27)</f>
        <v>30000000</v>
      </c>
      <c r="T28" s="44">
        <f>SUM(T26:T27)</f>
        <v>33785316.582061373</v>
      </c>
      <c r="U28" s="23">
        <f t="shared" si="8"/>
        <v>-3785316.5820613727</v>
      </c>
      <c r="V28" s="76">
        <f t="shared" si="9"/>
        <v>-0.11204028746829098</v>
      </c>
      <c r="W28" s="44">
        <f>SUM(W26:W27)</f>
        <v>68305965.514753431</v>
      </c>
      <c r="X28" s="23">
        <f t="shared" si="10"/>
        <v>-38305965.514753431</v>
      </c>
      <c r="Y28" s="75">
        <f t="shared" si="11"/>
        <v>-0.56079970799153278</v>
      </c>
      <c r="Z28" s="46">
        <f>SUM(Z26:Z27)</f>
        <v>5000000</v>
      </c>
      <c r="AA28" s="45">
        <f>SUM(AA26:AA27)</f>
        <v>5753441.4887820091</v>
      </c>
      <c r="AB28" s="23">
        <f t="shared" si="12"/>
        <v>-753441.48878200911</v>
      </c>
      <c r="AC28" s="76">
        <f t="shared" si="13"/>
        <v>-0.13095492328392666</v>
      </c>
      <c r="AD28" s="44">
        <f>SUM(AD26:AD27)</f>
        <v>30000000</v>
      </c>
      <c r="AE28" s="44">
        <f>SUM(AE26:AE27)</f>
        <v>33785316.582061373</v>
      </c>
      <c r="AF28" s="23">
        <f t="shared" si="14"/>
        <v>-3785316.5820613727</v>
      </c>
      <c r="AG28" s="76">
        <f t="shared" si="15"/>
        <v>-0.11204028746829098</v>
      </c>
      <c r="AH28" s="44">
        <f>SUM(AH26:AH27)</f>
        <v>68305965.514753431</v>
      </c>
      <c r="AI28" s="23">
        <f t="shared" si="16"/>
        <v>-38305965.514753431</v>
      </c>
      <c r="AJ28" s="75">
        <f t="shared" si="17"/>
        <v>-0.56079970799153278</v>
      </c>
      <c r="AK28" s="46">
        <f>SUM(AK26:AK27)</f>
        <v>5000000</v>
      </c>
      <c r="AL28" s="45">
        <f>SUM(AL26:AL27)</f>
        <v>5753441.4887820091</v>
      </c>
      <c r="AM28" s="23">
        <f t="shared" si="18"/>
        <v>-753441.48878200911</v>
      </c>
      <c r="AN28" s="76">
        <f t="shared" si="19"/>
        <v>-0.13095492328392666</v>
      </c>
      <c r="AO28" s="44">
        <f>SUM(AO26:AO27)</f>
        <v>30000000</v>
      </c>
      <c r="AP28" s="44">
        <f>SUM(AP26:AP27)</f>
        <v>33785316.582061373</v>
      </c>
      <c r="AQ28" s="23">
        <f t="shared" si="20"/>
        <v>-3785316.5820613727</v>
      </c>
      <c r="AR28" s="76">
        <f t="shared" si="21"/>
        <v>-0.11204028746829098</v>
      </c>
      <c r="AS28" s="44">
        <f>SUM(AS26:AS27)</f>
        <v>68305965.514753431</v>
      </c>
      <c r="AT28" s="23">
        <f t="shared" si="22"/>
        <v>-38305965.514753431</v>
      </c>
      <c r="AU28" s="75">
        <f t="shared" si="23"/>
        <v>-0.56079970799153278</v>
      </c>
      <c r="AV28" s="46">
        <f>SUM(AV26:AV27)</f>
        <v>5000000</v>
      </c>
      <c r="AW28" s="45">
        <f>SUM(AW26:AW27)</f>
        <v>5753441.4887820091</v>
      </c>
      <c r="AX28" s="23">
        <f t="shared" si="24"/>
        <v>-753441.48878200911</v>
      </c>
      <c r="AY28" s="76">
        <f t="shared" si="25"/>
        <v>-0.13095492328392666</v>
      </c>
      <c r="AZ28" s="44">
        <f>SUM(AZ26:AZ27)</f>
        <v>30000000</v>
      </c>
      <c r="BA28" s="44">
        <f>SUM(BA26:BA27)</f>
        <v>33785316.582061373</v>
      </c>
      <c r="BB28" s="23">
        <f t="shared" si="26"/>
        <v>-3785316.5820613727</v>
      </c>
      <c r="BC28" s="76">
        <f t="shared" si="27"/>
        <v>-0.11204028746829098</v>
      </c>
      <c r="BD28" s="44">
        <f>SUM(BD26:BD27)</f>
        <v>68305965.514753431</v>
      </c>
      <c r="BE28" s="23">
        <f t="shared" si="28"/>
        <v>-38305965.514753431</v>
      </c>
      <c r="BF28" s="75">
        <f t="shared" si="29"/>
        <v>-0.56079970799153278</v>
      </c>
      <c r="BG28" s="46">
        <f>SUM(BG26:BG27)</f>
        <v>5000000</v>
      </c>
      <c r="BH28" s="45">
        <f>SUM(BH26:BH27)</f>
        <v>5753441.4887820091</v>
      </c>
      <c r="BI28" s="23">
        <f t="shared" si="30"/>
        <v>-753441.48878200911</v>
      </c>
      <c r="BJ28" s="76">
        <f t="shared" si="31"/>
        <v>-0.13095492328392666</v>
      </c>
      <c r="BK28" s="44">
        <f>SUM(BK26:BK27)</f>
        <v>30000000</v>
      </c>
      <c r="BL28" s="44">
        <f>SUM(BL26:BL27)</f>
        <v>33785316.582061373</v>
      </c>
      <c r="BM28" s="23">
        <f t="shared" si="32"/>
        <v>-3785316.5820613727</v>
      </c>
      <c r="BN28" s="76">
        <f t="shared" si="33"/>
        <v>-0.11204028746829098</v>
      </c>
      <c r="BO28" s="44">
        <f>SUM(BO26:BO27)</f>
        <v>68305965.514753431</v>
      </c>
      <c r="BP28" s="23">
        <f t="shared" si="34"/>
        <v>-38305965.514753431</v>
      </c>
      <c r="BQ28" s="75">
        <f t="shared" si="35"/>
        <v>-0.56079970799153278</v>
      </c>
      <c r="BR28" s="46">
        <f>SUM(BR26:BR27)</f>
        <v>5000000</v>
      </c>
      <c r="BS28" s="45">
        <f>SUM(BS26:BS27)</f>
        <v>5753441.4887820091</v>
      </c>
      <c r="BT28" s="23">
        <f t="shared" si="36"/>
        <v>-753441.48878200911</v>
      </c>
      <c r="BU28" s="76">
        <f t="shared" si="37"/>
        <v>-0.13095492328392666</v>
      </c>
      <c r="BV28" s="44">
        <f>SUM(BV26:BV27)</f>
        <v>30000000</v>
      </c>
      <c r="BW28" s="44">
        <f>SUM(BW26:BW27)</f>
        <v>33785316.582061373</v>
      </c>
      <c r="BX28" s="23">
        <f t="shared" si="38"/>
        <v>-3785316.5820613727</v>
      </c>
      <c r="BY28" s="76">
        <f t="shared" si="39"/>
        <v>-0.11204028746829098</v>
      </c>
      <c r="BZ28" s="44">
        <f>SUM(BZ26:BZ27)</f>
        <v>68305965.514753431</v>
      </c>
      <c r="CA28" s="23">
        <f t="shared" si="40"/>
        <v>-38305965.514753431</v>
      </c>
      <c r="CB28" s="75">
        <f t="shared" si="41"/>
        <v>-0.56079970799153278</v>
      </c>
      <c r="CC28" s="46">
        <f>SUM(CC26:CC27)</f>
        <v>5000000</v>
      </c>
      <c r="CD28" s="45">
        <f>SUM(CD26:CD27)</f>
        <v>5753441.4887820091</v>
      </c>
      <c r="CE28" s="23">
        <f t="shared" si="42"/>
        <v>-753441.48878200911</v>
      </c>
      <c r="CF28" s="76">
        <f t="shared" si="43"/>
        <v>-0.13095492328392666</v>
      </c>
      <c r="CG28" s="44">
        <f>SUM(CG26:CG27)</f>
        <v>30000000</v>
      </c>
      <c r="CH28" s="44">
        <f>SUM(CH26:CH27)</f>
        <v>33785316.582061373</v>
      </c>
      <c r="CI28" s="23">
        <f t="shared" si="44"/>
        <v>-3785316.5820613727</v>
      </c>
      <c r="CJ28" s="76">
        <f t="shared" si="45"/>
        <v>-0.11204028746829098</v>
      </c>
      <c r="CK28" s="44">
        <f>SUM(CK26:CK27)</f>
        <v>68305965.514753431</v>
      </c>
      <c r="CL28" s="23">
        <f t="shared" si="46"/>
        <v>-38305965.514753431</v>
      </c>
      <c r="CM28" s="75">
        <f t="shared" si="47"/>
        <v>-0.56079970799153278</v>
      </c>
      <c r="CN28" s="46">
        <f>SUM(CN26:CN27)</f>
        <v>5000000</v>
      </c>
      <c r="CO28" s="45">
        <f>SUM(CO26:CO27)</f>
        <v>5753441.4887820091</v>
      </c>
      <c r="CP28" s="23">
        <f t="shared" si="48"/>
        <v>-753441.48878200911</v>
      </c>
      <c r="CQ28" s="76">
        <f t="shared" si="49"/>
        <v>-0.13095492328392666</v>
      </c>
      <c r="CR28" s="44">
        <f>SUM(CR26:CR27)</f>
        <v>30000000</v>
      </c>
      <c r="CS28" s="44">
        <f>SUM(CS26:CS27)</f>
        <v>33785316.582061373</v>
      </c>
      <c r="CT28" s="23">
        <f t="shared" si="50"/>
        <v>-3785316.5820613727</v>
      </c>
      <c r="CU28" s="76">
        <f t="shared" si="51"/>
        <v>-0.11204028746829098</v>
      </c>
      <c r="CV28" s="44">
        <f>SUM(CV26:CV27)</f>
        <v>68305965.514753431</v>
      </c>
      <c r="CW28" s="23">
        <f t="shared" si="52"/>
        <v>-38305965.514753431</v>
      </c>
      <c r="CX28" s="75">
        <f t="shared" si="53"/>
        <v>-0.56079970799153278</v>
      </c>
      <c r="CY28" s="46">
        <f>SUM(CY26:CY27)</f>
        <v>5000000</v>
      </c>
      <c r="CZ28" s="45">
        <f>SUM(CZ26:CZ27)</f>
        <v>5753441.4887820091</v>
      </c>
      <c r="DA28" s="23">
        <f t="shared" si="54"/>
        <v>-753441.48878200911</v>
      </c>
      <c r="DB28" s="76">
        <f t="shared" si="55"/>
        <v>-0.13095492328392666</v>
      </c>
      <c r="DC28" s="44">
        <f>SUM(DC26:DC27)</f>
        <v>30000000</v>
      </c>
      <c r="DD28" s="44">
        <f>SUM(DD26:DD27)</f>
        <v>33785316.582061373</v>
      </c>
      <c r="DE28" s="23">
        <f t="shared" si="56"/>
        <v>-3785316.5820613727</v>
      </c>
      <c r="DF28" s="76">
        <f t="shared" si="57"/>
        <v>-0.11204028746829098</v>
      </c>
      <c r="DG28" s="44">
        <f>SUM(DG26:DG27)</f>
        <v>68305965.514753431</v>
      </c>
      <c r="DH28" s="23">
        <f t="shared" si="58"/>
        <v>-38305965.514753431</v>
      </c>
      <c r="DI28" s="75">
        <f t="shared" si="59"/>
        <v>-0.56079970799153278</v>
      </c>
    </row>
    <row r="29" spans="1:113" outlineLevel="3" x14ac:dyDescent="0.2">
      <c r="A29" s="54"/>
      <c r="B29" s="38" t="s">
        <v>96</v>
      </c>
      <c r="C29" s="49" t="s">
        <v>95</v>
      </c>
      <c r="D29" s="41">
        <v>120000</v>
      </c>
      <c r="E29" s="40">
        <v>0</v>
      </c>
      <c r="F29" s="32">
        <f t="shared" si="0"/>
        <v>120000</v>
      </c>
      <c r="G29" s="78" t="str">
        <f t="shared" si="1"/>
        <v>-</v>
      </c>
      <c r="H29" s="39">
        <v>498360</v>
      </c>
      <c r="I29" s="39">
        <v>0</v>
      </c>
      <c r="J29" s="32">
        <f t="shared" si="2"/>
        <v>498360</v>
      </c>
      <c r="K29" s="78" t="str">
        <f t="shared" si="3"/>
        <v>-</v>
      </c>
      <c r="L29" s="39">
        <v>0</v>
      </c>
      <c r="M29" s="32">
        <f t="shared" si="4"/>
        <v>498360</v>
      </c>
      <c r="N29" s="77" t="str">
        <f t="shared" si="5"/>
        <v>-</v>
      </c>
      <c r="O29" s="41">
        <v>120000</v>
      </c>
      <c r="P29" s="40">
        <v>0</v>
      </c>
      <c r="Q29" s="32">
        <f t="shared" si="6"/>
        <v>120000</v>
      </c>
      <c r="R29" s="78" t="str">
        <f t="shared" si="7"/>
        <v>-</v>
      </c>
      <c r="S29" s="39">
        <v>498360</v>
      </c>
      <c r="T29" s="39">
        <v>0</v>
      </c>
      <c r="U29" s="32">
        <f t="shared" si="8"/>
        <v>498360</v>
      </c>
      <c r="V29" s="78" t="str">
        <f t="shared" si="9"/>
        <v>-</v>
      </c>
      <c r="W29" s="39">
        <v>0</v>
      </c>
      <c r="X29" s="32">
        <f t="shared" si="10"/>
        <v>498360</v>
      </c>
      <c r="Y29" s="77" t="str">
        <f t="shared" si="11"/>
        <v>-</v>
      </c>
      <c r="Z29" s="41">
        <v>120000</v>
      </c>
      <c r="AA29" s="40">
        <v>0</v>
      </c>
      <c r="AB29" s="32">
        <f t="shared" si="12"/>
        <v>120000</v>
      </c>
      <c r="AC29" s="78" t="str">
        <f t="shared" si="13"/>
        <v>-</v>
      </c>
      <c r="AD29" s="39">
        <v>498360</v>
      </c>
      <c r="AE29" s="39">
        <v>0</v>
      </c>
      <c r="AF29" s="32">
        <f t="shared" si="14"/>
        <v>498360</v>
      </c>
      <c r="AG29" s="78" t="str">
        <f t="shared" si="15"/>
        <v>-</v>
      </c>
      <c r="AH29" s="39">
        <v>0</v>
      </c>
      <c r="AI29" s="32">
        <f t="shared" si="16"/>
        <v>498360</v>
      </c>
      <c r="AJ29" s="77" t="str">
        <f t="shared" si="17"/>
        <v>-</v>
      </c>
      <c r="AK29" s="41">
        <v>120000</v>
      </c>
      <c r="AL29" s="40">
        <v>0</v>
      </c>
      <c r="AM29" s="32">
        <f t="shared" si="18"/>
        <v>120000</v>
      </c>
      <c r="AN29" s="78" t="str">
        <f t="shared" si="19"/>
        <v>-</v>
      </c>
      <c r="AO29" s="39">
        <v>498360</v>
      </c>
      <c r="AP29" s="39">
        <v>0</v>
      </c>
      <c r="AQ29" s="32">
        <f t="shared" si="20"/>
        <v>498360</v>
      </c>
      <c r="AR29" s="78" t="str">
        <f t="shared" si="21"/>
        <v>-</v>
      </c>
      <c r="AS29" s="39">
        <v>0</v>
      </c>
      <c r="AT29" s="32">
        <f t="shared" si="22"/>
        <v>498360</v>
      </c>
      <c r="AU29" s="77" t="str">
        <f t="shared" si="23"/>
        <v>-</v>
      </c>
      <c r="AV29" s="41">
        <v>120000</v>
      </c>
      <c r="AW29" s="40">
        <v>0</v>
      </c>
      <c r="AX29" s="32">
        <f t="shared" si="24"/>
        <v>120000</v>
      </c>
      <c r="AY29" s="78" t="str">
        <f t="shared" si="25"/>
        <v>-</v>
      </c>
      <c r="AZ29" s="39">
        <v>498360</v>
      </c>
      <c r="BA29" s="39">
        <v>0</v>
      </c>
      <c r="BB29" s="32">
        <f t="shared" si="26"/>
        <v>498360</v>
      </c>
      <c r="BC29" s="78" t="str">
        <f t="shared" si="27"/>
        <v>-</v>
      </c>
      <c r="BD29" s="39">
        <v>0</v>
      </c>
      <c r="BE29" s="32">
        <f t="shared" si="28"/>
        <v>498360</v>
      </c>
      <c r="BF29" s="77" t="str">
        <f t="shared" si="29"/>
        <v>-</v>
      </c>
      <c r="BG29" s="41">
        <v>120000</v>
      </c>
      <c r="BH29" s="40">
        <v>0</v>
      </c>
      <c r="BI29" s="32">
        <f t="shared" si="30"/>
        <v>120000</v>
      </c>
      <c r="BJ29" s="78" t="str">
        <f t="shared" si="31"/>
        <v>-</v>
      </c>
      <c r="BK29" s="39">
        <v>498360</v>
      </c>
      <c r="BL29" s="39">
        <v>0</v>
      </c>
      <c r="BM29" s="32">
        <f t="shared" si="32"/>
        <v>498360</v>
      </c>
      <c r="BN29" s="78" t="str">
        <f t="shared" si="33"/>
        <v>-</v>
      </c>
      <c r="BO29" s="39">
        <v>0</v>
      </c>
      <c r="BP29" s="32">
        <f t="shared" si="34"/>
        <v>498360</v>
      </c>
      <c r="BQ29" s="77" t="str">
        <f t="shared" si="35"/>
        <v>-</v>
      </c>
      <c r="BR29" s="41">
        <v>120000</v>
      </c>
      <c r="BS29" s="40">
        <v>0</v>
      </c>
      <c r="BT29" s="32">
        <f t="shared" si="36"/>
        <v>120000</v>
      </c>
      <c r="BU29" s="78" t="str">
        <f t="shared" si="37"/>
        <v>-</v>
      </c>
      <c r="BV29" s="39">
        <v>498360</v>
      </c>
      <c r="BW29" s="39">
        <v>0</v>
      </c>
      <c r="BX29" s="32">
        <f t="shared" si="38"/>
        <v>498360</v>
      </c>
      <c r="BY29" s="78" t="str">
        <f t="shared" si="39"/>
        <v>-</v>
      </c>
      <c r="BZ29" s="39">
        <v>0</v>
      </c>
      <c r="CA29" s="32">
        <f t="shared" si="40"/>
        <v>498360</v>
      </c>
      <c r="CB29" s="77" t="str">
        <f t="shared" si="41"/>
        <v>-</v>
      </c>
      <c r="CC29" s="41">
        <v>120000</v>
      </c>
      <c r="CD29" s="40">
        <v>0</v>
      </c>
      <c r="CE29" s="32">
        <f t="shared" si="42"/>
        <v>120000</v>
      </c>
      <c r="CF29" s="78" t="str">
        <f t="shared" si="43"/>
        <v>-</v>
      </c>
      <c r="CG29" s="39">
        <v>498360</v>
      </c>
      <c r="CH29" s="39">
        <v>0</v>
      </c>
      <c r="CI29" s="32">
        <f t="shared" si="44"/>
        <v>498360</v>
      </c>
      <c r="CJ29" s="78" t="str">
        <f t="shared" si="45"/>
        <v>-</v>
      </c>
      <c r="CK29" s="39">
        <v>0</v>
      </c>
      <c r="CL29" s="32">
        <f t="shared" si="46"/>
        <v>498360</v>
      </c>
      <c r="CM29" s="77" t="str">
        <f t="shared" si="47"/>
        <v>-</v>
      </c>
      <c r="CN29" s="41">
        <v>120000</v>
      </c>
      <c r="CO29" s="40">
        <v>0</v>
      </c>
      <c r="CP29" s="32">
        <f t="shared" si="48"/>
        <v>120000</v>
      </c>
      <c r="CQ29" s="78" t="str">
        <f t="shared" si="49"/>
        <v>-</v>
      </c>
      <c r="CR29" s="39">
        <v>498360</v>
      </c>
      <c r="CS29" s="39">
        <v>0</v>
      </c>
      <c r="CT29" s="32">
        <f t="shared" si="50"/>
        <v>498360</v>
      </c>
      <c r="CU29" s="78" t="str">
        <f t="shared" si="51"/>
        <v>-</v>
      </c>
      <c r="CV29" s="39">
        <v>0</v>
      </c>
      <c r="CW29" s="32">
        <f t="shared" si="52"/>
        <v>498360</v>
      </c>
      <c r="CX29" s="77" t="str">
        <f t="shared" si="53"/>
        <v>-</v>
      </c>
      <c r="CY29" s="41">
        <v>120000</v>
      </c>
      <c r="CZ29" s="40">
        <v>0</v>
      </c>
      <c r="DA29" s="32">
        <f t="shared" si="54"/>
        <v>120000</v>
      </c>
      <c r="DB29" s="78" t="str">
        <f t="shared" si="55"/>
        <v>-</v>
      </c>
      <c r="DC29" s="39">
        <v>498360</v>
      </c>
      <c r="DD29" s="39">
        <v>0</v>
      </c>
      <c r="DE29" s="32">
        <f t="shared" si="56"/>
        <v>498360</v>
      </c>
      <c r="DF29" s="78" t="str">
        <f t="shared" si="57"/>
        <v>-</v>
      </c>
      <c r="DG29" s="39">
        <v>0</v>
      </c>
      <c r="DH29" s="32">
        <f t="shared" si="58"/>
        <v>498360</v>
      </c>
      <c r="DI29" s="77" t="str">
        <f t="shared" si="59"/>
        <v>-</v>
      </c>
    </row>
    <row r="30" spans="1:113" outlineLevel="3" x14ac:dyDescent="0.2">
      <c r="A30" s="54"/>
      <c r="B30" s="38" t="s">
        <v>94</v>
      </c>
      <c r="C30" s="49" t="s">
        <v>93</v>
      </c>
      <c r="D30" s="41">
        <v>0</v>
      </c>
      <c r="E30" s="40">
        <v>0</v>
      </c>
      <c r="F30" s="32">
        <f t="shared" si="0"/>
        <v>0</v>
      </c>
      <c r="G30" s="78" t="str">
        <f t="shared" si="1"/>
        <v>-</v>
      </c>
      <c r="H30" s="39">
        <v>0</v>
      </c>
      <c r="I30" s="39">
        <v>0</v>
      </c>
      <c r="J30" s="32">
        <f t="shared" si="2"/>
        <v>0</v>
      </c>
      <c r="K30" s="78" t="str">
        <f t="shared" si="3"/>
        <v>-</v>
      </c>
      <c r="L30" s="39">
        <v>0</v>
      </c>
      <c r="M30" s="32">
        <f t="shared" si="4"/>
        <v>0</v>
      </c>
      <c r="N30" s="77" t="str">
        <f t="shared" si="5"/>
        <v>-</v>
      </c>
      <c r="O30" s="41">
        <v>0</v>
      </c>
      <c r="P30" s="40">
        <v>0</v>
      </c>
      <c r="Q30" s="32">
        <f t="shared" si="6"/>
        <v>0</v>
      </c>
      <c r="R30" s="78" t="str">
        <f t="shared" si="7"/>
        <v>-</v>
      </c>
      <c r="S30" s="39">
        <v>0</v>
      </c>
      <c r="T30" s="39">
        <v>0</v>
      </c>
      <c r="U30" s="32">
        <f t="shared" si="8"/>
        <v>0</v>
      </c>
      <c r="V30" s="78" t="str">
        <f t="shared" si="9"/>
        <v>-</v>
      </c>
      <c r="W30" s="39">
        <v>0</v>
      </c>
      <c r="X30" s="32">
        <f t="shared" si="10"/>
        <v>0</v>
      </c>
      <c r="Y30" s="77" t="str">
        <f t="shared" si="11"/>
        <v>-</v>
      </c>
      <c r="Z30" s="41">
        <v>0</v>
      </c>
      <c r="AA30" s="40">
        <v>0</v>
      </c>
      <c r="AB30" s="32">
        <f t="shared" si="12"/>
        <v>0</v>
      </c>
      <c r="AC30" s="78" t="str">
        <f t="shared" si="13"/>
        <v>-</v>
      </c>
      <c r="AD30" s="39">
        <v>0</v>
      </c>
      <c r="AE30" s="39">
        <v>0</v>
      </c>
      <c r="AF30" s="32">
        <f t="shared" si="14"/>
        <v>0</v>
      </c>
      <c r="AG30" s="78" t="str">
        <f t="shared" si="15"/>
        <v>-</v>
      </c>
      <c r="AH30" s="39">
        <v>0</v>
      </c>
      <c r="AI30" s="32">
        <f t="shared" si="16"/>
        <v>0</v>
      </c>
      <c r="AJ30" s="77" t="str">
        <f t="shared" si="17"/>
        <v>-</v>
      </c>
      <c r="AK30" s="41">
        <v>0</v>
      </c>
      <c r="AL30" s="40">
        <v>0</v>
      </c>
      <c r="AM30" s="32">
        <f t="shared" si="18"/>
        <v>0</v>
      </c>
      <c r="AN30" s="78" t="str">
        <f t="shared" si="19"/>
        <v>-</v>
      </c>
      <c r="AO30" s="39">
        <v>0</v>
      </c>
      <c r="AP30" s="39">
        <v>0</v>
      </c>
      <c r="AQ30" s="32">
        <f t="shared" si="20"/>
        <v>0</v>
      </c>
      <c r="AR30" s="78" t="str">
        <f t="shared" si="21"/>
        <v>-</v>
      </c>
      <c r="AS30" s="39">
        <v>0</v>
      </c>
      <c r="AT30" s="32">
        <f t="shared" si="22"/>
        <v>0</v>
      </c>
      <c r="AU30" s="77" t="str">
        <f t="shared" si="23"/>
        <v>-</v>
      </c>
      <c r="AV30" s="41">
        <v>0</v>
      </c>
      <c r="AW30" s="40">
        <v>0</v>
      </c>
      <c r="AX30" s="32">
        <f t="shared" si="24"/>
        <v>0</v>
      </c>
      <c r="AY30" s="78" t="str">
        <f t="shared" si="25"/>
        <v>-</v>
      </c>
      <c r="AZ30" s="39">
        <v>0</v>
      </c>
      <c r="BA30" s="39">
        <v>0</v>
      </c>
      <c r="BB30" s="32">
        <f t="shared" si="26"/>
        <v>0</v>
      </c>
      <c r="BC30" s="78" t="str">
        <f t="shared" si="27"/>
        <v>-</v>
      </c>
      <c r="BD30" s="39">
        <v>0</v>
      </c>
      <c r="BE30" s="32">
        <f t="shared" si="28"/>
        <v>0</v>
      </c>
      <c r="BF30" s="77" t="str">
        <f t="shared" si="29"/>
        <v>-</v>
      </c>
      <c r="BG30" s="41">
        <v>0</v>
      </c>
      <c r="BH30" s="40">
        <v>0</v>
      </c>
      <c r="BI30" s="32">
        <f t="shared" si="30"/>
        <v>0</v>
      </c>
      <c r="BJ30" s="78" t="str">
        <f t="shared" si="31"/>
        <v>-</v>
      </c>
      <c r="BK30" s="39">
        <v>0</v>
      </c>
      <c r="BL30" s="39">
        <v>0</v>
      </c>
      <c r="BM30" s="32">
        <f t="shared" si="32"/>
        <v>0</v>
      </c>
      <c r="BN30" s="78" t="str">
        <f t="shared" si="33"/>
        <v>-</v>
      </c>
      <c r="BO30" s="39">
        <v>0</v>
      </c>
      <c r="BP30" s="32">
        <f t="shared" si="34"/>
        <v>0</v>
      </c>
      <c r="BQ30" s="77" t="str">
        <f t="shared" si="35"/>
        <v>-</v>
      </c>
      <c r="BR30" s="41">
        <v>0</v>
      </c>
      <c r="BS30" s="40">
        <v>0</v>
      </c>
      <c r="BT30" s="32">
        <f t="shared" si="36"/>
        <v>0</v>
      </c>
      <c r="BU30" s="78" t="str">
        <f t="shared" si="37"/>
        <v>-</v>
      </c>
      <c r="BV30" s="39">
        <v>0</v>
      </c>
      <c r="BW30" s="39">
        <v>0</v>
      </c>
      <c r="BX30" s="32">
        <f t="shared" si="38"/>
        <v>0</v>
      </c>
      <c r="BY30" s="78" t="str">
        <f t="shared" si="39"/>
        <v>-</v>
      </c>
      <c r="BZ30" s="39">
        <v>0</v>
      </c>
      <c r="CA30" s="32">
        <f t="shared" si="40"/>
        <v>0</v>
      </c>
      <c r="CB30" s="77" t="str">
        <f t="shared" si="41"/>
        <v>-</v>
      </c>
      <c r="CC30" s="41">
        <v>0</v>
      </c>
      <c r="CD30" s="40">
        <v>0</v>
      </c>
      <c r="CE30" s="32">
        <f t="shared" si="42"/>
        <v>0</v>
      </c>
      <c r="CF30" s="78" t="str">
        <f t="shared" si="43"/>
        <v>-</v>
      </c>
      <c r="CG30" s="39">
        <v>0</v>
      </c>
      <c r="CH30" s="39">
        <v>0</v>
      </c>
      <c r="CI30" s="32">
        <f t="shared" si="44"/>
        <v>0</v>
      </c>
      <c r="CJ30" s="78" t="str">
        <f t="shared" si="45"/>
        <v>-</v>
      </c>
      <c r="CK30" s="39">
        <v>0</v>
      </c>
      <c r="CL30" s="32">
        <f t="shared" si="46"/>
        <v>0</v>
      </c>
      <c r="CM30" s="77" t="str">
        <f t="shared" si="47"/>
        <v>-</v>
      </c>
      <c r="CN30" s="41">
        <v>0</v>
      </c>
      <c r="CO30" s="40">
        <v>0</v>
      </c>
      <c r="CP30" s="32">
        <f t="shared" si="48"/>
        <v>0</v>
      </c>
      <c r="CQ30" s="78" t="str">
        <f t="shared" si="49"/>
        <v>-</v>
      </c>
      <c r="CR30" s="39">
        <v>0</v>
      </c>
      <c r="CS30" s="39">
        <v>0</v>
      </c>
      <c r="CT30" s="32">
        <f t="shared" si="50"/>
        <v>0</v>
      </c>
      <c r="CU30" s="78" t="str">
        <f t="shared" si="51"/>
        <v>-</v>
      </c>
      <c r="CV30" s="39">
        <v>0</v>
      </c>
      <c r="CW30" s="32">
        <f t="shared" si="52"/>
        <v>0</v>
      </c>
      <c r="CX30" s="77" t="str">
        <f t="shared" si="53"/>
        <v>-</v>
      </c>
      <c r="CY30" s="41">
        <v>0</v>
      </c>
      <c r="CZ30" s="40">
        <v>0</v>
      </c>
      <c r="DA30" s="32">
        <f t="shared" si="54"/>
        <v>0</v>
      </c>
      <c r="DB30" s="78" t="str">
        <f t="shared" si="55"/>
        <v>-</v>
      </c>
      <c r="DC30" s="39">
        <v>0</v>
      </c>
      <c r="DD30" s="39">
        <v>0</v>
      </c>
      <c r="DE30" s="32">
        <f t="shared" si="56"/>
        <v>0</v>
      </c>
      <c r="DF30" s="78" t="str">
        <f t="shared" si="57"/>
        <v>-</v>
      </c>
      <c r="DG30" s="39">
        <v>0</v>
      </c>
      <c r="DH30" s="32">
        <f t="shared" si="58"/>
        <v>0</v>
      </c>
      <c r="DI30" s="77" t="str">
        <f t="shared" si="59"/>
        <v>-</v>
      </c>
    </row>
    <row r="31" spans="1:113" s="6" customFormat="1" outlineLevel="2" x14ac:dyDescent="0.2">
      <c r="A31" s="30"/>
      <c r="B31" s="29" t="s">
        <v>92</v>
      </c>
      <c r="C31" s="52" t="s">
        <v>91</v>
      </c>
      <c r="D31" s="27">
        <f>SUM(D29:D30)</f>
        <v>120000</v>
      </c>
      <c r="E31" s="26">
        <f>SUM(E29:E30)</f>
        <v>0</v>
      </c>
      <c r="F31" s="23">
        <f t="shared" si="0"/>
        <v>120000</v>
      </c>
      <c r="G31" s="76" t="str">
        <f t="shared" si="1"/>
        <v>-</v>
      </c>
      <c r="H31" s="24">
        <f>SUM(H29:H30)</f>
        <v>498360</v>
      </c>
      <c r="I31" s="24">
        <f>SUM(I29:I30)</f>
        <v>0</v>
      </c>
      <c r="J31" s="23">
        <f t="shared" si="2"/>
        <v>498360</v>
      </c>
      <c r="K31" s="76" t="str">
        <f t="shared" si="3"/>
        <v>-</v>
      </c>
      <c r="L31" s="24">
        <f>SUM(L29:L30)</f>
        <v>0</v>
      </c>
      <c r="M31" s="23">
        <f t="shared" si="4"/>
        <v>498360</v>
      </c>
      <c r="N31" s="75" t="str">
        <f t="shared" si="5"/>
        <v>-</v>
      </c>
      <c r="O31" s="27">
        <f>SUM(O29:O30)</f>
        <v>120000</v>
      </c>
      <c r="P31" s="26">
        <f>SUM(P29:P30)</f>
        <v>0</v>
      </c>
      <c r="Q31" s="23">
        <f t="shared" si="6"/>
        <v>120000</v>
      </c>
      <c r="R31" s="76" t="str">
        <f t="shared" si="7"/>
        <v>-</v>
      </c>
      <c r="S31" s="24">
        <f>SUM(S29:S30)</f>
        <v>498360</v>
      </c>
      <c r="T31" s="24">
        <f>SUM(T29:T30)</f>
        <v>0</v>
      </c>
      <c r="U31" s="23">
        <f t="shared" si="8"/>
        <v>498360</v>
      </c>
      <c r="V31" s="76" t="str">
        <f t="shared" si="9"/>
        <v>-</v>
      </c>
      <c r="W31" s="24">
        <f>SUM(W29:W30)</f>
        <v>0</v>
      </c>
      <c r="X31" s="23">
        <f t="shared" si="10"/>
        <v>498360</v>
      </c>
      <c r="Y31" s="75" t="str">
        <f t="shared" si="11"/>
        <v>-</v>
      </c>
      <c r="Z31" s="27">
        <f>SUM(Z29:Z30)</f>
        <v>120000</v>
      </c>
      <c r="AA31" s="26">
        <f>SUM(AA29:AA30)</f>
        <v>0</v>
      </c>
      <c r="AB31" s="23">
        <f t="shared" si="12"/>
        <v>120000</v>
      </c>
      <c r="AC31" s="76" t="str">
        <f t="shared" si="13"/>
        <v>-</v>
      </c>
      <c r="AD31" s="24">
        <f>SUM(AD29:AD30)</f>
        <v>498360</v>
      </c>
      <c r="AE31" s="24">
        <f>SUM(AE29:AE30)</f>
        <v>0</v>
      </c>
      <c r="AF31" s="23">
        <f t="shared" si="14"/>
        <v>498360</v>
      </c>
      <c r="AG31" s="76" t="str">
        <f t="shared" si="15"/>
        <v>-</v>
      </c>
      <c r="AH31" s="24">
        <f>SUM(AH29:AH30)</f>
        <v>0</v>
      </c>
      <c r="AI31" s="23">
        <f t="shared" si="16"/>
        <v>498360</v>
      </c>
      <c r="AJ31" s="75" t="str">
        <f t="shared" si="17"/>
        <v>-</v>
      </c>
      <c r="AK31" s="27">
        <f>SUM(AK29:AK30)</f>
        <v>120000</v>
      </c>
      <c r="AL31" s="26">
        <f>SUM(AL29:AL30)</f>
        <v>0</v>
      </c>
      <c r="AM31" s="23">
        <f t="shared" si="18"/>
        <v>120000</v>
      </c>
      <c r="AN31" s="76" t="str">
        <f t="shared" si="19"/>
        <v>-</v>
      </c>
      <c r="AO31" s="24">
        <f>SUM(AO29:AO30)</f>
        <v>498360</v>
      </c>
      <c r="AP31" s="24">
        <f>SUM(AP29:AP30)</f>
        <v>0</v>
      </c>
      <c r="AQ31" s="23">
        <f t="shared" si="20"/>
        <v>498360</v>
      </c>
      <c r="AR31" s="76" t="str">
        <f t="shared" si="21"/>
        <v>-</v>
      </c>
      <c r="AS31" s="24">
        <f>SUM(AS29:AS30)</f>
        <v>0</v>
      </c>
      <c r="AT31" s="23">
        <f t="shared" si="22"/>
        <v>498360</v>
      </c>
      <c r="AU31" s="75" t="str">
        <f t="shared" si="23"/>
        <v>-</v>
      </c>
      <c r="AV31" s="27">
        <f>SUM(AV29:AV30)</f>
        <v>120000</v>
      </c>
      <c r="AW31" s="26">
        <f>SUM(AW29:AW30)</f>
        <v>0</v>
      </c>
      <c r="AX31" s="23">
        <f t="shared" si="24"/>
        <v>120000</v>
      </c>
      <c r="AY31" s="76" t="str">
        <f t="shared" si="25"/>
        <v>-</v>
      </c>
      <c r="AZ31" s="24">
        <f>SUM(AZ29:AZ30)</f>
        <v>498360</v>
      </c>
      <c r="BA31" s="24">
        <f>SUM(BA29:BA30)</f>
        <v>0</v>
      </c>
      <c r="BB31" s="23">
        <f t="shared" si="26"/>
        <v>498360</v>
      </c>
      <c r="BC31" s="76" t="str">
        <f t="shared" si="27"/>
        <v>-</v>
      </c>
      <c r="BD31" s="24">
        <f>SUM(BD29:BD30)</f>
        <v>0</v>
      </c>
      <c r="BE31" s="23">
        <f t="shared" si="28"/>
        <v>498360</v>
      </c>
      <c r="BF31" s="75" t="str">
        <f t="shared" si="29"/>
        <v>-</v>
      </c>
      <c r="BG31" s="27">
        <f>SUM(BG29:BG30)</f>
        <v>120000</v>
      </c>
      <c r="BH31" s="26">
        <f>SUM(BH29:BH30)</f>
        <v>0</v>
      </c>
      <c r="BI31" s="23">
        <f t="shared" si="30"/>
        <v>120000</v>
      </c>
      <c r="BJ31" s="76" t="str">
        <f t="shared" si="31"/>
        <v>-</v>
      </c>
      <c r="BK31" s="24">
        <f>SUM(BK29:BK30)</f>
        <v>498360</v>
      </c>
      <c r="BL31" s="24">
        <f>SUM(BL29:BL30)</f>
        <v>0</v>
      </c>
      <c r="BM31" s="23">
        <f t="shared" si="32"/>
        <v>498360</v>
      </c>
      <c r="BN31" s="76" t="str">
        <f t="shared" si="33"/>
        <v>-</v>
      </c>
      <c r="BO31" s="24">
        <f>SUM(BO29:BO30)</f>
        <v>0</v>
      </c>
      <c r="BP31" s="23">
        <f t="shared" si="34"/>
        <v>498360</v>
      </c>
      <c r="BQ31" s="75" t="str">
        <f t="shared" si="35"/>
        <v>-</v>
      </c>
      <c r="BR31" s="27">
        <f>SUM(BR29:BR30)</f>
        <v>120000</v>
      </c>
      <c r="BS31" s="26">
        <f>SUM(BS29:BS30)</f>
        <v>0</v>
      </c>
      <c r="BT31" s="23">
        <f t="shared" si="36"/>
        <v>120000</v>
      </c>
      <c r="BU31" s="76" t="str">
        <f t="shared" si="37"/>
        <v>-</v>
      </c>
      <c r="BV31" s="24">
        <f>SUM(BV29:BV30)</f>
        <v>498360</v>
      </c>
      <c r="BW31" s="24">
        <f>SUM(BW29:BW30)</f>
        <v>0</v>
      </c>
      <c r="BX31" s="23">
        <f t="shared" si="38"/>
        <v>498360</v>
      </c>
      <c r="BY31" s="76" t="str">
        <f t="shared" si="39"/>
        <v>-</v>
      </c>
      <c r="BZ31" s="24">
        <f>SUM(BZ29:BZ30)</f>
        <v>0</v>
      </c>
      <c r="CA31" s="23">
        <f t="shared" si="40"/>
        <v>498360</v>
      </c>
      <c r="CB31" s="75" t="str">
        <f t="shared" si="41"/>
        <v>-</v>
      </c>
      <c r="CC31" s="27">
        <f>SUM(CC29:CC30)</f>
        <v>120000</v>
      </c>
      <c r="CD31" s="26">
        <f>SUM(CD29:CD30)</f>
        <v>0</v>
      </c>
      <c r="CE31" s="23">
        <f t="shared" si="42"/>
        <v>120000</v>
      </c>
      <c r="CF31" s="76" t="str">
        <f t="shared" si="43"/>
        <v>-</v>
      </c>
      <c r="CG31" s="24">
        <f>SUM(CG29:CG30)</f>
        <v>498360</v>
      </c>
      <c r="CH31" s="24">
        <f>SUM(CH29:CH30)</f>
        <v>0</v>
      </c>
      <c r="CI31" s="23">
        <f t="shared" si="44"/>
        <v>498360</v>
      </c>
      <c r="CJ31" s="76" t="str">
        <f t="shared" si="45"/>
        <v>-</v>
      </c>
      <c r="CK31" s="24">
        <f>SUM(CK29:CK30)</f>
        <v>0</v>
      </c>
      <c r="CL31" s="23">
        <f t="shared" si="46"/>
        <v>498360</v>
      </c>
      <c r="CM31" s="75" t="str">
        <f t="shared" si="47"/>
        <v>-</v>
      </c>
      <c r="CN31" s="27">
        <f>SUM(CN29:CN30)</f>
        <v>120000</v>
      </c>
      <c r="CO31" s="26">
        <f>SUM(CO29:CO30)</f>
        <v>0</v>
      </c>
      <c r="CP31" s="23">
        <f t="shared" si="48"/>
        <v>120000</v>
      </c>
      <c r="CQ31" s="76" t="str">
        <f t="shared" si="49"/>
        <v>-</v>
      </c>
      <c r="CR31" s="24">
        <f>SUM(CR29:CR30)</f>
        <v>498360</v>
      </c>
      <c r="CS31" s="24">
        <f>SUM(CS29:CS30)</f>
        <v>0</v>
      </c>
      <c r="CT31" s="23">
        <f t="shared" si="50"/>
        <v>498360</v>
      </c>
      <c r="CU31" s="76" t="str">
        <f t="shared" si="51"/>
        <v>-</v>
      </c>
      <c r="CV31" s="24">
        <f>SUM(CV29:CV30)</f>
        <v>0</v>
      </c>
      <c r="CW31" s="23">
        <f t="shared" si="52"/>
        <v>498360</v>
      </c>
      <c r="CX31" s="75" t="str">
        <f t="shared" si="53"/>
        <v>-</v>
      </c>
      <c r="CY31" s="27">
        <f>SUM(CY29:CY30)</f>
        <v>120000</v>
      </c>
      <c r="CZ31" s="26">
        <f>SUM(CZ29:CZ30)</f>
        <v>0</v>
      </c>
      <c r="DA31" s="23">
        <f t="shared" si="54"/>
        <v>120000</v>
      </c>
      <c r="DB31" s="76" t="str">
        <f t="shared" si="55"/>
        <v>-</v>
      </c>
      <c r="DC31" s="24">
        <f>SUM(DC29:DC30)</f>
        <v>498360</v>
      </c>
      <c r="DD31" s="24">
        <f>SUM(DD29:DD30)</f>
        <v>0</v>
      </c>
      <c r="DE31" s="23">
        <f t="shared" si="56"/>
        <v>498360</v>
      </c>
      <c r="DF31" s="76" t="str">
        <f t="shared" si="57"/>
        <v>-</v>
      </c>
      <c r="DG31" s="24">
        <f>SUM(DG29:DG30)</f>
        <v>0</v>
      </c>
      <c r="DH31" s="23">
        <f t="shared" si="58"/>
        <v>498360</v>
      </c>
      <c r="DI31" s="75" t="str">
        <f t="shared" si="59"/>
        <v>-</v>
      </c>
    </row>
    <row r="32" spans="1:113" ht="12.75" customHeight="1" outlineLevel="3" x14ac:dyDescent="0.2">
      <c r="A32" s="54"/>
      <c r="B32" s="38" t="s">
        <v>90</v>
      </c>
      <c r="C32" s="49" t="s">
        <v>89</v>
      </c>
      <c r="D32" s="41">
        <v>19000000</v>
      </c>
      <c r="E32" s="40">
        <v>0</v>
      </c>
      <c r="F32" s="32">
        <f t="shared" si="0"/>
        <v>19000000</v>
      </c>
      <c r="G32" s="78" t="str">
        <f t="shared" si="1"/>
        <v>-</v>
      </c>
      <c r="H32" s="39">
        <v>19000000</v>
      </c>
      <c r="I32" s="39">
        <v>0</v>
      </c>
      <c r="J32" s="32">
        <f t="shared" si="2"/>
        <v>19000000</v>
      </c>
      <c r="K32" s="78" t="str">
        <f t="shared" si="3"/>
        <v>-</v>
      </c>
      <c r="L32" s="39">
        <v>0</v>
      </c>
      <c r="M32" s="32">
        <f t="shared" si="4"/>
        <v>19000000</v>
      </c>
      <c r="N32" s="77" t="str">
        <f t="shared" si="5"/>
        <v>-</v>
      </c>
      <c r="O32" s="41">
        <v>19000000</v>
      </c>
      <c r="P32" s="40">
        <v>0</v>
      </c>
      <c r="Q32" s="32">
        <f t="shared" si="6"/>
        <v>19000000</v>
      </c>
      <c r="R32" s="78" t="str">
        <f t="shared" si="7"/>
        <v>-</v>
      </c>
      <c r="S32" s="39">
        <v>19000000</v>
      </c>
      <c r="T32" s="39">
        <v>0</v>
      </c>
      <c r="U32" s="32">
        <f t="shared" si="8"/>
        <v>19000000</v>
      </c>
      <c r="V32" s="78" t="str">
        <f t="shared" si="9"/>
        <v>-</v>
      </c>
      <c r="W32" s="39">
        <v>0</v>
      </c>
      <c r="X32" s="32">
        <f t="shared" si="10"/>
        <v>19000000</v>
      </c>
      <c r="Y32" s="77" t="str">
        <f t="shared" si="11"/>
        <v>-</v>
      </c>
      <c r="Z32" s="41">
        <v>19000000</v>
      </c>
      <c r="AA32" s="40">
        <v>0</v>
      </c>
      <c r="AB32" s="32">
        <f t="shared" si="12"/>
        <v>19000000</v>
      </c>
      <c r="AC32" s="78" t="str">
        <f t="shared" si="13"/>
        <v>-</v>
      </c>
      <c r="AD32" s="39">
        <v>19000000</v>
      </c>
      <c r="AE32" s="39">
        <v>0</v>
      </c>
      <c r="AF32" s="32">
        <f t="shared" si="14"/>
        <v>19000000</v>
      </c>
      <c r="AG32" s="78" t="str">
        <f t="shared" si="15"/>
        <v>-</v>
      </c>
      <c r="AH32" s="39">
        <v>0</v>
      </c>
      <c r="AI32" s="32">
        <f t="shared" si="16"/>
        <v>19000000</v>
      </c>
      <c r="AJ32" s="77" t="str">
        <f t="shared" si="17"/>
        <v>-</v>
      </c>
      <c r="AK32" s="41">
        <v>19000000</v>
      </c>
      <c r="AL32" s="40">
        <v>0</v>
      </c>
      <c r="AM32" s="32">
        <f t="shared" si="18"/>
        <v>19000000</v>
      </c>
      <c r="AN32" s="78" t="str">
        <f t="shared" si="19"/>
        <v>-</v>
      </c>
      <c r="AO32" s="39">
        <v>19000000</v>
      </c>
      <c r="AP32" s="39">
        <v>0</v>
      </c>
      <c r="AQ32" s="32">
        <f t="shared" si="20"/>
        <v>19000000</v>
      </c>
      <c r="AR32" s="78" t="str">
        <f t="shared" si="21"/>
        <v>-</v>
      </c>
      <c r="AS32" s="39">
        <v>0</v>
      </c>
      <c r="AT32" s="32">
        <f t="shared" si="22"/>
        <v>19000000</v>
      </c>
      <c r="AU32" s="77" t="str">
        <f t="shared" si="23"/>
        <v>-</v>
      </c>
      <c r="AV32" s="41">
        <v>19000000</v>
      </c>
      <c r="AW32" s="40">
        <v>0</v>
      </c>
      <c r="AX32" s="32">
        <f t="shared" si="24"/>
        <v>19000000</v>
      </c>
      <c r="AY32" s="78" t="str">
        <f t="shared" si="25"/>
        <v>-</v>
      </c>
      <c r="AZ32" s="39">
        <v>19000000</v>
      </c>
      <c r="BA32" s="39">
        <v>0</v>
      </c>
      <c r="BB32" s="32">
        <f t="shared" si="26"/>
        <v>19000000</v>
      </c>
      <c r="BC32" s="78" t="str">
        <f t="shared" si="27"/>
        <v>-</v>
      </c>
      <c r="BD32" s="39">
        <v>0</v>
      </c>
      <c r="BE32" s="32">
        <f t="shared" si="28"/>
        <v>19000000</v>
      </c>
      <c r="BF32" s="77" t="str">
        <f t="shared" si="29"/>
        <v>-</v>
      </c>
      <c r="BG32" s="41">
        <v>19000000</v>
      </c>
      <c r="BH32" s="40">
        <v>0</v>
      </c>
      <c r="BI32" s="32">
        <f t="shared" si="30"/>
        <v>19000000</v>
      </c>
      <c r="BJ32" s="78" t="str">
        <f t="shared" si="31"/>
        <v>-</v>
      </c>
      <c r="BK32" s="39">
        <v>19000000</v>
      </c>
      <c r="BL32" s="39">
        <v>0</v>
      </c>
      <c r="BM32" s="32">
        <f t="shared" si="32"/>
        <v>19000000</v>
      </c>
      <c r="BN32" s="78" t="str">
        <f t="shared" si="33"/>
        <v>-</v>
      </c>
      <c r="BO32" s="39">
        <v>0</v>
      </c>
      <c r="BP32" s="32">
        <f t="shared" si="34"/>
        <v>19000000</v>
      </c>
      <c r="BQ32" s="77" t="str">
        <f t="shared" si="35"/>
        <v>-</v>
      </c>
      <c r="BR32" s="41">
        <v>19000000</v>
      </c>
      <c r="BS32" s="40">
        <v>0</v>
      </c>
      <c r="BT32" s="32">
        <f t="shared" si="36"/>
        <v>19000000</v>
      </c>
      <c r="BU32" s="78" t="str">
        <f t="shared" si="37"/>
        <v>-</v>
      </c>
      <c r="BV32" s="39">
        <v>19000000</v>
      </c>
      <c r="BW32" s="39">
        <v>0</v>
      </c>
      <c r="BX32" s="32">
        <f t="shared" si="38"/>
        <v>19000000</v>
      </c>
      <c r="BY32" s="78" t="str">
        <f t="shared" si="39"/>
        <v>-</v>
      </c>
      <c r="BZ32" s="39">
        <v>0</v>
      </c>
      <c r="CA32" s="32">
        <f t="shared" si="40"/>
        <v>19000000</v>
      </c>
      <c r="CB32" s="77" t="str">
        <f t="shared" si="41"/>
        <v>-</v>
      </c>
      <c r="CC32" s="41">
        <v>19000000</v>
      </c>
      <c r="CD32" s="40">
        <v>0</v>
      </c>
      <c r="CE32" s="32">
        <f t="shared" si="42"/>
        <v>19000000</v>
      </c>
      <c r="CF32" s="78" t="str">
        <f t="shared" si="43"/>
        <v>-</v>
      </c>
      <c r="CG32" s="39">
        <v>19000000</v>
      </c>
      <c r="CH32" s="39">
        <v>0</v>
      </c>
      <c r="CI32" s="32">
        <f t="shared" si="44"/>
        <v>19000000</v>
      </c>
      <c r="CJ32" s="78" t="str">
        <f t="shared" si="45"/>
        <v>-</v>
      </c>
      <c r="CK32" s="39">
        <v>0</v>
      </c>
      <c r="CL32" s="32">
        <f t="shared" si="46"/>
        <v>19000000</v>
      </c>
      <c r="CM32" s="77" t="str">
        <f t="shared" si="47"/>
        <v>-</v>
      </c>
      <c r="CN32" s="41">
        <v>19000000</v>
      </c>
      <c r="CO32" s="40">
        <v>0</v>
      </c>
      <c r="CP32" s="32">
        <f t="shared" si="48"/>
        <v>19000000</v>
      </c>
      <c r="CQ32" s="78" t="str">
        <f t="shared" si="49"/>
        <v>-</v>
      </c>
      <c r="CR32" s="39">
        <v>19000000</v>
      </c>
      <c r="CS32" s="39">
        <v>0</v>
      </c>
      <c r="CT32" s="32">
        <f t="shared" si="50"/>
        <v>19000000</v>
      </c>
      <c r="CU32" s="78" t="str">
        <f t="shared" si="51"/>
        <v>-</v>
      </c>
      <c r="CV32" s="39">
        <v>0</v>
      </c>
      <c r="CW32" s="32">
        <f t="shared" si="52"/>
        <v>19000000</v>
      </c>
      <c r="CX32" s="77" t="str">
        <f t="shared" si="53"/>
        <v>-</v>
      </c>
      <c r="CY32" s="41">
        <v>19000000</v>
      </c>
      <c r="CZ32" s="40">
        <v>0</v>
      </c>
      <c r="DA32" s="32">
        <f t="shared" si="54"/>
        <v>19000000</v>
      </c>
      <c r="DB32" s="78" t="str">
        <f t="shared" si="55"/>
        <v>-</v>
      </c>
      <c r="DC32" s="39">
        <v>19000000</v>
      </c>
      <c r="DD32" s="39">
        <v>0</v>
      </c>
      <c r="DE32" s="32">
        <f t="shared" si="56"/>
        <v>19000000</v>
      </c>
      <c r="DF32" s="78" t="str">
        <f t="shared" si="57"/>
        <v>-</v>
      </c>
      <c r="DG32" s="39">
        <v>0</v>
      </c>
      <c r="DH32" s="32">
        <f t="shared" si="58"/>
        <v>19000000</v>
      </c>
      <c r="DI32" s="77" t="str">
        <f t="shared" si="59"/>
        <v>-</v>
      </c>
    </row>
    <row r="33" spans="1:113" ht="12.75" customHeight="1" outlineLevel="3" x14ac:dyDescent="0.2">
      <c r="A33" s="54"/>
      <c r="B33" s="38" t="s">
        <v>88</v>
      </c>
      <c r="C33" s="49" t="s">
        <v>87</v>
      </c>
      <c r="D33" s="41">
        <v>3328677</v>
      </c>
      <c r="E33" s="40">
        <v>0</v>
      </c>
      <c r="F33" s="32">
        <f t="shared" si="0"/>
        <v>3328677</v>
      </c>
      <c r="G33" s="78" t="str">
        <f t="shared" si="1"/>
        <v>-</v>
      </c>
      <c r="H33" s="39">
        <v>3328677</v>
      </c>
      <c r="I33" s="39">
        <v>0</v>
      </c>
      <c r="J33" s="32">
        <f t="shared" si="2"/>
        <v>3328677</v>
      </c>
      <c r="K33" s="78" t="str">
        <f t="shared" si="3"/>
        <v>-</v>
      </c>
      <c r="L33" s="39">
        <v>0</v>
      </c>
      <c r="M33" s="32">
        <f t="shared" si="4"/>
        <v>3328677</v>
      </c>
      <c r="N33" s="77" t="str">
        <f t="shared" si="5"/>
        <v>-</v>
      </c>
      <c r="O33" s="41">
        <v>3328677</v>
      </c>
      <c r="P33" s="40">
        <v>0</v>
      </c>
      <c r="Q33" s="32">
        <f t="shared" si="6"/>
        <v>3328677</v>
      </c>
      <c r="R33" s="78" t="str">
        <f t="shared" si="7"/>
        <v>-</v>
      </c>
      <c r="S33" s="39">
        <v>3328677</v>
      </c>
      <c r="T33" s="39">
        <v>0</v>
      </c>
      <c r="U33" s="32">
        <f t="shared" si="8"/>
        <v>3328677</v>
      </c>
      <c r="V33" s="78" t="str">
        <f t="shared" si="9"/>
        <v>-</v>
      </c>
      <c r="W33" s="39">
        <v>0</v>
      </c>
      <c r="X33" s="32">
        <f t="shared" si="10"/>
        <v>3328677</v>
      </c>
      <c r="Y33" s="77" t="str">
        <f t="shared" si="11"/>
        <v>-</v>
      </c>
      <c r="Z33" s="41">
        <v>3328677</v>
      </c>
      <c r="AA33" s="40">
        <v>0</v>
      </c>
      <c r="AB33" s="32">
        <f t="shared" si="12"/>
        <v>3328677</v>
      </c>
      <c r="AC33" s="78" t="str">
        <f t="shared" si="13"/>
        <v>-</v>
      </c>
      <c r="AD33" s="39">
        <v>3328677</v>
      </c>
      <c r="AE33" s="39">
        <v>0</v>
      </c>
      <c r="AF33" s="32">
        <f t="shared" si="14"/>
        <v>3328677</v>
      </c>
      <c r="AG33" s="78" t="str">
        <f t="shared" si="15"/>
        <v>-</v>
      </c>
      <c r="AH33" s="39">
        <v>0</v>
      </c>
      <c r="AI33" s="32">
        <f t="shared" si="16"/>
        <v>3328677</v>
      </c>
      <c r="AJ33" s="77" t="str">
        <f t="shared" si="17"/>
        <v>-</v>
      </c>
      <c r="AK33" s="41">
        <v>3328677</v>
      </c>
      <c r="AL33" s="40">
        <v>0</v>
      </c>
      <c r="AM33" s="32">
        <f t="shared" si="18"/>
        <v>3328677</v>
      </c>
      <c r="AN33" s="78" t="str">
        <f t="shared" si="19"/>
        <v>-</v>
      </c>
      <c r="AO33" s="39">
        <v>3328677</v>
      </c>
      <c r="AP33" s="39">
        <v>0</v>
      </c>
      <c r="AQ33" s="32">
        <f t="shared" si="20"/>
        <v>3328677</v>
      </c>
      <c r="AR33" s="78" t="str">
        <f t="shared" si="21"/>
        <v>-</v>
      </c>
      <c r="AS33" s="39">
        <v>0</v>
      </c>
      <c r="AT33" s="32">
        <f t="shared" si="22"/>
        <v>3328677</v>
      </c>
      <c r="AU33" s="77" t="str">
        <f t="shared" si="23"/>
        <v>-</v>
      </c>
      <c r="AV33" s="41">
        <v>3328677</v>
      </c>
      <c r="AW33" s="40">
        <v>0</v>
      </c>
      <c r="AX33" s="32">
        <f t="shared" si="24"/>
        <v>3328677</v>
      </c>
      <c r="AY33" s="78" t="str">
        <f t="shared" si="25"/>
        <v>-</v>
      </c>
      <c r="AZ33" s="39">
        <v>3328677</v>
      </c>
      <c r="BA33" s="39">
        <v>0</v>
      </c>
      <c r="BB33" s="32">
        <f t="shared" si="26"/>
        <v>3328677</v>
      </c>
      <c r="BC33" s="78" t="str">
        <f t="shared" si="27"/>
        <v>-</v>
      </c>
      <c r="BD33" s="39">
        <v>0</v>
      </c>
      <c r="BE33" s="32">
        <f t="shared" si="28"/>
        <v>3328677</v>
      </c>
      <c r="BF33" s="77" t="str">
        <f t="shared" si="29"/>
        <v>-</v>
      </c>
      <c r="BG33" s="41">
        <v>3328677</v>
      </c>
      <c r="BH33" s="40">
        <v>0</v>
      </c>
      <c r="BI33" s="32">
        <f t="shared" si="30"/>
        <v>3328677</v>
      </c>
      <c r="BJ33" s="78" t="str">
        <f t="shared" si="31"/>
        <v>-</v>
      </c>
      <c r="BK33" s="39">
        <v>3328677</v>
      </c>
      <c r="BL33" s="39">
        <v>0</v>
      </c>
      <c r="BM33" s="32">
        <f t="shared" si="32"/>
        <v>3328677</v>
      </c>
      <c r="BN33" s="78" t="str">
        <f t="shared" si="33"/>
        <v>-</v>
      </c>
      <c r="BO33" s="39">
        <v>0</v>
      </c>
      <c r="BP33" s="32">
        <f t="shared" si="34"/>
        <v>3328677</v>
      </c>
      <c r="BQ33" s="77" t="str">
        <f t="shared" si="35"/>
        <v>-</v>
      </c>
      <c r="BR33" s="41">
        <v>3328677</v>
      </c>
      <c r="BS33" s="40">
        <v>0</v>
      </c>
      <c r="BT33" s="32">
        <f t="shared" si="36"/>
        <v>3328677</v>
      </c>
      <c r="BU33" s="78" t="str">
        <f t="shared" si="37"/>
        <v>-</v>
      </c>
      <c r="BV33" s="39">
        <v>3328677</v>
      </c>
      <c r="BW33" s="39">
        <v>0</v>
      </c>
      <c r="BX33" s="32">
        <f t="shared" si="38"/>
        <v>3328677</v>
      </c>
      <c r="BY33" s="78" t="str">
        <f t="shared" si="39"/>
        <v>-</v>
      </c>
      <c r="BZ33" s="39">
        <v>0</v>
      </c>
      <c r="CA33" s="32">
        <f t="shared" si="40"/>
        <v>3328677</v>
      </c>
      <c r="CB33" s="77" t="str">
        <f t="shared" si="41"/>
        <v>-</v>
      </c>
      <c r="CC33" s="41">
        <v>3328677</v>
      </c>
      <c r="CD33" s="40">
        <v>0</v>
      </c>
      <c r="CE33" s="32">
        <f t="shared" si="42"/>
        <v>3328677</v>
      </c>
      <c r="CF33" s="78" t="str">
        <f t="shared" si="43"/>
        <v>-</v>
      </c>
      <c r="CG33" s="39">
        <v>3328677</v>
      </c>
      <c r="CH33" s="39">
        <v>0</v>
      </c>
      <c r="CI33" s="32">
        <f t="shared" si="44"/>
        <v>3328677</v>
      </c>
      <c r="CJ33" s="78" t="str">
        <f t="shared" si="45"/>
        <v>-</v>
      </c>
      <c r="CK33" s="39">
        <v>0</v>
      </c>
      <c r="CL33" s="32">
        <f t="shared" si="46"/>
        <v>3328677</v>
      </c>
      <c r="CM33" s="77" t="str">
        <f t="shared" si="47"/>
        <v>-</v>
      </c>
      <c r="CN33" s="41">
        <v>3328677</v>
      </c>
      <c r="CO33" s="40">
        <v>0</v>
      </c>
      <c r="CP33" s="32">
        <f t="shared" si="48"/>
        <v>3328677</v>
      </c>
      <c r="CQ33" s="78" t="str">
        <f t="shared" si="49"/>
        <v>-</v>
      </c>
      <c r="CR33" s="39">
        <v>3328677</v>
      </c>
      <c r="CS33" s="39">
        <v>0</v>
      </c>
      <c r="CT33" s="32">
        <f t="shared" si="50"/>
        <v>3328677</v>
      </c>
      <c r="CU33" s="78" t="str">
        <f t="shared" si="51"/>
        <v>-</v>
      </c>
      <c r="CV33" s="39">
        <v>0</v>
      </c>
      <c r="CW33" s="32">
        <f t="shared" si="52"/>
        <v>3328677</v>
      </c>
      <c r="CX33" s="77" t="str">
        <f t="shared" si="53"/>
        <v>-</v>
      </c>
      <c r="CY33" s="41">
        <v>3328677</v>
      </c>
      <c r="CZ33" s="40">
        <v>0</v>
      </c>
      <c r="DA33" s="32">
        <f t="shared" si="54"/>
        <v>3328677</v>
      </c>
      <c r="DB33" s="78" t="str">
        <f t="shared" si="55"/>
        <v>-</v>
      </c>
      <c r="DC33" s="39">
        <v>3328677</v>
      </c>
      <c r="DD33" s="39">
        <v>0</v>
      </c>
      <c r="DE33" s="32">
        <f t="shared" si="56"/>
        <v>3328677</v>
      </c>
      <c r="DF33" s="78" t="str">
        <f t="shared" si="57"/>
        <v>-</v>
      </c>
      <c r="DG33" s="39">
        <v>0</v>
      </c>
      <c r="DH33" s="32">
        <f t="shared" si="58"/>
        <v>3328677</v>
      </c>
      <c r="DI33" s="77" t="str">
        <f t="shared" si="59"/>
        <v>-</v>
      </c>
    </row>
    <row r="34" spans="1:113" s="6" customFormat="1" outlineLevel="2" x14ac:dyDescent="0.2">
      <c r="A34" s="30"/>
      <c r="B34" s="29" t="s">
        <v>86</v>
      </c>
      <c r="C34" s="52" t="s">
        <v>85</v>
      </c>
      <c r="D34" s="27">
        <f>SUM(D32:D33)</f>
        <v>22328677</v>
      </c>
      <c r="E34" s="26">
        <f>SUM(E32:E33)</f>
        <v>0</v>
      </c>
      <c r="F34" s="23">
        <f t="shared" si="0"/>
        <v>22328677</v>
      </c>
      <c r="G34" s="76" t="str">
        <f t="shared" si="1"/>
        <v>-</v>
      </c>
      <c r="H34" s="24">
        <f>SUM(H32:H33)</f>
        <v>22328677</v>
      </c>
      <c r="I34" s="24">
        <f>SUM(I32:I33)</f>
        <v>0</v>
      </c>
      <c r="J34" s="23">
        <f t="shared" si="2"/>
        <v>22328677</v>
      </c>
      <c r="K34" s="76" t="str">
        <f t="shared" si="3"/>
        <v>-</v>
      </c>
      <c r="L34" s="24">
        <f>SUM(L32:L33)</f>
        <v>0</v>
      </c>
      <c r="M34" s="23">
        <f t="shared" si="4"/>
        <v>22328677</v>
      </c>
      <c r="N34" s="75" t="str">
        <f t="shared" si="5"/>
        <v>-</v>
      </c>
      <c r="O34" s="27">
        <f>SUM(O32:O33)</f>
        <v>22328677</v>
      </c>
      <c r="P34" s="26">
        <f>SUM(P32:P33)</f>
        <v>0</v>
      </c>
      <c r="Q34" s="23">
        <f t="shared" si="6"/>
        <v>22328677</v>
      </c>
      <c r="R34" s="76" t="str">
        <f t="shared" si="7"/>
        <v>-</v>
      </c>
      <c r="S34" s="24">
        <f>SUM(S32:S33)</f>
        <v>22328677</v>
      </c>
      <c r="T34" s="24">
        <f>SUM(T32:T33)</f>
        <v>0</v>
      </c>
      <c r="U34" s="23">
        <f t="shared" si="8"/>
        <v>22328677</v>
      </c>
      <c r="V34" s="76" t="str">
        <f t="shared" si="9"/>
        <v>-</v>
      </c>
      <c r="W34" s="24">
        <f>SUM(W32:W33)</f>
        <v>0</v>
      </c>
      <c r="X34" s="23">
        <f t="shared" si="10"/>
        <v>22328677</v>
      </c>
      <c r="Y34" s="75" t="str">
        <f t="shared" si="11"/>
        <v>-</v>
      </c>
      <c r="Z34" s="27">
        <f>SUM(Z32:Z33)</f>
        <v>22328677</v>
      </c>
      <c r="AA34" s="26">
        <f>SUM(AA32:AA33)</f>
        <v>0</v>
      </c>
      <c r="AB34" s="23">
        <f t="shared" si="12"/>
        <v>22328677</v>
      </c>
      <c r="AC34" s="76" t="str">
        <f t="shared" si="13"/>
        <v>-</v>
      </c>
      <c r="AD34" s="24">
        <f>SUM(AD32:AD33)</f>
        <v>22328677</v>
      </c>
      <c r="AE34" s="24">
        <f>SUM(AE32:AE33)</f>
        <v>0</v>
      </c>
      <c r="AF34" s="23">
        <f t="shared" si="14"/>
        <v>22328677</v>
      </c>
      <c r="AG34" s="76" t="str">
        <f t="shared" si="15"/>
        <v>-</v>
      </c>
      <c r="AH34" s="24">
        <f>SUM(AH32:AH33)</f>
        <v>0</v>
      </c>
      <c r="AI34" s="23">
        <f t="shared" si="16"/>
        <v>22328677</v>
      </c>
      <c r="AJ34" s="75" t="str">
        <f t="shared" si="17"/>
        <v>-</v>
      </c>
      <c r="AK34" s="27">
        <f>SUM(AK32:AK33)</f>
        <v>22328677</v>
      </c>
      <c r="AL34" s="26">
        <f>SUM(AL32:AL33)</f>
        <v>0</v>
      </c>
      <c r="AM34" s="23">
        <f t="shared" si="18"/>
        <v>22328677</v>
      </c>
      <c r="AN34" s="76" t="str">
        <f t="shared" si="19"/>
        <v>-</v>
      </c>
      <c r="AO34" s="24">
        <f>SUM(AO32:AO33)</f>
        <v>22328677</v>
      </c>
      <c r="AP34" s="24">
        <f>SUM(AP32:AP33)</f>
        <v>0</v>
      </c>
      <c r="AQ34" s="23">
        <f t="shared" si="20"/>
        <v>22328677</v>
      </c>
      <c r="AR34" s="76" t="str">
        <f t="shared" si="21"/>
        <v>-</v>
      </c>
      <c r="AS34" s="24">
        <f>SUM(AS32:AS33)</f>
        <v>0</v>
      </c>
      <c r="AT34" s="23">
        <f t="shared" si="22"/>
        <v>22328677</v>
      </c>
      <c r="AU34" s="75" t="str">
        <f t="shared" si="23"/>
        <v>-</v>
      </c>
      <c r="AV34" s="27">
        <f>SUM(AV32:AV33)</f>
        <v>22328677</v>
      </c>
      <c r="AW34" s="26">
        <f>SUM(AW32:AW33)</f>
        <v>0</v>
      </c>
      <c r="AX34" s="23">
        <f t="shared" si="24"/>
        <v>22328677</v>
      </c>
      <c r="AY34" s="76" t="str">
        <f t="shared" si="25"/>
        <v>-</v>
      </c>
      <c r="AZ34" s="24">
        <f>SUM(AZ32:AZ33)</f>
        <v>22328677</v>
      </c>
      <c r="BA34" s="24">
        <f>SUM(BA32:BA33)</f>
        <v>0</v>
      </c>
      <c r="BB34" s="23">
        <f t="shared" si="26"/>
        <v>22328677</v>
      </c>
      <c r="BC34" s="76" t="str">
        <f t="shared" si="27"/>
        <v>-</v>
      </c>
      <c r="BD34" s="24">
        <f>SUM(BD32:BD33)</f>
        <v>0</v>
      </c>
      <c r="BE34" s="23">
        <f t="shared" si="28"/>
        <v>22328677</v>
      </c>
      <c r="BF34" s="75" t="str">
        <f t="shared" si="29"/>
        <v>-</v>
      </c>
      <c r="BG34" s="27">
        <f>SUM(BG32:BG33)</f>
        <v>22328677</v>
      </c>
      <c r="BH34" s="26">
        <f>SUM(BH32:BH33)</f>
        <v>0</v>
      </c>
      <c r="BI34" s="23">
        <f t="shared" si="30"/>
        <v>22328677</v>
      </c>
      <c r="BJ34" s="76" t="str">
        <f t="shared" si="31"/>
        <v>-</v>
      </c>
      <c r="BK34" s="24">
        <f>SUM(BK32:BK33)</f>
        <v>22328677</v>
      </c>
      <c r="BL34" s="24">
        <f>SUM(BL32:BL33)</f>
        <v>0</v>
      </c>
      <c r="BM34" s="23">
        <f t="shared" si="32"/>
        <v>22328677</v>
      </c>
      <c r="BN34" s="76" t="str">
        <f t="shared" si="33"/>
        <v>-</v>
      </c>
      <c r="BO34" s="24">
        <f>SUM(BO32:BO33)</f>
        <v>0</v>
      </c>
      <c r="BP34" s="23">
        <f t="shared" si="34"/>
        <v>22328677</v>
      </c>
      <c r="BQ34" s="75" t="str">
        <f t="shared" si="35"/>
        <v>-</v>
      </c>
      <c r="BR34" s="27">
        <f>SUM(BR32:BR33)</f>
        <v>22328677</v>
      </c>
      <c r="BS34" s="26">
        <f>SUM(BS32:BS33)</f>
        <v>0</v>
      </c>
      <c r="BT34" s="23">
        <f t="shared" si="36"/>
        <v>22328677</v>
      </c>
      <c r="BU34" s="76" t="str">
        <f t="shared" si="37"/>
        <v>-</v>
      </c>
      <c r="BV34" s="24">
        <f>SUM(BV32:BV33)</f>
        <v>22328677</v>
      </c>
      <c r="BW34" s="24">
        <f>SUM(BW32:BW33)</f>
        <v>0</v>
      </c>
      <c r="BX34" s="23">
        <f t="shared" si="38"/>
        <v>22328677</v>
      </c>
      <c r="BY34" s="76" t="str">
        <f t="shared" si="39"/>
        <v>-</v>
      </c>
      <c r="BZ34" s="24">
        <f>SUM(BZ32:BZ33)</f>
        <v>0</v>
      </c>
      <c r="CA34" s="23">
        <f t="shared" si="40"/>
        <v>22328677</v>
      </c>
      <c r="CB34" s="75" t="str">
        <f t="shared" si="41"/>
        <v>-</v>
      </c>
      <c r="CC34" s="27">
        <f>SUM(CC32:CC33)</f>
        <v>22328677</v>
      </c>
      <c r="CD34" s="26">
        <f>SUM(CD32:CD33)</f>
        <v>0</v>
      </c>
      <c r="CE34" s="23">
        <f t="shared" si="42"/>
        <v>22328677</v>
      </c>
      <c r="CF34" s="76" t="str">
        <f t="shared" si="43"/>
        <v>-</v>
      </c>
      <c r="CG34" s="24">
        <f>SUM(CG32:CG33)</f>
        <v>22328677</v>
      </c>
      <c r="CH34" s="24">
        <f>SUM(CH32:CH33)</f>
        <v>0</v>
      </c>
      <c r="CI34" s="23">
        <f t="shared" si="44"/>
        <v>22328677</v>
      </c>
      <c r="CJ34" s="76" t="str">
        <f t="shared" si="45"/>
        <v>-</v>
      </c>
      <c r="CK34" s="24">
        <f>SUM(CK32:CK33)</f>
        <v>0</v>
      </c>
      <c r="CL34" s="23">
        <f t="shared" si="46"/>
        <v>22328677</v>
      </c>
      <c r="CM34" s="75" t="str">
        <f t="shared" si="47"/>
        <v>-</v>
      </c>
      <c r="CN34" s="27">
        <f>SUM(CN32:CN33)</f>
        <v>22328677</v>
      </c>
      <c r="CO34" s="26">
        <f>SUM(CO32:CO33)</f>
        <v>0</v>
      </c>
      <c r="CP34" s="23">
        <f t="shared" si="48"/>
        <v>22328677</v>
      </c>
      <c r="CQ34" s="76" t="str">
        <f t="shared" si="49"/>
        <v>-</v>
      </c>
      <c r="CR34" s="24">
        <f>SUM(CR32:CR33)</f>
        <v>22328677</v>
      </c>
      <c r="CS34" s="24">
        <f>SUM(CS32:CS33)</f>
        <v>0</v>
      </c>
      <c r="CT34" s="23">
        <f t="shared" si="50"/>
        <v>22328677</v>
      </c>
      <c r="CU34" s="76" t="str">
        <f t="shared" si="51"/>
        <v>-</v>
      </c>
      <c r="CV34" s="24">
        <f>SUM(CV32:CV33)</f>
        <v>0</v>
      </c>
      <c r="CW34" s="23">
        <f t="shared" si="52"/>
        <v>22328677</v>
      </c>
      <c r="CX34" s="75" t="str">
        <f t="shared" si="53"/>
        <v>-</v>
      </c>
      <c r="CY34" s="27">
        <f>SUM(CY32:CY33)</f>
        <v>22328677</v>
      </c>
      <c r="CZ34" s="26">
        <f>SUM(CZ32:CZ33)</f>
        <v>0</v>
      </c>
      <c r="DA34" s="23">
        <f t="shared" si="54"/>
        <v>22328677</v>
      </c>
      <c r="DB34" s="76" t="str">
        <f t="shared" si="55"/>
        <v>-</v>
      </c>
      <c r="DC34" s="24">
        <f>SUM(DC32:DC33)</f>
        <v>22328677</v>
      </c>
      <c r="DD34" s="24">
        <f>SUM(DD32:DD33)</f>
        <v>0</v>
      </c>
      <c r="DE34" s="23">
        <f t="shared" si="56"/>
        <v>22328677</v>
      </c>
      <c r="DF34" s="76" t="str">
        <f t="shared" si="57"/>
        <v>-</v>
      </c>
      <c r="DG34" s="24">
        <f>SUM(DG32:DG33)</f>
        <v>0</v>
      </c>
      <c r="DH34" s="23">
        <f t="shared" si="58"/>
        <v>22328677</v>
      </c>
      <c r="DI34" s="75" t="str">
        <f t="shared" si="59"/>
        <v>-</v>
      </c>
    </row>
    <row r="35" spans="1:113" ht="12.75" customHeight="1" outlineLevel="3" x14ac:dyDescent="0.2">
      <c r="A35" s="54"/>
      <c r="B35" s="38" t="s">
        <v>84</v>
      </c>
      <c r="C35" s="49" t="s">
        <v>83</v>
      </c>
      <c r="D35" s="41">
        <v>0</v>
      </c>
      <c r="E35" s="40">
        <v>0</v>
      </c>
      <c r="F35" s="32">
        <f t="shared" si="0"/>
        <v>0</v>
      </c>
      <c r="G35" s="78" t="str">
        <f t="shared" si="1"/>
        <v>-</v>
      </c>
      <c r="H35" s="39">
        <v>4743000</v>
      </c>
      <c r="I35" s="39">
        <v>0</v>
      </c>
      <c r="J35" s="32">
        <f t="shared" si="2"/>
        <v>4743000</v>
      </c>
      <c r="K35" s="78" t="str">
        <f t="shared" si="3"/>
        <v>-</v>
      </c>
      <c r="L35" s="39">
        <v>0</v>
      </c>
      <c r="M35" s="32">
        <f t="shared" si="4"/>
        <v>4743000</v>
      </c>
      <c r="N35" s="77" t="str">
        <f t="shared" si="5"/>
        <v>-</v>
      </c>
      <c r="O35" s="41">
        <v>0</v>
      </c>
      <c r="P35" s="40">
        <v>0</v>
      </c>
      <c r="Q35" s="32">
        <f t="shared" si="6"/>
        <v>0</v>
      </c>
      <c r="R35" s="78" t="str">
        <f t="shared" si="7"/>
        <v>-</v>
      </c>
      <c r="S35" s="39">
        <v>4743000</v>
      </c>
      <c r="T35" s="39">
        <v>0</v>
      </c>
      <c r="U35" s="32">
        <f t="shared" si="8"/>
        <v>4743000</v>
      </c>
      <c r="V35" s="78" t="str">
        <f t="shared" si="9"/>
        <v>-</v>
      </c>
      <c r="W35" s="39">
        <v>0</v>
      </c>
      <c r="X35" s="32">
        <f t="shared" si="10"/>
        <v>4743000</v>
      </c>
      <c r="Y35" s="77" t="str">
        <f t="shared" si="11"/>
        <v>-</v>
      </c>
      <c r="Z35" s="41">
        <v>0</v>
      </c>
      <c r="AA35" s="40">
        <v>0</v>
      </c>
      <c r="AB35" s="32">
        <f t="shared" si="12"/>
        <v>0</v>
      </c>
      <c r="AC35" s="78" t="str">
        <f t="shared" si="13"/>
        <v>-</v>
      </c>
      <c r="AD35" s="39">
        <v>4743000</v>
      </c>
      <c r="AE35" s="39">
        <v>0</v>
      </c>
      <c r="AF35" s="32">
        <f t="shared" si="14"/>
        <v>4743000</v>
      </c>
      <c r="AG35" s="78" t="str">
        <f t="shared" si="15"/>
        <v>-</v>
      </c>
      <c r="AH35" s="39">
        <v>0</v>
      </c>
      <c r="AI35" s="32">
        <f t="shared" si="16"/>
        <v>4743000</v>
      </c>
      <c r="AJ35" s="77" t="str">
        <f t="shared" si="17"/>
        <v>-</v>
      </c>
      <c r="AK35" s="41">
        <v>0</v>
      </c>
      <c r="AL35" s="40">
        <v>0</v>
      </c>
      <c r="AM35" s="32">
        <f t="shared" si="18"/>
        <v>0</v>
      </c>
      <c r="AN35" s="78" t="str">
        <f t="shared" si="19"/>
        <v>-</v>
      </c>
      <c r="AO35" s="39">
        <v>4743000</v>
      </c>
      <c r="AP35" s="39">
        <v>0</v>
      </c>
      <c r="AQ35" s="32">
        <f t="shared" si="20"/>
        <v>4743000</v>
      </c>
      <c r="AR35" s="78" t="str">
        <f t="shared" si="21"/>
        <v>-</v>
      </c>
      <c r="AS35" s="39">
        <v>0</v>
      </c>
      <c r="AT35" s="32">
        <f t="shared" si="22"/>
        <v>4743000</v>
      </c>
      <c r="AU35" s="77" t="str">
        <f t="shared" si="23"/>
        <v>-</v>
      </c>
      <c r="AV35" s="41">
        <v>0</v>
      </c>
      <c r="AW35" s="40">
        <v>0</v>
      </c>
      <c r="AX35" s="32">
        <f t="shared" si="24"/>
        <v>0</v>
      </c>
      <c r="AY35" s="78" t="str">
        <f t="shared" si="25"/>
        <v>-</v>
      </c>
      <c r="AZ35" s="39">
        <v>4743000</v>
      </c>
      <c r="BA35" s="39">
        <v>0</v>
      </c>
      <c r="BB35" s="32">
        <f t="shared" si="26"/>
        <v>4743000</v>
      </c>
      <c r="BC35" s="78" t="str">
        <f t="shared" si="27"/>
        <v>-</v>
      </c>
      <c r="BD35" s="39">
        <v>0</v>
      </c>
      <c r="BE35" s="32">
        <f t="shared" si="28"/>
        <v>4743000</v>
      </c>
      <c r="BF35" s="77" t="str">
        <f t="shared" si="29"/>
        <v>-</v>
      </c>
      <c r="BG35" s="41">
        <v>0</v>
      </c>
      <c r="BH35" s="40">
        <v>0</v>
      </c>
      <c r="BI35" s="32">
        <f t="shared" si="30"/>
        <v>0</v>
      </c>
      <c r="BJ35" s="78" t="str">
        <f t="shared" si="31"/>
        <v>-</v>
      </c>
      <c r="BK35" s="39">
        <v>4743000</v>
      </c>
      <c r="BL35" s="39">
        <v>0</v>
      </c>
      <c r="BM35" s="32">
        <f t="shared" si="32"/>
        <v>4743000</v>
      </c>
      <c r="BN35" s="78" t="str">
        <f t="shared" si="33"/>
        <v>-</v>
      </c>
      <c r="BO35" s="39">
        <v>0</v>
      </c>
      <c r="BP35" s="32">
        <f t="shared" si="34"/>
        <v>4743000</v>
      </c>
      <c r="BQ35" s="77" t="str">
        <f t="shared" si="35"/>
        <v>-</v>
      </c>
      <c r="BR35" s="41">
        <v>0</v>
      </c>
      <c r="BS35" s="40">
        <v>0</v>
      </c>
      <c r="BT35" s="32">
        <f t="shared" si="36"/>
        <v>0</v>
      </c>
      <c r="BU35" s="78" t="str">
        <f t="shared" si="37"/>
        <v>-</v>
      </c>
      <c r="BV35" s="39">
        <v>4743000</v>
      </c>
      <c r="BW35" s="39">
        <v>0</v>
      </c>
      <c r="BX35" s="32">
        <f t="shared" si="38"/>
        <v>4743000</v>
      </c>
      <c r="BY35" s="78" t="str">
        <f t="shared" si="39"/>
        <v>-</v>
      </c>
      <c r="BZ35" s="39">
        <v>0</v>
      </c>
      <c r="CA35" s="32">
        <f t="shared" si="40"/>
        <v>4743000</v>
      </c>
      <c r="CB35" s="77" t="str">
        <f t="shared" si="41"/>
        <v>-</v>
      </c>
      <c r="CC35" s="41">
        <v>0</v>
      </c>
      <c r="CD35" s="40">
        <v>0</v>
      </c>
      <c r="CE35" s="32">
        <f t="shared" si="42"/>
        <v>0</v>
      </c>
      <c r="CF35" s="78" t="str">
        <f t="shared" si="43"/>
        <v>-</v>
      </c>
      <c r="CG35" s="39">
        <v>4743000</v>
      </c>
      <c r="CH35" s="39">
        <v>0</v>
      </c>
      <c r="CI35" s="32">
        <f t="shared" si="44"/>
        <v>4743000</v>
      </c>
      <c r="CJ35" s="78" t="str">
        <f t="shared" si="45"/>
        <v>-</v>
      </c>
      <c r="CK35" s="39">
        <v>0</v>
      </c>
      <c r="CL35" s="32">
        <f t="shared" si="46"/>
        <v>4743000</v>
      </c>
      <c r="CM35" s="77" t="str">
        <f t="shared" si="47"/>
        <v>-</v>
      </c>
      <c r="CN35" s="41">
        <v>0</v>
      </c>
      <c r="CO35" s="40">
        <v>0</v>
      </c>
      <c r="CP35" s="32">
        <f t="shared" si="48"/>
        <v>0</v>
      </c>
      <c r="CQ35" s="78" t="str">
        <f t="shared" si="49"/>
        <v>-</v>
      </c>
      <c r="CR35" s="39">
        <v>4743000</v>
      </c>
      <c r="CS35" s="39">
        <v>0</v>
      </c>
      <c r="CT35" s="32">
        <f t="shared" si="50"/>
        <v>4743000</v>
      </c>
      <c r="CU35" s="78" t="str">
        <f t="shared" si="51"/>
        <v>-</v>
      </c>
      <c r="CV35" s="39">
        <v>0</v>
      </c>
      <c r="CW35" s="32">
        <f t="shared" si="52"/>
        <v>4743000</v>
      </c>
      <c r="CX35" s="77" t="str">
        <f t="shared" si="53"/>
        <v>-</v>
      </c>
      <c r="CY35" s="41">
        <v>0</v>
      </c>
      <c r="CZ35" s="40">
        <v>0</v>
      </c>
      <c r="DA35" s="32">
        <f t="shared" si="54"/>
        <v>0</v>
      </c>
      <c r="DB35" s="78" t="str">
        <f t="shared" si="55"/>
        <v>-</v>
      </c>
      <c r="DC35" s="39">
        <v>4743000</v>
      </c>
      <c r="DD35" s="39">
        <v>0</v>
      </c>
      <c r="DE35" s="32">
        <f t="shared" si="56"/>
        <v>4743000</v>
      </c>
      <c r="DF35" s="78" t="str">
        <f t="shared" si="57"/>
        <v>-</v>
      </c>
      <c r="DG35" s="39">
        <v>0</v>
      </c>
      <c r="DH35" s="32">
        <f t="shared" si="58"/>
        <v>4743000</v>
      </c>
      <c r="DI35" s="77" t="str">
        <f t="shared" si="59"/>
        <v>-</v>
      </c>
    </row>
    <row r="36" spans="1:113" ht="12.75" customHeight="1" outlineLevel="3" x14ac:dyDescent="0.2">
      <c r="A36" s="54"/>
      <c r="B36" s="38" t="s">
        <v>82</v>
      </c>
      <c r="C36" s="49" t="s">
        <v>81</v>
      </c>
      <c r="D36" s="41">
        <v>0</v>
      </c>
      <c r="E36" s="40">
        <v>0</v>
      </c>
      <c r="F36" s="32">
        <f t="shared" si="0"/>
        <v>0</v>
      </c>
      <c r="G36" s="78" t="str">
        <f t="shared" si="1"/>
        <v>-</v>
      </c>
      <c r="H36" s="39">
        <v>32028.32</v>
      </c>
      <c r="I36" s="39">
        <v>0</v>
      </c>
      <c r="J36" s="32">
        <f t="shared" si="2"/>
        <v>32028.32</v>
      </c>
      <c r="K36" s="78" t="str">
        <f t="shared" si="3"/>
        <v>-</v>
      </c>
      <c r="L36" s="39">
        <v>0</v>
      </c>
      <c r="M36" s="32">
        <f t="shared" si="4"/>
        <v>32028.32</v>
      </c>
      <c r="N36" s="77" t="str">
        <f t="shared" si="5"/>
        <v>-</v>
      </c>
      <c r="O36" s="41">
        <v>0</v>
      </c>
      <c r="P36" s="40">
        <v>0</v>
      </c>
      <c r="Q36" s="32">
        <f t="shared" si="6"/>
        <v>0</v>
      </c>
      <c r="R36" s="78" t="str">
        <f t="shared" si="7"/>
        <v>-</v>
      </c>
      <c r="S36" s="39">
        <v>32028.32</v>
      </c>
      <c r="T36" s="39">
        <v>0</v>
      </c>
      <c r="U36" s="32">
        <f t="shared" si="8"/>
        <v>32028.32</v>
      </c>
      <c r="V36" s="78" t="str">
        <f t="shared" si="9"/>
        <v>-</v>
      </c>
      <c r="W36" s="39">
        <v>0</v>
      </c>
      <c r="X36" s="32">
        <f t="shared" si="10"/>
        <v>32028.32</v>
      </c>
      <c r="Y36" s="77" t="str">
        <f t="shared" si="11"/>
        <v>-</v>
      </c>
      <c r="Z36" s="41">
        <v>0</v>
      </c>
      <c r="AA36" s="40">
        <v>0</v>
      </c>
      <c r="AB36" s="32">
        <f t="shared" si="12"/>
        <v>0</v>
      </c>
      <c r="AC36" s="78" t="str">
        <f t="shared" si="13"/>
        <v>-</v>
      </c>
      <c r="AD36" s="39">
        <v>32028.32</v>
      </c>
      <c r="AE36" s="39">
        <v>0</v>
      </c>
      <c r="AF36" s="32">
        <f t="shared" si="14"/>
        <v>32028.32</v>
      </c>
      <c r="AG36" s="78" t="str">
        <f t="shared" si="15"/>
        <v>-</v>
      </c>
      <c r="AH36" s="39">
        <v>0</v>
      </c>
      <c r="AI36" s="32">
        <f t="shared" si="16"/>
        <v>32028.32</v>
      </c>
      <c r="AJ36" s="77" t="str">
        <f t="shared" si="17"/>
        <v>-</v>
      </c>
      <c r="AK36" s="41">
        <v>0</v>
      </c>
      <c r="AL36" s="40">
        <v>0</v>
      </c>
      <c r="AM36" s="32">
        <f t="shared" si="18"/>
        <v>0</v>
      </c>
      <c r="AN36" s="78" t="str">
        <f t="shared" si="19"/>
        <v>-</v>
      </c>
      <c r="AO36" s="39">
        <v>32028.32</v>
      </c>
      <c r="AP36" s="39">
        <v>0</v>
      </c>
      <c r="AQ36" s="32">
        <f t="shared" si="20"/>
        <v>32028.32</v>
      </c>
      <c r="AR36" s="78" t="str">
        <f t="shared" si="21"/>
        <v>-</v>
      </c>
      <c r="AS36" s="39">
        <v>0</v>
      </c>
      <c r="AT36" s="32">
        <f t="shared" si="22"/>
        <v>32028.32</v>
      </c>
      <c r="AU36" s="77" t="str">
        <f t="shared" si="23"/>
        <v>-</v>
      </c>
      <c r="AV36" s="41">
        <v>0</v>
      </c>
      <c r="AW36" s="40">
        <v>0</v>
      </c>
      <c r="AX36" s="32">
        <f t="shared" si="24"/>
        <v>0</v>
      </c>
      <c r="AY36" s="78" t="str">
        <f t="shared" si="25"/>
        <v>-</v>
      </c>
      <c r="AZ36" s="39">
        <v>32028.32</v>
      </c>
      <c r="BA36" s="39">
        <v>0</v>
      </c>
      <c r="BB36" s="32">
        <f t="shared" si="26"/>
        <v>32028.32</v>
      </c>
      <c r="BC36" s="78" t="str">
        <f t="shared" si="27"/>
        <v>-</v>
      </c>
      <c r="BD36" s="39">
        <v>0</v>
      </c>
      <c r="BE36" s="32">
        <f t="shared" si="28"/>
        <v>32028.32</v>
      </c>
      <c r="BF36" s="77" t="str">
        <f t="shared" si="29"/>
        <v>-</v>
      </c>
      <c r="BG36" s="41">
        <v>0</v>
      </c>
      <c r="BH36" s="40">
        <v>0</v>
      </c>
      <c r="BI36" s="32">
        <f t="shared" si="30"/>
        <v>0</v>
      </c>
      <c r="BJ36" s="78" t="str">
        <f t="shared" si="31"/>
        <v>-</v>
      </c>
      <c r="BK36" s="39">
        <v>32028.32</v>
      </c>
      <c r="BL36" s="39">
        <v>0</v>
      </c>
      <c r="BM36" s="32">
        <f t="shared" si="32"/>
        <v>32028.32</v>
      </c>
      <c r="BN36" s="78" t="str">
        <f t="shared" si="33"/>
        <v>-</v>
      </c>
      <c r="BO36" s="39">
        <v>0</v>
      </c>
      <c r="BP36" s="32">
        <f t="shared" si="34"/>
        <v>32028.32</v>
      </c>
      <c r="BQ36" s="77" t="str">
        <f t="shared" si="35"/>
        <v>-</v>
      </c>
      <c r="BR36" s="41">
        <v>0</v>
      </c>
      <c r="BS36" s="40">
        <v>0</v>
      </c>
      <c r="BT36" s="32">
        <f t="shared" si="36"/>
        <v>0</v>
      </c>
      <c r="BU36" s="78" t="str">
        <f t="shared" si="37"/>
        <v>-</v>
      </c>
      <c r="BV36" s="39">
        <v>32028.32</v>
      </c>
      <c r="BW36" s="39">
        <v>0</v>
      </c>
      <c r="BX36" s="32">
        <f t="shared" si="38"/>
        <v>32028.32</v>
      </c>
      <c r="BY36" s="78" t="str">
        <f t="shared" si="39"/>
        <v>-</v>
      </c>
      <c r="BZ36" s="39">
        <v>0</v>
      </c>
      <c r="CA36" s="32">
        <f t="shared" si="40"/>
        <v>32028.32</v>
      </c>
      <c r="CB36" s="77" t="str">
        <f t="shared" si="41"/>
        <v>-</v>
      </c>
      <c r="CC36" s="41">
        <v>0</v>
      </c>
      <c r="CD36" s="40">
        <v>0</v>
      </c>
      <c r="CE36" s="32">
        <f t="shared" si="42"/>
        <v>0</v>
      </c>
      <c r="CF36" s="78" t="str">
        <f t="shared" si="43"/>
        <v>-</v>
      </c>
      <c r="CG36" s="39">
        <v>32028.32</v>
      </c>
      <c r="CH36" s="39">
        <v>0</v>
      </c>
      <c r="CI36" s="32">
        <f t="shared" si="44"/>
        <v>32028.32</v>
      </c>
      <c r="CJ36" s="78" t="str">
        <f t="shared" si="45"/>
        <v>-</v>
      </c>
      <c r="CK36" s="39">
        <v>0</v>
      </c>
      <c r="CL36" s="32">
        <f t="shared" si="46"/>
        <v>32028.32</v>
      </c>
      <c r="CM36" s="77" t="str">
        <f t="shared" si="47"/>
        <v>-</v>
      </c>
      <c r="CN36" s="41">
        <v>0</v>
      </c>
      <c r="CO36" s="40">
        <v>0</v>
      </c>
      <c r="CP36" s="32">
        <f t="shared" si="48"/>
        <v>0</v>
      </c>
      <c r="CQ36" s="78" t="str">
        <f t="shared" si="49"/>
        <v>-</v>
      </c>
      <c r="CR36" s="39">
        <v>32028.32</v>
      </c>
      <c r="CS36" s="39">
        <v>0</v>
      </c>
      <c r="CT36" s="32">
        <f t="shared" si="50"/>
        <v>32028.32</v>
      </c>
      <c r="CU36" s="78" t="str">
        <f t="shared" si="51"/>
        <v>-</v>
      </c>
      <c r="CV36" s="39">
        <v>0</v>
      </c>
      <c r="CW36" s="32">
        <f t="shared" si="52"/>
        <v>32028.32</v>
      </c>
      <c r="CX36" s="77" t="str">
        <f t="shared" si="53"/>
        <v>-</v>
      </c>
      <c r="CY36" s="41">
        <v>0</v>
      </c>
      <c r="CZ36" s="40">
        <v>0</v>
      </c>
      <c r="DA36" s="32">
        <f t="shared" si="54"/>
        <v>0</v>
      </c>
      <c r="DB36" s="78" t="str">
        <f t="shared" si="55"/>
        <v>-</v>
      </c>
      <c r="DC36" s="39">
        <v>32028.32</v>
      </c>
      <c r="DD36" s="39">
        <v>0</v>
      </c>
      <c r="DE36" s="32">
        <f t="shared" si="56"/>
        <v>32028.32</v>
      </c>
      <c r="DF36" s="78" t="str">
        <f t="shared" si="57"/>
        <v>-</v>
      </c>
      <c r="DG36" s="39">
        <v>0</v>
      </c>
      <c r="DH36" s="32">
        <f t="shared" si="58"/>
        <v>32028.32</v>
      </c>
      <c r="DI36" s="77" t="str">
        <f t="shared" si="59"/>
        <v>-</v>
      </c>
    </row>
    <row r="37" spans="1:113" s="6" customFormat="1" outlineLevel="2" x14ac:dyDescent="0.2">
      <c r="A37" s="30"/>
      <c r="B37" s="29" t="s">
        <v>80</v>
      </c>
      <c r="C37" s="52" t="s">
        <v>79</v>
      </c>
      <c r="D37" s="27">
        <f>SUM(D35:D36)</f>
        <v>0</v>
      </c>
      <c r="E37" s="26">
        <f>SUM(E35:E36)</f>
        <v>0</v>
      </c>
      <c r="F37" s="23">
        <f t="shared" si="0"/>
        <v>0</v>
      </c>
      <c r="G37" s="76" t="str">
        <f t="shared" si="1"/>
        <v>-</v>
      </c>
      <c r="H37" s="24">
        <f>SUM(H35:H36)</f>
        <v>4775028.32</v>
      </c>
      <c r="I37" s="24">
        <f>SUM(I35:I36)</f>
        <v>0</v>
      </c>
      <c r="J37" s="23">
        <f t="shared" si="2"/>
        <v>4775028.32</v>
      </c>
      <c r="K37" s="76" t="str">
        <f t="shared" si="3"/>
        <v>-</v>
      </c>
      <c r="L37" s="24">
        <f>SUM(L35:L36)</f>
        <v>0</v>
      </c>
      <c r="M37" s="23">
        <f t="shared" si="4"/>
        <v>4775028.32</v>
      </c>
      <c r="N37" s="75" t="str">
        <f t="shared" si="5"/>
        <v>-</v>
      </c>
      <c r="O37" s="27">
        <f>SUM(O35:O36)</f>
        <v>0</v>
      </c>
      <c r="P37" s="26">
        <f>SUM(P35:P36)</f>
        <v>0</v>
      </c>
      <c r="Q37" s="23">
        <f t="shared" si="6"/>
        <v>0</v>
      </c>
      <c r="R37" s="76" t="str">
        <f t="shared" si="7"/>
        <v>-</v>
      </c>
      <c r="S37" s="24">
        <f>SUM(S35:S36)</f>
        <v>4775028.32</v>
      </c>
      <c r="T37" s="24">
        <f>SUM(T35:T36)</f>
        <v>0</v>
      </c>
      <c r="U37" s="23">
        <f t="shared" si="8"/>
        <v>4775028.32</v>
      </c>
      <c r="V37" s="76" t="str">
        <f t="shared" si="9"/>
        <v>-</v>
      </c>
      <c r="W37" s="24">
        <f>SUM(W35:W36)</f>
        <v>0</v>
      </c>
      <c r="X37" s="23">
        <f t="shared" si="10"/>
        <v>4775028.32</v>
      </c>
      <c r="Y37" s="75" t="str">
        <f t="shared" si="11"/>
        <v>-</v>
      </c>
      <c r="Z37" s="27">
        <f>SUM(Z35:Z36)</f>
        <v>0</v>
      </c>
      <c r="AA37" s="26">
        <f>SUM(AA35:AA36)</f>
        <v>0</v>
      </c>
      <c r="AB37" s="23">
        <f t="shared" si="12"/>
        <v>0</v>
      </c>
      <c r="AC37" s="76" t="str">
        <f t="shared" si="13"/>
        <v>-</v>
      </c>
      <c r="AD37" s="24">
        <f>SUM(AD35:AD36)</f>
        <v>4775028.32</v>
      </c>
      <c r="AE37" s="24">
        <f>SUM(AE35:AE36)</f>
        <v>0</v>
      </c>
      <c r="AF37" s="23">
        <f t="shared" si="14"/>
        <v>4775028.32</v>
      </c>
      <c r="AG37" s="76" t="str">
        <f t="shared" si="15"/>
        <v>-</v>
      </c>
      <c r="AH37" s="24">
        <f>SUM(AH35:AH36)</f>
        <v>0</v>
      </c>
      <c r="AI37" s="23">
        <f t="shared" si="16"/>
        <v>4775028.32</v>
      </c>
      <c r="AJ37" s="75" t="str">
        <f t="shared" si="17"/>
        <v>-</v>
      </c>
      <c r="AK37" s="27">
        <f>SUM(AK35:AK36)</f>
        <v>0</v>
      </c>
      <c r="AL37" s="26">
        <f>SUM(AL35:AL36)</f>
        <v>0</v>
      </c>
      <c r="AM37" s="23">
        <f t="shared" si="18"/>
        <v>0</v>
      </c>
      <c r="AN37" s="76" t="str">
        <f t="shared" si="19"/>
        <v>-</v>
      </c>
      <c r="AO37" s="24">
        <f>SUM(AO35:AO36)</f>
        <v>4775028.32</v>
      </c>
      <c r="AP37" s="24">
        <f>SUM(AP35:AP36)</f>
        <v>0</v>
      </c>
      <c r="AQ37" s="23">
        <f t="shared" si="20"/>
        <v>4775028.32</v>
      </c>
      <c r="AR37" s="76" t="str">
        <f t="shared" si="21"/>
        <v>-</v>
      </c>
      <c r="AS37" s="24">
        <f>SUM(AS35:AS36)</f>
        <v>0</v>
      </c>
      <c r="AT37" s="23">
        <f t="shared" si="22"/>
        <v>4775028.32</v>
      </c>
      <c r="AU37" s="75" t="str">
        <f t="shared" si="23"/>
        <v>-</v>
      </c>
      <c r="AV37" s="27">
        <f>SUM(AV35:AV36)</f>
        <v>0</v>
      </c>
      <c r="AW37" s="26">
        <f>SUM(AW35:AW36)</f>
        <v>0</v>
      </c>
      <c r="AX37" s="23">
        <f t="shared" si="24"/>
        <v>0</v>
      </c>
      <c r="AY37" s="76" t="str">
        <f t="shared" si="25"/>
        <v>-</v>
      </c>
      <c r="AZ37" s="24">
        <f>SUM(AZ35:AZ36)</f>
        <v>4775028.32</v>
      </c>
      <c r="BA37" s="24">
        <f>SUM(BA35:BA36)</f>
        <v>0</v>
      </c>
      <c r="BB37" s="23">
        <f t="shared" si="26"/>
        <v>4775028.32</v>
      </c>
      <c r="BC37" s="76" t="str">
        <f t="shared" si="27"/>
        <v>-</v>
      </c>
      <c r="BD37" s="24">
        <f>SUM(BD35:BD36)</f>
        <v>0</v>
      </c>
      <c r="BE37" s="23">
        <f t="shared" si="28"/>
        <v>4775028.32</v>
      </c>
      <c r="BF37" s="75" t="str">
        <f t="shared" si="29"/>
        <v>-</v>
      </c>
      <c r="BG37" s="27">
        <f>SUM(BG35:BG36)</f>
        <v>0</v>
      </c>
      <c r="BH37" s="26">
        <f>SUM(BH35:BH36)</f>
        <v>0</v>
      </c>
      <c r="BI37" s="23">
        <f t="shared" si="30"/>
        <v>0</v>
      </c>
      <c r="BJ37" s="76" t="str">
        <f t="shared" si="31"/>
        <v>-</v>
      </c>
      <c r="BK37" s="24">
        <f>SUM(BK35:BK36)</f>
        <v>4775028.32</v>
      </c>
      <c r="BL37" s="24">
        <f>SUM(BL35:BL36)</f>
        <v>0</v>
      </c>
      <c r="BM37" s="23">
        <f t="shared" si="32"/>
        <v>4775028.32</v>
      </c>
      <c r="BN37" s="76" t="str">
        <f t="shared" si="33"/>
        <v>-</v>
      </c>
      <c r="BO37" s="24">
        <f>SUM(BO35:BO36)</f>
        <v>0</v>
      </c>
      <c r="BP37" s="23">
        <f t="shared" si="34"/>
        <v>4775028.32</v>
      </c>
      <c r="BQ37" s="75" t="str">
        <f t="shared" si="35"/>
        <v>-</v>
      </c>
      <c r="BR37" s="27">
        <f>SUM(BR35:BR36)</f>
        <v>0</v>
      </c>
      <c r="BS37" s="26">
        <f>SUM(BS35:BS36)</f>
        <v>0</v>
      </c>
      <c r="BT37" s="23">
        <f t="shared" si="36"/>
        <v>0</v>
      </c>
      <c r="BU37" s="76" t="str">
        <f t="shared" si="37"/>
        <v>-</v>
      </c>
      <c r="BV37" s="24">
        <f>SUM(BV35:BV36)</f>
        <v>4775028.32</v>
      </c>
      <c r="BW37" s="24">
        <f>SUM(BW35:BW36)</f>
        <v>0</v>
      </c>
      <c r="BX37" s="23">
        <f t="shared" si="38"/>
        <v>4775028.32</v>
      </c>
      <c r="BY37" s="76" t="str">
        <f t="shared" si="39"/>
        <v>-</v>
      </c>
      <c r="BZ37" s="24">
        <f>SUM(BZ35:BZ36)</f>
        <v>0</v>
      </c>
      <c r="CA37" s="23">
        <f t="shared" si="40"/>
        <v>4775028.32</v>
      </c>
      <c r="CB37" s="75" t="str">
        <f t="shared" si="41"/>
        <v>-</v>
      </c>
      <c r="CC37" s="27">
        <f>SUM(CC35:CC36)</f>
        <v>0</v>
      </c>
      <c r="CD37" s="26">
        <f>SUM(CD35:CD36)</f>
        <v>0</v>
      </c>
      <c r="CE37" s="23">
        <f t="shared" si="42"/>
        <v>0</v>
      </c>
      <c r="CF37" s="76" t="str">
        <f t="shared" si="43"/>
        <v>-</v>
      </c>
      <c r="CG37" s="24">
        <f>SUM(CG35:CG36)</f>
        <v>4775028.32</v>
      </c>
      <c r="CH37" s="24">
        <f>SUM(CH35:CH36)</f>
        <v>0</v>
      </c>
      <c r="CI37" s="23">
        <f t="shared" si="44"/>
        <v>4775028.32</v>
      </c>
      <c r="CJ37" s="76" t="str">
        <f t="shared" si="45"/>
        <v>-</v>
      </c>
      <c r="CK37" s="24">
        <f>SUM(CK35:CK36)</f>
        <v>0</v>
      </c>
      <c r="CL37" s="23">
        <f t="shared" si="46"/>
        <v>4775028.32</v>
      </c>
      <c r="CM37" s="75" t="str">
        <f t="shared" si="47"/>
        <v>-</v>
      </c>
      <c r="CN37" s="27">
        <f>SUM(CN35:CN36)</f>
        <v>0</v>
      </c>
      <c r="CO37" s="26">
        <f>SUM(CO35:CO36)</f>
        <v>0</v>
      </c>
      <c r="CP37" s="23">
        <f t="shared" si="48"/>
        <v>0</v>
      </c>
      <c r="CQ37" s="76" t="str">
        <f t="shared" si="49"/>
        <v>-</v>
      </c>
      <c r="CR37" s="24">
        <f>SUM(CR35:CR36)</f>
        <v>4775028.32</v>
      </c>
      <c r="CS37" s="24">
        <f>SUM(CS35:CS36)</f>
        <v>0</v>
      </c>
      <c r="CT37" s="23">
        <f t="shared" si="50"/>
        <v>4775028.32</v>
      </c>
      <c r="CU37" s="76" t="str">
        <f t="shared" si="51"/>
        <v>-</v>
      </c>
      <c r="CV37" s="24">
        <f>SUM(CV35:CV36)</f>
        <v>0</v>
      </c>
      <c r="CW37" s="23">
        <f t="shared" si="52"/>
        <v>4775028.32</v>
      </c>
      <c r="CX37" s="75" t="str">
        <f t="shared" si="53"/>
        <v>-</v>
      </c>
      <c r="CY37" s="27">
        <f>SUM(CY35:CY36)</f>
        <v>0</v>
      </c>
      <c r="CZ37" s="26">
        <f>SUM(CZ35:CZ36)</f>
        <v>0</v>
      </c>
      <c r="DA37" s="23">
        <f t="shared" si="54"/>
        <v>0</v>
      </c>
      <c r="DB37" s="76" t="str">
        <f t="shared" si="55"/>
        <v>-</v>
      </c>
      <c r="DC37" s="24">
        <f>SUM(DC35:DC36)</f>
        <v>4775028.32</v>
      </c>
      <c r="DD37" s="24">
        <f>SUM(DD35:DD36)</f>
        <v>0</v>
      </c>
      <c r="DE37" s="23">
        <f t="shared" si="56"/>
        <v>4775028.32</v>
      </c>
      <c r="DF37" s="76" t="str">
        <f t="shared" si="57"/>
        <v>-</v>
      </c>
      <c r="DG37" s="24">
        <f>SUM(DG35:DG36)</f>
        <v>0</v>
      </c>
      <c r="DH37" s="23">
        <f t="shared" si="58"/>
        <v>4775028.32</v>
      </c>
      <c r="DI37" s="75" t="str">
        <f t="shared" si="59"/>
        <v>-</v>
      </c>
    </row>
    <row r="38" spans="1:113" ht="12.75" customHeight="1" outlineLevel="3" x14ac:dyDescent="0.2">
      <c r="B38" s="38" t="s">
        <v>78</v>
      </c>
      <c r="C38" s="49" t="s">
        <v>74</v>
      </c>
      <c r="D38" s="41">
        <v>0</v>
      </c>
      <c r="E38" s="40">
        <v>0</v>
      </c>
      <c r="F38" s="32">
        <f t="shared" si="0"/>
        <v>0</v>
      </c>
      <c r="G38" s="78" t="str">
        <f t="shared" si="1"/>
        <v>-</v>
      </c>
      <c r="H38" s="39">
        <v>0</v>
      </c>
      <c r="I38" s="39">
        <v>0</v>
      </c>
      <c r="J38" s="32">
        <f t="shared" si="2"/>
        <v>0</v>
      </c>
      <c r="K38" s="78" t="str">
        <f t="shared" si="3"/>
        <v>-</v>
      </c>
      <c r="L38" s="39">
        <v>0</v>
      </c>
      <c r="M38" s="32">
        <f t="shared" si="4"/>
        <v>0</v>
      </c>
      <c r="N38" s="77" t="str">
        <f t="shared" si="5"/>
        <v>-</v>
      </c>
      <c r="O38" s="41">
        <v>0</v>
      </c>
      <c r="P38" s="40">
        <v>0</v>
      </c>
      <c r="Q38" s="32">
        <f t="shared" si="6"/>
        <v>0</v>
      </c>
      <c r="R38" s="78" t="str">
        <f t="shared" si="7"/>
        <v>-</v>
      </c>
      <c r="S38" s="39">
        <v>0</v>
      </c>
      <c r="T38" s="39">
        <v>0</v>
      </c>
      <c r="U38" s="32">
        <f t="shared" si="8"/>
        <v>0</v>
      </c>
      <c r="V38" s="78" t="str">
        <f t="shared" si="9"/>
        <v>-</v>
      </c>
      <c r="W38" s="39">
        <v>0</v>
      </c>
      <c r="X38" s="32">
        <f t="shared" si="10"/>
        <v>0</v>
      </c>
      <c r="Y38" s="77" t="str">
        <f t="shared" si="11"/>
        <v>-</v>
      </c>
      <c r="Z38" s="41">
        <v>0</v>
      </c>
      <c r="AA38" s="40">
        <v>0</v>
      </c>
      <c r="AB38" s="32">
        <f t="shared" si="12"/>
        <v>0</v>
      </c>
      <c r="AC38" s="78" t="str">
        <f t="shared" si="13"/>
        <v>-</v>
      </c>
      <c r="AD38" s="39">
        <v>0</v>
      </c>
      <c r="AE38" s="39">
        <v>0</v>
      </c>
      <c r="AF38" s="32">
        <f t="shared" si="14"/>
        <v>0</v>
      </c>
      <c r="AG38" s="78" t="str">
        <f t="shared" si="15"/>
        <v>-</v>
      </c>
      <c r="AH38" s="39">
        <v>0</v>
      </c>
      <c r="AI38" s="32">
        <f t="shared" si="16"/>
        <v>0</v>
      </c>
      <c r="AJ38" s="77" t="str">
        <f t="shared" si="17"/>
        <v>-</v>
      </c>
      <c r="AK38" s="41">
        <v>0</v>
      </c>
      <c r="AL38" s="40">
        <v>0</v>
      </c>
      <c r="AM38" s="32">
        <f t="shared" si="18"/>
        <v>0</v>
      </c>
      <c r="AN38" s="78" t="str">
        <f t="shared" si="19"/>
        <v>-</v>
      </c>
      <c r="AO38" s="39">
        <v>0</v>
      </c>
      <c r="AP38" s="39">
        <v>0</v>
      </c>
      <c r="AQ38" s="32">
        <f t="shared" si="20"/>
        <v>0</v>
      </c>
      <c r="AR38" s="78" t="str">
        <f t="shared" si="21"/>
        <v>-</v>
      </c>
      <c r="AS38" s="39">
        <v>0</v>
      </c>
      <c r="AT38" s="32">
        <f t="shared" si="22"/>
        <v>0</v>
      </c>
      <c r="AU38" s="77" t="str">
        <f t="shared" si="23"/>
        <v>-</v>
      </c>
      <c r="AV38" s="41">
        <v>0</v>
      </c>
      <c r="AW38" s="40">
        <v>0</v>
      </c>
      <c r="AX38" s="32">
        <f t="shared" si="24"/>
        <v>0</v>
      </c>
      <c r="AY38" s="78" t="str">
        <f t="shared" si="25"/>
        <v>-</v>
      </c>
      <c r="AZ38" s="39">
        <v>0</v>
      </c>
      <c r="BA38" s="39">
        <v>0</v>
      </c>
      <c r="BB38" s="32">
        <f t="shared" si="26"/>
        <v>0</v>
      </c>
      <c r="BC38" s="78" t="str">
        <f t="shared" si="27"/>
        <v>-</v>
      </c>
      <c r="BD38" s="39">
        <v>0</v>
      </c>
      <c r="BE38" s="32">
        <f t="shared" si="28"/>
        <v>0</v>
      </c>
      <c r="BF38" s="77" t="str">
        <f t="shared" si="29"/>
        <v>-</v>
      </c>
      <c r="BG38" s="41">
        <v>0</v>
      </c>
      <c r="BH38" s="40">
        <v>0</v>
      </c>
      <c r="BI38" s="32">
        <f t="shared" si="30"/>
        <v>0</v>
      </c>
      <c r="BJ38" s="78" t="str">
        <f t="shared" si="31"/>
        <v>-</v>
      </c>
      <c r="BK38" s="39">
        <v>0</v>
      </c>
      <c r="BL38" s="39">
        <v>0</v>
      </c>
      <c r="BM38" s="32">
        <f t="shared" si="32"/>
        <v>0</v>
      </c>
      <c r="BN38" s="78" t="str">
        <f t="shared" si="33"/>
        <v>-</v>
      </c>
      <c r="BO38" s="39">
        <v>0</v>
      </c>
      <c r="BP38" s="32">
        <f t="shared" si="34"/>
        <v>0</v>
      </c>
      <c r="BQ38" s="77" t="str">
        <f t="shared" si="35"/>
        <v>-</v>
      </c>
      <c r="BR38" s="41">
        <v>0</v>
      </c>
      <c r="BS38" s="40">
        <v>0</v>
      </c>
      <c r="BT38" s="32">
        <f t="shared" si="36"/>
        <v>0</v>
      </c>
      <c r="BU38" s="78" t="str">
        <f t="shared" si="37"/>
        <v>-</v>
      </c>
      <c r="BV38" s="39">
        <v>0</v>
      </c>
      <c r="BW38" s="39">
        <v>0</v>
      </c>
      <c r="BX38" s="32">
        <f t="shared" si="38"/>
        <v>0</v>
      </c>
      <c r="BY38" s="78" t="str">
        <f t="shared" si="39"/>
        <v>-</v>
      </c>
      <c r="BZ38" s="39">
        <v>0</v>
      </c>
      <c r="CA38" s="32">
        <f t="shared" si="40"/>
        <v>0</v>
      </c>
      <c r="CB38" s="77" t="str">
        <f t="shared" si="41"/>
        <v>-</v>
      </c>
      <c r="CC38" s="41">
        <v>0</v>
      </c>
      <c r="CD38" s="40">
        <v>0</v>
      </c>
      <c r="CE38" s="32">
        <f t="shared" si="42"/>
        <v>0</v>
      </c>
      <c r="CF38" s="78" t="str">
        <f t="shared" si="43"/>
        <v>-</v>
      </c>
      <c r="CG38" s="39">
        <v>0</v>
      </c>
      <c r="CH38" s="39">
        <v>0</v>
      </c>
      <c r="CI38" s="32">
        <f t="shared" si="44"/>
        <v>0</v>
      </c>
      <c r="CJ38" s="78" t="str">
        <f t="shared" si="45"/>
        <v>-</v>
      </c>
      <c r="CK38" s="39">
        <v>0</v>
      </c>
      <c r="CL38" s="32">
        <f t="shared" si="46"/>
        <v>0</v>
      </c>
      <c r="CM38" s="77" t="str">
        <f t="shared" si="47"/>
        <v>-</v>
      </c>
      <c r="CN38" s="41">
        <v>0</v>
      </c>
      <c r="CO38" s="40">
        <v>0</v>
      </c>
      <c r="CP38" s="32">
        <f t="shared" si="48"/>
        <v>0</v>
      </c>
      <c r="CQ38" s="78" t="str">
        <f t="shared" si="49"/>
        <v>-</v>
      </c>
      <c r="CR38" s="39">
        <v>0</v>
      </c>
      <c r="CS38" s="39">
        <v>0</v>
      </c>
      <c r="CT38" s="32">
        <f t="shared" si="50"/>
        <v>0</v>
      </c>
      <c r="CU38" s="78" t="str">
        <f t="shared" si="51"/>
        <v>-</v>
      </c>
      <c r="CV38" s="39">
        <v>0</v>
      </c>
      <c r="CW38" s="32">
        <f t="shared" si="52"/>
        <v>0</v>
      </c>
      <c r="CX38" s="77" t="str">
        <f t="shared" si="53"/>
        <v>-</v>
      </c>
      <c r="CY38" s="41">
        <v>0</v>
      </c>
      <c r="CZ38" s="40">
        <v>0</v>
      </c>
      <c r="DA38" s="32">
        <f t="shared" si="54"/>
        <v>0</v>
      </c>
      <c r="DB38" s="78" t="str">
        <f t="shared" si="55"/>
        <v>-</v>
      </c>
      <c r="DC38" s="39">
        <v>0</v>
      </c>
      <c r="DD38" s="39">
        <v>0</v>
      </c>
      <c r="DE38" s="32">
        <f t="shared" si="56"/>
        <v>0</v>
      </c>
      <c r="DF38" s="78" t="str">
        <f t="shared" si="57"/>
        <v>-</v>
      </c>
      <c r="DG38" s="39">
        <v>0</v>
      </c>
      <c r="DH38" s="32">
        <f t="shared" si="58"/>
        <v>0</v>
      </c>
      <c r="DI38" s="77" t="str">
        <f t="shared" si="59"/>
        <v>-</v>
      </c>
    </row>
    <row r="39" spans="1:113" ht="12.75" customHeight="1" outlineLevel="3" x14ac:dyDescent="0.2">
      <c r="B39" s="38" t="s">
        <v>77</v>
      </c>
      <c r="C39" s="49" t="s">
        <v>76</v>
      </c>
      <c r="D39" s="41">
        <v>0</v>
      </c>
      <c r="E39" s="40">
        <v>0</v>
      </c>
      <c r="F39" s="32">
        <f t="shared" si="0"/>
        <v>0</v>
      </c>
      <c r="G39" s="78" t="str">
        <f t="shared" si="1"/>
        <v>-</v>
      </c>
      <c r="H39" s="39">
        <v>0</v>
      </c>
      <c r="I39" s="39">
        <v>0</v>
      </c>
      <c r="J39" s="32">
        <f t="shared" si="2"/>
        <v>0</v>
      </c>
      <c r="K39" s="78" t="str">
        <f t="shared" si="3"/>
        <v>-</v>
      </c>
      <c r="L39" s="39">
        <v>0</v>
      </c>
      <c r="M39" s="32">
        <f t="shared" si="4"/>
        <v>0</v>
      </c>
      <c r="N39" s="77" t="str">
        <f t="shared" si="5"/>
        <v>-</v>
      </c>
      <c r="O39" s="41">
        <v>0</v>
      </c>
      <c r="P39" s="40">
        <v>0</v>
      </c>
      <c r="Q39" s="32">
        <f t="shared" si="6"/>
        <v>0</v>
      </c>
      <c r="R39" s="78" t="str">
        <f t="shared" si="7"/>
        <v>-</v>
      </c>
      <c r="S39" s="39">
        <v>0</v>
      </c>
      <c r="T39" s="39">
        <v>0</v>
      </c>
      <c r="U39" s="32">
        <f t="shared" si="8"/>
        <v>0</v>
      </c>
      <c r="V39" s="78" t="str">
        <f t="shared" si="9"/>
        <v>-</v>
      </c>
      <c r="W39" s="39">
        <v>0</v>
      </c>
      <c r="X39" s="32">
        <f t="shared" si="10"/>
        <v>0</v>
      </c>
      <c r="Y39" s="77" t="str">
        <f t="shared" si="11"/>
        <v>-</v>
      </c>
      <c r="Z39" s="41">
        <v>0</v>
      </c>
      <c r="AA39" s="40">
        <v>0</v>
      </c>
      <c r="AB39" s="32">
        <f t="shared" si="12"/>
        <v>0</v>
      </c>
      <c r="AC39" s="78" t="str">
        <f t="shared" si="13"/>
        <v>-</v>
      </c>
      <c r="AD39" s="39">
        <v>0</v>
      </c>
      <c r="AE39" s="39">
        <v>0</v>
      </c>
      <c r="AF39" s="32">
        <f t="shared" si="14"/>
        <v>0</v>
      </c>
      <c r="AG39" s="78" t="str">
        <f t="shared" si="15"/>
        <v>-</v>
      </c>
      <c r="AH39" s="39">
        <v>0</v>
      </c>
      <c r="AI39" s="32">
        <f t="shared" si="16"/>
        <v>0</v>
      </c>
      <c r="AJ39" s="77" t="str">
        <f t="shared" si="17"/>
        <v>-</v>
      </c>
      <c r="AK39" s="41">
        <v>0</v>
      </c>
      <c r="AL39" s="40">
        <v>0</v>
      </c>
      <c r="AM39" s="32">
        <f t="shared" si="18"/>
        <v>0</v>
      </c>
      <c r="AN39" s="78" t="str">
        <f t="shared" si="19"/>
        <v>-</v>
      </c>
      <c r="AO39" s="39">
        <v>0</v>
      </c>
      <c r="AP39" s="39">
        <v>0</v>
      </c>
      <c r="AQ39" s="32">
        <f t="shared" si="20"/>
        <v>0</v>
      </c>
      <c r="AR39" s="78" t="str">
        <f t="shared" si="21"/>
        <v>-</v>
      </c>
      <c r="AS39" s="39">
        <v>0</v>
      </c>
      <c r="AT39" s="32">
        <f t="shared" si="22"/>
        <v>0</v>
      </c>
      <c r="AU39" s="77" t="str">
        <f t="shared" si="23"/>
        <v>-</v>
      </c>
      <c r="AV39" s="41">
        <v>0</v>
      </c>
      <c r="AW39" s="40">
        <v>0</v>
      </c>
      <c r="AX39" s="32">
        <f t="shared" si="24"/>
        <v>0</v>
      </c>
      <c r="AY39" s="78" t="str">
        <f t="shared" si="25"/>
        <v>-</v>
      </c>
      <c r="AZ39" s="39">
        <v>0</v>
      </c>
      <c r="BA39" s="39">
        <v>0</v>
      </c>
      <c r="BB39" s="32">
        <f t="shared" si="26"/>
        <v>0</v>
      </c>
      <c r="BC39" s="78" t="str">
        <f t="shared" si="27"/>
        <v>-</v>
      </c>
      <c r="BD39" s="39">
        <v>0</v>
      </c>
      <c r="BE39" s="32">
        <f t="shared" si="28"/>
        <v>0</v>
      </c>
      <c r="BF39" s="77" t="str">
        <f t="shared" si="29"/>
        <v>-</v>
      </c>
      <c r="BG39" s="41">
        <v>0</v>
      </c>
      <c r="BH39" s="40">
        <v>0</v>
      </c>
      <c r="BI39" s="32">
        <f t="shared" si="30"/>
        <v>0</v>
      </c>
      <c r="BJ39" s="78" t="str">
        <f t="shared" si="31"/>
        <v>-</v>
      </c>
      <c r="BK39" s="39">
        <v>0</v>
      </c>
      <c r="BL39" s="39">
        <v>0</v>
      </c>
      <c r="BM39" s="32">
        <f t="shared" si="32"/>
        <v>0</v>
      </c>
      <c r="BN39" s="78" t="str">
        <f t="shared" si="33"/>
        <v>-</v>
      </c>
      <c r="BO39" s="39">
        <v>0</v>
      </c>
      <c r="BP39" s="32">
        <f t="shared" si="34"/>
        <v>0</v>
      </c>
      <c r="BQ39" s="77" t="str">
        <f t="shared" si="35"/>
        <v>-</v>
      </c>
      <c r="BR39" s="41">
        <v>0</v>
      </c>
      <c r="BS39" s="40">
        <v>0</v>
      </c>
      <c r="BT39" s="32">
        <f t="shared" si="36"/>
        <v>0</v>
      </c>
      <c r="BU39" s="78" t="str">
        <f t="shared" si="37"/>
        <v>-</v>
      </c>
      <c r="BV39" s="39">
        <v>0</v>
      </c>
      <c r="BW39" s="39">
        <v>0</v>
      </c>
      <c r="BX39" s="32">
        <f t="shared" si="38"/>
        <v>0</v>
      </c>
      <c r="BY39" s="78" t="str">
        <f t="shared" si="39"/>
        <v>-</v>
      </c>
      <c r="BZ39" s="39">
        <v>0</v>
      </c>
      <c r="CA39" s="32">
        <f t="shared" si="40"/>
        <v>0</v>
      </c>
      <c r="CB39" s="77" t="str">
        <f t="shared" si="41"/>
        <v>-</v>
      </c>
      <c r="CC39" s="41">
        <v>0</v>
      </c>
      <c r="CD39" s="40">
        <v>0</v>
      </c>
      <c r="CE39" s="32">
        <f t="shared" si="42"/>
        <v>0</v>
      </c>
      <c r="CF39" s="78" t="str">
        <f t="shared" si="43"/>
        <v>-</v>
      </c>
      <c r="CG39" s="39">
        <v>0</v>
      </c>
      <c r="CH39" s="39">
        <v>0</v>
      </c>
      <c r="CI39" s="32">
        <f t="shared" si="44"/>
        <v>0</v>
      </c>
      <c r="CJ39" s="78" t="str">
        <f t="shared" si="45"/>
        <v>-</v>
      </c>
      <c r="CK39" s="39">
        <v>0</v>
      </c>
      <c r="CL39" s="32">
        <f t="shared" si="46"/>
        <v>0</v>
      </c>
      <c r="CM39" s="77" t="str">
        <f t="shared" si="47"/>
        <v>-</v>
      </c>
      <c r="CN39" s="41">
        <v>0</v>
      </c>
      <c r="CO39" s="40">
        <v>0</v>
      </c>
      <c r="CP39" s="32">
        <f t="shared" si="48"/>
        <v>0</v>
      </c>
      <c r="CQ39" s="78" t="str">
        <f t="shared" si="49"/>
        <v>-</v>
      </c>
      <c r="CR39" s="39">
        <v>0</v>
      </c>
      <c r="CS39" s="39">
        <v>0</v>
      </c>
      <c r="CT39" s="32">
        <f t="shared" si="50"/>
        <v>0</v>
      </c>
      <c r="CU39" s="78" t="str">
        <f t="shared" si="51"/>
        <v>-</v>
      </c>
      <c r="CV39" s="39">
        <v>0</v>
      </c>
      <c r="CW39" s="32">
        <f t="shared" si="52"/>
        <v>0</v>
      </c>
      <c r="CX39" s="77" t="str">
        <f t="shared" si="53"/>
        <v>-</v>
      </c>
      <c r="CY39" s="41">
        <v>0</v>
      </c>
      <c r="CZ39" s="40">
        <v>0</v>
      </c>
      <c r="DA39" s="32">
        <f t="shared" si="54"/>
        <v>0</v>
      </c>
      <c r="DB39" s="78" t="str">
        <f t="shared" si="55"/>
        <v>-</v>
      </c>
      <c r="DC39" s="39">
        <v>0</v>
      </c>
      <c r="DD39" s="39">
        <v>0</v>
      </c>
      <c r="DE39" s="32">
        <f t="shared" si="56"/>
        <v>0</v>
      </c>
      <c r="DF39" s="78" t="str">
        <f t="shared" si="57"/>
        <v>-</v>
      </c>
      <c r="DG39" s="39">
        <v>0</v>
      </c>
      <c r="DH39" s="32">
        <f t="shared" si="58"/>
        <v>0</v>
      </c>
      <c r="DI39" s="77" t="str">
        <f t="shared" si="59"/>
        <v>-</v>
      </c>
    </row>
    <row r="40" spans="1:113" s="6" customFormat="1" outlineLevel="2" x14ac:dyDescent="0.2">
      <c r="B40" s="29" t="s">
        <v>75</v>
      </c>
      <c r="C40" s="52" t="s">
        <v>74</v>
      </c>
      <c r="D40" s="27">
        <f>SUM(D38:D39)</f>
        <v>0</v>
      </c>
      <c r="E40" s="26">
        <f>SUM(E38:E39)</f>
        <v>0</v>
      </c>
      <c r="F40" s="23">
        <f t="shared" si="0"/>
        <v>0</v>
      </c>
      <c r="G40" s="76" t="str">
        <f t="shared" si="1"/>
        <v>-</v>
      </c>
      <c r="H40" s="24">
        <f>SUM(H38:H39)</f>
        <v>0</v>
      </c>
      <c r="I40" s="24">
        <f>SUM(I38:I39)</f>
        <v>0</v>
      </c>
      <c r="J40" s="23">
        <f t="shared" si="2"/>
        <v>0</v>
      </c>
      <c r="K40" s="76" t="str">
        <f t="shared" si="3"/>
        <v>-</v>
      </c>
      <c r="L40" s="24">
        <f>SUM(L38:L39)</f>
        <v>0</v>
      </c>
      <c r="M40" s="23">
        <f t="shared" si="4"/>
        <v>0</v>
      </c>
      <c r="N40" s="75" t="str">
        <f t="shared" si="5"/>
        <v>-</v>
      </c>
      <c r="O40" s="27">
        <f>SUM(O38:O39)</f>
        <v>0</v>
      </c>
      <c r="P40" s="26">
        <f>SUM(P38:P39)</f>
        <v>0</v>
      </c>
      <c r="Q40" s="23">
        <f t="shared" si="6"/>
        <v>0</v>
      </c>
      <c r="R40" s="76" t="str">
        <f t="shared" si="7"/>
        <v>-</v>
      </c>
      <c r="S40" s="24">
        <f>SUM(S38:S39)</f>
        <v>0</v>
      </c>
      <c r="T40" s="24">
        <f>SUM(T38:T39)</f>
        <v>0</v>
      </c>
      <c r="U40" s="23">
        <f t="shared" si="8"/>
        <v>0</v>
      </c>
      <c r="V40" s="76" t="str">
        <f t="shared" si="9"/>
        <v>-</v>
      </c>
      <c r="W40" s="24">
        <f>SUM(W38:W39)</f>
        <v>0</v>
      </c>
      <c r="X40" s="23">
        <f t="shared" si="10"/>
        <v>0</v>
      </c>
      <c r="Y40" s="75" t="str">
        <f t="shared" si="11"/>
        <v>-</v>
      </c>
      <c r="Z40" s="27">
        <f>SUM(Z38:Z39)</f>
        <v>0</v>
      </c>
      <c r="AA40" s="26">
        <f>SUM(AA38:AA39)</f>
        <v>0</v>
      </c>
      <c r="AB40" s="23">
        <f t="shared" si="12"/>
        <v>0</v>
      </c>
      <c r="AC40" s="76" t="str">
        <f t="shared" si="13"/>
        <v>-</v>
      </c>
      <c r="AD40" s="24">
        <f>SUM(AD38:AD39)</f>
        <v>0</v>
      </c>
      <c r="AE40" s="24">
        <f>SUM(AE38:AE39)</f>
        <v>0</v>
      </c>
      <c r="AF40" s="23">
        <f t="shared" si="14"/>
        <v>0</v>
      </c>
      <c r="AG40" s="76" t="str">
        <f t="shared" si="15"/>
        <v>-</v>
      </c>
      <c r="AH40" s="24">
        <f>SUM(AH38:AH39)</f>
        <v>0</v>
      </c>
      <c r="AI40" s="23">
        <f t="shared" si="16"/>
        <v>0</v>
      </c>
      <c r="AJ40" s="75" t="str">
        <f t="shared" si="17"/>
        <v>-</v>
      </c>
      <c r="AK40" s="27">
        <f>SUM(AK38:AK39)</f>
        <v>0</v>
      </c>
      <c r="AL40" s="26">
        <f>SUM(AL38:AL39)</f>
        <v>0</v>
      </c>
      <c r="AM40" s="23">
        <f t="shared" si="18"/>
        <v>0</v>
      </c>
      <c r="AN40" s="76" t="str">
        <f t="shared" si="19"/>
        <v>-</v>
      </c>
      <c r="AO40" s="24">
        <f>SUM(AO38:AO39)</f>
        <v>0</v>
      </c>
      <c r="AP40" s="24">
        <f>SUM(AP38:AP39)</f>
        <v>0</v>
      </c>
      <c r="AQ40" s="23">
        <f t="shared" si="20"/>
        <v>0</v>
      </c>
      <c r="AR40" s="76" t="str">
        <f t="shared" si="21"/>
        <v>-</v>
      </c>
      <c r="AS40" s="24">
        <f>SUM(AS38:AS39)</f>
        <v>0</v>
      </c>
      <c r="AT40" s="23">
        <f t="shared" si="22"/>
        <v>0</v>
      </c>
      <c r="AU40" s="75" t="str">
        <f t="shared" si="23"/>
        <v>-</v>
      </c>
      <c r="AV40" s="27">
        <f>SUM(AV38:AV39)</f>
        <v>0</v>
      </c>
      <c r="AW40" s="26">
        <f>SUM(AW38:AW39)</f>
        <v>0</v>
      </c>
      <c r="AX40" s="23">
        <f t="shared" si="24"/>
        <v>0</v>
      </c>
      <c r="AY40" s="76" t="str">
        <f t="shared" si="25"/>
        <v>-</v>
      </c>
      <c r="AZ40" s="24">
        <f>SUM(AZ38:AZ39)</f>
        <v>0</v>
      </c>
      <c r="BA40" s="24">
        <f>SUM(BA38:BA39)</f>
        <v>0</v>
      </c>
      <c r="BB40" s="23">
        <f t="shared" si="26"/>
        <v>0</v>
      </c>
      <c r="BC40" s="76" t="str">
        <f t="shared" si="27"/>
        <v>-</v>
      </c>
      <c r="BD40" s="24">
        <f>SUM(BD38:BD39)</f>
        <v>0</v>
      </c>
      <c r="BE40" s="23">
        <f t="shared" si="28"/>
        <v>0</v>
      </c>
      <c r="BF40" s="75" t="str">
        <f t="shared" si="29"/>
        <v>-</v>
      </c>
      <c r="BG40" s="27">
        <f>SUM(BG38:BG39)</f>
        <v>0</v>
      </c>
      <c r="BH40" s="26">
        <f>SUM(BH38:BH39)</f>
        <v>0</v>
      </c>
      <c r="BI40" s="23">
        <f t="shared" si="30"/>
        <v>0</v>
      </c>
      <c r="BJ40" s="76" t="str">
        <f t="shared" si="31"/>
        <v>-</v>
      </c>
      <c r="BK40" s="24">
        <f>SUM(BK38:BK39)</f>
        <v>0</v>
      </c>
      <c r="BL40" s="24">
        <f>SUM(BL38:BL39)</f>
        <v>0</v>
      </c>
      <c r="BM40" s="23">
        <f t="shared" si="32"/>
        <v>0</v>
      </c>
      <c r="BN40" s="76" t="str">
        <f t="shared" si="33"/>
        <v>-</v>
      </c>
      <c r="BO40" s="24">
        <f>SUM(BO38:BO39)</f>
        <v>0</v>
      </c>
      <c r="BP40" s="23">
        <f t="shared" si="34"/>
        <v>0</v>
      </c>
      <c r="BQ40" s="75" t="str">
        <f t="shared" si="35"/>
        <v>-</v>
      </c>
      <c r="BR40" s="27">
        <f>SUM(BR38:BR39)</f>
        <v>0</v>
      </c>
      <c r="BS40" s="26">
        <f>SUM(BS38:BS39)</f>
        <v>0</v>
      </c>
      <c r="BT40" s="23">
        <f t="shared" si="36"/>
        <v>0</v>
      </c>
      <c r="BU40" s="76" t="str">
        <f t="shared" si="37"/>
        <v>-</v>
      </c>
      <c r="BV40" s="24">
        <f>SUM(BV38:BV39)</f>
        <v>0</v>
      </c>
      <c r="BW40" s="24">
        <f>SUM(BW38:BW39)</f>
        <v>0</v>
      </c>
      <c r="BX40" s="23">
        <f t="shared" si="38"/>
        <v>0</v>
      </c>
      <c r="BY40" s="76" t="str">
        <f t="shared" si="39"/>
        <v>-</v>
      </c>
      <c r="BZ40" s="24">
        <f>SUM(BZ38:BZ39)</f>
        <v>0</v>
      </c>
      <c r="CA40" s="23">
        <f t="shared" si="40"/>
        <v>0</v>
      </c>
      <c r="CB40" s="75" t="str">
        <f t="shared" si="41"/>
        <v>-</v>
      </c>
      <c r="CC40" s="27">
        <f>SUM(CC38:CC39)</f>
        <v>0</v>
      </c>
      <c r="CD40" s="26">
        <f>SUM(CD38:CD39)</f>
        <v>0</v>
      </c>
      <c r="CE40" s="23">
        <f t="shared" si="42"/>
        <v>0</v>
      </c>
      <c r="CF40" s="76" t="str">
        <f t="shared" si="43"/>
        <v>-</v>
      </c>
      <c r="CG40" s="24">
        <f>SUM(CG38:CG39)</f>
        <v>0</v>
      </c>
      <c r="CH40" s="24">
        <f>SUM(CH38:CH39)</f>
        <v>0</v>
      </c>
      <c r="CI40" s="23">
        <f t="shared" si="44"/>
        <v>0</v>
      </c>
      <c r="CJ40" s="76" t="str">
        <f t="shared" si="45"/>
        <v>-</v>
      </c>
      <c r="CK40" s="24">
        <f>SUM(CK38:CK39)</f>
        <v>0</v>
      </c>
      <c r="CL40" s="23">
        <f t="shared" si="46"/>
        <v>0</v>
      </c>
      <c r="CM40" s="75" t="str">
        <f t="shared" si="47"/>
        <v>-</v>
      </c>
      <c r="CN40" s="27">
        <f>SUM(CN38:CN39)</f>
        <v>0</v>
      </c>
      <c r="CO40" s="26">
        <f>SUM(CO38:CO39)</f>
        <v>0</v>
      </c>
      <c r="CP40" s="23">
        <f t="shared" si="48"/>
        <v>0</v>
      </c>
      <c r="CQ40" s="76" t="str">
        <f t="shared" si="49"/>
        <v>-</v>
      </c>
      <c r="CR40" s="24">
        <f>SUM(CR38:CR39)</f>
        <v>0</v>
      </c>
      <c r="CS40" s="24">
        <f>SUM(CS38:CS39)</f>
        <v>0</v>
      </c>
      <c r="CT40" s="23">
        <f t="shared" si="50"/>
        <v>0</v>
      </c>
      <c r="CU40" s="76" t="str">
        <f t="shared" si="51"/>
        <v>-</v>
      </c>
      <c r="CV40" s="24">
        <f>SUM(CV38:CV39)</f>
        <v>0</v>
      </c>
      <c r="CW40" s="23">
        <f t="shared" si="52"/>
        <v>0</v>
      </c>
      <c r="CX40" s="75" t="str">
        <f t="shared" si="53"/>
        <v>-</v>
      </c>
      <c r="CY40" s="27">
        <f>SUM(CY38:CY39)</f>
        <v>0</v>
      </c>
      <c r="CZ40" s="26">
        <f>SUM(CZ38:CZ39)</f>
        <v>0</v>
      </c>
      <c r="DA40" s="23">
        <f t="shared" si="54"/>
        <v>0</v>
      </c>
      <c r="DB40" s="76" t="str">
        <f t="shared" si="55"/>
        <v>-</v>
      </c>
      <c r="DC40" s="24">
        <f>SUM(DC38:DC39)</f>
        <v>0</v>
      </c>
      <c r="DD40" s="24">
        <f>SUM(DD38:DD39)</f>
        <v>0</v>
      </c>
      <c r="DE40" s="23">
        <f t="shared" si="56"/>
        <v>0</v>
      </c>
      <c r="DF40" s="76" t="str">
        <f t="shared" si="57"/>
        <v>-</v>
      </c>
      <c r="DG40" s="24">
        <f>SUM(DG38:DG39)</f>
        <v>0</v>
      </c>
      <c r="DH40" s="23">
        <f t="shared" si="58"/>
        <v>0</v>
      </c>
      <c r="DI40" s="75" t="str">
        <f t="shared" si="59"/>
        <v>-</v>
      </c>
    </row>
    <row r="41" spans="1:113" s="6" customFormat="1" outlineLevel="1" x14ac:dyDescent="0.2">
      <c r="A41" s="30"/>
      <c r="B41" s="51" t="s">
        <v>73</v>
      </c>
      <c r="C41" s="50" t="s">
        <v>72</v>
      </c>
      <c r="D41" s="46">
        <f>D31+D34+D37+D40</f>
        <v>22448677</v>
      </c>
      <c r="E41" s="45">
        <f>E31+E34+E37+E40</f>
        <v>0</v>
      </c>
      <c r="F41" s="23">
        <f t="shared" si="0"/>
        <v>22448677</v>
      </c>
      <c r="G41" s="76" t="str">
        <f t="shared" si="1"/>
        <v>-</v>
      </c>
      <c r="H41" s="44">
        <f>H31+H34+H37+H40</f>
        <v>27602065.32</v>
      </c>
      <c r="I41" s="44">
        <f>I31+I34+I37+I40</f>
        <v>0</v>
      </c>
      <c r="J41" s="23">
        <f t="shared" si="2"/>
        <v>27602065.32</v>
      </c>
      <c r="K41" s="76" t="str">
        <f t="shared" si="3"/>
        <v>-</v>
      </c>
      <c r="L41" s="44">
        <f>L31+L34+L37+L40</f>
        <v>0</v>
      </c>
      <c r="M41" s="23">
        <f t="shared" si="4"/>
        <v>27602065.32</v>
      </c>
      <c r="N41" s="75" t="str">
        <f t="shared" si="5"/>
        <v>-</v>
      </c>
      <c r="O41" s="46">
        <f>O31+O34+O37+O40</f>
        <v>22448677</v>
      </c>
      <c r="P41" s="45">
        <f>P31+P34+P37+P40</f>
        <v>0</v>
      </c>
      <c r="Q41" s="23">
        <f t="shared" si="6"/>
        <v>22448677</v>
      </c>
      <c r="R41" s="76" t="str">
        <f t="shared" si="7"/>
        <v>-</v>
      </c>
      <c r="S41" s="44">
        <f>S31+S34+S37+S40</f>
        <v>27602065.32</v>
      </c>
      <c r="T41" s="44">
        <f>T31+T34+T37+T40</f>
        <v>0</v>
      </c>
      <c r="U41" s="23">
        <f t="shared" si="8"/>
        <v>27602065.32</v>
      </c>
      <c r="V41" s="76" t="str">
        <f t="shared" si="9"/>
        <v>-</v>
      </c>
      <c r="W41" s="44">
        <f>W31+W34+W37+W40</f>
        <v>0</v>
      </c>
      <c r="X41" s="23">
        <f t="shared" si="10"/>
        <v>27602065.32</v>
      </c>
      <c r="Y41" s="75" t="str">
        <f t="shared" si="11"/>
        <v>-</v>
      </c>
      <c r="Z41" s="46">
        <f>Z31+Z34+Z37+Z40</f>
        <v>22448677</v>
      </c>
      <c r="AA41" s="45">
        <f>AA31+AA34+AA37+AA40</f>
        <v>0</v>
      </c>
      <c r="AB41" s="23">
        <f t="shared" si="12"/>
        <v>22448677</v>
      </c>
      <c r="AC41" s="76" t="str">
        <f t="shared" si="13"/>
        <v>-</v>
      </c>
      <c r="AD41" s="44">
        <f>AD31+AD34+AD37+AD40</f>
        <v>27602065.32</v>
      </c>
      <c r="AE41" s="44">
        <f>AE31+AE34+AE37+AE40</f>
        <v>0</v>
      </c>
      <c r="AF41" s="23">
        <f t="shared" si="14"/>
        <v>27602065.32</v>
      </c>
      <c r="AG41" s="76" t="str">
        <f t="shared" si="15"/>
        <v>-</v>
      </c>
      <c r="AH41" s="44">
        <f>AH31+AH34+AH37+AH40</f>
        <v>0</v>
      </c>
      <c r="AI41" s="23">
        <f t="shared" si="16"/>
        <v>27602065.32</v>
      </c>
      <c r="AJ41" s="75" t="str">
        <f t="shared" si="17"/>
        <v>-</v>
      </c>
      <c r="AK41" s="46">
        <f>AK31+AK34+AK37+AK40</f>
        <v>22448677</v>
      </c>
      <c r="AL41" s="45">
        <f>AL31+AL34+AL37+AL40</f>
        <v>0</v>
      </c>
      <c r="AM41" s="23">
        <f t="shared" si="18"/>
        <v>22448677</v>
      </c>
      <c r="AN41" s="76" t="str">
        <f t="shared" si="19"/>
        <v>-</v>
      </c>
      <c r="AO41" s="44">
        <f>AO31+AO34+AO37+AO40</f>
        <v>27602065.32</v>
      </c>
      <c r="AP41" s="44">
        <f>AP31+AP34+AP37+AP40</f>
        <v>0</v>
      </c>
      <c r="AQ41" s="23">
        <f t="shared" si="20"/>
        <v>27602065.32</v>
      </c>
      <c r="AR41" s="76" t="str">
        <f t="shared" si="21"/>
        <v>-</v>
      </c>
      <c r="AS41" s="44">
        <f>AS31+AS34+AS37+AS40</f>
        <v>0</v>
      </c>
      <c r="AT41" s="23">
        <f t="shared" si="22"/>
        <v>27602065.32</v>
      </c>
      <c r="AU41" s="75" t="str">
        <f t="shared" si="23"/>
        <v>-</v>
      </c>
      <c r="AV41" s="46">
        <f>AV31+AV34+AV37+AV40</f>
        <v>22448677</v>
      </c>
      <c r="AW41" s="45">
        <f>AW31+AW34+AW37+AW40</f>
        <v>0</v>
      </c>
      <c r="AX41" s="23">
        <f t="shared" si="24"/>
        <v>22448677</v>
      </c>
      <c r="AY41" s="76" t="str">
        <f t="shared" si="25"/>
        <v>-</v>
      </c>
      <c r="AZ41" s="44">
        <f>AZ31+AZ34+AZ37+AZ40</f>
        <v>27602065.32</v>
      </c>
      <c r="BA41" s="44">
        <f>BA31+BA34+BA37+BA40</f>
        <v>0</v>
      </c>
      <c r="BB41" s="23">
        <f t="shared" si="26"/>
        <v>27602065.32</v>
      </c>
      <c r="BC41" s="76" t="str">
        <f t="shared" si="27"/>
        <v>-</v>
      </c>
      <c r="BD41" s="44">
        <f>BD31+BD34+BD37+BD40</f>
        <v>0</v>
      </c>
      <c r="BE41" s="23">
        <f t="shared" si="28"/>
        <v>27602065.32</v>
      </c>
      <c r="BF41" s="75" t="str">
        <f t="shared" si="29"/>
        <v>-</v>
      </c>
      <c r="BG41" s="46">
        <f>BG31+BG34+BG37+BG40</f>
        <v>22448677</v>
      </c>
      <c r="BH41" s="45">
        <f>BH31+BH34+BH37+BH40</f>
        <v>0</v>
      </c>
      <c r="BI41" s="23">
        <f t="shared" si="30"/>
        <v>22448677</v>
      </c>
      <c r="BJ41" s="76" t="str">
        <f t="shared" si="31"/>
        <v>-</v>
      </c>
      <c r="BK41" s="44">
        <f>BK31+BK34+BK37+BK40</f>
        <v>27602065.32</v>
      </c>
      <c r="BL41" s="44">
        <f>BL31+BL34+BL37+BL40</f>
        <v>0</v>
      </c>
      <c r="BM41" s="23">
        <f t="shared" si="32"/>
        <v>27602065.32</v>
      </c>
      <c r="BN41" s="76" t="str">
        <f t="shared" si="33"/>
        <v>-</v>
      </c>
      <c r="BO41" s="44">
        <f>BO31+BO34+BO37+BO40</f>
        <v>0</v>
      </c>
      <c r="BP41" s="23">
        <f t="shared" si="34"/>
        <v>27602065.32</v>
      </c>
      <c r="BQ41" s="75" t="str">
        <f t="shared" si="35"/>
        <v>-</v>
      </c>
      <c r="BR41" s="46">
        <f>BR31+BR34+BR37+BR40</f>
        <v>22448677</v>
      </c>
      <c r="BS41" s="45">
        <f>BS31+BS34+BS37+BS40</f>
        <v>0</v>
      </c>
      <c r="BT41" s="23">
        <f t="shared" si="36"/>
        <v>22448677</v>
      </c>
      <c r="BU41" s="76" t="str">
        <f t="shared" si="37"/>
        <v>-</v>
      </c>
      <c r="BV41" s="44">
        <f>BV31+BV34+BV37+BV40</f>
        <v>27602065.32</v>
      </c>
      <c r="BW41" s="44">
        <f>BW31+BW34+BW37+BW40</f>
        <v>0</v>
      </c>
      <c r="BX41" s="23">
        <f t="shared" si="38"/>
        <v>27602065.32</v>
      </c>
      <c r="BY41" s="76" t="str">
        <f t="shared" si="39"/>
        <v>-</v>
      </c>
      <c r="BZ41" s="44">
        <f>BZ31+BZ34+BZ37+BZ40</f>
        <v>0</v>
      </c>
      <c r="CA41" s="23">
        <f t="shared" si="40"/>
        <v>27602065.32</v>
      </c>
      <c r="CB41" s="75" t="str">
        <f t="shared" si="41"/>
        <v>-</v>
      </c>
      <c r="CC41" s="46">
        <f>CC31+CC34+CC37+CC40</f>
        <v>22448677</v>
      </c>
      <c r="CD41" s="45">
        <f>CD31+CD34+CD37+CD40</f>
        <v>0</v>
      </c>
      <c r="CE41" s="23">
        <f t="shared" si="42"/>
        <v>22448677</v>
      </c>
      <c r="CF41" s="76" t="str">
        <f t="shared" si="43"/>
        <v>-</v>
      </c>
      <c r="CG41" s="44">
        <f>CG31+CG34+CG37+CG40</f>
        <v>27602065.32</v>
      </c>
      <c r="CH41" s="44">
        <f>CH31+CH34+CH37+CH40</f>
        <v>0</v>
      </c>
      <c r="CI41" s="23">
        <f t="shared" si="44"/>
        <v>27602065.32</v>
      </c>
      <c r="CJ41" s="76" t="str">
        <f t="shared" si="45"/>
        <v>-</v>
      </c>
      <c r="CK41" s="44">
        <f>CK31+CK34+CK37+CK40</f>
        <v>0</v>
      </c>
      <c r="CL41" s="23">
        <f t="shared" si="46"/>
        <v>27602065.32</v>
      </c>
      <c r="CM41" s="75" t="str">
        <f t="shared" si="47"/>
        <v>-</v>
      </c>
      <c r="CN41" s="46">
        <f>CN31+CN34+CN37+CN40</f>
        <v>22448677</v>
      </c>
      <c r="CO41" s="45">
        <f>CO31+CO34+CO37+CO40</f>
        <v>0</v>
      </c>
      <c r="CP41" s="23">
        <f t="shared" si="48"/>
        <v>22448677</v>
      </c>
      <c r="CQ41" s="76" t="str">
        <f t="shared" si="49"/>
        <v>-</v>
      </c>
      <c r="CR41" s="44">
        <f>CR31+CR34+CR37+CR40</f>
        <v>27602065.32</v>
      </c>
      <c r="CS41" s="44">
        <f>CS31+CS34+CS37+CS40</f>
        <v>0</v>
      </c>
      <c r="CT41" s="23">
        <f t="shared" si="50"/>
        <v>27602065.32</v>
      </c>
      <c r="CU41" s="76" t="str">
        <f t="shared" si="51"/>
        <v>-</v>
      </c>
      <c r="CV41" s="44">
        <f>CV31+CV34+CV37+CV40</f>
        <v>0</v>
      </c>
      <c r="CW41" s="23">
        <f t="shared" si="52"/>
        <v>27602065.32</v>
      </c>
      <c r="CX41" s="75" t="str">
        <f t="shared" si="53"/>
        <v>-</v>
      </c>
      <c r="CY41" s="46">
        <f>CY31+CY34+CY37+CY40</f>
        <v>22448677</v>
      </c>
      <c r="CZ41" s="45">
        <f>CZ31+CZ34+CZ37+CZ40</f>
        <v>0</v>
      </c>
      <c r="DA41" s="23">
        <f t="shared" si="54"/>
        <v>22448677</v>
      </c>
      <c r="DB41" s="76" t="str">
        <f t="shared" si="55"/>
        <v>-</v>
      </c>
      <c r="DC41" s="44">
        <f>DC31+DC34+DC37+DC40</f>
        <v>27602065.32</v>
      </c>
      <c r="DD41" s="44">
        <f>DD31+DD34+DD37+DD40</f>
        <v>0</v>
      </c>
      <c r="DE41" s="23">
        <f t="shared" si="56"/>
        <v>27602065.32</v>
      </c>
      <c r="DF41" s="76" t="str">
        <f t="shared" si="57"/>
        <v>-</v>
      </c>
      <c r="DG41" s="44">
        <f>DG31+DG34+DG37+DG40</f>
        <v>0</v>
      </c>
      <c r="DH41" s="23">
        <f t="shared" si="58"/>
        <v>27602065.32</v>
      </c>
      <c r="DI41" s="75" t="str">
        <f t="shared" si="59"/>
        <v>-</v>
      </c>
    </row>
    <row r="42" spans="1:113" ht="12.75" customHeight="1" outlineLevel="3" x14ac:dyDescent="0.2">
      <c r="B42" s="38" t="s">
        <v>71</v>
      </c>
      <c r="C42" s="49" t="s">
        <v>70</v>
      </c>
      <c r="D42" s="27">
        <f>33645750/3</f>
        <v>11215250</v>
      </c>
      <c r="E42" s="40">
        <v>0</v>
      </c>
      <c r="F42" s="32">
        <f t="shared" si="0"/>
        <v>11215250</v>
      </c>
      <c r="G42" s="78" t="str">
        <f t="shared" si="1"/>
        <v>-</v>
      </c>
      <c r="H42" s="39">
        <f>D42*6</f>
        <v>67291500</v>
      </c>
      <c r="I42" s="39">
        <v>0</v>
      </c>
      <c r="J42" s="32">
        <f t="shared" si="2"/>
        <v>67291500</v>
      </c>
      <c r="K42" s="78" t="str">
        <f t="shared" si="3"/>
        <v>-</v>
      </c>
      <c r="L42" s="39">
        <v>0</v>
      </c>
      <c r="M42" s="32">
        <f t="shared" si="4"/>
        <v>67291500</v>
      </c>
      <c r="N42" s="77" t="str">
        <f t="shared" si="5"/>
        <v>-</v>
      </c>
      <c r="O42" s="27">
        <f>33645750/3</f>
        <v>11215250</v>
      </c>
      <c r="P42" s="40">
        <v>0</v>
      </c>
      <c r="Q42" s="32">
        <f t="shared" si="6"/>
        <v>11215250</v>
      </c>
      <c r="R42" s="78" t="str">
        <f t="shared" si="7"/>
        <v>-</v>
      </c>
      <c r="S42" s="39">
        <f>O42*6</f>
        <v>67291500</v>
      </c>
      <c r="T42" s="39">
        <v>0</v>
      </c>
      <c r="U42" s="32">
        <f t="shared" si="8"/>
        <v>67291500</v>
      </c>
      <c r="V42" s="78" t="str">
        <f t="shared" si="9"/>
        <v>-</v>
      </c>
      <c r="W42" s="39">
        <v>0</v>
      </c>
      <c r="X42" s="32">
        <f t="shared" si="10"/>
        <v>67291500</v>
      </c>
      <c r="Y42" s="77" t="str">
        <f t="shared" si="11"/>
        <v>-</v>
      </c>
      <c r="Z42" s="27">
        <f>33645750/3</f>
        <v>11215250</v>
      </c>
      <c r="AA42" s="40">
        <v>0</v>
      </c>
      <c r="AB42" s="32">
        <f t="shared" si="12"/>
        <v>11215250</v>
      </c>
      <c r="AC42" s="78" t="str">
        <f t="shared" si="13"/>
        <v>-</v>
      </c>
      <c r="AD42" s="39">
        <f>Z42*6</f>
        <v>67291500</v>
      </c>
      <c r="AE42" s="39">
        <v>0</v>
      </c>
      <c r="AF42" s="32">
        <f t="shared" si="14"/>
        <v>67291500</v>
      </c>
      <c r="AG42" s="78" t="str">
        <f t="shared" si="15"/>
        <v>-</v>
      </c>
      <c r="AH42" s="39">
        <v>0</v>
      </c>
      <c r="AI42" s="32">
        <f t="shared" si="16"/>
        <v>67291500</v>
      </c>
      <c r="AJ42" s="77" t="str">
        <f t="shared" si="17"/>
        <v>-</v>
      </c>
      <c r="AK42" s="27">
        <f>33645750/3</f>
        <v>11215250</v>
      </c>
      <c r="AL42" s="40">
        <v>0</v>
      </c>
      <c r="AM42" s="32">
        <f t="shared" si="18"/>
        <v>11215250</v>
      </c>
      <c r="AN42" s="78" t="str">
        <f t="shared" si="19"/>
        <v>-</v>
      </c>
      <c r="AO42" s="39">
        <f>AK42*6</f>
        <v>67291500</v>
      </c>
      <c r="AP42" s="39">
        <v>0</v>
      </c>
      <c r="AQ42" s="32">
        <f t="shared" si="20"/>
        <v>67291500</v>
      </c>
      <c r="AR42" s="78" t="str">
        <f t="shared" si="21"/>
        <v>-</v>
      </c>
      <c r="AS42" s="39">
        <v>0</v>
      </c>
      <c r="AT42" s="32">
        <f t="shared" si="22"/>
        <v>67291500</v>
      </c>
      <c r="AU42" s="77" t="str">
        <f t="shared" si="23"/>
        <v>-</v>
      </c>
      <c r="AV42" s="27">
        <f>33645750/3</f>
        <v>11215250</v>
      </c>
      <c r="AW42" s="40">
        <v>0</v>
      </c>
      <c r="AX42" s="32">
        <f t="shared" si="24"/>
        <v>11215250</v>
      </c>
      <c r="AY42" s="78" t="str">
        <f t="shared" si="25"/>
        <v>-</v>
      </c>
      <c r="AZ42" s="39">
        <f>AV42*6</f>
        <v>67291500</v>
      </c>
      <c r="BA42" s="39">
        <v>0</v>
      </c>
      <c r="BB42" s="32">
        <f t="shared" si="26"/>
        <v>67291500</v>
      </c>
      <c r="BC42" s="78" t="str">
        <f t="shared" si="27"/>
        <v>-</v>
      </c>
      <c r="BD42" s="39">
        <v>0</v>
      </c>
      <c r="BE42" s="32">
        <f t="shared" si="28"/>
        <v>67291500</v>
      </c>
      <c r="BF42" s="77" t="str">
        <f t="shared" si="29"/>
        <v>-</v>
      </c>
      <c r="BG42" s="27">
        <f>33645750/3</f>
        <v>11215250</v>
      </c>
      <c r="BH42" s="40">
        <v>0</v>
      </c>
      <c r="BI42" s="32">
        <f t="shared" si="30"/>
        <v>11215250</v>
      </c>
      <c r="BJ42" s="78" t="str">
        <f t="shared" si="31"/>
        <v>-</v>
      </c>
      <c r="BK42" s="39">
        <f>BG42*6</f>
        <v>67291500</v>
      </c>
      <c r="BL42" s="39">
        <v>0</v>
      </c>
      <c r="BM42" s="32">
        <f t="shared" si="32"/>
        <v>67291500</v>
      </c>
      <c r="BN42" s="78" t="str">
        <f t="shared" si="33"/>
        <v>-</v>
      </c>
      <c r="BO42" s="39">
        <v>0</v>
      </c>
      <c r="BP42" s="32">
        <f t="shared" si="34"/>
        <v>67291500</v>
      </c>
      <c r="BQ42" s="77" t="str">
        <f t="shared" si="35"/>
        <v>-</v>
      </c>
      <c r="BR42" s="27">
        <f>33645750/3</f>
        <v>11215250</v>
      </c>
      <c r="BS42" s="40">
        <v>0</v>
      </c>
      <c r="BT42" s="32">
        <f t="shared" si="36"/>
        <v>11215250</v>
      </c>
      <c r="BU42" s="78" t="str">
        <f t="shared" si="37"/>
        <v>-</v>
      </c>
      <c r="BV42" s="39">
        <f>BR42*6</f>
        <v>67291500</v>
      </c>
      <c r="BW42" s="39">
        <v>0</v>
      </c>
      <c r="BX42" s="32">
        <f t="shared" si="38"/>
        <v>67291500</v>
      </c>
      <c r="BY42" s="78" t="str">
        <f t="shared" si="39"/>
        <v>-</v>
      </c>
      <c r="BZ42" s="39">
        <v>0</v>
      </c>
      <c r="CA42" s="32">
        <f t="shared" si="40"/>
        <v>67291500</v>
      </c>
      <c r="CB42" s="77" t="str">
        <f t="shared" si="41"/>
        <v>-</v>
      </c>
      <c r="CC42" s="27">
        <f>33645750/3</f>
        <v>11215250</v>
      </c>
      <c r="CD42" s="40">
        <v>0</v>
      </c>
      <c r="CE42" s="32">
        <f t="shared" si="42"/>
        <v>11215250</v>
      </c>
      <c r="CF42" s="78" t="str">
        <f t="shared" si="43"/>
        <v>-</v>
      </c>
      <c r="CG42" s="39">
        <f>CC42*6</f>
        <v>67291500</v>
      </c>
      <c r="CH42" s="39">
        <v>0</v>
      </c>
      <c r="CI42" s="32">
        <f t="shared" si="44"/>
        <v>67291500</v>
      </c>
      <c r="CJ42" s="78" t="str">
        <f t="shared" si="45"/>
        <v>-</v>
      </c>
      <c r="CK42" s="39">
        <v>0</v>
      </c>
      <c r="CL42" s="32">
        <f t="shared" si="46"/>
        <v>67291500</v>
      </c>
      <c r="CM42" s="77" t="str">
        <f t="shared" si="47"/>
        <v>-</v>
      </c>
      <c r="CN42" s="27">
        <f>33645750/3</f>
        <v>11215250</v>
      </c>
      <c r="CO42" s="40">
        <v>0</v>
      </c>
      <c r="CP42" s="32">
        <f t="shared" si="48"/>
        <v>11215250</v>
      </c>
      <c r="CQ42" s="78" t="str">
        <f t="shared" si="49"/>
        <v>-</v>
      </c>
      <c r="CR42" s="39">
        <f>CN42*6</f>
        <v>67291500</v>
      </c>
      <c r="CS42" s="39">
        <v>0</v>
      </c>
      <c r="CT42" s="32">
        <f t="shared" si="50"/>
        <v>67291500</v>
      </c>
      <c r="CU42" s="78" t="str">
        <f t="shared" si="51"/>
        <v>-</v>
      </c>
      <c r="CV42" s="39">
        <v>0</v>
      </c>
      <c r="CW42" s="32">
        <f t="shared" si="52"/>
        <v>67291500</v>
      </c>
      <c r="CX42" s="77" t="str">
        <f t="shared" si="53"/>
        <v>-</v>
      </c>
      <c r="CY42" s="27">
        <f>33645750/3</f>
        <v>11215250</v>
      </c>
      <c r="CZ42" s="40">
        <v>0</v>
      </c>
      <c r="DA42" s="32">
        <f t="shared" si="54"/>
        <v>11215250</v>
      </c>
      <c r="DB42" s="78" t="str">
        <f t="shared" si="55"/>
        <v>-</v>
      </c>
      <c r="DC42" s="39">
        <f>CY42*6</f>
        <v>67291500</v>
      </c>
      <c r="DD42" s="39">
        <v>0</v>
      </c>
      <c r="DE42" s="32">
        <f t="shared" si="56"/>
        <v>67291500</v>
      </c>
      <c r="DF42" s="78" t="str">
        <f t="shared" si="57"/>
        <v>-</v>
      </c>
      <c r="DG42" s="39">
        <v>0</v>
      </c>
      <c r="DH42" s="32">
        <f t="shared" si="58"/>
        <v>67291500</v>
      </c>
      <c r="DI42" s="77" t="str">
        <f t="shared" si="59"/>
        <v>-</v>
      </c>
    </row>
    <row r="43" spans="1:113" ht="12.75" customHeight="1" outlineLevel="3" x14ac:dyDescent="0.2">
      <c r="B43" s="38" t="s">
        <v>69</v>
      </c>
      <c r="C43" s="49" t="s">
        <v>68</v>
      </c>
      <c r="D43" s="27">
        <f>6224463.75/3</f>
        <v>2074821.25</v>
      </c>
      <c r="E43" s="40">
        <v>0</v>
      </c>
      <c r="F43" s="32">
        <f t="shared" si="0"/>
        <v>2074821.25</v>
      </c>
      <c r="G43" s="78" t="str">
        <f t="shared" si="1"/>
        <v>-</v>
      </c>
      <c r="H43" s="39">
        <f>D43*6</f>
        <v>12448927.5</v>
      </c>
      <c r="I43" s="39">
        <v>0</v>
      </c>
      <c r="J43" s="32">
        <f t="shared" si="2"/>
        <v>12448927.5</v>
      </c>
      <c r="K43" s="78" t="str">
        <f t="shared" si="3"/>
        <v>-</v>
      </c>
      <c r="L43" s="39">
        <v>0</v>
      </c>
      <c r="M43" s="32">
        <f t="shared" si="4"/>
        <v>12448927.5</v>
      </c>
      <c r="N43" s="77" t="str">
        <f t="shared" si="5"/>
        <v>-</v>
      </c>
      <c r="O43" s="27">
        <f>6224463.75/3</f>
        <v>2074821.25</v>
      </c>
      <c r="P43" s="40">
        <v>0</v>
      </c>
      <c r="Q43" s="32">
        <f t="shared" si="6"/>
        <v>2074821.25</v>
      </c>
      <c r="R43" s="78" t="str">
        <f t="shared" si="7"/>
        <v>-</v>
      </c>
      <c r="S43" s="39">
        <f>O43*6</f>
        <v>12448927.5</v>
      </c>
      <c r="T43" s="39">
        <v>0</v>
      </c>
      <c r="U43" s="32">
        <f t="shared" si="8"/>
        <v>12448927.5</v>
      </c>
      <c r="V43" s="78" t="str">
        <f t="shared" si="9"/>
        <v>-</v>
      </c>
      <c r="W43" s="39">
        <v>0</v>
      </c>
      <c r="X43" s="32">
        <f t="shared" si="10"/>
        <v>12448927.5</v>
      </c>
      <c r="Y43" s="77" t="str">
        <f t="shared" si="11"/>
        <v>-</v>
      </c>
      <c r="Z43" s="27">
        <f>6224463.75/3</f>
        <v>2074821.25</v>
      </c>
      <c r="AA43" s="40">
        <v>0</v>
      </c>
      <c r="AB43" s="32">
        <f t="shared" si="12"/>
        <v>2074821.25</v>
      </c>
      <c r="AC43" s="78" t="str">
        <f t="shared" si="13"/>
        <v>-</v>
      </c>
      <c r="AD43" s="39">
        <f>Z43*6</f>
        <v>12448927.5</v>
      </c>
      <c r="AE43" s="39">
        <v>0</v>
      </c>
      <c r="AF43" s="32">
        <f t="shared" si="14"/>
        <v>12448927.5</v>
      </c>
      <c r="AG43" s="78" t="str">
        <f t="shared" si="15"/>
        <v>-</v>
      </c>
      <c r="AH43" s="39">
        <v>0</v>
      </c>
      <c r="AI43" s="32">
        <f t="shared" si="16"/>
        <v>12448927.5</v>
      </c>
      <c r="AJ43" s="77" t="str">
        <f t="shared" si="17"/>
        <v>-</v>
      </c>
      <c r="AK43" s="27">
        <f>6224463.75/3</f>
        <v>2074821.25</v>
      </c>
      <c r="AL43" s="40">
        <v>0</v>
      </c>
      <c r="AM43" s="32">
        <f t="shared" si="18"/>
        <v>2074821.25</v>
      </c>
      <c r="AN43" s="78" t="str">
        <f t="shared" si="19"/>
        <v>-</v>
      </c>
      <c r="AO43" s="39">
        <f>AK43*6</f>
        <v>12448927.5</v>
      </c>
      <c r="AP43" s="39">
        <v>0</v>
      </c>
      <c r="AQ43" s="32">
        <f t="shared" si="20"/>
        <v>12448927.5</v>
      </c>
      <c r="AR43" s="78" t="str">
        <f t="shared" si="21"/>
        <v>-</v>
      </c>
      <c r="AS43" s="39">
        <v>0</v>
      </c>
      <c r="AT43" s="32">
        <f t="shared" si="22"/>
        <v>12448927.5</v>
      </c>
      <c r="AU43" s="77" t="str">
        <f t="shared" si="23"/>
        <v>-</v>
      </c>
      <c r="AV43" s="27">
        <f>6224463.75/3</f>
        <v>2074821.25</v>
      </c>
      <c r="AW43" s="40">
        <v>0</v>
      </c>
      <c r="AX43" s="32">
        <f t="shared" si="24"/>
        <v>2074821.25</v>
      </c>
      <c r="AY43" s="78" t="str">
        <f t="shared" si="25"/>
        <v>-</v>
      </c>
      <c r="AZ43" s="39">
        <f>AV43*6</f>
        <v>12448927.5</v>
      </c>
      <c r="BA43" s="39">
        <v>0</v>
      </c>
      <c r="BB43" s="32">
        <f t="shared" si="26"/>
        <v>12448927.5</v>
      </c>
      <c r="BC43" s="78" t="str">
        <f t="shared" si="27"/>
        <v>-</v>
      </c>
      <c r="BD43" s="39">
        <v>0</v>
      </c>
      <c r="BE43" s="32">
        <f t="shared" si="28"/>
        <v>12448927.5</v>
      </c>
      <c r="BF43" s="77" t="str">
        <f t="shared" si="29"/>
        <v>-</v>
      </c>
      <c r="BG43" s="27">
        <f>6224463.75/3</f>
        <v>2074821.25</v>
      </c>
      <c r="BH43" s="40">
        <v>0</v>
      </c>
      <c r="BI43" s="32">
        <f t="shared" si="30"/>
        <v>2074821.25</v>
      </c>
      <c r="BJ43" s="78" t="str">
        <f t="shared" si="31"/>
        <v>-</v>
      </c>
      <c r="BK43" s="39">
        <f>BG43*6</f>
        <v>12448927.5</v>
      </c>
      <c r="BL43" s="39">
        <v>0</v>
      </c>
      <c r="BM43" s="32">
        <f t="shared" si="32"/>
        <v>12448927.5</v>
      </c>
      <c r="BN43" s="78" t="str">
        <f t="shared" si="33"/>
        <v>-</v>
      </c>
      <c r="BO43" s="39">
        <v>0</v>
      </c>
      <c r="BP43" s="32">
        <f t="shared" si="34"/>
        <v>12448927.5</v>
      </c>
      <c r="BQ43" s="77" t="str">
        <f t="shared" si="35"/>
        <v>-</v>
      </c>
      <c r="BR43" s="27">
        <f>6224463.75/3</f>
        <v>2074821.25</v>
      </c>
      <c r="BS43" s="40">
        <v>0</v>
      </c>
      <c r="BT43" s="32">
        <f t="shared" si="36"/>
        <v>2074821.25</v>
      </c>
      <c r="BU43" s="78" t="str">
        <f t="shared" si="37"/>
        <v>-</v>
      </c>
      <c r="BV43" s="39">
        <f>BR43*6</f>
        <v>12448927.5</v>
      </c>
      <c r="BW43" s="39">
        <v>0</v>
      </c>
      <c r="BX43" s="32">
        <f t="shared" si="38"/>
        <v>12448927.5</v>
      </c>
      <c r="BY43" s="78" t="str">
        <f t="shared" si="39"/>
        <v>-</v>
      </c>
      <c r="BZ43" s="39">
        <v>0</v>
      </c>
      <c r="CA43" s="32">
        <f t="shared" si="40"/>
        <v>12448927.5</v>
      </c>
      <c r="CB43" s="77" t="str">
        <f t="shared" si="41"/>
        <v>-</v>
      </c>
      <c r="CC43" s="27">
        <f>6224463.75/3</f>
        <v>2074821.25</v>
      </c>
      <c r="CD43" s="40">
        <v>0</v>
      </c>
      <c r="CE43" s="32">
        <f t="shared" si="42"/>
        <v>2074821.25</v>
      </c>
      <c r="CF43" s="78" t="str">
        <f t="shared" si="43"/>
        <v>-</v>
      </c>
      <c r="CG43" s="39">
        <f>CC43*6</f>
        <v>12448927.5</v>
      </c>
      <c r="CH43" s="39">
        <v>0</v>
      </c>
      <c r="CI43" s="32">
        <f t="shared" si="44"/>
        <v>12448927.5</v>
      </c>
      <c r="CJ43" s="78" t="str">
        <f t="shared" si="45"/>
        <v>-</v>
      </c>
      <c r="CK43" s="39">
        <v>0</v>
      </c>
      <c r="CL43" s="32">
        <f t="shared" si="46"/>
        <v>12448927.5</v>
      </c>
      <c r="CM43" s="77" t="str">
        <f t="shared" si="47"/>
        <v>-</v>
      </c>
      <c r="CN43" s="27">
        <f>6224463.75/3</f>
        <v>2074821.25</v>
      </c>
      <c r="CO43" s="40">
        <v>0</v>
      </c>
      <c r="CP43" s="32">
        <f t="shared" si="48"/>
        <v>2074821.25</v>
      </c>
      <c r="CQ43" s="78" t="str">
        <f t="shared" si="49"/>
        <v>-</v>
      </c>
      <c r="CR43" s="39">
        <f>CN43*6</f>
        <v>12448927.5</v>
      </c>
      <c r="CS43" s="39">
        <v>0</v>
      </c>
      <c r="CT43" s="32">
        <f t="shared" si="50"/>
        <v>12448927.5</v>
      </c>
      <c r="CU43" s="78" t="str">
        <f t="shared" si="51"/>
        <v>-</v>
      </c>
      <c r="CV43" s="39">
        <v>0</v>
      </c>
      <c r="CW43" s="32">
        <f t="shared" si="52"/>
        <v>12448927.5</v>
      </c>
      <c r="CX43" s="77" t="str">
        <f t="shared" si="53"/>
        <v>-</v>
      </c>
      <c r="CY43" s="27">
        <f>6224463.75/3</f>
        <v>2074821.25</v>
      </c>
      <c r="CZ43" s="40">
        <v>0</v>
      </c>
      <c r="DA43" s="32">
        <f t="shared" si="54"/>
        <v>2074821.25</v>
      </c>
      <c r="DB43" s="78" t="str">
        <f t="shared" si="55"/>
        <v>-</v>
      </c>
      <c r="DC43" s="39">
        <f>CY43*6</f>
        <v>12448927.5</v>
      </c>
      <c r="DD43" s="39">
        <v>0</v>
      </c>
      <c r="DE43" s="32">
        <f t="shared" si="56"/>
        <v>12448927.5</v>
      </c>
      <c r="DF43" s="78" t="str">
        <f t="shared" si="57"/>
        <v>-</v>
      </c>
      <c r="DG43" s="39">
        <v>0</v>
      </c>
      <c r="DH43" s="32">
        <f t="shared" si="58"/>
        <v>12448927.5</v>
      </c>
      <c r="DI43" s="77" t="str">
        <f t="shared" si="59"/>
        <v>-</v>
      </c>
    </row>
    <row r="44" spans="1:113" s="6" customFormat="1" outlineLevel="2" x14ac:dyDescent="0.2">
      <c r="A44" s="30"/>
      <c r="B44" s="29" t="s">
        <v>67</v>
      </c>
      <c r="C44" s="42" t="s">
        <v>66</v>
      </c>
      <c r="D44" s="27">
        <f>SUM(D42:D43)</f>
        <v>13290071.25</v>
      </c>
      <c r="E44" s="26">
        <f>SUM(E42:E43)</f>
        <v>0</v>
      </c>
      <c r="F44" s="23">
        <f t="shared" si="0"/>
        <v>13290071.25</v>
      </c>
      <c r="G44" s="76" t="str">
        <f t="shared" si="1"/>
        <v>-</v>
      </c>
      <c r="H44" s="24">
        <f>SUM(H42:H43)</f>
        <v>79740427.5</v>
      </c>
      <c r="I44" s="24">
        <f>SUM(I42:I43)</f>
        <v>0</v>
      </c>
      <c r="J44" s="23">
        <f t="shared" si="2"/>
        <v>79740427.5</v>
      </c>
      <c r="K44" s="76" t="str">
        <f t="shared" si="3"/>
        <v>-</v>
      </c>
      <c r="L44" s="24">
        <f>SUM(L42:L43)</f>
        <v>0</v>
      </c>
      <c r="M44" s="23">
        <f t="shared" si="4"/>
        <v>79740427.5</v>
      </c>
      <c r="N44" s="75" t="str">
        <f t="shared" si="5"/>
        <v>-</v>
      </c>
      <c r="O44" s="27">
        <f>SUM(O42:O43)</f>
        <v>13290071.25</v>
      </c>
      <c r="P44" s="26">
        <f>SUM(P42:P43)</f>
        <v>0</v>
      </c>
      <c r="Q44" s="23">
        <f t="shared" si="6"/>
        <v>13290071.25</v>
      </c>
      <c r="R44" s="76" t="str">
        <f t="shared" si="7"/>
        <v>-</v>
      </c>
      <c r="S44" s="24">
        <f>SUM(S42:S43)</f>
        <v>79740427.5</v>
      </c>
      <c r="T44" s="24">
        <f>SUM(T42:T43)</f>
        <v>0</v>
      </c>
      <c r="U44" s="23">
        <f t="shared" si="8"/>
        <v>79740427.5</v>
      </c>
      <c r="V44" s="76" t="str">
        <f t="shared" si="9"/>
        <v>-</v>
      </c>
      <c r="W44" s="24">
        <f>SUM(W42:W43)</f>
        <v>0</v>
      </c>
      <c r="X44" s="23">
        <f t="shared" si="10"/>
        <v>79740427.5</v>
      </c>
      <c r="Y44" s="75" t="str">
        <f t="shared" si="11"/>
        <v>-</v>
      </c>
      <c r="Z44" s="27">
        <f>SUM(Z42:Z43)</f>
        <v>13290071.25</v>
      </c>
      <c r="AA44" s="26">
        <f>SUM(AA42:AA43)</f>
        <v>0</v>
      </c>
      <c r="AB44" s="23">
        <f t="shared" si="12"/>
        <v>13290071.25</v>
      </c>
      <c r="AC44" s="76" t="str">
        <f t="shared" si="13"/>
        <v>-</v>
      </c>
      <c r="AD44" s="24">
        <f>SUM(AD42:AD43)</f>
        <v>79740427.5</v>
      </c>
      <c r="AE44" s="24">
        <f>SUM(AE42:AE43)</f>
        <v>0</v>
      </c>
      <c r="AF44" s="23">
        <f t="shared" si="14"/>
        <v>79740427.5</v>
      </c>
      <c r="AG44" s="76" t="str">
        <f t="shared" si="15"/>
        <v>-</v>
      </c>
      <c r="AH44" s="24">
        <f>SUM(AH42:AH43)</f>
        <v>0</v>
      </c>
      <c r="AI44" s="23">
        <f t="shared" si="16"/>
        <v>79740427.5</v>
      </c>
      <c r="AJ44" s="75" t="str">
        <f t="shared" si="17"/>
        <v>-</v>
      </c>
      <c r="AK44" s="27">
        <f>SUM(AK42:AK43)</f>
        <v>13290071.25</v>
      </c>
      <c r="AL44" s="26">
        <f>SUM(AL42:AL43)</f>
        <v>0</v>
      </c>
      <c r="AM44" s="23">
        <f t="shared" si="18"/>
        <v>13290071.25</v>
      </c>
      <c r="AN44" s="76" t="str">
        <f t="shared" si="19"/>
        <v>-</v>
      </c>
      <c r="AO44" s="24">
        <f>SUM(AO42:AO43)</f>
        <v>79740427.5</v>
      </c>
      <c r="AP44" s="24">
        <f>SUM(AP42:AP43)</f>
        <v>0</v>
      </c>
      <c r="AQ44" s="23">
        <f t="shared" si="20"/>
        <v>79740427.5</v>
      </c>
      <c r="AR44" s="76" t="str">
        <f t="shared" si="21"/>
        <v>-</v>
      </c>
      <c r="AS44" s="24">
        <f>SUM(AS42:AS43)</f>
        <v>0</v>
      </c>
      <c r="AT44" s="23">
        <f t="shared" si="22"/>
        <v>79740427.5</v>
      </c>
      <c r="AU44" s="75" t="str">
        <f t="shared" si="23"/>
        <v>-</v>
      </c>
      <c r="AV44" s="27">
        <f>SUM(AV42:AV43)</f>
        <v>13290071.25</v>
      </c>
      <c r="AW44" s="26">
        <f>SUM(AW42:AW43)</f>
        <v>0</v>
      </c>
      <c r="AX44" s="23">
        <f t="shared" si="24"/>
        <v>13290071.25</v>
      </c>
      <c r="AY44" s="76" t="str">
        <f t="shared" si="25"/>
        <v>-</v>
      </c>
      <c r="AZ44" s="24">
        <f>SUM(AZ42:AZ43)</f>
        <v>79740427.5</v>
      </c>
      <c r="BA44" s="24">
        <f>SUM(BA42:BA43)</f>
        <v>0</v>
      </c>
      <c r="BB44" s="23">
        <f t="shared" si="26"/>
        <v>79740427.5</v>
      </c>
      <c r="BC44" s="76" t="str">
        <f t="shared" si="27"/>
        <v>-</v>
      </c>
      <c r="BD44" s="24">
        <f>SUM(BD42:BD43)</f>
        <v>0</v>
      </c>
      <c r="BE44" s="23">
        <f t="shared" si="28"/>
        <v>79740427.5</v>
      </c>
      <c r="BF44" s="75" t="str">
        <f t="shared" si="29"/>
        <v>-</v>
      </c>
      <c r="BG44" s="27">
        <f>SUM(BG42:BG43)</f>
        <v>13290071.25</v>
      </c>
      <c r="BH44" s="26">
        <f>SUM(BH42:BH43)</f>
        <v>0</v>
      </c>
      <c r="BI44" s="23">
        <f t="shared" si="30"/>
        <v>13290071.25</v>
      </c>
      <c r="BJ44" s="76" t="str">
        <f t="shared" si="31"/>
        <v>-</v>
      </c>
      <c r="BK44" s="24">
        <f>SUM(BK42:BK43)</f>
        <v>79740427.5</v>
      </c>
      <c r="BL44" s="24">
        <f>SUM(BL42:BL43)</f>
        <v>0</v>
      </c>
      <c r="BM44" s="23">
        <f t="shared" si="32"/>
        <v>79740427.5</v>
      </c>
      <c r="BN44" s="76" t="str">
        <f t="shared" si="33"/>
        <v>-</v>
      </c>
      <c r="BO44" s="24">
        <f>SUM(BO42:BO43)</f>
        <v>0</v>
      </c>
      <c r="BP44" s="23">
        <f t="shared" si="34"/>
        <v>79740427.5</v>
      </c>
      <c r="BQ44" s="75" t="str">
        <f t="shared" si="35"/>
        <v>-</v>
      </c>
      <c r="BR44" s="27">
        <f>SUM(BR42:BR43)</f>
        <v>13290071.25</v>
      </c>
      <c r="BS44" s="26">
        <f>SUM(BS42:BS43)</f>
        <v>0</v>
      </c>
      <c r="BT44" s="23">
        <f t="shared" si="36"/>
        <v>13290071.25</v>
      </c>
      <c r="BU44" s="76" t="str">
        <f t="shared" si="37"/>
        <v>-</v>
      </c>
      <c r="BV44" s="24">
        <f>SUM(BV42:BV43)</f>
        <v>79740427.5</v>
      </c>
      <c r="BW44" s="24">
        <f>SUM(BW42:BW43)</f>
        <v>0</v>
      </c>
      <c r="BX44" s="23">
        <f t="shared" si="38"/>
        <v>79740427.5</v>
      </c>
      <c r="BY44" s="76" t="str">
        <f t="shared" si="39"/>
        <v>-</v>
      </c>
      <c r="BZ44" s="24">
        <f>SUM(BZ42:BZ43)</f>
        <v>0</v>
      </c>
      <c r="CA44" s="23">
        <f t="shared" si="40"/>
        <v>79740427.5</v>
      </c>
      <c r="CB44" s="75" t="str">
        <f t="shared" si="41"/>
        <v>-</v>
      </c>
      <c r="CC44" s="27">
        <f>SUM(CC42:CC43)</f>
        <v>13290071.25</v>
      </c>
      <c r="CD44" s="26">
        <f>SUM(CD42:CD43)</f>
        <v>0</v>
      </c>
      <c r="CE44" s="23">
        <f t="shared" si="42"/>
        <v>13290071.25</v>
      </c>
      <c r="CF44" s="76" t="str">
        <f t="shared" si="43"/>
        <v>-</v>
      </c>
      <c r="CG44" s="24">
        <f>SUM(CG42:CG43)</f>
        <v>79740427.5</v>
      </c>
      <c r="CH44" s="24">
        <f>SUM(CH42:CH43)</f>
        <v>0</v>
      </c>
      <c r="CI44" s="23">
        <f t="shared" si="44"/>
        <v>79740427.5</v>
      </c>
      <c r="CJ44" s="76" t="str">
        <f t="shared" si="45"/>
        <v>-</v>
      </c>
      <c r="CK44" s="24">
        <f>SUM(CK42:CK43)</f>
        <v>0</v>
      </c>
      <c r="CL44" s="23">
        <f t="shared" si="46"/>
        <v>79740427.5</v>
      </c>
      <c r="CM44" s="75" t="str">
        <f t="shared" si="47"/>
        <v>-</v>
      </c>
      <c r="CN44" s="27">
        <f>SUM(CN42:CN43)</f>
        <v>13290071.25</v>
      </c>
      <c r="CO44" s="26">
        <f>SUM(CO42:CO43)</f>
        <v>0</v>
      </c>
      <c r="CP44" s="23">
        <f t="shared" si="48"/>
        <v>13290071.25</v>
      </c>
      <c r="CQ44" s="76" t="str">
        <f t="shared" si="49"/>
        <v>-</v>
      </c>
      <c r="CR44" s="24">
        <f>SUM(CR42:CR43)</f>
        <v>79740427.5</v>
      </c>
      <c r="CS44" s="24">
        <f>SUM(CS42:CS43)</f>
        <v>0</v>
      </c>
      <c r="CT44" s="23">
        <f t="shared" si="50"/>
        <v>79740427.5</v>
      </c>
      <c r="CU44" s="76" t="str">
        <f t="shared" si="51"/>
        <v>-</v>
      </c>
      <c r="CV44" s="24">
        <f>SUM(CV42:CV43)</f>
        <v>0</v>
      </c>
      <c r="CW44" s="23">
        <f t="shared" si="52"/>
        <v>79740427.5</v>
      </c>
      <c r="CX44" s="75" t="str">
        <f t="shared" si="53"/>
        <v>-</v>
      </c>
      <c r="CY44" s="27">
        <f>SUM(CY42:CY43)</f>
        <v>13290071.25</v>
      </c>
      <c r="CZ44" s="26">
        <f>SUM(CZ42:CZ43)</f>
        <v>0</v>
      </c>
      <c r="DA44" s="23">
        <f t="shared" si="54"/>
        <v>13290071.25</v>
      </c>
      <c r="DB44" s="76" t="str">
        <f t="shared" si="55"/>
        <v>-</v>
      </c>
      <c r="DC44" s="24">
        <f>SUM(DC42:DC43)</f>
        <v>79740427.5</v>
      </c>
      <c r="DD44" s="24">
        <f>SUM(DD42:DD43)</f>
        <v>0</v>
      </c>
      <c r="DE44" s="23">
        <f t="shared" si="56"/>
        <v>79740427.5</v>
      </c>
      <c r="DF44" s="76" t="str">
        <f t="shared" si="57"/>
        <v>-</v>
      </c>
      <c r="DG44" s="24">
        <f>SUM(DG42:DG43)</f>
        <v>0</v>
      </c>
      <c r="DH44" s="23">
        <f t="shared" si="58"/>
        <v>79740427.5</v>
      </c>
      <c r="DI44" s="75" t="str">
        <f t="shared" si="59"/>
        <v>-</v>
      </c>
    </row>
    <row r="45" spans="1:113" ht="12.75" customHeight="1" outlineLevel="3" x14ac:dyDescent="0.2">
      <c r="B45" s="38" t="s">
        <v>65</v>
      </c>
      <c r="C45" s="37" t="s">
        <v>64</v>
      </c>
      <c r="D45" s="41">
        <v>0</v>
      </c>
      <c r="E45" s="40">
        <v>0</v>
      </c>
      <c r="F45" s="32">
        <f t="shared" si="0"/>
        <v>0</v>
      </c>
      <c r="G45" s="78" t="str">
        <f t="shared" si="1"/>
        <v>-</v>
      </c>
      <c r="H45" s="39">
        <f>-D42*3</f>
        <v>-33645750</v>
      </c>
      <c r="I45" s="39">
        <v>0</v>
      </c>
      <c r="J45" s="32">
        <f t="shared" si="2"/>
        <v>-33645750</v>
      </c>
      <c r="K45" s="78" t="str">
        <f t="shared" si="3"/>
        <v>-</v>
      </c>
      <c r="L45" s="39">
        <v>0</v>
      </c>
      <c r="M45" s="32">
        <f t="shared" si="4"/>
        <v>-33645750</v>
      </c>
      <c r="N45" s="77" t="str">
        <f t="shared" si="5"/>
        <v>-</v>
      </c>
      <c r="O45" s="41">
        <v>0</v>
      </c>
      <c r="P45" s="40">
        <v>0</v>
      </c>
      <c r="Q45" s="32">
        <f t="shared" si="6"/>
        <v>0</v>
      </c>
      <c r="R45" s="78" t="str">
        <f t="shared" si="7"/>
        <v>-</v>
      </c>
      <c r="S45" s="39">
        <f>-O42*3</f>
        <v>-33645750</v>
      </c>
      <c r="T45" s="39">
        <v>0</v>
      </c>
      <c r="U45" s="32">
        <f t="shared" si="8"/>
        <v>-33645750</v>
      </c>
      <c r="V45" s="78" t="str">
        <f t="shared" si="9"/>
        <v>-</v>
      </c>
      <c r="W45" s="39">
        <v>0</v>
      </c>
      <c r="X45" s="32">
        <f t="shared" si="10"/>
        <v>-33645750</v>
      </c>
      <c r="Y45" s="77" t="str">
        <f t="shared" si="11"/>
        <v>-</v>
      </c>
      <c r="Z45" s="41">
        <v>0</v>
      </c>
      <c r="AA45" s="40">
        <v>0</v>
      </c>
      <c r="AB45" s="32">
        <f t="shared" si="12"/>
        <v>0</v>
      </c>
      <c r="AC45" s="78" t="str">
        <f t="shared" si="13"/>
        <v>-</v>
      </c>
      <c r="AD45" s="39">
        <f>-Z42*3</f>
        <v>-33645750</v>
      </c>
      <c r="AE45" s="39">
        <v>0</v>
      </c>
      <c r="AF45" s="32">
        <f t="shared" si="14"/>
        <v>-33645750</v>
      </c>
      <c r="AG45" s="78" t="str">
        <f t="shared" si="15"/>
        <v>-</v>
      </c>
      <c r="AH45" s="39">
        <v>0</v>
      </c>
      <c r="AI45" s="32">
        <f t="shared" si="16"/>
        <v>-33645750</v>
      </c>
      <c r="AJ45" s="77" t="str">
        <f t="shared" si="17"/>
        <v>-</v>
      </c>
      <c r="AK45" s="41">
        <v>0</v>
      </c>
      <c r="AL45" s="40">
        <v>0</v>
      </c>
      <c r="AM45" s="32">
        <f t="shared" si="18"/>
        <v>0</v>
      </c>
      <c r="AN45" s="78" t="str">
        <f t="shared" si="19"/>
        <v>-</v>
      </c>
      <c r="AO45" s="39">
        <f>-AK42*3</f>
        <v>-33645750</v>
      </c>
      <c r="AP45" s="39">
        <v>0</v>
      </c>
      <c r="AQ45" s="32">
        <f t="shared" si="20"/>
        <v>-33645750</v>
      </c>
      <c r="AR45" s="78" t="str">
        <f t="shared" si="21"/>
        <v>-</v>
      </c>
      <c r="AS45" s="39">
        <v>0</v>
      </c>
      <c r="AT45" s="32">
        <f t="shared" si="22"/>
        <v>-33645750</v>
      </c>
      <c r="AU45" s="77" t="str">
        <f t="shared" si="23"/>
        <v>-</v>
      </c>
      <c r="AV45" s="41">
        <v>0</v>
      </c>
      <c r="AW45" s="40">
        <v>0</v>
      </c>
      <c r="AX45" s="32">
        <f t="shared" si="24"/>
        <v>0</v>
      </c>
      <c r="AY45" s="78" t="str">
        <f t="shared" si="25"/>
        <v>-</v>
      </c>
      <c r="AZ45" s="39">
        <f>-AV42*3</f>
        <v>-33645750</v>
      </c>
      <c r="BA45" s="39">
        <v>0</v>
      </c>
      <c r="BB45" s="32">
        <f t="shared" si="26"/>
        <v>-33645750</v>
      </c>
      <c r="BC45" s="78" t="str">
        <f t="shared" si="27"/>
        <v>-</v>
      </c>
      <c r="BD45" s="39">
        <v>0</v>
      </c>
      <c r="BE45" s="32">
        <f t="shared" si="28"/>
        <v>-33645750</v>
      </c>
      <c r="BF45" s="77" t="str">
        <f t="shared" si="29"/>
        <v>-</v>
      </c>
      <c r="BG45" s="41">
        <v>0</v>
      </c>
      <c r="BH45" s="40">
        <v>0</v>
      </c>
      <c r="BI45" s="32">
        <f t="shared" si="30"/>
        <v>0</v>
      </c>
      <c r="BJ45" s="78" t="str">
        <f t="shared" si="31"/>
        <v>-</v>
      </c>
      <c r="BK45" s="39">
        <f>-BG42*3</f>
        <v>-33645750</v>
      </c>
      <c r="BL45" s="39">
        <v>0</v>
      </c>
      <c r="BM45" s="32">
        <f t="shared" si="32"/>
        <v>-33645750</v>
      </c>
      <c r="BN45" s="78" t="str">
        <f t="shared" si="33"/>
        <v>-</v>
      </c>
      <c r="BO45" s="39">
        <v>0</v>
      </c>
      <c r="BP45" s="32">
        <f t="shared" si="34"/>
        <v>-33645750</v>
      </c>
      <c r="BQ45" s="77" t="str">
        <f t="shared" si="35"/>
        <v>-</v>
      </c>
      <c r="BR45" s="41">
        <v>0</v>
      </c>
      <c r="BS45" s="40">
        <v>0</v>
      </c>
      <c r="BT45" s="32">
        <f t="shared" si="36"/>
        <v>0</v>
      </c>
      <c r="BU45" s="78" t="str">
        <f t="shared" si="37"/>
        <v>-</v>
      </c>
      <c r="BV45" s="39">
        <f>-BR42*3</f>
        <v>-33645750</v>
      </c>
      <c r="BW45" s="39">
        <v>0</v>
      </c>
      <c r="BX45" s="32">
        <f t="shared" si="38"/>
        <v>-33645750</v>
      </c>
      <c r="BY45" s="78" t="str">
        <f t="shared" si="39"/>
        <v>-</v>
      </c>
      <c r="BZ45" s="39">
        <v>0</v>
      </c>
      <c r="CA45" s="32">
        <f t="shared" si="40"/>
        <v>-33645750</v>
      </c>
      <c r="CB45" s="77" t="str">
        <f t="shared" si="41"/>
        <v>-</v>
      </c>
      <c r="CC45" s="41">
        <v>0</v>
      </c>
      <c r="CD45" s="40">
        <v>0</v>
      </c>
      <c r="CE45" s="32">
        <f t="shared" si="42"/>
        <v>0</v>
      </c>
      <c r="CF45" s="78" t="str">
        <f t="shared" si="43"/>
        <v>-</v>
      </c>
      <c r="CG45" s="39">
        <f>-CC42*3</f>
        <v>-33645750</v>
      </c>
      <c r="CH45" s="39">
        <v>0</v>
      </c>
      <c r="CI45" s="32">
        <f t="shared" si="44"/>
        <v>-33645750</v>
      </c>
      <c r="CJ45" s="78" t="str">
        <f t="shared" si="45"/>
        <v>-</v>
      </c>
      <c r="CK45" s="39">
        <v>0</v>
      </c>
      <c r="CL45" s="32">
        <f t="shared" si="46"/>
        <v>-33645750</v>
      </c>
      <c r="CM45" s="77" t="str">
        <f t="shared" si="47"/>
        <v>-</v>
      </c>
      <c r="CN45" s="41">
        <v>0</v>
      </c>
      <c r="CO45" s="40">
        <v>0</v>
      </c>
      <c r="CP45" s="32">
        <f t="shared" si="48"/>
        <v>0</v>
      </c>
      <c r="CQ45" s="78" t="str">
        <f t="shared" si="49"/>
        <v>-</v>
      </c>
      <c r="CR45" s="39">
        <f>-CN42*3</f>
        <v>-33645750</v>
      </c>
      <c r="CS45" s="39">
        <v>0</v>
      </c>
      <c r="CT45" s="32">
        <f t="shared" si="50"/>
        <v>-33645750</v>
      </c>
      <c r="CU45" s="78" t="str">
        <f t="shared" si="51"/>
        <v>-</v>
      </c>
      <c r="CV45" s="39">
        <v>0</v>
      </c>
      <c r="CW45" s="32">
        <f t="shared" si="52"/>
        <v>-33645750</v>
      </c>
      <c r="CX45" s="77" t="str">
        <f t="shared" si="53"/>
        <v>-</v>
      </c>
      <c r="CY45" s="41">
        <v>0</v>
      </c>
      <c r="CZ45" s="40">
        <v>0</v>
      </c>
      <c r="DA45" s="32">
        <f t="shared" si="54"/>
        <v>0</v>
      </c>
      <c r="DB45" s="78" t="str">
        <f t="shared" si="55"/>
        <v>-</v>
      </c>
      <c r="DC45" s="39">
        <f>-CY42*3</f>
        <v>-33645750</v>
      </c>
      <c r="DD45" s="39">
        <v>0</v>
      </c>
      <c r="DE45" s="32">
        <f t="shared" si="56"/>
        <v>-33645750</v>
      </c>
      <c r="DF45" s="78" t="str">
        <f t="shared" si="57"/>
        <v>-</v>
      </c>
      <c r="DG45" s="39">
        <v>0</v>
      </c>
      <c r="DH45" s="32">
        <f t="shared" si="58"/>
        <v>-33645750</v>
      </c>
      <c r="DI45" s="77" t="str">
        <f t="shared" si="59"/>
        <v>-</v>
      </c>
    </row>
    <row r="46" spans="1:113" ht="12.75" customHeight="1" outlineLevel="3" x14ac:dyDescent="0.2">
      <c r="B46" s="38" t="s">
        <v>63</v>
      </c>
      <c r="C46" s="37" t="s">
        <v>62</v>
      </c>
      <c r="D46" s="41">
        <v>0</v>
      </c>
      <c r="E46" s="40">
        <v>0</v>
      </c>
      <c r="F46" s="32">
        <f t="shared" si="0"/>
        <v>0</v>
      </c>
      <c r="G46" s="78" t="str">
        <f t="shared" si="1"/>
        <v>-</v>
      </c>
      <c r="H46" s="39">
        <f>-D43*3</f>
        <v>-6224463.75</v>
      </c>
      <c r="I46" s="39">
        <v>0</v>
      </c>
      <c r="J46" s="32">
        <f t="shared" si="2"/>
        <v>-6224463.75</v>
      </c>
      <c r="K46" s="78" t="str">
        <f t="shared" si="3"/>
        <v>-</v>
      </c>
      <c r="L46" s="39">
        <v>0</v>
      </c>
      <c r="M46" s="32">
        <f t="shared" si="4"/>
        <v>-6224463.75</v>
      </c>
      <c r="N46" s="77" t="str">
        <f t="shared" si="5"/>
        <v>-</v>
      </c>
      <c r="O46" s="41">
        <v>0</v>
      </c>
      <c r="P46" s="40">
        <v>0</v>
      </c>
      <c r="Q46" s="32">
        <f t="shared" si="6"/>
        <v>0</v>
      </c>
      <c r="R46" s="78" t="str">
        <f t="shared" si="7"/>
        <v>-</v>
      </c>
      <c r="S46" s="39">
        <f>-O43*3</f>
        <v>-6224463.75</v>
      </c>
      <c r="T46" s="39">
        <v>0</v>
      </c>
      <c r="U46" s="32">
        <f t="shared" si="8"/>
        <v>-6224463.75</v>
      </c>
      <c r="V46" s="78" t="str">
        <f t="shared" si="9"/>
        <v>-</v>
      </c>
      <c r="W46" s="39">
        <v>0</v>
      </c>
      <c r="X46" s="32">
        <f t="shared" si="10"/>
        <v>-6224463.75</v>
      </c>
      <c r="Y46" s="77" t="str">
        <f t="shared" si="11"/>
        <v>-</v>
      </c>
      <c r="Z46" s="41">
        <v>0</v>
      </c>
      <c r="AA46" s="40">
        <v>0</v>
      </c>
      <c r="AB46" s="32">
        <f t="shared" si="12"/>
        <v>0</v>
      </c>
      <c r="AC46" s="78" t="str">
        <f t="shared" si="13"/>
        <v>-</v>
      </c>
      <c r="AD46" s="39">
        <f>-Z43*3</f>
        <v>-6224463.75</v>
      </c>
      <c r="AE46" s="39">
        <v>0</v>
      </c>
      <c r="AF46" s="32">
        <f t="shared" si="14"/>
        <v>-6224463.75</v>
      </c>
      <c r="AG46" s="78" t="str">
        <f t="shared" si="15"/>
        <v>-</v>
      </c>
      <c r="AH46" s="39">
        <v>0</v>
      </c>
      <c r="AI46" s="32">
        <f t="shared" si="16"/>
        <v>-6224463.75</v>
      </c>
      <c r="AJ46" s="77" t="str">
        <f t="shared" si="17"/>
        <v>-</v>
      </c>
      <c r="AK46" s="41">
        <v>0</v>
      </c>
      <c r="AL46" s="40">
        <v>0</v>
      </c>
      <c r="AM46" s="32">
        <f t="shared" si="18"/>
        <v>0</v>
      </c>
      <c r="AN46" s="78" t="str">
        <f t="shared" si="19"/>
        <v>-</v>
      </c>
      <c r="AO46" s="39">
        <f>-AK43*3</f>
        <v>-6224463.75</v>
      </c>
      <c r="AP46" s="39">
        <v>0</v>
      </c>
      <c r="AQ46" s="32">
        <f t="shared" si="20"/>
        <v>-6224463.75</v>
      </c>
      <c r="AR46" s="78" t="str">
        <f t="shared" si="21"/>
        <v>-</v>
      </c>
      <c r="AS46" s="39">
        <v>0</v>
      </c>
      <c r="AT46" s="32">
        <f t="shared" si="22"/>
        <v>-6224463.75</v>
      </c>
      <c r="AU46" s="77" t="str">
        <f t="shared" si="23"/>
        <v>-</v>
      </c>
      <c r="AV46" s="41">
        <v>0</v>
      </c>
      <c r="AW46" s="40">
        <v>0</v>
      </c>
      <c r="AX46" s="32">
        <f t="shared" si="24"/>
        <v>0</v>
      </c>
      <c r="AY46" s="78" t="str">
        <f t="shared" si="25"/>
        <v>-</v>
      </c>
      <c r="AZ46" s="39">
        <f>-AV43*3</f>
        <v>-6224463.75</v>
      </c>
      <c r="BA46" s="39">
        <v>0</v>
      </c>
      <c r="BB46" s="32">
        <f t="shared" si="26"/>
        <v>-6224463.75</v>
      </c>
      <c r="BC46" s="78" t="str">
        <f t="shared" si="27"/>
        <v>-</v>
      </c>
      <c r="BD46" s="39">
        <v>0</v>
      </c>
      <c r="BE46" s="32">
        <f t="shared" si="28"/>
        <v>-6224463.75</v>
      </c>
      <c r="BF46" s="77" t="str">
        <f t="shared" si="29"/>
        <v>-</v>
      </c>
      <c r="BG46" s="41">
        <v>0</v>
      </c>
      <c r="BH46" s="40">
        <v>0</v>
      </c>
      <c r="BI46" s="32">
        <f t="shared" si="30"/>
        <v>0</v>
      </c>
      <c r="BJ46" s="78" t="str">
        <f t="shared" si="31"/>
        <v>-</v>
      </c>
      <c r="BK46" s="39">
        <f>-BG43*3</f>
        <v>-6224463.75</v>
      </c>
      <c r="BL46" s="39">
        <v>0</v>
      </c>
      <c r="BM46" s="32">
        <f t="shared" si="32"/>
        <v>-6224463.75</v>
      </c>
      <c r="BN46" s="78" t="str">
        <f t="shared" si="33"/>
        <v>-</v>
      </c>
      <c r="BO46" s="39">
        <v>0</v>
      </c>
      <c r="BP46" s="32">
        <f t="shared" si="34"/>
        <v>-6224463.75</v>
      </c>
      <c r="BQ46" s="77" t="str">
        <f t="shared" si="35"/>
        <v>-</v>
      </c>
      <c r="BR46" s="41">
        <v>0</v>
      </c>
      <c r="BS46" s="40">
        <v>0</v>
      </c>
      <c r="BT46" s="32">
        <f t="shared" si="36"/>
        <v>0</v>
      </c>
      <c r="BU46" s="78" t="str">
        <f t="shared" si="37"/>
        <v>-</v>
      </c>
      <c r="BV46" s="39">
        <f>-BR43*3</f>
        <v>-6224463.75</v>
      </c>
      <c r="BW46" s="39">
        <v>0</v>
      </c>
      <c r="BX46" s="32">
        <f t="shared" si="38"/>
        <v>-6224463.75</v>
      </c>
      <c r="BY46" s="78" t="str">
        <f t="shared" si="39"/>
        <v>-</v>
      </c>
      <c r="BZ46" s="39">
        <v>0</v>
      </c>
      <c r="CA46" s="32">
        <f t="shared" si="40"/>
        <v>-6224463.75</v>
      </c>
      <c r="CB46" s="77" t="str">
        <f t="shared" si="41"/>
        <v>-</v>
      </c>
      <c r="CC46" s="41">
        <v>0</v>
      </c>
      <c r="CD46" s="40">
        <v>0</v>
      </c>
      <c r="CE46" s="32">
        <f t="shared" si="42"/>
        <v>0</v>
      </c>
      <c r="CF46" s="78" t="str">
        <f t="shared" si="43"/>
        <v>-</v>
      </c>
      <c r="CG46" s="39">
        <f>-CC43*3</f>
        <v>-6224463.75</v>
      </c>
      <c r="CH46" s="39">
        <v>0</v>
      </c>
      <c r="CI46" s="32">
        <f t="shared" si="44"/>
        <v>-6224463.75</v>
      </c>
      <c r="CJ46" s="78" t="str">
        <f t="shared" si="45"/>
        <v>-</v>
      </c>
      <c r="CK46" s="39">
        <v>0</v>
      </c>
      <c r="CL46" s="32">
        <f t="shared" si="46"/>
        <v>-6224463.75</v>
      </c>
      <c r="CM46" s="77" t="str">
        <f t="shared" si="47"/>
        <v>-</v>
      </c>
      <c r="CN46" s="41">
        <v>0</v>
      </c>
      <c r="CO46" s="40">
        <v>0</v>
      </c>
      <c r="CP46" s="32">
        <f t="shared" si="48"/>
        <v>0</v>
      </c>
      <c r="CQ46" s="78" t="str">
        <f t="shared" si="49"/>
        <v>-</v>
      </c>
      <c r="CR46" s="39">
        <f>-CN43*3</f>
        <v>-6224463.75</v>
      </c>
      <c r="CS46" s="39">
        <v>0</v>
      </c>
      <c r="CT46" s="32">
        <f t="shared" si="50"/>
        <v>-6224463.75</v>
      </c>
      <c r="CU46" s="78" t="str">
        <f t="shared" si="51"/>
        <v>-</v>
      </c>
      <c r="CV46" s="39">
        <v>0</v>
      </c>
      <c r="CW46" s="32">
        <f t="shared" si="52"/>
        <v>-6224463.75</v>
      </c>
      <c r="CX46" s="77" t="str">
        <f t="shared" si="53"/>
        <v>-</v>
      </c>
      <c r="CY46" s="41">
        <v>0</v>
      </c>
      <c r="CZ46" s="40">
        <v>0</v>
      </c>
      <c r="DA46" s="32">
        <f t="shared" si="54"/>
        <v>0</v>
      </c>
      <c r="DB46" s="78" t="str">
        <f t="shared" si="55"/>
        <v>-</v>
      </c>
      <c r="DC46" s="39">
        <f>-CY43*3</f>
        <v>-6224463.75</v>
      </c>
      <c r="DD46" s="39">
        <v>0</v>
      </c>
      <c r="DE46" s="32">
        <f t="shared" si="56"/>
        <v>-6224463.75</v>
      </c>
      <c r="DF46" s="78" t="str">
        <f t="shared" si="57"/>
        <v>-</v>
      </c>
      <c r="DG46" s="39">
        <v>0</v>
      </c>
      <c r="DH46" s="32">
        <f t="shared" si="58"/>
        <v>-6224463.75</v>
      </c>
      <c r="DI46" s="77" t="str">
        <f t="shared" si="59"/>
        <v>-</v>
      </c>
    </row>
    <row r="47" spans="1:113" s="6" customFormat="1" outlineLevel="2" x14ac:dyDescent="0.2">
      <c r="A47" s="30"/>
      <c r="B47" s="29" t="s">
        <v>61</v>
      </c>
      <c r="C47" s="42" t="s">
        <v>60</v>
      </c>
      <c r="D47" s="27">
        <f>SUM(D45:D46)</f>
        <v>0</v>
      </c>
      <c r="E47" s="26">
        <f>SUM(E45:E46)</f>
        <v>0</v>
      </c>
      <c r="F47" s="23">
        <f t="shared" si="0"/>
        <v>0</v>
      </c>
      <c r="G47" s="76" t="str">
        <f t="shared" si="1"/>
        <v>-</v>
      </c>
      <c r="H47" s="24">
        <f>SUM(H45:H46)</f>
        <v>-39870213.75</v>
      </c>
      <c r="I47" s="24">
        <f>SUM(I45:I46)</f>
        <v>0</v>
      </c>
      <c r="J47" s="23">
        <f t="shared" si="2"/>
        <v>-39870213.75</v>
      </c>
      <c r="K47" s="76" t="str">
        <f t="shared" si="3"/>
        <v>-</v>
      </c>
      <c r="L47" s="24">
        <f>SUM(L45:L46)</f>
        <v>0</v>
      </c>
      <c r="M47" s="23">
        <f t="shared" si="4"/>
        <v>-39870213.75</v>
      </c>
      <c r="N47" s="75" t="str">
        <f t="shared" si="5"/>
        <v>-</v>
      </c>
      <c r="O47" s="27">
        <f>SUM(O45:O46)</f>
        <v>0</v>
      </c>
      <c r="P47" s="26">
        <f>SUM(P45:P46)</f>
        <v>0</v>
      </c>
      <c r="Q47" s="23">
        <f t="shared" si="6"/>
        <v>0</v>
      </c>
      <c r="R47" s="76" t="str">
        <f t="shared" si="7"/>
        <v>-</v>
      </c>
      <c r="S47" s="24">
        <f>SUM(S45:S46)</f>
        <v>-39870213.75</v>
      </c>
      <c r="T47" s="24">
        <f>SUM(T45:T46)</f>
        <v>0</v>
      </c>
      <c r="U47" s="23">
        <f t="shared" si="8"/>
        <v>-39870213.75</v>
      </c>
      <c r="V47" s="76" t="str">
        <f t="shared" si="9"/>
        <v>-</v>
      </c>
      <c r="W47" s="24">
        <f>SUM(W45:W46)</f>
        <v>0</v>
      </c>
      <c r="X47" s="23">
        <f t="shared" si="10"/>
        <v>-39870213.75</v>
      </c>
      <c r="Y47" s="75" t="str">
        <f t="shared" si="11"/>
        <v>-</v>
      </c>
      <c r="Z47" s="27">
        <f>SUM(Z45:Z46)</f>
        <v>0</v>
      </c>
      <c r="AA47" s="26">
        <f>SUM(AA45:AA46)</f>
        <v>0</v>
      </c>
      <c r="AB47" s="23">
        <f t="shared" si="12"/>
        <v>0</v>
      </c>
      <c r="AC47" s="76" t="str">
        <f t="shared" si="13"/>
        <v>-</v>
      </c>
      <c r="AD47" s="24">
        <f>SUM(AD45:AD46)</f>
        <v>-39870213.75</v>
      </c>
      <c r="AE47" s="24">
        <f>SUM(AE45:AE46)</f>
        <v>0</v>
      </c>
      <c r="AF47" s="23">
        <f t="shared" si="14"/>
        <v>-39870213.75</v>
      </c>
      <c r="AG47" s="76" t="str">
        <f t="shared" si="15"/>
        <v>-</v>
      </c>
      <c r="AH47" s="24">
        <f>SUM(AH45:AH46)</f>
        <v>0</v>
      </c>
      <c r="AI47" s="23">
        <f t="shared" si="16"/>
        <v>-39870213.75</v>
      </c>
      <c r="AJ47" s="75" t="str">
        <f t="shared" si="17"/>
        <v>-</v>
      </c>
      <c r="AK47" s="27">
        <f>SUM(AK45:AK46)</f>
        <v>0</v>
      </c>
      <c r="AL47" s="26">
        <f>SUM(AL45:AL46)</f>
        <v>0</v>
      </c>
      <c r="AM47" s="23">
        <f t="shared" si="18"/>
        <v>0</v>
      </c>
      <c r="AN47" s="76" t="str">
        <f t="shared" si="19"/>
        <v>-</v>
      </c>
      <c r="AO47" s="24">
        <f>SUM(AO45:AO46)</f>
        <v>-39870213.75</v>
      </c>
      <c r="AP47" s="24">
        <f>SUM(AP45:AP46)</f>
        <v>0</v>
      </c>
      <c r="AQ47" s="23">
        <f t="shared" si="20"/>
        <v>-39870213.75</v>
      </c>
      <c r="AR47" s="76" t="str">
        <f t="shared" si="21"/>
        <v>-</v>
      </c>
      <c r="AS47" s="24">
        <f>SUM(AS45:AS46)</f>
        <v>0</v>
      </c>
      <c r="AT47" s="23">
        <f t="shared" si="22"/>
        <v>-39870213.75</v>
      </c>
      <c r="AU47" s="75" t="str">
        <f t="shared" si="23"/>
        <v>-</v>
      </c>
      <c r="AV47" s="27">
        <f>SUM(AV45:AV46)</f>
        <v>0</v>
      </c>
      <c r="AW47" s="26">
        <f>SUM(AW45:AW46)</f>
        <v>0</v>
      </c>
      <c r="AX47" s="23">
        <f t="shared" si="24"/>
        <v>0</v>
      </c>
      <c r="AY47" s="76" t="str">
        <f t="shared" si="25"/>
        <v>-</v>
      </c>
      <c r="AZ47" s="24">
        <f>SUM(AZ45:AZ46)</f>
        <v>-39870213.75</v>
      </c>
      <c r="BA47" s="24">
        <f>SUM(BA45:BA46)</f>
        <v>0</v>
      </c>
      <c r="BB47" s="23">
        <f t="shared" si="26"/>
        <v>-39870213.75</v>
      </c>
      <c r="BC47" s="76" t="str">
        <f t="shared" si="27"/>
        <v>-</v>
      </c>
      <c r="BD47" s="24">
        <f>SUM(BD45:BD46)</f>
        <v>0</v>
      </c>
      <c r="BE47" s="23">
        <f t="shared" si="28"/>
        <v>-39870213.75</v>
      </c>
      <c r="BF47" s="75" t="str">
        <f t="shared" si="29"/>
        <v>-</v>
      </c>
      <c r="BG47" s="27">
        <f>SUM(BG45:BG46)</f>
        <v>0</v>
      </c>
      <c r="BH47" s="26">
        <f>SUM(BH45:BH46)</f>
        <v>0</v>
      </c>
      <c r="BI47" s="23">
        <f t="shared" si="30"/>
        <v>0</v>
      </c>
      <c r="BJ47" s="76" t="str">
        <f t="shared" si="31"/>
        <v>-</v>
      </c>
      <c r="BK47" s="24">
        <f>SUM(BK45:BK46)</f>
        <v>-39870213.75</v>
      </c>
      <c r="BL47" s="24">
        <f>SUM(BL45:BL46)</f>
        <v>0</v>
      </c>
      <c r="BM47" s="23">
        <f t="shared" si="32"/>
        <v>-39870213.75</v>
      </c>
      <c r="BN47" s="76" t="str">
        <f t="shared" si="33"/>
        <v>-</v>
      </c>
      <c r="BO47" s="24">
        <f>SUM(BO45:BO46)</f>
        <v>0</v>
      </c>
      <c r="BP47" s="23">
        <f t="shared" si="34"/>
        <v>-39870213.75</v>
      </c>
      <c r="BQ47" s="75" t="str">
        <f t="shared" si="35"/>
        <v>-</v>
      </c>
      <c r="BR47" s="27">
        <f>SUM(BR45:BR46)</f>
        <v>0</v>
      </c>
      <c r="BS47" s="26">
        <f>SUM(BS45:BS46)</f>
        <v>0</v>
      </c>
      <c r="BT47" s="23">
        <f t="shared" si="36"/>
        <v>0</v>
      </c>
      <c r="BU47" s="76" t="str">
        <f t="shared" si="37"/>
        <v>-</v>
      </c>
      <c r="BV47" s="24">
        <f>SUM(BV45:BV46)</f>
        <v>-39870213.75</v>
      </c>
      <c r="BW47" s="24">
        <f>SUM(BW45:BW46)</f>
        <v>0</v>
      </c>
      <c r="BX47" s="23">
        <f t="shared" si="38"/>
        <v>-39870213.75</v>
      </c>
      <c r="BY47" s="76" t="str">
        <f t="shared" si="39"/>
        <v>-</v>
      </c>
      <c r="BZ47" s="24">
        <f>SUM(BZ45:BZ46)</f>
        <v>0</v>
      </c>
      <c r="CA47" s="23">
        <f t="shared" si="40"/>
        <v>-39870213.75</v>
      </c>
      <c r="CB47" s="75" t="str">
        <f t="shared" si="41"/>
        <v>-</v>
      </c>
      <c r="CC47" s="27">
        <f>SUM(CC45:CC46)</f>
        <v>0</v>
      </c>
      <c r="CD47" s="26">
        <f>SUM(CD45:CD46)</f>
        <v>0</v>
      </c>
      <c r="CE47" s="23">
        <f t="shared" si="42"/>
        <v>0</v>
      </c>
      <c r="CF47" s="76" t="str">
        <f t="shared" si="43"/>
        <v>-</v>
      </c>
      <c r="CG47" s="24">
        <f>SUM(CG45:CG46)</f>
        <v>-39870213.75</v>
      </c>
      <c r="CH47" s="24">
        <f>SUM(CH45:CH46)</f>
        <v>0</v>
      </c>
      <c r="CI47" s="23">
        <f t="shared" si="44"/>
        <v>-39870213.75</v>
      </c>
      <c r="CJ47" s="76" t="str">
        <f t="shared" si="45"/>
        <v>-</v>
      </c>
      <c r="CK47" s="24">
        <f>SUM(CK45:CK46)</f>
        <v>0</v>
      </c>
      <c r="CL47" s="23">
        <f t="shared" si="46"/>
        <v>-39870213.75</v>
      </c>
      <c r="CM47" s="75" t="str">
        <f t="shared" si="47"/>
        <v>-</v>
      </c>
      <c r="CN47" s="27">
        <f>SUM(CN45:CN46)</f>
        <v>0</v>
      </c>
      <c r="CO47" s="26">
        <f>SUM(CO45:CO46)</f>
        <v>0</v>
      </c>
      <c r="CP47" s="23">
        <f t="shared" si="48"/>
        <v>0</v>
      </c>
      <c r="CQ47" s="76" t="str">
        <f t="shared" si="49"/>
        <v>-</v>
      </c>
      <c r="CR47" s="24">
        <f>SUM(CR45:CR46)</f>
        <v>-39870213.75</v>
      </c>
      <c r="CS47" s="24">
        <f>SUM(CS45:CS46)</f>
        <v>0</v>
      </c>
      <c r="CT47" s="23">
        <f t="shared" si="50"/>
        <v>-39870213.75</v>
      </c>
      <c r="CU47" s="76" t="str">
        <f t="shared" si="51"/>
        <v>-</v>
      </c>
      <c r="CV47" s="24">
        <f>SUM(CV45:CV46)</f>
        <v>0</v>
      </c>
      <c r="CW47" s="23">
        <f t="shared" si="52"/>
        <v>-39870213.75</v>
      </c>
      <c r="CX47" s="75" t="str">
        <f t="shared" si="53"/>
        <v>-</v>
      </c>
      <c r="CY47" s="27">
        <f>SUM(CY45:CY46)</f>
        <v>0</v>
      </c>
      <c r="CZ47" s="26">
        <f>SUM(CZ45:CZ46)</f>
        <v>0</v>
      </c>
      <c r="DA47" s="23">
        <f t="shared" si="54"/>
        <v>0</v>
      </c>
      <c r="DB47" s="76" t="str">
        <f t="shared" si="55"/>
        <v>-</v>
      </c>
      <c r="DC47" s="24">
        <f>SUM(DC45:DC46)</f>
        <v>-39870213.75</v>
      </c>
      <c r="DD47" s="24">
        <f>SUM(DD45:DD46)</f>
        <v>0</v>
      </c>
      <c r="DE47" s="23">
        <f t="shared" si="56"/>
        <v>-39870213.75</v>
      </c>
      <c r="DF47" s="76" t="str">
        <f t="shared" si="57"/>
        <v>-</v>
      </c>
      <c r="DG47" s="24">
        <f>SUM(DG45:DG46)</f>
        <v>0</v>
      </c>
      <c r="DH47" s="23">
        <f t="shared" si="58"/>
        <v>-39870213.75</v>
      </c>
      <c r="DI47" s="75" t="str">
        <f t="shared" si="59"/>
        <v>-</v>
      </c>
    </row>
    <row r="48" spans="1:113" ht="12.75" customHeight="1" outlineLevel="3" x14ac:dyDescent="0.2">
      <c r="B48" s="38" t="s">
        <v>59</v>
      </c>
      <c r="C48" s="37" t="s">
        <v>58</v>
      </c>
      <c r="D48" s="41">
        <v>0</v>
      </c>
      <c r="E48" s="40">
        <f>33645750/3</f>
        <v>11215250</v>
      </c>
      <c r="F48" s="32">
        <f t="shared" si="0"/>
        <v>-11215250</v>
      </c>
      <c r="G48" s="78">
        <f t="shared" si="1"/>
        <v>-1</v>
      </c>
      <c r="H48" s="39">
        <v>32425066</v>
      </c>
      <c r="I48" s="39">
        <v>66701000</v>
      </c>
      <c r="J48" s="32">
        <f t="shared" si="2"/>
        <v>-34275934</v>
      </c>
      <c r="K48" s="78">
        <f t="shared" si="3"/>
        <v>-0.5138743647021784</v>
      </c>
      <c r="L48" s="39">
        <v>133992500</v>
      </c>
      <c r="M48" s="32">
        <f t="shared" si="4"/>
        <v>-101567434</v>
      </c>
      <c r="N48" s="77">
        <f t="shared" si="5"/>
        <v>-0.75800835121368737</v>
      </c>
      <c r="O48" s="41">
        <v>0</v>
      </c>
      <c r="P48" s="40">
        <f>33645750/3</f>
        <v>11215250</v>
      </c>
      <c r="Q48" s="32">
        <f t="shared" si="6"/>
        <v>-11215250</v>
      </c>
      <c r="R48" s="78">
        <f t="shared" si="7"/>
        <v>-1</v>
      </c>
      <c r="S48" s="39">
        <v>32425066</v>
      </c>
      <c r="T48" s="39">
        <v>66701000</v>
      </c>
      <c r="U48" s="32">
        <f t="shared" si="8"/>
        <v>-34275934</v>
      </c>
      <c r="V48" s="78">
        <f t="shared" si="9"/>
        <v>-0.5138743647021784</v>
      </c>
      <c r="W48" s="39">
        <v>133992500</v>
      </c>
      <c r="X48" s="32">
        <f t="shared" si="10"/>
        <v>-101567434</v>
      </c>
      <c r="Y48" s="77">
        <f t="shared" si="11"/>
        <v>-0.75800835121368737</v>
      </c>
      <c r="Z48" s="41">
        <v>0</v>
      </c>
      <c r="AA48" s="40">
        <f>33645750/3</f>
        <v>11215250</v>
      </c>
      <c r="AB48" s="32">
        <f t="shared" si="12"/>
        <v>-11215250</v>
      </c>
      <c r="AC48" s="78">
        <f t="shared" si="13"/>
        <v>-1</v>
      </c>
      <c r="AD48" s="39">
        <v>32425066</v>
      </c>
      <c r="AE48" s="39">
        <v>66701000</v>
      </c>
      <c r="AF48" s="32">
        <f t="shared" si="14"/>
        <v>-34275934</v>
      </c>
      <c r="AG48" s="78">
        <f t="shared" si="15"/>
        <v>-0.5138743647021784</v>
      </c>
      <c r="AH48" s="39">
        <v>133992500</v>
      </c>
      <c r="AI48" s="32">
        <f t="shared" si="16"/>
        <v>-101567434</v>
      </c>
      <c r="AJ48" s="77">
        <f t="shared" si="17"/>
        <v>-0.75800835121368737</v>
      </c>
      <c r="AK48" s="41">
        <v>0</v>
      </c>
      <c r="AL48" s="40">
        <f>33645750/3</f>
        <v>11215250</v>
      </c>
      <c r="AM48" s="32">
        <f t="shared" si="18"/>
        <v>-11215250</v>
      </c>
      <c r="AN48" s="78">
        <f t="shared" si="19"/>
        <v>-1</v>
      </c>
      <c r="AO48" s="39">
        <v>32425066</v>
      </c>
      <c r="AP48" s="39">
        <v>66701000</v>
      </c>
      <c r="AQ48" s="32">
        <f t="shared" si="20"/>
        <v>-34275934</v>
      </c>
      <c r="AR48" s="78">
        <f t="shared" si="21"/>
        <v>-0.5138743647021784</v>
      </c>
      <c r="AS48" s="39">
        <v>133992500</v>
      </c>
      <c r="AT48" s="32">
        <f t="shared" si="22"/>
        <v>-101567434</v>
      </c>
      <c r="AU48" s="77">
        <f t="shared" si="23"/>
        <v>-0.75800835121368737</v>
      </c>
      <c r="AV48" s="41">
        <v>0</v>
      </c>
      <c r="AW48" s="40">
        <f>33645750/3</f>
        <v>11215250</v>
      </c>
      <c r="AX48" s="32">
        <f t="shared" si="24"/>
        <v>-11215250</v>
      </c>
      <c r="AY48" s="78">
        <f t="shared" si="25"/>
        <v>-1</v>
      </c>
      <c r="AZ48" s="39">
        <v>32425066</v>
      </c>
      <c r="BA48" s="39">
        <v>66701000</v>
      </c>
      <c r="BB48" s="32">
        <f t="shared" si="26"/>
        <v>-34275934</v>
      </c>
      <c r="BC48" s="78">
        <f t="shared" si="27"/>
        <v>-0.5138743647021784</v>
      </c>
      <c r="BD48" s="39">
        <v>133992500</v>
      </c>
      <c r="BE48" s="32">
        <f t="shared" si="28"/>
        <v>-101567434</v>
      </c>
      <c r="BF48" s="77">
        <f t="shared" si="29"/>
        <v>-0.75800835121368737</v>
      </c>
      <c r="BG48" s="41">
        <v>0</v>
      </c>
      <c r="BH48" s="40">
        <f>33645750/3</f>
        <v>11215250</v>
      </c>
      <c r="BI48" s="32">
        <f t="shared" si="30"/>
        <v>-11215250</v>
      </c>
      <c r="BJ48" s="78">
        <f t="shared" si="31"/>
        <v>-1</v>
      </c>
      <c r="BK48" s="39">
        <v>32425066</v>
      </c>
      <c r="BL48" s="39">
        <v>66701000</v>
      </c>
      <c r="BM48" s="32">
        <f t="shared" si="32"/>
        <v>-34275934</v>
      </c>
      <c r="BN48" s="78">
        <f t="shared" si="33"/>
        <v>-0.5138743647021784</v>
      </c>
      <c r="BO48" s="39">
        <v>133992500</v>
      </c>
      <c r="BP48" s="32">
        <f t="shared" si="34"/>
        <v>-101567434</v>
      </c>
      <c r="BQ48" s="77">
        <f t="shared" si="35"/>
        <v>-0.75800835121368737</v>
      </c>
      <c r="BR48" s="41">
        <v>0</v>
      </c>
      <c r="BS48" s="40">
        <f>33645750/3</f>
        <v>11215250</v>
      </c>
      <c r="BT48" s="32">
        <f t="shared" si="36"/>
        <v>-11215250</v>
      </c>
      <c r="BU48" s="78">
        <f t="shared" si="37"/>
        <v>-1</v>
      </c>
      <c r="BV48" s="39">
        <v>32425066</v>
      </c>
      <c r="BW48" s="39">
        <v>66701000</v>
      </c>
      <c r="BX48" s="32">
        <f t="shared" si="38"/>
        <v>-34275934</v>
      </c>
      <c r="BY48" s="78">
        <f t="shared" si="39"/>
        <v>-0.5138743647021784</v>
      </c>
      <c r="BZ48" s="39">
        <v>133992500</v>
      </c>
      <c r="CA48" s="32">
        <f t="shared" si="40"/>
        <v>-101567434</v>
      </c>
      <c r="CB48" s="77">
        <f t="shared" si="41"/>
        <v>-0.75800835121368737</v>
      </c>
      <c r="CC48" s="41">
        <v>0</v>
      </c>
      <c r="CD48" s="40">
        <f>33645750/3</f>
        <v>11215250</v>
      </c>
      <c r="CE48" s="32">
        <f t="shared" si="42"/>
        <v>-11215250</v>
      </c>
      <c r="CF48" s="78">
        <f t="shared" si="43"/>
        <v>-1</v>
      </c>
      <c r="CG48" s="39">
        <v>32425066</v>
      </c>
      <c r="CH48" s="39">
        <v>66701000</v>
      </c>
      <c r="CI48" s="32">
        <f t="shared" si="44"/>
        <v>-34275934</v>
      </c>
      <c r="CJ48" s="78">
        <f t="shared" si="45"/>
        <v>-0.5138743647021784</v>
      </c>
      <c r="CK48" s="39">
        <v>133992500</v>
      </c>
      <c r="CL48" s="32">
        <f t="shared" si="46"/>
        <v>-101567434</v>
      </c>
      <c r="CM48" s="77">
        <f t="shared" si="47"/>
        <v>-0.75800835121368737</v>
      </c>
      <c r="CN48" s="41">
        <v>0</v>
      </c>
      <c r="CO48" s="40">
        <f>33645750/3</f>
        <v>11215250</v>
      </c>
      <c r="CP48" s="32">
        <f t="shared" si="48"/>
        <v>-11215250</v>
      </c>
      <c r="CQ48" s="78">
        <f t="shared" si="49"/>
        <v>-1</v>
      </c>
      <c r="CR48" s="39">
        <v>32425066</v>
      </c>
      <c r="CS48" s="39">
        <v>66701000</v>
      </c>
      <c r="CT48" s="32">
        <f t="shared" si="50"/>
        <v>-34275934</v>
      </c>
      <c r="CU48" s="78">
        <f t="shared" si="51"/>
        <v>-0.5138743647021784</v>
      </c>
      <c r="CV48" s="39">
        <v>133992500</v>
      </c>
      <c r="CW48" s="32">
        <f t="shared" si="52"/>
        <v>-101567434</v>
      </c>
      <c r="CX48" s="77">
        <f t="shared" si="53"/>
        <v>-0.75800835121368737</v>
      </c>
      <c r="CY48" s="41">
        <v>0</v>
      </c>
      <c r="CZ48" s="40">
        <f>33645750/3</f>
        <v>11215250</v>
      </c>
      <c r="DA48" s="32">
        <f t="shared" si="54"/>
        <v>-11215250</v>
      </c>
      <c r="DB48" s="78">
        <f t="shared" si="55"/>
        <v>-1</v>
      </c>
      <c r="DC48" s="39">
        <v>32425066</v>
      </c>
      <c r="DD48" s="39">
        <v>66701000</v>
      </c>
      <c r="DE48" s="32">
        <f t="shared" si="56"/>
        <v>-34275934</v>
      </c>
      <c r="DF48" s="78">
        <f t="shared" si="57"/>
        <v>-0.5138743647021784</v>
      </c>
      <c r="DG48" s="39">
        <v>133992500</v>
      </c>
      <c r="DH48" s="32">
        <f t="shared" si="58"/>
        <v>-101567434</v>
      </c>
      <c r="DI48" s="77">
        <f t="shared" si="59"/>
        <v>-0.75800835121368737</v>
      </c>
    </row>
    <row r="49" spans="1:113" ht="12.75" customHeight="1" outlineLevel="3" x14ac:dyDescent="0.2">
      <c r="B49" s="38" t="s">
        <v>57</v>
      </c>
      <c r="C49" s="37" t="s">
        <v>56</v>
      </c>
      <c r="D49" s="36">
        <v>0</v>
      </c>
      <c r="E49" s="35">
        <f>6224463.75/3</f>
        <v>2074821.25</v>
      </c>
      <c r="F49" s="32">
        <f t="shared" si="0"/>
        <v>-2074821.25</v>
      </c>
      <c r="G49" s="78">
        <f t="shared" si="1"/>
        <v>-1</v>
      </c>
      <c r="H49" s="33">
        <v>9492847</v>
      </c>
      <c r="I49" s="33">
        <v>12339685</v>
      </c>
      <c r="J49" s="32">
        <f t="shared" si="2"/>
        <v>-2846838</v>
      </c>
      <c r="K49" s="78">
        <f t="shared" si="3"/>
        <v>-0.2307058891697803</v>
      </c>
      <c r="L49" s="33">
        <v>24788612.5</v>
      </c>
      <c r="M49" s="32">
        <f t="shared" si="4"/>
        <v>-15295765.5</v>
      </c>
      <c r="N49" s="77">
        <f t="shared" si="5"/>
        <v>-0.61704806995550876</v>
      </c>
      <c r="O49" s="36">
        <v>0</v>
      </c>
      <c r="P49" s="35">
        <f>6224463.75/3</f>
        <v>2074821.25</v>
      </c>
      <c r="Q49" s="32">
        <f t="shared" si="6"/>
        <v>-2074821.25</v>
      </c>
      <c r="R49" s="78">
        <f t="shared" si="7"/>
        <v>-1</v>
      </c>
      <c r="S49" s="33">
        <v>9492847</v>
      </c>
      <c r="T49" s="33">
        <v>12339685</v>
      </c>
      <c r="U49" s="32">
        <f t="shared" si="8"/>
        <v>-2846838</v>
      </c>
      <c r="V49" s="78">
        <f t="shared" si="9"/>
        <v>-0.2307058891697803</v>
      </c>
      <c r="W49" s="33">
        <v>24788612.5</v>
      </c>
      <c r="X49" s="32">
        <f t="shared" si="10"/>
        <v>-15295765.5</v>
      </c>
      <c r="Y49" s="77">
        <f t="shared" si="11"/>
        <v>-0.61704806995550876</v>
      </c>
      <c r="Z49" s="36">
        <v>0</v>
      </c>
      <c r="AA49" s="35">
        <f>6224463.75/3</f>
        <v>2074821.25</v>
      </c>
      <c r="AB49" s="32">
        <f t="shared" si="12"/>
        <v>-2074821.25</v>
      </c>
      <c r="AC49" s="78">
        <f t="shared" si="13"/>
        <v>-1</v>
      </c>
      <c r="AD49" s="33">
        <v>9492847</v>
      </c>
      <c r="AE49" s="33">
        <v>12339685</v>
      </c>
      <c r="AF49" s="32">
        <f t="shared" si="14"/>
        <v>-2846838</v>
      </c>
      <c r="AG49" s="78">
        <f t="shared" si="15"/>
        <v>-0.2307058891697803</v>
      </c>
      <c r="AH49" s="33">
        <v>24788612.5</v>
      </c>
      <c r="AI49" s="32">
        <f t="shared" si="16"/>
        <v>-15295765.5</v>
      </c>
      <c r="AJ49" s="77">
        <f t="shared" si="17"/>
        <v>-0.61704806995550876</v>
      </c>
      <c r="AK49" s="36">
        <v>0</v>
      </c>
      <c r="AL49" s="35">
        <f>6224463.75/3</f>
        <v>2074821.25</v>
      </c>
      <c r="AM49" s="32">
        <f t="shared" si="18"/>
        <v>-2074821.25</v>
      </c>
      <c r="AN49" s="78">
        <f t="shared" si="19"/>
        <v>-1</v>
      </c>
      <c r="AO49" s="33">
        <v>9492847</v>
      </c>
      <c r="AP49" s="33">
        <v>12339685</v>
      </c>
      <c r="AQ49" s="32">
        <f t="shared" si="20"/>
        <v>-2846838</v>
      </c>
      <c r="AR49" s="78">
        <f t="shared" si="21"/>
        <v>-0.2307058891697803</v>
      </c>
      <c r="AS49" s="33">
        <v>24788612.5</v>
      </c>
      <c r="AT49" s="32">
        <f t="shared" si="22"/>
        <v>-15295765.5</v>
      </c>
      <c r="AU49" s="77">
        <f t="shared" si="23"/>
        <v>-0.61704806995550876</v>
      </c>
      <c r="AV49" s="36">
        <v>0</v>
      </c>
      <c r="AW49" s="35">
        <f>6224463.75/3</f>
        <v>2074821.25</v>
      </c>
      <c r="AX49" s="32">
        <f t="shared" si="24"/>
        <v>-2074821.25</v>
      </c>
      <c r="AY49" s="78">
        <f t="shared" si="25"/>
        <v>-1</v>
      </c>
      <c r="AZ49" s="33">
        <v>9492847</v>
      </c>
      <c r="BA49" s="33">
        <v>12339685</v>
      </c>
      <c r="BB49" s="32">
        <f t="shared" si="26"/>
        <v>-2846838</v>
      </c>
      <c r="BC49" s="78">
        <f t="shared" si="27"/>
        <v>-0.2307058891697803</v>
      </c>
      <c r="BD49" s="33">
        <v>24788612.5</v>
      </c>
      <c r="BE49" s="32">
        <f t="shared" si="28"/>
        <v>-15295765.5</v>
      </c>
      <c r="BF49" s="77">
        <f t="shared" si="29"/>
        <v>-0.61704806995550876</v>
      </c>
      <c r="BG49" s="36">
        <v>0</v>
      </c>
      <c r="BH49" s="35">
        <f>6224463.75/3</f>
        <v>2074821.25</v>
      </c>
      <c r="BI49" s="32">
        <f t="shared" si="30"/>
        <v>-2074821.25</v>
      </c>
      <c r="BJ49" s="78">
        <f t="shared" si="31"/>
        <v>-1</v>
      </c>
      <c r="BK49" s="33">
        <v>9492847</v>
      </c>
      <c r="BL49" s="33">
        <v>12339685</v>
      </c>
      <c r="BM49" s="32">
        <f t="shared" si="32"/>
        <v>-2846838</v>
      </c>
      <c r="BN49" s="78">
        <f t="shared" si="33"/>
        <v>-0.2307058891697803</v>
      </c>
      <c r="BO49" s="33">
        <v>24788612.5</v>
      </c>
      <c r="BP49" s="32">
        <f t="shared" si="34"/>
        <v>-15295765.5</v>
      </c>
      <c r="BQ49" s="77">
        <f t="shared" si="35"/>
        <v>-0.61704806995550876</v>
      </c>
      <c r="BR49" s="36">
        <v>0</v>
      </c>
      <c r="BS49" s="35">
        <f>6224463.75/3</f>
        <v>2074821.25</v>
      </c>
      <c r="BT49" s="32">
        <f t="shared" si="36"/>
        <v>-2074821.25</v>
      </c>
      <c r="BU49" s="78">
        <f t="shared" si="37"/>
        <v>-1</v>
      </c>
      <c r="BV49" s="33">
        <v>9492847</v>
      </c>
      <c r="BW49" s="33">
        <v>12339685</v>
      </c>
      <c r="BX49" s="32">
        <f t="shared" si="38"/>
        <v>-2846838</v>
      </c>
      <c r="BY49" s="78">
        <f t="shared" si="39"/>
        <v>-0.2307058891697803</v>
      </c>
      <c r="BZ49" s="33">
        <v>24788612.5</v>
      </c>
      <c r="CA49" s="32">
        <f t="shared" si="40"/>
        <v>-15295765.5</v>
      </c>
      <c r="CB49" s="77">
        <f t="shared" si="41"/>
        <v>-0.61704806995550876</v>
      </c>
      <c r="CC49" s="36">
        <v>0</v>
      </c>
      <c r="CD49" s="35">
        <f>6224463.75/3</f>
        <v>2074821.25</v>
      </c>
      <c r="CE49" s="32">
        <f t="shared" si="42"/>
        <v>-2074821.25</v>
      </c>
      <c r="CF49" s="78">
        <f t="shared" si="43"/>
        <v>-1</v>
      </c>
      <c r="CG49" s="33">
        <v>9492847</v>
      </c>
      <c r="CH49" s="33">
        <v>12339685</v>
      </c>
      <c r="CI49" s="32">
        <f t="shared" si="44"/>
        <v>-2846838</v>
      </c>
      <c r="CJ49" s="78">
        <f t="shared" si="45"/>
        <v>-0.2307058891697803</v>
      </c>
      <c r="CK49" s="33">
        <v>24788612.5</v>
      </c>
      <c r="CL49" s="32">
        <f t="shared" si="46"/>
        <v>-15295765.5</v>
      </c>
      <c r="CM49" s="77">
        <f t="shared" si="47"/>
        <v>-0.61704806995550876</v>
      </c>
      <c r="CN49" s="36">
        <v>0</v>
      </c>
      <c r="CO49" s="35">
        <f>6224463.75/3</f>
        <v>2074821.25</v>
      </c>
      <c r="CP49" s="32">
        <f t="shared" si="48"/>
        <v>-2074821.25</v>
      </c>
      <c r="CQ49" s="78">
        <f t="shared" si="49"/>
        <v>-1</v>
      </c>
      <c r="CR49" s="33">
        <v>9492847</v>
      </c>
      <c r="CS49" s="33">
        <v>12339685</v>
      </c>
      <c r="CT49" s="32">
        <f t="shared" si="50"/>
        <v>-2846838</v>
      </c>
      <c r="CU49" s="78">
        <f t="shared" si="51"/>
        <v>-0.2307058891697803</v>
      </c>
      <c r="CV49" s="33">
        <v>24788612.5</v>
      </c>
      <c r="CW49" s="32">
        <f t="shared" si="52"/>
        <v>-15295765.5</v>
      </c>
      <c r="CX49" s="77">
        <f t="shared" si="53"/>
        <v>-0.61704806995550876</v>
      </c>
      <c r="CY49" s="36">
        <v>0</v>
      </c>
      <c r="CZ49" s="35">
        <f>6224463.75/3</f>
        <v>2074821.25</v>
      </c>
      <c r="DA49" s="32">
        <f t="shared" si="54"/>
        <v>-2074821.25</v>
      </c>
      <c r="DB49" s="78">
        <f t="shared" si="55"/>
        <v>-1</v>
      </c>
      <c r="DC49" s="33">
        <v>9492847</v>
      </c>
      <c r="DD49" s="33">
        <v>12339685</v>
      </c>
      <c r="DE49" s="32">
        <f t="shared" si="56"/>
        <v>-2846838</v>
      </c>
      <c r="DF49" s="78">
        <f t="shared" si="57"/>
        <v>-0.2307058891697803</v>
      </c>
      <c r="DG49" s="33">
        <v>24788612.5</v>
      </c>
      <c r="DH49" s="32">
        <f t="shared" si="58"/>
        <v>-15295765.5</v>
      </c>
      <c r="DI49" s="77">
        <f t="shared" si="59"/>
        <v>-0.61704806995550876</v>
      </c>
    </row>
    <row r="50" spans="1:113" s="6" customFormat="1" outlineLevel="2" x14ac:dyDescent="0.2">
      <c r="A50" s="30"/>
      <c r="B50" s="29" t="s">
        <v>55</v>
      </c>
      <c r="C50" s="42" t="s">
        <v>54</v>
      </c>
      <c r="D50" s="27">
        <f>SUM(D48:D49)</f>
        <v>0</v>
      </c>
      <c r="E50" s="26">
        <f>SUM(E48:E49)</f>
        <v>13290071.25</v>
      </c>
      <c r="F50" s="23">
        <f t="shared" si="0"/>
        <v>-13290071.25</v>
      </c>
      <c r="G50" s="76">
        <f t="shared" si="1"/>
        <v>-1</v>
      </c>
      <c r="H50" s="24">
        <f>SUM(H48:H49)</f>
        <v>41917913</v>
      </c>
      <c r="I50" s="24">
        <f>SUM(I48:I49)</f>
        <v>79040685</v>
      </c>
      <c r="J50" s="23">
        <f t="shared" si="2"/>
        <v>-37122772</v>
      </c>
      <c r="K50" s="76">
        <f t="shared" si="3"/>
        <v>-0.46966662801568582</v>
      </c>
      <c r="L50" s="24">
        <f>SUM(L48:L49)</f>
        <v>158781112.5</v>
      </c>
      <c r="M50" s="23">
        <f t="shared" si="4"/>
        <v>-116863199.5</v>
      </c>
      <c r="N50" s="75">
        <f t="shared" si="5"/>
        <v>-0.73600189380207293</v>
      </c>
      <c r="O50" s="27">
        <f>SUM(O48:O49)</f>
        <v>0</v>
      </c>
      <c r="P50" s="26">
        <f>SUM(P48:P49)</f>
        <v>13290071.25</v>
      </c>
      <c r="Q50" s="23">
        <f t="shared" si="6"/>
        <v>-13290071.25</v>
      </c>
      <c r="R50" s="76">
        <f t="shared" si="7"/>
        <v>-1</v>
      </c>
      <c r="S50" s="24">
        <f>SUM(S48:S49)</f>
        <v>41917913</v>
      </c>
      <c r="T50" s="24">
        <f>SUM(T48:T49)</f>
        <v>79040685</v>
      </c>
      <c r="U50" s="23">
        <f t="shared" si="8"/>
        <v>-37122772</v>
      </c>
      <c r="V50" s="76">
        <f t="shared" si="9"/>
        <v>-0.46966662801568582</v>
      </c>
      <c r="W50" s="24">
        <f>SUM(W48:W49)</f>
        <v>158781112.5</v>
      </c>
      <c r="X50" s="23">
        <f t="shared" si="10"/>
        <v>-116863199.5</v>
      </c>
      <c r="Y50" s="75">
        <f t="shared" si="11"/>
        <v>-0.73600189380207293</v>
      </c>
      <c r="Z50" s="27">
        <f>SUM(Z48:Z49)</f>
        <v>0</v>
      </c>
      <c r="AA50" s="26">
        <f>SUM(AA48:AA49)</f>
        <v>13290071.25</v>
      </c>
      <c r="AB50" s="23">
        <f t="shared" si="12"/>
        <v>-13290071.25</v>
      </c>
      <c r="AC50" s="76">
        <f t="shared" si="13"/>
        <v>-1</v>
      </c>
      <c r="AD50" s="24">
        <f>SUM(AD48:AD49)</f>
        <v>41917913</v>
      </c>
      <c r="AE50" s="24">
        <f>SUM(AE48:AE49)</f>
        <v>79040685</v>
      </c>
      <c r="AF50" s="23">
        <f t="shared" si="14"/>
        <v>-37122772</v>
      </c>
      <c r="AG50" s="76">
        <f t="shared" si="15"/>
        <v>-0.46966662801568582</v>
      </c>
      <c r="AH50" s="24">
        <f>SUM(AH48:AH49)</f>
        <v>158781112.5</v>
      </c>
      <c r="AI50" s="23">
        <f t="shared" si="16"/>
        <v>-116863199.5</v>
      </c>
      <c r="AJ50" s="75">
        <f t="shared" si="17"/>
        <v>-0.73600189380207293</v>
      </c>
      <c r="AK50" s="27">
        <f>SUM(AK48:AK49)</f>
        <v>0</v>
      </c>
      <c r="AL50" s="26">
        <f>SUM(AL48:AL49)</f>
        <v>13290071.25</v>
      </c>
      <c r="AM50" s="23">
        <f t="shared" si="18"/>
        <v>-13290071.25</v>
      </c>
      <c r="AN50" s="76">
        <f t="shared" si="19"/>
        <v>-1</v>
      </c>
      <c r="AO50" s="24">
        <f>SUM(AO48:AO49)</f>
        <v>41917913</v>
      </c>
      <c r="AP50" s="24">
        <f>SUM(AP48:AP49)</f>
        <v>79040685</v>
      </c>
      <c r="AQ50" s="23">
        <f t="shared" si="20"/>
        <v>-37122772</v>
      </c>
      <c r="AR50" s="76">
        <f t="shared" si="21"/>
        <v>-0.46966662801568582</v>
      </c>
      <c r="AS50" s="24">
        <f>SUM(AS48:AS49)</f>
        <v>158781112.5</v>
      </c>
      <c r="AT50" s="23">
        <f t="shared" si="22"/>
        <v>-116863199.5</v>
      </c>
      <c r="AU50" s="75">
        <f t="shared" si="23"/>
        <v>-0.73600189380207293</v>
      </c>
      <c r="AV50" s="27">
        <f>SUM(AV48:AV49)</f>
        <v>0</v>
      </c>
      <c r="AW50" s="26">
        <f>SUM(AW48:AW49)</f>
        <v>13290071.25</v>
      </c>
      <c r="AX50" s="23">
        <f t="shared" si="24"/>
        <v>-13290071.25</v>
      </c>
      <c r="AY50" s="76">
        <f t="shared" si="25"/>
        <v>-1</v>
      </c>
      <c r="AZ50" s="24">
        <f>SUM(AZ48:AZ49)</f>
        <v>41917913</v>
      </c>
      <c r="BA50" s="24">
        <f>SUM(BA48:BA49)</f>
        <v>79040685</v>
      </c>
      <c r="BB50" s="23">
        <f t="shared" si="26"/>
        <v>-37122772</v>
      </c>
      <c r="BC50" s="76">
        <f t="shared" si="27"/>
        <v>-0.46966662801568582</v>
      </c>
      <c r="BD50" s="24">
        <f>SUM(BD48:BD49)</f>
        <v>158781112.5</v>
      </c>
      <c r="BE50" s="23">
        <f t="shared" si="28"/>
        <v>-116863199.5</v>
      </c>
      <c r="BF50" s="75">
        <f t="shared" si="29"/>
        <v>-0.73600189380207293</v>
      </c>
      <c r="BG50" s="27">
        <f>SUM(BG48:BG49)</f>
        <v>0</v>
      </c>
      <c r="BH50" s="26">
        <f>SUM(BH48:BH49)</f>
        <v>13290071.25</v>
      </c>
      <c r="BI50" s="23">
        <f t="shared" si="30"/>
        <v>-13290071.25</v>
      </c>
      <c r="BJ50" s="76">
        <f t="shared" si="31"/>
        <v>-1</v>
      </c>
      <c r="BK50" s="24">
        <f>SUM(BK48:BK49)</f>
        <v>41917913</v>
      </c>
      <c r="BL50" s="24">
        <f>SUM(BL48:BL49)</f>
        <v>79040685</v>
      </c>
      <c r="BM50" s="23">
        <f t="shared" si="32"/>
        <v>-37122772</v>
      </c>
      <c r="BN50" s="76">
        <f t="shared" si="33"/>
        <v>-0.46966662801568582</v>
      </c>
      <c r="BO50" s="24">
        <f>SUM(BO48:BO49)</f>
        <v>158781112.5</v>
      </c>
      <c r="BP50" s="23">
        <f t="shared" si="34"/>
        <v>-116863199.5</v>
      </c>
      <c r="BQ50" s="75">
        <f t="shared" si="35"/>
        <v>-0.73600189380207293</v>
      </c>
      <c r="BR50" s="27">
        <f>SUM(BR48:BR49)</f>
        <v>0</v>
      </c>
      <c r="BS50" s="26">
        <f>SUM(BS48:BS49)</f>
        <v>13290071.25</v>
      </c>
      <c r="BT50" s="23">
        <f t="shared" si="36"/>
        <v>-13290071.25</v>
      </c>
      <c r="BU50" s="76">
        <f t="shared" si="37"/>
        <v>-1</v>
      </c>
      <c r="BV50" s="24">
        <f>SUM(BV48:BV49)</f>
        <v>41917913</v>
      </c>
      <c r="BW50" s="24">
        <f>SUM(BW48:BW49)</f>
        <v>79040685</v>
      </c>
      <c r="BX50" s="23">
        <f t="shared" si="38"/>
        <v>-37122772</v>
      </c>
      <c r="BY50" s="76">
        <f t="shared" si="39"/>
        <v>-0.46966662801568582</v>
      </c>
      <c r="BZ50" s="24">
        <f>SUM(BZ48:BZ49)</f>
        <v>158781112.5</v>
      </c>
      <c r="CA50" s="23">
        <f t="shared" si="40"/>
        <v>-116863199.5</v>
      </c>
      <c r="CB50" s="75">
        <f t="shared" si="41"/>
        <v>-0.73600189380207293</v>
      </c>
      <c r="CC50" s="27">
        <f>SUM(CC48:CC49)</f>
        <v>0</v>
      </c>
      <c r="CD50" s="26">
        <f>SUM(CD48:CD49)</f>
        <v>13290071.25</v>
      </c>
      <c r="CE50" s="23">
        <f t="shared" si="42"/>
        <v>-13290071.25</v>
      </c>
      <c r="CF50" s="76">
        <f t="shared" si="43"/>
        <v>-1</v>
      </c>
      <c r="CG50" s="24">
        <f>SUM(CG48:CG49)</f>
        <v>41917913</v>
      </c>
      <c r="CH50" s="24">
        <f>SUM(CH48:CH49)</f>
        <v>79040685</v>
      </c>
      <c r="CI50" s="23">
        <f t="shared" si="44"/>
        <v>-37122772</v>
      </c>
      <c r="CJ50" s="76">
        <f t="shared" si="45"/>
        <v>-0.46966662801568582</v>
      </c>
      <c r="CK50" s="24">
        <f>SUM(CK48:CK49)</f>
        <v>158781112.5</v>
      </c>
      <c r="CL50" s="23">
        <f t="shared" si="46"/>
        <v>-116863199.5</v>
      </c>
      <c r="CM50" s="75">
        <f t="shared" si="47"/>
        <v>-0.73600189380207293</v>
      </c>
      <c r="CN50" s="27">
        <f>SUM(CN48:CN49)</f>
        <v>0</v>
      </c>
      <c r="CO50" s="26">
        <f>SUM(CO48:CO49)</f>
        <v>13290071.25</v>
      </c>
      <c r="CP50" s="23">
        <f t="shared" si="48"/>
        <v>-13290071.25</v>
      </c>
      <c r="CQ50" s="76">
        <f t="shared" si="49"/>
        <v>-1</v>
      </c>
      <c r="CR50" s="24">
        <f>SUM(CR48:CR49)</f>
        <v>41917913</v>
      </c>
      <c r="CS50" s="24">
        <f>SUM(CS48:CS49)</f>
        <v>79040685</v>
      </c>
      <c r="CT50" s="23">
        <f t="shared" si="50"/>
        <v>-37122772</v>
      </c>
      <c r="CU50" s="76">
        <f t="shared" si="51"/>
        <v>-0.46966662801568582</v>
      </c>
      <c r="CV50" s="24">
        <f>SUM(CV48:CV49)</f>
        <v>158781112.5</v>
      </c>
      <c r="CW50" s="23">
        <f t="shared" si="52"/>
        <v>-116863199.5</v>
      </c>
      <c r="CX50" s="75">
        <f t="shared" si="53"/>
        <v>-0.73600189380207293</v>
      </c>
      <c r="CY50" s="27">
        <f>SUM(CY48:CY49)</f>
        <v>0</v>
      </c>
      <c r="CZ50" s="26">
        <f>SUM(CZ48:CZ49)</f>
        <v>13290071.25</v>
      </c>
      <c r="DA50" s="23">
        <f t="shared" si="54"/>
        <v>-13290071.25</v>
      </c>
      <c r="DB50" s="76">
        <f t="shared" si="55"/>
        <v>-1</v>
      </c>
      <c r="DC50" s="24">
        <f>SUM(DC48:DC49)</f>
        <v>41917913</v>
      </c>
      <c r="DD50" s="24">
        <f>SUM(DD48:DD49)</f>
        <v>79040685</v>
      </c>
      <c r="DE50" s="23">
        <f t="shared" si="56"/>
        <v>-37122772</v>
      </c>
      <c r="DF50" s="76">
        <f t="shared" si="57"/>
        <v>-0.46966662801568582</v>
      </c>
      <c r="DG50" s="24">
        <f>SUM(DG48:DG49)</f>
        <v>158781112.5</v>
      </c>
      <c r="DH50" s="23">
        <f t="shared" si="58"/>
        <v>-116863199.5</v>
      </c>
      <c r="DI50" s="75">
        <f t="shared" si="59"/>
        <v>-0.73600189380207293</v>
      </c>
    </row>
    <row r="51" spans="1:113" s="6" customFormat="1" ht="14.45" customHeight="1" outlineLevel="1" x14ac:dyDescent="0.2">
      <c r="A51" s="30"/>
      <c r="B51" s="48" t="s">
        <v>53</v>
      </c>
      <c r="C51" s="47" t="s">
        <v>52</v>
      </c>
      <c r="D51" s="46">
        <f>D50+D47+D44</f>
        <v>13290071.25</v>
      </c>
      <c r="E51" s="45">
        <f>E50+E47+E44</f>
        <v>13290071.25</v>
      </c>
      <c r="F51" s="23">
        <f t="shared" si="0"/>
        <v>0</v>
      </c>
      <c r="G51" s="76">
        <f t="shared" si="1"/>
        <v>0</v>
      </c>
      <c r="H51" s="44">
        <f>H50+H47+H44</f>
        <v>81788126.75</v>
      </c>
      <c r="I51" s="44">
        <f>I50+I47+I44</f>
        <v>79040685</v>
      </c>
      <c r="J51" s="23">
        <f t="shared" si="2"/>
        <v>2747441.75</v>
      </c>
      <c r="K51" s="76">
        <f t="shared" si="3"/>
        <v>3.4759842352074743E-2</v>
      </c>
      <c r="L51" s="44">
        <f>L50+L47+L44</f>
        <v>158781112.5</v>
      </c>
      <c r="M51" s="23">
        <f t="shared" si="4"/>
        <v>-76992985.75</v>
      </c>
      <c r="N51" s="75">
        <f t="shared" si="5"/>
        <v>-0.48490015303300005</v>
      </c>
      <c r="O51" s="46">
        <f>O50+O47+O44</f>
        <v>13290071.25</v>
      </c>
      <c r="P51" s="45">
        <f>P50+P47+P44</f>
        <v>13290071.25</v>
      </c>
      <c r="Q51" s="23">
        <f t="shared" si="6"/>
        <v>0</v>
      </c>
      <c r="R51" s="76">
        <f t="shared" si="7"/>
        <v>0</v>
      </c>
      <c r="S51" s="44">
        <f>S50+S47+S44</f>
        <v>81788126.75</v>
      </c>
      <c r="T51" s="44">
        <f>T50+T47+T44</f>
        <v>79040685</v>
      </c>
      <c r="U51" s="23">
        <f t="shared" si="8"/>
        <v>2747441.75</v>
      </c>
      <c r="V51" s="76">
        <f t="shared" si="9"/>
        <v>3.4759842352074743E-2</v>
      </c>
      <c r="W51" s="44">
        <f>W50+W47+W44</f>
        <v>158781112.5</v>
      </c>
      <c r="X51" s="23">
        <f t="shared" si="10"/>
        <v>-76992985.75</v>
      </c>
      <c r="Y51" s="75">
        <f t="shared" si="11"/>
        <v>-0.48490015303300005</v>
      </c>
      <c r="Z51" s="46">
        <f>Z50+Z47+Z44</f>
        <v>13290071.25</v>
      </c>
      <c r="AA51" s="45">
        <f>AA50+AA47+AA44</f>
        <v>13290071.25</v>
      </c>
      <c r="AB51" s="23">
        <f t="shared" si="12"/>
        <v>0</v>
      </c>
      <c r="AC51" s="76">
        <f t="shared" si="13"/>
        <v>0</v>
      </c>
      <c r="AD51" s="44">
        <f>AD50+AD47+AD44</f>
        <v>81788126.75</v>
      </c>
      <c r="AE51" s="44">
        <f>AE50+AE47+AE44</f>
        <v>79040685</v>
      </c>
      <c r="AF51" s="23">
        <f t="shared" si="14"/>
        <v>2747441.75</v>
      </c>
      <c r="AG51" s="76">
        <f t="shared" si="15"/>
        <v>3.4759842352074743E-2</v>
      </c>
      <c r="AH51" s="44">
        <f>AH50+AH47+AH44</f>
        <v>158781112.5</v>
      </c>
      <c r="AI51" s="23">
        <f t="shared" si="16"/>
        <v>-76992985.75</v>
      </c>
      <c r="AJ51" s="75">
        <f t="shared" si="17"/>
        <v>-0.48490015303300005</v>
      </c>
      <c r="AK51" s="46">
        <f>AK50+AK47+AK44</f>
        <v>13290071.25</v>
      </c>
      <c r="AL51" s="45">
        <f>AL50+AL47+AL44</f>
        <v>13290071.25</v>
      </c>
      <c r="AM51" s="23">
        <f t="shared" si="18"/>
        <v>0</v>
      </c>
      <c r="AN51" s="76">
        <f t="shared" si="19"/>
        <v>0</v>
      </c>
      <c r="AO51" s="44">
        <f>AO50+AO47+AO44</f>
        <v>81788126.75</v>
      </c>
      <c r="AP51" s="44">
        <f>AP50+AP47+AP44</f>
        <v>79040685</v>
      </c>
      <c r="AQ51" s="23">
        <f t="shared" si="20"/>
        <v>2747441.75</v>
      </c>
      <c r="AR51" s="76">
        <f t="shared" si="21"/>
        <v>3.4759842352074743E-2</v>
      </c>
      <c r="AS51" s="44">
        <f>AS50+AS47+AS44</f>
        <v>158781112.5</v>
      </c>
      <c r="AT51" s="23">
        <f t="shared" si="22"/>
        <v>-76992985.75</v>
      </c>
      <c r="AU51" s="75">
        <f t="shared" si="23"/>
        <v>-0.48490015303300005</v>
      </c>
      <c r="AV51" s="46">
        <f>AV50+AV47+AV44</f>
        <v>13290071.25</v>
      </c>
      <c r="AW51" s="45">
        <f>AW50+AW47+AW44</f>
        <v>13290071.25</v>
      </c>
      <c r="AX51" s="23">
        <f t="shared" si="24"/>
        <v>0</v>
      </c>
      <c r="AY51" s="76">
        <f t="shared" si="25"/>
        <v>0</v>
      </c>
      <c r="AZ51" s="44">
        <f>AZ50+AZ47+AZ44</f>
        <v>81788126.75</v>
      </c>
      <c r="BA51" s="44">
        <f>BA50+BA47+BA44</f>
        <v>79040685</v>
      </c>
      <c r="BB51" s="23">
        <f t="shared" si="26"/>
        <v>2747441.75</v>
      </c>
      <c r="BC51" s="76">
        <f t="shared" si="27"/>
        <v>3.4759842352074743E-2</v>
      </c>
      <c r="BD51" s="44">
        <f>BD50+BD47+BD44</f>
        <v>158781112.5</v>
      </c>
      <c r="BE51" s="23">
        <f t="shared" si="28"/>
        <v>-76992985.75</v>
      </c>
      <c r="BF51" s="75">
        <f t="shared" si="29"/>
        <v>-0.48490015303300005</v>
      </c>
      <c r="BG51" s="46">
        <f>BG50+BG47+BG44</f>
        <v>13290071.25</v>
      </c>
      <c r="BH51" s="45">
        <f>BH50+BH47+BH44</f>
        <v>13290071.25</v>
      </c>
      <c r="BI51" s="23">
        <f t="shared" si="30"/>
        <v>0</v>
      </c>
      <c r="BJ51" s="76">
        <f t="shared" si="31"/>
        <v>0</v>
      </c>
      <c r="BK51" s="44">
        <f>BK50+BK47+BK44</f>
        <v>81788126.75</v>
      </c>
      <c r="BL51" s="44">
        <f>BL50+BL47+BL44</f>
        <v>79040685</v>
      </c>
      <c r="BM51" s="23">
        <f t="shared" si="32"/>
        <v>2747441.75</v>
      </c>
      <c r="BN51" s="76">
        <f t="shared" si="33"/>
        <v>3.4759842352074743E-2</v>
      </c>
      <c r="BO51" s="44">
        <f>BO50+BO47+BO44</f>
        <v>158781112.5</v>
      </c>
      <c r="BP51" s="23">
        <f t="shared" si="34"/>
        <v>-76992985.75</v>
      </c>
      <c r="BQ51" s="75">
        <f t="shared" si="35"/>
        <v>-0.48490015303300005</v>
      </c>
      <c r="BR51" s="46">
        <f>BR50+BR47+BR44</f>
        <v>13290071.25</v>
      </c>
      <c r="BS51" s="45">
        <f>BS50+BS47+BS44</f>
        <v>13290071.25</v>
      </c>
      <c r="BT51" s="23">
        <f t="shared" si="36"/>
        <v>0</v>
      </c>
      <c r="BU51" s="76">
        <f t="shared" si="37"/>
        <v>0</v>
      </c>
      <c r="BV51" s="44">
        <f>BV50+BV47+BV44</f>
        <v>81788126.75</v>
      </c>
      <c r="BW51" s="44">
        <f>BW50+BW47+BW44</f>
        <v>79040685</v>
      </c>
      <c r="BX51" s="23">
        <f t="shared" si="38"/>
        <v>2747441.75</v>
      </c>
      <c r="BY51" s="76">
        <f t="shared" si="39"/>
        <v>3.4759842352074743E-2</v>
      </c>
      <c r="BZ51" s="44">
        <f>BZ50+BZ47+BZ44</f>
        <v>158781112.5</v>
      </c>
      <c r="CA51" s="23">
        <f t="shared" si="40"/>
        <v>-76992985.75</v>
      </c>
      <c r="CB51" s="75">
        <f t="shared" si="41"/>
        <v>-0.48490015303300005</v>
      </c>
      <c r="CC51" s="46">
        <f>CC50+CC47+CC44</f>
        <v>13290071.25</v>
      </c>
      <c r="CD51" s="45">
        <f>CD50+CD47+CD44</f>
        <v>13290071.25</v>
      </c>
      <c r="CE51" s="23">
        <f t="shared" si="42"/>
        <v>0</v>
      </c>
      <c r="CF51" s="76">
        <f t="shared" si="43"/>
        <v>0</v>
      </c>
      <c r="CG51" s="44">
        <f>CG50+CG47+CG44</f>
        <v>81788126.75</v>
      </c>
      <c r="CH51" s="44">
        <f>CH50+CH47+CH44</f>
        <v>79040685</v>
      </c>
      <c r="CI51" s="23">
        <f t="shared" si="44"/>
        <v>2747441.75</v>
      </c>
      <c r="CJ51" s="76">
        <f t="shared" si="45"/>
        <v>3.4759842352074743E-2</v>
      </c>
      <c r="CK51" s="44">
        <f>CK50+CK47+CK44</f>
        <v>158781112.5</v>
      </c>
      <c r="CL51" s="23">
        <f t="shared" si="46"/>
        <v>-76992985.75</v>
      </c>
      <c r="CM51" s="75">
        <f t="shared" si="47"/>
        <v>-0.48490015303300005</v>
      </c>
      <c r="CN51" s="46">
        <f>CN50+CN47+CN44</f>
        <v>13290071.25</v>
      </c>
      <c r="CO51" s="45">
        <f>CO50+CO47+CO44</f>
        <v>13290071.25</v>
      </c>
      <c r="CP51" s="23">
        <f t="shared" si="48"/>
        <v>0</v>
      </c>
      <c r="CQ51" s="76">
        <f t="shared" si="49"/>
        <v>0</v>
      </c>
      <c r="CR51" s="44">
        <f>CR50+CR47+CR44</f>
        <v>81788126.75</v>
      </c>
      <c r="CS51" s="44">
        <f>CS50+CS47+CS44</f>
        <v>79040685</v>
      </c>
      <c r="CT51" s="23">
        <f t="shared" si="50"/>
        <v>2747441.75</v>
      </c>
      <c r="CU51" s="76">
        <f t="shared" si="51"/>
        <v>3.4759842352074743E-2</v>
      </c>
      <c r="CV51" s="44">
        <f>CV50+CV47+CV44</f>
        <v>158781112.5</v>
      </c>
      <c r="CW51" s="23">
        <f t="shared" si="52"/>
        <v>-76992985.75</v>
      </c>
      <c r="CX51" s="75">
        <f t="shared" si="53"/>
        <v>-0.48490015303300005</v>
      </c>
      <c r="CY51" s="46">
        <f>CY50+CY47+CY44</f>
        <v>13290071.25</v>
      </c>
      <c r="CZ51" s="45">
        <f>CZ50+CZ47+CZ44</f>
        <v>13290071.25</v>
      </c>
      <c r="DA51" s="23">
        <f t="shared" si="54"/>
        <v>0</v>
      </c>
      <c r="DB51" s="76">
        <f t="shared" si="55"/>
        <v>0</v>
      </c>
      <c r="DC51" s="44">
        <f>DC50+DC47+DC44</f>
        <v>81788126.75</v>
      </c>
      <c r="DD51" s="44">
        <f>DD50+DD47+DD44</f>
        <v>79040685</v>
      </c>
      <c r="DE51" s="23">
        <f t="shared" si="56"/>
        <v>2747441.75</v>
      </c>
      <c r="DF51" s="76">
        <f t="shared" si="57"/>
        <v>3.4759842352074743E-2</v>
      </c>
      <c r="DG51" s="44">
        <f>DG50+DG47+DG44</f>
        <v>158781112.5</v>
      </c>
      <c r="DH51" s="23">
        <f t="shared" si="58"/>
        <v>-76992985.75</v>
      </c>
      <c r="DI51" s="75">
        <f t="shared" si="59"/>
        <v>-0.48490015303300005</v>
      </c>
    </row>
    <row r="52" spans="1:113" s="6" customFormat="1" ht="15.75" customHeight="1" x14ac:dyDescent="0.2">
      <c r="B52" s="21" t="s">
        <v>51</v>
      </c>
      <c r="C52" s="20" t="s">
        <v>50</v>
      </c>
      <c r="D52" s="19">
        <f>D51+D41+D28+D25</f>
        <v>254382240.87</v>
      </c>
      <c r="E52" s="18">
        <f>E51+E41+E28+E25</f>
        <v>240651579.37692353</v>
      </c>
      <c r="F52" s="15">
        <f t="shared" si="0"/>
        <v>13730661.493076473</v>
      </c>
      <c r="G52" s="74">
        <f t="shared" si="1"/>
        <v>5.7056186909833828E-2</v>
      </c>
      <c r="H52" s="16">
        <f>H51+H41+H28+H25</f>
        <v>1678786792.1500001</v>
      </c>
      <c r="I52" s="16">
        <f>I51+I41+I28+I25</f>
        <v>1433415197.9122353</v>
      </c>
      <c r="J52" s="15">
        <f t="shared" si="2"/>
        <v>245371594.23776484</v>
      </c>
      <c r="K52" s="74">
        <f t="shared" si="3"/>
        <v>0.17117970745332389</v>
      </c>
      <c r="L52" s="16">
        <f>L51+L41+L28+L25</f>
        <v>2877324674.1737766</v>
      </c>
      <c r="M52" s="15">
        <f t="shared" si="4"/>
        <v>-1198537882.0237765</v>
      </c>
      <c r="N52" s="73">
        <f t="shared" si="5"/>
        <v>-0.41654592989855638</v>
      </c>
      <c r="O52" s="19">
        <f>O51+O41+O28+O25</f>
        <v>254382240.87</v>
      </c>
      <c r="P52" s="18">
        <f>P51+P41+P28+P25</f>
        <v>240651579.37692353</v>
      </c>
      <c r="Q52" s="15">
        <f t="shared" si="6"/>
        <v>13730661.493076473</v>
      </c>
      <c r="R52" s="74">
        <f t="shared" si="7"/>
        <v>5.7056186909833828E-2</v>
      </c>
      <c r="S52" s="16">
        <f>S51+S41+S28+S25</f>
        <v>1678786792.1500001</v>
      </c>
      <c r="T52" s="16">
        <f>T51+T41+T28+T25</f>
        <v>1433415197.9122353</v>
      </c>
      <c r="U52" s="15">
        <f t="shared" si="8"/>
        <v>245371594.23776484</v>
      </c>
      <c r="V52" s="74">
        <f t="shared" si="9"/>
        <v>0.17117970745332389</v>
      </c>
      <c r="W52" s="16">
        <f>W51+W41+W28+W25</f>
        <v>2877324674.1737766</v>
      </c>
      <c r="X52" s="15">
        <f t="shared" si="10"/>
        <v>-1198537882.0237765</v>
      </c>
      <c r="Y52" s="73">
        <f t="shared" si="11"/>
        <v>-0.41654592989855638</v>
      </c>
      <c r="Z52" s="19">
        <f>Z51+Z41+Z28+Z25</f>
        <v>254382240.87</v>
      </c>
      <c r="AA52" s="18">
        <f>AA51+AA41+AA28+AA25</f>
        <v>240651579.37692353</v>
      </c>
      <c r="AB52" s="15">
        <f t="shared" si="12"/>
        <v>13730661.493076473</v>
      </c>
      <c r="AC52" s="74">
        <f t="shared" si="13"/>
        <v>5.7056186909833828E-2</v>
      </c>
      <c r="AD52" s="16">
        <f>AD51+AD41+AD28+AD25</f>
        <v>1678786792.1500001</v>
      </c>
      <c r="AE52" s="16">
        <f>AE51+AE41+AE28+AE25</f>
        <v>1433415197.9122353</v>
      </c>
      <c r="AF52" s="15">
        <f t="shared" si="14"/>
        <v>245371594.23776484</v>
      </c>
      <c r="AG52" s="74">
        <f t="shared" si="15"/>
        <v>0.17117970745332389</v>
      </c>
      <c r="AH52" s="16">
        <f>AH51+AH41+AH28+AH25</f>
        <v>2877324674.1737766</v>
      </c>
      <c r="AI52" s="15">
        <f t="shared" si="16"/>
        <v>-1198537882.0237765</v>
      </c>
      <c r="AJ52" s="73">
        <f t="shared" si="17"/>
        <v>-0.41654592989855638</v>
      </c>
      <c r="AK52" s="19">
        <f>AK51+AK41+AK28+AK25</f>
        <v>254382240.87</v>
      </c>
      <c r="AL52" s="18">
        <f>AL51+AL41+AL28+AL25</f>
        <v>240651579.37692353</v>
      </c>
      <c r="AM52" s="15">
        <f t="shared" si="18"/>
        <v>13730661.493076473</v>
      </c>
      <c r="AN52" s="74">
        <f t="shared" si="19"/>
        <v>5.7056186909833828E-2</v>
      </c>
      <c r="AO52" s="16">
        <f>AO51+AO41+AO28+AO25</f>
        <v>1678786792.1500001</v>
      </c>
      <c r="AP52" s="16">
        <f>AP51+AP41+AP28+AP25</f>
        <v>1433415197.9122353</v>
      </c>
      <c r="AQ52" s="15">
        <f t="shared" si="20"/>
        <v>245371594.23776484</v>
      </c>
      <c r="AR52" s="74">
        <f t="shared" si="21"/>
        <v>0.17117970745332389</v>
      </c>
      <c r="AS52" s="16">
        <f>AS51+AS41+AS28+AS25</f>
        <v>2877324674.1737766</v>
      </c>
      <c r="AT52" s="15">
        <f t="shared" si="22"/>
        <v>-1198537882.0237765</v>
      </c>
      <c r="AU52" s="73">
        <f t="shared" si="23"/>
        <v>-0.41654592989855638</v>
      </c>
      <c r="AV52" s="19">
        <f>AV51+AV41+AV28+AV25</f>
        <v>254382240.87</v>
      </c>
      <c r="AW52" s="18">
        <f>AW51+AW41+AW28+AW25</f>
        <v>240651579.37692353</v>
      </c>
      <c r="AX52" s="15">
        <f t="shared" si="24"/>
        <v>13730661.493076473</v>
      </c>
      <c r="AY52" s="74">
        <f t="shared" si="25"/>
        <v>5.7056186909833828E-2</v>
      </c>
      <c r="AZ52" s="16">
        <f>AZ51+AZ41+AZ28+AZ25</f>
        <v>1678786792.1500001</v>
      </c>
      <c r="BA52" s="16">
        <f>BA51+BA41+BA28+BA25</f>
        <v>1433415197.9122353</v>
      </c>
      <c r="BB52" s="15">
        <f t="shared" si="26"/>
        <v>245371594.23776484</v>
      </c>
      <c r="BC52" s="74">
        <f t="shared" si="27"/>
        <v>0.17117970745332389</v>
      </c>
      <c r="BD52" s="16">
        <f>BD51+BD41+BD28+BD25</f>
        <v>2877324674.1737766</v>
      </c>
      <c r="BE52" s="15">
        <f t="shared" si="28"/>
        <v>-1198537882.0237765</v>
      </c>
      <c r="BF52" s="73">
        <f t="shared" si="29"/>
        <v>-0.41654592989855638</v>
      </c>
      <c r="BG52" s="19">
        <f>BG51+BG41+BG28+BG25</f>
        <v>254382240.87</v>
      </c>
      <c r="BH52" s="18">
        <f>BH51+BH41+BH28+BH25</f>
        <v>240651579.37692353</v>
      </c>
      <c r="BI52" s="15">
        <f t="shared" si="30"/>
        <v>13730661.493076473</v>
      </c>
      <c r="BJ52" s="74">
        <f t="shared" si="31"/>
        <v>5.7056186909833828E-2</v>
      </c>
      <c r="BK52" s="16">
        <f>BK51+BK41+BK28+BK25</f>
        <v>1678786792.1500001</v>
      </c>
      <c r="BL52" s="16">
        <f>BL51+BL41+BL28+BL25</f>
        <v>1433415197.9122353</v>
      </c>
      <c r="BM52" s="15">
        <f t="shared" si="32"/>
        <v>245371594.23776484</v>
      </c>
      <c r="BN52" s="74">
        <f t="shared" si="33"/>
        <v>0.17117970745332389</v>
      </c>
      <c r="BO52" s="16">
        <f>BO51+BO41+BO28+BO25</f>
        <v>2877324674.1737766</v>
      </c>
      <c r="BP52" s="15">
        <f t="shared" si="34"/>
        <v>-1198537882.0237765</v>
      </c>
      <c r="BQ52" s="73">
        <f t="shared" si="35"/>
        <v>-0.41654592989855638</v>
      </c>
      <c r="BR52" s="19">
        <f>BR51+BR41+BR28+BR25</f>
        <v>254382240.87</v>
      </c>
      <c r="BS52" s="18">
        <f>BS51+BS41+BS28+BS25</f>
        <v>240651579.37692353</v>
      </c>
      <c r="BT52" s="15">
        <f t="shared" si="36"/>
        <v>13730661.493076473</v>
      </c>
      <c r="BU52" s="74">
        <f t="shared" si="37"/>
        <v>5.7056186909833828E-2</v>
      </c>
      <c r="BV52" s="16">
        <f>BV51+BV41+BV28+BV25</f>
        <v>1678786792.1500001</v>
      </c>
      <c r="BW52" s="16">
        <f>BW51+BW41+BW28+BW25</f>
        <v>1433415197.9122353</v>
      </c>
      <c r="BX52" s="15">
        <f t="shared" si="38"/>
        <v>245371594.23776484</v>
      </c>
      <c r="BY52" s="74">
        <f t="shared" si="39"/>
        <v>0.17117970745332389</v>
      </c>
      <c r="BZ52" s="16">
        <f>BZ51+BZ41+BZ28+BZ25</f>
        <v>2877324674.1737766</v>
      </c>
      <c r="CA52" s="15">
        <f t="shared" si="40"/>
        <v>-1198537882.0237765</v>
      </c>
      <c r="CB52" s="73">
        <f t="shared" si="41"/>
        <v>-0.41654592989855638</v>
      </c>
      <c r="CC52" s="19">
        <f>CC51+CC41+CC28+CC25</f>
        <v>254382240.87</v>
      </c>
      <c r="CD52" s="18">
        <f>CD51+CD41+CD28+CD25</f>
        <v>240651579.37692353</v>
      </c>
      <c r="CE52" s="15">
        <f t="shared" si="42"/>
        <v>13730661.493076473</v>
      </c>
      <c r="CF52" s="74">
        <f t="shared" si="43"/>
        <v>5.7056186909833828E-2</v>
      </c>
      <c r="CG52" s="16">
        <f>CG51+CG41+CG28+CG25</f>
        <v>1678786792.1500001</v>
      </c>
      <c r="CH52" s="16">
        <f>CH51+CH41+CH28+CH25</f>
        <v>1433415197.9122353</v>
      </c>
      <c r="CI52" s="15">
        <f t="shared" si="44"/>
        <v>245371594.23776484</v>
      </c>
      <c r="CJ52" s="74">
        <f t="shared" si="45"/>
        <v>0.17117970745332389</v>
      </c>
      <c r="CK52" s="16">
        <f>CK51+CK41+CK28+CK25</f>
        <v>2877324674.1737766</v>
      </c>
      <c r="CL52" s="15">
        <f t="shared" si="46"/>
        <v>-1198537882.0237765</v>
      </c>
      <c r="CM52" s="73">
        <f t="shared" si="47"/>
        <v>-0.41654592989855638</v>
      </c>
      <c r="CN52" s="19">
        <f>CN51+CN41+CN28+CN25</f>
        <v>254382240.87</v>
      </c>
      <c r="CO52" s="18">
        <f>CO51+CO41+CO28+CO25</f>
        <v>240651579.37692353</v>
      </c>
      <c r="CP52" s="15">
        <f t="shared" si="48"/>
        <v>13730661.493076473</v>
      </c>
      <c r="CQ52" s="74">
        <f t="shared" si="49"/>
        <v>5.7056186909833828E-2</v>
      </c>
      <c r="CR52" s="16">
        <f>CR51+CR41+CR28+CR25</f>
        <v>1678786792.1500001</v>
      </c>
      <c r="CS52" s="16">
        <f>CS51+CS41+CS28+CS25</f>
        <v>1433415197.9122353</v>
      </c>
      <c r="CT52" s="15">
        <f t="shared" si="50"/>
        <v>245371594.23776484</v>
      </c>
      <c r="CU52" s="74">
        <f t="shared" si="51"/>
        <v>0.17117970745332389</v>
      </c>
      <c r="CV52" s="16">
        <f>CV51+CV41+CV28+CV25</f>
        <v>2877324674.1737766</v>
      </c>
      <c r="CW52" s="15">
        <f t="shared" si="52"/>
        <v>-1198537882.0237765</v>
      </c>
      <c r="CX52" s="73">
        <f t="shared" si="53"/>
        <v>-0.41654592989855638</v>
      </c>
      <c r="CY52" s="19">
        <f>CY51+CY41+CY28+CY25</f>
        <v>254382240.87</v>
      </c>
      <c r="CZ52" s="18">
        <f>CZ51+CZ41+CZ28+CZ25</f>
        <v>240651579.37692353</v>
      </c>
      <c r="DA52" s="15">
        <f t="shared" si="54"/>
        <v>13730661.493076473</v>
      </c>
      <c r="DB52" s="74">
        <f t="shared" si="55"/>
        <v>5.7056186909833828E-2</v>
      </c>
      <c r="DC52" s="16">
        <f>DC51+DC41+DC28+DC25</f>
        <v>1678786792.1500001</v>
      </c>
      <c r="DD52" s="16">
        <f>DD51+DD41+DD28+DD25</f>
        <v>1433415197.9122353</v>
      </c>
      <c r="DE52" s="15">
        <f t="shared" si="56"/>
        <v>245371594.23776484</v>
      </c>
      <c r="DF52" s="74">
        <f t="shared" si="57"/>
        <v>0.17117970745332389</v>
      </c>
      <c r="DG52" s="16">
        <f>DG51+DG41+DG28+DG25</f>
        <v>2877324674.1737766</v>
      </c>
      <c r="DH52" s="15">
        <f t="shared" si="58"/>
        <v>-1198537882.0237765</v>
      </c>
      <c r="DI52" s="73">
        <f t="shared" si="59"/>
        <v>-0.41654592989855638</v>
      </c>
    </row>
    <row r="53" spans="1:113" ht="12.75" customHeight="1" outlineLevel="3" x14ac:dyDescent="0.2">
      <c r="B53" s="38" t="s">
        <v>45</v>
      </c>
      <c r="C53" s="37" t="s">
        <v>44</v>
      </c>
      <c r="D53" s="36">
        <v>0</v>
      </c>
      <c r="E53" s="40">
        <v>0</v>
      </c>
      <c r="F53" s="32">
        <f t="shared" si="0"/>
        <v>0</v>
      </c>
      <c r="G53" s="78" t="str">
        <f t="shared" si="1"/>
        <v>-</v>
      </c>
      <c r="H53" s="33">
        <v>0</v>
      </c>
      <c r="I53" s="33">
        <v>0</v>
      </c>
      <c r="J53" s="32">
        <f t="shared" si="2"/>
        <v>0</v>
      </c>
      <c r="K53" s="78" t="str">
        <f t="shared" si="3"/>
        <v>-</v>
      </c>
      <c r="L53" s="33">
        <v>0</v>
      </c>
      <c r="M53" s="32">
        <f t="shared" si="4"/>
        <v>0</v>
      </c>
      <c r="N53" s="77" t="str">
        <f t="shared" si="5"/>
        <v>-</v>
      </c>
      <c r="O53" s="36">
        <v>0</v>
      </c>
      <c r="P53" s="40">
        <v>0</v>
      </c>
      <c r="Q53" s="32">
        <f t="shared" si="6"/>
        <v>0</v>
      </c>
      <c r="R53" s="78" t="str">
        <f t="shared" si="7"/>
        <v>-</v>
      </c>
      <c r="S53" s="33">
        <v>0</v>
      </c>
      <c r="T53" s="33">
        <v>0</v>
      </c>
      <c r="U53" s="32">
        <f t="shared" si="8"/>
        <v>0</v>
      </c>
      <c r="V53" s="78" t="str">
        <f t="shared" si="9"/>
        <v>-</v>
      </c>
      <c r="W53" s="33">
        <v>0</v>
      </c>
      <c r="X53" s="32">
        <f t="shared" si="10"/>
        <v>0</v>
      </c>
      <c r="Y53" s="77" t="str">
        <f t="shared" si="11"/>
        <v>-</v>
      </c>
      <c r="Z53" s="36">
        <v>0</v>
      </c>
      <c r="AA53" s="40">
        <v>0</v>
      </c>
      <c r="AB53" s="32">
        <f t="shared" si="12"/>
        <v>0</v>
      </c>
      <c r="AC53" s="78" t="str">
        <f t="shared" si="13"/>
        <v>-</v>
      </c>
      <c r="AD53" s="33">
        <v>0</v>
      </c>
      <c r="AE53" s="33">
        <v>0</v>
      </c>
      <c r="AF53" s="32">
        <f t="shared" si="14"/>
        <v>0</v>
      </c>
      <c r="AG53" s="78" t="str">
        <f t="shared" si="15"/>
        <v>-</v>
      </c>
      <c r="AH53" s="33">
        <v>0</v>
      </c>
      <c r="AI53" s="32">
        <f t="shared" si="16"/>
        <v>0</v>
      </c>
      <c r="AJ53" s="77" t="str">
        <f t="shared" si="17"/>
        <v>-</v>
      </c>
      <c r="AK53" s="36">
        <v>0</v>
      </c>
      <c r="AL53" s="40">
        <v>0</v>
      </c>
      <c r="AM53" s="32">
        <f t="shared" si="18"/>
        <v>0</v>
      </c>
      <c r="AN53" s="78" t="str">
        <f t="shared" si="19"/>
        <v>-</v>
      </c>
      <c r="AO53" s="33">
        <v>0</v>
      </c>
      <c r="AP53" s="33">
        <v>0</v>
      </c>
      <c r="AQ53" s="32">
        <f t="shared" si="20"/>
        <v>0</v>
      </c>
      <c r="AR53" s="78" t="str">
        <f t="shared" si="21"/>
        <v>-</v>
      </c>
      <c r="AS53" s="33">
        <v>0</v>
      </c>
      <c r="AT53" s="32">
        <f t="shared" si="22"/>
        <v>0</v>
      </c>
      <c r="AU53" s="77" t="str">
        <f t="shared" si="23"/>
        <v>-</v>
      </c>
      <c r="AV53" s="36">
        <v>0</v>
      </c>
      <c r="AW53" s="40">
        <v>0</v>
      </c>
      <c r="AX53" s="32">
        <f t="shared" si="24"/>
        <v>0</v>
      </c>
      <c r="AY53" s="78" t="str">
        <f t="shared" si="25"/>
        <v>-</v>
      </c>
      <c r="AZ53" s="33">
        <v>0</v>
      </c>
      <c r="BA53" s="33">
        <v>0</v>
      </c>
      <c r="BB53" s="32">
        <f t="shared" si="26"/>
        <v>0</v>
      </c>
      <c r="BC53" s="78" t="str">
        <f t="shared" si="27"/>
        <v>-</v>
      </c>
      <c r="BD53" s="33">
        <v>0</v>
      </c>
      <c r="BE53" s="32">
        <f t="shared" si="28"/>
        <v>0</v>
      </c>
      <c r="BF53" s="77" t="str">
        <f t="shared" si="29"/>
        <v>-</v>
      </c>
      <c r="BG53" s="36">
        <v>0</v>
      </c>
      <c r="BH53" s="40">
        <v>0</v>
      </c>
      <c r="BI53" s="32">
        <f t="shared" si="30"/>
        <v>0</v>
      </c>
      <c r="BJ53" s="78" t="str">
        <f t="shared" si="31"/>
        <v>-</v>
      </c>
      <c r="BK53" s="33">
        <v>0</v>
      </c>
      <c r="BL53" s="33">
        <v>0</v>
      </c>
      <c r="BM53" s="32">
        <f t="shared" si="32"/>
        <v>0</v>
      </c>
      <c r="BN53" s="78" t="str">
        <f t="shared" si="33"/>
        <v>-</v>
      </c>
      <c r="BO53" s="33">
        <v>0</v>
      </c>
      <c r="BP53" s="32">
        <f t="shared" si="34"/>
        <v>0</v>
      </c>
      <c r="BQ53" s="77" t="str">
        <f t="shared" si="35"/>
        <v>-</v>
      </c>
      <c r="BR53" s="36">
        <v>0</v>
      </c>
      <c r="BS53" s="40">
        <v>0</v>
      </c>
      <c r="BT53" s="32">
        <f t="shared" si="36"/>
        <v>0</v>
      </c>
      <c r="BU53" s="78" t="str">
        <f t="shared" si="37"/>
        <v>-</v>
      </c>
      <c r="BV53" s="33">
        <v>0</v>
      </c>
      <c r="BW53" s="33">
        <v>0</v>
      </c>
      <c r="BX53" s="32">
        <f t="shared" si="38"/>
        <v>0</v>
      </c>
      <c r="BY53" s="78" t="str">
        <f t="shared" si="39"/>
        <v>-</v>
      </c>
      <c r="BZ53" s="33">
        <v>0</v>
      </c>
      <c r="CA53" s="32">
        <f t="shared" si="40"/>
        <v>0</v>
      </c>
      <c r="CB53" s="77" t="str">
        <f t="shared" si="41"/>
        <v>-</v>
      </c>
      <c r="CC53" s="36">
        <v>0</v>
      </c>
      <c r="CD53" s="40">
        <v>0</v>
      </c>
      <c r="CE53" s="32">
        <f t="shared" si="42"/>
        <v>0</v>
      </c>
      <c r="CF53" s="78" t="str">
        <f t="shared" si="43"/>
        <v>-</v>
      </c>
      <c r="CG53" s="33">
        <v>0</v>
      </c>
      <c r="CH53" s="33">
        <v>0</v>
      </c>
      <c r="CI53" s="32">
        <f t="shared" si="44"/>
        <v>0</v>
      </c>
      <c r="CJ53" s="78" t="str">
        <f t="shared" si="45"/>
        <v>-</v>
      </c>
      <c r="CK53" s="33">
        <v>0</v>
      </c>
      <c r="CL53" s="32">
        <f t="shared" si="46"/>
        <v>0</v>
      </c>
      <c r="CM53" s="77" t="str">
        <f t="shared" si="47"/>
        <v>-</v>
      </c>
      <c r="CN53" s="36">
        <v>0</v>
      </c>
      <c r="CO53" s="40">
        <v>0</v>
      </c>
      <c r="CP53" s="32">
        <f t="shared" si="48"/>
        <v>0</v>
      </c>
      <c r="CQ53" s="78" t="str">
        <f t="shared" si="49"/>
        <v>-</v>
      </c>
      <c r="CR53" s="33">
        <v>0</v>
      </c>
      <c r="CS53" s="33">
        <v>0</v>
      </c>
      <c r="CT53" s="32">
        <f t="shared" si="50"/>
        <v>0</v>
      </c>
      <c r="CU53" s="78" t="str">
        <f t="shared" si="51"/>
        <v>-</v>
      </c>
      <c r="CV53" s="33">
        <v>0</v>
      </c>
      <c r="CW53" s="32">
        <f t="shared" si="52"/>
        <v>0</v>
      </c>
      <c r="CX53" s="77" t="str">
        <f t="shared" si="53"/>
        <v>-</v>
      </c>
      <c r="CY53" s="36">
        <v>0</v>
      </c>
      <c r="CZ53" s="40">
        <v>0</v>
      </c>
      <c r="DA53" s="32">
        <f t="shared" si="54"/>
        <v>0</v>
      </c>
      <c r="DB53" s="78" t="str">
        <f t="shared" si="55"/>
        <v>-</v>
      </c>
      <c r="DC53" s="33">
        <v>0</v>
      </c>
      <c r="DD53" s="33">
        <v>0</v>
      </c>
      <c r="DE53" s="32">
        <f t="shared" si="56"/>
        <v>0</v>
      </c>
      <c r="DF53" s="78" t="str">
        <f t="shared" si="57"/>
        <v>-</v>
      </c>
      <c r="DG53" s="33">
        <v>0</v>
      </c>
      <c r="DH53" s="32">
        <f t="shared" si="58"/>
        <v>0</v>
      </c>
      <c r="DI53" s="77" t="str">
        <f t="shared" si="59"/>
        <v>-</v>
      </c>
    </row>
    <row r="54" spans="1:113" ht="12.75" customHeight="1" outlineLevel="3" x14ac:dyDescent="0.2">
      <c r="B54" s="38" t="s">
        <v>49</v>
      </c>
      <c r="C54" s="37" t="s">
        <v>48</v>
      </c>
      <c r="D54" s="36">
        <v>0</v>
      </c>
      <c r="E54" s="40">
        <v>0</v>
      </c>
      <c r="F54" s="32">
        <f t="shared" si="0"/>
        <v>0</v>
      </c>
      <c r="G54" s="78" t="str">
        <f t="shared" si="1"/>
        <v>-</v>
      </c>
      <c r="H54" s="33">
        <v>0</v>
      </c>
      <c r="I54" s="33">
        <v>0</v>
      </c>
      <c r="J54" s="32">
        <f t="shared" si="2"/>
        <v>0</v>
      </c>
      <c r="K54" s="78" t="str">
        <f t="shared" si="3"/>
        <v>-</v>
      </c>
      <c r="L54" s="33">
        <v>0</v>
      </c>
      <c r="M54" s="32">
        <f t="shared" si="4"/>
        <v>0</v>
      </c>
      <c r="N54" s="77" t="str">
        <f t="shared" si="5"/>
        <v>-</v>
      </c>
      <c r="O54" s="36">
        <v>0</v>
      </c>
      <c r="P54" s="40">
        <v>0</v>
      </c>
      <c r="Q54" s="32">
        <f t="shared" si="6"/>
        <v>0</v>
      </c>
      <c r="R54" s="78" t="str">
        <f t="shared" si="7"/>
        <v>-</v>
      </c>
      <c r="S54" s="33">
        <v>0</v>
      </c>
      <c r="T54" s="33">
        <v>0</v>
      </c>
      <c r="U54" s="32">
        <f t="shared" si="8"/>
        <v>0</v>
      </c>
      <c r="V54" s="78" t="str">
        <f t="shared" si="9"/>
        <v>-</v>
      </c>
      <c r="W54" s="33">
        <v>0</v>
      </c>
      <c r="X54" s="32">
        <f t="shared" si="10"/>
        <v>0</v>
      </c>
      <c r="Y54" s="77" t="str">
        <f t="shared" si="11"/>
        <v>-</v>
      </c>
      <c r="Z54" s="36">
        <v>0</v>
      </c>
      <c r="AA54" s="40">
        <v>0</v>
      </c>
      <c r="AB54" s="32">
        <f t="shared" si="12"/>
        <v>0</v>
      </c>
      <c r="AC54" s="78" t="str">
        <f t="shared" si="13"/>
        <v>-</v>
      </c>
      <c r="AD54" s="33">
        <v>0</v>
      </c>
      <c r="AE54" s="33">
        <v>0</v>
      </c>
      <c r="AF54" s="32">
        <f t="shared" si="14"/>
        <v>0</v>
      </c>
      <c r="AG54" s="78" t="str">
        <f t="shared" si="15"/>
        <v>-</v>
      </c>
      <c r="AH54" s="33">
        <v>0</v>
      </c>
      <c r="AI54" s="32">
        <f t="shared" si="16"/>
        <v>0</v>
      </c>
      <c r="AJ54" s="77" t="str">
        <f t="shared" si="17"/>
        <v>-</v>
      </c>
      <c r="AK54" s="36">
        <v>0</v>
      </c>
      <c r="AL54" s="40">
        <v>0</v>
      </c>
      <c r="AM54" s="32">
        <f t="shared" si="18"/>
        <v>0</v>
      </c>
      <c r="AN54" s="78" t="str">
        <f t="shared" si="19"/>
        <v>-</v>
      </c>
      <c r="AO54" s="33">
        <v>0</v>
      </c>
      <c r="AP54" s="33">
        <v>0</v>
      </c>
      <c r="AQ54" s="32">
        <f t="shared" si="20"/>
        <v>0</v>
      </c>
      <c r="AR54" s="78" t="str">
        <f t="shared" si="21"/>
        <v>-</v>
      </c>
      <c r="AS54" s="33">
        <v>0</v>
      </c>
      <c r="AT54" s="32">
        <f t="shared" si="22"/>
        <v>0</v>
      </c>
      <c r="AU54" s="77" t="str">
        <f t="shared" si="23"/>
        <v>-</v>
      </c>
      <c r="AV54" s="36">
        <v>0</v>
      </c>
      <c r="AW54" s="40">
        <v>0</v>
      </c>
      <c r="AX54" s="32">
        <f t="shared" si="24"/>
        <v>0</v>
      </c>
      <c r="AY54" s="78" t="str">
        <f t="shared" si="25"/>
        <v>-</v>
      </c>
      <c r="AZ54" s="33">
        <v>0</v>
      </c>
      <c r="BA54" s="33">
        <v>0</v>
      </c>
      <c r="BB54" s="32">
        <f t="shared" si="26"/>
        <v>0</v>
      </c>
      <c r="BC54" s="78" t="str">
        <f t="shared" si="27"/>
        <v>-</v>
      </c>
      <c r="BD54" s="33">
        <v>0</v>
      </c>
      <c r="BE54" s="32">
        <f t="shared" si="28"/>
        <v>0</v>
      </c>
      <c r="BF54" s="77" t="str">
        <f t="shared" si="29"/>
        <v>-</v>
      </c>
      <c r="BG54" s="36">
        <v>0</v>
      </c>
      <c r="BH54" s="40">
        <v>0</v>
      </c>
      <c r="BI54" s="32">
        <f t="shared" si="30"/>
        <v>0</v>
      </c>
      <c r="BJ54" s="78" t="str">
        <f t="shared" si="31"/>
        <v>-</v>
      </c>
      <c r="BK54" s="33">
        <v>0</v>
      </c>
      <c r="BL54" s="33">
        <v>0</v>
      </c>
      <c r="BM54" s="32">
        <f t="shared" si="32"/>
        <v>0</v>
      </c>
      <c r="BN54" s="78" t="str">
        <f t="shared" si="33"/>
        <v>-</v>
      </c>
      <c r="BO54" s="33">
        <v>0</v>
      </c>
      <c r="BP54" s="32">
        <f t="shared" si="34"/>
        <v>0</v>
      </c>
      <c r="BQ54" s="77" t="str">
        <f t="shared" si="35"/>
        <v>-</v>
      </c>
      <c r="BR54" s="36">
        <v>0</v>
      </c>
      <c r="BS54" s="40">
        <v>0</v>
      </c>
      <c r="BT54" s="32">
        <f t="shared" si="36"/>
        <v>0</v>
      </c>
      <c r="BU54" s="78" t="str">
        <f t="shared" si="37"/>
        <v>-</v>
      </c>
      <c r="BV54" s="33">
        <v>0</v>
      </c>
      <c r="BW54" s="33">
        <v>0</v>
      </c>
      <c r="BX54" s="32">
        <f t="shared" si="38"/>
        <v>0</v>
      </c>
      <c r="BY54" s="78" t="str">
        <f t="shared" si="39"/>
        <v>-</v>
      </c>
      <c r="BZ54" s="33">
        <v>0</v>
      </c>
      <c r="CA54" s="32">
        <f t="shared" si="40"/>
        <v>0</v>
      </c>
      <c r="CB54" s="77" t="str">
        <f t="shared" si="41"/>
        <v>-</v>
      </c>
      <c r="CC54" s="36">
        <v>0</v>
      </c>
      <c r="CD54" s="40">
        <v>0</v>
      </c>
      <c r="CE54" s="32">
        <f t="shared" si="42"/>
        <v>0</v>
      </c>
      <c r="CF54" s="78" t="str">
        <f t="shared" si="43"/>
        <v>-</v>
      </c>
      <c r="CG54" s="33">
        <v>0</v>
      </c>
      <c r="CH54" s="33">
        <v>0</v>
      </c>
      <c r="CI54" s="32">
        <f t="shared" si="44"/>
        <v>0</v>
      </c>
      <c r="CJ54" s="78" t="str">
        <f t="shared" si="45"/>
        <v>-</v>
      </c>
      <c r="CK54" s="33">
        <v>0</v>
      </c>
      <c r="CL54" s="32">
        <f t="shared" si="46"/>
        <v>0</v>
      </c>
      <c r="CM54" s="77" t="str">
        <f t="shared" si="47"/>
        <v>-</v>
      </c>
      <c r="CN54" s="36">
        <v>0</v>
      </c>
      <c r="CO54" s="40">
        <v>0</v>
      </c>
      <c r="CP54" s="32">
        <f t="shared" si="48"/>
        <v>0</v>
      </c>
      <c r="CQ54" s="78" t="str">
        <f t="shared" si="49"/>
        <v>-</v>
      </c>
      <c r="CR54" s="33">
        <v>0</v>
      </c>
      <c r="CS54" s="33">
        <v>0</v>
      </c>
      <c r="CT54" s="32">
        <f t="shared" si="50"/>
        <v>0</v>
      </c>
      <c r="CU54" s="78" t="str">
        <f t="shared" si="51"/>
        <v>-</v>
      </c>
      <c r="CV54" s="33">
        <v>0</v>
      </c>
      <c r="CW54" s="32">
        <f t="shared" si="52"/>
        <v>0</v>
      </c>
      <c r="CX54" s="77" t="str">
        <f t="shared" si="53"/>
        <v>-</v>
      </c>
      <c r="CY54" s="36">
        <v>0</v>
      </c>
      <c r="CZ54" s="40">
        <v>0</v>
      </c>
      <c r="DA54" s="32">
        <f t="shared" si="54"/>
        <v>0</v>
      </c>
      <c r="DB54" s="78" t="str">
        <f t="shared" si="55"/>
        <v>-</v>
      </c>
      <c r="DC54" s="33">
        <v>0</v>
      </c>
      <c r="DD54" s="33">
        <v>0</v>
      </c>
      <c r="DE54" s="32">
        <f t="shared" si="56"/>
        <v>0</v>
      </c>
      <c r="DF54" s="78" t="str">
        <f t="shared" si="57"/>
        <v>-</v>
      </c>
      <c r="DG54" s="33">
        <v>0</v>
      </c>
      <c r="DH54" s="32">
        <f t="shared" si="58"/>
        <v>0</v>
      </c>
      <c r="DI54" s="77" t="str">
        <f t="shared" si="59"/>
        <v>-</v>
      </c>
    </row>
    <row r="55" spans="1:113" s="6" customFormat="1" ht="14.45" customHeight="1" outlineLevel="1" x14ac:dyDescent="0.2">
      <c r="A55" s="30"/>
      <c r="B55" s="48" t="s">
        <v>47</v>
      </c>
      <c r="C55" s="47" t="s">
        <v>46</v>
      </c>
      <c r="D55" s="46">
        <f>SUM(D53:D54)</f>
        <v>0</v>
      </c>
      <c r="E55" s="45">
        <f>SUM(E53:E54)</f>
        <v>0</v>
      </c>
      <c r="F55" s="23">
        <f t="shared" si="0"/>
        <v>0</v>
      </c>
      <c r="G55" s="76" t="str">
        <f t="shared" si="1"/>
        <v>-</v>
      </c>
      <c r="H55" s="44">
        <f>SUM(H53:H54)</f>
        <v>0</v>
      </c>
      <c r="I55" s="44">
        <f>SUM(I53:I54)</f>
        <v>0</v>
      </c>
      <c r="J55" s="23">
        <f t="shared" si="2"/>
        <v>0</v>
      </c>
      <c r="K55" s="76" t="str">
        <f t="shared" si="3"/>
        <v>-</v>
      </c>
      <c r="L55" s="44">
        <f>SUM(L53:L54)</f>
        <v>0</v>
      </c>
      <c r="M55" s="23">
        <f t="shared" si="4"/>
        <v>0</v>
      </c>
      <c r="N55" s="75" t="str">
        <f t="shared" si="5"/>
        <v>-</v>
      </c>
      <c r="O55" s="46">
        <f>SUM(O53:O54)</f>
        <v>0</v>
      </c>
      <c r="P55" s="45">
        <f>SUM(P53:P54)</f>
        <v>0</v>
      </c>
      <c r="Q55" s="23">
        <f t="shared" si="6"/>
        <v>0</v>
      </c>
      <c r="R55" s="76" t="str">
        <f t="shared" si="7"/>
        <v>-</v>
      </c>
      <c r="S55" s="44">
        <f>SUM(S53:S54)</f>
        <v>0</v>
      </c>
      <c r="T55" s="44">
        <f>SUM(T53:T54)</f>
        <v>0</v>
      </c>
      <c r="U55" s="23">
        <f t="shared" si="8"/>
        <v>0</v>
      </c>
      <c r="V55" s="76" t="str">
        <f t="shared" si="9"/>
        <v>-</v>
      </c>
      <c r="W55" s="44">
        <f>SUM(W53:W54)</f>
        <v>0</v>
      </c>
      <c r="X55" s="23">
        <f t="shared" si="10"/>
        <v>0</v>
      </c>
      <c r="Y55" s="75" t="str">
        <f t="shared" si="11"/>
        <v>-</v>
      </c>
      <c r="Z55" s="46">
        <f>SUM(Z53:Z54)</f>
        <v>0</v>
      </c>
      <c r="AA55" s="45">
        <f>SUM(AA53:AA54)</f>
        <v>0</v>
      </c>
      <c r="AB55" s="23">
        <f t="shared" si="12"/>
        <v>0</v>
      </c>
      <c r="AC55" s="76" t="str">
        <f t="shared" si="13"/>
        <v>-</v>
      </c>
      <c r="AD55" s="44">
        <f>SUM(AD53:AD54)</f>
        <v>0</v>
      </c>
      <c r="AE55" s="44">
        <f>SUM(AE53:AE54)</f>
        <v>0</v>
      </c>
      <c r="AF55" s="23">
        <f t="shared" si="14"/>
        <v>0</v>
      </c>
      <c r="AG55" s="76" t="str">
        <f t="shared" si="15"/>
        <v>-</v>
      </c>
      <c r="AH55" s="44">
        <f>SUM(AH53:AH54)</f>
        <v>0</v>
      </c>
      <c r="AI55" s="23">
        <f t="shared" si="16"/>
        <v>0</v>
      </c>
      <c r="AJ55" s="75" t="str">
        <f t="shared" si="17"/>
        <v>-</v>
      </c>
      <c r="AK55" s="46">
        <f>SUM(AK53:AK54)</f>
        <v>0</v>
      </c>
      <c r="AL55" s="45">
        <f>SUM(AL53:AL54)</f>
        <v>0</v>
      </c>
      <c r="AM55" s="23">
        <f t="shared" si="18"/>
        <v>0</v>
      </c>
      <c r="AN55" s="76" t="str">
        <f t="shared" si="19"/>
        <v>-</v>
      </c>
      <c r="AO55" s="44">
        <f>SUM(AO53:AO54)</f>
        <v>0</v>
      </c>
      <c r="AP55" s="44">
        <f>SUM(AP53:AP54)</f>
        <v>0</v>
      </c>
      <c r="AQ55" s="23">
        <f t="shared" si="20"/>
        <v>0</v>
      </c>
      <c r="AR55" s="76" t="str">
        <f t="shared" si="21"/>
        <v>-</v>
      </c>
      <c r="AS55" s="44">
        <f>SUM(AS53:AS54)</f>
        <v>0</v>
      </c>
      <c r="AT55" s="23">
        <f t="shared" si="22"/>
        <v>0</v>
      </c>
      <c r="AU55" s="75" t="str">
        <f t="shared" si="23"/>
        <v>-</v>
      </c>
      <c r="AV55" s="46">
        <f>SUM(AV53:AV54)</f>
        <v>0</v>
      </c>
      <c r="AW55" s="45">
        <f>SUM(AW53:AW54)</f>
        <v>0</v>
      </c>
      <c r="AX55" s="23">
        <f t="shared" si="24"/>
        <v>0</v>
      </c>
      <c r="AY55" s="76" t="str">
        <f t="shared" si="25"/>
        <v>-</v>
      </c>
      <c r="AZ55" s="44">
        <f>SUM(AZ53:AZ54)</f>
        <v>0</v>
      </c>
      <c r="BA55" s="44">
        <f>SUM(BA53:BA54)</f>
        <v>0</v>
      </c>
      <c r="BB55" s="23">
        <f t="shared" si="26"/>
        <v>0</v>
      </c>
      <c r="BC55" s="76" t="str">
        <f t="shared" si="27"/>
        <v>-</v>
      </c>
      <c r="BD55" s="44">
        <f>SUM(BD53:BD54)</f>
        <v>0</v>
      </c>
      <c r="BE55" s="23">
        <f t="shared" si="28"/>
        <v>0</v>
      </c>
      <c r="BF55" s="75" t="str">
        <f t="shared" si="29"/>
        <v>-</v>
      </c>
      <c r="BG55" s="46">
        <f>SUM(BG53:BG54)</f>
        <v>0</v>
      </c>
      <c r="BH55" s="45">
        <f>SUM(BH53:BH54)</f>
        <v>0</v>
      </c>
      <c r="BI55" s="23">
        <f t="shared" si="30"/>
        <v>0</v>
      </c>
      <c r="BJ55" s="76" t="str">
        <f t="shared" si="31"/>
        <v>-</v>
      </c>
      <c r="BK55" s="44">
        <f>SUM(BK53:BK54)</f>
        <v>0</v>
      </c>
      <c r="BL55" s="44">
        <f>SUM(BL53:BL54)</f>
        <v>0</v>
      </c>
      <c r="BM55" s="23">
        <f t="shared" si="32"/>
        <v>0</v>
      </c>
      <c r="BN55" s="76" t="str">
        <f t="shared" si="33"/>
        <v>-</v>
      </c>
      <c r="BO55" s="44">
        <f>SUM(BO53:BO54)</f>
        <v>0</v>
      </c>
      <c r="BP55" s="23">
        <f t="shared" si="34"/>
        <v>0</v>
      </c>
      <c r="BQ55" s="75" t="str">
        <f t="shared" si="35"/>
        <v>-</v>
      </c>
      <c r="BR55" s="46">
        <f>SUM(BR53:BR54)</f>
        <v>0</v>
      </c>
      <c r="BS55" s="45">
        <f>SUM(BS53:BS54)</f>
        <v>0</v>
      </c>
      <c r="BT55" s="23">
        <f t="shared" si="36"/>
        <v>0</v>
      </c>
      <c r="BU55" s="76" t="str">
        <f t="shared" si="37"/>
        <v>-</v>
      </c>
      <c r="BV55" s="44">
        <f>SUM(BV53:BV54)</f>
        <v>0</v>
      </c>
      <c r="BW55" s="44">
        <f>SUM(BW53:BW54)</f>
        <v>0</v>
      </c>
      <c r="BX55" s="23">
        <f t="shared" si="38"/>
        <v>0</v>
      </c>
      <c r="BY55" s="76" t="str">
        <f t="shared" si="39"/>
        <v>-</v>
      </c>
      <c r="BZ55" s="44">
        <f>SUM(BZ53:BZ54)</f>
        <v>0</v>
      </c>
      <c r="CA55" s="23">
        <f t="shared" si="40"/>
        <v>0</v>
      </c>
      <c r="CB55" s="75" t="str">
        <f t="shared" si="41"/>
        <v>-</v>
      </c>
      <c r="CC55" s="46">
        <f>SUM(CC53:CC54)</f>
        <v>0</v>
      </c>
      <c r="CD55" s="45">
        <f>SUM(CD53:CD54)</f>
        <v>0</v>
      </c>
      <c r="CE55" s="23">
        <f t="shared" si="42"/>
        <v>0</v>
      </c>
      <c r="CF55" s="76" t="str">
        <f t="shared" si="43"/>
        <v>-</v>
      </c>
      <c r="CG55" s="44">
        <f>SUM(CG53:CG54)</f>
        <v>0</v>
      </c>
      <c r="CH55" s="44">
        <f>SUM(CH53:CH54)</f>
        <v>0</v>
      </c>
      <c r="CI55" s="23">
        <f t="shared" si="44"/>
        <v>0</v>
      </c>
      <c r="CJ55" s="76" t="str">
        <f t="shared" si="45"/>
        <v>-</v>
      </c>
      <c r="CK55" s="44">
        <f>SUM(CK53:CK54)</f>
        <v>0</v>
      </c>
      <c r="CL55" s="23">
        <f t="shared" si="46"/>
        <v>0</v>
      </c>
      <c r="CM55" s="75" t="str">
        <f t="shared" si="47"/>
        <v>-</v>
      </c>
      <c r="CN55" s="46">
        <f>SUM(CN53:CN54)</f>
        <v>0</v>
      </c>
      <c r="CO55" s="45">
        <f>SUM(CO53:CO54)</f>
        <v>0</v>
      </c>
      <c r="CP55" s="23">
        <f t="shared" si="48"/>
        <v>0</v>
      </c>
      <c r="CQ55" s="76" t="str">
        <f t="shared" si="49"/>
        <v>-</v>
      </c>
      <c r="CR55" s="44">
        <f>SUM(CR53:CR54)</f>
        <v>0</v>
      </c>
      <c r="CS55" s="44">
        <f>SUM(CS53:CS54)</f>
        <v>0</v>
      </c>
      <c r="CT55" s="23">
        <f t="shared" si="50"/>
        <v>0</v>
      </c>
      <c r="CU55" s="76" t="str">
        <f t="shared" si="51"/>
        <v>-</v>
      </c>
      <c r="CV55" s="44">
        <f>SUM(CV53:CV54)</f>
        <v>0</v>
      </c>
      <c r="CW55" s="23">
        <f t="shared" si="52"/>
        <v>0</v>
      </c>
      <c r="CX55" s="75" t="str">
        <f t="shared" si="53"/>
        <v>-</v>
      </c>
      <c r="CY55" s="46">
        <f>SUM(CY53:CY54)</f>
        <v>0</v>
      </c>
      <c r="CZ55" s="45">
        <f>SUM(CZ53:CZ54)</f>
        <v>0</v>
      </c>
      <c r="DA55" s="23">
        <f t="shared" si="54"/>
        <v>0</v>
      </c>
      <c r="DB55" s="76" t="str">
        <f t="shared" si="55"/>
        <v>-</v>
      </c>
      <c r="DC55" s="44">
        <f>SUM(DC53:DC54)</f>
        <v>0</v>
      </c>
      <c r="DD55" s="44">
        <f>SUM(DD53:DD54)</f>
        <v>0</v>
      </c>
      <c r="DE55" s="23">
        <f t="shared" si="56"/>
        <v>0</v>
      </c>
      <c r="DF55" s="76" t="str">
        <f t="shared" si="57"/>
        <v>-</v>
      </c>
      <c r="DG55" s="44">
        <f>SUM(DG53:DG54)</f>
        <v>0</v>
      </c>
      <c r="DH55" s="23">
        <f t="shared" si="58"/>
        <v>0</v>
      </c>
      <c r="DI55" s="75" t="str">
        <f t="shared" si="59"/>
        <v>-</v>
      </c>
    </row>
    <row r="56" spans="1:113" s="6" customFormat="1" ht="15.75" customHeight="1" x14ac:dyDescent="0.2">
      <c r="B56" s="21" t="s">
        <v>45</v>
      </c>
      <c r="C56" s="20" t="s">
        <v>44</v>
      </c>
      <c r="D56" s="19">
        <f>D55</f>
        <v>0</v>
      </c>
      <c r="E56" s="18">
        <f>E55</f>
        <v>0</v>
      </c>
      <c r="F56" s="15">
        <f t="shared" si="0"/>
        <v>0</v>
      </c>
      <c r="G56" s="74" t="str">
        <f t="shared" si="1"/>
        <v>-</v>
      </c>
      <c r="H56" s="16">
        <f>H55</f>
        <v>0</v>
      </c>
      <c r="I56" s="16">
        <f>I55</f>
        <v>0</v>
      </c>
      <c r="J56" s="15">
        <f t="shared" si="2"/>
        <v>0</v>
      </c>
      <c r="K56" s="74" t="str">
        <f t="shared" si="3"/>
        <v>-</v>
      </c>
      <c r="L56" s="16">
        <f>L55</f>
        <v>0</v>
      </c>
      <c r="M56" s="15">
        <f t="shared" si="4"/>
        <v>0</v>
      </c>
      <c r="N56" s="73" t="str">
        <f t="shared" si="5"/>
        <v>-</v>
      </c>
      <c r="O56" s="19">
        <f>O55</f>
        <v>0</v>
      </c>
      <c r="P56" s="18">
        <f>P55</f>
        <v>0</v>
      </c>
      <c r="Q56" s="15">
        <f t="shared" si="6"/>
        <v>0</v>
      </c>
      <c r="R56" s="74" t="str">
        <f t="shared" si="7"/>
        <v>-</v>
      </c>
      <c r="S56" s="16">
        <f>S55</f>
        <v>0</v>
      </c>
      <c r="T56" s="16">
        <f>T55</f>
        <v>0</v>
      </c>
      <c r="U56" s="15">
        <f t="shared" si="8"/>
        <v>0</v>
      </c>
      <c r="V56" s="74" t="str">
        <f t="shared" si="9"/>
        <v>-</v>
      </c>
      <c r="W56" s="16">
        <f>W55</f>
        <v>0</v>
      </c>
      <c r="X56" s="15">
        <f t="shared" si="10"/>
        <v>0</v>
      </c>
      <c r="Y56" s="73" t="str">
        <f t="shared" si="11"/>
        <v>-</v>
      </c>
      <c r="Z56" s="19">
        <f>Z55</f>
        <v>0</v>
      </c>
      <c r="AA56" s="18">
        <f>AA55</f>
        <v>0</v>
      </c>
      <c r="AB56" s="15">
        <f t="shared" si="12"/>
        <v>0</v>
      </c>
      <c r="AC56" s="74" t="str">
        <f t="shared" si="13"/>
        <v>-</v>
      </c>
      <c r="AD56" s="16">
        <f>AD55</f>
        <v>0</v>
      </c>
      <c r="AE56" s="16">
        <f>AE55</f>
        <v>0</v>
      </c>
      <c r="AF56" s="15">
        <f t="shared" si="14"/>
        <v>0</v>
      </c>
      <c r="AG56" s="74" t="str">
        <f t="shared" si="15"/>
        <v>-</v>
      </c>
      <c r="AH56" s="16">
        <f>AH55</f>
        <v>0</v>
      </c>
      <c r="AI56" s="15">
        <f t="shared" si="16"/>
        <v>0</v>
      </c>
      <c r="AJ56" s="73" t="str">
        <f t="shared" si="17"/>
        <v>-</v>
      </c>
      <c r="AK56" s="19">
        <f>AK55</f>
        <v>0</v>
      </c>
      <c r="AL56" s="18">
        <f>AL55</f>
        <v>0</v>
      </c>
      <c r="AM56" s="15">
        <f t="shared" si="18"/>
        <v>0</v>
      </c>
      <c r="AN56" s="74" t="str">
        <f t="shared" si="19"/>
        <v>-</v>
      </c>
      <c r="AO56" s="16">
        <f>AO55</f>
        <v>0</v>
      </c>
      <c r="AP56" s="16">
        <f>AP55</f>
        <v>0</v>
      </c>
      <c r="AQ56" s="15">
        <f t="shared" si="20"/>
        <v>0</v>
      </c>
      <c r="AR56" s="74" t="str">
        <f t="shared" si="21"/>
        <v>-</v>
      </c>
      <c r="AS56" s="16">
        <f>AS55</f>
        <v>0</v>
      </c>
      <c r="AT56" s="15">
        <f t="shared" si="22"/>
        <v>0</v>
      </c>
      <c r="AU56" s="73" t="str">
        <f t="shared" si="23"/>
        <v>-</v>
      </c>
      <c r="AV56" s="19">
        <f>AV55</f>
        <v>0</v>
      </c>
      <c r="AW56" s="18">
        <f>AW55</f>
        <v>0</v>
      </c>
      <c r="AX56" s="15">
        <f t="shared" si="24"/>
        <v>0</v>
      </c>
      <c r="AY56" s="74" t="str">
        <f t="shared" si="25"/>
        <v>-</v>
      </c>
      <c r="AZ56" s="16">
        <f>AZ55</f>
        <v>0</v>
      </c>
      <c r="BA56" s="16">
        <f>BA55</f>
        <v>0</v>
      </c>
      <c r="BB56" s="15">
        <f t="shared" si="26"/>
        <v>0</v>
      </c>
      <c r="BC56" s="74" t="str">
        <f t="shared" si="27"/>
        <v>-</v>
      </c>
      <c r="BD56" s="16">
        <f>BD55</f>
        <v>0</v>
      </c>
      <c r="BE56" s="15">
        <f t="shared" si="28"/>
        <v>0</v>
      </c>
      <c r="BF56" s="73" t="str">
        <f t="shared" si="29"/>
        <v>-</v>
      </c>
      <c r="BG56" s="19">
        <f>BG55</f>
        <v>0</v>
      </c>
      <c r="BH56" s="18">
        <f>BH55</f>
        <v>0</v>
      </c>
      <c r="BI56" s="15">
        <f t="shared" si="30"/>
        <v>0</v>
      </c>
      <c r="BJ56" s="74" t="str">
        <f t="shared" si="31"/>
        <v>-</v>
      </c>
      <c r="BK56" s="16">
        <f>BK55</f>
        <v>0</v>
      </c>
      <c r="BL56" s="16">
        <f>BL55</f>
        <v>0</v>
      </c>
      <c r="BM56" s="15">
        <f t="shared" si="32"/>
        <v>0</v>
      </c>
      <c r="BN56" s="74" t="str">
        <f t="shared" si="33"/>
        <v>-</v>
      </c>
      <c r="BO56" s="16">
        <f>BO55</f>
        <v>0</v>
      </c>
      <c r="BP56" s="15">
        <f t="shared" si="34"/>
        <v>0</v>
      </c>
      <c r="BQ56" s="73" t="str">
        <f t="shared" si="35"/>
        <v>-</v>
      </c>
      <c r="BR56" s="19">
        <f>BR55</f>
        <v>0</v>
      </c>
      <c r="BS56" s="18">
        <f>BS55</f>
        <v>0</v>
      </c>
      <c r="BT56" s="15">
        <f t="shared" si="36"/>
        <v>0</v>
      </c>
      <c r="BU56" s="74" t="str">
        <f t="shared" si="37"/>
        <v>-</v>
      </c>
      <c r="BV56" s="16">
        <f>BV55</f>
        <v>0</v>
      </c>
      <c r="BW56" s="16">
        <f>BW55</f>
        <v>0</v>
      </c>
      <c r="BX56" s="15">
        <f t="shared" si="38"/>
        <v>0</v>
      </c>
      <c r="BY56" s="74" t="str">
        <f t="shared" si="39"/>
        <v>-</v>
      </c>
      <c r="BZ56" s="16">
        <f>BZ55</f>
        <v>0</v>
      </c>
      <c r="CA56" s="15">
        <f t="shared" si="40"/>
        <v>0</v>
      </c>
      <c r="CB56" s="73" t="str">
        <f t="shared" si="41"/>
        <v>-</v>
      </c>
      <c r="CC56" s="19">
        <f>CC55</f>
        <v>0</v>
      </c>
      <c r="CD56" s="18">
        <f>CD55</f>
        <v>0</v>
      </c>
      <c r="CE56" s="15">
        <f t="shared" si="42"/>
        <v>0</v>
      </c>
      <c r="CF56" s="74" t="str">
        <f t="shared" si="43"/>
        <v>-</v>
      </c>
      <c r="CG56" s="16">
        <f>CG55</f>
        <v>0</v>
      </c>
      <c r="CH56" s="16">
        <f>CH55</f>
        <v>0</v>
      </c>
      <c r="CI56" s="15">
        <f t="shared" si="44"/>
        <v>0</v>
      </c>
      <c r="CJ56" s="74" t="str">
        <f t="shared" si="45"/>
        <v>-</v>
      </c>
      <c r="CK56" s="16">
        <f>CK55</f>
        <v>0</v>
      </c>
      <c r="CL56" s="15">
        <f t="shared" si="46"/>
        <v>0</v>
      </c>
      <c r="CM56" s="73" t="str">
        <f t="shared" si="47"/>
        <v>-</v>
      </c>
      <c r="CN56" s="19">
        <f>CN55</f>
        <v>0</v>
      </c>
      <c r="CO56" s="18">
        <f>CO55</f>
        <v>0</v>
      </c>
      <c r="CP56" s="15">
        <f t="shared" si="48"/>
        <v>0</v>
      </c>
      <c r="CQ56" s="74" t="str">
        <f t="shared" si="49"/>
        <v>-</v>
      </c>
      <c r="CR56" s="16">
        <f>CR55</f>
        <v>0</v>
      </c>
      <c r="CS56" s="16">
        <f>CS55</f>
        <v>0</v>
      </c>
      <c r="CT56" s="15">
        <f t="shared" si="50"/>
        <v>0</v>
      </c>
      <c r="CU56" s="74" t="str">
        <f t="shared" si="51"/>
        <v>-</v>
      </c>
      <c r="CV56" s="16">
        <f>CV55</f>
        <v>0</v>
      </c>
      <c r="CW56" s="15">
        <f t="shared" si="52"/>
        <v>0</v>
      </c>
      <c r="CX56" s="73" t="str">
        <f t="shared" si="53"/>
        <v>-</v>
      </c>
      <c r="CY56" s="19">
        <f>CY55</f>
        <v>0</v>
      </c>
      <c r="CZ56" s="18">
        <f>CZ55</f>
        <v>0</v>
      </c>
      <c r="DA56" s="15">
        <f t="shared" si="54"/>
        <v>0</v>
      </c>
      <c r="DB56" s="74" t="str">
        <f t="shared" si="55"/>
        <v>-</v>
      </c>
      <c r="DC56" s="16">
        <f>DC55</f>
        <v>0</v>
      </c>
      <c r="DD56" s="16">
        <f>DD55</f>
        <v>0</v>
      </c>
      <c r="DE56" s="15">
        <f t="shared" si="56"/>
        <v>0</v>
      </c>
      <c r="DF56" s="74" t="str">
        <f t="shared" si="57"/>
        <v>-</v>
      </c>
      <c r="DG56" s="16">
        <f>DG55</f>
        <v>0</v>
      </c>
      <c r="DH56" s="15">
        <f t="shared" si="58"/>
        <v>0</v>
      </c>
      <c r="DI56" s="73" t="str">
        <f t="shared" si="59"/>
        <v>-</v>
      </c>
    </row>
    <row r="57" spans="1:113" ht="12.75" customHeight="1" outlineLevel="3" x14ac:dyDescent="0.2">
      <c r="B57" s="38" t="s">
        <v>43</v>
      </c>
      <c r="C57" s="37" t="s">
        <v>42</v>
      </c>
      <c r="D57" s="41">
        <f>3528170167.46521*1/12</f>
        <v>294014180.62210083</v>
      </c>
      <c r="E57" s="40">
        <v>0</v>
      </c>
      <c r="F57" s="32">
        <f t="shared" si="0"/>
        <v>294014180.62210083</v>
      </c>
      <c r="G57" s="78" t="str">
        <f t="shared" si="1"/>
        <v>-</v>
      </c>
      <c r="H57" s="40">
        <f>3528170167.46521/2</f>
        <v>1764085083.732605</v>
      </c>
      <c r="I57" s="39">
        <v>0</v>
      </c>
      <c r="J57" s="32">
        <f t="shared" si="2"/>
        <v>1764085083.732605</v>
      </c>
      <c r="K57" s="78" t="str">
        <f t="shared" si="3"/>
        <v>-</v>
      </c>
      <c r="L57" s="39">
        <v>0</v>
      </c>
      <c r="M57" s="32">
        <f t="shared" si="4"/>
        <v>1764085083.732605</v>
      </c>
      <c r="N57" s="77" t="str">
        <f t="shared" si="5"/>
        <v>-</v>
      </c>
      <c r="O57" s="41">
        <f>3528170167.46521*1/12</f>
        <v>294014180.62210083</v>
      </c>
      <c r="P57" s="40">
        <v>0</v>
      </c>
      <c r="Q57" s="32">
        <f t="shared" si="6"/>
        <v>294014180.62210083</v>
      </c>
      <c r="R57" s="78" t="str">
        <f t="shared" si="7"/>
        <v>-</v>
      </c>
      <c r="S57" s="40">
        <f>3528170167.46521/2</f>
        <v>1764085083.732605</v>
      </c>
      <c r="T57" s="39">
        <v>0</v>
      </c>
      <c r="U57" s="32">
        <f t="shared" si="8"/>
        <v>1764085083.732605</v>
      </c>
      <c r="V57" s="78" t="str">
        <f t="shared" si="9"/>
        <v>-</v>
      </c>
      <c r="W57" s="39">
        <v>0</v>
      </c>
      <c r="X57" s="32">
        <f t="shared" si="10"/>
        <v>1764085083.732605</v>
      </c>
      <c r="Y57" s="77" t="str">
        <f t="shared" si="11"/>
        <v>-</v>
      </c>
      <c r="Z57" s="41">
        <f>3528170167.46521*1/12</f>
        <v>294014180.62210083</v>
      </c>
      <c r="AA57" s="40">
        <v>0</v>
      </c>
      <c r="AB57" s="32">
        <f t="shared" si="12"/>
        <v>294014180.62210083</v>
      </c>
      <c r="AC57" s="78" t="str">
        <f t="shared" si="13"/>
        <v>-</v>
      </c>
      <c r="AD57" s="40">
        <f>3528170167.46521/2</f>
        <v>1764085083.732605</v>
      </c>
      <c r="AE57" s="39">
        <v>0</v>
      </c>
      <c r="AF57" s="32">
        <f t="shared" si="14"/>
        <v>1764085083.732605</v>
      </c>
      <c r="AG57" s="78" t="str">
        <f t="shared" si="15"/>
        <v>-</v>
      </c>
      <c r="AH57" s="39">
        <v>0</v>
      </c>
      <c r="AI57" s="32">
        <f t="shared" si="16"/>
        <v>1764085083.732605</v>
      </c>
      <c r="AJ57" s="77" t="str">
        <f t="shared" si="17"/>
        <v>-</v>
      </c>
      <c r="AK57" s="41">
        <f>3528170167.46521*1/12</f>
        <v>294014180.62210083</v>
      </c>
      <c r="AL57" s="40">
        <v>0</v>
      </c>
      <c r="AM57" s="32">
        <f t="shared" si="18"/>
        <v>294014180.62210083</v>
      </c>
      <c r="AN57" s="78" t="str">
        <f t="shared" si="19"/>
        <v>-</v>
      </c>
      <c r="AO57" s="40">
        <f>3528170167.46521/2</f>
        <v>1764085083.732605</v>
      </c>
      <c r="AP57" s="39">
        <v>0</v>
      </c>
      <c r="AQ57" s="32">
        <f t="shared" si="20"/>
        <v>1764085083.732605</v>
      </c>
      <c r="AR57" s="78" t="str">
        <f t="shared" si="21"/>
        <v>-</v>
      </c>
      <c r="AS57" s="39">
        <v>0</v>
      </c>
      <c r="AT57" s="32">
        <f t="shared" si="22"/>
        <v>1764085083.732605</v>
      </c>
      <c r="AU57" s="77" t="str">
        <f t="shared" si="23"/>
        <v>-</v>
      </c>
      <c r="AV57" s="41">
        <f>3528170167.46521*1/12</f>
        <v>294014180.62210083</v>
      </c>
      <c r="AW57" s="40">
        <v>0</v>
      </c>
      <c r="AX57" s="32">
        <f t="shared" si="24"/>
        <v>294014180.62210083</v>
      </c>
      <c r="AY57" s="78" t="str">
        <f t="shared" si="25"/>
        <v>-</v>
      </c>
      <c r="AZ57" s="40">
        <f>3528170167.46521/2</f>
        <v>1764085083.732605</v>
      </c>
      <c r="BA57" s="39">
        <v>0</v>
      </c>
      <c r="BB57" s="32">
        <f t="shared" si="26"/>
        <v>1764085083.732605</v>
      </c>
      <c r="BC57" s="78" t="str">
        <f t="shared" si="27"/>
        <v>-</v>
      </c>
      <c r="BD57" s="39">
        <v>0</v>
      </c>
      <c r="BE57" s="32">
        <f t="shared" si="28"/>
        <v>1764085083.732605</v>
      </c>
      <c r="BF57" s="77" t="str">
        <f t="shared" si="29"/>
        <v>-</v>
      </c>
      <c r="BG57" s="41">
        <f>3528170167.46521*1/12</f>
        <v>294014180.62210083</v>
      </c>
      <c r="BH57" s="40">
        <v>0</v>
      </c>
      <c r="BI57" s="32">
        <f t="shared" si="30"/>
        <v>294014180.62210083</v>
      </c>
      <c r="BJ57" s="78" t="str">
        <f t="shared" si="31"/>
        <v>-</v>
      </c>
      <c r="BK57" s="40">
        <f>3528170167.46521/2</f>
        <v>1764085083.732605</v>
      </c>
      <c r="BL57" s="39">
        <v>0</v>
      </c>
      <c r="BM57" s="32">
        <f t="shared" si="32"/>
        <v>1764085083.732605</v>
      </c>
      <c r="BN57" s="78" t="str">
        <f t="shared" si="33"/>
        <v>-</v>
      </c>
      <c r="BO57" s="39">
        <v>0</v>
      </c>
      <c r="BP57" s="32">
        <f t="shared" si="34"/>
        <v>1764085083.732605</v>
      </c>
      <c r="BQ57" s="77" t="str">
        <f t="shared" si="35"/>
        <v>-</v>
      </c>
      <c r="BR57" s="41">
        <f>3528170167.46521*1/12</f>
        <v>294014180.62210083</v>
      </c>
      <c r="BS57" s="40">
        <v>0</v>
      </c>
      <c r="BT57" s="32">
        <f t="shared" si="36"/>
        <v>294014180.62210083</v>
      </c>
      <c r="BU57" s="78" t="str">
        <f t="shared" si="37"/>
        <v>-</v>
      </c>
      <c r="BV57" s="40">
        <f>3528170167.46521/2</f>
        <v>1764085083.732605</v>
      </c>
      <c r="BW57" s="39">
        <v>0</v>
      </c>
      <c r="BX57" s="32">
        <f t="shared" si="38"/>
        <v>1764085083.732605</v>
      </c>
      <c r="BY57" s="78" t="str">
        <f t="shared" si="39"/>
        <v>-</v>
      </c>
      <c r="BZ57" s="39">
        <v>0</v>
      </c>
      <c r="CA57" s="32">
        <f t="shared" si="40"/>
        <v>1764085083.732605</v>
      </c>
      <c r="CB57" s="77" t="str">
        <f t="shared" si="41"/>
        <v>-</v>
      </c>
      <c r="CC57" s="41">
        <f>3528170167.46521*1/12</f>
        <v>294014180.62210083</v>
      </c>
      <c r="CD57" s="40">
        <v>0</v>
      </c>
      <c r="CE57" s="32">
        <f t="shared" si="42"/>
        <v>294014180.62210083</v>
      </c>
      <c r="CF57" s="78" t="str">
        <f t="shared" si="43"/>
        <v>-</v>
      </c>
      <c r="CG57" s="40">
        <f>3528170167.46521/2</f>
        <v>1764085083.732605</v>
      </c>
      <c r="CH57" s="39">
        <v>0</v>
      </c>
      <c r="CI57" s="32">
        <f t="shared" si="44"/>
        <v>1764085083.732605</v>
      </c>
      <c r="CJ57" s="78" t="str">
        <f t="shared" si="45"/>
        <v>-</v>
      </c>
      <c r="CK57" s="39">
        <v>0</v>
      </c>
      <c r="CL57" s="32">
        <f t="shared" si="46"/>
        <v>1764085083.732605</v>
      </c>
      <c r="CM57" s="77" t="str">
        <f t="shared" si="47"/>
        <v>-</v>
      </c>
      <c r="CN57" s="41">
        <f>3528170167.46521*1/12</f>
        <v>294014180.62210083</v>
      </c>
      <c r="CO57" s="40">
        <v>0</v>
      </c>
      <c r="CP57" s="32">
        <f t="shared" si="48"/>
        <v>294014180.62210083</v>
      </c>
      <c r="CQ57" s="78" t="str">
        <f t="shared" si="49"/>
        <v>-</v>
      </c>
      <c r="CR57" s="40">
        <f>3528170167.46521/2</f>
        <v>1764085083.732605</v>
      </c>
      <c r="CS57" s="39">
        <v>0</v>
      </c>
      <c r="CT57" s="32">
        <f t="shared" si="50"/>
        <v>1764085083.732605</v>
      </c>
      <c r="CU57" s="78" t="str">
        <f t="shared" si="51"/>
        <v>-</v>
      </c>
      <c r="CV57" s="39">
        <v>0</v>
      </c>
      <c r="CW57" s="32">
        <f t="shared" si="52"/>
        <v>1764085083.732605</v>
      </c>
      <c r="CX57" s="77" t="str">
        <f t="shared" si="53"/>
        <v>-</v>
      </c>
      <c r="CY57" s="41">
        <f>3528170167.46521*1/12</f>
        <v>294014180.62210083</v>
      </c>
      <c r="CZ57" s="40">
        <v>0</v>
      </c>
      <c r="DA57" s="32">
        <f t="shared" si="54"/>
        <v>294014180.62210083</v>
      </c>
      <c r="DB57" s="78" t="str">
        <f t="shared" si="55"/>
        <v>-</v>
      </c>
      <c r="DC57" s="40">
        <f>3528170167.46521/2</f>
        <v>1764085083.732605</v>
      </c>
      <c r="DD57" s="39">
        <v>0</v>
      </c>
      <c r="DE57" s="32">
        <f t="shared" si="56"/>
        <v>1764085083.732605</v>
      </c>
      <c r="DF57" s="78" t="str">
        <f t="shared" si="57"/>
        <v>-</v>
      </c>
      <c r="DG57" s="39">
        <v>0</v>
      </c>
      <c r="DH57" s="32">
        <f t="shared" si="58"/>
        <v>1764085083.732605</v>
      </c>
      <c r="DI57" s="77" t="str">
        <f t="shared" si="59"/>
        <v>-</v>
      </c>
    </row>
    <row r="58" spans="1:113" ht="12.75" customHeight="1" outlineLevel="3" x14ac:dyDescent="0.2">
      <c r="B58" s="38" t="s">
        <v>41</v>
      </c>
      <c r="C58" s="37" t="s">
        <v>40</v>
      </c>
      <c r="D58" s="41">
        <f>652711480.981065*1/12</f>
        <v>54392623.41508875</v>
      </c>
      <c r="E58" s="40">
        <v>0</v>
      </c>
      <c r="F58" s="32">
        <f t="shared" si="0"/>
        <v>54392623.41508875</v>
      </c>
      <c r="G58" s="78" t="str">
        <f t="shared" si="1"/>
        <v>-</v>
      </c>
      <c r="H58" s="35">
        <f>652711480.981063/2</f>
        <v>326355740.4905315</v>
      </c>
      <c r="I58" s="39">
        <v>0</v>
      </c>
      <c r="J58" s="32">
        <f t="shared" si="2"/>
        <v>326355740.4905315</v>
      </c>
      <c r="K58" s="78" t="str">
        <f t="shared" si="3"/>
        <v>-</v>
      </c>
      <c r="L58" s="39">
        <v>0</v>
      </c>
      <c r="M58" s="32">
        <f t="shared" si="4"/>
        <v>326355740.4905315</v>
      </c>
      <c r="N58" s="77" t="str">
        <f t="shared" si="5"/>
        <v>-</v>
      </c>
      <c r="O58" s="41">
        <f>652711480.981065*1/12</f>
        <v>54392623.41508875</v>
      </c>
      <c r="P58" s="40">
        <v>0</v>
      </c>
      <c r="Q58" s="32">
        <f t="shared" si="6"/>
        <v>54392623.41508875</v>
      </c>
      <c r="R58" s="78" t="str">
        <f t="shared" si="7"/>
        <v>-</v>
      </c>
      <c r="S58" s="35">
        <f>652711480.981063/2</f>
        <v>326355740.4905315</v>
      </c>
      <c r="T58" s="39">
        <v>0</v>
      </c>
      <c r="U58" s="32">
        <f t="shared" si="8"/>
        <v>326355740.4905315</v>
      </c>
      <c r="V58" s="78" t="str">
        <f t="shared" si="9"/>
        <v>-</v>
      </c>
      <c r="W58" s="39">
        <v>0</v>
      </c>
      <c r="X58" s="32">
        <f t="shared" si="10"/>
        <v>326355740.4905315</v>
      </c>
      <c r="Y58" s="77" t="str">
        <f t="shared" si="11"/>
        <v>-</v>
      </c>
      <c r="Z58" s="41">
        <f>652711480.981065*1/12</f>
        <v>54392623.41508875</v>
      </c>
      <c r="AA58" s="40">
        <v>0</v>
      </c>
      <c r="AB58" s="32">
        <f t="shared" si="12"/>
        <v>54392623.41508875</v>
      </c>
      <c r="AC58" s="78" t="str">
        <f t="shared" si="13"/>
        <v>-</v>
      </c>
      <c r="AD58" s="35">
        <f>652711480.981063/2</f>
        <v>326355740.4905315</v>
      </c>
      <c r="AE58" s="39">
        <v>0</v>
      </c>
      <c r="AF58" s="32">
        <f t="shared" si="14"/>
        <v>326355740.4905315</v>
      </c>
      <c r="AG58" s="78" t="str">
        <f t="shared" si="15"/>
        <v>-</v>
      </c>
      <c r="AH58" s="39">
        <v>0</v>
      </c>
      <c r="AI58" s="32">
        <f t="shared" si="16"/>
        <v>326355740.4905315</v>
      </c>
      <c r="AJ58" s="77" t="str">
        <f t="shared" si="17"/>
        <v>-</v>
      </c>
      <c r="AK58" s="41">
        <f>652711480.981065*1/12</f>
        <v>54392623.41508875</v>
      </c>
      <c r="AL58" s="40">
        <v>0</v>
      </c>
      <c r="AM58" s="32">
        <f t="shared" si="18"/>
        <v>54392623.41508875</v>
      </c>
      <c r="AN58" s="78" t="str">
        <f t="shared" si="19"/>
        <v>-</v>
      </c>
      <c r="AO58" s="35">
        <f>652711480.981063/2</f>
        <v>326355740.4905315</v>
      </c>
      <c r="AP58" s="39">
        <v>0</v>
      </c>
      <c r="AQ58" s="32">
        <f t="shared" si="20"/>
        <v>326355740.4905315</v>
      </c>
      <c r="AR58" s="78" t="str">
        <f t="shared" si="21"/>
        <v>-</v>
      </c>
      <c r="AS58" s="39">
        <v>0</v>
      </c>
      <c r="AT58" s="32">
        <f t="shared" si="22"/>
        <v>326355740.4905315</v>
      </c>
      <c r="AU58" s="77" t="str">
        <f t="shared" si="23"/>
        <v>-</v>
      </c>
      <c r="AV58" s="41">
        <f>652711480.981065*1/12</f>
        <v>54392623.41508875</v>
      </c>
      <c r="AW58" s="40">
        <v>0</v>
      </c>
      <c r="AX58" s="32">
        <f t="shared" si="24"/>
        <v>54392623.41508875</v>
      </c>
      <c r="AY58" s="78" t="str">
        <f t="shared" si="25"/>
        <v>-</v>
      </c>
      <c r="AZ58" s="35">
        <f>652711480.981063/2</f>
        <v>326355740.4905315</v>
      </c>
      <c r="BA58" s="39">
        <v>0</v>
      </c>
      <c r="BB58" s="32">
        <f t="shared" si="26"/>
        <v>326355740.4905315</v>
      </c>
      <c r="BC58" s="78" t="str">
        <f t="shared" si="27"/>
        <v>-</v>
      </c>
      <c r="BD58" s="39">
        <v>0</v>
      </c>
      <c r="BE58" s="32">
        <f t="shared" si="28"/>
        <v>326355740.4905315</v>
      </c>
      <c r="BF58" s="77" t="str">
        <f t="shared" si="29"/>
        <v>-</v>
      </c>
      <c r="BG58" s="41">
        <f>652711480.981065*1/12</f>
        <v>54392623.41508875</v>
      </c>
      <c r="BH58" s="40">
        <v>0</v>
      </c>
      <c r="BI58" s="32">
        <f t="shared" si="30"/>
        <v>54392623.41508875</v>
      </c>
      <c r="BJ58" s="78" t="str">
        <f t="shared" si="31"/>
        <v>-</v>
      </c>
      <c r="BK58" s="35">
        <f>652711480.981063/2</f>
        <v>326355740.4905315</v>
      </c>
      <c r="BL58" s="39">
        <v>0</v>
      </c>
      <c r="BM58" s="32">
        <f t="shared" si="32"/>
        <v>326355740.4905315</v>
      </c>
      <c r="BN58" s="78" t="str">
        <f t="shared" si="33"/>
        <v>-</v>
      </c>
      <c r="BO58" s="39">
        <v>0</v>
      </c>
      <c r="BP58" s="32">
        <f t="shared" si="34"/>
        <v>326355740.4905315</v>
      </c>
      <c r="BQ58" s="77" t="str">
        <f t="shared" si="35"/>
        <v>-</v>
      </c>
      <c r="BR58" s="41">
        <f>652711480.981065*1/12</f>
        <v>54392623.41508875</v>
      </c>
      <c r="BS58" s="40">
        <v>0</v>
      </c>
      <c r="BT58" s="32">
        <f t="shared" si="36"/>
        <v>54392623.41508875</v>
      </c>
      <c r="BU58" s="78" t="str">
        <f t="shared" si="37"/>
        <v>-</v>
      </c>
      <c r="BV58" s="35">
        <f>652711480.981063/2</f>
        <v>326355740.4905315</v>
      </c>
      <c r="BW58" s="39">
        <v>0</v>
      </c>
      <c r="BX58" s="32">
        <f t="shared" si="38"/>
        <v>326355740.4905315</v>
      </c>
      <c r="BY58" s="78" t="str">
        <f t="shared" si="39"/>
        <v>-</v>
      </c>
      <c r="BZ58" s="39">
        <v>0</v>
      </c>
      <c r="CA58" s="32">
        <f t="shared" si="40"/>
        <v>326355740.4905315</v>
      </c>
      <c r="CB58" s="77" t="str">
        <f t="shared" si="41"/>
        <v>-</v>
      </c>
      <c r="CC58" s="41">
        <f>652711480.981065*1/12</f>
        <v>54392623.41508875</v>
      </c>
      <c r="CD58" s="40">
        <v>0</v>
      </c>
      <c r="CE58" s="32">
        <f t="shared" si="42"/>
        <v>54392623.41508875</v>
      </c>
      <c r="CF58" s="78" t="str">
        <f t="shared" si="43"/>
        <v>-</v>
      </c>
      <c r="CG58" s="35">
        <f>652711480.981063/2</f>
        <v>326355740.4905315</v>
      </c>
      <c r="CH58" s="39">
        <v>0</v>
      </c>
      <c r="CI58" s="32">
        <f t="shared" si="44"/>
        <v>326355740.4905315</v>
      </c>
      <c r="CJ58" s="78" t="str">
        <f t="shared" si="45"/>
        <v>-</v>
      </c>
      <c r="CK58" s="39">
        <v>0</v>
      </c>
      <c r="CL58" s="32">
        <f t="shared" si="46"/>
        <v>326355740.4905315</v>
      </c>
      <c r="CM58" s="77" t="str">
        <f t="shared" si="47"/>
        <v>-</v>
      </c>
      <c r="CN58" s="41">
        <f>652711480.981065*1/12</f>
        <v>54392623.41508875</v>
      </c>
      <c r="CO58" s="40">
        <v>0</v>
      </c>
      <c r="CP58" s="32">
        <f t="shared" si="48"/>
        <v>54392623.41508875</v>
      </c>
      <c r="CQ58" s="78" t="str">
        <f t="shared" si="49"/>
        <v>-</v>
      </c>
      <c r="CR58" s="35">
        <f>652711480.981063/2</f>
        <v>326355740.4905315</v>
      </c>
      <c r="CS58" s="39">
        <v>0</v>
      </c>
      <c r="CT58" s="32">
        <f t="shared" si="50"/>
        <v>326355740.4905315</v>
      </c>
      <c r="CU58" s="78" t="str">
        <f t="shared" si="51"/>
        <v>-</v>
      </c>
      <c r="CV58" s="39">
        <v>0</v>
      </c>
      <c r="CW58" s="32">
        <f t="shared" si="52"/>
        <v>326355740.4905315</v>
      </c>
      <c r="CX58" s="77" t="str">
        <f t="shared" si="53"/>
        <v>-</v>
      </c>
      <c r="CY58" s="41">
        <f>652711480.981065*1/12</f>
        <v>54392623.41508875</v>
      </c>
      <c r="CZ58" s="40">
        <v>0</v>
      </c>
      <c r="DA58" s="32">
        <f t="shared" si="54"/>
        <v>54392623.41508875</v>
      </c>
      <c r="DB58" s="78" t="str">
        <f t="shared" si="55"/>
        <v>-</v>
      </c>
      <c r="DC58" s="35">
        <f>652711480.981063/2</f>
        <v>326355740.4905315</v>
      </c>
      <c r="DD58" s="39">
        <v>0</v>
      </c>
      <c r="DE58" s="32">
        <f t="shared" si="56"/>
        <v>326355740.4905315</v>
      </c>
      <c r="DF58" s="78" t="str">
        <f t="shared" si="57"/>
        <v>-</v>
      </c>
      <c r="DG58" s="39">
        <v>0</v>
      </c>
      <c r="DH58" s="32">
        <f t="shared" si="58"/>
        <v>326355740.4905315</v>
      </c>
      <c r="DI58" s="77" t="str">
        <f t="shared" si="59"/>
        <v>-</v>
      </c>
    </row>
    <row r="59" spans="1:113" s="6" customFormat="1" outlineLevel="2" x14ac:dyDescent="0.2">
      <c r="A59" s="30"/>
      <c r="B59" s="29" t="s">
        <v>39</v>
      </c>
      <c r="C59" s="42" t="s">
        <v>38</v>
      </c>
      <c r="D59" s="27">
        <f>SUM(D57:D58)</f>
        <v>348406804.0371896</v>
      </c>
      <c r="E59" s="26">
        <f>SUM(E57:E58)</f>
        <v>0</v>
      </c>
      <c r="F59" s="23">
        <f t="shared" si="0"/>
        <v>348406804.0371896</v>
      </c>
      <c r="G59" s="76" t="str">
        <f t="shared" si="1"/>
        <v>-</v>
      </c>
      <c r="H59" s="24">
        <f>SUM(H57:H58)</f>
        <v>2090440824.2231364</v>
      </c>
      <c r="I59" s="24">
        <f>SUM(I57:I58)</f>
        <v>0</v>
      </c>
      <c r="J59" s="23">
        <f t="shared" si="2"/>
        <v>2090440824.2231364</v>
      </c>
      <c r="K59" s="76" t="str">
        <f t="shared" si="3"/>
        <v>-</v>
      </c>
      <c r="L59" s="24">
        <f>SUM(L57:L58)</f>
        <v>0</v>
      </c>
      <c r="M59" s="23">
        <f t="shared" si="4"/>
        <v>2090440824.2231364</v>
      </c>
      <c r="N59" s="75" t="str">
        <f t="shared" si="5"/>
        <v>-</v>
      </c>
      <c r="O59" s="27">
        <f>SUM(O57:O58)</f>
        <v>348406804.0371896</v>
      </c>
      <c r="P59" s="26">
        <f>SUM(P57:P58)</f>
        <v>0</v>
      </c>
      <c r="Q59" s="23">
        <f t="shared" si="6"/>
        <v>348406804.0371896</v>
      </c>
      <c r="R59" s="76" t="str">
        <f t="shared" si="7"/>
        <v>-</v>
      </c>
      <c r="S59" s="24">
        <f>SUM(S57:S58)</f>
        <v>2090440824.2231364</v>
      </c>
      <c r="T59" s="24">
        <f>SUM(T57:T58)</f>
        <v>0</v>
      </c>
      <c r="U59" s="23">
        <f t="shared" si="8"/>
        <v>2090440824.2231364</v>
      </c>
      <c r="V59" s="76" t="str">
        <f t="shared" si="9"/>
        <v>-</v>
      </c>
      <c r="W59" s="24">
        <f>SUM(W57:W58)</f>
        <v>0</v>
      </c>
      <c r="X59" s="23">
        <f t="shared" si="10"/>
        <v>2090440824.2231364</v>
      </c>
      <c r="Y59" s="75" t="str">
        <f t="shared" si="11"/>
        <v>-</v>
      </c>
      <c r="Z59" s="27">
        <f>SUM(Z57:Z58)</f>
        <v>348406804.0371896</v>
      </c>
      <c r="AA59" s="26">
        <f>SUM(AA57:AA58)</f>
        <v>0</v>
      </c>
      <c r="AB59" s="23">
        <f t="shared" si="12"/>
        <v>348406804.0371896</v>
      </c>
      <c r="AC59" s="76" t="str">
        <f t="shared" si="13"/>
        <v>-</v>
      </c>
      <c r="AD59" s="24">
        <f>SUM(AD57:AD58)</f>
        <v>2090440824.2231364</v>
      </c>
      <c r="AE59" s="24">
        <f>SUM(AE57:AE58)</f>
        <v>0</v>
      </c>
      <c r="AF59" s="23">
        <f t="shared" si="14"/>
        <v>2090440824.2231364</v>
      </c>
      <c r="AG59" s="76" t="str">
        <f t="shared" si="15"/>
        <v>-</v>
      </c>
      <c r="AH59" s="24">
        <f>SUM(AH57:AH58)</f>
        <v>0</v>
      </c>
      <c r="AI59" s="23">
        <f t="shared" si="16"/>
        <v>2090440824.2231364</v>
      </c>
      <c r="AJ59" s="75" t="str">
        <f t="shared" si="17"/>
        <v>-</v>
      </c>
      <c r="AK59" s="27">
        <f>SUM(AK57:AK58)</f>
        <v>348406804.0371896</v>
      </c>
      <c r="AL59" s="26">
        <f>SUM(AL57:AL58)</f>
        <v>0</v>
      </c>
      <c r="AM59" s="23">
        <f t="shared" si="18"/>
        <v>348406804.0371896</v>
      </c>
      <c r="AN59" s="76" t="str">
        <f t="shared" si="19"/>
        <v>-</v>
      </c>
      <c r="AO59" s="24">
        <f>SUM(AO57:AO58)</f>
        <v>2090440824.2231364</v>
      </c>
      <c r="AP59" s="24">
        <f>SUM(AP57:AP58)</f>
        <v>0</v>
      </c>
      <c r="AQ59" s="23">
        <f t="shared" si="20"/>
        <v>2090440824.2231364</v>
      </c>
      <c r="AR59" s="76" t="str">
        <f t="shared" si="21"/>
        <v>-</v>
      </c>
      <c r="AS59" s="24">
        <f>SUM(AS57:AS58)</f>
        <v>0</v>
      </c>
      <c r="AT59" s="23">
        <f t="shared" si="22"/>
        <v>2090440824.2231364</v>
      </c>
      <c r="AU59" s="75" t="str">
        <f t="shared" si="23"/>
        <v>-</v>
      </c>
      <c r="AV59" s="27">
        <f>SUM(AV57:AV58)</f>
        <v>348406804.0371896</v>
      </c>
      <c r="AW59" s="26">
        <f>SUM(AW57:AW58)</f>
        <v>0</v>
      </c>
      <c r="AX59" s="23">
        <f t="shared" si="24"/>
        <v>348406804.0371896</v>
      </c>
      <c r="AY59" s="76" t="str">
        <f t="shared" si="25"/>
        <v>-</v>
      </c>
      <c r="AZ59" s="24">
        <f>SUM(AZ57:AZ58)</f>
        <v>2090440824.2231364</v>
      </c>
      <c r="BA59" s="24">
        <f>SUM(BA57:BA58)</f>
        <v>0</v>
      </c>
      <c r="BB59" s="23">
        <f t="shared" si="26"/>
        <v>2090440824.2231364</v>
      </c>
      <c r="BC59" s="76" t="str">
        <f t="shared" si="27"/>
        <v>-</v>
      </c>
      <c r="BD59" s="24">
        <f>SUM(BD57:BD58)</f>
        <v>0</v>
      </c>
      <c r="BE59" s="23">
        <f t="shared" si="28"/>
        <v>2090440824.2231364</v>
      </c>
      <c r="BF59" s="75" t="str">
        <f t="shared" si="29"/>
        <v>-</v>
      </c>
      <c r="BG59" s="27">
        <f>SUM(BG57:BG58)</f>
        <v>348406804.0371896</v>
      </c>
      <c r="BH59" s="26">
        <f>SUM(BH57:BH58)</f>
        <v>0</v>
      </c>
      <c r="BI59" s="23">
        <f t="shared" si="30"/>
        <v>348406804.0371896</v>
      </c>
      <c r="BJ59" s="76" t="str">
        <f t="shared" si="31"/>
        <v>-</v>
      </c>
      <c r="BK59" s="24">
        <f>SUM(BK57:BK58)</f>
        <v>2090440824.2231364</v>
      </c>
      <c r="BL59" s="24">
        <f>SUM(BL57:BL58)</f>
        <v>0</v>
      </c>
      <c r="BM59" s="23">
        <f t="shared" si="32"/>
        <v>2090440824.2231364</v>
      </c>
      <c r="BN59" s="76" t="str">
        <f t="shared" si="33"/>
        <v>-</v>
      </c>
      <c r="BO59" s="24">
        <f>SUM(BO57:BO58)</f>
        <v>0</v>
      </c>
      <c r="BP59" s="23">
        <f t="shared" si="34"/>
        <v>2090440824.2231364</v>
      </c>
      <c r="BQ59" s="75" t="str">
        <f t="shared" si="35"/>
        <v>-</v>
      </c>
      <c r="BR59" s="27">
        <f>SUM(BR57:BR58)</f>
        <v>348406804.0371896</v>
      </c>
      <c r="BS59" s="26">
        <f>SUM(BS57:BS58)</f>
        <v>0</v>
      </c>
      <c r="BT59" s="23">
        <f t="shared" si="36"/>
        <v>348406804.0371896</v>
      </c>
      <c r="BU59" s="76" t="str">
        <f t="shared" si="37"/>
        <v>-</v>
      </c>
      <c r="BV59" s="24">
        <f>SUM(BV57:BV58)</f>
        <v>2090440824.2231364</v>
      </c>
      <c r="BW59" s="24">
        <f>SUM(BW57:BW58)</f>
        <v>0</v>
      </c>
      <c r="BX59" s="23">
        <f t="shared" si="38"/>
        <v>2090440824.2231364</v>
      </c>
      <c r="BY59" s="76" t="str">
        <f t="shared" si="39"/>
        <v>-</v>
      </c>
      <c r="BZ59" s="24">
        <f>SUM(BZ57:BZ58)</f>
        <v>0</v>
      </c>
      <c r="CA59" s="23">
        <f t="shared" si="40"/>
        <v>2090440824.2231364</v>
      </c>
      <c r="CB59" s="75" t="str">
        <f t="shared" si="41"/>
        <v>-</v>
      </c>
      <c r="CC59" s="27">
        <f>SUM(CC57:CC58)</f>
        <v>348406804.0371896</v>
      </c>
      <c r="CD59" s="26">
        <f>SUM(CD57:CD58)</f>
        <v>0</v>
      </c>
      <c r="CE59" s="23">
        <f t="shared" si="42"/>
        <v>348406804.0371896</v>
      </c>
      <c r="CF59" s="76" t="str">
        <f t="shared" si="43"/>
        <v>-</v>
      </c>
      <c r="CG59" s="24">
        <f>SUM(CG57:CG58)</f>
        <v>2090440824.2231364</v>
      </c>
      <c r="CH59" s="24">
        <f>SUM(CH57:CH58)</f>
        <v>0</v>
      </c>
      <c r="CI59" s="23">
        <f t="shared" si="44"/>
        <v>2090440824.2231364</v>
      </c>
      <c r="CJ59" s="76" t="str">
        <f t="shared" si="45"/>
        <v>-</v>
      </c>
      <c r="CK59" s="24">
        <f>SUM(CK57:CK58)</f>
        <v>0</v>
      </c>
      <c r="CL59" s="23">
        <f t="shared" si="46"/>
        <v>2090440824.2231364</v>
      </c>
      <c r="CM59" s="75" t="str">
        <f t="shared" si="47"/>
        <v>-</v>
      </c>
      <c r="CN59" s="27">
        <f>SUM(CN57:CN58)</f>
        <v>348406804.0371896</v>
      </c>
      <c r="CO59" s="26">
        <f>SUM(CO57:CO58)</f>
        <v>0</v>
      </c>
      <c r="CP59" s="23">
        <f t="shared" si="48"/>
        <v>348406804.0371896</v>
      </c>
      <c r="CQ59" s="76" t="str">
        <f t="shared" si="49"/>
        <v>-</v>
      </c>
      <c r="CR59" s="24">
        <f>SUM(CR57:CR58)</f>
        <v>2090440824.2231364</v>
      </c>
      <c r="CS59" s="24">
        <f>SUM(CS57:CS58)</f>
        <v>0</v>
      </c>
      <c r="CT59" s="23">
        <f t="shared" si="50"/>
        <v>2090440824.2231364</v>
      </c>
      <c r="CU59" s="76" t="str">
        <f t="shared" si="51"/>
        <v>-</v>
      </c>
      <c r="CV59" s="24">
        <f>SUM(CV57:CV58)</f>
        <v>0</v>
      </c>
      <c r="CW59" s="23">
        <f t="shared" si="52"/>
        <v>2090440824.2231364</v>
      </c>
      <c r="CX59" s="75" t="str">
        <f t="shared" si="53"/>
        <v>-</v>
      </c>
      <c r="CY59" s="27">
        <f>SUM(CY57:CY58)</f>
        <v>348406804.0371896</v>
      </c>
      <c r="CZ59" s="26">
        <f>SUM(CZ57:CZ58)</f>
        <v>0</v>
      </c>
      <c r="DA59" s="23">
        <f t="shared" si="54"/>
        <v>348406804.0371896</v>
      </c>
      <c r="DB59" s="76" t="str">
        <f t="shared" si="55"/>
        <v>-</v>
      </c>
      <c r="DC59" s="24">
        <f>SUM(DC57:DC58)</f>
        <v>2090440824.2231364</v>
      </c>
      <c r="DD59" s="24">
        <f>SUM(DD57:DD58)</f>
        <v>0</v>
      </c>
      <c r="DE59" s="23">
        <f t="shared" si="56"/>
        <v>2090440824.2231364</v>
      </c>
      <c r="DF59" s="76" t="str">
        <f t="shared" si="57"/>
        <v>-</v>
      </c>
      <c r="DG59" s="24">
        <f>SUM(DG57:DG58)</f>
        <v>0</v>
      </c>
      <c r="DH59" s="23">
        <f t="shared" si="58"/>
        <v>2090440824.2231364</v>
      </c>
      <c r="DI59" s="75" t="str">
        <f t="shared" si="59"/>
        <v>-</v>
      </c>
    </row>
    <row r="60" spans="1:113" ht="12.75" customHeight="1" outlineLevel="3" x14ac:dyDescent="0.2">
      <c r="B60" s="38" t="s">
        <v>37</v>
      </c>
      <c r="C60" s="37" t="s">
        <v>36</v>
      </c>
      <c r="D60" s="41">
        <v>0</v>
      </c>
      <c r="E60" s="40">
        <v>0</v>
      </c>
      <c r="F60" s="32">
        <f t="shared" si="0"/>
        <v>0</v>
      </c>
      <c r="G60" s="78" t="str">
        <f t="shared" si="1"/>
        <v>-</v>
      </c>
      <c r="H60" s="39">
        <v>0</v>
      </c>
      <c r="I60" s="39">
        <v>0</v>
      </c>
      <c r="J60" s="32">
        <f t="shared" si="2"/>
        <v>0</v>
      </c>
      <c r="K60" s="78" t="str">
        <f t="shared" si="3"/>
        <v>-</v>
      </c>
      <c r="L60" s="39">
        <v>0</v>
      </c>
      <c r="M60" s="32">
        <f t="shared" si="4"/>
        <v>0</v>
      </c>
      <c r="N60" s="77" t="str">
        <f t="shared" si="5"/>
        <v>-</v>
      </c>
      <c r="O60" s="41">
        <v>0</v>
      </c>
      <c r="P60" s="40">
        <v>0</v>
      </c>
      <c r="Q60" s="32">
        <f t="shared" si="6"/>
        <v>0</v>
      </c>
      <c r="R60" s="78" t="str">
        <f t="shared" si="7"/>
        <v>-</v>
      </c>
      <c r="S60" s="39">
        <v>0</v>
      </c>
      <c r="T60" s="39">
        <v>0</v>
      </c>
      <c r="U60" s="32">
        <f t="shared" si="8"/>
        <v>0</v>
      </c>
      <c r="V60" s="78" t="str">
        <f t="shared" si="9"/>
        <v>-</v>
      </c>
      <c r="W60" s="39">
        <v>0</v>
      </c>
      <c r="X60" s="32">
        <f t="shared" si="10"/>
        <v>0</v>
      </c>
      <c r="Y60" s="77" t="str">
        <f t="shared" si="11"/>
        <v>-</v>
      </c>
      <c r="Z60" s="41">
        <v>0</v>
      </c>
      <c r="AA60" s="40">
        <v>0</v>
      </c>
      <c r="AB60" s="32">
        <f t="shared" si="12"/>
        <v>0</v>
      </c>
      <c r="AC60" s="78" t="str">
        <f t="shared" si="13"/>
        <v>-</v>
      </c>
      <c r="AD60" s="39">
        <v>0</v>
      </c>
      <c r="AE60" s="39">
        <v>0</v>
      </c>
      <c r="AF60" s="32">
        <f t="shared" si="14"/>
        <v>0</v>
      </c>
      <c r="AG60" s="78" t="str">
        <f t="shared" si="15"/>
        <v>-</v>
      </c>
      <c r="AH60" s="39">
        <v>0</v>
      </c>
      <c r="AI60" s="32">
        <f t="shared" si="16"/>
        <v>0</v>
      </c>
      <c r="AJ60" s="77" t="str">
        <f t="shared" si="17"/>
        <v>-</v>
      </c>
      <c r="AK60" s="41">
        <v>0</v>
      </c>
      <c r="AL60" s="40">
        <v>0</v>
      </c>
      <c r="AM60" s="32">
        <f t="shared" si="18"/>
        <v>0</v>
      </c>
      <c r="AN60" s="78" t="str">
        <f t="shared" si="19"/>
        <v>-</v>
      </c>
      <c r="AO60" s="39">
        <v>0</v>
      </c>
      <c r="AP60" s="39">
        <v>0</v>
      </c>
      <c r="AQ60" s="32">
        <f t="shared" si="20"/>
        <v>0</v>
      </c>
      <c r="AR60" s="78" t="str">
        <f t="shared" si="21"/>
        <v>-</v>
      </c>
      <c r="AS60" s="39">
        <v>0</v>
      </c>
      <c r="AT60" s="32">
        <f t="shared" si="22"/>
        <v>0</v>
      </c>
      <c r="AU60" s="77" t="str">
        <f t="shared" si="23"/>
        <v>-</v>
      </c>
      <c r="AV60" s="41">
        <v>0</v>
      </c>
      <c r="AW60" s="40">
        <v>0</v>
      </c>
      <c r="AX60" s="32">
        <f t="shared" si="24"/>
        <v>0</v>
      </c>
      <c r="AY60" s="78" t="str">
        <f t="shared" si="25"/>
        <v>-</v>
      </c>
      <c r="AZ60" s="39">
        <v>0</v>
      </c>
      <c r="BA60" s="39">
        <v>0</v>
      </c>
      <c r="BB60" s="32">
        <f t="shared" si="26"/>
        <v>0</v>
      </c>
      <c r="BC60" s="78" t="str">
        <f t="shared" si="27"/>
        <v>-</v>
      </c>
      <c r="BD60" s="39">
        <v>0</v>
      </c>
      <c r="BE60" s="32">
        <f t="shared" si="28"/>
        <v>0</v>
      </c>
      <c r="BF60" s="77" t="str">
        <f t="shared" si="29"/>
        <v>-</v>
      </c>
      <c r="BG60" s="41">
        <v>0</v>
      </c>
      <c r="BH60" s="40">
        <v>0</v>
      </c>
      <c r="BI60" s="32">
        <f t="shared" si="30"/>
        <v>0</v>
      </c>
      <c r="BJ60" s="78" t="str">
        <f t="shared" si="31"/>
        <v>-</v>
      </c>
      <c r="BK60" s="39">
        <v>0</v>
      </c>
      <c r="BL60" s="39">
        <v>0</v>
      </c>
      <c r="BM60" s="32">
        <f t="shared" si="32"/>
        <v>0</v>
      </c>
      <c r="BN60" s="78" t="str">
        <f t="shared" si="33"/>
        <v>-</v>
      </c>
      <c r="BO60" s="39">
        <v>0</v>
      </c>
      <c r="BP60" s="32">
        <f t="shared" si="34"/>
        <v>0</v>
      </c>
      <c r="BQ60" s="77" t="str">
        <f t="shared" si="35"/>
        <v>-</v>
      </c>
      <c r="BR60" s="41">
        <v>0</v>
      </c>
      <c r="BS60" s="40">
        <v>0</v>
      </c>
      <c r="BT60" s="32">
        <f t="shared" si="36"/>
        <v>0</v>
      </c>
      <c r="BU60" s="78" t="str">
        <f t="shared" si="37"/>
        <v>-</v>
      </c>
      <c r="BV60" s="39">
        <v>0</v>
      </c>
      <c r="BW60" s="39">
        <v>0</v>
      </c>
      <c r="BX60" s="32">
        <f t="shared" si="38"/>
        <v>0</v>
      </c>
      <c r="BY60" s="78" t="str">
        <f t="shared" si="39"/>
        <v>-</v>
      </c>
      <c r="BZ60" s="39">
        <v>0</v>
      </c>
      <c r="CA60" s="32">
        <f t="shared" si="40"/>
        <v>0</v>
      </c>
      <c r="CB60" s="77" t="str">
        <f t="shared" si="41"/>
        <v>-</v>
      </c>
      <c r="CC60" s="41">
        <v>0</v>
      </c>
      <c r="CD60" s="40">
        <v>0</v>
      </c>
      <c r="CE60" s="32">
        <f t="shared" si="42"/>
        <v>0</v>
      </c>
      <c r="CF60" s="78" t="str">
        <f t="shared" si="43"/>
        <v>-</v>
      </c>
      <c r="CG60" s="39">
        <v>0</v>
      </c>
      <c r="CH60" s="39">
        <v>0</v>
      </c>
      <c r="CI60" s="32">
        <f t="shared" si="44"/>
        <v>0</v>
      </c>
      <c r="CJ60" s="78" t="str">
        <f t="shared" si="45"/>
        <v>-</v>
      </c>
      <c r="CK60" s="39">
        <v>0</v>
      </c>
      <c r="CL60" s="32">
        <f t="shared" si="46"/>
        <v>0</v>
      </c>
      <c r="CM60" s="77" t="str">
        <f t="shared" si="47"/>
        <v>-</v>
      </c>
      <c r="CN60" s="41">
        <v>0</v>
      </c>
      <c r="CO60" s="40">
        <v>0</v>
      </c>
      <c r="CP60" s="32">
        <f t="shared" si="48"/>
        <v>0</v>
      </c>
      <c r="CQ60" s="78" t="str">
        <f t="shared" si="49"/>
        <v>-</v>
      </c>
      <c r="CR60" s="39">
        <v>0</v>
      </c>
      <c r="CS60" s="39">
        <v>0</v>
      </c>
      <c r="CT60" s="32">
        <f t="shared" si="50"/>
        <v>0</v>
      </c>
      <c r="CU60" s="78" t="str">
        <f t="shared" si="51"/>
        <v>-</v>
      </c>
      <c r="CV60" s="39">
        <v>0</v>
      </c>
      <c r="CW60" s="32">
        <f t="shared" si="52"/>
        <v>0</v>
      </c>
      <c r="CX60" s="77" t="str">
        <f t="shared" si="53"/>
        <v>-</v>
      </c>
      <c r="CY60" s="41">
        <v>0</v>
      </c>
      <c r="CZ60" s="40">
        <v>0</v>
      </c>
      <c r="DA60" s="32">
        <f t="shared" si="54"/>
        <v>0</v>
      </c>
      <c r="DB60" s="78" t="str">
        <f t="shared" si="55"/>
        <v>-</v>
      </c>
      <c r="DC60" s="39">
        <v>0</v>
      </c>
      <c r="DD60" s="39">
        <v>0</v>
      </c>
      <c r="DE60" s="32">
        <f t="shared" si="56"/>
        <v>0</v>
      </c>
      <c r="DF60" s="78" t="str">
        <f t="shared" si="57"/>
        <v>-</v>
      </c>
      <c r="DG60" s="39">
        <v>0</v>
      </c>
      <c r="DH60" s="32">
        <f t="shared" si="58"/>
        <v>0</v>
      </c>
      <c r="DI60" s="77" t="str">
        <f t="shared" si="59"/>
        <v>-</v>
      </c>
    </row>
    <row r="61" spans="1:113" ht="12.75" customHeight="1" outlineLevel="3" x14ac:dyDescent="0.2">
      <c r="B61" s="38" t="s">
        <v>35</v>
      </c>
      <c r="C61" s="37" t="s">
        <v>34</v>
      </c>
      <c r="D61" s="41">
        <v>0</v>
      </c>
      <c r="E61" s="40">
        <v>0</v>
      </c>
      <c r="F61" s="32">
        <f t="shared" si="0"/>
        <v>0</v>
      </c>
      <c r="G61" s="78" t="str">
        <f t="shared" si="1"/>
        <v>-</v>
      </c>
      <c r="H61" s="39">
        <v>0</v>
      </c>
      <c r="I61" s="39">
        <v>0</v>
      </c>
      <c r="J61" s="32">
        <f t="shared" si="2"/>
        <v>0</v>
      </c>
      <c r="K61" s="78" t="str">
        <f t="shared" si="3"/>
        <v>-</v>
      </c>
      <c r="L61" s="39">
        <v>0</v>
      </c>
      <c r="M61" s="32">
        <f t="shared" si="4"/>
        <v>0</v>
      </c>
      <c r="N61" s="77" t="str">
        <f t="shared" si="5"/>
        <v>-</v>
      </c>
      <c r="O61" s="41">
        <v>0</v>
      </c>
      <c r="P61" s="40">
        <v>0</v>
      </c>
      <c r="Q61" s="32">
        <f t="shared" si="6"/>
        <v>0</v>
      </c>
      <c r="R61" s="78" t="str">
        <f t="shared" si="7"/>
        <v>-</v>
      </c>
      <c r="S61" s="39">
        <v>0</v>
      </c>
      <c r="T61" s="39">
        <v>0</v>
      </c>
      <c r="U61" s="32">
        <f t="shared" si="8"/>
        <v>0</v>
      </c>
      <c r="V61" s="78" t="str">
        <f t="shared" si="9"/>
        <v>-</v>
      </c>
      <c r="W61" s="39">
        <v>0</v>
      </c>
      <c r="X61" s="32">
        <f t="shared" si="10"/>
        <v>0</v>
      </c>
      <c r="Y61" s="77" t="str">
        <f t="shared" si="11"/>
        <v>-</v>
      </c>
      <c r="Z61" s="41">
        <v>0</v>
      </c>
      <c r="AA61" s="40">
        <v>0</v>
      </c>
      <c r="AB61" s="32">
        <f t="shared" si="12"/>
        <v>0</v>
      </c>
      <c r="AC61" s="78" t="str">
        <f t="shared" si="13"/>
        <v>-</v>
      </c>
      <c r="AD61" s="39">
        <v>0</v>
      </c>
      <c r="AE61" s="39">
        <v>0</v>
      </c>
      <c r="AF61" s="32">
        <f t="shared" si="14"/>
        <v>0</v>
      </c>
      <c r="AG61" s="78" t="str">
        <f t="shared" si="15"/>
        <v>-</v>
      </c>
      <c r="AH61" s="39">
        <v>0</v>
      </c>
      <c r="AI61" s="32">
        <f t="shared" si="16"/>
        <v>0</v>
      </c>
      <c r="AJ61" s="77" t="str">
        <f t="shared" si="17"/>
        <v>-</v>
      </c>
      <c r="AK61" s="41">
        <v>0</v>
      </c>
      <c r="AL61" s="40">
        <v>0</v>
      </c>
      <c r="AM61" s="32">
        <f t="shared" si="18"/>
        <v>0</v>
      </c>
      <c r="AN61" s="78" t="str">
        <f t="shared" si="19"/>
        <v>-</v>
      </c>
      <c r="AO61" s="39">
        <v>0</v>
      </c>
      <c r="AP61" s="39">
        <v>0</v>
      </c>
      <c r="AQ61" s="32">
        <f t="shared" si="20"/>
        <v>0</v>
      </c>
      <c r="AR61" s="78" t="str">
        <f t="shared" si="21"/>
        <v>-</v>
      </c>
      <c r="AS61" s="39">
        <v>0</v>
      </c>
      <c r="AT61" s="32">
        <f t="shared" si="22"/>
        <v>0</v>
      </c>
      <c r="AU61" s="77" t="str">
        <f t="shared" si="23"/>
        <v>-</v>
      </c>
      <c r="AV61" s="41">
        <v>0</v>
      </c>
      <c r="AW61" s="40">
        <v>0</v>
      </c>
      <c r="AX61" s="32">
        <f t="shared" si="24"/>
        <v>0</v>
      </c>
      <c r="AY61" s="78" t="str">
        <f t="shared" si="25"/>
        <v>-</v>
      </c>
      <c r="AZ61" s="39">
        <v>0</v>
      </c>
      <c r="BA61" s="39">
        <v>0</v>
      </c>
      <c r="BB61" s="32">
        <f t="shared" si="26"/>
        <v>0</v>
      </c>
      <c r="BC61" s="78" t="str">
        <f t="shared" si="27"/>
        <v>-</v>
      </c>
      <c r="BD61" s="39">
        <v>0</v>
      </c>
      <c r="BE61" s="32">
        <f t="shared" si="28"/>
        <v>0</v>
      </c>
      <c r="BF61" s="77" t="str">
        <f t="shared" si="29"/>
        <v>-</v>
      </c>
      <c r="BG61" s="41">
        <v>0</v>
      </c>
      <c r="BH61" s="40">
        <v>0</v>
      </c>
      <c r="BI61" s="32">
        <f t="shared" si="30"/>
        <v>0</v>
      </c>
      <c r="BJ61" s="78" t="str">
        <f t="shared" si="31"/>
        <v>-</v>
      </c>
      <c r="BK61" s="39">
        <v>0</v>
      </c>
      <c r="BL61" s="39">
        <v>0</v>
      </c>
      <c r="BM61" s="32">
        <f t="shared" si="32"/>
        <v>0</v>
      </c>
      <c r="BN61" s="78" t="str">
        <f t="shared" si="33"/>
        <v>-</v>
      </c>
      <c r="BO61" s="39">
        <v>0</v>
      </c>
      <c r="BP61" s="32">
        <f t="shared" si="34"/>
        <v>0</v>
      </c>
      <c r="BQ61" s="77" t="str">
        <f t="shared" si="35"/>
        <v>-</v>
      </c>
      <c r="BR61" s="41">
        <v>0</v>
      </c>
      <c r="BS61" s="40">
        <v>0</v>
      </c>
      <c r="BT61" s="32">
        <f t="shared" si="36"/>
        <v>0</v>
      </c>
      <c r="BU61" s="78" t="str">
        <f t="shared" si="37"/>
        <v>-</v>
      </c>
      <c r="BV61" s="39">
        <v>0</v>
      </c>
      <c r="BW61" s="39">
        <v>0</v>
      </c>
      <c r="BX61" s="32">
        <f t="shared" si="38"/>
        <v>0</v>
      </c>
      <c r="BY61" s="78" t="str">
        <f t="shared" si="39"/>
        <v>-</v>
      </c>
      <c r="BZ61" s="39">
        <v>0</v>
      </c>
      <c r="CA61" s="32">
        <f t="shared" si="40"/>
        <v>0</v>
      </c>
      <c r="CB61" s="77" t="str">
        <f t="shared" si="41"/>
        <v>-</v>
      </c>
      <c r="CC61" s="41">
        <v>0</v>
      </c>
      <c r="CD61" s="40">
        <v>0</v>
      </c>
      <c r="CE61" s="32">
        <f t="shared" si="42"/>
        <v>0</v>
      </c>
      <c r="CF61" s="78" t="str">
        <f t="shared" si="43"/>
        <v>-</v>
      </c>
      <c r="CG61" s="39">
        <v>0</v>
      </c>
      <c r="CH61" s="39">
        <v>0</v>
      </c>
      <c r="CI61" s="32">
        <f t="shared" si="44"/>
        <v>0</v>
      </c>
      <c r="CJ61" s="78" t="str">
        <f t="shared" si="45"/>
        <v>-</v>
      </c>
      <c r="CK61" s="39">
        <v>0</v>
      </c>
      <c r="CL61" s="32">
        <f t="shared" si="46"/>
        <v>0</v>
      </c>
      <c r="CM61" s="77" t="str">
        <f t="shared" si="47"/>
        <v>-</v>
      </c>
      <c r="CN61" s="41">
        <v>0</v>
      </c>
      <c r="CO61" s="40">
        <v>0</v>
      </c>
      <c r="CP61" s="32">
        <f t="shared" si="48"/>
        <v>0</v>
      </c>
      <c r="CQ61" s="78" t="str">
        <f t="shared" si="49"/>
        <v>-</v>
      </c>
      <c r="CR61" s="39">
        <v>0</v>
      </c>
      <c r="CS61" s="39">
        <v>0</v>
      </c>
      <c r="CT61" s="32">
        <f t="shared" si="50"/>
        <v>0</v>
      </c>
      <c r="CU61" s="78" t="str">
        <f t="shared" si="51"/>
        <v>-</v>
      </c>
      <c r="CV61" s="39">
        <v>0</v>
      </c>
      <c r="CW61" s="32">
        <f t="shared" si="52"/>
        <v>0</v>
      </c>
      <c r="CX61" s="77" t="str">
        <f t="shared" si="53"/>
        <v>-</v>
      </c>
      <c r="CY61" s="41">
        <v>0</v>
      </c>
      <c r="CZ61" s="40">
        <v>0</v>
      </c>
      <c r="DA61" s="32">
        <f t="shared" si="54"/>
        <v>0</v>
      </c>
      <c r="DB61" s="78" t="str">
        <f t="shared" si="55"/>
        <v>-</v>
      </c>
      <c r="DC61" s="39">
        <v>0</v>
      </c>
      <c r="DD61" s="39">
        <v>0</v>
      </c>
      <c r="DE61" s="32">
        <f t="shared" si="56"/>
        <v>0</v>
      </c>
      <c r="DF61" s="78" t="str">
        <f t="shared" si="57"/>
        <v>-</v>
      </c>
      <c r="DG61" s="39">
        <v>0</v>
      </c>
      <c r="DH61" s="32">
        <f t="shared" si="58"/>
        <v>0</v>
      </c>
      <c r="DI61" s="77" t="str">
        <f t="shared" si="59"/>
        <v>-</v>
      </c>
    </row>
    <row r="62" spans="1:113" s="6" customFormat="1" outlineLevel="2" x14ac:dyDescent="0.2">
      <c r="A62" s="30"/>
      <c r="B62" s="29" t="s">
        <v>33</v>
      </c>
      <c r="C62" s="42" t="s">
        <v>32</v>
      </c>
      <c r="D62" s="27">
        <f>SUM(D60:D61)</f>
        <v>0</v>
      </c>
      <c r="E62" s="26">
        <f>SUM(E60:E61)</f>
        <v>0</v>
      </c>
      <c r="F62" s="23">
        <f t="shared" si="0"/>
        <v>0</v>
      </c>
      <c r="G62" s="76" t="str">
        <f t="shared" si="1"/>
        <v>-</v>
      </c>
      <c r="H62" s="24">
        <f>SUM(H60:H61)</f>
        <v>0</v>
      </c>
      <c r="I62" s="24">
        <f>SUM(I60:I61)</f>
        <v>0</v>
      </c>
      <c r="J62" s="23">
        <f t="shared" si="2"/>
        <v>0</v>
      </c>
      <c r="K62" s="76" t="str">
        <f t="shared" si="3"/>
        <v>-</v>
      </c>
      <c r="L62" s="24">
        <f>SUM(L60:L61)</f>
        <v>0</v>
      </c>
      <c r="M62" s="23">
        <f t="shared" si="4"/>
        <v>0</v>
      </c>
      <c r="N62" s="75" t="str">
        <f t="shared" si="5"/>
        <v>-</v>
      </c>
      <c r="O62" s="27">
        <f>SUM(O60:O61)</f>
        <v>0</v>
      </c>
      <c r="P62" s="26">
        <f>SUM(P60:P61)</f>
        <v>0</v>
      </c>
      <c r="Q62" s="23">
        <f t="shared" si="6"/>
        <v>0</v>
      </c>
      <c r="R62" s="76" t="str">
        <f t="shared" si="7"/>
        <v>-</v>
      </c>
      <c r="S62" s="24">
        <f>SUM(S60:S61)</f>
        <v>0</v>
      </c>
      <c r="T62" s="24">
        <f>SUM(T60:T61)</f>
        <v>0</v>
      </c>
      <c r="U62" s="23">
        <f t="shared" si="8"/>
        <v>0</v>
      </c>
      <c r="V62" s="76" t="str">
        <f t="shared" si="9"/>
        <v>-</v>
      </c>
      <c r="W62" s="24">
        <f>SUM(W60:W61)</f>
        <v>0</v>
      </c>
      <c r="X62" s="23">
        <f t="shared" si="10"/>
        <v>0</v>
      </c>
      <c r="Y62" s="75" t="str">
        <f t="shared" si="11"/>
        <v>-</v>
      </c>
      <c r="Z62" s="27">
        <f>SUM(Z60:Z61)</f>
        <v>0</v>
      </c>
      <c r="AA62" s="26">
        <f>SUM(AA60:AA61)</f>
        <v>0</v>
      </c>
      <c r="AB62" s="23">
        <f t="shared" si="12"/>
        <v>0</v>
      </c>
      <c r="AC62" s="76" t="str">
        <f t="shared" si="13"/>
        <v>-</v>
      </c>
      <c r="AD62" s="24">
        <f>SUM(AD60:AD61)</f>
        <v>0</v>
      </c>
      <c r="AE62" s="24">
        <f>SUM(AE60:AE61)</f>
        <v>0</v>
      </c>
      <c r="AF62" s="23">
        <f t="shared" si="14"/>
        <v>0</v>
      </c>
      <c r="AG62" s="76" t="str">
        <f t="shared" si="15"/>
        <v>-</v>
      </c>
      <c r="AH62" s="24">
        <f>SUM(AH60:AH61)</f>
        <v>0</v>
      </c>
      <c r="AI62" s="23">
        <f t="shared" si="16"/>
        <v>0</v>
      </c>
      <c r="AJ62" s="75" t="str">
        <f t="shared" si="17"/>
        <v>-</v>
      </c>
      <c r="AK62" s="27">
        <f>SUM(AK60:AK61)</f>
        <v>0</v>
      </c>
      <c r="AL62" s="26">
        <f>SUM(AL60:AL61)</f>
        <v>0</v>
      </c>
      <c r="AM62" s="23">
        <f t="shared" si="18"/>
        <v>0</v>
      </c>
      <c r="AN62" s="76" t="str">
        <f t="shared" si="19"/>
        <v>-</v>
      </c>
      <c r="AO62" s="24">
        <f>SUM(AO60:AO61)</f>
        <v>0</v>
      </c>
      <c r="AP62" s="24">
        <f>SUM(AP60:AP61)</f>
        <v>0</v>
      </c>
      <c r="AQ62" s="23">
        <f t="shared" si="20"/>
        <v>0</v>
      </c>
      <c r="AR62" s="76" t="str">
        <f t="shared" si="21"/>
        <v>-</v>
      </c>
      <c r="AS62" s="24">
        <f>SUM(AS60:AS61)</f>
        <v>0</v>
      </c>
      <c r="AT62" s="23">
        <f t="shared" si="22"/>
        <v>0</v>
      </c>
      <c r="AU62" s="75" t="str">
        <f t="shared" si="23"/>
        <v>-</v>
      </c>
      <c r="AV62" s="27">
        <f>SUM(AV60:AV61)</f>
        <v>0</v>
      </c>
      <c r="AW62" s="26">
        <f>SUM(AW60:AW61)</f>
        <v>0</v>
      </c>
      <c r="AX62" s="23">
        <f t="shared" si="24"/>
        <v>0</v>
      </c>
      <c r="AY62" s="76" t="str">
        <f t="shared" si="25"/>
        <v>-</v>
      </c>
      <c r="AZ62" s="24">
        <f>SUM(AZ60:AZ61)</f>
        <v>0</v>
      </c>
      <c r="BA62" s="24">
        <f>SUM(BA60:BA61)</f>
        <v>0</v>
      </c>
      <c r="BB62" s="23">
        <f t="shared" si="26"/>
        <v>0</v>
      </c>
      <c r="BC62" s="76" t="str">
        <f t="shared" si="27"/>
        <v>-</v>
      </c>
      <c r="BD62" s="24">
        <f>SUM(BD60:BD61)</f>
        <v>0</v>
      </c>
      <c r="BE62" s="23">
        <f t="shared" si="28"/>
        <v>0</v>
      </c>
      <c r="BF62" s="75" t="str">
        <f t="shared" si="29"/>
        <v>-</v>
      </c>
      <c r="BG62" s="27">
        <f>SUM(BG60:BG61)</f>
        <v>0</v>
      </c>
      <c r="BH62" s="26">
        <f>SUM(BH60:BH61)</f>
        <v>0</v>
      </c>
      <c r="BI62" s="23">
        <f t="shared" si="30"/>
        <v>0</v>
      </c>
      <c r="BJ62" s="76" t="str">
        <f t="shared" si="31"/>
        <v>-</v>
      </c>
      <c r="BK62" s="24">
        <f>SUM(BK60:BK61)</f>
        <v>0</v>
      </c>
      <c r="BL62" s="24">
        <f>SUM(BL60:BL61)</f>
        <v>0</v>
      </c>
      <c r="BM62" s="23">
        <f t="shared" si="32"/>
        <v>0</v>
      </c>
      <c r="BN62" s="76" t="str">
        <f t="shared" si="33"/>
        <v>-</v>
      </c>
      <c r="BO62" s="24">
        <f>SUM(BO60:BO61)</f>
        <v>0</v>
      </c>
      <c r="BP62" s="23">
        <f t="shared" si="34"/>
        <v>0</v>
      </c>
      <c r="BQ62" s="75" t="str">
        <f t="shared" si="35"/>
        <v>-</v>
      </c>
      <c r="BR62" s="27">
        <f>SUM(BR60:BR61)</f>
        <v>0</v>
      </c>
      <c r="BS62" s="26">
        <f>SUM(BS60:BS61)</f>
        <v>0</v>
      </c>
      <c r="BT62" s="23">
        <f t="shared" si="36"/>
        <v>0</v>
      </c>
      <c r="BU62" s="76" t="str">
        <f t="shared" si="37"/>
        <v>-</v>
      </c>
      <c r="BV62" s="24">
        <f>SUM(BV60:BV61)</f>
        <v>0</v>
      </c>
      <c r="BW62" s="24">
        <f>SUM(BW60:BW61)</f>
        <v>0</v>
      </c>
      <c r="BX62" s="23">
        <f t="shared" si="38"/>
        <v>0</v>
      </c>
      <c r="BY62" s="76" t="str">
        <f t="shared" si="39"/>
        <v>-</v>
      </c>
      <c r="BZ62" s="24">
        <f>SUM(BZ60:BZ61)</f>
        <v>0</v>
      </c>
      <c r="CA62" s="23">
        <f t="shared" si="40"/>
        <v>0</v>
      </c>
      <c r="CB62" s="75" t="str">
        <f t="shared" si="41"/>
        <v>-</v>
      </c>
      <c r="CC62" s="27">
        <f>SUM(CC60:CC61)</f>
        <v>0</v>
      </c>
      <c r="CD62" s="26">
        <f>SUM(CD60:CD61)</f>
        <v>0</v>
      </c>
      <c r="CE62" s="23">
        <f t="shared" si="42"/>
        <v>0</v>
      </c>
      <c r="CF62" s="76" t="str">
        <f t="shared" si="43"/>
        <v>-</v>
      </c>
      <c r="CG62" s="24">
        <f>SUM(CG60:CG61)</f>
        <v>0</v>
      </c>
      <c r="CH62" s="24">
        <f>SUM(CH60:CH61)</f>
        <v>0</v>
      </c>
      <c r="CI62" s="23">
        <f t="shared" si="44"/>
        <v>0</v>
      </c>
      <c r="CJ62" s="76" t="str">
        <f t="shared" si="45"/>
        <v>-</v>
      </c>
      <c r="CK62" s="24">
        <f>SUM(CK60:CK61)</f>
        <v>0</v>
      </c>
      <c r="CL62" s="23">
        <f t="shared" si="46"/>
        <v>0</v>
      </c>
      <c r="CM62" s="75" t="str">
        <f t="shared" si="47"/>
        <v>-</v>
      </c>
      <c r="CN62" s="27">
        <f>SUM(CN60:CN61)</f>
        <v>0</v>
      </c>
      <c r="CO62" s="26">
        <f>SUM(CO60:CO61)</f>
        <v>0</v>
      </c>
      <c r="CP62" s="23">
        <f t="shared" si="48"/>
        <v>0</v>
      </c>
      <c r="CQ62" s="76" t="str">
        <f t="shared" si="49"/>
        <v>-</v>
      </c>
      <c r="CR62" s="24">
        <f>SUM(CR60:CR61)</f>
        <v>0</v>
      </c>
      <c r="CS62" s="24">
        <f>SUM(CS60:CS61)</f>
        <v>0</v>
      </c>
      <c r="CT62" s="23">
        <f t="shared" si="50"/>
        <v>0</v>
      </c>
      <c r="CU62" s="76" t="str">
        <f t="shared" si="51"/>
        <v>-</v>
      </c>
      <c r="CV62" s="24">
        <f>SUM(CV60:CV61)</f>
        <v>0</v>
      </c>
      <c r="CW62" s="23">
        <f t="shared" si="52"/>
        <v>0</v>
      </c>
      <c r="CX62" s="75" t="str">
        <f t="shared" si="53"/>
        <v>-</v>
      </c>
      <c r="CY62" s="27">
        <f>SUM(CY60:CY61)</f>
        <v>0</v>
      </c>
      <c r="CZ62" s="26">
        <f>SUM(CZ60:CZ61)</f>
        <v>0</v>
      </c>
      <c r="DA62" s="23">
        <f t="shared" si="54"/>
        <v>0</v>
      </c>
      <c r="DB62" s="76" t="str">
        <f t="shared" si="55"/>
        <v>-</v>
      </c>
      <c r="DC62" s="24">
        <f>SUM(DC60:DC61)</f>
        <v>0</v>
      </c>
      <c r="DD62" s="24">
        <f>SUM(DD60:DD61)</f>
        <v>0</v>
      </c>
      <c r="DE62" s="23">
        <f t="shared" si="56"/>
        <v>0</v>
      </c>
      <c r="DF62" s="76" t="str">
        <f t="shared" si="57"/>
        <v>-</v>
      </c>
      <c r="DG62" s="24">
        <f>SUM(DG60:DG61)</f>
        <v>0</v>
      </c>
      <c r="DH62" s="23">
        <f t="shared" si="58"/>
        <v>0</v>
      </c>
      <c r="DI62" s="75" t="str">
        <f t="shared" si="59"/>
        <v>-</v>
      </c>
    </row>
    <row r="63" spans="1:113" ht="12.75" customHeight="1" outlineLevel="3" x14ac:dyDescent="0.2">
      <c r="B63" s="38" t="s">
        <v>26</v>
      </c>
      <c r="C63" s="37" t="s">
        <v>31</v>
      </c>
      <c r="D63" s="41">
        <f>H63/3</f>
        <v>0</v>
      </c>
      <c r="E63" s="40">
        <f>3528170167.46521/12</f>
        <v>294014180.62210083</v>
      </c>
      <c r="F63" s="32">
        <f t="shared" si="0"/>
        <v>-294014180.62210083</v>
      </c>
      <c r="G63" s="78">
        <f t="shared" si="1"/>
        <v>-1</v>
      </c>
      <c r="H63" s="39">
        <v>0</v>
      </c>
      <c r="I63" s="40">
        <f>3528170167.46521/2</f>
        <v>1764085083.732605</v>
      </c>
      <c r="J63" s="32">
        <f t="shared" si="2"/>
        <v>-1764085083.732605</v>
      </c>
      <c r="K63" s="78">
        <f t="shared" si="3"/>
        <v>-1</v>
      </c>
      <c r="L63" s="39">
        <v>3528170167.4652085</v>
      </c>
      <c r="M63" s="32">
        <f t="shared" si="4"/>
        <v>-3528170167.4652085</v>
      </c>
      <c r="N63" s="77">
        <f t="shared" si="5"/>
        <v>-1</v>
      </c>
      <c r="O63" s="41">
        <f>S63/3</f>
        <v>0</v>
      </c>
      <c r="P63" s="40">
        <f>3528170167.46521/12</f>
        <v>294014180.62210083</v>
      </c>
      <c r="Q63" s="32">
        <f t="shared" si="6"/>
        <v>-294014180.62210083</v>
      </c>
      <c r="R63" s="78">
        <f t="shared" si="7"/>
        <v>-1</v>
      </c>
      <c r="S63" s="39">
        <v>0</v>
      </c>
      <c r="T63" s="40">
        <f>3528170167.46521/2</f>
        <v>1764085083.732605</v>
      </c>
      <c r="U63" s="32">
        <f t="shared" si="8"/>
        <v>-1764085083.732605</v>
      </c>
      <c r="V63" s="78">
        <f t="shared" si="9"/>
        <v>-1</v>
      </c>
      <c r="W63" s="39">
        <v>3528170167.4652085</v>
      </c>
      <c r="X63" s="32">
        <f t="shared" si="10"/>
        <v>-3528170167.4652085</v>
      </c>
      <c r="Y63" s="77">
        <f t="shared" si="11"/>
        <v>-1</v>
      </c>
      <c r="Z63" s="41">
        <f>AD63/3</f>
        <v>0</v>
      </c>
      <c r="AA63" s="40">
        <f>3528170167.46521/12</f>
        <v>294014180.62210083</v>
      </c>
      <c r="AB63" s="32">
        <f t="shared" si="12"/>
        <v>-294014180.62210083</v>
      </c>
      <c r="AC63" s="78">
        <f t="shared" si="13"/>
        <v>-1</v>
      </c>
      <c r="AD63" s="39">
        <v>0</v>
      </c>
      <c r="AE63" s="40">
        <f>3528170167.46521/2</f>
        <v>1764085083.732605</v>
      </c>
      <c r="AF63" s="32">
        <f t="shared" si="14"/>
        <v>-1764085083.732605</v>
      </c>
      <c r="AG63" s="78">
        <f t="shared" si="15"/>
        <v>-1</v>
      </c>
      <c r="AH63" s="39">
        <v>3528170167.4652085</v>
      </c>
      <c r="AI63" s="32">
        <f t="shared" si="16"/>
        <v>-3528170167.4652085</v>
      </c>
      <c r="AJ63" s="77">
        <f t="shared" si="17"/>
        <v>-1</v>
      </c>
      <c r="AK63" s="41">
        <f>AO63/3</f>
        <v>0</v>
      </c>
      <c r="AL63" s="40">
        <f>3528170167.46521/12</f>
        <v>294014180.62210083</v>
      </c>
      <c r="AM63" s="32">
        <f t="shared" si="18"/>
        <v>-294014180.62210083</v>
      </c>
      <c r="AN63" s="78">
        <f t="shared" si="19"/>
        <v>-1</v>
      </c>
      <c r="AO63" s="39">
        <v>0</v>
      </c>
      <c r="AP63" s="40">
        <f>3528170167.46521/2</f>
        <v>1764085083.732605</v>
      </c>
      <c r="AQ63" s="32">
        <f t="shared" si="20"/>
        <v>-1764085083.732605</v>
      </c>
      <c r="AR63" s="78">
        <f t="shared" si="21"/>
        <v>-1</v>
      </c>
      <c r="AS63" s="39">
        <v>3528170167.4652085</v>
      </c>
      <c r="AT63" s="32">
        <f t="shared" si="22"/>
        <v>-3528170167.4652085</v>
      </c>
      <c r="AU63" s="77">
        <f t="shared" si="23"/>
        <v>-1</v>
      </c>
      <c r="AV63" s="41">
        <f>AZ63/3</f>
        <v>0</v>
      </c>
      <c r="AW63" s="40">
        <f>3528170167.46521/12</f>
        <v>294014180.62210083</v>
      </c>
      <c r="AX63" s="32">
        <f t="shared" si="24"/>
        <v>-294014180.62210083</v>
      </c>
      <c r="AY63" s="78">
        <f t="shared" si="25"/>
        <v>-1</v>
      </c>
      <c r="AZ63" s="39">
        <v>0</v>
      </c>
      <c r="BA63" s="40">
        <f>3528170167.46521/2</f>
        <v>1764085083.732605</v>
      </c>
      <c r="BB63" s="32">
        <f t="shared" si="26"/>
        <v>-1764085083.732605</v>
      </c>
      <c r="BC63" s="78">
        <f t="shared" si="27"/>
        <v>-1</v>
      </c>
      <c r="BD63" s="39">
        <v>3528170167.4652085</v>
      </c>
      <c r="BE63" s="32">
        <f t="shared" si="28"/>
        <v>-3528170167.4652085</v>
      </c>
      <c r="BF63" s="77">
        <f t="shared" si="29"/>
        <v>-1</v>
      </c>
      <c r="BG63" s="41">
        <f>BK63/3</f>
        <v>0</v>
      </c>
      <c r="BH63" s="40">
        <f>3528170167.46521/12</f>
        <v>294014180.62210083</v>
      </c>
      <c r="BI63" s="32">
        <f t="shared" si="30"/>
        <v>-294014180.62210083</v>
      </c>
      <c r="BJ63" s="78">
        <f t="shared" si="31"/>
        <v>-1</v>
      </c>
      <c r="BK63" s="39">
        <v>0</v>
      </c>
      <c r="BL63" s="40">
        <f>3528170167.46521/2</f>
        <v>1764085083.732605</v>
      </c>
      <c r="BM63" s="32">
        <f t="shared" si="32"/>
        <v>-1764085083.732605</v>
      </c>
      <c r="BN63" s="78">
        <f t="shared" si="33"/>
        <v>-1</v>
      </c>
      <c r="BO63" s="39">
        <v>3528170167.4652085</v>
      </c>
      <c r="BP63" s="32">
        <f t="shared" si="34"/>
        <v>-3528170167.4652085</v>
      </c>
      <c r="BQ63" s="77">
        <f t="shared" si="35"/>
        <v>-1</v>
      </c>
      <c r="BR63" s="41">
        <f>BV63/3</f>
        <v>0</v>
      </c>
      <c r="BS63" s="40">
        <f>3528170167.46521/12</f>
        <v>294014180.62210083</v>
      </c>
      <c r="BT63" s="32">
        <f t="shared" si="36"/>
        <v>-294014180.62210083</v>
      </c>
      <c r="BU63" s="78">
        <f t="shared" si="37"/>
        <v>-1</v>
      </c>
      <c r="BV63" s="39">
        <v>0</v>
      </c>
      <c r="BW63" s="40">
        <f>3528170167.46521/2</f>
        <v>1764085083.732605</v>
      </c>
      <c r="BX63" s="32">
        <f t="shared" si="38"/>
        <v>-1764085083.732605</v>
      </c>
      <c r="BY63" s="78">
        <f t="shared" si="39"/>
        <v>-1</v>
      </c>
      <c r="BZ63" s="39">
        <v>3528170167.4652085</v>
      </c>
      <c r="CA63" s="32">
        <f t="shared" si="40"/>
        <v>-3528170167.4652085</v>
      </c>
      <c r="CB63" s="77">
        <f t="shared" si="41"/>
        <v>-1</v>
      </c>
      <c r="CC63" s="41">
        <f>CG63/3</f>
        <v>0</v>
      </c>
      <c r="CD63" s="40">
        <f>3528170167.46521/12</f>
        <v>294014180.62210083</v>
      </c>
      <c r="CE63" s="32">
        <f t="shared" si="42"/>
        <v>-294014180.62210083</v>
      </c>
      <c r="CF63" s="78">
        <f t="shared" si="43"/>
        <v>-1</v>
      </c>
      <c r="CG63" s="39">
        <v>0</v>
      </c>
      <c r="CH63" s="40">
        <f>3528170167.46521/2</f>
        <v>1764085083.732605</v>
      </c>
      <c r="CI63" s="32">
        <f t="shared" si="44"/>
        <v>-1764085083.732605</v>
      </c>
      <c r="CJ63" s="78">
        <f t="shared" si="45"/>
        <v>-1</v>
      </c>
      <c r="CK63" s="39">
        <v>3528170167.4652085</v>
      </c>
      <c r="CL63" s="32">
        <f t="shared" si="46"/>
        <v>-3528170167.4652085</v>
      </c>
      <c r="CM63" s="77">
        <f t="shared" si="47"/>
        <v>-1</v>
      </c>
      <c r="CN63" s="41">
        <f>CR63/3</f>
        <v>0</v>
      </c>
      <c r="CO63" s="40">
        <f>3528170167.46521/12</f>
        <v>294014180.62210083</v>
      </c>
      <c r="CP63" s="32">
        <f t="shared" si="48"/>
        <v>-294014180.62210083</v>
      </c>
      <c r="CQ63" s="78">
        <f t="shared" si="49"/>
        <v>-1</v>
      </c>
      <c r="CR63" s="39">
        <v>0</v>
      </c>
      <c r="CS63" s="40">
        <f>3528170167.46521/2</f>
        <v>1764085083.732605</v>
      </c>
      <c r="CT63" s="32">
        <f t="shared" si="50"/>
        <v>-1764085083.732605</v>
      </c>
      <c r="CU63" s="78">
        <f t="shared" si="51"/>
        <v>-1</v>
      </c>
      <c r="CV63" s="39">
        <v>3528170167.4652085</v>
      </c>
      <c r="CW63" s="32">
        <f t="shared" si="52"/>
        <v>-3528170167.4652085</v>
      </c>
      <c r="CX63" s="77">
        <f t="shared" si="53"/>
        <v>-1</v>
      </c>
      <c r="CY63" s="41">
        <f>DC63/3</f>
        <v>0</v>
      </c>
      <c r="CZ63" s="40">
        <f>3528170167.46521/12</f>
        <v>294014180.62210083</v>
      </c>
      <c r="DA63" s="32">
        <f t="shared" si="54"/>
        <v>-294014180.62210083</v>
      </c>
      <c r="DB63" s="78">
        <f t="shared" si="55"/>
        <v>-1</v>
      </c>
      <c r="DC63" s="39">
        <v>0</v>
      </c>
      <c r="DD63" s="40">
        <f>3528170167.46521/2</f>
        <v>1764085083.732605</v>
      </c>
      <c r="DE63" s="32">
        <f t="shared" si="56"/>
        <v>-1764085083.732605</v>
      </c>
      <c r="DF63" s="78">
        <f t="shared" si="57"/>
        <v>-1</v>
      </c>
      <c r="DG63" s="39">
        <v>3528170167.4652085</v>
      </c>
      <c r="DH63" s="32">
        <f t="shared" si="58"/>
        <v>-3528170167.4652085</v>
      </c>
      <c r="DI63" s="77">
        <f t="shared" si="59"/>
        <v>-1</v>
      </c>
    </row>
    <row r="64" spans="1:113" ht="12.75" customHeight="1" outlineLevel="3" x14ac:dyDescent="0.2">
      <c r="B64" s="38" t="s">
        <v>30</v>
      </c>
      <c r="C64" s="37" t="s">
        <v>29</v>
      </c>
      <c r="D64" s="36">
        <f>H64/3</f>
        <v>0</v>
      </c>
      <c r="E64" s="35">
        <f>652711480.981063/12</f>
        <v>54392623.415088587</v>
      </c>
      <c r="F64" s="32">
        <f t="shared" si="0"/>
        <v>-54392623.415088587</v>
      </c>
      <c r="G64" s="78">
        <f t="shared" si="1"/>
        <v>-1</v>
      </c>
      <c r="H64" s="33">
        <v>0</v>
      </c>
      <c r="I64" s="35">
        <f>652711480.981063/2</f>
        <v>326355740.4905315</v>
      </c>
      <c r="J64" s="32">
        <f t="shared" si="2"/>
        <v>-326355740.4905315</v>
      </c>
      <c r="K64" s="78">
        <f t="shared" si="3"/>
        <v>-1</v>
      </c>
      <c r="L64" s="33">
        <v>652711480.98106337</v>
      </c>
      <c r="M64" s="32">
        <f t="shared" si="4"/>
        <v>-652711480.98106337</v>
      </c>
      <c r="N64" s="77">
        <f t="shared" si="5"/>
        <v>-1</v>
      </c>
      <c r="O64" s="36">
        <f>S64/3</f>
        <v>0</v>
      </c>
      <c r="P64" s="35">
        <f>652711480.981063/12</f>
        <v>54392623.415088587</v>
      </c>
      <c r="Q64" s="32">
        <f t="shared" si="6"/>
        <v>-54392623.415088587</v>
      </c>
      <c r="R64" s="78">
        <f t="shared" si="7"/>
        <v>-1</v>
      </c>
      <c r="S64" s="33">
        <v>0</v>
      </c>
      <c r="T64" s="35">
        <f>652711480.981063/2</f>
        <v>326355740.4905315</v>
      </c>
      <c r="U64" s="32">
        <f t="shared" si="8"/>
        <v>-326355740.4905315</v>
      </c>
      <c r="V64" s="78">
        <f t="shared" si="9"/>
        <v>-1</v>
      </c>
      <c r="W64" s="33">
        <v>652711480.98106337</v>
      </c>
      <c r="X64" s="32">
        <f t="shared" si="10"/>
        <v>-652711480.98106337</v>
      </c>
      <c r="Y64" s="77">
        <f t="shared" si="11"/>
        <v>-1</v>
      </c>
      <c r="Z64" s="36">
        <f>AD64/3</f>
        <v>0</v>
      </c>
      <c r="AA64" s="35">
        <f>652711480.981063/12</f>
        <v>54392623.415088587</v>
      </c>
      <c r="AB64" s="32">
        <f t="shared" si="12"/>
        <v>-54392623.415088587</v>
      </c>
      <c r="AC64" s="78">
        <f t="shared" si="13"/>
        <v>-1</v>
      </c>
      <c r="AD64" s="33">
        <v>0</v>
      </c>
      <c r="AE64" s="35">
        <f>652711480.981063/2</f>
        <v>326355740.4905315</v>
      </c>
      <c r="AF64" s="32">
        <f t="shared" si="14"/>
        <v>-326355740.4905315</v>
      </c>
      <c r="AG64" s="78">
        <f t="shared" si="15"/>
        <v>-1</v>
      </c>
      <c r="AH64" s="33">
        <v>652711480.98106337</v>
      </c>
      <c r="AI64" s="32">
        <f t="shared" si="16"/>
        <v>-652711480.98106337</v>
      </c>
      <c r="AJ64" s="77">
        <f t="shared" si="17"/>
        <v>-1</v>
      </c>
      <c r="AK64" s="36">
        <f>AO64/3</f>
        <v>0</v>
      </c>
      <c r="AL64" s="35">
        <f>652711480.981063/12</f>
        <v>54392623.415088587</v>
      </c>
      <c r="AM64" s="32">
        <f t="shared" si="18"/>
        <v>-54392623.415088587</v>
      </c>
      <c r="AN64" s="78">
        <f t="shared" si="19"/>
        <v>-1</v>
      </c>
      <c r="AO64" s="33">
        <v>0</v>
      </c>
      <c r="AP64" s="35">
        <f>652711480.981063/2</f>
        <v>326355740.4905315</v>
      </c>
      <c r="AQ64" s="32">
        <f t="shared" si="20"/>
        <v>-326355740.4905315</v>
      </c>
      <c r="AR64" s="78">
        <f t="shared" si="21"/>
        <v>-1</v>
      </c>
      <c r="AS64" s="33">
        <v>652711480.98106337</v>
      </c>
      <c r="AT64" s="32">
        <f t="shared" si="22"/>
        <v>-652711480.98106337</v>
      </c>
      <c r="AU64" s="77">
        <f t="shared" si="23"/>
        <v>-1</v>
      </c>
      <c r="AV64" s="36">
        <f>AZ64/3</f>
        <v>0</v>
      </c>
      <c r="AW64" s="35">
        <f>652711480.981063/12</f>
        <v>54392623.415088587</v>
      </c>
      <c r="AX64" s="32">
        <f t="shared" si="24"/>
        <v>-54392623.415088587</v>
      </c>
      <c r="AY64" s="78">
        <f t="shared" si="25"/>
        <v>-1</v>
      </c>
      <c r="AZ64" s="33">
        <v>0</v>
      </c>
      <c r="BA64" s="35">
        <f>652711480.981063/2</f>
        <v>326355740.4905315</v>
      </c>
      <c r="BB64" s="32">
        <f t="shared" si="26"/>
        <v>-326355740.4905315</v>
      </c>
      <c r="BC64" s="78">
        <f t="shared" si="27"/>
        <v>-1</v>
      </c>
      <c r="BD64" s="33">
        <v>652711480.98106337</v>
      </c>
      <c r="BE64" s="32">
        <f t="shared" si="28"/>
        <v>-652711480.98106337</v>
      </c>
      <c r="BF64" s="77">
        <f t="shared" si="29"/>
        <v>-1</v>
      </c>
      <c r="BG64" s="36">
        <f>BK64/3</f>
        <v>0</v>
      </c>
      <c r="BH64" s="35">
        <f>652711480.981063/12</f>
        <v>54392623.415088587</v>
      </c>
      <c r="BI64" s="32">
        <f t="shared" si="30"/>
        <v>-54392623.415088587</v>
      </c>
      <c r="BJ64" s="78">
        <f t="shared" si="31"/>
        <v>-1</v>
      </c>
      <c r="BK64" s="33">
        <v>0</v>
      </c>
      <c r="BL64" s="35">
        <f>652711480.981063/2</f>
        <v>326355740.4905315</v>
      </c>
      <c r="BM64" s="32">
        <f t="shared" si="32"/>
        <v>-326355740.4905315</v>
      </c>
      <c r="BN64" s="78">
        <f t="shared" si="33"/>
        <v>-1</v>
      </c>
      <c r="BO64" s="33">
        <v>652711480.98106337</v>
      </c>
      <c r="BP64" s="32">
        <f t="shared" si="34"/>
        <v>-652711480.98106337</v>
      </c>
      <c r="BQ64" s="77">
        <f t="shared" si="35"/>
        <v>-1</v>
      </c>
      <c r="BR64" s="36">
        <f>BV64/3</f>
        <v>0</v>
      </c>
      <c r="BS64" s="35">
        <f>652711480.981063/12</f>
        <v>54392623.415088587</v>
      </c>
      <c r="BT64" s="32">
        <f t="shared" si="36"/>
        <v>-54392623.415088587</v>
      </c>
      <c r="BU64" s="78">
        <f t="shared" si="37"/>
        <v>-1</v>
      </c>
      <c r="BV64" s="33">
        <v>0</v>
      </c>
      <c r="BW64" s="35">
        <f>652711480.981063/2</f>
        <v>326355740.4905315</v>
      </c>
      <c r="BX64" s="32">
        <f t="shared" si="38"/>
        <v>-326355740.4905315</v>
      </c>
      <c r="BY64" s="78">
        <f t="shared" si="39"/>
        <v>-1</v>
      </c>
      <c r="BZ64" s="33">
        <v>652711480.98106337</v>
      </c>
      <c r="CA64" s="32">
        <f t="shared" si="40"/>
        <v>-652711480.98106337</v>
      </c>
      <c r="CB64" s="77">
        <f t="shared" si="41"/>
        <v>-1</v>
      </c>
      <c r="CC64" s="36">
        <f>CG64/3</f>
        <v>0</v>
      </c>
      <c r="CD64" s="35">
        <f>652711480.981063/12</f>
        <v>54392623.415088587</v>
      </c>
      <c r="CE64" s="32">
        <f t="shared" si="42"/>
        <v>-54392623.415088587</v>
      </c>
      <c r="CF64" s="78">
        <f t="shared" si="43"/>
        <v>-1</v>
      </c>
      <c r="CG64" s="33">
        <v>0</v>
      </c>
      <c r="CH64" s="35">
        <f>652711480.981063/2</f>
        <v>326355740.4905315</v>
      </c>
      <c r="CI64" s="32">
        <f t="shared" si="44"/>
        <v>-326355740.4905315</v>
      </c>
      <c r="CJ64" s="78">
        <f t="shared" si="45"/>
        <v>-1</v>
      </c>
      <c r="CK64" s="33">
        <v>652711480.98106337</v>
      </c>
      <c r="CL64" s="32">
        <f t="shared" si="46"/>
        <v>-652711480.98106337</v>
      </c>
      <c r="CM64" s="77">
        <f t="shared" si="47"/>
        <v>-1</v>
      </c>
      <c r="CN64" s="36">
        <f>CR64/3</f>
        <v>0</v>
      </c>
      <c r="CO64" s="35">
        <f>652711480.981063/12</f>
        <v>54392623.415088587</v>
      </c>
      <c r="CP64" s="32">
        <f t="shared" si="48"/>
        <v>-54392623.415088587</v>
      </c>
      <c r="CQ64" s="78">
        <f t="shared" si="49"/>
        <v>-1</v>
      </c>
      <c r="CR64" s="33">
        <v>0</v>
      </c>
      <c r="CS64" s="35">
        <f>652711480.981063/2</f>
        <v>326355740.4905315</v>
      </c>
      <c r="CT64" s="32">
        <f t="shared" si="50"/>
        <v>-326355740.4905315</v>
      </c>
      <c r="CU64" s="78">
        <f t="shared" si="51"/>
        <v>-1</v>
      </c>
      <c r="CV64" s="33">
        <v>652711480.98106337</v>
      </c>
      <c r="CW64" s="32">
        <f t="shared" si="52"/>
        <v>-652711480.98106337</v>
      </c>
      <c r="CX64" s="77">
        <f t="shared" si="53"/>
        <v>-1</v>
      </c>
      <c r="CY64" s="36">
        <f>DC64/3</f>
        <v>0</v>
      </c>
      <c r="CZ64" s="35">
        <f>652711480.981063/12</f>
        <v>54392623.415088587</v>
      </c>
      <c r="DA64" s="32">
        <f t="shared" si="54"/>
        <v>-54392623.415088587</v>
      </c>
      <c r="DB64" s="78">
        <f t="shared" si="55"/>
        <v>-1</v>
      </c>
      <c r="DC64" s="33">
        <v>0</v>
      </c>
      <c r="DD64" s="35">
        <f>652711480.981063/2</f>
        <v>326355740.4905315</v>
      </c>
      <c r="DE64" s="32">
        <f t="shared" si="56"/>
        <v>-326355740.4905315</v>
      </c>
      <c r="DF64" s="78">
        <f t="shared" si="57"/>
        <v>-1</v>
      </c>
      <c r="DG64" s="33">
        <v>652711480.98106337</v>
      </c>
      <c r="DH64" s="32">
        <f t="shared" si="58"/>
        <v>-652711480.98106337</v>
      </c>
      <c r="DI64" s="77">
        <f t="shared" si="59"/>
        <v>-1</v>
      </c>
    </row>
    <row r="65" spans="1:113" s="6" customFormat="1" outlineLevel="2" x14ac:dyDescent="0.2">
      <c r="A65" s="30"/>
      <c r="B65" s="29" t="s">
        <v>28</v>
      </c>
      <c r="C65" s="28" t="s">
        <v>27</v>
      </c>
      <c r="D65" s="27">
        <f>SUM(D63:D64)</f>
        <v>0</v>
      </c>
      <c r="E65" s="26">
        <f>SUM(E63:E64)</f>
        <v>348406804.03718942</v>
      </c>
      <c r="F65" s="23">
        <f t="shared" si="0"/>
        <v>-348406804.03718942</v>
      </c>
      <c r="G65" s="76">
        <f t="shared" si="1"/>
        <v>-1</v>
      </c>
      <c r="H65" s="24">
        <f>SUM(H63:H64)</f>
        <v>0</v>
      </c>
      <c r="I65" s="24">
        <f>SUM(I63:I64)</f>
        <v>2090440824.2231364</v>
      </c>
      <c r="J65" s="23">
        <f t="shared" si="2"/>
        <v>-2090440824.2231364</v>
      </c>
      <c r="K65" s="76">
        <f t="shared" si="3"/>
        <v>-1</v>
      </c>
      <c r="L65" s="24">
        <f>SUM(L63:L64)</f>
        <v>4180881648.4462719</v>
      </c>
      <c r="M65" s="23">
        <f t="shared" si="4"/>
        <v>-4180881648.4462719</v>
      </c>
      <c r="N65" s="75">
        <f t="shared" si="5"/>
        <v>-1</v>
      </c>
      <c r="O65" s="27">
        <f>SUM(O63:O64)</f>
        <v>0</v>
      </c>
      <c r="P65" s="26">
        <f>SUM(P63:P64)</f>
        <v>348406804.03718942</v>
      </c>
      <c r="Q65" s="23">
        <f t="shared" si="6"/>
        <v>-348406804.03718942</v>
      </c>
      <c r="R65" s="76">
        <f t="shared" si="7"/>
        <v>-1</v>
      </c>
      <c r="S65" s="24">
        <f>SUM(S63:S64)</f>
        <v>0</v>
      </c>
      <c r="T65" s="24">
        <f>SUM(T63:T64)</f>
        <v>2090440824.2231364</v>
      </c>
      <c r="U65" s="23">
        <f t="shared" si="8"/>
        <v>-2090440824.2231364</v>
      </c>
      <c r="V65" s="76">
        <f t="shared" si="9"/>
        <v>-1</v>
      </c>
      <c r="W65" s="24">
        <f>SUM(W63:W64)</f>
        <v>4180881648.4462719</v>
      </c>
      <c r="X65" s="23">
        <f t="shared" si="10"/>
        <v>-4180881648.4462719</v>
      </c>
      <c r="Y65" s="75">
        <f t="shared" si="11"/>
        <v>-1</v>
      </c>
      <c r="Z65" s="27">
        <f>SUM(Z63:Z64)</f>
        <v>0</v>
      </c>
      <c r="AA65" s="26">
        <f>SUM(AA63:AA64)</f>
        <v>348406804.03718942</v>
      </c>
      <c r="AB65" s="23">
        <f t="shared" si="12"/>
        <v>-348406804.03718942</v>
      </c>
      <c r="AC65" s="76">
        <f t="shared" si="13"/>
        <v>-1</v>
      </c>
      <c r="AD65" s="24">
        <f>SUM(AD63:AD64)</f>
        <v>0</v>
      </c>
      <c r="AE65" s="24">
        <f>SUM(AE63:AE64)</f>
        <v>2090440824.2231364</v>
      </c>
      <c r="AF65" s="23">
        <f t="shared" si="14"/>
        <v>-2090440824.2231364</v>
      </c>
      <c r="AG65" s="76">
        <f t="shared" si="15"/>
        <v>-1</v>
      </c>
      <c r="AH65" s="24">
        <f>SUM(AH63:AH64)</f>
        <v>4180881648.4462719</v>
      </c>
      <c r="AI65" s="23">
        <f t="shared" si="16"/>
        <v>-4180881648.4462719</v>
      </c>
      <c r="AJ65" s="75">
        <f t="shared" si="17"/>
        <v>-1</v>
      </c>
      <c r="AK65" s="27">
        <f>SUM(AK63:AK64)</f>
        <v>0</v>
      </c>
      <c r="AL65" s="26">
        <f>SUM(AL63:AL64)</f>
        <v>348406804.03718942</v>
      </c>
      <c r="AM65" s="23">
        <f t="shared" si="18"/>
        <v>-348406804.03718942</v>
      </c>
      <c r="AN65" s="76">
        <f t="shared" si="19"/>
        <v>-1</v>
      </c>
      <c r="AO65" s="24">
        <f>SUM(AO63:AO64)</f>
        <v>0</v>
      </c>
      <c r="AP65" s="24">
        <f>SUM(AP63:AP64)</f>
        <v>2090440824.2231364</v>
      </c>
      <c r="AQ65" s="23">
        <f t="shared" si="20"/>
        <v>-2090440824.2231364</v>
      </c>
      <c r="AR65" s="76">
        <f t="shared" si="21"/>
        <v>-1</v>
      </c>
      <c r="AS65" s="24">
        <f>SUM(AS63:AS64)</f>
        <v>4180881648.4462719</v>
      </c>
      <c r="AT65" s="23">
        <f t="shared" si="22"/>
        <v>-4180881648.4462719</v>
      </c>
      <c r="AU65" s="75">
        <f t="shared" si="23"/>
        <v>-1</v>
      </c>
      <c r="AV65" s="27">
        <f>SUM(AV63:AV64)</f>
        <v>0</v>
      </c>
      <c r="AW65" s="26">
        <f>SUM(AW63:AW64)</f>
        <v>348406804.03718942</v>
      </c>
      <c r="AX65" s="23">
        <f t="shared" si="24"/>
        <v>-348406804.03718942</v>
      </c>
      <c r="AY65" s="76">
        <f t="shared" si="25"/>
        <v>-1</v>
      </c>
      <c r="AZ65" s="24">
        <f>SUM(AZ63:AZ64)</f>
        <v>0</v>
      </c>
      <c r="BA65" s="24">
        <f>SUM(BA63:BA64)</f>
        <v>2090440824.2231364</v>
      </c>
      <c r="BB65" s="23">
        <f t="shared" si="26"/>
        <v>-2090440824.2231364</v>
      </c>
      <c r="BC65" s="76">
        <f t="shared" si="27"/>
        <v>-1</v>
      </c>
      <c r="BD65" s="24">
        <f>SUM(BD63:BD64)</f>
        <v>4180881648.4462719</v>
      </c>
      <c r="BE65" s="23">
        <f t="shared" si="28"/>
        <v>-4180881648.4462719</v>
      </c>
      <c r="BF65" s="75">
        <f t="shared" si="29"/>
        <v>-1</v>
      </c>
      <c r="BG65" s="27">
        <f>SUM(BG63:BG64)</f>
        <v>0</v>
      </c>
      <c r="BH65" s="26">
        <f>SUM(BH63:BH64)</f>
        <v>348406804.03718942</v>
      </c>
      <c r="BI65" s="23">
        <f t="shared" si="30"/>
        <v>-348406804.03718942</v>
      </c>
      <c r="BJ65" s="76">
        <f t="shared" si="31"/>
        <v>-1</v>
      </c>
      <c r="BK65" s="24">
        <f>SUM(BK63:BK64)</f>
        <v>0</v>
      </c>
      <c r="BL65" s="24">
        <f>SUM(BL63:BL64)</f>
        <v>2090440824.2231364</v>
      </c>
      <c r="BM65" s="23">
        <f t="shared" si="32"/>
        <v>-2090440824.2231364</v>
      </c>
      <c r="BN65" s="76">
        <f t="shared" si="33"/>
        <v>-1</v>
      </c>
      <c r="BO65" s="24">
        <f>SUM(BO63:BO64)</f>
        <v>4180881648.4462719</v>
      </c>
      <c r="BP65" s="23">
        <f t="shared" si="34"/>
        <v>-4180881648.4462719</v>
      </c>
      <c r="BQ65" s="75">
        <f t="shared" si="35"/>
        <v>-1</v>
      </c>
      <c r="BR65" s="27">
        <f>SUM(BR63:BR64)</f>
        <v>0</v>
      </c>
      <c r="BS65" s="26">
        <f>SUM(BS63:BS64)</f>
        <v>348406804.03718942</v>
      </c>
      <c r="BT65" s="23">
        <f t="shared" si="36"/>
        <v>-348406804.03718942</v>
      </c>
      <c r="BU65" s="76">
        <f t="shared" si="37"/>
        <v>-1</v>
      </c>
      <c r="BV65" s="24">
        <f>SUM(BV63:BV64)</f>
        <v>0</v>
      </c>
      <c r="BW65" s="24">
        <f>SUM(BW63:BW64)</f>
        <v>2090440824.2231364</v>
      </c>
      <c r="BX65" s="23">
        <f t="shared" si="38"/>
        <v>-2090440824.2231364</v>
      </c>
      <c r="BY65" s="76">
        <f t="shared" si="39"/>
        <v>-1</v>
      </c>
      <c r="BZ65" s="24">
        <f>SUM(BZ63:BZ64)</f>
        <v>4180881648.4462719</v>
      </c>
      <c r="CA65" s="23">
        <f t="shared" si="40"/>
        <v>-4180881648.4462719</v>
      </c>
      <c r="CB65" s="75">
        <f t="shared" si="41"/>
        <v>-1</v>
      </c>
      <c r="CC65" s="27">
        <f>SUM(CC63:CC64)</f>
        <v>0</v>
      </c>
      <c r="CD65" s="26">
        <f>SUM(CD63:CD64)</f>
        <v>348406804.03718942</v>
      </c>
      <c r="CE65" s="23">
        <f t="shared" si="42"/>
        <v>-348406804.03718942</v>
      </c>
      <c r="CF65" s="76">
        <f t="shared" si="43"/>
        <v>-1</v>
      </c>
      <c r="CG65" s="24">
        <f>SUM(CG63:CG64)</f>
        <v>0</v>
      </c>
      <c r="CH65" s="24">
        <f>SUM(CH63:CH64)</f>
        <v>2090440824.2231364</v>
      </c>
      <c r="CI65" s="23">
        <f t="shared" si="44"/>
        <v>-2090440824.2231364</v>
      </c>
      <c r="CJ65" s="76">
        <f t="shared" si="45"/>
        <v>-1</v>
      </c>
      <c r="CK65" s="24">
        <f>SUM(CK63:CK64)</f>
        <v>4180881648.4462719</v>
      </c>
      <c r="CL65" s="23">
        <f t="shared" si="46"/>
        <v>-4180881648.4462719</v>
      </c>
      <c r="CM65" s="75">
        <f t="shared" si="47"/>
        <v>-1</v>
      </c>
      <c r="CN65" s="27">
        <f>SUM(CN63:CN64)</f>
        <v>0</v>
      </c>
      <c r="CO65" s="26">
        <f>SUM(CO63:CO64)</f>
        <v>348406804.03718942</v>
      </c>
      <c r="CP65" s="23">
        <f t="shared" si="48"/>
        <v>-348406804.03718942</v>
      </c>
      <c r="CQ65" s="76">
        <f t="shared" si="49"/>
        <v>-1</v>
      </c>
      <c r="CR65" s="24">
        <f>SUM(CR63:CR64)</f>
        <v>0</v>
      </c>
      <c r="CS65" s="24">
        <f>SUM(CS63:CS64)</f>
        <v>2090440824.2231364</v>
      </c>
      <c r="CT65" s="23">
        <f t="shared" si="50"/>
        <v>-2090440824.2231364</v>
      </c>
      <c r="CU65" s="76">
        <f t="shared" si="51"/>
        <v>-1</v>
      </c>
      <c r="CV65" s="24">
        <f>SUM(CV63:CV64)</f>
        <v>4180881648.4462719</v>
      </c>
      <c r="CW65" s="23">
        <f t="shared" si="52"/>
        <v>-4180881648.4462719</v>
      </c>
      <c r="CX65" s="75">
        <f t="shared" si="53"/>
        <v>-1</v>
      </c>
      <c r="CY65" s="27">
        <f>SUM(CY63:CY64)</f>
        <v>0</v>
      </c>
      <c r="CZ65" s="26">
        <f>SUM(CZ63:CZ64)</f>
        <v>348406804.03718942</v>
      </c>
      <c r="DA65" s="23">
        <f t="shared" si="54"/>
        <v>-348406804.03718942</v>
      </c>
      <c r="DB65" s="76">
        <f t="shared" si="55"/>
        <v>-1</v>
      </c>
      <c r="DC65" s="24">
        <f>SUM(DC63:DC64)</f>
        <v>0</v>
      </c>
      <c r="DD65" s="24">
        <f>SUM(DD63:DD64)</f>
        <v>2090440824.2231364</v>
      </c>
      <c r="DE65" s="23">
        <f t="shared" si="56"/>
        <v>-2090440824.2231364</v>
      </c>
      <c r="DF65" s="76">
        <f t="shared" si="57"/>
        <v>-1</v>
      </c>
      <c r="DG65" s="24">
        <f>SUM(DG63:DG64)</f>
        <v>4180881648.4462719</v>
      </c>
      <c r="DH65" s="23">
        <f t="shared" si="58"/>
        <v>-4180881648.4462719</v>
      </c>
      <c r="DI65" s="75">
        <f t="shared" si="59"/>
        <v>-1</v>
      </c>
    </row>
    <row r="66" spans="1:113" ht="15.75" customHeight="1" x14ac:dyDescent="0.2">
      <c r="B66" s="21" t="s">
        <v>26</v>
      </c>
      <c r="C66" s="20" t="s">
        <v>25</v>
      </c>
      <c r="D66" s="19">
        <f>D65+D62+D59</f>
        <v>348406804.0371896</v>
      </c>
      <c r="E66" s="18">
        <f>E65+E62+E59</f>
        <v>348406804.03718942</v>
      </c>
      <c r="F66" s="15">
        <f t="shared" si="0"/>
        <v>0</v>
      </c>
      <c r="G66" s="74">
        <f t="shared" si="1"/>
        <v>4.4408920985006262E-16</v>
      </c>
      <c r="H66" s="16">
        <f>H65+H62+H59</f>
        <v>2090440824.2231364</v>
      </c>
      <c r="I66" s="16">
        <f>I65+I62+I59</f>
        <v>2090440824.2231364</v>
      </c>
      <c r="J66" s="15">
        <f t="shared" si="2"/>
        <v>0</v>
      </c>
      <c r="K66" s="74">
        <f t="shared" si="3"/>
        <v>0</v>
      </c>
      <c r="L66" s="16">
        <f>L65+L62+L59</f>
        <v>4180881648.4462719</v>
      </c>
      <c r="M66" s="15">
        <f t="shared" si="4"/>
        <v>-2090440824.2231355</v>
      </c>
      <c r="N66" s="73">
        <f t="shared" si="5"/>
        <v>-0.49999999999999989</v>
      </c>
      <c r="O66" s="19">
        <f>O65+O62+O59</f>
        <v>348406804.0371896</v>
      </c>
      <c r="P66" s="18">
        <f>P65+P62+P59</f>
        <v>348406804.03718942</v>
      </c>
      <c r="Q66" s="15">
        <f t="shared" si="6"/>
        <v>0</v>
      </c>
      <c r="R66" s="74">
        <f t="shared" si="7"/>
        <v>4.4408920985006262E-16</v>
      </c>
      <c r="S66" s="16">
        <f>S65+S62+S59</f>
        <v>2090440824.2231364</v>
      </c>
      <c r="T66" s="16">
        <f>T65+T62+T59</f>
        <v>2090440824.2231364</v>
      </c>
      <c r="U66" s="15">
        <f t="shared" si="8"/>
        <v>0</v>
      </c>
      <c r="V66" s="74">
        <f t="shared" si="9"/>
        <v>0</v>
      </c>
      <c r="W66" s="16">
        <f>W65+W62+W59</f>
        <v>4180881648.4462719</v>
      </c>
      <c r="X66" s="15">
        <f t="shared" si="10"/>
        <v>-2090440824.2231355</v>
      </c>
      <c r="Y66" s="73">
        <f t="shared" si="11"/>
        <v>-0.49999999999999989</v>
      </c>
      <c r="Z66" s="19">
        <f>Z65+Z62+Z59</f>
        <v>348406804.0371896</v>
      </c>
      <c r="AA66" s="18">
        <f>AA65+AA62+AA59</f>
        <v>348406804.03718942</v>
      </c>
      <c r="AB66" s="15">
        <f t="shared" si="12"/>
        <v>0</v>
      </c>
      <c r="AC66" s="74">
        <f t="shared" si="13"/>
        <v>4.4408920985006262E-16</v>
      </c>
      <c r="AD66" s="16">
        <f>AD65+AD62+AD59</f>
        <v>2090440824.2231364</v>
      </c>
      <c r="AE66" s="16">
        <f>AE65+AE62+AE59</f>
        <v>2090440824.2231364</v>
      </c>
      <c r="AF66" s="15">
        <f t="shared" si="14"/>
        <v>0</v>
      </c>
      <c r="AG66" s="74">
        <f t="shared" si="15"/>
        <v>0</v>
      </c>
      <c r="AH66" s="16">
        <f>AH65+AH62+AH59</f>
        <v>4180881648.4462719</v>
      </c>
      <c r="AI66" s="15">
        <f t="shared" si="16"/>
        <v>-2090440824.2231355</v>
      </c>
      <c r="AJ66" s="73">
        <f t="shared" si="17"/>
        <v>-0.49999999999999989</v>
      </c>
      <c r="AK66" s="19">
        <f>AK65+AK62+AK59</f>
        <v>348406804.0371896</v>
      </c>
      <c r="AL66" s="18">
        <f>AL65+AL62+AL59</f>
        <v>348406804.03718942</v>
      </c>
      <c r="AM66" s="15">
        <f t="shared" si="18"/>
        <v>0</v>
      </c>
      <c r="AN66" s="74">
        <f t="shared" si="19"/>
        <v>4.4408920985006262E-16</v>
      </c>
      <c r="AO66" s="16">
        <f>AO65+AO62+AO59</f>
        <v>2090440824.2231364</v>
      </c>
      <c r="AP66" s="16">
        <f>AP65+AP62+AP59</f>
        <v>2090440824.2231364</v>
      </c>
      <c r="AQ66" s="15">
        <f t="shared" si="20"/>
        <v>0</v>
      </c>
      <c r="AR66" s="74">
        <f t="shared" si="21"/>
        <v>0</v>
      </c>
      <c r="AS66" s="16">
        <f>AS65+AS62+AS59</f>
        <v>4180881648.4462719</v>
      </c>
      <c r="AT66" s="15">
        <f t="shared" si="22"/>
        <v>-2090440824.2231355</v>
      </c>
      <c r="AU66" s="73">
        <f t="shared" si="23"/>
        <v>-0.49999999999999989</v>
      </c>
      <c r="AV66" s="19">
        <f>AV65+AV62+AV59</f>
        <v>348406804.0371896</v>
      </c>
      <c r="AW66" s="18">
        <f>AW65+AW62+AW59</f>
        <v>348406804.03718942</v>
      </c>
      <c r="AX66" s="15">
        <f t="shared" si="24"/>
        <v>0</v>
      </c>
      <c r="AY66" s="74">
        <f t="shared" si="25"/>
        <v>4.4408920985006262E-16</v>
      </c>
      <c r="AZ66" s="16">
        <f>AZ65+AZ62+AZ59</f>
        <v>2090440824.2231364</v>
      </c>
      <c r="BA66" s="16">
        <f>BA65+BA62+BA59</f>
        <v>2090440824.2231364</v>
      </c>
      <c r="BB66" s="15">
        <f t="shared" si="26"/>
        <v>0</v>
      </c>
      <c r="BC66" s="74">
        <f t="shared" si="27"/>
        <v>0</v>
      </c>
      <c r="BD66" s="16">
        <f>BD65+BD62+BD59</f>
        <v>4180881648.4462719</v>
      </c>
      <c r="BE66" s="15">
        <f t="shared" si="28"/>
        <v>-2090440824.2231355</v>
      </c>
      <c r="BF66" s="73">
        <f t="shared" si="29"/>
        <v>-0.49999999999999989</v>
      </c>
      <c r="BG66" s="19">
        <f>BG65+BG62+BG59</f>
        <v>348406804.0371896</v>
      </c>
      <c r="BH66" s="18">
        <f>BH65+BH62+BH59</f>
        <v>348406804.03718942</v>
      </c>
      <c r="BI66" s="15">
        <f t="shared" si="30"/>
        <v>0</v>
      </c>
      <c r="BJ66" s="74">
        <f t="shared" si="31"/>
        <v>4.4408920985006262E-16</v>
      </c>
      <c r="BK66" s="16">
        <f>BK65+BK62+BK59</f>
        <v>2090440824.2231364</v>
      </c>
      <c r="BL66" s="16">
        <f>BL65+BL62+BL59</f>
        <v>2090440824.2231364</v>
      </c>
      <c r="BM66" s="15">
        <f t="shared" si="32"/>
        <v>0</v>
      </c>
      <c r="BN66" s="74">
        <f t="shared" si="33"/>
        <v>0</v>
      </c>
      <c r="BO66" s="16">
        <f>BO65+BO62+BO59</f>
        <v>4180881648.4462719</v>
      </c>
      <c r="BP66" s="15">
        <f t="shared" si="34"/>
        <v>-2090440824.2231355</v>
      </c>
      <c r="BQ66" s="73">
        <f t="shared" si="35"/>
        <v>-0.49999999999999989</v>
      </c>
      <c r="BR66" s="19">
        <f>BR65+BR62+BR59</f>
        <v>348406804.0371896</v>
      </c>
      <c r="BS66" s="18">
        <f>BS65+BS62+BS59</f>
        <v>348406804.03718942</v>
      </c>
      <c r="BT66" s="15">
        <f t="shared" si="36"/>
        <v>0</v>
      </c>
      <c r="BU66" s="74">
        <f t="shared" si="37"/>
        <v>4.4408920985006262E-16</v>
      </c>
      <c r="BV66" s="16">
        <f>BV65+BV62+BV59</f>
        <v>2090440824.2231364</v>
      </c>
      <c r="BW66" s="16">
        <f>BW65+BW62+BW59</f>
        <v>2090440824.2231364</v>
      </c>
      <c r="BX66" s="15">
        <f t="shared" si="38"/>
        <v>0</v>
      </c>
      <c r="BY66" s="74">
        <f t="shared" si="39"/>
        <v>0</v>
      </c>
      <c r="BZ66" s="16">
        <f>BZ65+BZ62+BZ59</f>
        <v>4180881648.4462719</v>
      </c>
      <c r="CA66" s="15">
        <f t="shared" si="40"/>
        <v>-2090440824.2231355</v>
      </c>
      <c r="CB66" s="73">
        <f t="shared" si="41"/>
        <v>-0.49999999999999989</v>
      </c>
      <c r="CC66" s="19">
        <f>CC65+CC62+CC59</f>
        <v>348406804.0371896</v>
      </c>
      <c r="CD66" s="18">
        <f>CD65+CD62+CD59</f>
        <v>348406804.03718942</v>
      </c>
      <c r="CE66" s="15">
        <f t="shared" si="42"/>
        <v>0</v>
      </c>
      <c r="CF66" s="74">
        <f t="shared" si="43"/>
        <v>4.4408920985006262E-16</v>
      </c>
      <c r="CG66" s="16">
        <f>CG65+CG62+CG59</f>
        <v>2090440824.2231364</v>
      </c>
      <c r="CH66" s="16">
        <f>CH65+CH62+CH59</f>
        <v>2090440824.2231364</v>
      </c>
      <c r="CI66" s="15">
        <f t="shared" si="44"/>
        <v>0</v>
      </c>
      <c r="CJ66" s="74">
        <f t="shared" si="45"/>
        <v>0</v>
      </c>
      <c r="CK66" s="16">
        <f>CK65+CK62+CK59</f>
        <v>4180881648.4462719</v>
      </c>
      <c r="CL66" s="15">
        <f t="shared" si="46"/>
        <v>-2090440824.2231355</v>
      </c>
      <c r="CM66" s="73">
        <f t="shared" si="47"/>
        <v>-0.49999999999999989</v>
      </c>
      <c r="CN66" s="19">
        <f>CN65+CN62+CN59</f>
        <v>348406804.0371896</v>
      </c>
      <c r="CO66" s="18">
        <f>CO65+CO62+CO59</f>
        <v>348406804.03718942</v>
      </c>
      <c r="CP66" s="15">
        <f t="shared" si="48"/>
        <v>0</v>
      </c>
      <c r="CQ66" s="74">
        <f t="shared" si="49"/>
        <v>4.4408920985006262E-16</v>
      </c>
      <c r="CR66" s="16">
        <f>CR65+CR62+CR59</f>
        <v>2090440824.2231364</v>
      </c>
      <c r="CS66" s="16">
        <f>CS65+CS62+CS59</f>
        <v>2090440824.2231364</v>
      </c>
      <c r="CT66" s="15">
        <f t="shared" si="50"/>
        <v>0</v>
      </c>
      <c r="CU66" s="74">
        <f t="shared" si="51"/>
        <v>0</v>
      </c>
      <c r="CV66" s="16">
        <f>CV65+CV62+CV59</f>
        <v>4180881648.4462719</v>
      </c>
      <c r="CW66" s="15">
        <f t="shared" si="52"/>
        <v>-2090440824.2231355</v>
      </c>
      <c r="CX66" s="73">
        <f t="shared" si="53"/>
        <v>-0.49999999999999989</v>
      </c>
      <c r="CY66" s="19">
        <f>CY65+CY62+CY59</f>
        <v>348406804.0371896</v>
      </c>
      <c r="CZ66" s="18">
        <f>CZ65+CZ62+CZ59</f>
        <v>348406804.03718942</v>
      </c>
      <c r="DA66" s="15">
        <f t="shared" si="54"/>
        <v>0</v>
      </c>
      <c r="DB66" s="74">
        <f t="shared" si="55"/>
        <v>4.4408920985006262E-16</v>
      </c>
      <c r="DC66" s="16">
        <f>DC65+DC62+DC59</f>
        <v>2090440824.2231364</v>
      </c>
      <c r="DD66" s="16">
        <f>DD65+DD62+DD59</f>
        <v>2090440824.2231364</v>
      </c>
      <c r="DE66" s="15">
        <f t="shared" si="56"/>
        <v>0</v>
      </c>
      <c r="DF66" s="74">
        <f t="shared" si="57"/>
        <v>0</v>
      </c>
      <c r="DG66" s="16">
        <f>DG65+DG62+DG59</f>
        <v>4180881648.4462719</v>
      </c>
      <c r="DH66" s="15">
        <f t="shared" si="58"/>
        <v>-2090440824.2231355</v>
      </c>
      <c r="DI66" s="73">
        <f t="shared" si="59"/>
        <v>-0.49999999999999989</v>
      </c>
    </row>
    <row r="67" spans="1:113" s="6" customFormat="1" ht="18.75" customHeight="1" x14ac:dyDescent="0.2">
      <c r="B67" s="13" t="s">
        <v>24</v>
      </c>
      <c r="C67" s="12" t="s">
        <v>23</v>
      </c>
      <c r="D67" s="119">
        <f>D52+D66+D56</f>
        <v>602789044.90718961</v>
      </c>
      <c r="E67" s="11">
        <f>E52+E66+E56</f>
        <v>589058383.41411293</v>
      </c>
      <c r="F67" s="8">
        <f t="shared" si="0"/>
        <v>13730661.493076682</v>
      </c>
      <c r="G67" s="72">
        <f t="shared" si="1"/>
        <v>2.330950866617898E-2</v>
      </c>
      <c r="H67" s="9">
        <f>H52+H66+H56</f>
        <v>3769227616.3731365</v>
      </c>
      <c r="I67" s="9">
        <f>I52+I66+I56</f>
        <v>3523856022.1353717</v>
      </c>
      <c r="J67" s="8">
        <f t="shared" si="2"/>
        <v>245371594.23776484</v>
      </c>
      <c r="K67" s="72">
        <f t="shared" si="3"/>
        <v>6.9631560624623834E-2</v>
      </c>
      <c r="L67" s="9">
        <f>L52+L66+L56</f>
        <v>7058206322.6200485</v>
      </c>
      <c r="M67" s="8">
        <f t="shared" si="4"/>
        <v>-3288978706.246912</v>
      </c>
      <c r="N67" s="71">
        <f t="shared" si="5"/>
        <v>-0.46597939418495538</v>
      </c>
      <c r="O67" s="119">
        <f>O52+O66+O56</f>
        <v>602789044.90718961</v>
      </c>
      <c r="P67" s="11">
        <f>P52+P66+P56</f>
        <v>589058383.41411293</v>
      </c>
      <c r="Q67" s="8">
        <f t="shared" si="6"/>
        <v>13730661.493076682</v>
      </c>
      <c r="R67" s="72">
        <f t="shared" si="7"/>
        <v>2.330950866617898E-2</v>
      </c>
      <c r="S67" s="9">
        <f>S52+S66+S56</f>
        <v>3769227616.3731365</v>
      </c>
      <c r="T67" s="9">
        <f>T52+T66+T56</f>
        <v>3523856022.1353717</v>
      </c>
      <c r="U67" s="8">
        <f t="shared" si="8"/>
        <v>245371594.23776484</v>
      </c>
      <c r="V67" s="72">
        <f t="shared" si="9"/>
        <v>6.9631560624623834E-2</v>
      </c>
      <c r="W67" s="9">
        <f>W52+W66+W56</f>
        <v>7058206322.6200485</v>
      </c>
      <c r="X67" s="8">
        <f t="shared" si="10"/>
        <v>-3288978706.246912</v>
      </c>
      <c r="Y67" s="71">
        <f t="shared" si="11"/>
        <v>-0.46597939418495538</v>
      </c>
      <c r="Z67" s="119">
        <f>Z52+Z66+Z56</f>
        <v>602789044.90718961</v>
      </c>
      <c r="AA67" s="11">
        <f>AA52+AA66+AA56</f>
        <v>589058383.41411293</v>
      </c>
      <c r="AB67" s="8">
        <f t="shared" si="12"/>
        <v>13730661.493076682</v>
      </c>
      <c r="AC67" s="72">
        <f t="shared" si="13"/>
        <v>2.330950866617898E-2</v>
      </c>
      <c r="AD67" s="9">
        <f>AD52+AD66+AD56</f>
        <v>3769227616.3731365</v>
      </c>
      <c r="AE67" s="9">
        <f>AE52+AE66+AE56</f>
        <v>3523856022.1353717</v>
      </c>
      <c r="AF67" s="8">
        <f t="shared" si="14"/>
        <v>245371594.23776484</v>
      </c>
      <c r="AG67" s="72">
        <f t="shared" si="15"/>
        <v>6.9631560624623834E-2</v>
      </c>
      <c r="AH67" s="9">
        <f>AH52+AH66+AH56</f>
        <v>7058206322.6200485</v>
      </c>
      <c r="AI67" s="8">
        <f t="shared" si="16"/>
        <v>-3288978706.246912</v>
      </c>
      <c r="AJ67" s="71">
        <f t="shared" si="17"/>
        <v>-0.46597939418495538</v>
      </c>
      <c r="AK67" s="119">
        <f>AK52+AK66+AK56</f>
        <v>602789044.90718961</v>
      </c>
      <c r="AL67" s="11">
        <f>AL52+AL66+AL56</f>
        <v>589058383.41411293</v>
      </c>
      <c r="AM67" s="8">
        <f t="shared" si="18"/>
        <v>13730661.493076682</v>
      </c>
      <c r="AN67" s="72">
        <f t="shared" si="19"/>
        <v>2.330950866617898E-2</v>
      </c>
      <c r="AO67" s="9">
        <f>AO52+AO66+AO56</f>
        <v>3769227616.3731365</v>
      </c>
      <c r="AP67" s="9">
        <f>AP52+AP66+AP56</f>
        <v>3523856022.1353717</v>
      </c>
      <c r="AQ67" s="8">
        <f t="shared" si="20"/>
        <v>245371594.23776484</v>
      </c>
      <c r="AR67" s="72">
        <f t="shared" si="21"/>
        <v>6.9631560624623834E-2</v>
      </c>
      <c r="AS67" s="9">
        <f>AS52+AS66+AS56</f>
        <v>7058206322.6200485</v>
      </c>
      <c r="AT67" s="8">
        <f t="shared" si="22"/>
        <v>-3288978706.246912</v>
      </c>
      <c r="AU67" s="71">
        <f t="shared" si="23"/>
        <v>-0.46597939418495538</v>
      </c>
      <c r="AV67" s="119">
        <f>AV52+AV66+AV56</f>
        <v>602789044.90718961</v>
      </c>
      <c r="AW67" s="11">
        <f>AW52+AW66+AW56</f>
        <v>589058383.41411293</v>
      </c>
      <c r="AX67" s="8">
        <f t="shared" si="24"/>
        <v>13730661.493076682</v>
      </c>
      <c r="AY67" s="72">
        <f t="shared" si="25"/>
        <v>2.330950866617898E-2</v>
      </c>
      <c r="AZ67" s="9">
        <f>AZ52+AZ66+AZ56</f>
        <v>3769227616.3731365</v>
      </c>
      <c r="BA67" s="9">
        <f>BA52+BA66+BA56</f>
        <v>3523856022.1353717</v>
      </c>
      <c r="BB67" s="8">
        <f t="shared" si="26"/>
        <v>245371594.23776484</v>
      </c>
      <c r="BC67" s="72">
        <f t="shared" si="27"/>
        <v>6.9631560624623834E-2</v>
      </c>
      <c r="BD67" s="9">
        <f>BD52+BD66+BD56</f>
        <v>7058206322.6200485</v>
      </c>
      <c r="BE67" s="8">
        <f t="shared" si="28"/>
        <v>-3288978706.246912</v>
      </c>
      <c r="BF67" s="71">
        <f t="shared" si="29"/>
        <v>-0.46597939418495538</v>
      </c>
      <c r="BG67" s="119">
        <f>BG52+BG66+BG56</f>
        <v>602789044.90718961</v>
      </c>
      <c r="BH67" s="11">
        <f>BH52+BH66+BH56</f>
        <v>589058383.41411293</v>
      </c>
      <c r="BI67" s="8">
        <f t="shared" si="30"/>
        <v>13730661.493076682</v>
      </c>
      <c r="BJ67" s="72">
        <f t="shared" si="31"/>
        <v>2.330950866617898E-2</v>
      </c>
      <c r="BK67" s="9">
        <f>BK52+BK66+BK56</f>
        <v>3769227616.3731365</v>
      </c>
      <c r="BL67" s="9">
        <f>BL52+BL66+BL56</f>
        <v>3523856022.1353717</v>
      </c>
      <c r="BM67" s="8">
        <f t="shared" si="32"/>
        <v>245371594.23776484</v>
      </c>
      <c r="BN67" s="72">
        <f t="shared" si="33"/>
        <v>6.9631560624623834E-2</v>
      </c>
      <c r="BO67" s="9">
        <f>BO52+BO66+BO56</f>
        <v>7058206322.6200485</v>
      </c>
      <c r="BP67" s="8">
        <f t="shared" si="34"/>
        <v>-3288978706.246912</v>
      </c>
      <c r="BQ67" s="71">
        <f t="shared" si="35"/>
        <v>-0.46597939418495538</v>
      </c>
      <c r="BR67" s="119">
        <f>BR52+BR66+BR56</f>
        <v>602789044.90718961</v>
      </c>
      <c r="BS67" s="11">
        <f>BS52+BS66+BS56</f>
        <v>589058383.41411293</v>
      </c>
      <c r="BT67" s="8">
        <f t="shared" si="36"/>
        <v>13730661.493076682</v>
      </c>
      <c r="BU67" s="72">
        <f t="shared" si="37"/>
        <v>2.330950866617898E-2</v>
      </c>
      <c r="BV67" s="9">
        <f>BV52+BV66+BV56</f>
        <v>3769227616.3731365</v>
      </c>
      <c r="BW67" s="9">
        <f>BW52+BW66+BW56</f>
        <v>3523856022.1353717</v>
      </c>
      <c r="BX67" s="8">
        <f t="shared" si="38"/>
        <v>245371594.23776484</v>
      </c>
      <c r="BY67" s="72">
        <f t="shared" si="39"/>
        <v>6.9631560624623834E-2</v>
      </c>
      <c r="BZ67" s="9">
        <f>BZ52+BZ66+BZ56</f>
        <v>7058206322.6200485</v>
      </c>
      <c r="CA67" s="8">
        <f t="shared" si="40"/>
        <v>-3288978706.246912</v>
      </c>
      <c r="CB67" s="71">
        <f t="shared" si="41"/>
        <v>-0.46597939418495538</v>
      </c>
      <c r="CC67" s="119">
        <f>CC52+CC66+CC56</f>
        <v>602789044.90718961</v>
      </c>
      <c r="CD67" s="11">
        <f>CD52+CD66+CD56</f>
        <v>589058383.41411293</v>
      </c>
      <c r="CE67" s="8">
        <f t="shared" si="42"/>
        <v>13730661.493076682</v>
      </c>
      <c r="CF67" s="72">
        <f t="shared" si="43"/>
        <v>2.330950866617898E-2</v>
      </c>
      <c r="CG67" s="9">
        <f>CG52+CG66+CG56</f>
        <v>3769227616.3731365</v>
      </c>
      <c r="CH67" s="9">
        <f>CH52+CH66+CH56</f>
        <v>3523856022.1353717</v>
      </c>
      <c r="CI67" s="8">
        <f t="shared" si="44"/>
        <v>245371594.23776484</v>
      </c>
      <c r="CJ67" s="72">
        <f t="shared" si="45"/>
        <v>6.9631560624623834E-2</v>
      </c>
      <c r="CK67" s="9">
        <f>CK52+CK66+CK56</f>
        <v>7058206322.6200485</v>
      </c>
      <c r="CL67" s="8">
        <f t="shared" si="46"/>
        <v>-3288978706.246912</v>
      </c>
      <c r="CM67" s="71">
        <f t="shared" si="47"/>
        <v>-0.46597939418495538</v>
      </c>
      <c r="CN67" s="119">
        <f>CN52+CN66+CN56</f>
        <v>602789044.90718961</v>
      </c>
      <c r="CO67" s="11">
        <f>CO52+CO66+CO56</f>
        <v>589058383.41411293</v>
      </c>
      <c r="CP67" s="8">
        <f t="shared" si="48"/>
        <v>13730661.493076682</v>
      </c>
      <c r="CQ67" s="72">
        <f t="shared" si="49"/>
        <v>2.330950866617898E-2</v>
      </c>
      <c r="CR67" s="9">
        <f>CR52+CR66+CR56</f>
        <v>3769227616.3731365</v>
      </c>
      <c r="CS67" s="9">
        <f>CS52+CS66+CS56</f>
        <v>3523856022.1353717</v>
      </c>
      <c r="CT67" s="8">
        <f t="shared" si="50"/>
        <v>245371594.23776484</v>
      </c>
      <c r="CU67" s="72">
        <f t="shared" si="51"/>
        <v>6.9631560624623834E-2</v>
      </c>
      <c r="CV67" s="9">
        <f>CV52+CV66+CV56</f>
        <v>7058206322.6200485</v>
      </c>
      <c r="CW67" s="8">
        <f t="shared" si="52"/>
        <v>-3288978706.246912</v>
      </c>
      <c r="CX67" s="71">
        <f t="shared" si="53"/>
        <v>-0.46597939418495538</v>
      </c>
      <c r="CY67" s="119">
        <f>CY52+CY66+CY56</f>
        <v>602789044.90718961</v>
      </c>
      <c r="CZ67" s="11">
        <f>CZ52+CZ66+CZ56</f>
        <v>589058383.41411293</v>
      </c>
      <c r="DA67" s="8">
        <f t="shared" si="54"/>
        <v>13730661.493076682</v>
      </c>
      <c r="DB67" s="72">
        <f t="shared" si="55"/>
        <v>2.330950866617898E-2</v>
      </c>
      <c r="DC67" s="9">
        <f>DC52+DC66+DC56</f>
        <v>3769227616.3731365</v>
      </c>
      <c r="DD67" s="9">
        <f>DD52+DD66+DD56</f>
        <v>3523856022.1353717</v>
      </c>
      <c r="DE67" s="8">
        <f t="shared" si="56"/>
        <v>245371594.23776484</v>
      </c>
      <c r="DF67" s="72">
        <f t="shared" si="57"/>
        <v>6.9631560624623834E-2</v>
      </c>
      <c r="DG67" s="9">
        <f>DG52+DG66+DG56</f>
        <v>7058206322.6200485</v>
      </c>
      <c r="DH67" s="8">
        <f t="shared" si="58"/>
        <v>-3288978706.246912</v>
      </c>
      <c r="DI67" s="71">
        <f t="shared" si="59"/>
        <v>-0.46597939418495538</v>
      </c>
    </row>
    <row r="68" spans="1:113" ht="16.5" customHeight="1" outlineLevel="1" x14ac:dyDescent="0.2">
      <c r="A68" s="54"/>
      <c r="B68" s="101" t="s">
        <v>22</v>
      </c>
      <c r="C68" s="100" t="s">
        <v>21</v>
      </c>
      <c r="D68" s="118">
        <f>(D14+D17+D20+D23+D30+D33+D36+D39)/(D13+D16+D19+D22+D29+D32+D35+D38)</f>
        <v>0.18587833690067815</v>
      </c>
      <c r="E68" s="117">
        <f>(E14+E17+E20+E23+E30+E33+E36+E39)/(E13+E16+E19+E22+E29+E32+E35+E38)</f>
        <v>0.18499999999999994</v>
      </c>
      <c r="F68" s="32">
        <v>0</v>
      </c>
      <c r="G68" s="116" t="s">
        <v>20</v>
      </c>
      <c r="H68" s="115">
        <f>(H14+H17+H20+H23+H30+H33+H36+H39)/(H13+H16+H19+H22+H29+H32+H35+H38)</f>
        <v>0.21075442875851549</v>
      </c>
      <c r="I68" s="115">
        <f>(I14+I17+I20+I23+I30+I33+I36+I39)/(I13+I16+I19+I22+I29+I32+I35+I38)</f>
        <v>0.18499999999999994</v>
      </c>
      <c r="J68" s="32">
        <v>0</v>
      </c>
      <c r="K68" s="116" t="s">
        <v>20</v>
      </c>
      <c r="L68" s="115">
        <f>(L14+L17+L20+L23+L30+L33+L36+L39)/(L13+L16+L19+L22+L29+L32+L35+L38)</f>
        <v>0.18499999999999994</v>
      </c>
      <c r="M68" s="114" t="s">
        <v>20</v>
      </c>
      <c r="N68" s="113" t="s">
        <v>20</v>
      </c>
      <c r="O68" s="118">
        <f>(O14+O17+O20+O23+O30+O33+O36+O39)/(O13+O16+O19+O22+O29+O32+O35+O38)</f>
        <v>0.18587833690067815</v>
      </c>
      <c r="P68" s="117">
        <f>(P14+P17+P20+P23+P30+P33+P36+P39)/(P13+P16+P19+P22+P29+P32+P35+P38)</f>
        <v>0.18499999999999994</v>
      </c>
      <c r="Q68" s="32">
        <v>0</v>
      </c>
      <c r="R68" s="116" t="s">
        <v>20</v>
      </c>
      <c r="S68" s="115">
        <f>(S14+S17+S20+S23+S30+S33+S36+S39)/(S13+S16+S19+S22+S29+S32+S35+S38)</f>
        <v>0.21075442875851549</v>
      </c>
      <c r="T68" s="115">
        <f>(T14+T17+T20+T23+T30+T33+T36+T39)/(T13+T16+T19+T22+T29+T32+T35+T38)</f>
        <v>0.18499999999999994</v>
      </c>
      <c r="U68" s="32">
        <v>0</v>
      </c>
      <c r="V68" s="116" t="s">
        <v>20</v>
      </c>
      <c r="W68" s="115">
        <f>(W14+W17+W20+W23+W30+W33+W36+W39)/(W13+W16+W19+W22+W29+W32+W35+W38)</f>
        <v>0.18499999999999994</v>
      </c>
      <c r="X68" s="114" t="s">
        <v>20</v>
      </c>
      <c r="Y68" s="113" t="s">
        <v>20</v>
      </c>
      <c r="Z68" s="118">
        <f>(Z14+Z17+Z20+Z23+Z30+Z33+Z36+Z39)/(Z13+Z16+Z19+Z22+Z29+Z32+Z35+Z38)</f>
        <v>0.18587833690067815</v>
      </c>
      <c r="AA68" s="117">
        <f>(AA14+AA17+AA20+AA23+AA30+AA33+AA36+AA39)/(AA13+AA16+AA19+AA22+AA29+AA32+AA35+AA38)</f>
        <v>0.18499999999999994</v>
      </c>
      <c r="AB68" s="32">
        <v>0</v>
      </c>
      <c r="AC68" s="116" t="s">
        <v>20</v>
      </c>
      <c r="AD68" s="115">
        <f>(AD14+AD17+AD20+AD23+AD30+AD33+AD36+AD39)/(AD13+AD16+AD19+AD22+AD29+AD32+AD35+AD38)</f>
        <v>0.21075442875851549</v>
      </c>
      <c r="AE68" s="115">
        <f>(AE14+AE17+AE20+AE23+AE30+AE33+AE36+AE39)/(AE13+AE16+AE19+AE22+AE29+AE32+AE35+AE38)</f>
        <v>0.18499999999999994</v>
      </c>
      <c r="AF68" s="32">
        <v>0</v>
      </c>
      <c r="AG68" s="116" t="s">
        <v>20</v>
      </c>
      <c r="AH68" s="115">
        <f>(AH14+AH17+AH20+AH23+AH30+AH33+AH36+AH39)/(AH13+AH16+AH19+AH22+AH29+AH32+AH35+AH38)</f>
        <v>0.18499999999999994</v>
      </c>
      <c r="AI68" s="114" t="s">
        <v>20</v>
      </c>
      <c r="AJ68" s="113" t="s">
        <v>20</v>
      </c>
      <c r="AK68" s="118">
        <f>(AK14+AK17+AK20+AK23+AK30+AK33+AK36+AK39)/(AK13+AK16+AK19+AK22+AK29+AK32+AK35+AK38)</f>
        <v>0.18587833690067815</v>
      </c>
      <c r="AL68" s="117">
        <f>(AL14+AL17+AL20+AL23+AL30+AL33+AL36+AL39)/(AL13+AL16+AL19+AL22+AL29+AL32+AL35+AL38)</f>
        <v>0.18499999999999994</v>
      </c>
      <c r="AM68" s="32">
        <v>0</v>
      </c>
      <c r="AN68" s="116" t="s">
        <v>20</v>
      </c>
      <c r="AO68" s="115">
        <f>(AO14+AO17+AO20+AO23+AO30+AO33+AO36+AO39)/(AO13+AO16+AO19+AO22+AO29+AO32+AO35+AO38)</f>
        <v>0.21075442875851549</v>
      </c>
      <c r="AP68" s="115">
        <f>(AP14+AP17+AP20+AP23+AP30+AP33+AP36+AP39)/(AP13+AP16+AP19+AP22+AP29+AP32+AP35+AP38)</f>
        <v>0.18499999999999994</v>
      </c>
      <c r="AQ68" s="32">
        <v>0</v>
      </c>
      <c r="AR68" s="116" t="s">
        <v>20</v>
      </c>
      <c r="AS68" s="115">
        <f>(AS14+AS17+AS20+AS23+AS30+AS33+AS36+AS39)/(AS13+AS16+AS19+AS22+AS29+AS32+AS35+AS38)</f>
        <v>0.18499999999999994</v>
      </c>
      <c r="AT68" s="114" t="s">
        <v>20</v>
      </c>
      <c r="AU68" s="113" t="s">
        <v>20</v>
      </c>
      <c r="AV68" s="118">
        <f>(AV14+AV17+AV20+AV23+AV30+AV33+AV36+AV39)/(AV13+AV16+AV19+AV22+AV29+AV32+AV35+AV38)</f>
        <v>0.18587833690067815</v>
      </c>
      <c r="AW68" s="117">
        <f>(AW14+AW17+AW20+AW23+AW30+AW33+AW36+AW39)/(AW13+AW16+AW19+AW22+AW29+AW32+AW35+AW38)</f>
        <v>0.18499999999999994</v>
      </c>
      <c r="AX68" s="32">
        <v>0</v>
      </c>
      <c r="AY68" s="116" t="s">
        <v>20</v>
      </c>
      <c r="AZ68" s="115">
        <f>(AZ14+AZ17+AZ20+AZ23+AZ30+AZ33+AZ36+AZ39)/(AZ13+AZ16+AZ19+AZ22+AZ29+AZ32+AZ35+AZ38)</f>
        <v>0.21075442875851549</v>
      </c>
      <c r="BA68" s="115">
        <f>(BA14+BA17+BA20+BA23+BA30+BA33+BA36+BA39)/(BA13+BA16+BA19+BA22+BA29+BA32+BA35+BA38)</f>
        <v>0.18499999999999994</v>
      </c>
      <c r="BB68" s="32">
        <v>0</v>
      </c>
      <c r="BC68" s="116" t="s">
        <v>20</v>
      </c>
      <c r="BD68" s="115">
        <f>(BD14+BD17+BD20+BD23+BD30+BD33+BD36+BD39)/(BD13+BD16+BD19+BD22+BD29+BD32+BD35+BD38)</f>
        <v>0.18499999999999994</v>
      </c>
      <c r="BE68" s="114" t="s">
        <v>20</v>
      </c>
      <c r="BF68" s="113" t="s">
        <v>20</v>
      </c>
      <c r="BG68" s="118">
        <f>(BG14+BG17+BG20+BG23+BG30+BG33+BG36+BG39)/(BG13+BG16+BG19+BG22+BG29+BG32+BG35+BG38)</f>
        <v>0.18587833690067815</v>
      </c>
      <c r="BH68" s="117">
        <f>(BH14+BH17+BH20+BH23+BH30+BH33+BH36+BH39)/(BH13+BH16+BH19+BH22+BH29+BH32+BH35+BH38)</f>
        <v>0.18499999999999994</v>
      </c>
      <c r="BI68" s="32">
        <v>0</v>
      </c>
      <c r="BJ68" s="116" t="s">
        <v>20</v>
      </c>
      <c r="BK68" s="115">
        <f>(BK14+BK17+BK20+BK23+BK30+BK33+BK36+BK39)/(BK13+BK16+BK19+BK22+BK29+BK32+BK35+BK38)</f>
        <v>0.21075442875851549</v>
      </c>
      <c r="BL68" s="115">
        <f>(BL14+BL17+BL20+BL23+BL30+BL33+BL36+BL39)/(BL13+BL16+BL19+BL22+BL29+BL32+BL35+BL38)</f>
        <v>0.18499999999999994</v>
      </c>
      <c r="BM68" s="32">
        <v>0</v>
      </c>
      <c r="BN68" s="116" t="s">
        <v>20</v>
      </c>
      <c r="BO68" s="115">
        <f>(BO14+BO17+BO20+BO23+BO30+BO33+BO36+BO39)/(BO13+BO16+BO19+BO22+BO29+BO32+BO35+BO38)</f>
        <v>0.18499999999999994</v>
      </c>
      <c r="BP68" s="114" t="s">
        <v>20</v>
      </c>
      <c r="BQ68" s="113" t="s">
        <v>20</v>
      </c>
      <c r="BR68" s="118">
        <f>(BR14+BR17+BR20+BR23+BR30+BR33+BR36+BR39)/(BR13+BR16+BR19+BR22+BR29+BR32+BR35+BR38)</f>
        <v>0.18587833690067815</v>
      </c>
      <c r="BS68" s="117">
        <f>(BS14+BS17+BS20+BS23+BS30+BS33+BS36+BS39)/(BS13+BS16+BS19+BS22+BS29+BS32+BS35+BS38)</f>
        <v>0.18499999999999994</v>
      </c>
      <c r="BT68" s="32">
        <v>0</v>
      </c>
      <c r="BU68" s="116" t="s">
        <v>20</v>
      </c>
      <c r="BV68" s="115">
        <f>(BV14+BV17+BV20+BV23+BV30+BV33+BV36+BV39)/(BV13+BV16+BV19+BV22+BV29+BV32+BV35+BV38)</f>
        <v>0.21075442875851549</v>
      </c>
      <c r="BW68" s="115">
        <f>(BW14+BW17+BW20+BW23+BW30+BW33+BW36+BW39)/(BW13+BW16+BW19+BW22+BW29+BW32+BW35+BW38)</f>
        <v>0.18499999999999994</v>
      </c>
      <c r="BX68" s="32">
        <v>0</v>
      </c>
      <c r="BY68" s="116" t="s">
        <v>20</v>
      </c>
      <c r="BZ68" s="115">
        <f>(BZ14+BZ17+BZ20+BZ23+BZ30+BZ33+BZ36+BZ39)/(BZ13+BZ16+BZ19+BZ22+BZ29+BZ32+BZ35+BZ38)</f>
        <v>0.18499999999999994</v>
      </c>
      <c r="CA68" s="114" t="s">
        <v>20</v>
      </c>
      <c r="CB68" s="113" t="s">
        <v>20</v>
      </c>
      <c r="CC68" s="118">
        <f>(CC14+CC17+CC20+CC23+CC30+CC33+CC36+CC39)/(CC13+CC16+CC19+CC22+CC29+CC32+CC35+CC38)</f>
        <v>0.18587833690067815</v>
      </c>
      <c r="CD68" s="117">
        <f>(CD14+CD17+CD20+CD23+CD30+CD33+CD36+CD39)/(CD13+CD16+CD19+CD22+CD29+CD32+CD35+CD38)</f>
        <v>0.18499999999999994</v>
      </c>
      <c r="CE68" s="32">
        <v>0</v>
      </c>
      <c r="CF68" s="116" t="s">
        <v>20</v>
      </c>
      <c r="CG68" s="115">
        <f>(CG14+CG17+CG20+CG23+CG30+CG33+CG36+CG39)/(CG13+CG16+CG19+CG22+CG29+CG32+CG35+CG38)</f>
        <v>0.21075442875851549</v>
      </c>
      <c r="CH68" s="115">
        <f>(CH14+CH17+CH20+CH23+CH30+CH33+CH36+CH39)/(CH13+CH16+CH19+CH22+CH29+CH32+CH35+CH38)</f>
        <v>0.18499999999999994</v>
      </c>
      <c r="CI68" s="32">
        <v>0</v>
      </c>
      <c r="CJ68" s="116" t="s">
        <v>20</v>
      </c>
      <c r="CK68" s="115">
        <f>(CK14+CK17+CK20+CK23+CK30+CK33+CK36+CK39)/(CK13+CK16+CK19+CK22+CK29+CK32+CK35+CK38)</f>
        <v>0.18499999999999994</v>
      </c>
      <c r="CL68" s="114" t="s">
        <v>20</v>
      </c>
      <c r="CM68" s="113" t="s">
        <v>20</v>
      </c>
      <c r="CN68" s="118">
        <f>(CN14+CN17+CN20+CN23+CN30+CN33+CN36+CN39)/(CN13+CN16+CN19+CN22+CN29+CN32+CN35+CN38)</f>
        <v>0.18587833690067815</v>
      </c>
      <c r="CO68" s="117">
        <f>(CO14+CO17+CO20+CO23+CO30+CO33+CO36+CO39)/(CO13+CO16+CO19+CO22+CO29+CO32+CO35+CO38)</f>
        <v>0.18499999999999994</v>
      </c>
      <c r="CP68" s="32">
        <v>0</v>
      </c>
      <c r="CQ68" s="116" t="s">
        <v>20</v>
      </c>
      <c r="CR68" s="115">
        <f>(CR14+CR17+CR20+CR23+CR30+CR33+CR36+CR39)/(CR13+CR16+CR19+CR22+CR29+CR32+CR35+CR38)</f>
        <v>0.21075442875851549</v>
      </c>
      <c r="CS68" s="115">
        <f>(CS14+CS17+CS20+CS23+CS30+CS33+CS36+CS39)/(CS13+CS16+CS19+CS22+CS29+CS32+CS35+CS38)</f>
        <v>0.18499999999999994</v>
      </c>
      <c r="CT68" s="32">
        <v>0</v>
      </c>
      <c r="CU68" s="116" t="s">
        <v>20</v>
      </c>
      <c r="CV68" s="115">
        <f>(CV14+CV17+CV20+CV23+CV30+CV33+CV36+CV39)/(CV13+CV16+CV19+CV22+CV29+CV32+CV35+CV38)</f>
        <v>0.18499999999999994</v>
      </c>
      <c r="CW68" s="114" t="s">
        <v>20</v>
      </c>
      <c r="CX68" s="113" t="s">
        <v>20</v>
      </c>
      <c r="CY68" s="118">
        <f>(CY14+CY17+CY20+CY23+CY30+CY33+CY36+CY39)/(CY13+CY16+CY19+CY22+CY29+CY32+CY35+CY38)</f>
        <v>0.18587833690067815</v>
      </c>
      <c r="CZ68" s="117">
        <f>(CZ14+CZ17+CZ20+CZ23+CZ30+CZ33+CZ36+CZ39)/(CZ13+CZ16+CZ19+CZ22+CZ29+CZ32+CZ35+CZ38)</f>
        <v>0.18499999999999994</v>
      </c>
      <c r="DA68" s="32">
        <v>0</v>
      </c>
      <c r="DB68" s="116" t="s">
        <v>20</v>
      </c>
      <c r="DC68" s="115">
        <f>(DC14+DC17+DC20+DC23+DC30+DC33+DC36+DC39)/(DC13+DC16+DC19+DC22+DC29+DC32+DC35+DC38)</f>
        <v>0.21075442875851549</v>
      </c>
      <c r="DD68" s="115">
        <f>(DD14+DD17+DD20+DD23+DD30+DD33+DD36+DD39)/(DD13+DD16+DD19+DD22+DD29+DD32+DD35+DD38)</f>
        <v>0.18499999999999994</v>
      </c>
      <c r="DE68" s="32">
        <v>0</v>
      </c>
      <c r="DF68" s="116" t="s">
        <v>20</v>
      </c>
      <c r="DG68" s="115">
        <f>(DG14+DG17+DG20+DG23+DG30+DG33+DG36+DG39)/(DG13+DG16+DG19+DG22+DG29+DG32+DG35+DG38)</f>
        <v>0.18499999999999994</v>
      </c>
      <c r="DH68" s="114" t="s">
        <v>20</v>
      </c>
      <c r="DI68" s="113" t="s">
        <v>20</v>
      </c>
    </row>
    <row r="69" spans="1:113" s="103" customFormat="1" ht="16.5" customHeight="1" outlineLevel="1" x14ac:dyDescent="0.2">
      <c r="B69" s="111" t="s">
        <v>19</v>
      </c>
      <c r="C69" s="110" t="s">
        <v>18</v>
      </c>
      <c r="D69" s="109">
        <v>311</v>
      </c>
      <c r="E69" s="108">
        <v>331</v>
      </c>
      <c r="F69" s="32">
        <f>D69-E69</f>
        <v>-20</v>
      </c>
      <c r="G69" s="112">
        <f>IFERROR(D69/E69-1,"-")</f>
        <v>-6.0422960725075581E-2</v>
      </c>
      <c r="H69" s="106">
        <v>311</v>
      </c>
      <c r="I69" s="106">
        <v>331</v>
      </c>
      <c r="J69" s="32">
        <f>H69-I69</f>
        <v>-20</v>
      </c>
      <c r="K69" s="112">
        <f>IFERROR(H69/I69-1,"-")</f>
        <v>-6.0422960725075581E-2</v>
      </c>
      <c r="L69" s="106">
        <v>331</v>
      </c>
      <c r="M69" s="105">
        <f>H69-L69</f>
        <v>-20</v>
      </c>
      <c r="N69" s="104">
        <f>IFERROR(M69/L69,"-")</f>
        <v>-6.0422960725075532E-2</v>
      </c>
      <c r="O69" s="109">
        <v>311</v>
      </c>
      <c r="P69" s="108">
        <v>331</v>
      </c>
      <c r="Q69" s="32">
        <f>O69-P69</f>
        <v>-20</v>
      </c>
      <c r="R69" s="112">
        <f>IFERROR(O69/P69-1,"-")</f>
        <v>-6.0422960725075581E-2</v>
      </c>
      <c r="S69" s="106">
        <v>311</v>
      </c>
      <c r="T69" s="106">
        <v>331</v>
      </c>
      <c r="U69" s="32">
        <f>S69-T69</f>
        <v>-20</v>
      </c>
      <c r="V69" s="112">
        <f>IFERROR(S69/T69-1,"-")</f>
        <v>-6.0422960725075581E-2</v>
      </c>
      <c r="W69" s="106">
        <v>331</v>
      </c>
      <c r="X69" s="105">
        <f>S69-W69</f>
        <v>-20</v>
      </c>
      <c r="Y69" s="104">
        <f>IFERROR(X69/W69,"-")</f>
        <v>-6.0422960725075532E-2</v>
      </c>
      <c r="Z69" s="109">
        <v>311</v>
      </c>
      <c r="AA69" s="108">
        <v>331</v>
      </c>
      <c r="AB69" s="32">
        <f>Z69-AA69</f>
        <v>-20</v>
      </c>
      <c r="AC69" s="112">
        <f>IFERROR(Z69/AA69-1,"-")</f>
        <v>-6.0422960725075581E-2</v>
      </c>
      <c r="AD69" s="106">
        <v>311</v>
      </c>
      <c r="AE69" s="106">
        <v>331</v>
      </c>
      <c r="AF69" s="32">
        <f>AD69-AE69</f>
        <v>-20</v>
      </c>
      <c r="AG69" s="112">
        <f>IFERROR(AD69/AE69-1,"-")</f>
        <v>-6.0422960725075581E-2</v>
      </c>
      <c r="AH69" s="106">
        <v>331</v>
      </c>
      <c r="AI69" s="105">
        <f>AD69-AH69</f>
        <v>-20</v>
      </c>
      <c r="AJ69" s="104">
        <f>IFERROR(AI69/AH69,"-")</f>
        <v>-6.0422960725075532E-2</v>
      </c>
      <c r="AK69" s="109">
        <v>311</v>
      </c>
      <c r="AL69" s="108">
        <v>331</v>
      </c>
      <c r="AM69" s="32">
        <f>AK69-AL69</f>
        <v>-20</v>
      </c>
      <c r="AN69" s="112">
        <f>IFERROR(AK69/AL69-1,"-")</f>
        <v>-6.0422960725075581E-2</v>
      </c>
      <c r="AO69" s="106">
        <v>311</v>
      </c>
      <c r="AP69" s="106">
        <v>331</v>
      </c>
      <c r="AQ69" s="32">
        <f>AO69-AP69</f>
        <v>-20</v>
      </c>
      <c r="AR69" s="112">
        <f>IFERROR(AO69/AP69-1,"-")</f>
        <v>-6.0422960725075581E-2</v>
      </c>
      <c r="AS69" s="106">
        <v>331</v>
      </c>
      <c r="AT69" s="105">
        <f>AO69-AS69</f>
        <v>-20</v>
      </c>
      <c r="AU69" s="104">
        <f>IFERROR(AT69/AS69,"-")</f>
        <v>-6.0422960725075532E-2</v>
      </c>
      <c r="AV69" s="109">
        <v>311</v>
      </c>
      <c r="AW69" s="108">
        <v>331</v>
      </c>
      <c r="AX69" s="32">
        <f>AV69-AW69</f>
        <v>-20</v>
      </c>
      <c r="AY69" s="112">
        <f>IFERROR(AV69/AW69-1,"-")</f>
        <v>-6.0422960725075581E-2</v>
      </c>
      <c r="AZ69" s="106">
        <v>311</v>
      </c>
      <c r="BA69" s="106">
        <v>331</v>
      </c>
      <c r="BB69" s="32">
        <f>AZ69-BA69</f>
        <v>-20</v>
      </c>
      <c r="BC69" s="112">
        <f>IFERROR(AZ69/BA69-1,"-")</f>
        <v>-6.0422960725075581E-2</v>
      </c>
      <c r="BD69" s="106">
        <v>331</v>
      </c>
      <c r="BE69" s="105">
        <f>AZ69-BD69</f>
        <v>-20</v>
      </c>
      <c r="BF69" s="104">
        <f>IFERROR(BE69/BD69,"-")</f>
        <v>-6.0422960725075532E-2</v>
      </c>
      <c r="BG69" s="109">
        <v>311</v>
      </c>
      <c r="BH69" s="108">
        <v>331</v>
      </c>
      <c r="BI69" s="32">
        <f>BG69-BH69</f>
        <v>-20</v>
      </c>
      <c r="BJ69" s="112">
        <f>IFERROR(BG69/BH69-1,"-")</f>
        <v>-6.0422960725075581E-2</v>
      </c>
      <c r="BK69" s="106">
        <v>311</v>
      </c>
      <c r="BL69" s="106">
        <v>331</v>
      </c>
      <c r="BM69" s="32">
        <f>BK69-BL69</f>
        <v>-20</v>
      </c>
      <c r="BN69" s="112">
        <f>IFERROR(BK69/BL69-1,"-")</f>
        <v>-6.0422960725075581E-2</v>
      </c>
      <c r="BO69" s="106">
        <v>331</v>
      </c>
      <c r="BP69" s="105">
        <f>BK69-BO69</f>
        <v>-20</v>
      </c>
      <c r="BQ69" s="104">
        <f>IFERROR(BP69/BO69,"-")</f>
        <v>-6.0422960725075532E-2</v>
      </c>
      <c r="BR69" s="109">
        <v>311</v>
      </c>
      <c r="BS69" s="108">
        <v>331</v>
      </c>
      <c r="BT69" s="32">
        <f>BR69-BS69</f>
        <v>-20</v>
      </c>
      <c r="BU69" s="112">
        <f>IFERROR(BR69/BS69-1,"-")</f>
        <v>-6.0422960725075581E-2</v>
      </c>
      <c r="BV69" s="106">
        <v>311</v>
      </c>
      <c r="BW69" s="106">
        <v>331</v>
      </c>
      <c r="BX69" s="32">
        <f>BV69-BW69</f>
        <v>-20</v>
      </c>
      <c r="BY69" s="112">
        <f>IFERROR(BV69/BW69-1,"-")</f>
        <v>-6.0422960725075581E-2</v>
      </c>
      <c r="BZ69" s="106">
        <v>331</v>
      </c>
      <c r="CA69" s="105">
        <f>BV69-BZ69</f>
        <v>-20</v>
      </c>
      <c r="CB69" s="104">
        <f>IFERROR(CA69/BZ69,"-")</f>
        <v>-6.0422960725075532E-2</v>
      </c>
      <c r="CC69" s="109">
        <v>311</v>
      </c>
      <c r="CD69" s="108">
        <v>331</v>
      </c>
      <c r="CE69" s="32">
        <f>CC69-CD69</f>
        <v>-20</v>
      </c>
      <c r="CF69" s="112">
        <f>IFERROR(CC69/CD69-1,"-")</f>
        <v>-6.0422960725075581E-2</v>
      </c>
      <c r="CG69" s="106">
        <v>311</v>
      </c>
      <c r="CH69" s="106">
        <v>331</v>
      </c>
      <c r="CI69" s="32">
        <f>CG69-CH69</f>
        <v>-20</v>
      </c>
      <c r="CJ69" s="112">
        <f>IFERROR(CG69/CH69-1,"-")</f>
        <v>-6.0422960725075581E-2</v>
      </c>
      <c r="CK69" s="106">
        <v>331</v>
      </c>
      <c r="CL69" s="105">
        <f>CG69-CK69</f>
        <v>-20</v>
      </c>
      <c r="CM69" s="104">
        <f>IFERROR(CL69/CK69,"-")</f>
        <v>-6.0422960725075532E-2</v>
      </c>
      <c r="CN69" s="109">
        <v>311</v>
      </c>
      <c r="CO69" s="108">
        <v>331</v>
      </c>
      <c r="CP69" s="32">
        <f>CN69-CO69</f>
        <v>-20</v>
      </c>
      <c r="CQ69" s="112">
        <f>IFERROR(CN69/CO69-1,"-")</f>
        <v>-6.0422960725075581E-2</v>
      </c>
      <c r="CR69" s="106">
        <v>311</v>
      </c>
      <c r="CS69" s="106">
        <v>331</v>
      </c>
      <c r="CT69" s="32">
        <f>CR69-CS69</f>
        <v>-20</v>
      </c>
      <c r="CU69" s="112">
        <f>IFERROR(CR69/CS69-1,"-")</f>
        <v>-6.0422960725075581E-2</v>
      </c>
      <c r="CV69" s="106">
        <v>331</v>
      </c>
      <c r="CW69" s="105">
        <f>CR69-CV69</f>
        <v>-20</v>
      </c>
      <c r="CX69" s="104">
        <f>IFERROR(CW69/CV69,"-")</f>
        <v>-6.0422960725075532E-2</v>
      </c>
      <c r="CY69" s="109">
        <v>311</v>
      </c>
      <c r="CZ69" s="108">
        <v>331</v>
      </c>
      <c r="DA69" s="32">
        <f>CY69-CZ69</f>
        <v>-20</v>
      </c>
      <c r="DB69" s="112">
        <f>IFERROR(CY69/CZ69-1,"-")</f>
        <v>-6.0422960725075581E-2</v>
      </c>
      <c r="DC69" s="106">
        <v>311</v>
      </c>
      <c r="DD69" s="106">
        <v>331</v>
      </c>
      <c r="DE69" s="32">
        <f>DC69-DD69</f>
        <v>-20</v>
      </c>
      <c r="DF69" s="112">
        <f>IFERROR(DC69/DD69-1,"-")</f>
        <v>-6.0422960725075581E-2</v>
      </c>
      <c r="DG69" s="106">
        <v>331</v>
      </c>
      <c r="DH69" s="105">
        <f>DC69-DG69</f>
        <v>-20</v>
      </c>
      <c r="DI69" s="104">
        <f>IFERROR(DH69/DG69,"-")</f>
        <v>-6.0422960725075532E-2</v>
      </c>
    </row>
    <row r="70" spans="1:113" s="103" customFormat="1" ht="16.5" customHeight="1" outlineLevel="1" x14ac:dyDescent="0.2">
      <c r="B70" s="111" t="s">
        <v>17</v>
      </c>
      <c r="C70" s="110" t="s">
        <v>16</v>
      </c>
      <c r="D70" s="109">
        <f>D71-D69</f>
        <v>110</v>
      </c>
      <c r="E70" s="108">
        <f>E71-E69</f>
        <v>113</v>
      </c>
      <c r="F70" s="32">
        <f>D70-E70</f>
        <v>-3</v>
      </c>
      <c r="G70" s="107">
        <f>IFERROR(D70/E70-1,"-")</f>
        <v>-2.6548672566371723E-2</v>
      </c>
      <c r="H70" s="106">
        <f>H71-H69</f>
        <v>110</v>
      </c>
      <c r="I70" s="106">
        <f>I71-I69</f>
        <v>113</v>
      </c>
      <c r="J70" s="32">
        <f>H70-I70</f>
        <v>-3</v>
      </c>
      <c r="K70" s="107">
        <f>IFERROR(H70/I70-1,"-")</f>
        <v>-2.6548672566371723E-2</v>
      </c>
      <c r="L70" s="106">
        <f>L71-L69</f>
        <v>113</v>
      </c>
      <c r="M70" s="105">
        <f>H70-L70</f>
        <v>-3</v>
      </c>
      <c r="N70" s="104">
        <f>IFERROR(M70/L70,"-")</f>
        <v>-2.6548672566371681E-2</v>
      </c>
      <c r="O70" s="109">
        <f>O71-O69</f>
        <v>110</v>
      </c>
      <c r="P70" s="108">
        <f>P71-P69</f>
        <v>113</v>
      </c>
      <c r="Q70" s="32">
        <f>O70-P70</f>
        <v>-3</v>
      </c>
      <c r="R70" s="107">
        <f>IFERROR(O70/P70-1,"-")</f>
        <v>-2.6548672566371723E-2</v>
      </c>
      <c r="S70" s="106">
        <f>S71-S69</f>
        <v>110</v>
      </c>
      <c r="T70" s="106">
        <f>T71-T69</f>
        <v>113</v>
      </c>
      <c r="U70" s="32">
        <f>S70-T70</f>
        <v>-3</v>
      </c>
      <c r="V70" s="107">
        <f>IFERROR(S70/T70-1,"-")</f>
        <v>-2.6548672566371723E-2</v>
      </c>
      <c r="W70" s="106">
        <f>W71-W69</f>
        <v>113</v>
      </c>
      <c r="X70" s="105">
        <f>S70-W70</f>
        <v>-3</v>
      </c>
      <c r="Y70" s="104">
        <f>IFERROR(X70/W70,"-")</f>
        <v>-2.6548672566371681E-2</v>
      </c>
      <c r="Z70" s="109">
        <f>Z71-Z69</f>
        <v>110</v>
      </c>
      <c r="AA70" s="108">
        <f>AA71-AA69</f>
        <v>113</v>
      </c>
      <c r="AB70" s="32">
        <f>Z70-AA70</f>
        <v>-3</v>
      </c>
      <c r="AC70" s="107">
        <f>IFERROR(Z70/AA70-1,"-")</f>
        <v>-2.6548672566371723E-2</v>
      </c>
      <c r="AD70" s="106">
        <f>AD71-AD69</f>
        <v>110</v>
      </c>
      <c r="AE70" s="106">
        <f>AE71-AE69</f>
        <v>113</v>
      </c>
      <c r="AF70" s="32">
        <f>AD70-AE70</f>
        <v>-3</v>
      </c>
      <c r="AG70" s="107">
        <f>IFERROR(AD70/AE70-1,"-")</f>
        <v>-2.6548672566371723E-2</v>
      </c>
      <c r="AH70" s="106">
        <f>AH71-AH69</f>
        <v>113</v>
      </c>
      <c r="AI70" s="105">
        <f>AD70-AH70</f>
        <v>-3</v>
      </c>
      <c r="AJ70" s="104">
        <f>IFERROR(AI70/AH70,"-")</f>
        <v>-2.6548672566371681E-2</v>
      </c>
      <c r="AK70" s="109">
        <f>AK71-AK69</f>
        <v>110</v>
      </c>
      <c r="AL70" s="108">
        <f>AL71-AL69</f>
        <v>113</v>
      </c>
      <c r="AM70" s="32">
        <f>AK70-AL70</f>
        <v>-3</v>
      </c>
      <c r="AN70" s="107">
        <f>IFERROR(AK70/AL70-1,"-")</f>
        <v>-2.6548672566371723E-2</v>
      </c>
      <c r="AO70" s="106">
        <f>AO71-AO69</f>
        <v>110</v>
      </c>
      <c r="AP70" s="106">
        <f>AP71-AP69</f>
        <v>113</v>
      </c>
      <c r="AQ70" s="32">
        <f>AO70-AP70</f>
        <v>-3</v>
      </c>
      <c r="AR70" s="107">
        <f>IFERROR(AO70/AP70-1,"-")</f>
        <v>-2.6548672566371723E-2</v>
      </c>
      <c r="AS70" s="106">
        <f>AS71-AS69</f>
        <v>113</v>
      </c>
      <c r="AT70" s="105">
        <f>AO70-AS70</f>
        <v>-3</v>
      </c>
      <c r="AU70" s="104">
        <f>IFERROR(AT70/AS70,"-")</f>
        <v>-2.6548672566371681E-2</v>
      </c>
      <c r="AV70" s="109">
        <f>AV71-AV69</f>
        <v>110</v>
      </c>
      <c r="AW70" s="108">
        <f>AW71-AW69</f>
        <v>113</v>
      </c>
      <c r="AX70" s="32">
        <f>AV70-AW70</f>
        <v>-3</v>
      </c>
      <c r="AY70" s="107">
        <f>IFERROR(AV70/AW70-1,"-")</f>
        <v>-2.6548672566371723E-2</v>
      </c>
      <c r="AZ70" s="106">
        <f>AZ71-AZ69</f>
        <v>110</v>
      </c>
      <c r="BA70" s="106">
        <f>BA71-BA69</f>
        <v>113</v>
      </c>
      <c r="BB70" s="32">
        <f>AZ70-BA70</f>
        <v>-3</v>
      </c>
      <c r="BC70" s="107">
        <f>IFERROR(AZ70/BA70-1,"-")</f>
        <v>-2.6548672566371723E-2</v>
      </c>
      <c r="BD70" s="106">
        <f>BD71-BD69</f>
        <v>113</v>
      </c>
      <c r="BE70" s="105">
        <f>AZ70-BD70</f>
        <v>-3</v>
      </c>
      <c r="BF70" s="104">
        <f>IFERROR(BE70/BD70,"-")</f>
        <v>-2.6548672566371681E-2</v>
      </c>
      <c r="BG70" s="109">
        <f>BG71-BG69</f>
        <v>110</v>
      </c>
      <c r="BH70" s="108">
        <f>BH71-BH69</f>
        <v>113</v>
      </c>
      <c r="BI70" s="32">
        <f>BG70-BH70</f>
        <v>-3</v>
      </c>
      <c r="BJ70" s="107">
        <f>IFERROR(BG70/BH70-1,"-")</f>
        <v>-2.6548672566371723E-2</v>
      </c>
      <c r="BK70" s="106">
        <f>BK71-BK69</f>
        <v>110</v>
      </c>
      <c r="BL70" s="106">
        <f>BL71-BL69</f>
        <v>113</v>
      </c>
      <c r="BM70" s="32">
        <f>BK70-BL70</f>
        <v>-3</v>
      </c>
      <c r="BN70" s="107">
        <f>IFERROR(BK70/BL70-1,"-")</f>
        <v>-2.6548672566371723E-2</v>
      </c>
      <c r="BO70" s="106">
        <f>BO71-BO69</f>
        <v>113</v>
      </c>
      <c r="BP70" s="105">
        <f>BK70-BO70</f>
        <v>-3</v>
      </c>
      <c r="BQ70" s="104">
        <f>IFERROR(BP70/BO70,"-")</f>
        <v>-2.6548672566371681E-2</v>
      </c>
      <c r="BR70" s="109">
        <f>BR71-BR69</f>
        <v>110</v>
      </c>
      <c r="BS70" s="108">
        <f>BS71-BS69</f>
        <v>113</v>
      </c>
      <c r="BT70" s="32">
        <f>BR70-BS70</f>
        <v>-3</v>
      </c>
      <c r="BU70" s="107">
        <f>IFERROR(BR70/BS70-1,"-")</f>
        <v>-2.6548672566371723E-2</v>
      </c>
      <c r="BV70" s="106">
        <f>BV71-BV69</f>
        <v>110</v>
      </c>
      <c r="BW70" s="106">
        <f>BW71-BW69</f>
        <v>113</v>
      </c>
      <c r="BX70" s="32">
        <f>BV70-BW70</f>
        <v>-3</v>
      </c>
      <c r="BY70" s="107">
        <f>IFERROR(BV70/BW70-1,"-")</f>
        <v>-2.6548672566371723E-2</v>
      </c>
      <c r="BZ70" s="106">
        <f>BZ71-BZ69</f>
        <v>113</v>
      </c>
      <c r="CA70" s="105">
        <f>BV70-BZ70</f>
        <v>-3</v>
      </c>
      <c r="CB70" s="104">
        <f>IFERROR(CA70/BZ70,"-")</f>
        <v>-2.6548672566371681E-2</v>
      </c>
      <c r="CC70" s="109">
        <f>CC71-CC69</f>
        <v>110</v>
      </c>
      <c r="CD70" s="108">
        <f>CD71-CD69</f>
        <v>113</v>
      </c>
      <c r="CE70" s="32">
        <f>CC70-CD70</f>
        <v>-3</v>
      </c>
      <c r="CF70" s="107">
        <f>IFERROR(CC70/CD70-1,"-")</f>
        <v>-2.6548672566371723E-2</v>
      </c>
      <c r="CG70" s="106">
        <f>CG71-CG69</f>
        <v>110</v>
      </c>
      <c r="CH70" s="106">
        <f>CH71-CH69</f>
        <v>113</v>
      </c>
      <c r="CI70" s="32">
        <f>CG70-CH70</f>
        <v>-3</v>
      </c>
      <c r="CJ70" s="107">
        <f>IFERROR(CG70/CH70-1,"-")</f>
        <v>-2.6548672566371723E-2</v>
      </c>
      <c r="CK70" s="106">
        <f>CK71-CK69</f>
        <v>113</v>
      </c>
      <c r="CL70" s="105">
        <f>CG70-CK70</f>
        <v>-3</v>
      </c>
      <c r="CM70" s="104">
        <f>IFERROR(CL70/CK70,"-")</f>
        <v>-2.6548672566371681E-2</v>
      </c>
      <c r="CN70" s="109">
        <f>CN71-CN69</f>
        <v>110</v>
      </c>
      <c r="CO70" s="108">
        <f>CO71-CO69</f>
        <v>113</v>
      </c>
      <c r="CP70" s="32">
        <f>CN70-CO70</f>
        <v>-3</v>
      </c>
      <c r="CQ70" s="107">
        <f>IFERROR(CN70/CO70-1,"-")</f>
        <v>-2.6548672566371723E-2</v>
      </c>
      <c r="CR70" s="106">
        <f>CR71-CR69</f>
        <v>110</v>
      </c>
      <c r="CS70" s="106">
        <f>CS71-CS69</f>
        <v>113</v>
      </c>
      <c r="CT70" s="32">
        <f>CR70-CS70</f>
        <v>-3</v>
      </c>
      <c r="CU70" s="107">
        <f>IFERROR(CR70/CS70-1,"-")</f>
        <v>-2.6548672566371723E-2</v>
      </c>
      <c r="CV70" s="106">
        <f>CV71-CV69</f>
        <v>113</v>
      </c>
      <c r="CW70" s="105">
        <f>CR70-CV70</f>
        <v>-3</v>
      </c>
      <c r="CX70" s="104">
        <f>IFERROR(CW70/CV70,"-")</f>
        <v>-2.6548672566371681E-2</v>
      </c>
      <c r="CY70" s="109">
        <f>CY71-CY69</f>
        <v>110</v>
      </c>
      <c r="CZ70" s="108">
        <f>CZ71-CZ69</f>
        <v>113</v>
      </c>
      <c r="DA70" s="32">
        <f>CY70-CZ70</f>
        <v>-3</v>
      </c>
      <c r="DB70" s="107">
        <f>IFERROR(CY70/CZ70-1,"-")</f>
        <v>-2.6548672566371723E-2</v>
      </c>
      <c r="DC70" s="106">
        <f>DC71-DC69</f>
        <v>110</v>
      </c>
      <c r="DD70" s="106">
        <f>DD71-DD69</f>
        <v>113</v>
      </c>
      <c r="DE70" s="32">
        <f>DC70-DD70</f>
        <v>-3</v>
      </c>
      <c r="DF70" s="107">
        <f>IFERROR(DC70/DD70-1,"-")</f>
        <v>-2.6548672566371723E-2</v>
      </c>
      <c r="DG70" s="106">
        <f>DG71-DG69</f>
        <v>113</v>
      </c>
      <c r="DH70" s="105">
        <f>DC70-DG70</f>
        <v>-3</v>
      </c>
      <c r="DI70" s="104">
        <f>IFERROR(DH70/DG70,"-")</f>
        <v>-2.6548672566371681E-2</v>
      </c>
    </row>
    <row r="71" spans="1:113" ht="16.5" customHeight="1" outlineLevel="1" x14ac:dyDescent="0.2">
      <c r="B71" s="101" t="s">
        <v>15</v>
      </c>
      <c r="C71" s="100" t="s">
        <v>14</v>
      </c>
      <c r="D71" s="99">
        <v>421</v>
      </c>
      <c r="E71" s="102">
        <v>444</v>
      </c>
      <c r="F71" s="23">
        <f>D71-E71</f>
        <v>-23</v>
      </c>
      <c r="G71" s="96">
        <f>IFERROR(D71/E71-1,"-")</f>
        <v>-5.1801801801801828E-2</v>
      </c>
      <c r="H71" s="95">
        <v>421</v>
      </c>
      <c r="I71" s="95">
        <v>444</v>
      </c>
      <c r="J71" s="23">
        <f>H71-I71</f>
        <v>-23</v>
      </c>
      <c r="K71" s="96">
        <f>IFERROR(H71/I71-1,"-")</f>
        <v>-5.1801801801801828E-2</v>
      </c>
      <c r="L71" s="95">
        <v>444</v>
      </c>
      <c r="M71" s="94">
        <f>H71-L71</f>
        <v>-23</v>
      </c>
      <c r="N71" s="93">
        <f>IFERROR(M71/L71,"-")</f>
        <v>-5.18018018018018E-2</v>
      </c>
      <c r="O71" s="99">
        <v>421</v>
      </c>
      <c r="P71" s="102">
        <v>444</v>
      </c>
      <c r="Q71" s="23">
        <f>O71-P71</f>
        <v>-23</v>
      </c>
      <c r="R71" s="96">
        <f>IFERROR(O71/P71-1,"-")</f>
        <v>-5.1801801801801828E-2</v>
      </c>
      <c r="S71" s="95">
        <v>421</v>
      </c>
      <c r="T71" s="95">
        <v>444</v>
      </c>
      <c r="U71" s="23">
        <f>S71-T71</f>
        <v>-23</v>
      </c>
      <c r="V71" s="96">
        <f>IFERROR(S71/T71-1,"-")</f>
        <v>-5.1801801801801828E-2</v>
      </c>
      <c r="W71" s="95">
        <v>444</v>
      </c>
      <c r="X71" s="94">
        <f>S71-W71</f>
        <v>-23</v>
      </c>
      <c r="Y71" s="93">
        <f>IFERROR(X71/W71,"-")</f>
        <v>-5.18018018018018E-2</v>
      </c>
      <c r="Z71" s="99">
        <v>421</v>
      </c>
      <c r="AA71" s="102">
        <v>444</v>
      </c>
      <c r="AB71" s="23">
        <f>Z71-AA71</f>
        <v>-23</v>
      </c>
      <c r="AC71" s="96">
        <f>IFERROR(Z71/AA71-1,"-")</f>
        <v>-5.1801801801801828E-2</v>
      </c>
      <c r="AD71" s="95">
        <v>421</v>
      </c>
      <c r="AE71" s="95">
        <v>444</v>
      </c>
      <c r="AF71" s="23">
        <f>AD71-AE71</f>
        <v>-23</v>
      </c>
      <c r="AG71" s="96">
        <f>IFERROR(AD71/AE71-1,"-")</f>
        <v>-5.1801801801801828E-2</v>
      </c>
      <c r="AH71" s="95">
        <v>444</v>
      </c>
      <c r="AI71" s="94">
        <f>AD71-AH71</f>
        <v>-23</v>
      </c>
      <c r="AJ71" s="93">
        <f>IFERROR(AI71/AH71,"-")</f>
        <v>-5.18018018018018E-2</v>
      </c>
      <c r="AK71" s="99">
        <v>421</v>
      </c>
      <c r="AL71" s="102">
        <v>444</v>
      </c>
      <c r="AM71" s="23">
        <f>AK71-AL71</f>
        <v>-23</v>
      </c>
      <c r="AN71" s="96">
        <f>IFERROR(AK71/AL71-1,"-")</f>
        <v>-5.1801801801801828E-2</v>
      </c>
      <c r="AO71" s="95">
        <v>421</v>
      </c>
      <c r="AP71" s="95">
        <v>444</v>
      </c>
      <c r="AQ71" s="23">
        <f>AO71-AP71</f>
        <v>-23</v>
      </c>
      <c r="AR71" s="96">
        <f>IFERROR(AO71/AP71-1,"-")</f>
        <v>-5.1801801801801828E-2</v>
      </c>
      <c r="AS71" s="95">
        <v>444</v>
      </c>
      <c r="AT71" s="94">
        <f>AO71-AS71</f>
        <v>-23</v>
      </c>
      <c r="AU71" s="93">
        <f>IFERROR(AT71/AS71,"-")</f>
        <v>-5.18018018018018E-2</v>
      </c>
      <c r="AV71" s="99">
        <v>421</v>
      </c>
      <c r="AW71" s="102">
        <v>444</v>
      </c>
      <c r="AX71" s="23">
        <f>AV71-AW71</f>
        <v>-23</v>
      </c>
      <c r="AY71" s="96">
        <f>IFERROR(AV71/AW71-1,"-")</f>
        <v>-5.1801801801801828E-2</v>
      </c>
      <c r="AZ71" s="95">
        <v>421</v>
      </c>
      <c r="BA71" s="95">
        <v>444</v>
      </c>
      <c r="BB71" s="23">
        <f>AZ71-BA71</f>
        <v>-23</v>
      </c>
      <c r="BC71" s="96">
        <f>IFERROR(AZ71/BA71-1,"-")</f>
        <v>-5.1801801801801828E-2</v>
      </c>
      <c r="BD71" s="95">
        <v>444</v>
      </c>
      <c r="BE71" s="94">
        <f>AZ71-BD71</f>
        <v>-23</v>
      </c>
      <c r="BF71" s="93">
        <f>IFERROR(BE71/BD71,"-")</f>
        <v>-5.18018018018018E-2</v>
      </c>
      <c r="BG71" s="99">
        <v>421</v>
      </c>
      <c r="BH71" s="102">
        <v>444</v>
      </c>
      <c r="BI71" s="23">
        <f>BG71-BH71</f>
        <v>-23</v>
      </c>
      <c r="BJ71" s="96">
        <f>IFERROR(BG71/BH71-1,"-")</f>
        <v>-5.1801801801801828E-2</v>
      </c>
      <c r="BK71" s="95">
        <v>421</v>
      </c>
      <c r="BL71" s="95">
        <v>444</v>
      </c>
      <c r="BM71" s="23">
        <f>BK71-BL71</f>
        <v>-23</v>
      </c>
      <c r="BN71" s="96">
        <f>IFERROR(BK71/BL71-1,"-")</f>
        <v>-5.1801801801801828E-2</v>
      </c>
      <c r="BO71" s="95">
        <v>444</v>
      </c>
      <c r="BP71" s="94">
        <f>BK71-BO71</f>
        <v>-23</v>
      </c>
      <c r="BQ71" s="93">
        <f>IFERROR(BP71/BO71,"-")</f>
        <v>-5.18018018018018E-2</v>
      </c>
      <c r="BR71" s="99">
        <v>421</v>
      </c>
      <c r="BS71" s="102">
        <v>444</v>
      </c>
      <c r="BT71" s="23">
        <f>BR71-BS71</f>
        <v>-23</v>
      </c>
      <c r="BU71" s="96">
        <f>IFERROR(BR71/BS71-1,"-")</f>
        <v>-5.1801801801801828E-2</v>
      </c>
      <c r="BV71" s="95">
        <v>421</v>
      </c>
      <c r="BW71" s="95">
        <v>444</v>
      </c>
      <c r="BX71" s="23">
        <f>BV71-BW71</f>
        <v>-23</v>
      </c>
      <c r="BY71" s="96">
        <f>IFERROR(BV71/BW71-1,"-")</f>
        <v>-5.1801801801801828E-2</v>
      </c>
      <c r="BZ71" s="95">
        <v>444</v>
      </c>
      <c r="CA71" s="94">
        <f>BV71-BZ71</f>
        <v>-23</v>
      </c>
      <c r="CB71" s="93">
        <f>IFERROR(CA71/BZ71,"-")</f>
        <v>-5.18018018018018E-2</v>
      </c>
      <c r="CC71" s="99">
        <v>421</v>
      </c>
      <c r="CD71" s="102">
        <v>444</v>
      </c>
      <c r="CE71" s="23">
        <f>CC71-CD71</f>
        <v>-23</v>
      </c>
      <c r="CF71" s="96">
        <f>IFERROR(CC71/CD71-1,"-")</f>
        <v>-5.1801801801801828E-2</v>
      </c>
      <c r="CG71" s="95">
        <v>421</v>
      </c>
      <c r="CH71" s="95">
        <v>444</v>
      </c>
      <c r="CI71" s="23">
        <f>CG71-CH71</f>
        <v>-23</v>
      </c>
      <c r="CJ71" s="96">
        <f>IFERROR(CG71/CH71-1,"-")</f>
        <v>-5.1801801801801828E-2</v>
      </c>
      <c r="CK71" s="95">
        <v>444</v>
      </c>
      <c r="CL71" s="94">
        <f>CG71-CK71</f>
        <v>-23</v>
      </c>
      <c r="CM71" s="93">
        <f>IFERROR(CL71/CK71,"-")</f>
        <v>-5.18018018018018E-2</v>
      </c>
      <c r="CN71" s="99">
        <v>421</v>
      </c>
      <c r="CO71" s="102">
        <v>444</v>
      </c>
      <c r="CP71" s="23">
        <f>CN71-CO71</f>
        <v>-23</v>
      </c>
      <c r="CQ71" s="96">
        <f>IFERROR(CN71/CO71-1,"-")</f>
        <v>-5.1801801801801828E-2</v>
      </c>
      <c r="CR71" s="95">
        <v>421</v>
      </c>
      <c r="CS71" s="95">
        <v>444</v>
      </c>
      <c r="CT71" s="23">
        <f>CR71-CS71</f>
        <v>-23</v>
      </c>
      <c r="CU71" s="96">
        <f>IFERROR(CR71/CS71-1,"-")</f>
        <v>-5.1801801801801828E-2</v>
      </c>
      <c r="CV71" s="95">
        <v>444</v>
      </c>
      <c r="CW71" s="94">
        <f>CR71-CV71</f>
        <v>-23</v>
      </c>
      <c r="CX71" s="93">
        <f>IFERROR(CW71/CV71,"-")</f>
        <v>-5.18018018018018E-2</v>
      </c>
      <c r="CY71" s="99">
        <v>421</v>
      </c>
      <c r="CZ71" s="102">
        <v>444</v>
      </c>
      <c r="DA71" s="23">
        <f>CY71-CZ71</f>
        <v>-23</v>
      </c>
      <c r="DB71" s="96">
        <f>IFERROR(CY71/CZ71-1,"-")</f>
        <v>-5.1801801801801828E-2</v>
      </c>
      <c r="DC71" s="95">
        <v>421</v>
      </c>
      <c r="DD71" s="95">
        <v>444</v>
      </c>
      <c r="DE71" s="23">
        <f>DC71-DD71</f>
        <v>-23</v>
      </c>
      <c r="DF71" s="96">
        <f>IFERROR(DC71/DD71-1,"-")</f>
        <v>-5.1801801801801828E-2</v>
      </c>
      <c r="DG71" s="95">
        <v>444</v>
      </c>
      <c r="DH71" s="94">
        <f>DC71-DG71</f>
        <v>-23</v>
      </c>
      <c r="DI71" s="93">
        <f>IFERROR(DH71/DG71,"-")</f>
        <v>-5.18018018018018E-2</v>
      </c>
    </row>
    <row r="72" spans="1:113" ht="16.5" customHeight="1" outlineLevel="1" x14ac:dyDescent="0.2">
      <c r="B72" s="101" t="s">
        <v>13</v>
      </c>
      <c r="C72" s="100" t="s">
        <v>12</v>
      </c>
      <c r="D72" s="99">
        <v>246</v>
      </c>
      <c r="E72" s="98">
        <v>265.68387212842742</v>
      </c>
      <c r="F72" s="23">
        <f>D72-E72</f>
        <v>-19.683872128427424</v>
      </c>
      <c r="G72" s="96">
        <f>IFERROR(D72/E72-1,"-")</f>
        <v>-7.4087568698609441E-2</v>
      </c>
      <c r="H72" s="95">
        <v>246</v>
      </c>
      <c r="I72" s="97">
        <v>265.68387212842742</v>
      </c>
      <c r="J72" s="23">
        <f>H72-I72</f>
        <v>-19.683872128427424</v>
      </c>
      <c r="K72" s="96">
        <f>IFERROR(H72/I72-1,"-")</f>
        <v>-7.4087568698609441E-2</v>
      </c>
      <c r="L72" s="95">
        <v>266</v>
      </c>
      <c r="M72" s="94">
        <f>H72-L72</f>
        <v>-20</v>
      </c>
      <c r="N72" s="93">
        <f>IFERROR(M72/L72,"-")</f>
        <v>-7.5187969924812026E-2</v>
      </c>
      <c r="O72" s="99">
        <v>246</v>
      </c>
      <c r="P72" s="98">
        <v>265.68387212842742</v>
      </c>
      <c r="Q72" s="23">
        <f>O72-P72</f>
        <v>-19.683872128427424</v>
      </c>
      <c r="R72" s="96">
        <f>IFERROR(O72/P72-1,"-")</f>
        <v>-7.4087568698609441E-2</v>
      </c>
      <c r="S72" s="95">
        <v>246</v>
      </c>
      <c r="T72" s="97">
        <v>265.68387212842742</v>
      </c>
      <c r="U72" s="23">
        <f>S72-T72</f>
        <v>-19.683872128427424</v>
      </c>
      <c r="V72" s="96">
        <f>IFERROR(S72/T72-1,"-")</f>
        <v>-7.4087568698609441E-2</v>
      </c>
      <c r="W72" s="95">
        <v>266</v>
      </c>
      <c r="X72" s="94">
        <f>S72-W72</f>
        <v>-20</v>
      </c>
      <c r="Y72" s="93">
        <f>IFERROR(X72/W72,"-")</f>
        <v>-7.5187969924812026E-2</v>
      </c>
      <c r="Z72" s="99">
        <v>246</v>
      </c>
      <c r="AA72" s="98">
        <v>265.68387212842742</v>
      </c>
      <c r="AB72" s="23">
        <f>Z72-AA72</f>
        <v>-19.683872128427424</v>
      </c>
      <c r="AC72" s="96">
        <f>IFERROR(Z72/AA72-1,"-")</f>
        <v>-7.4087568698609441E-2</v>
      </c>
      <c r="AD72" s="95">
        <v>246</v>
      </c>
      <c r="AE72" s="97">
        <v>265.68387212842742</v>
      </c>
      <c r="AF72" s="23">
        <f>AD72-AE72</f>
        <v>-19.683872128427424</v>
      </c>
      <c r="AG72" s="96">
        <f>IFERROR(AD72/AE72-1,"-")</f>
        <v>-7.4087568698609441E-2</v>
      </c>
      <c r="AH72" s="95">
        <v>266</v>
      </c>
      <c r="AI72" s="94">
        <f>AD72-AH72</f>
        <v>-20</v>
      </c>
      <c r="AJ72" s="93">
        <f>IFERROR(AI72/AH72,"-")</f>
        <v>-7.5187969924812026E-2</v>
      </c>
      <c r="AK72" s="99">
        <v>246</v>
      </c>
      <c r="AL72" s="98">
        <v>265.68387212842742</v>
      </c>
      <c r="AM72" s="23">
        <f>AK72-AL72</f>
        <v>-19.683872128427424</v>
      </c>
      <c r="AN72" s="96">
        <f>IFERROR(AK72/AL72-1,"-")</f>
        <v>-7.4087568698609441E-2</v>
      </c>
      <c r="AO72" s="95">
        <v>246</v>
      </c>
      <c r="AP72" s="97">
        <v>265.68387212842742</v>
      </c>
      <c r="AQ72" s="23">
        <f>AO72-AP72</f>
        <v>-19.683872128427424</v>
      </c>
      <c r="AR72" s="96">
        <f>IFERROR(AO72/AP72-1,"-")</f>
        <v>-7.4087568698609441E-2</v>
      </c>
      <c r="AS72" s="95">
        <v>266</v>
      </c>
      <c r="AT72" s="94">
        <f>AO72-AS72</f>
        <v>-20</v>
      </c>
      <c r="AU72" s="93">
        <f>IFERROR(AT72/AS72,"-")</f>
        <v>-7.5187969924812026E-2</v>
      </c>
      <c r="AV72" s="99">
        <v>246</v>
      </c>
      <c r="AW72" s="98">
        <v>265.68387212842742</v>
      </c>
      <c r="AX72" s="23">
        <f>AV72-AW72</f>
        <v>-19.683872128427424</v>
      </c>
      <c r="AY72" s="96">
        <f>IFERROR(AV72/AW72-1,"-")</f>
        <v>-7.4087568698609441E-2</v>
      </c>
      <c r="AZ72" s="95">
        <v>246</v>
      </c>
      <c r="BA72" s="97">
        <v>265.68387212842742</v>
      </c>
      <c r="BB72" s="23">
        <f>AZ72-BA72</f>
        <v>-19.683872128427424</v>
      </c>
      <c r="BC72" s="96">
        <f>IFERROR(AZ72/BA72-1,"-")</f>
        <v>-7.4087568698609441E-2</v>
      </c>
      <c r="BD72" s="95">
        <v>266</v>
      </c>
      <c r="BE72" s="94">
        <f>AZ72-BD72</f>
        <v>-20</v>
      </c>
      <c r="BF72" s="93">
        <f>IFERROR(BE72/BD72,"-")</f>
        <v>-7.5187969924812026E-2</v>
      </c>
      <c r="BG72" s="99">
        <v>246</v>
      </c>
      <c r="BH72" s="98">
        <v>265.68387212842742</v>
      </c>
      <c r="BI72" s="23">
        <f>BG72-BH72</f>
        <v>-19.683872128427424</v>
      </c>
      <c r="BJ72" s="96">
        <f>IFERROR(BG72/BH72-1,"-")</f>
        <v>-7.4087568698609441E-2</v>
      </c>
      <c r="BK72" s="95">
        <v>246</v>
      </c>
      <c r="BL72" s="97">
        <v>265.68387212842742</v>
      </c>
      <c r="BM72" s="23">
        <f>BK72-BL72</f>
        <v>-19.683872128427424</v>
      </c>
      <c r="BN72" s="96">
        <f>IFERROR(BK72/BL72-1,"-")</f>
        <v>-7.4087568698609441E-2</v>
      </c>
      <c r="BO72" s="95">
        <v>266</v>
      </c>
      <c r="BP72" s="94">
        <f>BK72-BO72</f>
        <v>-20</v>
      </c>
      <c r="BQ72" s="93">
        <f>IFERROR(BP72/BO72,"-")</f>
        <v>-7.5187969924812026E-2</v>
      </c>
      <c r="BR72" s="99">
        <v>246</v>
      </c>
      <c r="BS72" s="98">
        <v>265.68387212842742</v>
      </c>
      <c r="BT72" s="23">
        <f>BR72-BS72</f>
        <v>-19.683872128427424</v>
      </c>
      <c r="BU72" s="96">
        <f>IFERROR(BR72/BS72-1,"-")</f>
        <v>-7.4087568698609441E-2</v>
      </c>
      <c r="BV72" s="95">
        <v>246</v>
      </c>
      <c r="BW72" s="97">
        <v>265.68387212842742</v>
      </c>
      <c r="BX72" s="23">
        <f>BV72-BW72</f>
        <v>-19.683872128427424</v>
      </c>
      <c r="BY72" s="96">
        <f>IFERROR(BV72/BW72-1,"-")</f>
        <v>-7.4087568698609441E-2</v>
      </c>
      <c r="BZ72" s="95">
        <v>266</v>
      </c>
      <c r="CA72" s="94">
        <f>BV72-BZ72</f>
        <v>-20</v>
      </c>
      <c r="CB72" s="93">
        <f>IFERROR(CA72/BZ72,"-")</f>
        <v>-7.5187969924812026E-2</v>
      </c>
      <c r="CC72" s="99">
        <v>246</v>
      </c>
      <c r="CD72" s="98">
        <v>265.68387212842742</v>
      </c>
      <c r="CE72" s="23">
        <f>CC72-CD72</f>
        <v>-19.683872128427424</v>
      </c>
      <c r="CF72" s="96">
        <f>IFERROR(CC72/CD72-1,"-")</f>
        <v>-7.4087568698609441E-2</v>
      </c>
      <c r="CG72" s="95">
        <v>246</v>
      </c>
      <c r="CH72" s="97">
        <v>265.68387212842742</v>
      </c>
      <c r="CI72" s="23">
        <f>CG72-CH72</f>
        <v>-19.683872128427424</v>
      </c>
      <c r="CJ72" s="96">
        <f>IFERROR(CG72/CH72-1,"-")</f>
        <v>-7.4087568698609441E-2</v>
      </c>
      <c r="CK72" s="95">
        <v>266</v>
      </c>
      <c r="CL72" s="94">
        <f>CG72-CK72</f>
        <v>-20</v>
      </c>
      <c r="CM72" s="93">
        <f>IFERROR(CL72/CK72,"-")</f>
        <v>-7.5187969924812026E-2</v>
      </c>
      <c r="CN72" s="99">
        <v>246</v>
      </c>
      <c r="CO72" s="98">
        <v>265.68387212842742</v>
      </c>
      <c r="CP72" s="23">
        <f>CN72-CO72</f>
        <v>-19.683872128427424</v>
      </c>
      <c r="CQ72" s="96">
        <f>IFERROR(CN72/CO72-1,"-")</f>
        <v>-7.4087568698609441E-2</v>
      </c>
      <c r="CR72" s="95">
        <v>246</v>
      </c>
      <c r="CS72" s="97">
        <v>265.68387212842742</v>
      </c>
      <c r="CT72" s="23">
        <f>CR72-CS72</f>
        <v>-19.683872128427424</v>
      </c>
      <c r="CU72" s="96">
        <f>IFERROR(CR72/CS72-1,"-")</f>
        <v>-7.4087568698609441E-2</v>
      </c>
      <c r="CV72" s="95">
        <v>266</v>
      </c>
      <c r="CW72" s="94">
        <f>CR72-CV72</f>
        <v>-20</v>
      </c>
      <c r="CX72" s="93">
        <f>IFERROR(CW72/CV72,"-")</f>
        <v>-7.5187969924812026E-2</v>
      </c>
      <c r="CY72" s="99">
        <v>246</v>
      </c>
      <c r="CZ72" s="98">
        <v>265.68387212842742</v>
      </c>
      <c r="DA72" s="23">
        <f>CY72-CZ72</f>
        <v>-19.683872128427424</v>
      </c>
      <c r="DB72" s="96">
        <f>IFERROR(CY72/CZ72-1,"-")</f>
        <v>-7.4087568698609441E-2</v>
      </c>
      <c r="DC72" s="95">
        <v>246</v>
      </c>
      <c r="DD72" s="97">
        <v>265.68387212842742</v>
      </c>
      <c r="DE72" s="23">
        <f>DC72-DD72</f>
        <v>-19.683872128427424</v>
      </c>
      <c r="DF72" s="96">
        <f>IFERROR(DC72/DD72-1,"-")</f>
        <v>-7.4087568698609441E-2</v>
      </c>
      <c r="DG72" s="95">
        <v>266</v>
      </c>
      <c r="DH72" s="94">
        <f>DC72-DG72</f>
        <v>-20</v>
      </c>
      <c r="DI72" s="93">
        <f>IFERROR(DH72/DG72,"-")</f>
        <v>-7.5187969924812026E-2</v>
      </c>
    </row>
    <row r="73" spans="1:113" ht="13.5" outlineLevel="1" thickBot="1" x14ac:dyDescent="0.25">
      <c r="A73" s="54"/>
      <c r="B73" s="92" t="s">
        <v>11</v>
      </c>
      <c r="C73" s="91" t="s">
        <v>11</v>
      </c>
      <c r="D73" s="90">
        <v>307.7</v>
      </c>
      <c r="E73" s="89">
        <v>310</v>
      </c>
      <c r="F73" s="88">
        <f>D73-E73</f>
        <v>-2.3000000000000114</v>
      </c>
      <c r="G73" s="87">
        <f>IFERROR(D73/E73-1,"-")</f>
        <v>-7.4193548387097019E-3</v>
      </c>
      <c r="H73" s="86">
        <v>305.89999999999998</v>
      </c>
      <c r="I73" s="86">
        <v>310</v>
      </c>
      <c r="J73" s="88">
        <f>H73-I73</f>
        <v>-4.1000000000000227</v>
      </c>
      <c r="K73" s="87">
        <f>IFERROR(H73/I73-1,"-")</f>
        <v>-1.3225806451612976E-2</v>
      </c>
      <c r="L73" s="86">
        <v>310</v>
      </c>
      <c r="M73" s="85">
        <f>H73-L73</f>
        <v>-4.1000000000000227</v>
      </c>
      <c r="N73" s="84">
        <f>IFERROR(M73/L73,"-")</f>
        <v>-1.3225806451612976E-2</v>
      </c>
      <c r="O73" s="90">
        <v>307.7</v>
      </c>
      <c r="P73" s="89">
        <v>310</v>
      </c>
      <c r="Q73" s="88">
        <f>O73-P73</f>
        <v>-2.3000000000000114</v>
      </c>
      <c r="R73" s="87">
        <f>IFERROR(O73/P73-1,"-")</f>
        <v>-7.4193548387097019E-3</v>
      </c>
      <c r="S73" s="86">
        <v>305.89999999999998</v>
      </c>
      <c r="T73" s="86">
        <v>310</v>
      </c>
      <c r="U73" s="88">
        <f>S73-T73</f>
        <v>-4.1000000000000227</v>
      </c>
      <c r="V73" s="87">
        <f>IFERROR(S73/T73-1,"-")</f>
        <v>-1.3225806451612976E-2</v>
      </c>
      <c r="W73" s="86">
        <v>310</v>
      </c>
      <c r="X73" s="85">
        <f>S73-W73</f>
        <v>-4.1000000000000227</v>
      </c>
      <c r="Y73" s="84">
        <f>IFERROR(X73/W73,"-")</f>
        <v>-1.3225806451612976E-2</v>
      </c>
      <c r="Z73" s="90">
        <v>307.7</v>
      </c>
      <c r="AA73" s="89">
        <v>310</v>
      </c>
      <c r="AB73" s="88">
        <f>Z73-AA73</f>
        <v>-2.3000000000000114</v>
      </c>
      <c r="AC73" s="87">
        <f>IFERROR(Z73/AA73-1,"-")</f>
        <v>-7.4193548387097019E-3</v>
      </c>
      <c r="AD73" s="86">
        <v>305.89999999999998</v>
      </c>
      <c r="AE73" s="86">
        <v>310</v>
      </c>
      <c r="AF73" s="88">
        <f>AD73-AE73</f>
        <v>-4.1000000000000227</v>
      </c>
      <c r="AG73" s="87">
        <f>IFERROR(AD73/AE73-1,"-")</f>
        <v>-1.3225806451612976E-2</v>
      </c>
      <c r="AH73" s="86">
        <v>310</v>
      </c>
      <c r="AI73" s="85">
        <f>AD73-AH73</f>
        <v>-4.1000000000000227</v>
      </c>
      <c r="AJ73" s="84">
        <f>IFERROR(AI73/AH73,"-")</f>
        <v>-1.3225806451612976E-2</v>
      </c>
      <c r="AK73" s="90">
        <v>307.7</v>
      </c>
      <c r="AL73" s="89">
        <v>310</v>
      </c>
      <c r="AM73" s="88">
        <f>AK73-AL73</f>
        <v>-2.3000000000000114</v>
      </c>
      <c r="AN73" s="87">
        <f>IFERROR(AK73/AL73-1,"-")</f>
        <v>-7.4193548387097019E-3</v>
      </c>
      <c r="AO73" s="86">
        <v>305.89999999999998</v>
      </c>
      <c r="AP73" s="86">
        <v>310</v>
      </c>
      <c r="AQ73" s="88">
        <f>AO73-AP73</f>
        <v>-4.1000000000000227</v>
      </c>
      <c r="AR73" s="87">
        <f>IFERROR(AO73/AP73-1,"-")</f>
        <v>-1.3225806451612976E-2</v>
      </c>
      <c r="AS73" s="86">
        <v>310</v>
      </c>
      <c r="AT73" s="85">
        <f>AO73-AS73</f>
        <v>-4.1000000000000227</v>
      </c>
      <c r="AU73" s="84">
        <f>IFERROR(AT73/AS73,"-")</f>
        <v>-1.3225806451612976E-2</v>
      </c>
      <c r="AV73" s="90">
        <v>307.7</v>
      </c>
      <c r="AW73" s="89">
        <v>310</v>
      </c>
      <c r="AX73" s="88">
        <f>AV73-AW73</f>
        <v>-2.3000000000000114</v>
      </c>
      <c r="AY73" s="87">
        <f>IFERROR(AV73/AW73-1,"-")</f>
        <v>-7.4193548387097019E-3</v>
      </c>
      <c r="AZ73" s="86">
        <v>305.89999999999998</v>
      </c>
      <c r="BA73" s="86">
        <v>310</v>
      </c>
      <c r="BB73" s="88">
        <f>AZ73-BA73</f>
        <v>-4.1000000000000227</v>
      </c>
      <c r="BC73" s="87">
        <f>IFERROR(AZ73/BA73-1,"-")</f>
        <v>-1.3225806451612976E-2</v>
      </c>
      <c r="BD73" s="86">
        <v>310</v>
      </c>
      <c r="BE73" s="85">
        <f>AZ73-BD73</f>
        <v>-4.1000000000000227</v>
      </c>
      <c r="BF73" s="84">
        <f>IFERROR(BE73/BD73,"-")</f>
        <v>-1.3225806451612976E-2</v>
      </c>
      <c r="BG73" s="90">
        <v>307.7</v>
      </c>
      <c r="BH73" s="89">
        <v>310</v>
      </c>
      <c r="BI73" s="88">
        <f>BG73-BH73</f>
        <v>-2.3000000000000114</v>
      </c>
      <c r="BJ73" s="87">
        <f>IFERROR(BG73/BH73-1,"-")</f>
        <v>-7.4193548387097019E-3</v>
      </c>
      <c r="BK73" s="86">
        <v>305.89999999999998</v>
      </c>
      <c r="BL73" s="86">
        <v>310</v>
      </c>
      <c r="BM73" s="88">
        <f>BK73-BL73</f>
        <v>-4.1000000000000227</v>
      </c>
      <c r="BN73" s="87">
        <f>IFERROR(BK73/BL73-1,"-")</f>
        <v>-1.3225806451612976E-2</v>
      </c>
      <c r="BO73" s="86">
        <v>310</v>
      </c>
      <c r="BP73" s="85">
        <f>BK73-BO73</f>
        <v>-4.1000000000000227</v>
      </c>
      <c r="BQ73" s="84">
        <f>IFERROR(BP73/BO73,"-")</f>
        <v>-1.3225806451612976E-2</v>
      </c>
      <c r="BR73" s="90">
        <v>307.7</v>
      </c>
      <c r="BS73" s="89">
        <v>310</v>
      </c>
      <c r="BT73" s="88">
        <f>BR73-BS73</f>
        <v>-2.3000000000000114</v>
      </c>
      <c r="BU73" s="87">
        <f>IFERROR(BR73/BS73-1,"-")</f>
        <v>-7.4193548387097019E-3</v>
      </c>
      <c r="BV73" s="86">
        <v>305.89999999999998</v>
      </c>
      <c r="BW73" s="86">
        <v>310</v>
      </c>
      <c r="BX73" s="88">
        <f>BV73-BW73</f>
        <v>-4.1000000000000227</v>
      </c>
      <c r="BY73" s="87">
        <f>IFERROR(BV73/BW73-1,"-")</f>
        <v>-1.3225806451612976E-2</v>
      </c>
      <c r="BZ73" s="86">
        <v>310</v>
      </c>
      <c r="CA73" s="85">
        <f>BV73-BZ73</f>
        <v>-4.1000000000000227</v>
      </c>
      <c r="CB73" s="84">
        <f>IFERROR(CA73/BZ73,"-")</f>
        <v>-1.3225806451612976E-2</v>
      </c>
      <c r="CC73" s="90">
        <v>307.7</v>
      </c>
      <c r="CD73" s="89">
        <v>310</v>
      </c>
      <c r="CE73" s="88">
        <f>CC73-CD73</f>
        <v>-2.3000000000000114</v>
      </c>
      <c r="CF73" s="87">
        <f>IFERROR(CC73/CD73-1,"-")</f>
        <v>-7.4193548387097019E-3</v>
      </c>
      <c r="CG73" s="86">
        <v>305.89999999999998</v>
      </c>
      <c r="CH73" s="86">
        <v>310</v>
      </c>
      <c r="CI73" s="88">
        <f>CG73-CH73</f>
        <v>-4.1000000000000227</v>
      </c>
      <c r="CJ73" s="87">
        <f>IFERROR(CG73/CH73-1,"-")</f>
        <v>-1.3225806451612976E-2</v>
      </c>
      <c r="CK73" s="86">
        <v>310</v>
      </c>
      <c r="CL73" s="85">
        <f>CG73-CK73</f>
        <v>-4.1000000000000227</v>
      </c>
      <c r="CM73" s="84">
        <f>IFERROR(CL73/CK73,"-")</f>
        <v>-1.3225806451612976E-2</v>
      </c>
      <c r="CN73" s="90">
        <v>307.7</v>
      </c>
      <c r="CO73" s="89">
        <v>310</v>
      </c>
      <c r="CP73" s="88">
        <f>CN73-CO73</f>
        <v>-2.3000000000000114</v>
      </c>
      <c r="CQ73" s="87">
        <f>IFERROR(CN73/CO73-1,"-")</f>
        <v>-7.4193548387097019E-3</v>
      </c>
      <c r="CR73" s="86">
        <v>305.89999999999998</v>
      </c>
      <c r="CS73" s="86">
        <v>310</v>
      </c>
      <c r="CT73" s="88">
        <f>CR73-CS73</f>
        <v>-4.1000000000000227</v>
      </c>
      <c r="CU73" s="87">
        <f>IFERROR(CR73/CS73-1,"-")</f>
        <v>-1.3225806451612976E-2</v>
      </c>
      <c r="CV73" s="86">
        <v>310</v>
      </c>
      <c r="CW73" s="85">
        <f>CR73-CV73</f>
        <v>-4.1000000000000227</v>
      </c>
      <c r="CX73" s="84">
        <f>IFERROR(CW73/CV73,"-")</f>
        <v>-1.3225806451612976E-2</v>
      </c>
      <c r="CY73" s="90">
        <v>307.7</v>
      </c>
      <c r="CZ73" s="89">
        <v>310</v>
      </c>
      <c r="DA73" s="88">
        <f>CY73-CZ73</f>
        <v>-2.3000000000000114</v>
      </c>
      <c r="DB73" s="87">
        <f>IFERROR(CY73/CZ73-1,"-")</f>
        <v>-7.4193548387097019E-3</v>
      </c>
      <c r="DC73" s="86">
        <v>305.89999999999998</v>
      </c>
      <c r="DD73" s="86">
        <v>310</v>
      </c>
      <c r="DE73" s="88">
        <f>DC73-DD73</f>
        <v>-4.1000000000000227</v>
      </c>
      <c r="DF73" s="87">
        <f>IFERROR(DC73/DD73-1,"-")</f>
        <v>-1.3225806451612976E-2</v>
      </c>
      <c r="DG73" s="86">
        <v>310</v>
      </c>
      <c r="DH73" s="85">
        <f>DC73-DG73</f>
        <v>-4.1000000000000227</v>
      </c>
      <c r="DI73" s="84">
        <f>IFERROR(DH73/DG73,"-")</f>
        <v>-1.3225806451612976E-2</v>
      </c>
    </row>
    <row r="74" spans="1:113" s="80" customFormat="1" ht="13.5" thickTop="1" x14ac:dyDescent="0.2">
      <c r="B74" s="83"/>
      <c r="C74" s="83"/>
      <c r="D74" s="82"/>
      <c r="E74" s="83"/>
      <c r="F74" s="82"/>
      <c r="G74" s="82"/>
      <c r="H74" s="82"/>
      <c r="I74" s="82"/>
      <c r="J74" s="82"/>
      <c r="K74" s="82"/>
      <c r="L74" s="82"/>
      <c r="M74" s="82"/>
      <c r="N74" s="81"/>
      <c r="O74" s="82"/>
      <c r="P74" s="83"/>
      <c r="Q74" s="82"/>
      <c r="R74" s="82"/>
      <c r="S74" s="82"/>
      <c r="T74" s="82"/>
      <c r="U74" s="82"/>
      <c r="V74" s="82"/>
      <c r="W74" s="82"/>
      <c r="X74" s="82"/>
      <c r="Y74" s="81"/>
      <c r="Z74" s="82"/>
      <c r="AA74" s="83"/>
      <c r="AB74" s="82"/>
      <c r="AC74" s="82"/>
      <c r="AD74" s="82"/>
      <c r="AE74" s="82"/>
      <c r="AF74" s="82"/>
      <c r="AG74" s="82"/>
      <c r="AH74" s="82"/>
      <c r="AI74" s="82"/>
      <c r="AJ74" s="81"/>
      <c r="AK74" s="82"/>
      <c r="AL74" s="83"/>
      <c r="AM74" s="82"/>
      <c r="AN74" s="82"/>
      <c r="AO74" s="82"/>
      <c r="AP74" s="82"/>
      <c r="AQ74" s="82"/>
      <c r="AR74" s="82"/>
      <c r="AS74" s="82"/>
      <c r="AT74" s="82"/>
      <c r="AU74" s="81"/>
      <c r="AV74" s="82"/>
      <c r="AW74" s="83"/>
      <c r="AX74" s="82"/>
      <c r="AY74" s="82"/>
      <c r="AZ74" s="82"/>
      <c r="BA74" s="82"/>
      <c r="BB74" s="82"/>
      <c r="BC74" s="82"/>
      <c r="BD74" s="82"/>
      <c r="BE74" s="82"/>
      <c r="BF74" s="81"/>
      <c r="BG74" s="82"/>
      <c r="BH74" s="83"/>
      <c r="BI74" s="82"/>
      <c r="BJ74" s="82"/>
      <c r="BK74" s="82"/>
      <c r="BL74" s="82"/>
      <c r="BM74" s="82"/>
      <c r="BN74" s="82"/>
      <c r="BO74" s="82"/>
      <c r="BP74" s="82"/>
      <c r="BQ74" s="81"/>
      <c r="BR74" s="82"/>
      <c r="BS74" s="83"/>
      <c r="BT74" s="82"/>
      <c r="BU74" s="82"/>
      <c r="BV74" s="82"/>
      <c r="BW74" s="82"/>
      <c r="BX74" s="82"/>
      <c r="BY74" s="82"/>
      <c r="BZ74" s="82"/>
      <c r="CA74" s="82"/>
      <c r="CB74" s="81"/>
      <c r="CC74" s="82"/>
      <c r="CD74" s="83"/>
      <c r="CE74" s="82"/>
      <c r="CF74" s="82"/>
      <c r="CG74" s="82"/>
      <c r="CH74" s="82"/>
      <c r="CI74" s="82"/>
      <c r="CJ74" s="82"/>
      <c r="CK74" s="82"/>
      <c r="CL74" s="82"/>
      <c r="CM74" s="81"/>
      <c r="CN74" s="82"/>
      <c r="CO74" s="83"/>
      <c r="CP74" s="82"/>
      <c r="CQ74" s="82"/>
      <c r="CR74" s="82"/>
      <c r="CS74" s="82"/>
      <c r="CT74" s="82"/>
      <c r="CU74" s="82"/>
      <c r="CV74" s="82"/>
      <c r="CW74" s="82"/>
      <c r="CX74" s="81"/>
      <c r="CY74" s="82"/>
      <c r="CZ74" s="83"/>
      <c r="DA74" s="82"/>
      <c r="DB74" s="82"/>
      <c r="DC74" s="82"/>
      <c r="DD74" s="82"/>
      <c r="DE74" s="82"/>
      <c r="DF74" s="82"/>
      <c r="DG74" s="82"/>
      <c r="DH74" s="82"/>
      <c r="DI74" s="81"/>
    </row>
    <row r="75" spans="1:113" x14ac:dyDescent="0.2">
      <c r="N75" s="3"/>
      <c r="Y75" s="3"/>
      <c r="AJ75" s="3"/>
      <c r="AU75" s="3"/>
      <c r="BF75" s="3"/>
      <c r="BQ75" s="3"/>
      <c r="CB75" s="3"/>
      <c r="CM75" s="3"/>
      <c r="CX75" s="3"/>
      <c r="DI75" s="3"/>
    </row>
    <row r="76" spans="1:113" x14ac:dyDescent="0.2">
      <c r="N76" s="3"/>
      <c r="Y76" s="3"/>
      <c r="AJ76" s="3"/>
      <c r="AU76" s="3"/>
      <c r="BF76" s="3"/>
      <c r="BQ76" s="3"/>
      <c r="CB76" s="3"/>
      <c r="CM76" s="3"/>
      <c r="CX76" s="3"/>
      <c r="DI76" s="3"/>
    </row>
    <row r="77" spans="1:113" x14ac:dyDescent="0.2">
      <c r="N77" s="3"/>
      <c r="Y77" s="3"/>
      <c r="AJ77" s="3"/>
      <c r="AU77" s="3"/>
      <c r="BF77" s="3"/>
      <c r="BQ77" s="3"/>
      <c r="CB77" s="3"/>
      <c r="CM77" s="3"/>
      <c r="CX77" s="3"/>
      <c r="DI77" s="3"/>
    </row>
    <row r="78" spans="1:113" x14ac:dyDescent="0.2">
      <c r="N78" s="3"/>
      <c r="Y78" s="3"/>
      <c r="AJ78" s="3"/>
      <c r="AU78" s="3"/>
      <c r="BF78" s="3"/>
      <c r="BQ78" s="3"/>
      <c r="CB78" s="3"/>
      <c r="CM78" s="3"/>
      <c r="CX78" s="3"/>
      <c r="DI78" s="3"/>
    </row>
    <row r="79" spans="1:113" x14ac:dyDescent="0.2">
      <c r="N79" s="3"/>
      <c r="Y79" s="3"/>
      <c r="AJ79" s="3"/>
      <c r="AU79" s="3"/>
      <c r="BF79" s="3"/>
      <c r="BQ79" s="3"/>
      <c r="CB79" s="3"/>
      <c r="CM79" s="3"/>
      <c r="CX79" s="3"/>
      <c r="DI79" s="3"/>
    </row>
    <row r="80" spans="1:113" x14ac:dyDescent="0.2">
      <c r="N80" s="3"/>
      <c r="Y80" s="3"/>
      <c r="AJ80" s="3"/>
      <c r="AU80" s="3"/>
      <c r="BF80" s="3"/>
      <c r="BQ80" s="3"/>
      <c r="CB80" s="3"/>
      <c r="CM80" s="3"/>
      <c r="CX80" s="3"/>
      <c r="DI80" s="3"/>
    </row>
    <row r="81" spans="14:113" x14ac:dyDescent="0.2">
      <c r="N81" s="3"/>
      <c r="Y81" s="3"/>
      <c r="AJ81" s="3"/>
      <c r="AU81" s="3"/>
      <c r="BF81" s="3"/>
      <c r="BQ81" s="3"/>
      <c r="CB81" s="3"/>
      <c r="CM81" s="3"/>
      <c r="CX81" s="3"/>
      <c r="DI81" s="3"/>
    </row>
    <row r="82" spans="14:113" x14ac:dyDescent="0.2">
      <c r="N82" s="3"/>
      <c r="Y82" s="3"/>
      <c r="AJ82" s="3"/>
      <c r="AU82" s="3"/>
      <c r="BF82" s="3"/>
      <c r="BQ82" s="3"/>
      <c r="CB82" s="3"/>
      <c r="CM82" s="3"/>
      <c r="CX82" s="3"/>
      <c r="DI82" s="3"/>
    </row>
    <row r="83" spans="14:113" x14ac:dyDescent="0.2">
      <c r="N83" s="3"/>
      <c r="Y83" s="3"/>
      <c r="AJ83" s="3"/>
      <c r="AU83" s="3"/>
      <c r="BF83" s="3"/>
      <c r="BQ83" s="3"/>
      <c r="CB83" s="3"/>
      <c r="CM83" s="3"/>
      <c r="CX83" s="3"/>
      <c r="DI83" s="3"/>
    </row>
    <row r="84" spans="14:113" x14ac:dyDescent="0.2">
      <c r="N84" s="3"/>
      <c r="Y84" s="3"/>
      <c r="AJ84" s="3"/>
      <c r="AU84" s="3"/>
      <c r="BF84" s="3"/>
      <c r="BQ84" s="3"/>
      <c r="CB84" s="3"/>
      <c r="CM84" s="3"/>
      <c r="CX84" s="3"/>
      <c r="DI84" s="3"/>
    </row>
    <row r="85" spans="14:113" x14ac:dyDescent="0.2">
      <c r="N85" s="3"/>
      <c r="Y85" s="3"/>
      <c r="AJ85" s="3"/>
      <c r="AU85" s="3"/>
      <c r="BF85" s="3"/>
      <c r="BQ85" s="3"/>
      <c r="CB85" s="3"/>
      <c r="CM85" s="3"/>
      <c r="CX85" s="3"/>
      <c r="DI85" s="3"/>
    </row>
    <row r="86" spans="14:113" x14ac:dyDescent="0.2">
      <c r="N86" s="3"/>
      <c r="Y86" s="3"/>
      <c r="AJ86" s="3"/>
      <c r="AU86" s="3"/>
      <c r="BF86" s="3"/>
      <c r="BQ86" s="3"/>
      <c r="CB86" s="3"/>
      <c r="CM86" s="3"/>
      <c r="CX86" s="3"/>
      <c r="DI86" s="3"/>
    </row>
    <row r="87" spans="14:113" x14ac:dyDescent="0.2">
      <c r="N87" s="3"/>
      <c r="Y87" s="3"/>
      <c r="AJ87" s="3"/>
      <c r="AU87" s="3"/>
      <c r="BF87" s="3"/>
      <c r="BQ87" s="3"/>
      <c r="CB87" s="3"/>
      <c r="CM87" s="3"/>
      <c r="CX87" s="3"/>
      <c r="DI87" s="3"/>
    </row>
    <row r="88" spans="14:113" x14ac:dyDescent="0.2">
      <c r="N88" s="3"/>
      <c r="Y88" s="3"/>
      <c r="AJ88" s="3"/>
      <c r="AU88" s="3"/>
      <c r="BF88" s="3"/>
      <c r="BQ88" s="3"/>
      <c r="CB88" s="3"/>
      <c r="CM88" s="3"/>
      <c r="CX88" s="3"/>
      <c r="DI88" s="3"/>
    </row>
    <row r="89" spans="14:113" x14ac:dyDescent="0.2">
      <c r="N89" s="3"/>
      <c r="Y89" s="3"/>
      <c r="AJ89" s="3"/>
      <c r="AU89" s="3"/>
      <c r="BF89" s="3"/>
      <c r="BQ89" s="3"/>
      <c r="CB89" s="3"/>
      <c r="CM89" s="3"/>
      <c r="CX89" s="3"/>
      <c r="DI89" s="3"/>
    </row>
    <row r="90" spans="14:113" x14ac:dyDescent="0.2">
      <c r="N90" s="3"/>
      <c r="Y90" s="3"/>
      <c r="AJ90" s="3"/>
      <c r="AU90" s="3"/>
      <c r="BF90" s="3"/>
      <c r="BQ90" s="3"/>
      <c r="CB90" s="3"/>
      <c r="CM90" s="3"/>
      <c r="CX90" s="3"/>
      <c r="DI90" s="3"/>
    </row>
    <row r="91" spans="14:113" x14ac:dyDescent="0.2">
      <c r="N91" s="3"/>
      <c r="Y91" s="3"/>
      <c r="AJ91" s="3"/>
      <c r="AU91" s="3"/>
      <c r="BF91" s="3"/>
      <c r="BQ91" s="3"/>
      <c r="CB91" s="3"/>
      <c r="CM91" s="3"/>
      <c r="CX91" s="3"/>
      <c r="DI91" s="3"/>
    </row>
    <row r="92" spans="14:113" x14ac:dyDescent="0.2">
      <c r="N92" s="3"/>
      <c r="Y92" s="3"/>
      <c r="AJ92" s="3"/>
      <c r="AU92" s="3"/>
      <c r="BF92" s="3"/>
      <c r="BQ92" s="3"/>
      <c r="CB92" s="3"/>
      <c r="CM92" s="3"/>
      <c r="CX92" s="3"/>
      <c r="DI92" s="3"/>
    </row>
    <row r="93" spans="14:113" x14ac:dyDescent="0.2">
      <c r="N93" s="3"/>
      <c r="Y93" s="3"/>
      <c r="AJ93" s="3"/>
      <c r="AU93" s="3"/>
      <c r="BF93" s="3"/>
      <c r="BQ93" s="3"/>
      <c r="CB93" s="3"/>
      <c r="CM93" s="3"/>
      <c r="CX93" s="3"/>
      <c r="DI93" s="3"/>
    </row>
    <row r="94" spans="14:113" x14ac:dyDescent="0.2">
      <c r="N94" s="3"/>
      <c r="Y94" s="3"/>
      <c r="AJ94" s="3"/>
      <c r="AU94" s="3"/>
      <c r="BF94" s="3"/>
      <c r="BQ94" s="3"/>
      <c r="CB94" s="3"/>
      <c r="CM94" s="3"/>
      <c r="CX94" s="3"/>
      <c r="DI94" s="3"/>
    </row>
    <row r="95" spans="14:113" x14ac:dyDescent="0.2">
      <c r="N95" s="3"/>
      <c r="Y95" s="3"/>
      <c r="AJ95" s="3"/>
      <c r="AU95" s="3"/>
      <c r="BF95" s="3"/>
      <c r="BQ95" s="3"/>
      <c r="CB95" s="3"/>
      <c r="CM95" s="3"/>
      <c r="CX95" s="3"/>
      <c r="DI95" s="3"/>
    </row>
    <row r="96" spans="14:113" x14ac:dyDescent="0.2">
      <c r="N96" s="3"/>
      <c r="Y96" s="3"/>
      <c r="AJ96" s="3"/>
      <c r="AU96" s="3"/>
      <c r="BF96" s="3"/>
      <c r="BQ96" s="3"/>
      <c r="CB96" s="3"/>
      <c r="CM96" s="3"/>
      <c r="CX96" s="3"/>
      <c r="DI96" s="3"/>
    </row>
    <row r="97" spans="14:113" x14ac:dyDescent="0.2">
      <c r="N97" s="3"/>
      <c r="Y97" s="3"/>
      <c r="AJ97" s="3"/>
      <c r="AU97" s="3"/>
      <c r="BF97" s="3"/>
      <c r="BQ97" s="3"/>
      <c r="CB97" s="3"/>
      <c r="CM97" s="3"/>
      <c r="CX97" s="3"/>
      <c r="DI97" s="3"/>
    </row>
    <row r="98" spans="14:113" x14ac:dyDescent="0.2">
      <c r="N98" s="3"/>
      <c r="Y98" s="3"/>
      <c r="AJ98" s="3"/>
      <c r="AU98" s="3"/>
      <c r="BF98" s="3"/>
      <c r="BQ98" s="3"/>
      <c r="CB98" s="3"/>
      <c r="CM98" s="3"/>
      <c r="CX98" s="3"/>
      <c r="DI98" s="3"/>
    </row>
    <row r="99" spans="14:113" x14ac:dyDescent="0.2">
      <c r="N99" s="3"/>
      <c r="Y99" s="3"/>
      <c r="AJ99" s="3"/>
      <c r="AU99" s="3"/>
      <c r="BF99" s="3"/>
      <c r="BQ99" s="3"/>
      <c r="CB99" s="3"/>
      <c r="CM99" s="3"/>
      <c r="CX99" s="3"/>
      <c r="DI99" s="3"/>
    </row>
    <row r="100" spans="14:113" x14ac:dyDescent="0.2">
      <c r="N100" s="3"/>
      <c r="Y100" s="3"/>
      <c r="AJ100" s="3"/>
      <c r="AU100" s="3"/>
      <c r="BF100" s="3"/>
      <c r="BQ100" s="3"/>
      <c r="CB100" s="3"/>
      <c r="CM100" s="3"/>
      <c r="CX100" s="3"/>
      <c r="DI100" s="3"/>
    </row>
    <row r="101" spans="14:113" x14ac:dyDescent="0.2">
      <c r="N101" s="3"/>
      <c r="Y101" s="3"/>
      <c r="AJ101" s="3"/>
      <c r="AU101" s="3"/>
      <c r="BF101" s="3"/>
      <c r="BQ101" s="3"/>
      <c r="CB101" s="3"/>
      <c r="CM101" s="3"/>
      <c r="CX101" s="3"/>
      <c r="DI101" s="3"/>
    </row>
    <row r="102" spans="14:113" x14ac:dyDescent="0.2">
      <c r="N102" s="3"/>
      <c r="Y102" s="3"/>
      <c r="AJ102" s="3"/>
      <c r="AU102" s="3"/>
      <c r="BF102" s="3"/>
      <c r="BQ102" s="3"/>
      <c r="CB102" s="3"/>
      <c r="CM102" s="3"/>
      <c r="CX102" s="3"/>
      <c r="DI102" s="3"/>
    </row>
    <row r="103" spans="14:113" x14ac:dyDescent="0.2">
      <c r="N103" s="3"/>
      <c r="Y103" s="3"/>
      <c r="AJ103" s="3"/>
      <c r="AU103" s="3"/>
      <c r="BF103" s="3"/>
      <c r="BQ103" s="3"/>
      <c r="CB103" s="3"/>
      <c r="CM103" s="3"/>
      <c r="CX103" s="3"/>
      <c r="DI103" s="3"/>
    </row>
    <row r="104" spans="14:113" x14ac:dyDescent="0.2">
      <c r="N104" s="3"/>
      <c r="Y104" s="3"/>
      <c r="AJ104" s="3"/>
      <c r="AU104" s="3"/>
      <c r="BF104" s="3"/>
      <c r="BQ104" s="3"/>
      <c r="CB104" s="3"/>
      <c r="CM104" s="3"/>
      <c r="CX104" s="3"/>
      <c r="DI104" s="3"/>
    </row>
    <row r="105" spans="14:113" x14ac:dyDescent="0.2">
      <c r="N105" s="3"/>
      <c r="Y105" s="3"/>
      <c r="AJ105" s="3"/>
      <c r="AU105" s="3"/>
      <c r="BF105" s="3"/>
      <c r="BQ105" s="3"/>
      <c r="CB105" s="3"/>
      <c r="CM105" s="3"/>
      <c r="CX105" s="3"/>
      <c r="DI105" s="3"/>
    </row>
    <row r="106" spans="14:113" x14ac:dyDescent="0.2">
      <c r="N106" s="3"/>
      <c r="Y106" s="3"/>
      <c r="AJ106" s="3"/>
      <c r="AU106" s="3"/>
      <c r="BF106" s="3"/>
      <c r="BQ106" s="3"/>
      <c r="CB106" s="3"/>
      <c r="CM106" s="3"/>
      <c r="CX106" s="3"/>
      <c r="DI106" s="3"/>
    </row>
    <row r="107" spans="14:113" x14ac:dyDescent="0.2">
      <c r="N107" s="3"/>
      <c r="Y107" s="3"/>
      <c r="AJ107" s="3"/>
      <c r="AU107" s="3"/>
      <c r="BF107" s="3"/>
      <c r="BQ107" s="3"/>
      <c r="CB107" s="3"/>
      <c r="CM107" s="3"/>
      <c r="CX107" s="3"/>
      <c r="DI107" s="3"/>
    </row>
    <row r="108" spans="14:113" x14ac:dyDescent="0.2">
      <c r="N108" s="3"/>
      <c r="Y108" s="3"/>
      <c r="AJ108" s="3"/>
      <c r="AU108" s="3"/>
      <c r="BF108" s="3"/>
      <c r="BQ108" s="3"/>
      <c r="CB108" s="3"/>
      <c r="CM108" s="3"/>
      <c r="CX108" s="3"/>
      <c r="DI108" s="3"/>
    </row>
    <row r="109" spans="14:113" x14ac:dyDescent="0.2">
      <c r="N109" s="3"/>
      <c r="Y109" s="3"/>
      <c r="AJ109" s="3"/>
      <c r="AU109" s="3"/>
      <c r="BF109" s="3"/>
      <c r="BQ109" s="3"/>
      <c r="CB109" s="3"/>
      <c r="CM109" s="3"/>
      <c r="CX109" s="3"/>
      <c r="DI109" s="3"/>
    </row>
    <row r="110" spans="14:113" x14ac:dyDescent="0.2">
      <c r="N110" s="3"/>
      <c r="Y110" s="3"/>
      <c r="AJ110" s="3"/>
      <c r="AU110" s="3"/>
      <c r="BF110" s="3"/>
      <c r="BQ110" s="3"/>
      <c r="CB110" s="3"/>
      <c r="CM110" s="3"/>
      <c r="CX110" s="3"/>
      <c r="DI110" s="3"/>
    </row>
    <row r="111" spans="14:113" x14ac:dyDescent="0.2">
      <c r="N111" s="3"/>
      <c r="Y111" s="3"/>
      <c r="AJ111" s="3"/>
      <c r="AU111" s="3"/>
      <c r="BF111" s="3"/>
      <c r="BQ111" s="3"/>
      <c r="CB111" s="3"/>
      <c r="CM111" s="3"/>
      <c r="CX111" s="3"/>
      <c r="DI111" s="3"/>
    </row>
    <row r="112" spans="14:113" x14ac:dyDescent="0.2">
      <c r="N112" s="3"/>
      <c r="Y112" s="3"/>
      <c r="AJ112" s="3"/>
      <c r="AU112" s="3"/>
      <c r="BF112" s="3"/>
      <c r="BQ112" s="3"/>
      <c r="CB112" s="3"/>
      <c r="CM112" s="3"/>
      <c r="CX112" s="3"/>
      <c r="DI112" s="3"/>
    </row>
    <row r="113" spans="14:113" x14ac:dyDescent="0.2">
      <c r="N113" s="3"/>
      <c r="Y113" s="3"/>
      <c r="AJ113" s="3"/>
      <c r="AU113" s="3"/>
      <c r="BF113" s="3"/>
      <c r="BQ113" s="3"/>
      <c r="CB113" s="3"/>
      <c r="CM113" s="3"/>
      <c r="CX113" s="3"/>
      <c r="DI113" s="3"/>
    </row>
    <row r="114" spans="14:113" x14ac:dyDescent="0.2">
      <c r="N114" s="3"/>
      <c r="Y114" s="3"/>
      <c r="AJ114" s="3"/>
      <c r="AU114" s="3"/>
      <c r="BF114" s="3"/>
      <c r="BQ114" s="3"/>
      <c r="CB114" s="3"/>
      <c r="CM114" s="3"/>
      <c r="CX114" s="3"/>
      <c r="DI114" s="3"/>
    </row>
    <row r="115" spans="14:113" x14ac:dyDescent="0.2">
      <c r="N115" s="3"/>
      <c r="Y115" s="3"/>
      <c r="AJ115" s="3"/>
      <c r="AU115" s="3"/>
      <c r="BF115" s="3"/>
      <c r="BQ115" s="3"/>
      <c r="CB115" s="3"/>
      <c r="CM115" s="3"/>
      <c r="CX115" s="3"/>
      <c r="DI115" s="3"/>
    </row>
    <row r="116" spans="14:113" x14ac:dyDescent="0.2">
      <c r="N116" s="3"/>
      <c r="Y116" s="3"/>
      <c r="AJ116" s="3"/>
      <c r="AU116" s="3"/>
      <c r="BF116" s="3"/>
      <c r="BQ116" s="3"/>
      <c r="CB116" s="3"/>
      <c r="CM116" s="3"/>
      <c r="CX116" s="3"/>
      <c r="DI116" s="3"/>
    </row>
    <row r="117" spans="14:113" x14ac:dyDescent="0.2">
      <c r="N117" s="3"/>
      <c r="Y117" s="3"/>
      <c r="AJ117" s="3"/>
      <c r="AU117" s="3"/>
      <c r="BF117" s="3"/>
      <c r="BQ117" s="3"/>
      <c r="CB117" s="3"/>
      <c r="CM117" s="3"/>
      <c r="CX117" s="3"/>
      <c r="DI117" s="3"/>
    </row>
    <row r="118" spans="14:113" x14ac:dyDescent="0.2">
      <c r="N118" s="3"/>
      <c r="Y118" s="3"/>
      <c r="AJ118" s="3"/>
      <c r="AU118" s="3"/>
      <c r="BF118" s="3"/>
      <c r="BQ118" s="3"/>
      <c r="CB118" s="3"/>
      <c r="CM118" s="3"/>
      <c r="CX118" s="3"/>
      <c r="DI118" s="3"/>
    </row>
    <row r="119" spans="14:113" x14ac:dyDescent="0.2">
      <c r="N119" s="3"/>
      <c r="Y119" s="3"/>
      <c r="AJ119" s="3"/>
      <c r="AU119" s="3"/>
      <c r="BF119" s="3"/>
      <c r="BQ119" s="3"/>
      <c r="CB119" s="3"/>
      <c r="CM119" s="3"/>
      <c r="CX119" s="3"/>
      <c r="DI119" s="3"/>
    </row>
    <row r="120" spans="14:113" x14ac:dyDescent="0.2">
      <c r="N120" s="3"/>
      <c r="Y120" s="3"/>
      <c r="AJ120" s="3"/>
      <c r="AU120" s="3"/>
      <c r="BF120" s="3"/>
      <c r="BQ120" s="3"/>
      <c r="CB120" s="3"/>
      <c r="CM120" s="3"/>
      <c r="CX120" s="3"/>
      <c r="DI120" s="3"/>
    </row>
    <row r="121" spans="14:113" x14ac:dyDescent="0.2">
      <c r="N121" s="3"/>
      <c r="Y121" s="3"/>
      <c r="AJ121" s="3"/>
      <c r="AU121" s="3"/>
      <c r="BF121" s="3"/>
      <c r="BQ121" s="3"/>
      <c r="CB121" s="3"/>
      <c r="CM121" s="3"/>
      <c r="CX121" s="3"/>
      <c r="DI121" s="3"/>
    </row>
    <row r="122" spans="14:113" x14ac:dyDescent="0.2">
      <c r="N122" s="3"/>
      <c r="Y122" s="3"/>
      <c r="AJ122" s="3"/>
      <c r="AU122" s="3"/>
      <c r="BF122" s="3"/>
      <c r="BQ122" s="3"/>
      <c r="CB122" s="3"/>
      <c r="CM122" s="3"/>
      <c r="CX122" s="3"/>
      <c r="DI122" s="3"/>
    </row>
    <row r="123" spans="14:113" x14ac:dyDescent="0.2">
      <c r="N123" s="3"/>
      <c r="Y123" s="3"/>
      <c r="AJ123" s="3"/>
      <c r="AU123" s="3"/>
      <c r="BF123" s="3"/>
      <c r="BQ123" s="3"/>
      <c r="CB123" s="3"/>
      <c r="CM123" s="3"/>
      <c r="CX123" s="3"/>
      <c r="DI123" s="3"/>
    </row>
    <row r="124" spans="14:113" x14ac:dyDescent="0.2">
      <c r="N124" s="3"/>
      <c r="Y124" s="3"/>
      <c r="AJ124" s="3"/>
      <c r="AU124" s="3"/>
      <c r="BF124" s="3"/>
      <c r="BQ124" s="3"/>
      <c r="CB124" s="3"/>
      <c r="CM124" s="3"/>
      <c r="CX124" s="3"/>
      <c r="DI124" s="3"/>
    </row>
    <row r="125" spans="14:113" x14ac:dyDescent="0.2">
      <c r="N125" s="3"/>
      <c r="Y125" s="3"/>
      <c r="AJ125" s="3"/>
      <c r="AU125" s="3"/>
      <c r="BF125" s="3"/>
      <c r="BQ125" s="3"/>
      <c r="CB125" s="3"/>
      <c r="CM125" s="3"/>
      <c r="CX125" s="3"/>
      <c r="DI125" s="3"/>
    </row>
    <row r="126" spans="14:113" x14ac:dyDescent="0.2">
      <c r="N126" s="3"/>
      <c r="Y126" s="3"/>
      <c r="AJ126" s="3"/>
      <c r="AU126" s="3"/>
      <c r="BF126" s="3"/>
      <c r="BQ126" s="3"/>
      <c r="CB126" s="3"/>
      <c r="CM126" s="3"/>
      <c r="CX126" s="3"/>
      <c r="DI126" s="3"/>
    </row>
    <row r="127" spans="14:113" x14ac:dyDescent="0.2">
      <c r="N127" s="3"/>
      <c r="Y127" s="3"/>
      <c r="AJ127" s="3"/>
      <c r="AU127" s="3"/>
      <c r="BF127" s="3"/>
      <c r="BQ127" s="3"/>
      <c r="CB127" s="3"/>
      <c r="CM127" s="3"/>
      <c r="CX127" s="3"/>
      <c r="DI127" s="3"/>
    </row>
    <row r="128" spans="14:113" x14ac:dyDescent="0.2">
      <c r="N128" s="3"/>
      <c r="Y128" s="3"/>
      <c r="AJ128" s="3"/>
      <c r="AU128" s="3"/>
      <c r="BF128" s="3"/>
      <c r="BQ128" s="3"/>
      <c r="CB128" s="3"/>
      <c r="CM128" s="3"/>
      <c r="CX128" s="3"/>
      <c r="DI128" s="3"/>
    </row>
    <row r="129" spans="14:113" x14ac:dyDescent="0.2">
      <c r="N129" s="3"/>
      <c r="Y129" s="3"/>
      <c r="AJ129" s="3"/>
      <c r="AU129" s="3"/>
      <c r="BF129" s="3"/>
      <c r="BQ129" s="3"/>
      <c r="CB129" s="3"/>
      <c r="CM129" s="3"/>
      <c r="CX129" s="3"/>
      <c r="DI129" s="3"/>
    </row>
    <row r="130" spans="14:113" x14ac:dyDescent="0.2">
      <c r="N130" s="3"/>
      <c r="Y130" s="3"/>
      <c r="AJ130" s="3"/>
      <c r="AU130" s="3"/>
      <c r="BF130" s="3"/>
      <c r="BQ130" s="3"/>
      <c r="CB130" s="3"/>
      <c r="CM130" s="3"/>
      <c r="CX130" s="3"/>
      <c r="DI130" s="3"/>
    </row>
    <row r="131" spans="14:113" x14ac:dyDescent="0.2">
      <c r="N131" s="3"/>
      <c r="Y131" s="3"/>
      <c r="AJ131" s="3"/>
      <c r="AU131" s="3"/>
      <c r="BF131" s="3"/>
      <c r="BQ131" s="3"/>
      <c r="CB131" s="3"/>
      <c r="CM131" s="3"/>
      <c r="CX131" s="3"/>
      <c r="DI131" s="3"/>
    </row>
    <row r="132" spans="14:113" x14ac:dyDescent="0.2">
      <c r="N132" s="3"/>
      <c r="Y132" s="3"/>
      <c r="AJ132" s="3"/>
      <c r="AU132" s="3"/>
      <c r="BF132" s="3"/>
      <c r="BQ132" s="3"/>
      <c r="CB132" s="3"/>
      <c r="CM132" s="3"/>
      <c r="CX132" s="3"/>
      <c r="DI132" s="3"/>
    </row>
    <row r="133" spans="14:113" x14ac:dyDescent="0.2">
      <c r="N133" s="3"/>
      <c r="Y133" s="3"/>
      <c r="AJ133" s="3"/>
      <c r="AU133" s="3"/>
      <c r="BF133" s="3"/>
      <c r="BQ133" s="3"/>
      <c r="CB133" s="3"/>
      <c r="CM133" s="3"/>
      <c r="CX133" s="3"/>
      <c r="DI133" s="3"/>
    </row>
    <row r="134" spans="14:113" x14ac:dyDescent="0.2">
      <c r="N134" s="3"/>
      <c r="Y134" s="3"/>
      <c r="AJ134" s="3"/>
      <c r="AU134" s="3"/>
      <c r="BF134" s="3"/>
      <c r="BQ134" s="3"/>
      <c r="CB134" s="3"/>
      <c r="CM134" s="3"/>
      <c r="CX134" s="3"/>
      <c r="DI134" s="3"/>
    </row>
    <row r="135" spans="14:113" x14ac:dyDescent="0.2">
      <c r="N135" s="3"/>
      <c r="Y135" s="3"/>
      <c r="AJ135" s="3"/>
      <c r="AU135" s="3"/>
      <c r="BF135" s="3"/>
      <c r="BQ135" s="3"/>
      <c r="CB135" s="3"/>
      <c r="CM135" s="3"/>
      <c r="CX135" s="3"/>
      <c r="DI135" s="3"/>
    </row>
    <row r="136" spans="14:113" x14ac:dyDescent="0.2">
      <c r="N136" s="3"/>
      <c r="Y136" s="3"/>
      <c r="AJ136" s="3"/>
      <c r="AU136" s="3"/>
      <c r="BF136" s="3"/>
      <c r="BQ136" s="3"/>
      <c r="CB136" s="3"/>
      <c r="CM136" s="3"/>
      <c r="CX136" s="3"/>
      <c r="DI136" s="3"/>
    </row>
    <row r="137" spans="14:113" x14ac:dyDescent="0.2">
      <c r="N137" s="3"/>
      <c r="Y137" s="3"/>
      <c r="AJ137" s="3"/>
      <c r="AU137" s="3"/>
      <c r="BF137" s="3"/>
      <c r="BQ137" s="3"/>
      <c r="CB137" s="3"/>
      <c r="CM137" s="3"/>
      <c r="CX137" s="3"/>
      <c r="DI137" s="3"/>
    </row>
    <row r="138" spans="14:113" x14ac:dyDescent="0.2">
      <c r="N138" s="3"/>
      <c r="Y138" s="3"/>
      <c r="AJ138" s="3"/>
      <c r="AU138" s="3"/>
      <c r="BF138" s="3"/>
      <c r="BQ138" s="3"/>
      <c r="CB138" s="3"/>
      <c r="CM138" s="3"/>
      <c r="CX138" s="3"/>
      <c r="DI138" s="3"/>
    </row>
    <row r="139" spans="14:113" x14ac:dyDescent="0.2">
      <c r="N139" s="3"/>
      <c r="Y139" s="3"/>
      <c r="AJ139" s="3"/>
      <c r="AU139" s="3"/>
      <c r="BF139" s="3"/>
      <c r="BQ139" s="3"/>
      <c r="CB139" s="3"/>
      <c r="CM139" s="3"/>
      <c r="CX139" s="3"/>
      <c r="DI139" s="3"/>
    </row>
    <row r="140" spans="14:113" x14ac:dyDescent="0.2">
      <c r="N140" s="3"/>
      <c r="Y140" s="3"/>
      <c r="AJ140" s="3"/>
      <c r="AU140" s="3"/>
      <c r="BF140" s="3"/>
      <c r="BQ140" s="3"/>
      <c r="CB140" s="3"/>
      <c r="CM140" s="3"/>
      <c r="CX140" s="3"/>
      <c r="DI140" s="3"/>
    </row>
    <row r="141" spans="14:113" x14ac:dyDescent="0.2">
      <c r="N141" s="3"/>
      <c r="Y141" s="3"/>
      <c r="AJ141" s="3"/>
      <c r="AU141" s="3"/>
      <c r="BF141" s="3"/>
      <c r="BQ141" s="3"/>
      <c r="CB141" s="3"/>
      <c r="CM141" s="3"/>
      <c r="CX141" s="3"/>
      <c r="DI141" s="3"/>
    </row>
    <row r="142" spans="14:113" x14ac:dyDescent="0.2">
      <c r="N142" s="3"/>
      <c r="Y142" s="3"/>
      <c r="AJ142" s="3"/>
      <c r="AU142" s="3"/>
      <c r="BF142" s="3"/>
      <c r="BQ142" s="3"/>
      <c r="CB142" s="3"/>
      <c r="CM142" s="3"/>
      <c r="CX142" s="3"/>
      <c r="DI142" s="3"/>
    </row>
    <row r="143" spans="14:113" x14ac:dyDescent="0.2">
      <c r="N143" s="3"/>
      <c r="Y143" s="3"/>
      <c r="AJ143" s="3"/>
      <c r="AU143" s="3"/>
      <c r="BF143" s="3"/>
      <c r="BQ143" s="3"/>
      <c r="CB143" s="3"/>
      <c r="CM143" s="3"/>
      <c r="CX143" s="3"/>
      <c r="DI143" s="3"/>
    </row>
    <row r="144" spans="14:113" x14ac:dyDescent="0.2">
      <c r="N144" s="3"/>
      <c r="Y144" s="3"/>
      <c r="AJ144" s="3"/>
      <c r="AU144" s="3"/>
      <c r="BF144" s="3"/>
      <c r="BQ144" s="3"/>
      <c r="CB144" s="3"/>
      <c r="CM144" s="3"/>
      <c r="CX144" s="3"/>
      <c r="DI144" s="3"/>
    </row>
    <row r="145" spans="14:113" x14ac:dyDescent="0.2">
      <c r="N145" s="3"/>
      <c r="Y145" s="3"/>
      <c r="AJ145" s="3"/>
      <c r="AU145" s="3"/>
      <c r="BF145" s="3"/>
      <c r="BQ145" s="3"/>
      <c r="CB145" s="3"/>
      <c r="CM145" s="3"/>
      <c r="CX145" s="3"/>
      <c r="DI145" s="3"/>
    </row>
    <row r="146" spans="14:113" x14ac:dyDescent="0.2">
      <c r="N146" s="3"/>
      <c r="Y146" s="3"/>
      <c r="AJ146" s="3"/>
      <c r="AU146" s="3"/>
      <c r="BF146" s="3"/>
      <c r="BQ146" s="3"/>
      <c r="CB146" s="3"/>
      <c r="CM146" s="3"/>
      <c r="CX146" s="3"/>
      <c r="DI146" s="3"/>
    </row>
    <row r="147" spans="14:113" x14ac:dyDescent="0.2">
      <c r="N147" s="3"/>
      <c r="Y147" s="3"/>
      <c r="AJ147" s="3"/>
      <c r="AU147" s="3"/>
      <c r="BF147" s="3"/>
      <c r="BQ147" s="3"/>
      <c r="CB147" s="3"/>
      <c r="CM147" s="3"/>
      <c r="CX147" s="3"/>
      <c r="DI147" s="3"/>
    </row>
    <row r="148" spans="14:113" x14ac:dyDescent="0.2">
      <c r="N148" s="3"/>
      <c r="Y148" s="3"/>
      <c r="AJ148" s="3"/>
      <c r="AU148" s="3"/>
      <c r="BF148" s="3"/>
      <c r="BQ148" s="3"/>
      <c r="CB148" s="3"/>
      <c r="CM148" s="3"/>
      <c r="CX148" s="3"/>
      <c r="DI148" s="3"/>
    </row>
    <row r="149" spans="14:113" x14ac:dyDescent="0.2">
      <c r="N149" s="3"/>
      <c r="Y149" s="3"/>
      <c r="AJ149" s="3"/>
      <c r="AU149" s="3"/>
      <c r="BF149" s="3"/>
      <c r="BQ149" s="3"/>
      <c r="CB149" s="3"/>
      <c r="CM149" s="3"/>
      <c r="CX149" s="3"/>
      <c r="DI149" s="3"/>
    </row>
    <row r="150" spans="14:113" x14ac:dyDescent="0.2">
      <c r="N150" s="3"/>
      <c r="Y150" s="3"/>
      <c r="AJ150" s="3"/>
      <c r="AU150" s="3"/>
      <c r="BF150" s="3"/>
      <c r="BQ150" s="3"/>
      <c r="CB150" s="3"/>
      <c r="CM150" s="3"/>
      <c r="CX150" s="3"/>
      <c r="DI150" s="3"/>
    </row>
    <row r="151" spans="14:113" x14ac:dyDescent="0.2">
      <c r="N151" s="3"/>
      <c r="Y151" s="3"/>
      <c r="AJ151" s="3"/>
      <c r="AU151" s="3"/>
      <c r="BF151" s="3"/>
      <c r="BQ151" s="3"/>
      <c r="CB151" s="3"/>
      <c r="CM151" s="3"/>
      <c r="CX151" s="3"/>
      <c r="DI151" s="3"/>
    </row>
    <row r="152" spans="14:113" x14ac:dyDescent="0.2">
      <c r="N152" s="3"/>
      <c r="Y152" s="3"/>
      <c r="AJ152" s="3"/>
      <c r="AU152" s="3"/>
      <c r="BF152" s="3"/>
      <c r="BQ152" s="3"/>
      <c r="CB152" s="3"/>
      <c r="CM152" s="3"/>
      <c r="CX152" s="3"/>
      <c r="DI152" s="3"/>
    </row>
    <row r="153" spans="14:113" x14ac:dyDescent="0.2">
      <c r="N153" s="3"/>
      <c r="Y153" s="3"/>
      <c r="AJ153" s="3"/>
      <c r="AU153" s="3"/>
      <c r="BF153" s="3"/>
      <c r="BQ153" s="3"/>
      <c r="CB153" s="3"/>
      <c r="CM153" s="3"/>
      <c r="CX153" s="3"/>
      <c r="DI153" s="3"/>
    </row>
    <row r="154" spans="14:113" x14ac:dyDescent="0.2">
      <c r="N154" s="3"/>
      <c r="Y154" s="3"/>
      <c r="AJ154" s="3"/>
      <c r="AU154" s="3"/>
      <c r="BF154" s="3"/>
      <c r="BQ154" s="3"/>
      <c r="CB154" s="3"/>
      <c r="CM154" s="3"/>
      <c r="CX154" s="3"/>
      <c r="DI154" s="3"/>
    </row>
    <row r="155" spans="14:113" x14ac:dyDescent="0.2">
      <c r="N155" s="3"/>
      <c r="Y155" s="3"/>
      <c r="AJ155" s="3"/>
      <c r="AU155" s="3"/>
      <c r="BF155" s="3"/>
      <c r="BQ155" s="3"/>
      <c r="CB155" s="3"/>
      <c r="CM155" s="3"/>
      <c r="CX155" s="3"/>
      <c r="DI155" s="3"/>
    </row>
    <row r="156" spans="14:113" x14ac:dyDescent="0.2">
      <c r="N156" s="3"/>
      <c r="Y156" s="3"/>
      <c r="AJ156" s="3"/>
      <c r="AU156" s="3"/>
      <c r="BF156" s="3"/>
      <c r="BQ156" s="3"/>
      <c r="CB156" s="3"/>
      <c r="CM156" s="3"/>
      <c r="CX156" s="3"/>
      <c r="DI156" s="3"/>
    </row>
    <row r="157" spans="14:113" x14ac:dyDescent="0.2">
      <c r="N157" s="3"/>
      <c r="Y157" s="3"/>
      <c r="AJ157" s="3"/>
      <c r="AU157" s="3"/>
      <c r="BF157" s="3"/>
      <c r="BQ157" s="3"/>
      <c r="CB157" s="3"/>
      <c r="CM157" s="3"/>
      <c r="CX157" s="3"/>
      <c r="DI157" s="3"/>
    </row>
    <row r="158" spans="14:113" x14ac:dyDescent="0.2">
      <c r="N158" s="3"/>
      <c r="Y158" s="3"/>
      <c r="AJ158" s="3"/>
      <c r="AU158" s="3"/>
      <c r="BF158" s="3"/>
      <c r="BQ158" s="3"/>
      <c r="CB158" s="3"/>
      <c r="CM158" s="3"/>
      <c r="CX158" s="3"/>
      <c r="DI158" s="3"/>
    </row>
    <row r="159" spans="14:113" x14ac:dyDescent="0.2">
      <c r="N159" s="3"/>
      <c r="Y159" s="3"/>
      <c r="AJ159" s="3"/>
      <c r="AU159" s="3"/>
      <c r="BF159" s="3"/>
      <c r="BQ159" s="3"/>
      <c r="CB159" s="3"/>
      <c r="CM159" s="3"/>
      <c r="CX159" s="3"/>
      <c r="DI159" s="3"/>
    </row>
    <row r="160" spans="14:113" x14ac:dyDescent="0.2">
      <c r="N160" s="3"/>
      <c r="Y160" s="3"/>
      <c r="AJ160" s="3"/>
      <c r="AU160" s="3"/>
      <c r="BF160" s="3"/>
      <c r="BQ160" s="3"/>
      <c r="CB160" s="3"/>
      <c r="CM160" s="3"/>
      <c r="CX160" s="3"/>
      <c r="DI160" s="3"/>
    </row>
    <row r="161" spans="14:113" x14ac:dyDescent="0.2">
      <c r="N161" s="3"/>
      <c r="Y161" s="3"/>
      <c r="AJ161" s="3"/>
      <c r="AU161" s="3"/>
      <c r="BF161" s="3"/>
      <c r="BQ161" s="3"/>
      <c r="CB161" s="3"/>
      <c r="CM161" s="3"/>
      <c r="CX161" s="3"/>
      <c r="DI161" s="3"/>
    </row>
    <row r="162" spans="14:113" x14ac:dyDescent="0.2">
      <c r="N162" s="3"/>
      <c r="Y162" s="3"/>
      <c r="AJ162" s="3"/>
      <c r="AU162" s="3"/>
      <c r="BF162" s="3"/>
      <c r="BQ162" s="3"/>
      <c r="CB162" s="3"/>
      <c r="CM162" s="3"/>
      <c r="CX162" s="3"/>
      <c r="DI162" s="3"/>
    </row>
    <row r="163" spans="14:113" x14ac:dyDescent="0.2">
      <c r="N163" s="3"/>
      <c r="Y163" s="3"/>
      <c r="AJ163" s="3"/>
      <c r="AU163" s="3"/>
      <c r="BF163" s="3"/>
      <c r="BQ163" s="3"/>
      <c r="CB163" s="3"/>
      <c r="CM163" s="3"/>
      <c r="CX163" s="3"/>
      <c r="DI163" s="3"/>
    </row>
    <row r="164" spans="14:113" x14ac:dyDescent="0.2">
      <c r="N164" s="3"/>
      <c r="Y164" s="3"/>
      <c r="AJ164" s="3"/>
      <c r="AU164" s="3"/>
      <c r="BF164" s="3"/>
      <c r="BQ164" s="3"/>
      <c r="CB164" s="3"/>
      <c r="CM164" s="3"/>
      <c r="CX164" s="3"/>
      <c r="DI164" s="3"/>
    </row>
    <row r="165" spans="14:113" x14ac:dyDescent="0.2">
      <c r="N165" s="3"/>
      <c r="Y165" s="3"/>
      <c r="AJ165" s="3"/>
      <c r="AU165" s="3"/>
      <c r="BF165" s="3"/>
      <c r="BQ165" s="3"/>
      <c r="CB165" s="3"/>
      <c r="CM165" s="3"/>
      <c r="CX165" s="3"/>
      <c r="DI165" s="3"/>
    </row>
    <row r="166" spans="14:113" x14ac:dyDescent="0.2">
      <c r="N166" s="3"/>
      <c r="Y166" s="3"/>
      <c r="AJ166" s="3"/>
      <c r="AU166" s="3"/>
      <c r="BF166" s="3"/>
      <c r="BQ166" s="3"/>
      <c r="CB166" s="3"/>
      <c r="CM166" s="3"/>
      <c r="CX166" s="3"/>
      <c r="DI166" s="3"/>
    </row>
    <row r="167" spans="14:113" x14ac:dyDescent="0.2">
      <c r="N167" s="3"/>
      <c r="Y167" s="3"/>
      <c r="AJ167" s="3"/>
      <c r="AU167" s="3"/>
      <c r="BF167" s="3"/>
      <c r="BQ167" s="3"/>
      <c r="CB167" s="3"/>
      <c r="CM167" s="3"/>
      <c r="CX167" s="3"/>
      <c r="DI167" s="3"/>
    </row>
    <row r="168" spans="14:113" x14ac:dyDescent="0.2">
      <c r="N168" s="3"/>
      <c r="Y168" s="3"/>
      <c r="AJ168" s="3"/>
      <c r="AU168" s="3"/>
      <c r="BF168" s="3"/>
      <c r="BQ168" s="3"/>
      <c r="CB168" s="3"/>
      <c r="CM168" s="3"/>
      <c r="CX168" s="3"/>
      <c r="DI168" s="3"/>
    </row>
    <row r="169" spans="14:113" x14ac:dyDescent="0.2">
      <c r="N169" s="3"/>
      <c r="Y169" s="3"/>
      <c r="AJ169" s="3"/>
      <c r="AU169" s="3"/>
      <c r="BF169" s="3"/>
      <c r="BQ169" s="3"/>
      <c r="CB169" s="3"/>
      <c r="CM169" s="3"/>
      <c r="CX169" s="3"/>
      <c r="DI169" s="3"/>
    </row>
    <row r="170" spans="14:113" x14ac:dyDescent="0.2">
      <c r="N170" s="3"/>
      <c r="Y170" s="3"/>
      <c r="AJ170" s="3"/>
      <c r="AU170" s="3"/>
      <c r="BF170" s="3"/>
      <c r="BQ170" s="3"/>
      <c r="CB170" s="3"/>
      <c r="CM170" s="3"/>
      <c r="CX170" s="3"/>
      <c r="DI170" s="3"/>
    </row>
    <row r="171" spans="14:113" x14ac:dyDescent="0.2">
      <c r="N171" s="3"/>
      <c r="Y171" s="3"/>
      <c r="AJ171" s="3"/>
      <c r="AU171" s="3"/>
      <c r="BF171" s="3"/>
      <c r="BQ171" s="3"/>
      <c r="CB171" s="3"/>
      <c r="CM171" s="3"/>
      <c r="CX171" s="3"/>
      <c r="DI171" s="3"/>
    </row>
    <row r="172" spans="14:113" x14ac:dyDescent="0.2">
      <c r="N172" s="3"/>
      <c r="Y172" s="3"/>
      <c r="AJ172" s="3"/>
      <c r="AU172" s="3"/>
      <c r="BF172" s="3"/>
      <c r="BQ172" s="3"/>
      <c r="CB172" s="3"/>
      <c r="CM172" s="3"/>
      <c r="CX172" s="3"/>
      <c r="DI172" s="3"/>
    </row>
    <row r="173" spans="14:113" x14ac:dyDescent="0.2">
      <c r="N173" s="3"/>
      <c r="Y173" s="3"/>
      <c r="AJ173" s="3"/>
      <c r="AU173" s="3"/>
      <c r="BF173" s="3"/>
      <c r="BQ173" s="3"/>
      <c r="CB173" s="3"/>
      <c r="CM173" s="3"/>
      <c r="CX173" s="3"/>
      <c r="DI173" s="3"/>
    </row>
    <row r="174" spans="14:113" x14ac:dyDescent="0.2">
      <c r="N174" s="3"/>
      <c r="Y174" s="3"/>
      <c r="AJ174" s="3"/>
      <c r="AU174" s="3"/>
      <c r="BF174" s="3"/>
      <c r="BQ174" s="3"/>
      <c r="CB174" s="3"/>
      <c r="CM174" s="3"/>
      <c r="CX174" s="3"/>
      <c r="DI174" s="3"/>
    </row>
    <row r="175" spans="14:113" x14ac:dyDescent="0.2">
      <c r="N175" s="3"/>
      <c r="Y175" s="3"/>
      <c r="AJ175" s="3"/>
      <c r="AU175" s="3"/>
      <c r="BF175" s="3"/>
      <c r="BQ175" s="3"/>
      <c r="CB175" s="3"/>
      <c r="CM175" s="3"/>
      <c r="CX175" s="3"/>
      <c r="DI175" s="3"/>
    </row>
    <row r="176" spans="14:113" x14ac:dyDescent="0.2">
      <c r="N176" s="3"/>
      <c r="Y176" s="3"/>
      <c r="AJ176" s="3"/>
      <c r="AU176" s="3"/>
      <c r="BF176" s="3"/>
      <c r="BQ176" s="3"/>
      <c r="CB176" s="3"/>
      <c r="CM176" s="3"/>
      <c r="CX176" s="3"/>
      <c r="DI176" s="3"/>
    </row>
    <row r="177" spans="14:113" x14ac:dyDescent="0.2">
      <c r="N177" s="3"/>
      <c r="Y177" s="3"/>
      <c r="AJ177" s="3"/>
      <c r="AU177" s="3"/>
      <c r="BF177" s="3"/>
      <c r="BQ177" s="3"/>
      <c r="CB177" s="3"/>
      <c r="CM177" s="3"/>
      <c r="CX177" s="3"/>
      <c r="DI177" s="3"/>
    </row>
    <row r="178" spans="14:113" x14ac:dyDescent="0.2">
      <c r="N178" s="3"/>
      <c r="Y178" s="3"/>
      <c r="AJ178" s="3"/>
      <c r="AU178" s="3"/>
      <c r="BF178" s="3"/>
      <c r="BQ178" s="3"/>
      <c r="CB178" s="3"/>
      <c r="CM178" s="3"/>
      <c r="CX178" s="3"/>
      <c r="DI178" s="3"/>
    </row>
    <row r="179" spans="14:113" x14ac:dyDescent="0.2">
      <c r="N179" s="3"/>
      <c r="Y179" s="3"/>
      <c r="AJ179" s="3"/>
      <c r="AU179" s="3"/>
      <c r="BF179" s="3"/>
      <c r="BQ179" s="3"/>
      <c r="CB179" s="3"/>
      <c r="CM179" s="3"/>
      <c r="CX179" s="3"/>
      <c r="DI179" s="3"/>
    </row>
    <row r="180" spans="14:113" x14ac:dyDescent="0.2">
      <c r="N180" s="3"/>
      <c r="Y180" s="3"/>
      <c r="AJ180" s="3"/>
      <c r="AU180" s="3"/>
      <c r="BF180" s="3"/>
      <c r="BQ180" s="3"/>
      <c r="CB180" s="3"/>
      <c r="CM180" s="3"/>
      <c r="CX180" s="3"/>
      <c r="DI180" s="3"/>
    </row>
    <row r="181" spans="14:113" x14ac:dyDescent="0.2">
      <c r="N181" s="3"/>
      <c r="Y181" s="3"/>
      <c r="AJ181" s="3"/>
      <c r="AU181" s="3"/>
      <c r="BF181" s="3"/>
      <c r="BQ181" s="3"/>
      <c r="CB181" s="3"/>
      <c r="CM181" s="3"/>
      <c r="CX181" s="3"/>
      <c r="DI181" s="3"/>
    </row>
    <row r="182" spans="14:113" x14ac:dyDescent="0.2">
      <c r="N182" s="3"/>
      <c r="Y182" s="3"/>
      <c r="AJ182" s="3"/>
      <c r="AU182" s="3"/>
      <c r="BF182" s="3"/>
      <c r="BQ182" s="3"/>
      <c r="CB182" s="3"/>
      <c r="CM182" s="3"/>
      <c r="CX182" s="3"/>
      <c r="DI182" s="3"/>
    </row>
    <row r="183" spans="14:113" x14ac:dyDescent="0.2">
      <c r="N183" s="3"/>
      <c r="Y183" s="3"/>
      <c r="AJ183" s="3"/>
      <c r="AU183" s="3"/>
      <c r="BF183" s="3"/>
      <c r="BQ183" s="3"/>
      <c r="CB183" s="3"/>
      <c r="CM183" s="3"/>
      <c r="CX183" s="3"/>
      <c r="DI183" s="3"/>
    </row>
    <row r="184" spans="14:113" x14ac:dyDescent="0.2">
      <c r="N184" s="3"/>
      <c r="Y184" s="3"/>
      <c r="AJ184" s="3"/>
      <c r="AU184" s="3"/>
      <c r="BF184" s="3"/>
      <c r="BQ184" s="3"/>
      <c r="CB184" s="3"/>
      <c r="CM184" s="3"/>
      <c r="CX184" s="3"/>
      <c r="DI184" s="3"/>
    </row>
    <row r="185" spans="14:113" x14ac:dyDescent="0.2">
      <c r="N185" s="3"/>
      <c r="Y185" s="3"/>
      <c r="AJ185" s="3"/>
      <c r="AU185" s="3"/>
      <c r="BF185" s="3"/>
      <c r="BQ185" s="3"/>
      <c r="CB185" s="3"/>
      <c r="CM185" s="3"/>
      <c r="CX185" s="3"/>
      <c r="DI185" s="3"/>
    </row>
    <row r="186" spans="14:113" x14ac:dyDescent="0.2">
      <c r="N186" s="3"/>
      <c r="Y186" s="3"/>
      <c r="AJ186" s="3"/>
      <c r="AU186" s="3"/>
      <c r="BF186" s="3"/>
      <c r="BQ186" s="3"/>
      <c r="CB186" s="3"/>
      <c r="CM186" s="3"/>
      <c r="CX186" s="3"/>
      <c r="DI186" s="3"/>
    </row>
    <row r="187" spans="14:113" x14ac:dyDescent="0.2">
      <c r="N187" s="3"/>
      <c r="Y187" s="3"/>
      <c r="AJ187" s="3"/>
      <c r="AU187" s="3"/>
      <c r="BF187" s="3"/>
      <c r="BQ187" s="3"/>
      <c r="CB187" s="3"/>
      <c r="CM187" s="3"/>
      <c r="CX187" s="3"/>
      <c r="DI187" s="3"/>
    </row>
    <row r="188" spans="14:113" x14ac:dyDescent="0.2">
      <c r="N188" s="3"/>
      <c r="Y188" s="3"/>
      <c r="AJ188" s="3"/>
      <c r="AU188" s="3"/>
      <c r="BF188" s="3"/>
      <c r="BQ188" s="3"/>
      <c r="CB188" s="3"/>
      <c r="CM188" s="3"/>
      <c r="CX188" s="3"/>
      <c r="DI188" s="3"/>
    </row>
    <row r="189" spans="14:113" x14ac:dyDescent="0.2">
      <c r="N189" s="3"/>
      <c r="Y189" s="3"/>
      <c r="AJ189" s="3"/>
      <c r="AU189" s="3"/>
      <c r="BF189" s="3"/>
      <c r="BQ189" s="3"/>
      <c r="CB189" s="3"/>
      <c r="CM189" s="3"/>
      <c r="CX189" s="3"/>
      <c r="DI189" s="3"/>
    </row>
    <row r="190" spans="14:113" x14ac:dyDescent="0.2">
      <c r="N190" s="3"/>
      <c r="Y190" s="3"/>
      <c r="AJ190" s="3"/>
      <c r="AU190" s="3"/>
      <c r="BF190" s="3"/>
      <c r="BQ190" s="3"/>
      <c r="CB190" s="3"/>
      <c r="CM190" s="3"/>
      <c r="CX190" s="3"/>
      <c r="DI190" s="3"/>
    </row>
    <row r="191" spans="14:113" x14ac:dyDescent="0.2">
      <c r="N191" s="3"/>
      <c r="Y191" s="3"/>
      <c r="AJ191" s="3"/>
      <c r="AU191" s="3"/>
      <c r="BF191" s="3"/>
      <c r="BQ191" s="3"/>
      <c r="CB191" s="3"/>
      <c r="CM191" s="3"/>
      <c r="CX191" s="3"/>
      <c r="DI191" s="3"/>
    </row>
    <row r="192" spans="14:113" x14ac:dyDescent="0.2">
      <c r="N192" s="3"/>
      <c r="Y192" s="3"/>
      <c r="AJ192" s="3"/>
      <c r="AU192" s="3"/>
      <c r="BF192" s="3"/>
      <c r="BQ192" s="3"/>
      <c r="CB192" s="3"/>
      <c r="CM192" s="3"/>
      <c r="CX192" s="3"/>
      <c r="DI192" s="3"/>
    </row>
    <row r="193" spans="14:113" x14ac:dyDescent="0.2">
      <c r="N193" s="3"/>
      <c r="Y193" s="3"/>
      <c r="AJ193" s="3"/>
      <c r="AU193" s="3"/>
      <c r="BF193" s="3"/>
      <c r="BQ193" s="3"/>
      <c r="CB193" s="3"/>
      <c r="CM193" s="3"/>
      <c r="CX193" s="3"/>
      <c r="DI193" s="3"/>
    </row>
    <row r="194" spans="14:113" x14ac:dyDescent="0.2">
      <c r="N194" s="3"/>
      <c r="Y194" s="3"/>
      <c r="AJ194" s="3"/>
      <c r="AU194" s="3"/>
      <c r="BF194" s="3"/>
      <c r="BQ194" s="3"/>
      <c r="CB194" s="3"/>
      <c r="CM194" s="3"/>
      <c r="CX194" s="3"/>
      <c r="DI194" s="3"/>
    </row>
    <row r="195" spans="14:113" x14ac:dyDescent="0.2">
      <c r="N195" s="3"/>
      <c r="Y195" s="3"/>
      <c r="AJ195" s="3"/>
      <c r="AU195" s="3"/>
      <c r="BF195" s="3"/>
      <c r="BQ195" s="3"/>
      <c r="CB195" s="3"/>
      <c r="CM195" s="3"/>
      <c r="CX195" s="3"/>
      <c r="DI195" s="3"/>
    </row>
    <row r="196" spans="14:113" x14ac:dyDescent="0.2">
      <c r="N196" s="3"/>
      <c r="Y196" s="3"/>
      <c r="AJ196" s="3"/>
      <c r="AU196" s="3"/>
      <c r="BF196" s="3"/>
      <c r="BQ196" s="3"/>
      <c r="CB196" s="3"/>
      <c r="CM196" s="3"/>
      <c r="CX196" s="3"/>
      <c r="DI196" s="3"/>
    </row>
    <row r="197" spans="14:113" x14ac:dyDescent="0.2">
      <c r="N197" s="3"/>
      <c r="Y197" s="3"/>
      <c r="AJ197" s="3"/>
      <c r="AU197" s="3"/>
      <c r="BF197" s="3"/>
      <c r="BQ197" s="3"/>
      <c r="CB197" s="3"/>
      <c r="CM197" s="3"/>
      <c r="CX197" s="3"/>
      <c r="DI197" s="3"/>
    </row>
    <row r="198" spans="14:113" x14ac:dyDescent="0.2">
      <c r="N198" s="3"/>
      <c r="Y198" s="3"/>
      <c r="AJ198" s="3"/>
      <c r="AU198" s="3"/>
      <c r="BF198" s="3"/>
      <c r="BQ198" s="3"/>
      <c r="CB198" s="3"/>
      <c r="CM198" s="3"/>
      <c r="CX198" s="3"/>
      <c r="DI198" s="3"/>
    </row>
    <row r="199" spans="14:113" x14ac:dyDescent="0.2">
      <c r="N199" s="3"/>
      <c r="Y199" s="3"/>
      <c r="AJ199" s="3"/>
      <c r="AU199" s="3"/>
      <c r="BF199" s="3"/>
      <c r="BQ199" s="3"/>
      <c r="CB199" s="3"/>
      <c r="CM199" s="3"/>
      <c r="CX199" s="3"/>
      <c r="DI199" s="3"/>
    </row>
    <row r="200" spans="14:113" x14ac:dyDescent="0.2">
      <c r="N200" s="3"/>
      <c r="Y200" s="3"/>
      <c r="AJ200" s="3"/>
      <c r="AU200" s="3"/>
      <c r="BF200" s="3"/>
      <c r="BQ200" s="3"/>
      <c r="CB200" s="3"/>
      <c r="CM200" s="3"/>
      <c r="CX200" s="3"/>
      <c r="DI200" s="3"/>
    </row>
    <row r="201" spans="14:113" x14ac:dyDescent="0.2">
      <c r="N201" s="3"/>
      <c r="Y201" s="3"/>
      <c r="AJ201" s="3"/>
      <c r="AU201" s="3"/>
      <c r="BF201" s="3"/>
      <c r="BQ201" s="3"/>
      <c r="CB201" s="3"/>
      <c r="CM201" s="3"/>
      <c r="CX201" s="3"/>
      <c r="DI201" s="3"/>
    </row>
    <row r="202" spans="14:113" x14ac:dyDescent="0.2">
      <c r="N202" s="3"/>
      <c r="Y202" s="3"/>
      <c r="AJ202" s="3"/>
      <c r="AU202" s="3"/>
      <c r="BF202" s="3"/>
      <c r="BQ202" s="3"/>
      <c r="CB202" s="3"/>
      <c r="CM202" s="3"/>
      <c r="CX202" s="3"/>
      <c r="DI202" s="3"/>
    </row>
    <row r="203" spans="14:113" x14ac:dyDescent="0.2">
      <c r="N203" s="3"/>
      <c r="Y203" s="3"/>
      <c r="AJ203" s="3"/>
      <c r="AU203" s="3"/>
      <c r="BF203" s="3"/>
      <c r="BQ203" s="3"/>
      <c r="CB203" s="3"/>
      <c r="CM203" s="3"/>
      <c r="CX203" s="3"/>
      <c r="DI203" s="3"/>
    </row>
    <row r="204" spans="14:113" x14ac:dyDescent="0.2">
      <c r="N204" s="3"/>
      <c r="Y204" s="3"/>
      <c r="AJ204" s="3"/>
      <c r="AU204" s="3"/>
      <c r="BF204" s="3"/>
      <c r="BQ204" s="3"/>
      <c r="CB204" s="3"/>
      <c r="CM204" s="3"/>
      <c r="CX204" s="3"/>
      <c r="DI204" s="3"/>
    </row>
    <row r="205" spans="14:113" x14ac:dyDescent="0.2">
      <c r="N205" s="3"/>
      <c r="Y205" s="3"/>
      <c r="AJ205" s="3"/>
      <c r="AU205" s="3"/>
      <c r="BF205" s="3"/>
      <c r="BQ205" s="3"/>
      <c r="CB205" s="3"/>
      <c r="CM205" s="3"/>
      <c r="CX205" s="3"/>
      <c r="DI205" s="3"/>
    </row>
    <row r="206" spans="14:113" x14ac:dyDescent="0.2">
      <c r="N206" s="3"/>
      <c r="Y206" s="3"/>
      <c r="AJ206" s="3"/>
      <c r="AU206" s="3"/>
      <c r="BF206" s="3"/>
      <c r="BQ206" s="3"/>
      <c r="CB206" s="3"/>
      <c r="CM206" s="3"/>
      <c r="CX206" s="3"/>
      <c r="DI206" s="3"/>
    </row>
    <row r="207" spans="14:113" x14ac:dyDescent="0.2">
      <c r="N207" s="3"/>
      <c r="Y207" s="3"/>
      <c r="AJ207" s="3"/>
      <c r="AU207" s="3"/>
      <c r="BF207" s="3"/>
      <c r="BQ207" s="3"/>
      <c r="CB207" s="3"/>
      <c r="CM207" s="3"/>
      <c r="CX207" s="3"/>
      <c r="DI207" s="3"/>
    </row>
    <row r="208" spans="14:113" x14ac:dyDescent="0.2">
      <c r="N208" s="3"/>
      <c r="Y208" s="3"/>
      <c r="AJ208" s="3"/>
      <c r="AU208" s="3"/>
      <c r="BF208" s="3"/>
      <c r="BQ208" s="3"/>
      <c r="CB208" s="3"/>
      <c r="CM208" s="3"/>
      <c r="CX208" s="3"/>
      <c r="DI208" s="3"/>
    </row>
    <row r="209" spans="14:113" x14ac:dyDescent="0.2">
      <c r="N209" s="3"/>
      <c r="Y209" s="3"/>
      <c r="AJ209" s="3"/>
      <c r="AU209" s="3"/>
      <c r="BF209" s="3"/>
      <c r="BQ209" s="3"/>
      <c r="CB209" s="3"/>
      <c r="CM209" s="3"/>
      <c r="CX209" s="3"/>
      <c r="DI209" s="3"/>
    </row>
    <row r="210" spans="14:113" x14ac:dyDescent="0.2">
      <c r="N210" s="3"/>
      <c r="Y210" s="3"/>
      <c r="AJ210" s="3"/>
      <c r="AU210" s="3"/>
      <c r="BF210" s="3"/>
      <c r="BQ210" s="3"/>
      <c r="CB210" s="3"/>
      <c r="CM210" s="3"/>
      <c r="CX210" s="3"/>
      <c r="DI210" s="3"/>
    </row>
    <row r="211" spans="14:113" x14ac:dyDescent="0.2">
      <c r="N211" s="3"/>
      <c r="Y211" s="3"/>
      <c r="AJ211" s="3"/>
      <c r="AU211" s="3"/>
      <c r="BF211" s="3"/>
      <c r="BQ211" s="3"/>
      <c r="CB211" s="3"/>
      <c r="CM211" s="3"/>
      <c r="CX211" s="3"/>
      <c r="DI211" s="3"/>
    </row>
    <row r="212" spans="14:113" x14ac:dyDescent="0.2">
      <c r="N212" s="3"/>
      <c r="Y212" s="3"/>
      <c r="AJ212" s="3"/>
      <c r="AU212" s="3"/>
      <c r="BF212" s="3"/>
      <c r="BQ212" s="3"/>
      <c r="CB212" s="3"/>
      <c r="CM212" s="3"/>
      <c r="CX212" s="3"/>
      <c r="DI212" s="3"/>
    </row>
    <row r="213" spans="14:113" x14ac:dyDescent="0.2">
      <c r="N213" s="3"/>
      <c r="Y213" s="3"/>
      <c r="AJ213" s="3"/>
      <c r="AU213" s="3"/>
      <c r="BF213" s="3"/>
      <c r="BQ213" s="3"/>
      <c r="CB213" s="3"/>
      <c r="CM213" s="3"/>
      <c r="CX213" s="3"/>
      <c r="DI213" s="3"/>
    </row>
    <row r="214" spans="14:113" x14ac:dyDescent="0.2">
      <c r="N214" s="3"/>
      <c r="Y214" s="3"/>
      <c r="AJ214" s="3"/>
      <c r="AU214" s="3"/>
      <c r="BF214" s="3"/>
      <c r="BQ214" s="3"/>
      <c r="CB214" s="3"/>
      <c r="CM214" s="3"/>
      <c r="CX214" s="3"/>
      <c r="DI214" s="3"/>
    </row>
    <row r="215" spans="14:113" x14ac:dyDescent="0.2">
      <c r="N215" s="3"/>
      <c r="Y215" s="3"/>
      <c r="AJ215" s="3"/>
      <c r="AU215" s="3"/>
      <c r="BF215" s="3"/>
      <c r="BQ215" s="3"/>
      <c r="CB215" s="3"/>
      <c r="CM215" s="3"/>
      <c r="CX215" s="3"/>
      <c r="DI215" s="3"/>
    </row>
    <row r="216" spans="14:113" x14ac:dyDescent="0.2">
      <c r="N216" s="3"/>
      <c r="Y216" s="3"/>
      <c r="AJ216" s="3"/>
      <c r="AU216" s="3"/>
      <c r="BF216" s="3"/>
      <c r="BQ216" s="3"/>
      <c r="CB216" s="3"/>
      <c r="CM216" s="3"/>
      <c r="CX216" s="3"/>
      <c r="DI216" s="3"/>
    </row>
    <row r="217" spans="14:113" x14ac:dyDescent="0.2">
      <c r="N217" s="3"/>
      <c r="Y217" s="3"/>
      <c r="AJ217" s="3"/>
      <c r="AU217" s="3"/>
      <c r="BF217" s="3"/>
      <c r="BQ217" s="3"/>
      <c r="CB217" s="3"/>
      <c r="CM217" s="3"/>
      <c r="CX217" s="3"/>
      <c r="DI217" s="3"/>
    </row>
    <row r="218" spans="14:113" x14ac:dyDescent="0.2">
      <c r="N218" s="3"/>
      <c r="Y218" s="3"/>
      <c r="AJ218" s="3"/>
      <c r="AU218" s="3"/>
      <c r="BF218" s="3"/>
      <c r="BQ218" s="3"/>
      <c r="CB218" s="3"/>
      <c r="CM218" s="3"/>
      <c r="CX218" s="3"/>
      <c r="DI218" s="3"/>
    </row>
    <row r="219" spans="14:113" x14ac:dyDescent="0.2">
      <c r="N219" s="3"/>
      <c r="Y219" s="3"/>
      <c r="AJ219" s="3"/>
      <c r="AU219" s="3"/>
      <c r="BF219" s="3"/>
      <c r="BQ219" s="3"/>
      <c r="CB219" s="3"/>
      <c r="CM219" s="3"/>
      <c r="CX219" s="3"/>
      <c r="DI219" s="3"/>
    </row>
    <row r="220" spans="14:113" x14ac:dyDescent="0.2">
      <c r="N220" s="3"/>
      <c r="Y220" s="3"/>
      <c r="AJ220" s="3"/>
      <c r="AU220" s="3"/>
      <c r="BF220" s="3"/>
      <c r="BQ220" s="3"/>
      <c r="CB220" s="3"/>
      <c r="CM220" s="3"/>
      <c r="CX220" s="3"/>
      <c r="DI220" s="3"/>
    </row>
    <row r="221" spans="14:113" x14ac:dyDescent="0.2">
      <c r="N221" s="3"/>
      <c r="Y221" s="3"/>
      <c r="AJ221" s="3"/>
      <c r="AU221" s="3"/>
      <c r="BF221" s="3"/>
      <c r="BQ221" s="3"/>
      <c r="CB221" s="3"/>
      <c r="CM221" s="3"/>
      <c r="CX221" s="3"/>
      <c r="DI221" s="3"/>
    </row>
    <row r="222" spans="14:113" x14ac:dyDescent="0.2">
      <c r="N222" s="3"/>
      <c r="Y222" s="3"/>
      <c r="AJ222" s="3"/>
      <c r="AU222" s="3"/>
      <c r="BF222" s="3"/>
      <c r="BQ222" s="3"/>
      <c r="CB222" s="3"/>
      <c r="CM222" s="3"/>
      <c r="CX222" s="3"/>
      <c r="DI222" s="3"/>
    </row>
    <row r="223" spans="14:113" x14ac:dyDescent="0.2">
      <c r="N223" s="3"/>
      <c r="Y223" s="3"/>
      <c r="AJ223" s="3"/>
      <c r="AU223" s="3"/>
      <c r="BF223" s="3"/>
      <c r="BQ223" s="3"/>
      <c r="CB223" s="3"/>
      <c r="CM223" s="3"/>
      <c r="CX223" s="3"/>
      <c r="DI223" s="3"/>
    </row>
    <row r="224" spans="14:113" x14ac:dyDescent="0.2">
      <c r="N224" s="3"/>
      <c r="Y224" s="3"/>
      <c r="AJ224" s="3"/>
      <c r="AU224" s="3"/>
      <c r="BF224" s="3"/>
      <c r="BQ224" s="3"/>
      <c r="CB224" s="3"/>
      <c r="CM224" s="3"/>
      <c r="CX224" s="3"/>
      <c r="DI224" s="3"/>
    </row>
    <row r="225" spans="14:113" x14ac:dyDescent="0.2">
      <c r="N225" s="3"/>
      <c r="Y225" s="3"/>
      <c r="AJ225" s="3"/>
      <c r="AU225" s="3"/>
      <c r="BF225" s="3"/>
      <c r="BQ225" s="3"/>
      <c r="CB225" s="3"/>
      <c r="CM225" s="3"/>
      <c r="CX225" s="3"/>
      <c r="DI225" s="3"/>
    </row>
    <row r="226" spans="14:113" x14ac:dyDescent="0.2">
      <c r="N226" s="3"/>
      <c r="Y226" s="3"/>
      <c r="AJ226" s="3"/>
      <c r="AU226" s="3"/>
      <c r="BF226" s="3"/>
      <c r="BQ226" s="3"/>
      <c r="CB226" s="3"/>
      <c r="CM226" s="3"/>
      <c r="CX226" s="3"/>
      <c r="DI226" s="3"/>
    </row>
    <row r="227" spans="14:113" x14ac:dyDescent="0.2">
      <c r="N227" s="3"/>
      <c r="Y227" s="3"/>
      <c r="AJ227" s="3"/>
      <c r="AU227" s="3"/>
      <c r="BF227" s="3"/>
      <c r="BQ227" s="3"/>
      <c r="CB227" s="3"/>
      <c r="CM227" s="3"/>
      <c r="CX227" s="3"/>
      <c r="DI227" s="3"/>
    </row>
  </sheetData>
  <mergeCells count="70">
    <mergeCell ref="W10:Y10"/>
    <mergeCell ref="D9:N9"/>
    <mergeCell ref="O9:Y9"/>
    <mergeCell ref="Z9:AJ9"/>
    <mergeCell ref="AK9:AU9"/>
    <mergeCell ref="D10:G10"/>
    <mergeCell ref="H10:K10"/>
    <mergeCell ref="L10:N10"/>
    <mergeCell ref="O10:R10"/>
    <mergeCell ref="S10:V10"/>
    <mergeCell ref="AS10:AU10"/>
    <mergeCell ref="BR9:CB9"/>
    <mergeCell ref="CC9:CM9"/>
    <mergeCell ref="CN9:CX9"/>
    <mergeCell ref="CY9:DI9"/>
    <mergeCell ref="AV9:BF9"/>
    <mergeCell ref="BG9:BQ9"/>
    <mergeCell ref="DC10:DF10"/>
    <mergeCell ref="DG10:DI10"/>
    <mergeCell ref="BR10:BU10"/>
    <mergeCell ref="BV10:BY10"/>
    <mergeCell ref="BZ10:CB10"/>
    <mergeCell ref="CC10:CF10"/>
    <mergeCell ref="CG10:CJ10"/>
    <mergeCell ref="CK10:CM10"/>
    <mergeCell ref="X11:Y11"/>
    <mergeCell ref="CN10:CQ10"/>
    <mergeCell ref="CR10:CU10"/>
    <mergeCell ref="CV10:CX10"/>
    <mergeCell ref="CY10:DB10"/>
    <mergeCell ref="AV10:AY10"/>
    <mergeCell ref="AZ10:BC10"/>
    <mergeCell ref="BD10:BF10"/>
    <mergeCell ref="BG10:BJ10"/>
    <mergeCell ref="BK10:BN10"/>
    <mergeCell ref="BO10:BQ10"/>
    <mergeCell ref="Z10:AC10"/>
    <mergeCell ref="AD10:AG10"/>
    <mergeCell ref="AH10:AJ10"/>
    <mergeCell ref="AK10:AN10"/>
    <mergeCell ref="AO10:AR10"/>
    <mergeCell ref="F11:G11"/>
    <mergeCell ref="J11:K11"/>
    <mergeCell ref="M11:N11"/>
    <mergeCell ref="Q11:R11"/>
    <mergeCell ref="U11:V11"/>
    <mergeCell ref="BP11:BQ11"/>
    <mergeCell ref="AB11:AC11"/>
    <mergeCell ref="AF11:AG11"/>
    <mergeCell ref="AI11:AJ11"/>
    <mergeCell ref="AM11:AN11"/>
    <mergeCell ref="AQ11:AR11"/>
    <mergeCell ref="AT11:AU11"/>
    <mergeCell ref="AX11:AY11"/>
    <mergeCell ref="BB11:BC11"/>
    <mergeCell ref="BE11:BF11"/>
    <mergeCell ref="BI11:BJ11"/>
    <mergeCell ref="BM11:BN11"/>
    <mergeCell ref="DH11:DI11"/>
    <mergeCell ref="BT11:BU11"/>
    <mergeCell ref="BX11:BY11"/>
    <mergeCell ref="CA11:CB11"/>
    <mergeCell ref="CE11:CF11"/>
    <mergeCell ref="CI11:CJ11"/>
    <mergeCell ref="CL11:CM11"/>
    <mergeCell ref="CP11:CQ11"/>
    <mergeCell ref="CT11:CU11"/>
    <mergeCell ref="CW11:CX11"/>
    <mergeCell ref="DA11:DB11"/>
    <mergeCell ref="DE11:DF11"/>
  </mergeCells>
  <conditionalFormatting sqref="G13:G14">
    <cfRule type="cellIs" dxfId="4099" priority="10799" operator="greaterThan">
      <formula>0</formula>
    </cfRule>
    <cfRule type="cellIs" dxfId="4098" priority="10800" operator="lessThanOrEqual">
      <formula>0</formula>
    </cfRule>
  </conditionalFormatting>
  <conditionalFormatting sqref="G16:G17">
    <cfRule type="cellIs" dxfId="4097" priority="10797" operator="greaterThan">
      <formula>0</formula>
    </cfRule>
    <cfRule type="cellIs" dxfId="4096" priority="10798" operator="lessThanOrEqual">
      <formula>0</formula>
    </cfRule>
  </conditionalFormatting>
  <conditionalFormatting sqref="G19:G20">
    <cfRule type="cellIs" dxfId="4095" priority="10795" operator="greaterThan">
      <formula>0</formula>
    </cfRule>
    <cfRule type="cellIs" dxfId="4094" priority="10796" operator="lessThanOrEqual">
      <formula>0</formula>
    </cfRule>
  </conditionalFormatting>
  <conditionalFormatting sqref="G29:G30">
    <cfRule type="cellIs" dxfId="4093" priority="10793" operator="greaterThan">
      <formula>0</formula>
    </cfRule>
    <cfRule type="cellIs" dxfId="4092" priority="10794" operator="lessThanOrEqual">
      <formula>0</formula>
    </cfRule>
  </conditionalFormatting>
  <conditionalFormatting sqref="G22:G23">
    <cfRule type="cellIs" dxfId="4091" priority="10791" operator="greaterThan">
      <formula>0</formula>
    </cfRule>
    <cfRule type="cellIs" dxfId="4090" priority="10792" operator="lessThanOrEqual">
      <formula>0</formula>
    </cfRule>
  </conditionalFormatting>
  <conditionalFormatting sqref="G32:G33">
    <cfRule type="cellIs" dxfId="4089" priority="10789" operator="greaterThan">
      <formula>0</formula>
    </cfRule>
    <cfRule type="cellIs" dxfId="4088" priority="10790" operator="lessThanOrEqual">
      <formula>0</formula>
    </cfRule>
  </conditionalFormatting>
  <conditionalFormatting sqref="G35:G36">
    <cfRule type="cellIs" dxfId="4087" priority="10787" operator="greaterThan">
      <formula>0</formula>
    </cfRule>
    <cfRule type="cellIs" dxfId="4086" priority="10788" operator="lessThanOrEqual">
      <formula>0</formula>
    </cfRule>
  </conditionalFormatting>
  <conditionalFormatting sqref="G38:G39">
    <cfRule type="cellIs" dxfId="4085" priority="10785" operator="greaterThan">
      <formula>0</formula>
    </cfRule>
    <cfRule type="cellIs" dxfId="4084" priority="10786" operator="lessThanOrEqual">
      <formula>0</formula>
    </cfRule>
  </conditionalFormatting>
  <conditionalFormatting sqref="G48:G49">
    <cfRule type="cellIs" dxfId="4083" priority="10783" operator="greaterThan">
      <formula>0</formula>
    </cfRule>
    <cfRule type="cellIs" dxfId="4082" priority="10784" operator="lessThanOrEqual">
      <formula>0</formula>
    </cfRule>
  </conditionalFormatting>
  <conditionalFormatting sqref="G63:G64">
    <cfRule type="cellIs" dxfId="4081" priority="10781" operator="greaterThan">
      <formula>0</formula>
    </cfRule>
    <cfRule type="cellIs" dxfId="4080" priority="10782" operator="lessThanOrEqual">
      <formula>0</formula>
    </cfRule>
  </conditionalFormatting>
  <conditionalFormatting sqref="G53:G54">
    <cfRule type="cellIs" dxfId="4079" priority="10779" operator="greaterThan">
      <formula>0</formula>
    </cfRule>
    <cfRule type="cellIs" dxfId="4078" priority="10780" operator="lessThanOrEqual">
      <formula>0</formula>
    </cfRule>
  </conditionalFormatting>
  <conditionalFormatting sqref="G15">
    <cfRule type="cellIs" dxfId="4077" priority="10777" operator="greaterThan">
      <formula>0</formula>
    </cfRule>
    <cfRule type="cellIs" dxfId="4076" priority="10778" operator="lessThanOrEqual">
      <formula>0</formula>
    </cfRule>
  </conditionalFormatting>
  <conditionalFormatting sqref="G18">
    <cfRule type="cellIs" dxfId="4075" priority="10775" operator="greaterThan">
      <formula>0</formula>
    </cfRule>
    <cfRule type="cellIs" dxfId="4074" priority="10776" operator="lessThanOrEqual">
      <formula>0</formula>
    </cfRule>
  </conditionalFormatting>
  <conditionalFormatting sqref="G21">
    <cfRule type="cellIs" dxfId="4073" priority="10773" operator="greaterThan">
      <formula>0</formula>
    </cfRule>
    <cfRule type="cellIs" dxfId="4072" priority="10774" operator="lessThanOrEqual">
      <formula>0</formula>
    </cfRule>
  </conditionalFormatting>
  <conditionalFormatting sqref="G31">
    <cfRule type="cellIs" dxfId="4071" priority="10771" operator="greaterThan">
      <formula>0</formula>
    </cfRule>
    <cfRule type="cellIs" dxfId="4070" priority="10772" operator="lessThanOrEqual">
      <formula>0</formula>
    </cfRule>
  </conditionalFormatting>
  <conditionalFormatting sqref="G24">
    <cfRule type="cellIs" dxfId="4069" priority="10769" operator="greaterThan">
      <formula>0</formula>
    </cfRule>
    <cfRule type="cellIs" dxfId="4068" priority="10770" operator="lessThanOrEqual">
      <formula>0</formula>
    </cfRule>
  </conditionalFormatting>
  <conditionalFormatting sqref="G34">
    <cfRule type="cellIs" dxfId="4067" priority="10767" operator="greaterThan">
      <formula>0</formula>
    </cfRule>
    <cfRule type="cellIs" dxfId="4066" priority="10768" operator="lessThanOrEqual">
      <formula>0</formula>
    </cfRule>
  </conditionalFormatting>
  <conditionalFormatting sqref="G37">
    <cfRule type="cellIs" dxfId="4065" priority="10765" operator="greaterThan">
      <formula>0</formula>
    </cfRule>
    <cfRule type="cellIs" dxfId="4064" priority="10766" operator="lessThanOrEqual">
      <formula>0</formula>
    </cfRule>
  </conditionalFormatting>
  <conditionalFormatting sqref="G40">
    <cfRule type="cellIs" dxfId="4063" priority="10763" operator="greaterThan">
      <formula>0</formula>
    </cfRule>
    <cfRule type="cellIs" dxfId="4062" priority="10764" operator="lessThanOrEqual">
      <formula>0</formula>
    </cfRule>
  </conditionalFormatting>
  <conditionalFormatting sqref="G26">
    <cfRule type="cellIs" dxfId="4061" priority="10761" operator="greaterThan">
      <formula>0</formula>
    </cfRule>
    <cfRule type="cellIs" dxfId="4060" priority="10762" operator="lessThanOrEqual">
      <formula>0</formula>
    </cfRule>
  </conditionalFormatting>
  <conditionalFormatting sqref="G66 G68 G71">
    <cfRule type="cellIs" dxfId="4059" priority="10759" operator="greaterThan">
      <formula>0</formula>
    </cfRule>
    <cfRule type="cellIs" dxfId="4058" priority="10760" operator="lessThanOrEqual">
      <formula>0</formula>
    </cfRule>
  </conditionalFormatting>
  <conditionalFormatting sqref="F13:F14 F16:F17 F19:F20 F22:F23 F29:F30 F32:F33 F35:F36 F38:F39 F48:F49 F53:F54">
    <cfRule type="cellIs" dxfId="4057" priority="10757" operator="lessThan">
      <formula>0</formula>
    </cfRule>
    <cfRule type="cellIs" dxfId="4056" priority="10758" operator="greaterThanOrEqual">
      <formula>0</formula>
    </cfRule>
  </conditionalFormatting>
  <conditionalFormatting sqref="F15 F18 F21 F24 F26 F31 F34 F37 F40">
    <cfRule type="cellIs" dxfId="4055" priority="10756" operator="greaterThanOrEqual">
      <formula>0</formula>
    </cfRule>
  </conditionalFormatting>
  <conditionalFormatting sqref="F15 F18 F21 F24 F26 F31 F34 F37 F40">
    <cfRule type="cellIs" dxfId="4054" priority="10755" operator="lessThan">
      <formula>0</formula>
    </cfRule>
  </conditionalFormatting>
  <conditionalFormatting sqref="G73">
    <cfRule type="cellIs" dxfId="4053" priority="10753" operator="greaterThan">
      <formula>0</formula>
    </cfRule>
    <cfRule type="cellIs" dxfId="4052" priority="10754" operator="lessThanOrEqual">
      <formula>0</formula>
    </cfRule>
  </conditionalFormatting>
  <conditionalFormatting sqref="G67">
    <cfRule type="cellIs" dxfId="4051" priority="10751" operator="greaterThan">
      <formula>0</formula>
    </cfRule>
    <cfRule type="cellIs" dxfId="4050" priority="10752" operator="lessThanOrEqual">
      <formula>0</formula>
    </cfRule>
  </conditionalFormatting>
  <conditionalFormatting sqref="F67">
    <cfRule type="cellIs" dxfId="4049" priority="10749" operator="greaterThanOrEqual">
      <formula>0</formula>
    </cfRule>
    <cfRule type="cellIs" dxfId="4048" priority="10750" operator="lessThan">
      <formula>0</formula>
    </cfRule>
  </conditionalFormatting>
  <conditionalFormatting sqref="M13:M14 M16:M17 M19:M20 M22:M23 M29:M30 M32:M33 M35:M36 M38:M39 M48:M49">
    <cfRule type="cellIs" dxfId="4047" priority="10747" operator="lessThan">
      <formula>0</formula>
    </cfRule>
    <cfRule type="cellIs" dxfId="4046" priority="10748" operator="greaterThanOrEqual">
      <formula>0</formula>
    </cfRule>
  </conditionalFormatting>
  <conditionalFormatting sqref="M15 M24 M18 M21 M31 M34 M37 M40">
    <cfRule type="cellIs" dxfId="4045" priority="10746" operator="greaterThanOrEqual">
      <formula>0</formula>
    </cfRule>
  </conditionalFormatting>
  <conditionalFormatting sqref="M15 M24 M18 M21 M31 M34 M37 M40">
    <cfRule type="cellIs" dxfId="4044" priority="10745" operator="lessThan">
      <formula>0</formula>
    </cfRule>
  </conditionalFormatting>
  <conditionalFormatting sqref="M71 M73">
    <cfRule type="cellIs" dxfId="4043" priority="10743" operator="lessThan">
      <formula>0</formula>
    </cfRule>
    <cfRule type="cellIs" dxfId="4042" priority="10744" operator="greaterThanOrEqual">
      <formula>0</formula>
    </cfRule>
  </conditionalFormatting>
  <conditionalFormatting sqref="M67">
    <cfRule type="cellIs" dxfId="4041" priority="10741" operator="greaterThanOrEqual">
      <formula>0</formula>
    </cfRule>
    <cfRule type="cellIs" dxfId="4040" priority="10742" operator="lessThan">
      <formula>0</formula>
    </cfRule>
  </conditionalFormatting>
  <conditionalFormatting sqref="N13:N14">
    <cfRule type="cellIs" dxfId="4039" priority="10739" operator="greaterThan">
      <formula>0</formula>
    </cfRule>
    <cfRule type="cellIs" dxfId="4038" priority="10740" operator="lessThanOrEqual">
      <formula>0</formula>
    </cfRule>
  </conditionalFormatting>
  <conditionalFormatting sqref="N68">
    <cfRule type="cellIs" dxfId="4037" priority="10737" operator="lessThan">
      <formula>0</formula>
    </cfRule>
    <cfRule type="cellIs" dxfId="4036" priority="10738" operator="greaterThanOrEqual">
      <formula>0</formula>
    </cfRule>
  </conditionalFormatting>
  <conditionalFormatting sqref="N15 N24 N18 N21 N31 N34 N37 N40">
    <cfRule type="cellIs" dxfId="4035" priority="10736" operator="greaterThanOrEqual">
      <formula>0</formula>
    </cfRule>
  </conditionalFormatting>
  <conditionalFormatting sqref="N15 N24 N18 N21 N31 N34 N37 N40">
    <cfRule type="cellIs" dxfId="4034" priority="10735" operator="lessThan">
      <formula>0</formula>
    </cfRule>
  </conditionalFormatting>
  <conditionalFormatting sqref="M68">
    <cfRule type="cellIs" dxfId="4033" priority="10733" operator="lessThan">
      <formula>0</formula>
    </cfRule>
    <cfRule type="cellIs" dxfId="4032" priority="10734" operator="greaterThanOrEqual">
      <formula>0</formula>
    </cfRule>
  </conditionalFormatting>
  <conditionalFormatting sqref="N71 N73">
    <cfRule type="cellIs" dxfId="4031" priority="10731" operator="lessThan">
      <formula>0</formula>
    </cfRule>
    <cfRule type="cellIs" dxfId="4030" priority="10732" operator="greaterThanOrEqual">
      <formula>0</formula>
    </cfRule>
  </conditionalFormatting>
  <conditionalFormatting sqref="N67">
    <cfRule type="cellIs" dxfId="4029" priority="10729" operator="lessThan">
      <formula>0</formula>
    </cfRule>
    <cfRule type="cellIs" dxfId="4028" priority="10730" operator="greaterThanOrEqual">
      <formula>0</formula>
    </cfRule>
  </conditionalFormatting>
  <conditionalFormatting sqref="F62">
    <cfRule type="cellIs" dxfId="4027" priority="10710" operator="greaterThanOrEqual">
      <formula>0</formula>
    </cfRule>
  </conditionalFormatting>
  <conditionalFormatting sqref="F62">
    <cfRule type="cellIs" dxfId="4026" priority="10709" operator="lessThan">
      <formula>0</formula>
    </cfRule>
  </conditionalFormatting>
  <conditionalFormatting sqref="G44">
    <cfRule type="cellIs" dxfId="4025" priority="10719" operator="greaterThan">
      <formula>0</formula>
    </cfRule>
    <cfRule type="cellIs" dxfId="4024" priority="10720" operator="lessThanOrEqual">
      <formula>0</formula>
    </cfRule>
  </conditionalFormatting>
  <conditionalFormatting sqref="G47">
    <cfRule type="cellIs" dxfId="4023" priority="10717" operator="greaterThan">
      <formula>0</formula>
    </cfRule>
    <cfRule type="cellIs" dxfId="4022" priority="10718" operator="lessThanOrEqual">
      <formula>0</formula>
    </cfRule>
  </conditionalFormatting>
  <conditionalFormatting sqref="G50">
    <cfRule type="cellIs" dxfId="4021" priority="10715" operator="greaterThan">
      <formula>0</formula>
    </cfRule>
    <cfRule type="cellIs" dxfId="4020" priority="10716" operator="lessThanOrEqual">
      <formula>0</formula>
    </cfRule>
  </conditionalFormatting>
  <conditionalFormatting sqref="G28">
    <cfRule type="cellIs" dxfId="4019" priority="10727" operator="greaterThan">
      <formula>0</formula>
    </cfRule>
    <cfRule type="cellIs" dxfId="4018" priority="10728" operator="lessThanOrEqual">
      <formula>0</formula>
    </cfRule>
  </conditionalFormatting>
  <conditionalFormatting sqref="G41">
    <cfRule type="cellIs" dxfId="4017" priority="10725" operator="greaterThan">
      <formula>0</formula>
    </cfRule>
    <cfRule type="cellIs" dxfId="4016" priority="10726" operator="lessThanOrEqual">
      <formula>0</formula>
    </cfRule>
  </conditionalFormatting>
  <conditionalFormatting sqref="G42:G43 G45:G46">
    <cfRule type="cellIs" dxfId="4015" priority="10723" operator="greaterThan">
      <formula>0</formula>
    </cfRule>
    <cfRule type="cellIs" dxfId="4014" priority="10724" operator="lessThanOrEqual">
      <formula>0</formula>
    </cfRule>
  </conditionalFormatting>
  <conditionalFormatting sqref="G57:G58 G60:G61">
    <cfRule type="cellIs" dxfId="4013" priority="10721" operator="greaterThan">
      <formula>0</formula>
    </cfRule>
    <cfRule type="cellIs" dxfId="4012" priority="10722" operator="lessThanOrEqual">
      <formula>0</formula>
    </cfRule>
  </conditionalFormatting>
  <conditionalFormatting sqref="G59">
    <cfRule type="cellIs" dxfId="4011" priority="10713" operator="greaterThan">
      <formula>0</formula>
    </cfRule>
    <cfRule type="cellIs" dxfId="4010" priority="10714" operator="lessThanOrEqual">
      <formula>0</formula>
    </cfRule>
  </conditionalFormatting>
  <conditionalFormatting sqref="G62">
    <cfRule type="cellIs" dxfId="4009" priority="10711" operator="greaterThan">
      <formula>0</formula>
    </cfRule>
    <cfRule type="cellIs" dxfId="4008" priority="10712" operator="lessThanOrEqual">
      <formula>0</formula>
    </cfRule>
  </conditionalFormatting>
  <conditionalFormatting sqref="G65">
    <cfRule type="cellIs" dxfId="4007" priority="10707" operator="greaterThan">
      <formula>0</formula>
    </cfRule>
    <cfRule type="cellIs" dxfId="4006" priority="10708" operator="lessThanOrEqual">
      <formula>0</formula>
    </cfRule>
  </conditionalFormatting>
  <conditionalFormatting sqref="K47">
    <cfRule type="cellIs" dxfId="4005" priority="10377" operator="greaterThan">
      <formula>0</formula>
    </cfRule>
    <cfRule type="cellIs" dxfId="4004" priority="10378" operator="lessThanOrEqual">
      <formula>0</formula>
    </cfRule>
  </conditionalFormatting>
  <conditionalFormatting sqref="K59">
    <cfRule type="cellIs" dxfId="4003" priority="10373" operator="greaterThan">
      <formula>0</formula>
    </cfRule>
    <cfRule type="cellIs" dxfId="4002" priority="10374" operator="lessThanOrEqual">
      <formula>0</formula>
    </cfRule>
  </conditionalFormatting>
  <conditionalFormatting sqref="J62">
    <cfRule type="cellIs" dxfId="4001" priority="10370" operator="greaterThanOrEqual">
      <formula>0</formula>
    </cfRule>
  </conditionalFormatting>
  <conditionalFormatting sqref="J62">
    <cfRule type="cellIs" dxfId="4000" priority="10369" operator="lessThan">
      <formula>0</formula>
    </cfRule>
  </conditionalFormatting>
  <conditionalFormatting sqref="G25">
    <cfRule type="cellIs" dxfId="3999" priority="10497" operator="greaterThan">
      <formula>0</formula>
    </cfRule>
    <cfRule type="cellIs" dxfId="3998" priority="10498" operator="lessThanOrEqual">
      <formula>0</formula>
    </cfRule>
  </conditionalFormatting>
  <conditionalFormatting sqref="N52">
    <cfRule type="cellIs" dxfId="3997" priority="10485" operator="lessThan">
      <formula>0</formula>
    </cfRule>
  </conditionalFormatting>
  <conditionalFormatting sqref="G56">
    <cfRule type="cellIs" dxfId="3996" priority="10495" operator="greaterThan">
      <formula>0</formula>
    </cfRule>
    <cfRule type="cellIs" dxfId="3995" priority="10496" operator="lessThanOrEqual">
      <formula>0</formula>
    </cfRule>
  </conditionalFormatting>
  <conditionalFormatting sqref="F56">
    <cfRule type="cellIs" dxfId="3994" priority="10494" operator="greaterThanOrEqual">
      <formula>0</formula>
    </cfRule>
  </conditionalFormatting>
  <conditionalFormatting sqref="F56">
    <cfRule type="cellIs" dxfId="3993" priority="10493" operator="lessThan">
      <formula>0</formula>
    </cfRule>
  </conditionalFormatting>
  <conditionalFormatting sqref="G52">
    <cfRule type="cellIs" dxfId="3992" priority="10491" operator="greaterThan">
      <formula>0</formula>
    </cfRule>
    <cfRule type="cellIs" dxfId="3991" priority="10492" operator="lessThanOrEqual">
      <formula>0</formula>
    </cfRule>
  </conditionalFormatting>
  <conditionalFormatting sqref="F52">
    <cfRule type="cellIs" dxfId="3990" priority="10490" operator="greaterThanOrEqual">
      <formula>0</formula>
    </cfRule>
  </conditionalFormatting>
  <conditionalFormatting sqref="F52">
    <cfRule type="cellIs" dxfId="3989" priority="10489" operator="lessThan">
      <formula>0</formula>
    </cfRule>
  </conditionalFormatting>
  <conditionalFormatting sqref="M52">
    <cfRule type="cellIs" dxfId="3988" priority="10488" operator="greaterThanOrEqual">
      <formula>0</formula>
    </cfRule>
  </conditionalFormatting>
  <conditionalFormatting sqref="M52">
    <cfRule type="cellIs" dxfId="3987" priority="10487" operator="lessThan">
      <formula>0</formula>
    </cfRule>
  </conditionalFormatting>
  <conditionalFormatting sqref="N52">
    <cfRule type="cellIs" dxfId="3986" priority="10486" operator="greaterThanOrEqual">
      <formula>0</formula>
    </cfRule>
  </conditionalFormatting>
  <conditionalFormatting sqref="G69">
    <cfRule type="cellIs" dxfId="3985" priority="10483" operator="greaterThan">
      <formula>0</formula>
    </cfRule>
    <cfRule type="cellIs" dxfId="3984" priority="10484" operator="lessThanOrEqual">
      <formula>0</formula>
    </cfRule>
  </conditionalFormatting>
  <conditionalFormatting sqref="M69">
    <cfRule type="cellIs" dxfId="3983" priority="10481" operator="lessThan">
      <formula>0</formula>
    </cfRule>
    <cfRule type="cellIs" dxfId="3982" priority="10482" operator="greaterThanOrEqual">
      <formula>0</formula>
    </cfRule>
  </conditionalFormatting>
  <conditionalFormatting sqref="N69">
    <cfRule type="cellIs" dxfId="3981" priority="10479" operator="lessThan">
      <formula>0</formula>
    </cfRule>
    <cfRule type="cellIs" dxfId="3980" priority="10480" operator="greaterThanOrEqual">
      <formula>0</formula>
    </cfRule>
  </conditionalFormatting>
  <conditionalFormatting sqref="G70">
    <cfRule type="cellIs" dxfId="3979" priority="10477" operator="greaterThan">
      <formula>0</formula>
    </cfRule>
    <cfRule type="cellIs" dxfId="3978" priority="10478" operator="lessThanOrEqual">
      <formula>0</formula>
    </cfRule>
  </conditionalFormatting>
  <conditionalFormatting sqref="M72">
    <cfRule type="cellIs" dxfId="3977" priority="10475" operator="lessThan">
      <formula>0</formula>
    </cfRule>
    <cfRule type="cellIs" dxfId="3976" priority="10476" operator="greaterThanOrEqual">
      <formula>0</formula>
    </cfRule>
  </conditionalFormatting>
  <conditionalFormatting sqref="G72">
    <cfRule type="cellIs" dxfId="3975" priority="10473" operator="greaterThan">
      <formula>0</formula>
    </cfRule>
    <cfRule type="cellIs" dxfId="3974" priority="10474" operator="lessThanOrEqual">
      <formula>0</formula>
    </cfRule>
  </conditionalFormatting>
  <conditionalFormatting sqref="F25">
    <cfRule type="cellIs" dxfId="3973" priority="10472" operator="greaterThanOrEqual">
      <formula>0</formula>
    </cfRule>
  </conditionalFormatting>
  <conditionalFormatting sqref="F25">
    <cfRule type="cellIs" dxfId="3972" priority="10471" operator="lessThan">
      <formula>0</formula>
    </cfRule>
  </conditionalFormatting>
  <conditionalFormatting sqref="F28">
    <cfRule type="cellIs" dxfId="3971" priority="10470" operator="greaterThanOrEqual">
      <formula>0</formula>
    </cfRule>
  </conditionalFormatting>
  <conditionalFormatting sqref="F28">
    <cfRule type="cellIs" dxfId="3970" priority="10469" operator="lessThan">
      <formula>0</formula>
    </cfRule>
  </conditionalFormatting>
  <conditionalFormatting sqref="F41">
    <cfRule type="cellIs" dxfId="3969" priority="10468" operator="greaterThanOrEqual">
      <formula>0</formula>
    </cfRule>
  </conditionalFormatting>
  <conditionalFormatting sqref="F41">
    <cfRule type="cellIs" dxfId="3968" priority="10467" operator="lessThan">
      <formula>0</formula>
    </cfRule>
  </conditionalFormatting>
  <conditionalFormatting sqref="F44">
    <cfRule type="cellIs" dxfId="3967" priority="10466" operator="greaterThanOrEqual">
      <formula>0</formula>
    </cfRule>
  </conditionalFormatting>
  <conditionalFormatting sqref="F44">
    <cfRule type="cellIs" dxfId="3966" priority="10465" operator="lessThan">
      <formula>0</formula>
    </cfRule>
  </conditionalFormatting>
  <conditionalFormatting sqref="F47">
    <cfRule type="cellIs" dxfId="3965" priority="10464" operator="greaterThanOrEqual">
      <formula>0</formula>
    </cfRule>
  </conditionalFormatting>
  <conditionalFormatting sqref="F47">
    <cfRule type="cellIs" dxfId="3964" priority="10463" operator="lessThan">
      <formula>0</formula>
    </cfRule>
  </conditionalFormatting>
  <conditionalFormatting sqref="F50">
    <cfRule type="cellIs" dxfId="3963" priority="10462" operator="greaterThanOrEqual">
      <formula>0</formula>
    </cfRule>
  </conditionalFormatting>
  <conditionalFormatting sqref="F50">
    <cfRule type="cellIs" dxfId="3962" priority="10461" operator="lessThan">
      <formula>0</formula>
    </cfRule>
  </conditionalFormatting>
  <conditionalFormatting sqref="F51">
    <cfRule type="cellIs" dxfId="3961" priority="10460" operator="greaterThanOrEqual">
      <formula>0</formula>
    </cfRule>
  </conditionalFormatting>
  <conditionalFormatting sqref="F51">
    <cfRule type="cellIs" dxfId="3960" priority="10459" operator="lessThan">
      <formula>0</formula>
    </cfRule>
  </conditionalFormatting>
  <conditionalFormatting sqref="F59">
    <cfRule type="cellIs" dxfId="3959" priority="10458" operator="greaterThanOrEqual">
      <formula>0</formula>
    </cfRule>
  </conditionalFormatting>
  <conditionalFormatting sqref="F59">
    <cfRule type="cellIs" dxfId="3958" priority="10457" operator="lessThan">
      <formula>0</formula>
    </cfRule>
  </conditionalFormatting>
  <conditionalFormatting sqref="F65">
    <cfRule type="cellIs" dxfId="3957" priority="10456" operator="greaterThanOrEqual">
      <formula>0</formula>
    </cfRule>
  </conditionalFormatting>
  <conditionalFormatting sqref="F65">
    <cfRule type="cellIs" dxfId="3956" priority="10455" operator="lessThan">
      <formula>0</formula>
    </cfRule>
  </conditionalFormatting>
  <conditionalFormatting sqref="F66">
    <cfRule type="cellIs" dxfId="3955" priority="10454" operator="greaterThanOrEqual">
      <formula>0</formula>
    </cfRule>
  </conditionalFormatting>
  <conditionalFormatting sqref="F66">
    <cfRule type="cellIs" dxfId="3954" priority="10453" operator="lessThan">
      <formula>0</formula>
    </cfRule>
  </conditionalFormatting>
  <conditionalFormatting sqref="F68:F70">
    <cfRule type="cellIs" dxfId="3953" priority="10451" operator="lessThan">
      <formula>0</formula>
    </cfRule>
    <cfRule type="cellIs" dxfId="3952" priority="10452" operator="greaterThanOrEqual">
      <formula>0</formula>
    </cfRule>
  </conditionalFormatting>
  <conditionalFormatting sqref="F71:F72">
    <cfRule type="cellIs" dxfId="3951" priority="10450" operator="greaterThanOrEqual">
      <formula>0</formula>
    </cfRule>
  </conditionalFormatting>
  <conditionalFormatting sqref="F71:F72">
    <cfRule type="cellIs" dxfId="3950" priority="10449" operator="lessThan">
      <formula>0</formula>
    </cfRule>
  </conditionalFormatting>
  <conditionalFormatting sqref="F73">
    <cfRule type="cellIs" dxfId="3949" priority="10448" operator="greaterThanOrEqual">
      <formula>0</formula>
    </cfRule>
  </conditionalFormatting>
  <conditionalFormatting sqref="F73">
    <cfRule type="cellIs" dxfId="3948" priority="10447" operator="lessThan">
      <formula>0</formula>
    </cfRule>
  </conditionalFormatting>
  <conditionalFormatting sqref="F42:F43">
    <cfRule type="cellIs" dxfId="3947" priority="10445" operator="lessThan">
      <formula>0</formula>
    </cfRule>
    <cfRule type="cellIs" dxfId="3946" priority="10446" operator="greaterThanOrEqual">
      <formula>0</formula>
    </cfRule>
  </conditionalFormatting>
  <conditionalFormatting sqref="F45:F46">
    <cfRule type="cellIs" dxfId="3945" priority="10443" operator="lessThan">
      <formula>0</formula>
    </cfRule>
    <cfRule type="cellIs" dxfId="3944" priority="10444" operator="greaterThanOrEqual">
      <formula>0</formula>
    </cfRule>
  </conditionalFormatting>
  <conditionalFormatting sqref="F57:F58">
    <cfRule type="cellIs" dxfId="3943" priority="10441" operator="lessThan">
      <formula>0</formula>
    </cfRule>
    <cfRule type="cellIs" dxfId="3942" priority="10442" operator="greaterThanOrEqual">
      <formula>0</formula>
    </cfRule>
  </conditionalFormatting>
  <conditionalFormatting sqref="F60:F61">
    <cfRule type="cellIs" dxfId="3941" priority="10439" operator="lessThan">
      <formula>0</formula>
    </cfRule>
    <cfRule type="cellIs" dxfId="3940" priority="10440" operator="greaterThanOrEqual">
      <formula>0</formula>
    </cfRule>
  </conditionalFormatting>
  <conditionalFormatting sqref="F63:F64">
    <cfRule type="cellIs" dxfId="3939" priority="10437" operator="lessThan">
      <formula>0</formula>
    </cfRule>
    <cfRule type="cellIs" dxfId="3938" priority="10438" operator="greaterThanOrEqual">
      <formula>0</formula>
    </cfRule>
  </conditionalFormatting>
  <conditionalFormatting sqref="K13:K14">
    <cfRule type="cellIs" dxfId="3937" priority="10435" operator="greaterThan">
      <formula>0</formula>
    </cfRule>
    <cfRule type="cellIs" dxfId="3936" priority="10436" operator="lessThanOrEqual">
      <formula>0</formula>
    </cfRule>
  </conditionalFormatting>
  <conditionalFormatting sqref="K16:K17">
    <cfRule type="cellIs" dxfId="3935" priority="10433" operator="greaterThan">
      <formula>0</formula>
    </cfRule>
    <cfRule type="cellIs" dxfId="3934" priority="10434" operator="lessThanOrEqual">
      <formula>0</formula>
    </cfRule>
  </conditionalFormatting>
  <conditionalFormatting sqref="K19:K20">
    <cfRule type="cellIs" dxfId="3933" priority="10431" operator="greaterThan">
      <formula>0</formula>
    </cfRule>
    <cfRule type="cellIs" dxfId="3932" priority="10432" operator="lessThanOrEqual">
      <formula>0</formula>
    </cfRule>
  </conditionalFormatting>
  <conditionalFormatting sqref="K29:K30">
    <cfRule type="cellIs" dxfId="3931" priority="10429" operator="greaterThan">
      <formula>0</formula>
    </cfRule>
    <cfRule type="cellIs" dxfId="3930" priority="10430" operator="lessThanOrEqual">
      <formula>0</formula>
    </cfRule>
  </conditionalFormatting>
  <conditionalFormatting sqref="K22:K23">
    <cfRule type="cellIs" dxfId="3929" priority="10427" operator="greaterThan">
      <formula>0</formula>
    </cfRule>
    <cfRule type="cellIs" dxfId="3928" priority="10428" operator="lessThanOrEqual">
      <formula>0</formula>
    </cfRule>
  </conditionalFormatting>
  <conditionalFormatting sqref="K32:K33">
    <cfRule type="cellIs" dxfId="3927" priority="10425" operator="greaterThan">
      <formula>0</formula>
    </cfRule>
    <cfRule type="cellIs" dxfId="3926" priority="10426" operator="lessThanOrEqual">
      <formula>0</formula>
    </cfRule>
  </conditionalFormatting>
  <conditionalFormatting sqref="K35:K36">
    <cfRule type="cellIs" dxfId="3925" priority="10423" operator="greaterThan">
      <formula>0</formula>
    </cfRule>
    <cfRule type="cellIs" dxfId="3924" priority="10424" operator="lessThanOrEqual">
      <formula>0</formula>
    </cfRule>
  </conditionalFormatting>
  <conditionalFormatting sqref="K38:K39">
    <cfRule type="cellIs" dxfId="3923" priority="10421" operator="greaterThan">
      <formula>0</formula>
    </cfRule>
    <cfRule type="cellIs" dxfId="3922" priority="10422" operator="lessThanOrEqual">
      <formula>0</formula>
    </cfRule>
  </conditionalFormatting>
  <conditionalFormatting sqref="K48:K49">
    <cfRule type="cellIs" dxfId="3921" priority="10419" operator="greaterThan">
      <formula>0</formula>
    </cfRule>
    <cfRule type="cellIs" dxfId="3920" priority="10420" operator="lessThanOrEqual">
      <formula>0</formula>
    </cfRule>
  </conditionalFormatting>
  <conditionalFormatting sqref="K63:K64">
    <cfRule type="cellIs" dxfId="3919" priority="10417" operator="greaterThan">
      <formula>0</formula>
    </cfRule>
    <cfRule type="cellIs" dxfId="3918" priority="10418" operator="lessThanOrEqual">
      <formula>0</formula>
    </cfRule>
  </conditionalFormatting>
  <conditionalFormatting sqref="K53:K54">
    <cfRule type="cellIs" dxfId="3917" priority="10415" operator="greaterThan">
      <formula>0</formula>
    </cfRule>
    <cfRule type="cellIs" dxfId="3916" priority="10416" operator="lessThanOrEqual">
      <formula>0</formula>
    </cfRule>
  </conditionalFormatting>
  <conditionalFormatting sqref="K15">
    <cfRule type="cellIs" dxfId="3915" priority="10413" operator="greaterThan">
      <formula>0</formula>
    </cfRule>
    <cfRule type="cellIs" dxfId="3914" priority="10414" operator="lessThanOrEqual">
      <formula>0</formula>
    </cfRule>
  </conditionalFormatting>
  <conditionalFormatting sqref="K18">
    <cfRule type="cellIs" dxfId="3913" priority="10411" operator="greaterThan">
      <formula>0</formula>
    </cfRule>
    <cfRule type="cellIs" dxfId="3912" priority="10412" operator="lessThanOrEqual">
      <formula>0</formula>
    </cfRule>
  </conditionalFormatting>
  <conditionalFormatting sqref="K21">
    <cfRule type="cellIs" dxfId="3911" priority="10409" operator="greaterThan">
      <formula>0</formula>
    </cfRule>
    <cfRule type="cellIs" dxfId="3910" priority="10410" operator="lessThanOrEqual">
      <formula>0</formula>
    </cfRule>
  </conditionalFormatting>
  <conditionalFormatting sqref="K31">
    <cfRule type="cellIs" dxfId="3909" priority="10407" operator="greaterThan">
      <formula>0</formula>
    </cfRule>
    <cfRule type="cellIs" dxfId="3908" priority="10408" operator="lessThanOrEqual">
      <formula>0</formula>
    </cfRule>
  </conditionalFormatting>
  <conditionalFormatting sqref="K24">
    <cfRule type="cellIs" dxfId="3907" priority="10405" operator="greaterThan">
      <formula>0</formula>
    </cfRule>
    <cfRule type="cellIs" dxfId="3906" priority="10406" operator="lessThanOrEqual">
      <formula>0</formula>
    </cfRule>
  </conditionalFormatting>
  <conditionalFormatting sqref="K34">
    <cfRule type="cellIs" dxfId="3905" priority="10403" operator="greaterThan">
      <formula>0</formula>
    </cfRule>
    <cfRule type="cellIs" dxfId="3904" priority="10404" operator="lessThanOrEqual">
      <formula>0</formula>
    </cfRule>
  </conditionalFormatting>
  <conditionalFormatting sqref="K37">
    <cfRule type="cellIs" dxfId="3903" priority="10401" operator="greaterThan">
      <formula>0</formula>
    </cfRule>
    <cfRule type="cellIs" dxfId="3902" priority="10402" operator="lessThanOrEqual">
      <formula>0</formula>
    </cfRule>
  </conditionalFormatting>
  <conditionalFormatting sqref="K40">
    <cfRule type="cellIs" dxfId="3901" priority="10399" operator="greaterThan">
      <formula>0</formula>
    </cfRule>
    <cfRule type="cellIs" dxfId="3900" priority="10400" operator="lessThanOrEqual">
      <formula>0</formula>
    </cfRule>
  </conditionalFormatting>
  <conditionalFormatting sqref="K26">
    <cfRule type="cellIs" dxfId="3899" priority="10397" operator="greaterThan">
      <formula>0</formula>
    </cfRule>
    <cfRule type="cellIs" dxfId="3898" priority="10398" operator="lessThanOrEqual">
      <formula>0</formula>
    </cfRule>
  </conditionalFormatting>
  <conditionalFormatting sqref="K66">
    <cfRule type="cellIs" dxfId="3897" priority="10395" operator="greaterThan">
      <formula>0</formula>
    </cfRule>
    <cfRule type="cellIs" dxfId="3896" priority="10396" operator="lessThanOrEqual">
      <formula>0</formula>
    </cfRule>
  </conditionalFormatting>
  <conditionalFormatting sqref="J13:J14 J16:J17 J19:J20 J22:J23 J29:J30 J32:J33 J35:J36 J38:J39 J48:J49 J53:J54">
    <cfRule type="cellIs" dxfId="3895" priority="10393" operator="lessThan">
      <formula>0</formula>
    </cfRule>
    <cfRule type="cellIs" dxfId="3894" priority="10394" operator="greaterThanOrEqual">
      <formula>0</formula>
    </cfRule>
  </conditionalFormatting>
  <conditionalFormatting sqref="J15 J18 J21 J24 J26 J31 J34 J37 J40">
    <cfRule type="cellIs" dxfId="3893" priority="10392" operator="greaterThanOrEqual">
      <formula>0</formula>
    </cfRule>
  </conditionalFormatting>
  <conditionalFormatting sqref="J15 J18 J21 J24 J26 J31 J34 J37 J40">
    <cfRule type="cellIs" dxfId="3892" priority="10391" operator="lessThan">
      <formula>0</formula>
    </cfRule>
  </conditionalFormatting>
  <conditionalFormatting sqref="K51">
    <cfRule type="cellIs" dxfId="3891" priority="10385" operator="greaterThan">
      <formula>0</formula>
    </cfRule>
    <cfRule type="cellIs" dxfId="3890" priority="10386" operator="lessThanOrEqual">
      <formula>0</formula>
    </cfRule>
  </conditionalFormatting>
  <conditionalFormatting sqref="K44">
    <cfRule type="cellIs" dxfId="3889" priority="10379" operator="greaterThan">
      <formula>0</formula>
    </cfRule>
    <cfRule type="cellIs" dxfId="3888" priority="10380" operator="lessThanOrEqual">
      <formula>0</formula>
    </cfRule>
  </conditionalFormatting>
  <conditionalFormatting sqref="K50">
    <cfRule type="cellIs" dxfId="3887" priority="10375" operator="greaterThan">
      <formula>0</formula>
    </cfRule>
    <cfRule type="cellIs" dxfId="3886" priority="10376" operator="lessThanOrEqual">
      <formula>0</formula>
    </cfRule>
  </conditionalFormatting>
  <conditionalFormatting sqref="K28">
    <cfRule type="cellIs" dxfId="3885" priority="10389" operator="greaterThan">
      <formula>0</formula>
    </cfRule>
    <cfRule type="cellIs" dxfId="3884" priority="10390" operator="lessThanOrEqual">
      <formula>0</formula>
    </cfRule>
  </conditionalFormatting>
  <conditionalFormatting sqref="K41">
    <cfRule type="cellIs" dxfId="3883" priority="10387" operator="greaterThan">
      <formula>0</formula>
    </cfRule>
    <cfRule type="cellIs" dxfId="3882" priority="10388" operator="lessThanOrEqual">
      <formula>0</formula>
    </cfRule>
  </conditionalFormatting>
  <conditionalFormatting sqref="K42:K43 K45:K46">
    <cfRule type="cellIs" dxfId="3881" priority="10383" operator="greaterThan">
      <formula>0</formula>
    </cfRule>
    <cfRule type="cellIs" dxfId="3880" priority="10384" operator="lessThanOrEqual">
      <formula>0</formula>
    </cfRule>
  </conditionalFormatting>
  <conditionalFormatting sqref="K57:K58 K60:K61">
    <cfRule type="cellIs" dxfId="3879" priority="10381" operator="greaterThan">
      <formula>0</formula>
    </cfRule>
    <cfRule type="cellIs" dxfId="3878" priority="10382" operator="lessThanOrEqual">
      <formula>0</formula>
    </cfRule>
  </conditionalFormatting>
  <conditionalFormatting sqref="K62">
    <cfRule type="cellIs" dxfId="3877" priority="10371" operator="greaterThan">
      <formula>0</formula>
    </cfRule>
    <cfRule type="cellIs" dxfId="3876" priority="10372" operator="lessThanOrEqual">
      <formula>0</formula>
    </cfRule>
  </conditionalFormatting>
  <conditionalFormatting sqref="K65">
    <cfRule type="cellIs" dxfId="3875" priority="10367" operator="greaterThan">
      <formula>0</formula>
    </cfRule>
    <cfRule type="cellIs" dxfId="3874" priority="10368" operator="lessThanOrEqual">
      <formula>0</formula>
    </cfRule>
  </conditionalFormatting>
  <conditionalFormatting sqref="K25">
    <cfRule type="cellIs" dxfId="3873" priority="10365" operator="greaterThan">
      <formula>0</formula>
    </cfRule>
    <cfRule type="cellIs" dxfId="3872" priority="10366" operator="lessThanOrEqual">
      <formula>0</formula>
    </cfRule>
  </conditionalFormatting>
  <conditionalFormatting sqref="K56">
    <cfRule type="cellIs" dxfId="3871" priority="10363" operator="greaterThan">
      <formula>0</formula>
    </cfRule>
    <cfRule type="cellIs" dxfId="3870" priority="10364" operator="lessThanOrEqual">
      <formula>0</formula>
    </cfRule>
  </conditionalFormatting>
  <conditionalFormatting sqref="J56">
    <cfRule type="cellIs" dxfId="3869" priority="10362" operator="greaterThanOrEqual">
      <formula>0</formula>
    </cfRule>
  </conditionalFormatting>
  <conditionalFormatting sqref="J56">
    <cfRule type="cellIs" dxfId="3868" priority="10361" operator="lessThan">
      <formula>0</formula>
    </cfRule>
  </conditionalFormatting>
  <conditionalFormatting sqref="K52">
    <cfRule type="cellIs" dxfId="3867" priority="10359" operator="greaterThan">
      <formula>0</formula>
    </cfRule>
    <cfRule type="cellIs" dxfId="3866" priority="10360" operator="lessThanOrEqual">
      <formula>0</formula>
    </cfRule>
  </conditionalFormatting>
  <conditionalFormatting sqref="J52">
    <cfRule type="cellIs" dxfId="3865" priority="10358" operator="greaterThanOrEqual">
      <formula>0</formula>
    </cfRule>
  </conditionalFormatting>
  <conditionalFormatting sqref="J52">
    <cfRule type="cellIs" dxfId="3864" priority="10357" operator="lessThan">
      <formula>0</formula>
    </cfRule>
  </conditionalFormatting>
  <conditionalFormatting sqref="J25">
    <cfRule type="cellIs" dxfId="3863" priority="10356" operator="greaterThanOrEqual">
      <formula>0</formula>
    </cfRule>
  </conditionalFormatting>
  <conditionalFormatting sqref="J25">
    <cfRule type="cellIs" dxfId="3862" priority="10355" operator="lessThan">
      <formula>0</formula>
    </cfRule>
  </conditionalFormatting>
  <conditionalFormatting sqref="J28">
    <cfRule type="cellIs" dxfId="3861" priority="10354" operator="greaterThanOrEqual">
      <formula>0</formula>
    </cfRule>
  </conditionalFormatting>
  <conditionalFormatting sqref="J28">
    <cfRule type="cellIs" dxfId="3860" priority="10353" operator="lessThan">
      <formula>0</formula>
    </cfRule>
  </conditionalFormatting>
  <conditionalFormatting sqref="J41">
    <cfRule type="cellIs" dxfId="3859" priority="10352" operator="greaterThanOrEqual">
      <formula>0</formula>
    </cfRule>
  </conditionalFormatting>
  <conditionalFormatting sqref="J41">
    <cfRule type="cellIs" dxfId="3858" priority="10351" operator="lessThan">
      <formula>0</formula>
    </cfRule>
  </conditionalFormatting>
  <conditionalFormatting sqref="J44">
    <cfRule type="cellIs" dxfId="3857" priority="10350" operator="greaterThanOrEqual">
      <formula>0</formula>
    </cfRule>
  </conditionalFormatting>
  <conditionalFormatting sqref="J44">
    <cfRule type="cellIs" dxfId="3856" priority="10349" operator="lessThan">
      <formula>0</formula>
    </cfRule>
  </conditionalFormatting>
  <conditionalFormatting sqref="J47">
    <cfRule type="cellIs" dxfId="3855" priority="10348" operator="greaterThanOrEqual">
      <formula>0</formula>
    </cfRule>
  </conditionalFormatting>
  <conditionalFormatting sqref="J47">
    <cfRule type="cellIs" dxfId="3854" priority="10347" operator="lessThan">
      <formula>0</formula>
    </cfRule>
  </conditionalFormatting>
  <conditionalFormatting sqref="J50">
    <cfRule type="cellIs" dxfId="3853" priority="10346" operator="greaterThanOrEqual">
      <formula>0</formula>
    </cfRule>
  </conditionalFormatting>
  <conditionalFormatting sqref="J50">
    <cfRule type="cellIs" dxfId="3852" priority="10345" operator="lessThan">
      <formula>0</formula>
    </cfRule>
  </conditionalFormatting>
  <conditionalFormatting sqref="J51">
    <cfRule type="cellIs" dxfId="3851" priority="10344" operator="greaterThanOrEqual">
      <formula>0</formula>
    </cfRule>
  </conditionalFormatting>
  <conditionalFormatting sqref="J51">
    <cfRule type="cellIs" dxfId="3850" priority="10343" operator="lessThan">
      <formula>0</formula>
    </cfRule>
  </conditionalFormatting>
  <conditionalFormatting sqref="J59">
    <cfRule type="cellIs" dxfId="3849" priority="10342" operator="greaterThanOrEqual">
      <formula>0</formula>
    </cfRule>
  </conditionalFormatting>
  <conditionalFormatting sqref="J59">
    <cfRule type="cellIs" dxfId="3848" priority="10341" operator="lessThan">
      <formula>0</formula>
    </cfRule>
  </conditionalFormatting>
  <conditionalFormatting sqref="J65">
    <cfRule type="cellIs" dxfId="3847" priority="10340" operator="greaterThanOrEqual">
      <formula>0</formula>
    </cfRule>
  </conditionalFormatting>
  <conditionalFormatting sqref="J65">
    <cfRule type="cellIs" dxfId="3846" priority="10339" operator="lessThan">
      <formula>0</formula>
    </cfRule>
  </conditionalFormatting>
  <conditionalFormatting sqref="J66">
    <cfRule type="cellIs" dxfId="3845" priority="10338" operator="greaterThanOrEqual">
      <formula>0</formula>
    </cfRule>
  </conditionalFormatting>
  <conditionalFormatting sqref="J66">
    <cfRule type="cellIs" dxfId="3844" priority="10337" operator="lessThan">
      <formula>0</formula>
    </cfRule>
  </conditionalFormatting>
  <conditionalFormatting sqref="J42:J43">
    <cfRule type="cellIs" dxfId="3843" priority="10335" operator="lessThan">
      <formula>0</formula>
    </cfRule>
    <cfRule type="cellIs" dxfId="3842" priority="10336" operator="greaterThanOrEqual">
      <formula>0</formula>
    </cfRule>
  </conditionalFormatting>
  <conditionalFormatting sqref="J45:J46">
    <cfRule type="cellIs" dxfId="3841" priority="10333" operator="lessThan">
      <formula>0</formula>
    </cfRule>
    <cfRule type="cellIs" dxfId="3840" priority="10334" operator="greaterThanOrEqual">
      <formula>0</formula>
    </cfRule>
  </conditionalFormatting>
  <conditionalFormatting sqref="J57:J58">
    <cfRule type="cellIs" dxfId="3839" priority="10331" operator="lessThan">
      <formula>0</formula>
    </cfRule>
    <cfRule type="cellIs" dxfId="3838" priority="10332" operator="greaterThanOrEqual">
      <formula>0</formula>
    </cfRule>
  </conditionalFormatting>
  <conditionalFormatting sqref="J60:J61">
    <cfRule type="cellIs" dxfId="3837" priority="10329" operator="lessThan">
      <formula>0</formula>
    </cfRule>
    <cfRule type="cellIs" dxfId="3836" priority="10330" operator="greaterThanOrEqual">
      <formula>0</formula>
    </cfRule>
  </conditionalFormatting>
  <conditionalFormatting sqref="J63:J64">
    <cfRule type="cellIs" dxfId="3835" priority="10327" operator="lessThan">
      <formula>0</formula>
    </cfRule>
    <cfRule type="cellIs" dxfId="3834" priority="10328" operator="greaterThanOrEqual">
      <formula>0</formula>
    </cfRule>
  </conditionalFormatting>
  <conditionalFormatting sqref="K68 K71">
    <cfRule type="cellIs" dxfId="3833" priority="10325" operator="greaterThan">
      <formula>0</formula>
    </cfRule>
    <cfRule type="cellIs" dxfId="3832" priority="10326" operator="lessThanOrEqual">
      <formula>0</formula>
    </cfRule>
  </conditionalFormatting>
  <conditionalFormatting sqref="K73">
    <cfRule type="cellIs" dxfId="3831" priority="10323" operator="greaterThan">
      <formula>0</formula>
    </cfRule>
    <cfRule type="cellIs" dxfId="3830" priority="10324" operator="lessThanOrEqual">
      <formula>0</formula>
    </cfRule>
  </conditionalFormatting>
  <conditionalFormatting sqref="K69">
    <cfRule type="cellIs" dxfId="3829" priority="10321" operator="greaterThan">
      <formula>0</formula>
    </cfRule>
    <cfRule type="cellIs" dxfId="3828" priority="10322" operator="lessThanOrEqual">
      <formula>0</formula>
    </cfRule>
  </conditionalFormatting>
  <conditionalFormatting sqref="K70">
    <cfRule type="cellIs" dxfId="3827" priority="10319" operator="greaterThan">
      <formula>0</formula>
    </cfRule>
    <cfRule type="cellIs" dxfId="3826" priority="10320" operator="lessThanOrEqual">
      <formula>0</formula>
    </cfRule>
  </conditionalFormatting>
  <conditionalFormatting sqref="K72">
    <cfRule type="cellIs" dxfId="3825" priority="10317" operator="greaterThan">
      <formula>0</formula>
    </cfRule>
    <cfRule type="cellIs" dxfId="3824" priority="10318" operator="lessThanOrEqual">
      <formula>0</formula>
    </cfRule>
  </conditionalFormatting>
  <conditionalFormatting sqref="J68:J70">
    <cfRule type="cellIs" dxfId="3823" priority="10315" operator="lessThan">
      <formula>0</formula>
    </cfRule>
    <cfRule type="cellIs" dxfId="3822" priority="10316" operator="greaterThanOrEqual">
      <formula>0</formula>
    </cfRule>
  </conditionalFormatting>
  <conditionalFormatting sqref="J71:J72">
    <cfRule type="cellIs" dxfId="3821" priority="10314" operator="greaterThanOrEqual">
      <formula>0</formula>
    </cfRule>
  </conditionalFormatting>
  <conditionalFormatting sqref="J71:J72">
    <cfRule type="cellIs" dxfId="3820" priority="10313" operator="lessThan">
      <formula>0</formula>
    </cfRule>
  </conditionalFormatting>
  <conditionalFormatting sqref="J73">
    <cfRule type="cellIs" dxfId="3819" priority="10312" operator="greaterThanOrEqual">
      <formula>0</formula>
    </cfRule>
  </conditionalFormatting>
  <conditionalFormatting sqref="J73">
    <cfRule type="cellIs" dxfId="3818" priority="10311" operator="lessThan">
      <formula>0</formula>
    </cfRule>
  </conditionalFormatting>
  <conditionalFormatting sqref="K67">
    <cfRule type="cellIs" dxfId="3817" priority="10309" operator="greaterThan">
      <formula>0</formula>
    </cfRule>
    <cfRule type="cellIs" dxfId="3816" priority="10310" operator="lessThanOrEqual">
      <formula>0</formula>
    </cfRule>
  </conditionalFormatting>
  <conditionalFormatting sqref="J67">
    <cfRule type="cellIs" dxfId="3815" priority="10307" operator="greaterThanOrEqual">
      <formula>0</formula>
    </cfRule>
    <cfRule type="cellIs" dxfId="3814" priority="10308" operator="lessThan">
      <formula>0</formula>
    </cfRule>
  </conditionalFormatting>
  <conditionalFormatting sqref="G51">
    <cfRule type="cellIs" dxfId="3813" priority="10305" operator="greaterThan">
      <formula>0</formula>
    </cfRule>
    <cfRule type="cellIs" dxfId="3812" priority="10306" operator="lessThanOrEqual">
      <formula>0</formula>
    </cfRule>
  </conditionalFormatting>
  <conditionalFormatting sqref="M42:M43">
    <cfRule type="cellIs" dxfId="3811" priority="10303" operator="lessThan">
      <formula>0</formula>
    </cfRule>
    <cfRule type="cellIs" dxfId="3810" priority="10304" operator="greaterThanOrEqual">
      <formula>0</formula>
    </cfRule>
  </conditionalFormatting>
  <conditionalFormatting sqref="M45:M46">
    <cfRule type="cellIs" dxfId="3809" priority="10301" operator="lessThan">
      <formula>0</formula>
    </cfRule>
    <cfRule type="cellIs" dxfId="3808" priority="10302" operator="greaterThanOrEqual">
      <formula>0</formula>
    </cfRule>
  </conditionalFormatting>
  <conditionalFormatting sqref="M53:M54">
    <cfRule type="cellIs" dxfId="3807" priority="10299" operator="lessThan">
      <formula>0</formula>
    </cfRule>
    <cfRule type="cellIs" dxfId="3806" priority="10300" operator="greaterThanOrEqual">
      <formula>0</formula>
    </cfRule>
  </conditionalFormatting>
  <conditionalFormatting sqref="M57:M58">
    <cfRule type="cellIs" dxfId="3805" priority="10297" operator="lessThan">
      <formula>0</formula>
    </cfRule>
    <cfRule type="cellIs" dxfId="3804" priority="10298" operator="greaterThanOrEqual">
      <formula>0</formula>
    </cfRule>
  </conditionalFormatting>
  <conditionalFormatting sqref="M60:M61">
    <cfRule type="cellIs" dxfId="3803" priority="10295" operator="lessThan">
      <formula>0</formula>
    </cfRule>
    <cfRule type="cellIs" dxfId="3802" priority="10296" operator="greaterThanOrEqual">
      <formula>0</formula>
    </cfRule>
  </conditionalFormatting>
  <conditionalFormatting sqref="M63:M64">
    <cfRule type="cellIs" dxfId="3801" priority="10293" operator="lessThan">
      <formula>0</formula>
    </cfRule>
    <cfRule type="cellIs" dxfId="3800" priority="10294" operator="greaterThanOrEqual">
      <formula>0</formula>
    </cfRule>
  </conditionalFormatting>
  <conditionalFormatting sqref="M25">
    <cfRule type="cellIs" dxfId="3799" priority="10292" operator="greaterThanOrEqual">
      <formula>0</formula>
    </cfRule>
  </conditionalFormatting>
  <conditionalFormatting sqref="M25">
    <cfRule type="cellIs" dxfId="3798" priority="10291" operator="lessThan">
      <formula>0</formula>
    </cfRule>
  </conditionalFormatting>
  <conditionalFormatting sqref="M26">
    <cfRule type="cellIs" dxfId="3797" priority="10290" operator="greaterThanOrEqual">
      <formula>0</formula>
    </cfRule>
  </conditionalFormatting>
  <conditionalFormatting sqref="M26">
    <cfRule type="cellIs" dxfId="3796" priority="10289" operator="lessThan">
      <formula>0</formula>
    </cfRule>
  </conditionalFormatting>
  <conditionalFormatting sqref="M28">
    <cfRule type="cellIs" dxfId="3795" priority="10288" operator="greaterThanOrEqual">
      <formula>0</formula>
    </cfRule>
  </conditionalFormatting>
  <conditionalFormatting sqref="M28">
    <cfRule type="cellIs" dxfId="3794" priority="10287" operator="lessThan">
      <formula>0</formula>
    </cfRule>
  </conditionalFormatting>
  <conditionalFormatting sqref="M41">
    <cfRule type="cellIs" dxfId="3793" priority="10286" operator="greaterThanOrEqual">
      <formula>0</formula>
    </cfRule>
  </conditionalFormatting>
  <conditionalFormatting sqref="M41">
    <cfRule type="cellIs" dxfId="3792" priority="10285" operator="lessThan">
      <formula>0</formula>
    </cfRule>
  </conditionalFormatting>
  <conditionalFormatting sqref="M44">
    <cfRule type="cellIs" dxfId="3791" priority="10284" operator="greaterThanOrEqual">
      <formula>0</formula>
    </cfRule>
  </conditionalFormatting>
  <conditionalFormatting sqref="M44">
    <cfRule type="cellIs" dxfId="3790" priority="10283" operator="lessThan">
      <formula>0</formula>
    </cfRule>
  </conditionalFormatting>
  <conditionalFormatting sqref="M47">
    <cfRule type="cellIs" dxfId="3789" priority="10282" operator="greaterThanOrEqual">
      <formula>0</formula>
    </cfRule>
  </conditionalFormatting>
  <conditionalFormatting sqref="M47">
    <cfRule type="cellIs" dxfId="3788" priority="10281" operator="lessThan">
      <formula>0</formula>
    </cfRule>
  </conditionalFormatting>
  <conditionalFormatting sqref="M50">
    <cfRule type="cellIs" dxfId="3787" priority="10280" operator="greaterThanOrEqual">
      <formula>0</formula>
    </cfRule>
  </conditionalFormatting>
  <conditionalFormatting sqref="M50">
    <cfRule type="cellIs" dxfId="3786" priority="10279" operator="lessThan">
      <formula>0</formula>
    </cfRule>
  </conditionalFormatting>
  <conditionalFormatting sqref="M51">
    <cfRule type="cellIs" dxfId="3785" priority="10278" operator="greaterThanOrEqual">
      <formula>0</formula>
    </cfRule>
  </conditionalFormatting>
  <conditionalFormatting sqref="M51">
    <cfRule type="cellIs" dxfId="3784" priority="10277" operator="lessThan">
      <formula>0</formula>
    </cfRule>
  </conditionalFormatting>
  <conditionalFormatting sqref="M59">
    <cfRule type="cellIs" dxfId="3783" priority="10276" operator="greaterThanOrEqual">
      <formula>0</formula>
    </cfRule>
  </conditionalFormatting>
  <conditionalFormatting sqref="M59">
    <cfRule type="cellIs" dxfId="3782" priority="10275" operator="lessThan">
      <formula>0</formula>
    </cfRule>
  </conditionalFormatting>
  <conditionalFormatting sqref="M62">
    <cfRule type="cellIs" dxfId="3781" priority="10274" operator="greaterThanOrEqual">
      <formula>0</formula>
    </cfRule>
  </conditionalFormatting>
  <conditionalFormatting sqref="M62">
    <cfRule type="cellIs" dxfId="3780" priority="10273" operator="lessThan">
      <formula>0</formula>
    </cfRule>
  </conditionalFormatting>
  <conditionalFormatting sqref="M65">
    <cfRule type="cellIs" dxfId="3779" priority="10272" operator="greaterThanOrEqual">
      <formula>0</formula>
    </cfRule>
  </conditionalFormatting>
  <conditionalFormatting sqref="M65">
    <cfRule type="cellIs" dxfId="3778" priority="10271" operator="lessThan">
      <formula>0</formula>
    </cfRule>
  </conditionalFormatting>
  <conditionalFormatting sqref="M56">
    <cfRule type="cellIs" dxfId="3777" priority="10270" operator="greaterThanOrEqual">
      <formula>0</formula>
    </cfRule>
  </conditionalFormatting>
  <conditionalFormatting sqref="M56">
    <cfRule type="cellIs" dxfId="3776" priority="10269" operator="lessThan">
      <formula>0</formula>
    </cfRule>
  </conditionalFormatting>
  <conditionalFormatting sqref="M66">
    <cfRule type="cellIs" dxfId="3775" priority="10268" operator="greaterThanOrEqual">
      <formula>0</formula>
    </cfRule>
  </conditionalFormatting>
  <conditionalFormatting sqref="M66">
    <cfRule type="cellIs" dxfId="3774" priority="10267" operator="lessThan">
      <formula>0</formula>
    </cfRule>
  </conditionalFormatting>
  <conditionalFormatting sqref="N16:N17">
    <cfRule type="cellIs" dxfId="3773" priority="10265" operator="greaterThan">
      <formula>0</formula>
    </cfRule>
    <cfRule type="cellIs" dxfId="3772" priority="10266" operator="lessThanOrEqual">
      <formula>0</formula>
    </cfRule>
  </conditionalFormatting>
  <conditionalFormatting sqref="N19:N20">
    <cfRule type="cellIs" dxfId="3771" priority="10263" operator="greaterThan">
      <formula>0</formula>
    </cfRule>
    <cfRule type="cellIs" dxfId="3770" priority="10264" operator="lessThanOrEqual">
      <formula>0</formula>
    </cfRule>
  </conditionalFormatting>
  <conditionalFormatting sqref="N22:N23">
    <cfRule type="cellIs" dxfId="3769" priority="10261" operator="greaterThan">
      <formula>0</formula>
    </cfRule>
    <cfRule type="cellIs" dxfId="3768" priority="10262" operator="lessThanOrEqual">
      <formula>0</formula>
    </cfRule>
  </conditionalFormatting>
  <conditionalFormatting sqref="N29:N30">
    <cfRule type="cellIs" dxfId="3767" priority="10259" operator="greaterThan">
      <formula>0</formula>
    </cfRule>
    <cfRule type="cellIs" dxfId="3766" priority="10260" operator="lessThanOrEqual">
      <formula>0</formula>
    </cfRule>
  </conditionalFormatting>
  <conditionalFormatting sqref="N32:N33">
    <cfRule type="cellIs" dxfId="3765" priority="10257" operator="greaterThan">
      <formula>0</formula>
    </cfRule>
    <cfRule type="cellIs" dxfId="3764" priority="10258" operator="lessThanOrEqual">
      <formula>0</formula>
    </cfRule>
  </conditionalFormatting>
  <conditionalFormatting sqref="N35:N36">
    <cfRule type="cellIs" dxfId="3763" priority="10255" operator="greaterThan">
      <formula>0</formula>
    </cfRule>
    <cfRule type="cellIs" dxfId="3762" priority="10256" operator="lessThanOrEqual">
      <formula>0</formula>
    </cfRule>
  </conditionalFormatting>
  <conditionalFormatting sqref="N38:N39">
    <cfRule type="cellIs" dxfId="3761" priority="10253" operator="greaterThan">
      <formula>0</formula>
    </cfRule>
    <cfRule type="cellIs" dxfId="3760" priority="10254" operator="lessThanOrEqual">
      <formula>0</formula>
    </cfRule>
  </conditionalFormatting>
  <conditionalFormatting sqref="N42:N43">
    <cfRule type="cellIs" dxfId="3759" priority="10251" operator="greaterThan">
      <formula>0</formula>
    </cfRule>
    <cfRule type="cellIs" dxfId="3758" priority="10252" operator="lessThanOrEqual">
      <formula>0</formula>
    </cfRule>
  </conditionalFormatting>
  <conditionalFormatting sqref="N45:N46">
    <cfRule type="cellIs" dxfId="3757" priority="10249" operator="greaterThan">
      <formula>0</formula>
    </cfRule>
    <cfRule type="cellIs" dxfId="3756" priority="10250" operator="lessThanOrEqual">
      <formula>0</formula>
    </cfRule>
  </conditionalFormatting>
  <conditionalFormatting sqref="N48:N49">
    <cfRule type="cellIs" dxfId="3755" priority="10247" operator="greaterThan">
      <formula>0</formula>
    </cfRule>
    <cfRule type="cellIs" dxfId="3754" priority="10248" operator="lessThanOrEqual">
      <formula>0</formula>
    </cfRule>
  </conditionalFormatting>
  <conditionalFormatting sqref="N53:N54">
    <cfRule type="cellIs" dxfId="3753" priority="10245" operator="greaterThan">
      <formula>0</formula>
    </cfRule>
    <cfRule type="cellIs" dxfId="3752" priority="10246" operator="lessThanOrEqual">
      <formula>0</formula>
    </cfRule>
  </conditionalFormatting>
  <conditionalFormatting sqref="N57:N58">
    <cfRule type="cellIs" dxfId="3751" priority="10243" operator="greaterThan">
      <formula>0</formula>
    </cfRule>
    <cfRule type="cellIs" dxfId="3750" priority="10244" operator="lessThanOrEqual">
      <formula>0</formula>
    </cfRule>
  </conditionalFormatting>
  <conditionalFormatting sqref="N60:N61">
    <cfRule type="cellIs" dxfId="3749" priority="10241" operator="greaterThan">
      <formula>0</formula>
    </cfRule>
    <cfRule type="cellIs" dxfId="3748" priority="10242" operator="lessThanOrEqual">
      <formula>0</formula>
    </cfRule>
  </conditionalFormatting>
  <conditionalFormatting sqref="N63:N64">
    <cfRule type="cellIs" dxfId="3747" priority="10239" operator="greaterThan">
      <formula>0</formula>
    </cfRule>
    <cfRule type="cellIs" dxfId="3746" priority="10240" operator="lessThanOrEqual">
      <formula>0</formula>
    </cfRule>
  </conditionalFormatting>
  <conditionalFormatting sqref="N25">
    <cfRule type="cellIs" dxfId="3745" priority="10238" operator="greaterThanOrEqual">
      <formula>0</formula>
    </cfRule>
  </conditionalFormatting>
  <conditionalFormatting sqref="N25">
    <cfRule type="cellIs" dxfId="3744" priority="10237" operator="lessThan">
      <formula>0</formula>
    </cfRule>
  </conditionalFormatting>
  <conditionalFormatting sqref="N26">
    <cfRule type="cellIs" dxfId="3743" priority="10236" operator="greaterThanOrEqual">
      <formula>0</formula>
    </cfRule>
  </conditionalFormatting>
  <conditionalFormatting sqref="N26">
    <cfRule type="cellIs" dxfId="3742" priority="10235" operator="lessThan">
      <formula>0</formula>
    </cfRule>
  </conditionalFormatting>
  <conditionalFormatting sqref="N28">
    <cfRule type="cellIs" dxfId="3741" priority="10234" operator="greaterThanOrEqual">
      <formula>0</formula>
    </cfRule>
  </conditionalFormatting>
  <conditionalFormatting sqref="N28">
    <cfRule type="cellIs" dxfId="3740" priority="10233" operator="lessThan">
      <formula>0</formula>
    </cfRule>
  </conditionalFormatting>
  <conditionalFormatting sqref="N41">
    <cfRule type="cellIs" dxfId="3739" priority="10232" operator="greaterThanOrEqual">
      <formula>0</formula>
    </cfRule>
  </conditionalFormatting>
  <conditionalFormatting sqref="N41">
    <cfRule type="cellIs" dxfId="3738" priority="10231" operator="lessThan">
      <formula>0</formula>
    </cfRule>
  </conditionalFormatting>
  <conditionalFormatting sqref="N44">
    <cfRule type="cellIs" dxfId="3737" priority="10230" operator="greaterThanOrEqual">
      <formula>0</formula>
    </cfRule>
  </conditionalFormatting>
  <conditionalFormatting sqref="N44">
    <cfRule type="cellIs" dxfId="3736" priority="10229" operator="lessThan">
      <formula>0</formula>
    </cfRule>
  </conditionalFormatting>
  <conditionalFormatting sqref="N47">
    <cfRule type="cellIs" dxfId="3735" priority="10228" operator="greaterThanOrEqual">
      <formula>0</formula>
    </cfRule>
  </conditionalFormatting>
  <conditionalFormatting sqref="N47">
    <cfRule type="cellIs" dxfId="3734" priority="10227" operator="lessThan">
      <formula>0</formula>
    </cfRule>
  </conditionalFormatting>
  <conditionalFormatting sqref="N50">
    <cfRule type="cellIs" dxfId="3733" priority="10226" operator="greaterThanOrEqual">
      <formula>0</formula>
    </cfRule>
  </conditionalFormatting>
  <conditionalFormatting sqref="N50">
    <cfRule type="cellIs" dxfId="3732" priority="10225" operator="lessThan">
      <formula>0</formula>
    </cfRule>
  </conditionalFormatting>
  <conditionalFormatting sqref="N51">
    <cfRule type="cellIs" dxfId="3731" priority="10224" operator="greaterThanOrEqual">
      <formula>0</formula>
    </cfRule>
  </conditionalFormatting>
  <conditionalFormatting sqref="N51">
    <cfRule type="cellIs" dxfId="3730" priority="10223" operator="lessThan">
      <formula>0</formula>
    </cfRule>
  </conditionalFormatting>
  <conditionalFormatting sqref="N59">
    <cfRule type="cellIs" dxfId="3729" priority="10222" operator="greaterThanOrEqual">
      <formula>0</formula>
    </cfRule>
  </conditionalFormatting>
  <conditionalFormatting sqref="N59">
    <cfRule type="cellIs" dxfId="3728" priority="10221" operator="lessThan">
      <formula>0</formula>
    </cfRule>
  </conditionalFormatting>
  <conditionalFormatting sqref="N62">
    <cfRule type="cellIs" dxfId="3727" priority="10220" operator="greaterThanOrEqual">
      <formula>0</formula>
    </cfRule>
  </conditionalFormatting>
  <conditionalFormatting sqref="N62">
    <cfRule type="cellIs" dxfId="3726" priority="10219" operator="lessThan">
      <formula>0</formula>
    </cfRule>
  </conditionalFormatting>
  <conditionalFormatting sqref="N65">
    <cfRule type="cellIs" dxfId="3725" priority="10218" operator="greaterThanOrEqual">
      <formula>0</formula>
    </cfRule>
  </conditionalFormatting>
  <conditionalFormatting sqref="N65">
    <cfRule type="cellIs" dxfId="3724" priority="10217" operator="lessThan">
      <formula>0</formula>
    </cfRule>
  </conditionalFormatting>
  <conditionalFormatting sqref="N56">
    <cfRule type="cellIs" dxfId="3723" priority="10215" operator="lessThan">
      <formula>0</formula>
    </cfRule>
  </conditionalFormatting>
  <conditionalFormatting sqref="N56">
    <cfRule type="cellIs" dxfId="3722" priority="10216" operator="greaterThanOrEqual">
      <formula>0</formula>
    </cfRule>
  </conditionalFormatting>
  <conditionalFormatting sqref="N66">
    <cfRule type="cellIs" dxfId="3721" priority="10213" operator="lessThan">
      <formula>0</formula>
    </cfRule>
  </conditionalFormatting>
  <conditionalFormatting sqref="N66">
    <cfRule type="cellIs" dxfId="3720" priority="10214" operator="greaterThanOrEqual">
      <formula>0</formula>
    </cfRule>
  </conditionalFormatting>
  <conditionalFormatting sqref="M70">
    <cfRule type="cellIs" dxfId="3719" priority="10211" operator="lessThan">
      <formula>0</formula>
    </cfRule>
    <cfRule type="cellIs" dxfId="3718" priority="10212" operator="greaterThanOrEqual">
      <formula>0</formula>
    </cfRule>
  </conditionalFormatting>
  <conditionalFormatting sqref="N70">
    <cfRule type="cellIs" dxfId="3717" priority="10209" operator="lessThan">
      <formula>0</formula>
    </cfRule>
    <cfRule type="cellIs" dxfId="3716" priority="10210" operator="greaterThanOrEqual">
      <formula>0</formula>
    </cfRule>
  </conditionalFormatting>
  <conditionalFormatting sqref="N72">
    <cfRule type="cellIs" dxfId="3715" priority="10207" operator="lessThan">
      <formula>0</formula>
    </cfRule>
    <cfRule type="cellIs" dxfId="3714" priority="10208" operator="greaterThanOrEqual">
      <formula>0</formula>
    </cfRule>
  </conditionalFormatting>
  <conditionalFormatting sqref="F55">
    <cfRule type="cellIs" dxfId="3713" priority="10206" operator="greaterThanOrEqual">
      <formula>0</formula>
    </cfRule>
  </conditionalFormatting>
  <conditionalFormatting sqref="F55">
    <cfRule type="cellIs" dxfId="3712" priority="10205" operator="lessThan">
      <formula>0</formula>
    </cfRule>
  </conditionalFormatting>
  <conditionalFormatting sqref="K55">
    <cfRule type="cellIs" dxfId="3711" priority="10203" operator="greaterThan">
      <formula>0</formula>
    </cfRule>
    <cfRule type="cellIs" dxfId="3710" priority="10204" operator="lessThanOrEqual">
      <formula>0</formula>
    </cfRule>
  </conditionalFormatting>
  <conditionalFormatting sqref="J55">
    <cfRule type="cellIs" dxfId="3709" priority="10202" operator="greaterThanOrEqual">
      <formula>0</formula>
    </cfRule>
  </conditionalFormatting>
  <conditionalFormatting sqref="J55">
    <cfRule type="cellIs" dxfId="3708" priority="10201" operator="lessThan">
      <formula>0</formula>
    </cfRule>
  </conditionalFormatting>
  <conditionalFormatting sqref="G55">
    <cfRule type="cellIs" dxfId="3707" priority="10199" operator="greaterThan">
      <formula>0</formula>
    </cfRule>
    <cfRule type="cellIs" dxfId="3706" priority="10200" operator="lessThanOrEqual">
      <formula>0</formula>
    </cfRule>
  </conditionalFormatting>
  <conditionalFormatting sqref="M55">
    <cfRule type="cellIs" dxfId="3705" priority="10198" operator="greaterThanOrEqual">
      <formula>0</formula>
    </cfRule>
  </conditionalFormatting>
  <conditionalFormatting sqref="M55">
    <cfRule type="cellIs" dxfId="3704" priority="10197" operator="lessThan">
      <formula>0</formula>
    </cfRule>
  </conditionalFormatting>
  <conditionalFormatting sqref="N55">
    <cfRule type="cellIs" dxfId="3703" priority="10196" operator="greaterThanOrEqual">
      <formula>0</formula>
    </cfRule>
  </conditionalFormatting>
  <conditionalFormatting sqref="N55">
    <cfRule type="cellIs" dxfId="3702" priority="10195" operator="lessThan">
      <formula>0</formula>
    </cfRule>
  </conditionalFormatting>
  <conditionalFormatting sqref="G27">
    <cfRule type="cellIs" dxfId="3701" priority="9749" operator="greaterThan">
      <formula>0</formula>
    </cfRule>
    <cfRule type="cellIs" dxfId="3700" priority="9750" operator="lessThanOrEqual">
      <formula>0</formula>
    </cfRule>
  </conditionalFormatting>
  <conditionalFormatting sqref="F27">
    <cfRule type="cellIs" dxfId="3699" priority="9748" operator="greaterThanOrEqual">
      <formula>0</formula>
    </cfRule>
  </conditionalFormatting>
  <conditionalFormatting sqref="F27">
    <cfRule type="cellIs" dxfId="3698" priority="9747" operator="lessThan">
      <formula>0</formula>
    </cfRule>
  </conditionalFormatting>
  <conditionalFormatting sqref="K27">
    <cfRule type="cellIs" dxfId="3697" priority="9745" operator="greaterThan">
      <formula>0</formula>
    </cfRule>
    <cfRule type="cellIs" dxfId="3696" priority="9746" operator="lessThanOrEqual">
      <formula>0</formula>
    </cfRule>
  </conditionalFormatting>
  <conditionalFormatting sqref="J27">
    <cfRule type="cellIs" dxfId="3695" priority="9744" operator="greaterThanOrEqual">
      <formula>0</formula>
    </cfRule>
  </conditionalFormatting>
  <conditionalFormatting sqref="J27">
    <cfRule type="cellIs" dxfId="3694" priority="9743" operator="lessThan">
      <formula>0</formula>
    </cfRule>
  </conditionalFormatting>
  <conditionalFormatting sqref="M27">
    <cfRule type="cellIs" dxfId="3693" priority="9742" operator="greaterThanOrEqual">
      <formula>0</formula>
    </cfRule>
  </conditionalFormatting>
  <conditionalFormatting sqref="M27">
    <cfRule type="cellIs" dxfId="3692" priority="9741" operator="lessThan">
      <formula>0</formula>
    </cfRule>
  </conditionalFormatting>
  <conditionalFormatting sqref="N27">
    <cfRule type="cellIs" dxfId="3691" priority="9740" operator="greaterThanOrEqual">
      <formula>0</formula>
    </cfRule>
  </conditionalFormatting>
  <conditionalFormatting sqref="N27">
    <cfRule type="cellIs" dxfId="3690" priority="9739" operator="lessThan">
      <formula>0</formula>
    </cfRule>
  </conditionalFormatting>
  <conditionalFormatting sqref="R13:R14">
    <cfRule type="cellIs" dxfId="3689" priority="9719" operator="greaterThan">
      <formula>0</formula>
    </cfRule>
    <cfRule type="cellIs" dxfId="3688" priority="9720" operator="lessThanOrEqual">
      <formula>0</formula>
    </cfRule>
  </conditionalFormatting>
  <conditionalFormatting sqref="R16:R17">
    <cfRule type="cellIs" dxfId="3687" priority="9717" operator="greaterThan">
      <formula>0</formula>
    </cfRule>
    <cfRule type="cellIs" dxfId="3686" priority="9718" operator="lessThanOrEqual">
      <formula>0</formula>
    </cfRule>
  </conditionalFormatting>
  <conditionalFormatting sqref="R19:R20">
    <cfRule type="cellIs" dxfId="3685" priority="9715" operator="greaterThan">
      <formula>0</formula>
    </cfRule>
    <cfRule type="cellIs" dxfId="3684" priority="9716" operator="lessThanOrEqual">
      <formula>0</formula>
    </cfRule>
  </conditionalFormatting>
  <conditionalFormatting sqref="R29:R30">
    <cfRule type="cellIs" dxfId="3683" priority="9713" operator="greaterThan">
      <formula>0</formula>
    </cfRule>
    <cfRule type="cellIs" dxfId="3682" priority="9714" operator="lessThanOrEqual">
      <formula>0</formula>
    </cfRule>
  </conditionalFormatting>
  <conditionalFormatting sqref="R22:R23">
    <cfRule type="cellIs" dxfId="3681" priority="9711" operator="greaterThan">
      <formula>0</formula>
    </cfRule>
    <cfRule type="cellIs" dxfId="3680" priority="9712" operator="lessThanOrEqual">
      <formula>0</formula>
    </cfRule>
  </conditionalFormatting>
  <conditionalFormatting sqref="R32:R33">
    <cfRule type="cellIs" dxfId="3679" priority="9709" operator="greaterThan">
      <formula>0</formula>
    </cfRule>
    <cfRule type="cellIs" dxfId="3678" priority="9710" operator="lessThanOrEqual">
      <formula>0</formula>
    </cfRule>
  </conditionalFormatting>
  <conditionalFormatting sqref="R35:R36">
    <cfRule type="cellIs" dxfId="3677" priority="9707" operator="greaterThan">
      <formula>0</formula>
    </cfRule>
    <cfRule type="cellIs" dxfId="3676" priority="9708" operator="lessThanOrEqual">
      <formula>0</formula>
    </cfRule>
  </conditionalFormatting>
  <conditionalFormatting sqref="R38:R39">
    <cfRule type="cellIs" dxfId="3675" priority="9705" operator="greaterThan">
      <formula>0</formula>
    </cfRule>
    <cfRule type="cellIs" dxfId="3674" priority="9706" operator="lessThanOrEqual">
      <formula>0</formula>
    </cfRule>
  </conditionalFormatting>
  <conditionalFormatting sqref="R48:R49">
    <cfRule type="cellIs" dxfId="3673" priority="9703" operator="greaterThan">
      <formula>0</formula>
    </cfRule>
    <cfRule type="cellIs" dxfId="3672" priority="9704" operator="lessThanOrEqual">
      <formula>0</formula>
    </cfRule>
  </conditionalFormatting>
  <conditionalFormatting sqref="R63:R64">
    <cfRule type="cellIs" dxfId="3671" priority="9701" operator="greaterThan">
      <formula>0</formula>
    </cfRule>
    <cfRule type="cellIs" dxfId="3670" priority="9702" operator="lessThanOrEqual">
      <formula>0</formula>
    </cfRule>
  </conditionalFormatting>
  <conditionalFormatting sqref="R53:R54">
    <cfRule type="cellIs" dxfId="3669" priority="9699" operator="greaterThan">
      <formula>0</formula>
    </cfRule>
    <cfRule type="cellIs" dxfId="3668" priority="9700" operator="lessThanOrEqual">
      <formula>0</formula>
    </cfRule>
  </conditionalFormatting>
  <conditionalFormatting sqref="R15">
    <cfRule type="cellIs" dxfId="3667" priority="9697" operator="greaterThan">
      <formula>0</formula>
    </cfRule>
    <cfRule type="cellIs" dxfId="3666" priority="9698" operator="lessThanOrEqual">
      <formula>0</formula>
    </cfRule>
  </conditionalFormatting>
  <conditionalFormatting sqref="R18">
    <cfRule type="cellIs" dxfId="3665" priority="9695" operator="greaterThan">
      <formula>0</formula>
    </cfRule>
    <cfRule type="cellIs" dxfId="3664" priority="9696" operator="lessThanOrEqual">
      <formula>0</formula>
    </cfRule>
  </conditionalFormatting>
  <conditionalFormatting sqref="R21">
    <cfRule type="cellIs" dxfId="3663" priority="9693" operator="greaterThan">
      <formula>0</formula>
    </cfRule>
    <cfRule type="cellIs" dxfId="3662" priority="9694" operator="lessThanOrEqual">
      <formula>0</formula>
    </cfRule>
  </conditionalFormatting>
  <conditionalFormatting sqref="R31">
    <cfRule type="cellIs" dxfId="3661" priority="9691" operator="greaterThan">
      <formula>0</formula>
    </cfRule>
    <cfRule type="cellIs" dxfId="3660" priority="9692" operator="lessThanOrEqual">
      <formula>0</formula>
    </cfRule>
  </conditionalFormatting>
  <conditionalFormatting sqref="R24">
    <cfRule type="cellIs" dxfId="3659" priority="9689" operator="greaterThan">
      <formula>0</formula>
    </cfRule>
    <cfRule type="cellIs" dxfId="3658" priority="9690" operator="lessThanOrEqual">
      <formula>0</formula>
    </cfRule>
  </conditionalFormatting>
  <conditionalFormatting sqref="R34">
    <cfRule type="cellIs" dxfId="3657" priority="9687" operator="greaterThan">
      <formula>0</formula>
    </cfRule>
    <cfRule type="cellIs" dxfId="3656" priority="9688" operator="lessThanOrEqual">
      <formula>0</formula>
    </cfRule>
  </conditionalFormatting>
  <conditionalFormatting sqref="R37">
    <cfRule type="cellIs" dxfId="3655" priority="9685" operator="greaterThan">
      <formula>0</formula>
    </cfRule>
    <cfRule type="cellIs" dxfId="3654" priority="9686" operator="lessThanOrEqual">
      <formula>0</formula>
    </cfRule>
  </conditionalFormatting>
  <conditionalFormatting sqref="R40">
    <cfRule type="cellIs" dxfId="3653" priority="9683" operator="greaterThan">
      <formula>0</formula>
    </cfRule>
    <cfRule type="cellIs" dxfId="3652" priority="9684" operator="lessThanOrEqual">
      <formula>0</formula>
    </cfRule>
  </conditionalFormatting>
  <conditionalFormatting sqref="R26">
    <cfRule type="cellIs" dxfId="3651" priority="9681" operator="greaterThan">
      <formula>0</formula>
    </cfRule>
    <cfRule type="cellIs" dxfId="3650" priority="9682" operator="lessThanOrEqual">
      <formula>0</formula>
    </cfRule>
  </conditionalFormatting>
  <conditionalFormatting sqref="R66 R68 R71">
    <cfRule type="cellIs" dxfId="3649" priority="9679" operator="greaterThan">
      <formula>0</formula>
    </cfRule>
    <cfRule type="cellIs" dxfId="3648" priority="9680" operator="lessThanOrEqual">
      <formula>0</formula>
    </cfRule>
  </conditionalFormatting>
  <conditionalFormatting sqref="Q13:Q14 Q16:Q17 Q19:Q20 Q22:Q23 Q29:Q30 Q32:Q33 Q35:Q36 Q38:Q39 Q48:Q49 Q53:Q54">
    <cfRule type="cellIs" dxfId="3647" priority="9677" operator="lessThan">
      <formula>0</formula>
    </cfRule>
    <cfRule type="cellIs" dxfId="3646" priority="9678" operator="greaterThanOrEqual">
      <formula>0</formula>
    </cfRule>
  </conditionalFormatting>
  <conditionalFormatting sqref="Q15 Q18 Q21 Q24 Q26 Q31 Q34 Q37 Q40">
    <cfRule type="cellIs" dxfId="3645" priority="9676" operator="greaterThanOrEqual">
      <formula>0</formula>
    </cfRule>
  </conditionalFormatting>
  <conditionalFormatting sqref="Q15 Q18 Q21 Q24 Q26 Q31 Q34 Q37 Q40">
    <cfRule type="cellIs" dxfId="3644" priority="9675" operator="lessThan">
      <formula>0</formula>
    </cfRule>
  </conditionalFormatting>
  <conditionalFormatting sqref="R73">
    <cfRule type="cellIs" dxfId="3643" priority="9673" operator="greaterThan">
      <formula>0</formula>
    </cfRule>
    <cfRule type="cellIs" dxfId="3642" priority="9674" operator="lessThanOrEqual">
      <formula>0</formula>
    </cfRule>
  </conditionalFormatting>
  <conditionalFormatting sqref="R67">
    <cfRule type="cellIs" dxfId="3641" priority="9671" operator="greaterThan">
      <formula>0</formula>
    </cfRule>
    <cfRule type="cellIs" dxfId="3640" priority="9672" operator="lessThanOrEqual">
      <formula>0</formula>
    </cfRule>
  </conditionalFormatting>
  <conditionalFormatting sqref="Q67">
    <cfRule type="cellIs" dxfId="3639" priority="9669" operator="greaterThanOrEqual">
      <formula>0</formula>
    </cfRule>
    <cfRule type="cellIs" dxfId="3638" priority="9670" operator="lessThan">
      <formula>0</formula>
    </cfRule>
  </conditionalFormatting>
  <conditionalFormatting sqref="X13:X14 X16:X17 X19:X20 X22:X23 X29:X30 X32:X33 X35:X36 X38:X39 X48:X49">
    <cfRule type="cellIs" dxfId="3637" priority="9667" operator="lessThan">
      <formula>0</formula>
    </cfRule>
    <cfRule type="cellIs" dxfId="3636" priority="9668" operator="greaterThanOrEqual">
      <formula>0</formula>
    </cfRule>
  </conditionalFormatting>
  <conditionalFormatting sqref="X15 X24 X18 X21 X31 X34 X37 X40">
    <cfRule type="cellIs" dxfId="3635" priority="9666" operator="greaterThanOrEqual">
      <formula>0</formula>
    </cfRule>
  </conditionalFormatting>
  <conditionalFormatting sqref="X15 X24 X18 X21 X31 X34 X37 X40">
    <cfRule type="cellIs" dxfId="3634" priority="9665" operator="lessThan">
      <formula>0</formula>
    </cfRule>
  </conditionalFormatting>
  <conditionalFormatting sqref="X71 X73">
    <cfRule type="cellIs" dxfId="3633" priority="9663" operator="lessThan">
      <formula>0</formula>
    </cfRule>
    <cfRule type="cellIs" dxfId="3632" priority="9664" operator="greaterThanOrEqual">
      <formula>0</formula>
    </cfRule>
  </conditionalFormatting>
  <conditionalFormatting sqref="X67">
    <cfRule type="cellIs" dxfId="3631" priority="9661" operator="greaterThanOrEqual">
      <formula>0</formula>
    </cfRule>
    <cfRule type="cellIs" dxfId="3630" priority="9662" operator="lessThan">
      <formula>0</formula>
    </cfRule>
  </conditionalFormatting>
  <conditionalFormatting sqref="Y13:Y14">
    <cfRule type="cellIs" dxfId="3629" priority="9659" operator="greaterThan">
      <formula>0</formula>
    </cfRule>
    <cfRule type="cellIs" dxfId="3628" priority="9660" operator="lessThanOrEqual">
      <formula>0</formula>
    </cfRule>
  </conditionalFormatting>
  <conditionalFormatting sqref="Y68">
    <cfRule type="cellIs" dxfId="3627" priority="9657" operator="lessThan">
      <formula>0</formula>
    </cfRule>
    <cfRule type="cellIs" dxfId="3626" priority="9658" operator="greaterThanOrEqual">
      <formula>0</formula>
    </cfRule>
  </conditionalFormatting>
  <conditionalFormatting sqref="Y15 Y24 Y18 Y21 Y31 Y34 Y37 Y40">
    <cfRule type="cellIs" dxfId="3625" priority="9656" operator="greaterThanOrEqual">
      <formula>0</formula>
    </cfRule>
  </conditionalFormatting>
  <conditionalFormatting sqref="Y15 Y24 Y18 Y21 Y31 Y34 Y37 Y40">
    <cfRule type="cellIs" dxfId="3624" priority="9655" operator="lessThan">
      <formula>0</formula>
    </cfRule>
  </conditionalFormatting>
  <conditionalFormatting sqref="X68">
    <cfRule type="cellIs" dxfId="3623" priority="9653" operator="lessThan">
      <formula>0</formula>
    </cfRule>
    <cfRule type="cellIs" dxfId="3622" priority="9654" operator="greaterThanOrEqual">
      <formula>0</formula>
    </cfRule>
  </conditionalFormatting>
  <conditionalFormatting sqref="Y71 Y73">
    <cfRule type="cellIs" dxfId="3621" priority="9651" operator="lessThan">
      <formula>0</formula>
    </cfRule>
    <cfRule type="cellIs" dxfId="3620" priority="9652" operator="greaterThanOrEqual">
      <formula>0</formula>
    </cfRule>
  </conditionalFormatting>
  <conditionalFormatting sqref="Y67">
    <cfRule type="cellIs" dxfId="3619" priority="9649" operator="lessThan">
      <formula>0</formula>
    </cfRule>
    <cfRule type="cellIs" dxfId="3618" priority="9650" operator="greaterThanOrEqual">
      <formula>0</formula>
    </cfRule>
  </conditionalFormatting>
  <conditionalFormatting sqref="Q62">
    <cfRule type="cellIs" dxfId="3617" priority="9630" operator="greaterThanOrEqual">
      <formula>0</formula>
    </cfRule>
  </conditionalFormatting>
  <conditionalFormatting sqref="Q62">
    <cfRule type="cellIs" dxfId="3616" priority="9629" operator="lessThan">
      <formula>0</formula>
    </cfRule>
  </conditionalFormatting>
  <conditionalFormatting sqref="R44">
    <cfRule type="cellIs" dxfId="3615" priority="9639" operator="greaterThan">
      <formula>0</formula>
    </cfRule>
    <cfRule type="cellIs" dxfId="3614" priority="9640" operator="lessThanOrEqual">
      <formula>0</formula>
    </cfRule>
  </conditionalFormatting>
  <conditionalFormatting sqref="R47">
    <cfRule type="cellIs" dxfId="3613" priority="9637" operator="greaterThan">
      <formula>0</formula>
    </cfRule>
    <cfRule type="cellIs" dxfId="3612" priority="9638" operator="lessThanOrEqual">
      <formula>0</formula>
    </cfRule>
  </conditionalFormatting>
  <conditionalFormatting sqref="R50">
    <cfRule type="cellIs" dxfId="3611" priority="9635" operator="greaterThan">
      <formula>0</formula>
    </cfRule>
    <cfRule type="cellIs" dxfId="3610" priority="9636" operator="lessThanOrEqual">
      <formula>0</formula>
    </cfRule>
  </conditionalFormatting>
  <conditionalFormatting sqref="R28">
    <cfRule type="cellIs" dxfId="3609" priority="9647" operator="greaterThan">
      <formula>0</formula>
    </cfRule>
    <cfRule type="cellIs" dxfId="3608" priority="9648" operator="lessThanOrEqual">
      <formula>0</formula>
    </cfRule>
  </conditionalFormatting>
  <conditionalFormatting sqref="R41">
    <cfRule type="cellIs" dxfId="3607" priority="9645" operator="greaterThan">
      <formula>0</formula>
    </cfRule>
    <cfRule type="cellIs" dxfId="3606" priority="9646" operator="lessThanOrEqual">
      <formula>0</formula>
    </cfRule>
  </conditionalFormatting>
  <conditionalFormatting sqref="R42:R43 R45:R46">
    <cfRule type="cellIs" dxfId="3605" priority="9643" operator="greaterThan">
      <formula>0</formula>
    </cfRule>
    <cfRule type="cellIs" dxfId="3604" priority="9644" operator="lessThanOrEqual">
      <formula>0</formula>
    </cfRule>
  </conditionalFormatting>
  <conditionalFormatting sqref="R57:R58 R60:R61">
    <cfRule type="cellIs" dxfId="3603" priority="9641" operator="greaterThan">
      <formula>0</formula>
    </cfRule>
    <cfRule type="cellIs" dxfId="3602" priority="9642" operator="lessThanOrEqual">
      <formula>0</formula>
    </cfRule>
  </conditionalFormatting>
  <conditionalFormatting sqref="R59">
    <cfRule type="cellIs" dxfId="3601" priority="9633" operator="greaterThan">
      <formula>0</formula>
    </cfRule>
    <cfRule type="cellIs" dxfId="3600" priority="9634" operator="lessThanOrEqual">
      <formula>0</formula>
    </cfRule>
  </conditionalFormatting>
  <conditionalFormatting sqref="R62">
    <cfRule type="cellIs" dxfId="3599" priority="9631" operator="greaterThan">
      <formula>0</formula>
    </cfRule>
    <cfRule type="cellIs" dxfId="3598" priority="9632" operator="lessThanOrEqual">
      <formula>0</formula>
    </cfRule>
  </conditionalFormatting>
  <conditionalFormatting sqref="R65">
    <cfRule type="cellIs" dxfId="3597" priority="9627" operator="greaterThan">
      <formula>0</formula>
    </cfRule>
    <cfRule type="cellIs" dxfId="3596" priority="9628" operator="lessThanOrEqual">
      <formula>0</formula>
    </cfRule>
  </conditionalFormatting>
  <conditionalFormatting sqref="V47">
    <cfRule type="cellIs" dxfId="3595" priority="9297" operator="greaterThan">
      <formula>0</formula>
    </cfRule>
    <cfRule type="cellIs" dxfId="3594" priority="9298" operator="lessThanOrEqual">
      <formula>0</formula>
    </cfRule>
  </conditionalFormatting>
  <conditionalFormatting sqref="V59">
    <cfRule type="cellIs" dxfId="3593" priority="9293" operator="greaterThan">
      <formula>0</formula>
    </cfRule>
    <cfRule type="cellIs" dxfId="3592" priority="9294" operator="lessThanOrEqual">
      <formula>0</formula>
    </cfRule>
  </conditionalFormatting>
  <conditionalFormatting sqref="U62">
    <cfRule type="cellIs" dxfId="3591" priority="9290" operator="greaterThanOrEqual">
      <formula>0</formula>
    </cfRule>
  </conditionalFormatting>
  <conditionalFormatting sqref="U62">
    <cfRule type="cellIs" dxfId="3590" priority="9289" operator="lessThan">
      <formula>0</formula>
    </cfRule>
  </conditionalFormatting>
  <conditionalFormatting sqref="R25">
    <cfRule type="cellIs" dxfId="3589" priority="9417" operator="greaterThan">
      <formula>0</formula>
    </cfRule>
    <cfRule type="cellIs" dxfId="3588" priority="9418" operator="lessThanOrEqual">
      <formula>0</formula>
    </cfRule>
  </conditionalFormatting>
  <conditionalFormatting sqref="Y52">
    <cfRule type="cellIs" dxfId="3587" priority="9405" operator="lessThan">
      <formula>0</formula>
    </cfRule>
  </conditionalFormatting>
  <conditionalFormatting sqref="R56">
    <cfRule type="cellIs" dxfId="3586" priority="9415" operator="greaterThan">
      <formula>0</formula>
    </cfRule>
    <cfRule type="cellIs" dxfId="3585" priority="9416" operator="lessThanOrEqual">
      <formula>0</formula>
    </cfRule>
  </conditionalFormatting>
  <conditionalFormatting sqref="Q56">
    <cfRule type="cellIs" dxfId="3584" priority="9414" operator="greaterThanOrEqual">
      <formula>0</formula>
    </cfRule>
  </conditionalFormatting>
  <conditionalFormatting sqref="Q56">
    <cfRule type="cellIs" dxfId="3583" priority="9413" operator="lessThan">
      <formula>0</formula>
    </cfRule>
  </conditionalFormatting>
  <conditionalFormatting sqref="R52">
    <cfRule type="cellIs" dxfId="3582" priority="9411" operator="greaterThan">
      <formula>0</formula>
    </cfRule>
    <cfRule type="cellIs" dxfId="3581" priority="9412" operator="lessThanOrEqual">
      <formula>0</formula>
    </cfRule>
  </conditionalFormatting>
  <conditionalFormatting sqref="Q52">
    <cfRule type="cellIs" dxfId="3580" priority="9410" operator="greaterThanOrEqual">
      <formula>0</formula>
    </cfRule>
  </conditionalFormatting>
  <conditionalFormatting sqref="Q52">
    <cfRule type="cellIs" dxfId="3579" priority="9409" operator="lessThan">
      <formula>0</formula>
    </cfRule>
  </conditionalFormatting>
  <conditionalFormatting sqref="X52">
    <cfRule type="cellIs" dxfId="3578" priority="9408" operator="greaterThanOrEqual">
      <formula>0</formula>
    </cfRule>
  </conditionalFormatting>
  <conditionalFormatting sqref="X52">
    <cfRule type="cellIs" dxfId="3577" priority="9407" operator="lessThan">
      <formula>0</formula>
    </cfRule>
  </conditionalFormatting>
  <conditionalFormatting sqref="Y52">
    <cfRule type="cellIs" dxfId="3576" priority="9406" operator="greaterThanOrEqual">
      <formula>0</formula>
    </cfRule>
  </conditionalFormatting>
  <conditionalFormatting sqref="R69">
    <cfRule type="cellIs" dxfId="3575" priority="9403" operator="greaterThan">
      <formula>0</formula>
    </cfRule>
    <cfRule type="cellIs" dxfId="3574" priority="9404" operator="lessThanOrEqual">
      <formula>0</formula>
    </cfRule>
  </conditionalFormatting>
  <conditionalFormatting sqref="X69">
    <cfRule type="cellIs" dxfId="3573" priority="9401" operator="lessThan">
      <formula>0</formula>
    </cfRule>
    <cfRule type="cellIs" dxfId="3572" priority="9402" operator="greaterThanOrEqual">
      <formula>0</formula>
    </cfRule>
  </conditionalFormatting>
  <conditionalFormatting sqref="Y69">
    <cfRule type="cellIs" dxfId="3571" priority="9399" operator="lessThan">
      <formula>0</formula>
    </cfRule>
    <cfRule type="cellIs" dxfId="3570" priority="9400" operator="greaterThanOrEqual">
      <formula>0</formula>
    </cfRule>
  </conditionalFormatting>
  <conditionalFormatting sqref="R70">
    <cfRule type="cellIs" dxfId="3569" priority="9397" operator="greaterThan">
      <formula>0</formula>
    </cfRule>
    <cfRule type="cellIs" dxfId="3568" priority="9398" operator="lessThanOrEqual">
      <formula>0</formula>
    </cfRule>
  </conditionalFormatting>
  <conditionalFormatting sqref="X72">
    <cfRule type="cellIs" dxfId="3567" priority="9395" operator="lessThan">
      <formula>0</formula>
    </cfRule>
    <cfRule type="cellIs" dxfId="3566" priority="9396" operator="greaterThanOrEqual">
      <formula>0</formula>
    </cfRule>
  </conditionalFormatting>
  <conditionalFormatting sqref="R72">
    <cfRule type="cellIs" dxfId="3565" priority="9393" operator="greaterThan">
      <formula>0</formula>
    </cfRule>
    <cfRule type="cellIs" dxfId="3564" priority="9394" operator="lessThanOrEqual">
      <formula>0</formula>
    </cfRule>
  </conditionalFormatting>
  <conditionalFormatting sqref="Q25">
    <cfRule type="cellIs" dxfId="3563" priority="9392" operator="greaterThanOrEqual">
      <formula>0</formula>
    </cfRule>
  </conditionalFormatting>
  <conditionalFormatting sqref="Q25">
    <cfRule type="cellIs" dxfId="3562" priority="9391" operator="lessThan">
      <formula>0</formula>
    </cfRule>
  </conditionalFormatting>
  <conditionalFormatting sqref="Q28">
    <cfRule type="cellIs" dxfId="3561" priority="9390" operator="greaterThanOrEqual">
      <formula>0</formula>
    </cfRule>
  </conditionalFormatting>
  <conditionalFormatting sqref="Q28">
    <cfRule type="cellIs" dxfId="3560" priority="9389" operator="lessThan">
      <formula>0</formula>
    </cfRule>
  </conditionalFormatting>
  <conditionalFormatting sqref="Q41">
    <cfRule type="cellIs" dxfId="3559" priority="9388" operator="greaterThanOrEqual">
      <formula>0</formula>
    </cfRule>
  </conditionalFormatting>
  <conditionalFormatting sqref="Q41">
    <cfRule type="cellIs" dxfId="3558" priority="9387" operator="lessThan">
      <formula>0</formula>
    </cfRule>
  </conditionalFormatting>
  <conditionalFormatting sqref="Q44">
    <cfRule type="cellIs" dxfId="3557" priority="9386" operator="greaterThanOrEqual">
      <formula>0</formula>
    </cfRule>
  </conditionalFormatting>
  <conditionalFormatting sqref="Q44">
    <cfRule type="cellIs" dxfId="3556" priority="9385" operator="lessThan">
      <formula>0</formula>
    </cfRule>
  </conditionalFormatting>
  <conditionalFormatting sqref="Q47">
    <cfRule type="cellIs" dxfId="3555" priority="9384" operator="greaterThanOrEqual">
      <formula>0</formula>
    </cfRule>
  </conditionalFormatting>
  <conditionalFormatting sqref="Q47">
    <cfRule type="cellIs" dxfId="3554" priority="9383" operator="lessThan">
      <formula>0</formula>
    </cfRule>
  </conditionalFormatting>
  <conditionalFormatting sqref="Q50">
    <cfRule type="cellIs" dxfId="3553" priority="9382" operator="greaterThanOrEqual">
      <formula>0</formula>
    </cfRule>
  </conditionalFormatting>
  <conditionalFormatting sqref="Q50">
    <cfRule type="cellIs" dxfId="3552" priority="9381" operator="lessThan">
      <formula>0</formula>
    </cfRule>
  </conditionalFormatting>
  <conditionalFormatting sqref="Q51">
    <cfRule type="cellIs" dxfId="3551" priority="9380" operator="greaterThanOrEqual">
      <formula>0</formula>
    </cfRule>
  </conditionalFormatting>
  <conditionalFormatting sqref="Q51">
    <cfRule type="cellIs" dxfId="3550" priority="9379" operator="lessThan">
      <formula>0</formula>
    </cfRule>
  </conditionalFormatting>
  <conditionalFormatting sqref="Q59">
    <cfRule type="cellIs" dxfId="3549" priority="9378" operator="greaterThanOrEqual">
      <formula>0</formula>
    </cfRule>
  </conditionalFormatting>
  <conditionalFormatting sqref="Q59">
    <cfRule type="cellIs" dxfId="3548" priority="9377" operator="lessThan">
      <formula>0</formula>
    </cfRule>
  </conditionalFormatting>
  <conditionalFormatting sqref="Q65">
    <cfRule type="cellIs" dxfId="3547" priority="9376" operator="greaterThanOrEqual">
      <formula>0</formula>
    </cfRule>
  </conditionalFormatting>
  <conditionalFormatting sqref="Q65">
    <cfRule type="cellIs" dxfId="3546" priority="9375" operator="lessThan">
      <formula>0</formula>
    </cfRule>
  </conditionalFormatting>
  <conditionalFormatting sqref="Q66">
    <cfRule type="cellIs" dxfId="3545" priority="9374" operator="greaterThanOrEqual">
      <formula>0</formula>
    </cfRule>
  </conditionalFormatting>
  <conditionalFormatting sqref="Q66">
    <cfRule type="cellIs" dxfId="3544" priority="9373" operator="lessThan">
      <formula>0</formula>
    </cfRule>
  </conditionalFormatting>
  <conditionalFormatting sqref="Q68:Q70">
    <cfRule type="cellIs" dxfId="3543" priority="9371" operator="lessThan">
      <formula>0</formula>
    </cfRule>
    <cfRule type="cellIs" dxfId="3542" priority="9372" operator="greaterThanOrEqual">
      <formula>0</formula>
    </cfRule>
  </conditionalFormatting>
  <conditionalFormatting sqref="Q71:Q72">
    <cfRule type="cellIs" dxfId="3541" priority="9370" operator="greaterThanOrEqual">
      <formula>0</formula>
    </cfRule>
  </conditionalFormatting>
  <conditionalFormatting sqref="Q71:Q72">
    <cfRule type="cellIs" dxfId="3540" priority="9369" operator="lessThan">
      <formula>0</formula>
    </cfRule>
  </conditionalFormatting>
  <conditionalFormatting sqref="Q73">
    <cfRule type="cellIs" dxfId="3539" priority="9368" operator="greaterThanOrEqual">
      <formula>0</formula>
    </cfRule>
  </conditionalFormatting>
  <conditionalFormatting sqref="Q73">
    <cfRule type="cellIs" dxfId="3538" priority="9367" operator="lessThan">
      <formula>0</formula>
    </cfRule>
  </conditionalFormatting>
  <conditionalFormatting sqref="Q42:Q43">
    <cfRule type="cellIs" dxfId="3537" priority="9365" operator="lessThan">
      <formula>0</formula>
    </cfRule>
    <cfRule type="cellIs" dxfId="3536" priority="9366" operator="greaterThanOrEqual">
      <formula>0</formula>
    </cfRule>
  </conditionalFormatting>
  <conditionalFormatting sqref="Q45:Q46">
    <cfRule type="cellIs" dxfId="3535" priority="9363" operator="lessThan">
      <formula>0</formula>
    </cfRule>
    <cfRule type="cellIs" dxfId="3534" priority="9364" operator="greaterThanOrEqual">
      <formula>0</formula>
    </cfRule>
  </conditionalFormatting>
  <conditionalFormatting sqref="Q57:Q58">
    <cfRule type="cellIs" dxfId="3533" priority="9361" operator="lessThan">
      <formula>0</formula>
    </cfRule>
    <cfRule type="cellIs" dxfId="3532" priority="9362" operator="greaterThanOrEqual">
      <formula>0</formula>
    </cfRule>
  </conditionalFormatting>
  <conditionalFormatting sqref="Q60:Q61">
    <cfRule type="cellIs" dxfId="3531" priority="9359" operator="lessThan">
      <formula>0</formula>
    </cfRule>
    <cfRule type="cellIs" dxfId="3530" priority="9360" operator="greaterThanOrEqual">
      <formula>0</formula>
    </cfRule>
  </conditionalFormatting>
  <conditionalFormatting sqref="Q63:Q64">
    <cfRule type="cellIs" dxfId="3529" priority="9357" operator="lessThan">
      <formula>0</formula>
    </cfRule>
    <cfRule type="cellIs" dxfId="3528" priority="9358" operator="greaterThanOrEqual">
      <formula>0</formula>
    </cfRule>
  </conditionalFormatting>
  <conditionalFormatting sqref="V13:V14">
    <cfRule type="cellIs" dxfId="3527" priority="9355" operator="greaterThan">
      <formula>0</formula>
    </cfRule>
    <cfRule type="cellIs" dxfId="3526" priority="9356" operator="lessThanOrEqual">
      <formula>0</formula>
    </cfRule>
  </conditionalFormatting>
  <conditionalFormatting sqref="V16:V17">
    <cfRule type="cellIs" dxfId="3525" priority="9353" operator="greaterThan">
      <formula>0</formula>
    </cfRule>
    <cfRule type="cellIs" dxfId="3524" priority="9354" operator="lessThanOrEqual">
      <formula>0</formula>
    </cfRule>
  </conditionalFormatting>
  <conditionalFormatting sqref="V19:V20">
    <cfRule type="cellIs" dxfId="3523" priority="9351" operator="greaterThan">
      <formula>0</formula>
    </cfRule>
    <cfRule type="cellIs" dxfId="3522" priority="9352" operator="lessThanOrEqual">
      <formula>0</formula>
    </cfRule>
  </conditionalFormatting>
  <conditionalFormatting sqref="V29:V30">
    <cfRule type="cellIs" dxfId="3521" priority="9349" operator="greaterThan">
      <formula>0</formula>
    </cfRule>
    <cfRule type="cellIs" dxfId="3520" priority="9350" operator="lessThanOrEqual">
      <formula>0</formula>
    </cfRule>
  </conditionalFormatting>
  <conditionalFormatting sqref="V22:V23">
    <cfRule type="cellIs" dxfId="3519" priority="9347" operator="greaterThan">
      <formula>0</formula>
    </cfRule>
    <cfRule type="cellIs" dxfId="3518" priority="9348" operator="lessThanOrEqual">
      <formula>0</formula>
    </cfRule>
  </conditionalFormatting>
  <conditionalFormatting sqref="V32:V33">
    <cfRule type="cellIs" dxfId="3517" priority="9345" operator="greaterThan">
      <formula>0</formula>
    </cfRule>
    <cfRule type="cellIs" dxfId="3516" priority="9346" operator="lessThanOrEqual">
      <formula>0</formula>
    </cfRule>
  </conditionalFormatting>
  <conditionalFormatting sqref="V35:V36">
    <cfRule type="cellIs" dxfId="3515" priority="9343" operator="greaterThan">
      <formula>0</formula>
    </cfRule>
    <cfRule type="cellIs" dxfId="3514" priority="9344" operator="lessThanOrEqual">
      <formula>0</formula>
    </cfRule>
  </conditionalFormatting>
  <conditionalFormatting sqref="V38:V39">
    <cfRule type="cellIs" dxfId="3513" priority="9341" operator="greaterThan">
      <formula>0</formula>
    </cfRule>
    <cfRule type="cellIs" dxfId="3512" priority="9342" operator="lessThanOrEqual">
      <formula>0</formula>
    </cfRule>
  </conditionalFormatting>
  <conditionalFormatting sqref="V48:V49">
    <cfRule type="cellIs" dxfId="3511" priority="9339" operator="greaterThan">
      <formula>0</formula>
    </cfRule>
    <cfRule type="cellIs" dxfId="3510" priority="9340" operator="lessThanOrEqual">
      <formula>0</formula>
    </cfRule>
  </conditionalFormatting>
  <conditionalFormatting sqref="V63:V64">
    <cfRule type="cellIs" dxfId="3509" priority="9337" operator="greaterThan">
      <formula>0</formula>
    </cfRule>
    <cfRule type="cellIs" dxfId="3508" priority="9338" operator="lessThanOrEqual">
      <formula>0</formula>
    </cfRule>
  </conditionalFormatting>
  <conditionalFormatting sqref="V53:V54">
    <cfRule type="cellIs" dxfId="3507" priority="9335" operator="greaterThan">
      <formula>0</formula>
    </cfRule>
    <cfRule type="cellIs" dxfId="3506" priority="9336" operator="lessThanOrEqual">
      <formula>0</formula>
    </cfRule>
  </conditionalFormatting>
  <conditionalFormatting sqref="V15">
    <cfRule type="cellIs" dxfId="3505" priority="9333" operator="greaterThan">
      <formula>0</formula>
    </cfRule>
    <cfRule type="cellIs" dxfId="3504" priority="9334" operator="lessThanOrEqual">
      <formula>0</formula>
    </cfRule>
  </conditionalFormatting>
  <conditionalFormatting sqref="V18">
    <cfRule type="cellIs" dxfId="3503" priority="9331" operator="greaterThan">
      <formula>0</formula>
    </cfRule>
    <cfRule type="cellIs" dxfId="3502" priority="9332" operator="lessThanOrEqual">
      <formula>0</formula>
    </cfRule>
  </conditionalFormatting>
  <conditionalFormatting sqref="V21">
    <cfRule type="cellIs" dxfId="3501" priority="9329" operator="greaterThan">
      <formula>0</formula>
    </cfRule>
    <cfRule type="cellIs" dxfId="3500" priority="9330" operator="lessThanOrEqual">
      <formula>0</formula>
    </cfRule>
  </conditionalFormatting>
  <conditionalFormatting sqref="V31">
    <cfRule type="cellIs" dxfId="3499" priority="9327" operator="greaterThan">
      <formula>0</formula>
    </cfRule>
    <cfRule type="cellIs" dxfId="3498" priority="9328" operator="lessThanOrEqual">
      <formula>0</formula>
    </cfRule>
  </conditionalFormatting>
  <conditionalFormatting sqref="V24">
    <cfRule type="cellIs" dxfId="3497" priority="9325" operator="greaterThan">
      <formula>0</formula>
    </cfRule>
    <cfRule type="cellIs" dxfId="3496" priority="9326" operator="lessThanOrEqual">
      <formula>0</formula>
    </cfRule>
  </conditionalFormatting>
  <conditionalFormatting sqref="V34">
    <cfRule type="cellIs" dxfId="3495" priority="9323" operator="greaterThan">
      <formula>0</formula>
    </cfRule>
    <cfRule type="cellIs" dxfId="3494" priority="9324" operator="lessThanOrEqual">
      <formula>0</formula>
    </cfRule>
  </conditionalFormatting>
  <conditionalFormatting sqref="V37">
    <cfRule type="cellIs" dxfId="3493" priority="9321" operator="greaterThan">
      <formula>0</formula>
    </cfRule>
    <cfRule type="cellIs" dxfId="3492" priority="9322" operator="lessThanOrEqual">
      <formula>0</formula>
    </cfRule>
  </conditionalFormatting>
  <conditionalFormatting sqref="V40">
    <cfRule type="cellIs" dxfId="3491" priority="9319" operator="greaterThan">
      <formula>0</formula>
    </cfRule>
    <cfRule type="cellIs" dxfId="3490" priority="9320" operator="lessThanOrEqual">
      <formula>0</formula>
    </cfRule>
  </conditionalFormatting>
  <conditionalFormatting sqref="V26">
    <cfRule type="cellIs" dxfId="3489" priority="9317" operator="greaterThan">
      <formula>0</formula>
    </cfRule>
    <cfRule type="cellIs" dxfId="3488" priority="9318" operator="lessThanOrEqual">
      <formula>0</formula>
    </cfRule>
  </conditionalFormatting>
  <conditionalFormatting sqref="V66">
    <cfRule type="cellIs" dxfId="3487" priority="9315" operator="greaterThan">
      <formula>0</formula>
    </cfRule>
    <cfRule type="cellIs" dxfId="3486" priority="9316" operator="lessThanOrEqual">
      <formula>0</formula>
    </cfRule>
  </conditionalFormatting>
  <conditionalFormatting sqref="U13:U14 U16:U17 U19:U20 U22:U23 U29:U30 U32:U33 U35:U36 U38:U39 U48:U49 U53:U54">
    <cfRule type="cellIs" dxfId="3485" priority="9313" operator="lessThan">
      <formula>0</formula>
    </cfRule>
    <cfRule type="cellIs" dxfId="3484" priority="9314" operator="greaterThanOrEqual">
      <formula>0</formula>
    </cfRule>
  </conditionalFormatting>
  <conditionalFormatting sqref="U15 U18 U21 U24 U26 U31 U34 U37 U40">
    <cfRule type="cellIs" dxfId="3483" priority="9312" operator="greaterThanOrEqual">
      <formula>0</formula>
    </cfRule>
  </conditionalFormatting>
  <conditionalFormatting sqref="U15 U18 U21 U24 U26 U31 U34 U37 U40">
    <cfRule type="cellIs" dxfId="3482" priority="9311" operator="lessThan">
      <formula>0</formula>
    </cfRule>
  </conditionalFormatting>
  <conditionalFormatting sqref="V51">
    <cfRule type="cellIs" dxfId="3481" priority="9305" operator="greaterThan">
      <formula>0</formula>
    </cfRule>
    <cfRule type="cellIs" dxfId="3480" priority="9306" operator="lessThanOrEqual">
      <formula>0</formula>
    </cfRule>
  </conditionalFormatting>
  <conditionalFormatting sqref="V44">
    <cfRule type="cellIs" dxfId="3479" priority="9299" operator="greaterThan">
      <formula>0</formula>
    </cfRule>
    <cfRule type="cellIs" dxfId="3478" priority="9300" operator="lessThanOrEqual">
      <formula>0</formula>
    </cfRule>
  </conditionalFormatting>
  <conditionalFormatting sqref="V50">
    <cfRule type="cellIs" dxfId="3477" priority="9295" operator="greaterThan">
      <formula>0</formula>
    </cfRule>
    <cfRule type="cellIs" dxfId="3476" priority="9296" operator="lessThanOrEqual">
      <formula>0</formula>
    </cfRule>
  </conditionalFormatting>
  <conditionalFormatting sqref="V28">
    <cfRule type="cellIs" dxfId="3475" priority="9309" operator="greaterThan">
      <formula>0</formula>
    </cfRule>
    <cfRule type="cellIs" dxfId="3474" priority="9310" operator="lessThanOrEqual">
      <formula>0</formula>
    </cfRule>
  </conditionalFormatting>
  <conditionalFormatting sqref="V41">
    <cfRule type="cellIs" dxfId="3473" priority="9307" operator="greaterThan">
      <formula>0</formula>
    </cfRule>
    <cfRule type="cellIs" dxfId="3472" priority="9308" operator="lessThanOrEqual">
      <formula>0</formula>
    </cfRule>
  </conditionalFormatting>
  <conditionalFormatting sqref="V42:V43 V45:V46">
    <cfRule type="cellIs" dxfId="3471" priority="9303" operator="greaterThan">
      <formula>0</formula>
    </cfRule>
    <cfRule type="cellIs" dxfId="3470" priority="9304" operator="lessThanOrEqual">
      <formula>0</formula>
    </cfRule>
  </conditionalFormatting>
  <conditionalFormatting sqref="V57:V58 V60:V61">
    <cfRule type="cellIs" dxfId="3469" priority="9301" operator="greaterThan">
      <formula>0</formula>
    </cfRule>
    <cfRule type="cellIs" dxfId="3468" priority="9302" operator="lessThanOrEqual">
      <formula>0</formula>
    </cfRule>
  </conditionalFormatting>
  <conditionalFormatting sqref="V62">
    <cfRule type="cellIs" dxfId="3467" priority="9291" operator="greaterThan">
      <formula>0</formula>
    </cfRule>
    <cfRule type="cellIs" dxfId="3466" priority="9292" operator="lessThanOrEqual">
      <formula>0</formula>
    </cfRule>
  </conditionalFormatting>
  <conditionalFormatting sqref="V65">
    <cfRule type="cellIs" dxfId="3465" priority="9287" operator="greaterThan">
      <formula>0</formula>
    </cfRule>
    <cfRule type="cellIs" dxfId="3464" priority="9288" operator="lessThanOrEqual">
      <formula>0</formula>
    </cfRule>
  </conditionalFormatting>
  <conditionalFormatting sqref="V25">
    <cfRule type="cellIs" dxfId="3463" priority="9285" operator="greaterThan">
      <formula>0</formula>
    </cfRule>
    <cfRule type="cellIs" dxfId="3462" priority="9286" operator="lessThanOrEqual">
      <formula>0</formula>
    </cfRule>
  </conditionalFormatting>
  <conditionalFormatting sqref="V56">
    <cfRule type="cellIs" dxfId="3461" priority="9283" operator="greaterThan">
      <formula>0</formula>
    </cfRule>
    <cfRule type="cellIs" dxfId="3460" priority="9284" operator="lessThanOrEqual">
      <formula>0</formula>
    </cfRule>
  </conditionalFormatting>
  <conditionalFormatting sqref="U56">
    <cfRule type="cellIs" dxfId="3459" priority="9282" operator="greaterThanOrEqual">
      <formula>0</formula>
    </cfRule>
  </conditionalFormatting>
  <conditionalFormatting sqref="U56">
    <cfRule type="cellIs" dxfId="3458" priority="9281" operator="lessThan">
      <formula>0</formula>
    </cfRule>
  </conditionalFormatting>
  <conditionalFormatting sqref="V52">
    <cfRule type="cellIs" dxfId="3457" priority="9279" operator="greaterThan">
      <formula>0</formula>
    </cfRule>
    <cfRule type="cellIs" dxfId="3456" priority="9280" operator="lessThanOrEqual">
      <formula>0</formula>
    </cfRule>
  </conditionalFormatting>
  <conditionalFormatting sqref="U52">
    <cfRule type="cellIs" dxfId="3455" priority="9278" operator="greaterThanOrEqual">
      <formula>0</formula>
    </cfRule>
  </conditionalFormatting>
  <conditionalFormatting sqref="U52">
    <cfRule type="cellIs" dxfId="3454" priority="9277" operator="lessThan">
      <formula>0</formula>
    </cfRule>
  </conditionalFormatting>
  <conditionalFormatting sqref="U25">
    <cfRule type="cellIs" dxfId="3453" priority="9276" operator="greaterThanOrEqual">
      <formula>0</formula>
    </cfRule>
  </conditionalFormatting>
  <conditionalFormatting sqref="U25">
    <cfRule type="cellIs" dxfId="3452" priority="9275" operator="lessThan">
      <formula>0</formula>
    </cfRule>
  </conditionalFormatting>
  <conditionalFormatting sqref="U28">
    <cfRule type="cellIs" dxfId="3451" priority="9274" operator="greaterThanOrEqual">
      <formula>0</formula>
    </cfRule>
  </conditionalFormatting>
  <conditionalFormatting sqref="U28">
    <cfRule type="cellIs" dxfId="3450" priority="9273" operator="lessThan">
      <formula>0</formula>
    </cfRule>
  </conditionalFormatting>
  <conditionalFormatting sqref="U41">
    <cfRule type="cellIs" dxfId="3449" priority="9272" operator="greaterThanOrEqual">
      <formula>0</formula>
    </cfRule>
  </conditionalFormatting>
  <conditionalFormatting sqref="U41">
    <cfRule type="cellIs" dxfId="3448" priority="9271" operator="lessThan">
      <formula>0</formula>
    </cfRule>
  </conditionalFormatting>
  <conditionalFormatting sqref="U44">
    <cfRule type="cellIs" dxfId="3447" priority="9270" operator="greaterThanOrEqual">
      <formula>0</formula>
    </cfRule>
  </conditionalFormatting>
  <conditionalFormatting sqref="U44">
    <cfRule type="cellIs" dxfId="3446" priority="9269" operator="lessThan">
      <formula>0</formula>
    </cfRule>
  </conditionalFormatting>
  <conditionalFormatting sqref="U47">
    <cfRule type="cellIs" dxfId="3445" priority="9268" operator="greaterThanOrEqual">
      <formula>0</formula>
    </cfRule>
  </conditionalFormatting>
  <conditionalFormatting sqref="U47">
    <cfRule type="cellIs" dxfId="3444" priority="9267" operator="lessThan">
      <formula>0</formula>
    </cfRule>
  </conditionalFormatting>
  <conditionalFormatting sqref="U50">
    <cfRule type="cellIs" dxfId="3443" priority="9266" operator="greaterThanOrEqual">
      <formula>0</formula>
    </cfRule>
  </conditionalFormatting>
  <conditionalFormatting sqref="U50">
    <cfRule type="cellIs" dxfId="3442" priority="9265" operator="lessThan">
      <formula>0</formula>
    </cfRule>
  </conditionalFormatting>
  <conditionalFormatting sqref="U51">
    <cfRule type="cellIs" dxfId="3441" priority="9264" operator="greaterThanOrEqual">
      <formula>0</formula>
    </cfRule>
  </conditionalFormatting>
  <conditionalFormatting sqref="U51">
    <cfRule type="cellIs" dxfId="3440" priority="9263" operator="lessThan">
      <formula>0</formula>
    </cfRule>
  </conditionalFormatting>
  <conditionalFormatting sqref="U59">
    <cfRule type="cellIs" dxfId="3439" priority="9262" operator="greaterThanOrEqual">
      <formula>0</formula>
    </cfRule>
  </conditionalFormatting>
  <conditionalFormatting sqref="U59">
    <cfRule type="cellIs" dxfId="3438" priority="9261" operator="lessThan">
      <formula>0</formula>
    </cfRule>
  </conditionalFormatting>
  <conditionalFormatting sqref="U65">
    <cfRule type="cellIs" dxfId="3437" priority="9260" operator="greaterThanOrEqual">
      <formula>0</formula>
    </cfRule>
  </conditionalFormatting>
  <conditionalFormatting sqref="U65">
    <cfRule type="cellIs" dxfId="3436" priority="9259" operator="lessThan">
      <formula>0</formula>
    </cfRule>
  </conditionalFormatting>
  <conditionalFormatting sqref="U66">
    <cfRule type="cellIs" dxfId="3435" priority="9258" operator="greaterThanOrEqual">
      <formula>0</formula>
    </cfRule>
  </conditionalFormatting>
  <conditionalFormatting sqref="U66">
    <cfRule type="cellIs" dxfId="3434" priority="9257" operator="lessThan">
      <formula>0</formula>
    </cfRule>
  </conditionalFormatting>
  <conditionalFormatting sqref="U42:U43">
    <cfRule type="cellIs" dxfId="3433" priority="9255" operator="lessThan">
      <formula>0</formula>
    </cfRule>
    <cfRule type="cellIs" dxfId="3432" priority="9256" operator="greaterThanOrEqual">
      <formula>0</formula>
    </cfRule>
  </conditionalFormatting>
  <conditionalFormatting sqref="U45:U46">
    <cfRule type="cellIs" dxfId="3431" priority="9253" operator="lessThan">
      <formula>0</formula>
    </cfRule>
    <cfRule type="cellIs" dxfId="3430" priority="9254" operator="greaterThanOrEqual">
      <formula>0</formula>
    </cfRule>
  </conditionalFormatting>
  <conditionalFormatting sqref="U57:U58">
    <cfRule type="cellIs" dxfId="3429" priority="9251" operator="lessThan">
      <formula>0</formula>
    </cfRule>
    <cfRule type="cellIs" dxfId="3428" priority="9252" operator="greaterThanOrEqual">
      <formula>0</formula>
    </cfRule>
  </conditionalFormatting>
  <conditionalFormatting sqref="U60:U61">
    <cfRule type="cellIs" dxfId="3427" priority="9249" operator="lessThan">
      <formula>0</formula>
    </cfRule>
    <cfRule type="cellIs" dxfId="3426" priority="9250" operator="greaterThanOrEqual">
      <formula>0</formula>
    </cfRule>
  </conditionalFormatting>
  <conditionalFormatting sqref="U63:U64">
    <cfRule type="cellIs" dxfId="3425" priority="9247" operator="lessThan">
      <formula>0</formula>
    </cfRule>
    <cfRule type="cellIs" dxfId="3424" priority="9248" operator="greaterThanOrEqual">
      <formula>0</formula>
    </cfRule>
  </conditionalFormatting>
  <conditionalFormatting sqref="V68 V71">
    <cfRule type="cellIs" dxfId="3423" priority="9245" operator="greaterThan">
      <formula>0</formula>
    </cfRule>
    <cfRule type="cellIs" dxfId="3422" priority="9246" operator="lessThanOrEqual">
      <formula>0</formula>
    </cfRule>
  </conditionalFormatting>
  <conditionalFormatting sqref="V73">
    <cfRule type="cellIs" dxfId="3421" priority="9243" operator="greaterThan">
      <formula>0</formula>
    </cfRule>
    <cfRule type="cellIs" dxfId="3420" priority="9244" operator="lessThanOrEqual">
      <formula>0</formula>
    </cfRule>
  </conditionalFormatting>
  <conditionalFormatting sqref="V69">
    <cfRule type="cellIs" dxfId="3419" priority="9241" operator="greaterThan">
      <formula>0</formula>
    </cfRule>
    <cfRule type="cellIs" dxfId="3418" priority="9242" operator="lessThanOrEqual">
      <formula>0</formula>
    </cfRule>
  </conditionalFormatting>
  <conditionalFormatting sqref="V70">
    <cfRule type="cellIs" dxfId="3417" priority="9239" operator="greaterThan">
      <formula>0</formula>
    </cfRule>
    <cfRule type="cellIs" dxfId="3416" priority="9240" operator="lessThanOrEqual">
      <formula>0</formula>
    </cfRule>
  </conditionalFormatting>
  <conditionalFormatting sqref="V72">
    <cfRule type="cellIs" dxfId="3415" priority="9237" operator="greaterThan">
      <formula>0</formula>
    </cfRule>
    <cfRule type="cellIs" dxfId="3414" priority="9238" operator="lessThanOrEqual">
      <formula>0</formula>
    </cfRule>
  </conditionalFormatting>
  <conditionalFormatting sqref="U68:U70">
    <cfRule type="cellIs" dxfId="3413" priority="9235" operator="lessThan">
      <formula>0</formula>
    </cfRule>
    <cfRule type="cellIs" dxfId="3412" priority="9236" operator="greaterThanOrEqual">
      <formula>0</formula>
    </cfRule>
  </conditionalFormatting>
  <conditionalFormatting sqref="U71:U72">
    <cfRule type="cellIs" dxfId="3411" priority="9234" operator="greaterThanOrEqual">
      <formula>0</formula>
    </cfRule>
  </conditionalFormatting>
  <conditionalFormatting sqref="U71:U72">
    <cfRule type="cellIs" dxfId="3410" priority="9233" operator="lessThan">
      <formula>0</formula>
    </cfRule>
  </conditionalFormatting>
  <conditionalFormatting sqref="U73">
    <cfRule type="cellIs" dxfId="3409" priority="9232" operator="greaterThanOrEqual">
      <formula>0</formula>
    </cfRule>
  </conditionalFormatting>
  <conditionalFormatting sqref="U73">
    <cfRule type="cellIs" dxfId="3408" priority="9231" operator="lessThan">
      <formula>0</formula>
    </cfRule>
  </conditionalFormatting>
  <conditionalFormatting sqref="V67">
    <cfRule type="cellIs" dxfId="3407" priority="9229" operator="greaterThan">
      <formula>0</formula>
    </cfRule>
    <cfRule type="cellIs" dxfId="3406" priority="9230" operator="lessThanOrEqual">
      <formula>0</formula>
    </cfRule>
  </conditionalFormatting>
  <conditionalFormatting sqref="U67">
    <cfRule type="cellIs" dxfId="3405" priority="9227" operator="greaterThanOrEqual">
      <formula>0</formula>
    </cfRule>
    <cfRule type="cellIs" dxfId="3404" priority="9228" operator="lessThan">
      <formula>0</formula>
    </cfRule>
  </conditionalFormatting>
  <conditionalFormatting sqref="R51">
    <cfRule type="cellIs" dxfId="3403" priority="9225" operator="greaterThan">
      <formula>0</formula>
    </cfRule>
    <cfRule type="cellIs" dxfId="3402" priority="9226" operator="lessThanOrEqual">
      <formula>0</formula>
    </cfRule>
  </conditionalFormatting>
  <conditionalFormatting sqref="X42:X43">
    <cfRule type="cellIs" dxfId="3401" priority="9223" operator="lessThan">
      <formula>0</formula>
    </cfRule>
    <cfRule type="cellIs" dxfId="3400" priority="9224" operator="greaterThanOrEqual">
      <formula>0</formula>
    </cfRule>
  </conditionalFormatting>
  <conditionalFormatting sqref="X45:X46">
    <cfRule type="cellIs" dxfId="3399" priority="9221" operator="lessThan">
      <formula>0</formula>
    </cfRule>
    <cfRule type="cellIs" dxfId="3398" priority="9222" operator="greaterThanOrEqual">
      <formula>0</formula>
    </cfRule>
  </conditionalFormatting>
  <conditionalFormatting sqref="X53:X54">
    <cfRule type="cellIs" dxfId="3397" priority="9219" operator="lessThan">
      <formula>0</formula>
    </cfRule>
    <cfRule type="cellIs" dxfId="3396" priority="9220" operator="greaterThanOrEqual">
      <formula>0</formula>
    </cfRule>
  </conditionalFormatting>
  <conditionalFormatting sqref="X57:X58">
    <cfRule type="cellIs" dxfId="3395" priority="9217" operator="lessThan">
      <formula>0</formula>
    </cfRule>
    <cfRule type="cellIs" dxfId="3394" priority="9218" operator="greaterThanOrEqual">
      <formula>0</formula>
    </cfRule>
  </conditionalFormatting>
  <conditionalFormatting sqref="X60:X61">
    <cfRule type="cellIs" dxfId="3393" priority="9215" operator="lessThan">
      <formula>0</formula>
    </cfRule>
    <cfRule type="cellIs" dxfId="3392" priority="9216" operator="greaterThanOrEqual">
      <formula>0</formula>
    </cfRule>
  </conditionalFormatting>
  <conditionalFormatting sqref="X63:X64">
    <cfRule type="cellIs" dxfId="3391" priority="9213" operator="lessThan">
      <formula>0</formula>
    </cfRule>
    <cfRule type="cellIs" dxfId="3390" priority="9214" operator="greaterThanOrEqual">
      <formula>0</formula>
    </cfRule>
  </conditionalFormatting>
  <conditionalFormatting sqref="X25">
    <cfRule type="cellIs" dxfId="3389" priority="9212" operator="greaterThanOrEqual">
      <formula>0</formula>
    </cfRule>
  </conditionalFormatting>
  <conditionalFormatting sqref="X25">
    <cfRule type="cellIs" dxfId="3388" priority="9211" operator="lessThan">
      <formula>0</formula>
    </cfRule>
  </conditionalFormatting>
  <conditionalFormatting sqref="X26">
    <cfRule type="cellIs" dxfId="3387" priority="9210" operator="greaterThanOrEqual">
      <formula>0</formula>
    </cfRule>
  </conditionalFormatting>
  <conditionalFormatting sqref="X26">
    <cfRule type="cellIs" dxfId="3386" priority="9209" operator="lessThan">
      <formula>0</formula>
    </cfRule>
  </conditionalFormatting>
  <conditionalFormatting sqref="X28">
    <cfRule type="cellIs" dxfId="3385" priority="9208" operator="greaterThanOrEqual">
      <formula>0</formula>
    </cfRule>
  </conditionalFormatting>
  <conditionalFormatting sqref="X28">
    <cfRule type="cellIs" dxfId="3384" priority="9207" operator="lessThan">
      <formula>0</formula>
    </cfRule>
  </conditionalFormatting>
  <conditionalFormatting sqref="X41">
    <cfRule type="cellIs" dxfId="3383" priority="9206" operator="greaterThanOrEqual">
      <formula>0</formula>
    </cfRule>
  </conditionalFormatting>
  <conditionalFormatting sqref="X41">
    <cfRule type="cellIs" dxfId="3382" priority="9205" operator="lessThan">
      <formula>0</formula>
    </cfRule>
  </conditionalFormatting>
  <conditionalFormatting sqref="X44">
    <cfRule type="cellIs" dxfId="3381" priority="9204" operator="greaterThanOrEqual">
      <formula>0</formula>
    </cfRule>
  </conditionalFormatting>
  <conditionalFormatting sqref="X44">
    <cfRule type="cellIs" dxfId="3380" priority="9203" operator="lessThan">
      <formula>0</formula>
    </cfRule>
  </conditionalFormatting>
  <conditionalFormatting sqref="X47">
    <cfRule type="cellIs" dxfId="3379" priority="9202" operator="greaterThanOrEqual">
      <formula>0</formula>
    </cfRule>
  </conditionalFormatting>
  <conditionalFormatting sqref="X47">
    <cfRule type="cellIs" dxfId="3378" priority="9201" operator="lessThan">
      <formula>0</formula>
    </cfRule>
  </conditionalFormatting>
  <conditionalFormatting sqref="X50">
    <cfRule type="cellIs" dxfId="3377" priority="9200" operator="greaterThanOrEqual">
      <formula>0</formula>
    </cfRule>
  </conditionalFormatting>
  <conditionalFormatting sqref="X50">
    <cfRule type="cellIs" dxfId="3376" priority="9199" operator="lessThan">
      <formula>0</formula>
    </cfRule>
  </conditionalFormatting>
  <conditionalFormatting sqref="X51">
    <cfRule type="cellIs" dxfId="3375" priority="9198" operator="greaterThanOrEqual">
      <formula>0</formula>
    </cfRule>
  </conditionalFormatting>
  <conditionalFormatting sqref="X51">
    <cfRule type="cellIs" dxfId="3374" priority="9197" operator="lessThan">
      <formula>0</formula>
    </cfRule>
  </conditionalFormatting>
  <conditionalFormatting sqref="X59">
    <cfRule type="cellIs" dxfId="3373" priority="9196" operator="greaterThanOrEqual">
      <formula>0</formula>
    </cfRule>
  </conditionalFormatting>
  <conditionalFormatting sqref="X59">
    <cfRule type="cellIs" dxfId="3372" priority="9195" operator="lessThan">
      <formula>0</formula>
    </cfRule>
  </conditionalFormatting>
  <conditionalFormatting sqref="X62">
    <cfRule type="cellIs" dxfId="3371" priority="9194" operator="greaterThanOrEqual">
      <formula>0</formula>
    </cfRule>
  </conditionalFormatting>
  <conditionalFormatting sqref="X62">
    <cfRule type="cellIs" dxfId="3370" priority="9193" operator="lessThan">
      <formula>0</formula>
    </cfRule>
  </conditionalFormatting>
  <conditionalFormatting sqref="X65">
    <cfRule type="cellIs" dxfId="3369" priority="9192" operator="greaterThanOrEqual">
      <formula>0</formula>
    </cfRule>
  </conditionalFormatting>
  <conditionalFormatting sqref="X65">
    <cfRule type="cellIs" dxfId="3368" priority="9191" operator="lessThan">
      <formula>0</formula>
    </cfRule>
  </conditionalFormatting>
  <conditionalFormatting sqref="X56">
    <cfRule type="cellIs" dxfId="3367" priority="9190" operator="greaterThanOrEqual">
      <formula>0</formula>
    </cfRule>
  </conditionalFormatting>
  <conditionalFormatting sqref="X56">
    <cfRule type="cellIs" dxfId="3366" priority="9189" operator="lessThan">
      <formula>0</formula>
    </cfRule>
  </conditionalFormatting>
  <conditionalFormatting sqref="X66">
    <cfRule type="cellIs" dxfId="3365" priority="9188" operator="greaterThanOrEqual">
      <formula>0</formula>
    </cfRule>
  </conditionalFormatting>
  <conditionalFormatting sqref="X66">
    <cfRule type="cellIs" dxfId="3364" priority="9187" operator="lessThan">
      <formula>0</formula>
    </cfRule>
  </conditionalFormatting>
  <conditionalFormatting sqref="Y16:Y17">
    <cfRule type="cellIs" dxfId="3363" priority="9185" operator="greaterThan">
      <formula>0</formula>
    </cfRule>
    <cfRule type="cellIs" dxfId="3362" priority="9186" operator="lessThanOrEqual">
      <formula>0</formula>
    </cfRule>
  </conditionalFormatting>
  <conditionalFormatting sqref="Y19:Y20">
    <cfRule type="cellIs" dxfId="3361" priority="9183" operator="greaterThan">
      <formula>0</formula>
    </cfRule>
    <cfRule type="cellIs" dxfId="3360" priority="9184" operator="lessThanOrEqual">
      <formula>0</formula>
    </cfRule>
  </conditionalFormatting>
  <conditionalFormatting sqref="Y22:Y23">
    <cfRule type="cellIs" dxfId="3359" priority="9181" operator="greaterThan">
      <formula>0</formula>
    </cfRule>
    <cfRule type="cellIs" dxfId="3358" priority="9182" operator="lessThanOrEqual">
      <formula>0</formula>
    </cfRule>
  </conditionalFormatting>
  <conditionalFormatting sqref="Y29:Y30">
    <cfRule type="cellIs" dxfId="3357" priority="9179" operator="greaterThan">
      <formula>0</formula>
    </cfRule>
    <cfRule type="cellIs" dxfId="3356" priority="9180" operator="lessThanOrEqual">
      <formula>0</formula>
    </cfRule>
  </conditionalFormatting>
  <conditionalFormatting sqref="Y32:Y33">
    <cfRule type="cellIs" dxfId="3355" priority="9177" operator="greaterThan">
      <formula>0</formula>
    </cfRule>
    <cfRule type="cellIs" dxfId="3354" priority="9178" operator="lessThanOrEqual">
      <formula>0</formula>
    </cfRule>
  </conditionalFormatting>
  <conditionalFormatting sqref="Y35:Y36">
    <cfRule type="cellIs" dxfId="3353" priority="9175" operator="greaterThan">
      <formula>0</formula>
    </cfRule>
    <cfRule type="cellIs" dxfId="3352" priority="9176" operator="lessThanOrEqual">
      <formula>0</formula>
    </cfRule>
  </conditionalFormatting>
  <conditionalFormatting sqref="Y38:Y39">
    <cfRule type="cellIs" dxfId="3351" priority="9173" operator="greaterThan">
      <formula>0</formula>
    </cfRule>
    <cfRule type="cellIs" dxfId="3350" priority="9174" operator="lessThanOrEqual">
      <formula>0</formula>
    </cfRule>
  </conditionalFormatting>
  <conditionalFormatting sqref="Y42:Y43">
    <cfRule type="cellIs" dxfId="3349" priority="9171" operator="greaterThan">
      <formula>0</formula>
    </cfRule>
    <cfRule type="cellIs" dxfId="3348" priority="9172" operator="lessThanOrEqual">
      <formula>0</formula>
    </cfRule>
  </conditionalFormatting>
  <conditionalFormatting sqref="Y45:Y46">
    <cfRule type="cellIs" dxfId="3347" priority="9169" operator="greaterThan">
      <formula>0</formula>
    </cfRule>
    <cfRule type="cellIs" dxfId="3346" priority="9170" operator="lessThanOrEqual">
      <formula>0</formula>
    </cfRule>
  </conditionalFormatting>
  <conditionalFormatting sqref="Y48:Y49">
    <cfRule type="cellIs" dxfId="3345" priority="9167" operator="greaterThan">
      <formula>0</formula>
    </cfRule>
    <cfRule type="cellIs" dxfId="3344" priority="9168" operator="lessThanOrEqual">
      <formula>0</formula>
    </cfRule>
  </conditionalFormatting>
  <conditionalFormatting sqref="Y53:Y54">
    <cfRule type="cellIs" dxfId="3343" priority="9165" operator="greaterThan">
      <formula>0</formula>
    </cfRule>
    <cfRule type="cellIs" dxfId="3342" priority="9166" operator="lessThanOrEqual">
      <formula>0</formula>
    </cfRule>
  </conditionalFormatting>
  <conditionalFormatting sqref="Y57:Y58">
    <cfRule type="cellIs" dxfId="3341" priority="9163" operator="greaterThan">
      <formula>0</formula>
    </cfRule>
    <cfRule type="cellIs" dxfId="3340" priority="9164" operator="lessThanOrEqual">
      <formula>0</formula>
    </cfRule>
  </conditionalFormatting>
  <conditionalFormatting sqref="Y60:Y61">
    <cfRule type="cellIs" dxfId="3339" priority="9161" operator="greaterThan">
      <formula>0</formula>
    </cfRule>
    <cfRule type="cellIs" dxfId="3338" priority="9162" operator="lessThanOrEqual">
      <formula>0</formula>
    </cfRule>
  </conditionalFormatting>
  <conditionalFormatting sqref="Y63:Y64">
    <cfRule type="cellIs" dxfId="3337" priority="9159" operator="greaterThan">
      <formula>0</formula>
    </cfRule>
    <cfRule type="cellIs" dxfId="3336" priority="9160" operator="lessThanOrEqual">
      <formula>0</formula>
    </cfRule>
  </conditionalFormatting>
  <conditionalFormatting sqref="Y25">
    <cfRule type="cellIs" dxfId="3335" priority="9158" operator="greaterThanOrEqual">
      <formula>0</formula>
    </cfRule>
  </conditionalFormatting>
  <conditionalFormatting sqref="Y25">
    <cfRule type="cellIs" dxfId="3334" priority="9157" operator="lessThan">
      <formula>0</formula>
    </cfRule>
  </conditionalFormatting>
  <conditionalFormatting sqref="Y26">
    <cfRule type="cellIs" dxfId="3333" priority="9156" operator="greaterThanOrEqual">
      <formula>0</formula>
    </cfRule>
  </conditionalFormatting>
  <conditionalFormatting sqref="Y26">
    <cfRule type="cellIs" dxfId="3332" priority="9155" operator="lessThan">
      <formula>0</formula>
    </cfRule>
  </conditionalFormatting>
  <conditionalFormatting sqref="Y28">
    <cfRule type="cellIs" dxfId="3331" priority="9154" operator="greaterThanOrEqual">
      <formula>0</formula>
    </cfRule>
  </conditionalFormatting>
  <conditionalFormatting sqref="Y28">
    <cfRule type="cellIs" dxfId="3330" priority="9153" operator="lessThan">
      <formula>0</formula>
    </cfRule>
  </conditionalFormatting>
  <conditionalFormatting sqref="Y41">
    <cfRule type="cellIs" dxfId="3329" priority="9152" operator="greaterThanOrEqual">
      <formula>0</formula>
    </cfRule>
  </conditionalFormatting>
  <conditionalFormatting sqref="Y41">
    <cfRule type="cellIs" dxfId="3328" priority="9151" operator="lessThan">
      <formula>0</formula>
    </cfRule>
  </conditionalFormatting>
  <conditionalFormatting sqref="Y44">
    <cfRule type="cellIs" dxfId="3327" priority="9150" operator="greaterThanOrEqual">
      <formula>0</formula>
    </cfRule>
  </conditionalFormatting>
  <conditionalFormatting sqref="Y44">
    <cfRule type="cellIs" dxfId="3326" priority="9149" operator="lessThan">
      <formula>0</formula>
    </cfRule>
  </conditionalFormatting>
  <conditionalFormatting sqref="Y47">
    <cfRule type="cellIs" dxfId="3325" priority="9148" operator="greaterThanOrEqual">
      <formula>0</formula>
    </cfRule>
  </conditionalFormatting>
  <conditionalFormatting sqref="Y47">
    <cfRule type="cellIs" dxfId="3324" priority="9147" operator="lessThan">
      <formula>0</formula>
    </cfRule>
  </conditionalFormatting>
  <conditionalFormatting sqref="Y50">
    <cfRule type="cellIs" dxfId="3323" priority="9146" operator="greaterThanOrEqual">
      <formula>0</formula>
    </cfRule>
  </conditionalFormatting>
  <conditionalFormatting sqref="Y50">
    <cfRule type="cellIs" dxfId="3322" priority="9145" operator="lessThan">
      <formula>0</formula>
    </cfRule>
  </conditionalFormatting>
  <conditionalFormatting sqref="Y51">
    <cfRule type="cellIs" dxfId="3321" priority="9144" operator="greaterThanOrEqual">
      <formula>0</formula>
    </cfRule>
  </conditionalFormatting>
  <conditionalFormatting sqref="Y51">
    <cfRule type="cellIs" dxfId="3320" priority="9143" operator="lessThan">
      <formula>0</formula>
    </cfRule>
  </conditionalFormatting>
  <conditionalFormatting sqref="Y59">
    <cfRule type="cellIs" dxfId="3319" priority="9142" operator="greaterThanOrEqual">
      <formula>0</formula>
    </cfRule>
  </conditionalFormatting>
  <conditionalFormatting sqref="Y59">
    <cfRule type="cellIs" dxfId="3318" priority="9141" operator="lessThan">
      <formula>0</formula>
    </cfRule>
  </conditionalFormatting>
  <conditionalFormatting sqref="Y62">
    <cfRule type="cellIs" dxfId="3317" priority="9140" operator="greaterThanOrEqual">
      <formula>0</formula>
    </cfRule>
  </conditionalFormatting>
  <conditionalFormatting sqref="Y62">
    <cfRule type="cellIs" dxfId="3316" priority="9139" operator="lessThan">
      <formula>0</formula>
    </cfRule>
  </conditionalFormatting>
  <conditionalFormatting sqref="Y65">
    <cfRule type="cellIs" dxfId="3315" priority="9138" operator="greaterThanOrEqual">
      <formula>0</formula>
    </cfRule>
  </conditionalFormatting>
  <conditionalFormatting sqref="Y65">
    <cfRule type="cellIs" dxfId="3314" priority="9137" operator="lessThan">
      <formula>0</formula>
    </cfRule>
  </conditionalFormatting>
  <conditionalFormatting sqref="Y56">
    <cfRule type="cellIs" dxfId="3313" priority="9135" operator="lessThan">
      <formula>0</formula>
    </cfRule>
  </conditionalFormatting>
  <conditionalFormatting sqref="Y56">
    <cfRule type="cellIs" dxfId="3312" priority="9136" operator="greaterThanOrEqual">
      <formula>0</formula>
    </cfRule>
  </conditionalFormatting>
  <conditionalFormatting sqref="Y66">
    <cfRule type="cellIs" dxfId="3311" priority="9133" operator="lessThan">
      <formula>0</formula>
    </cfRule>
  </conditionalFormatting>
  <conditionalFormatting sqref="Y66">
    <cfRule type="cellIs" dxfId="3310" priority="9134" operator="greaterThanOrEqual">
      <formula>0</formula>
    </cfRule>
  </conditionalFormatting>
  <conditionalFormatting sqref="X70">
    <cfRule type="cellIs" dxfId="3309" priority="9131" operator="lessThan">
      <formula>0</formula>
    </cfRule>
    <cfRule type="cellIs" dxfId="3308" priority="9132" operator="greaterThanOrEqual">
      <formula>0</formula>
    </cfRule>
  </conditionalFormatting>
  <conditionalFormatting sqref="Y70">
    <cfRule type="cellIs" dxfId="3307" priority="9129" operator="lessThan">
      <formula>0</formula>
    </cfRule>
    <cfRule type="cellIs" dxfId="3306" priority="9130" operator="greaterThanOrEqual">
      <formula>0</formula>
    </cfRule>
  </conditionalFormatting>
  <conditionalFormatting sqref="Y72">
    <cfRule type="cellIs" dxfId="3305" priority="9127" operator="lessThan">
      <formula>0</formula>
    </cfRule>
    <cfRule type="cellIs" dxfId="3304" priority="9128" operator="greaterThanOrEqual">
      <formula>0</formula>
    </cfRule>
  </conditionalFormatting>
  <conditionalFormatting sqref="Q55">
    <cfRule type="cellIs" dxfId="3303" priority="9126" operator="greaterThanOrEqual">
      <formula>0</formula>
    </cfRule>
  </conditionalFormatting>
  <conditionalFormatting sqref="Q55">
    <cfRule type="cellIs" dxfId="3302" priority="9125" operator="lessThan">
      <formula>0</formula>
    </cfRule>
  </conditionalFormatting>
  <conditionalFormatting sqref="V55">
    <cfRule type="cellIs" dxfId="3301" priority="9123" operator="greaterThan">
      <formula>0</formula>
    </cfRule>
    <cfRule type="cellIs" dxfId="3300" priority="9124" operator="lessThanOrEqual">
      <formula>0</formula>
    </cfRule>
  </conditionalFormatting>
  <conditionalFormatting sqref="U55">
    <cfRule type="cellIs" dxfId="3299" priority="9122" operator="greaterThanOrEqual">
      <formula>0</formula>
    </cfRule>
  </conditionalFormatting>
  <conditionalFormatting sqref="U55">
    <cfRule type="cellIs" dxfId="3298" priority="9121" operator="lessThan">
      <formula>0</formula>
    </cfRule>
  </conditionalFormatting>
  <conditionalFormatting sqref="R55">
    <cfRule type="cellIs" dxfId="3297" priority="9119" operator="greaterThan">
      <formula>0</formula>
    </cfRule>
    <cfRule type="cellIs" dxfId="3296" priority="9120" operator="lessThanOrEqual">
      <formula>0</formula>
    </cfRule>
  </conditionalFormatting>
  <conditionalFormatting sqref="X55">
    <cfRule type="cellIs" dxfId="3295" priority="9118" operator="greaterThanOrEqual">
      <formula>0</formula>
    </cfRule>
  </conditionalFormatting>
  <conditionalFormatting sqref="X55">
    <cfRule type="cellIs" dxfId="3294" priority="9117" operator="lessThan">
      <formula>0</formula>
    </cfRule>
  </conditionalFormatting>
  <conditionalFormatting sqref="Y55">
    <cfRule type="cellIs" dxfId="3293" priority="9116" operator="greaterThanOrEqual">
      <formula>0</formula>
    </cfRule>
  </conditionalFormatting>
  <conditionalFormatting sqref="Y55">
    <cfRule type="cellIs" dxfId="3292" priority="9115" operator="lessThan">
      <formula>0</formula>
    </cfRule>
  </conditionalFormatting>
  <conditionalFormatting sqref="R27">
    <cfRule type="cellIs" dxfId="3291" priority="8669" operator="greaterThan">
      <formula>0</formula>
    </cfRule>
    <cfRule type="cellIs" dxfId="3290" priority="8670" operator="lessThanOrEqual">
      <formula>0</formula>
    </cfRule>
  </conditionalFormatting>
  <conditionalFormatting sqref="Q27">
    <cfRule type="cellIs" dxfId="3289" priority="8668" operator="greaterThanOrEqual">
      <formula>0</formula>
    </cfRule>
  </conditionalFormatting>
  <conditionalFormatting sqref="Q27">
    <cfRule type="cellIs" dxfId="3288" priority="8667" operator="lessThan">
      <formula>0</formula>
    </cfRule>
  </conditionalFormatting>
  <conditionalFormatting sqref="V27">
    <cfRule type="cellIs" dxfId="3287" priority="8665" operator="greaterThan">
      <formula>0</formula>
    </cfRule>
    <cfRule type="cellIs" dxfId="3286" priority="8666" operator="lessThanOrEqual">
      <formula>0</formula>
    </cfRule>
  </conditionalFormatting>
  <conditionalFormatting sqref="U27">
    <cfRule type="cellIs" dxfId="3285" priority="8664" operator="greaterThanOrEqual">
      <formula>0</formula>
    </cfRule>
  </conditionalFormatting>
  <conditionalFormatting sqref="U27">
    <cfRule type="cellIs" dxfId="3284" priority="8663" operator="lessThan">
      <formula>0</formula>
    </cfRule>
  </conditionalFormatting>
  <conditionalFormatting sqref="X27">
    <cfRule type="cellIs" dxfId="3283" priority="8662" operator="greaterThanOrEqual">
      <formula>0</formula>
    </cfRule>
  </conditionalFormatting>
  <conditionalFormatting sqref="X27">
    <cfRule type="cellIs" dxfId="3282" priority="8661" operator="lessThan">
      <formula>0</formula>
    </cfRule>
  </conditionalFormatting>
  <conditionalFormatting sqref="Y27">
    <cfRule type="cellIs" dxfId="3281" priority="8660" operator="greaterThanOrEqual">
      <formula>0</formula>
    </cfRule>
  </conditionalFormatting>
  <conditionalFormatting sqref="Y27">
    <cfRule type="cellIs" dxfId="3280" priority="8659" operator="lessThan">
      <formula>0</formula>
    </cfRule>
  </conditionalFormatting>
  <conditionalFormatting sqref="AC13:AC14">
    <cfRule type="cellIs" dxfId="3279" priority="8639" operator="greaterThan">
      <formula>0</formula>
    </cfRule>
    <cfRule type="cellIs" dxfId="3278" priority="8640" operator="lessThanOrEqual">
      <formula>0</formula>
    </cfRule>
  </conditionalFormatting>
  <conditionalFormatting sqref="AC16:AC17">
    <cfRule type="cellIs" dxfId="3277" priority="8637" operator="greaterThan">
      <formula>0</formula>
    </cfRule>
    <cfRule type="cellIs" dxfId="3276" priority="8638" operator="lessThanOrEqual">
      <formula>0</formula>
    </cfRule>
  </conditionalFormatting>
  <conditionalFormatting sqref="AC19:AC20">
    <cfRule type="cellIs" dxfId="3275" priority="8635" operator="greaterThan">
      <formula>0</formula>
    </cfRule>
    <cfRule type="cellIs" dxfId="3274" priority="8636" operator="lessThanOrEqual">
      <formula>0</formula>
    </cfRule>
  </conditionalFormatting>
  <conditionalFormatting sqref="AC29:AC30">
    <cfRule type="cellIs" dxfId="3273" priority="8633" operator="greaterThan">
      <formula>0</formula>
    </cfRule>
    <cfRule type="cellIs" dxfId="3272" priority="8634" operator="lessThanOrEqual">
      <formula>0</formula>
    </cfRule>
  </conditionalFormatting>
  <conditionalFormatting sqref="AC22:AC23">
    <cfRule type="cellIs" dxfId="3271" priority="8631" operator="greaterThan">
      <formula>0</formula>
    </cfRule>
    <cfRule type="cellIs" dxfId="3270" priority="8632" operator="lessThanOrEqual">
      <formula>0</formula>
    </cfRule>
  </conditionalFormatting>
  <conditionalFormatting sqref="AC32:AC33">
    <cfRule type="cellIs" dxfId="3269" priority="8629" operator="greaterThan">
      <formula>0</formula>
    </cfRule>
    <cfRule type="cellIs" dxfId="3268" priority="8630" operator="lessThanOrEqual">
      <formula>0</formula>
    </cfRule>
  </conditionalFormatting>
  <conditionalFormatting sqref="AC35:AC36">
    <cfRule type="cellIs" dxfId="3267" priority="8627" operator="greaterThan">
      <formula>0</formula>
    </cfRule>
    <cfRule type="cellIs" dxfId="3266" priority="8628" operator="lessThanOrEqual">
      <formula>0</formula>
    </cfRule>
  </conditionalFormatting>
  <conditionalFormatting sqref="AC38:AC39">
    <cfRule type="cellIs" dxfId="3265" priority="8625" operator="greaterThan">
      <formula>0</formula>
    </cfRule>
    <cfRule type="cellIs" dxfId="3264" priority="8626" operator="lessThanOrEqual">
      <formula>0</formula>
    </cfRule>
  </conditionalFormatting>
  <conditionalFormatting sqref="AC48:AC49">
    <cfRule type="cellIs" dxfId="3263" priority="8623" operator="greaterThan">
      <formula>0</formula>
    </cfRule>
    <cfRule type="cellIs" dxfId="3262" priority="8624" operator="lessThanOrEqual">
      <formula>0</formula>
    </cfRule>
  </conditionalFormatting>
  <conditionalFormatting sqref="AC63:AC64">
    <cfRule type="cellIs" dxfId="3261" priority="8621" operator="greaterThan">
      <formula>0</formula>
    </cfRule>
    <cfRule type="cellIs" dxfId="3260" priority="8622" operator="lessThanOrEqual">
      <formula>0</formula>
    </cfRule>
  </conditionalFormatting>
  <conditionalFormatting sqref="AC53:AC54">
    <cfRule type="cellIs" dxfId="3259" priority="8619" operator="greaterThan">
      <formula>0</formula>
    </cfRule>
    <cfRule type="cellIs" dxfId="3258" priority="8620" operator="lessThanOrEqual">
      <formula>0</formula>
    </cfRule>
  </conditionalFormatting>
  <conditionalFormatting sqref="AC15">
    <cfRule type="cellIs" dxfId="3257" priority="8617" operator="greaterThan">
      <formula>0</formula>
    </cfRule>
    <cfRule type="cellIs" dxfId="3256" priority="8618" operator="lessThanOrEqual">
      <formula>0</formula>
    </cfRule>
  </conditionalFormatting>
  <conditionalFormatting sqref="AC18">
    <cfRule type="cellIs" dxfId="3255" priority="8615" operator="greaterThan">
      <formula>0</formula>
    </cfRule>
    <cfRule type="cellIs" dxfId="3254" priority="8616" operator="lessThanOrEqual">
      <formula>0</formula>
    </cfRule>
  </conditionalFormatting>
  <conditionalFormatting sqref="AC21">
    <cfRule type="cellIs" dxfId="3253" priority="8613" operator="greaterThan">
      <formula>0</formula>
    </cfRule>
    <cfRule type="cellIs" dxfId="3252" priority="8614" operator="lessThanOrEqual">
      <formula>0</formula>
    </cfRule>
  </conditionalFormatting>
  <conditionalFormatting sqref="AC31">
    <cfRule type="cellIs" dxfId="3251" priority="8611" operator="greaterThan">
      <formula>0</formula>
    </cfRule>
    <cfRule type="cellIs" dxfId="3250" priority="8612" operator="lessThanOrEqual">
      <formula>0</formula>
    </cfRule>
  </conditionalFormatting>
  <conditionalFormatting sqref="AC24">
    <cfRule type="cellIs" dxfId="3249" priority="8609" operator="greaterThan">
      <formula>0</formula>
    </cfRule>
    <cfRule type="cellIs" dxfId="3248" priority="8610" operator="lessThanOrEqual">
      <formula>0</formula>
    </cfRule>
  </conditionalFormatting>
  <conditionalFormatting sqref="AC34">
    <cfRule type="cellIs" dxfId="3247" priority="8607" operator="greaterThan">
      <formula>0</formula>
    </cfRule>
    <cfRule type="cellIs" dxfId="3246" priority="8608" operator="lessThanOrEqual">
      <formula>0</formula>
    </cfRule>
  </conditionalFormatting>
  <conditionalFormatting sqref="AC37">
    <cfRule type="cellIs" dxfId="3245" priority="8605" operator="greaterThan">
      <formula>0</formula>
    </cfRule>
    <cfRule type="cellIs" dxfId="3244" priority="8606" operator="lessThanOrEqual">
      <formula>0</formula>
    </cfRule>
  </conditionalFormatting>
  <conditionalFormatting sqref="AC40">
    <cfRule type="cellIs" dxfId="3243" priority="8603" operator="greaterThan">
      <formula>0</formula>
    </cfRule>
    <cfRule type="cellIs" dxfId="3242" priority="8604" operator="lessThanOrEqual">
      <formula>0</formula>
    </cfRule>
  </conditionalFormatting>
  <conditionalFormatting sqref="AC26">
    <cfRule type="cellIs" dxfId="3241" priority="8601" operator="greaterThan">
      <formula>0</formula>
    </cfRule>
    <cfRule type="cellIs" dxfId="3240" priority="8602" operator="lessThanOrEqual">
      <formula>0</formula>
    </cfRule>
  </conditionalFormatting>
  <conditionalFormatting sqref="AC66 AC68 AC71">
    <cfRule type="cellIs" dxfId="3239" priority="8599" operator="greaterThan">
      <formula>0</formula>
    </cfRule>
    <cfRule type="cellIs" dxfId="3238" priority="8600" operator="lessThanOrEqual">
      <formula>0</formula>
    </cfRule>
  </conditionalFormatting>
  <conditionalFormatting sqref="AB13:AB14 AB16:AB17 AB19:AB20 AB22:AB23 AB29:AB30 AB32:AB33 AB35:AB36 AB38:AB39 AB48:AB49 AB53:AB54">
    <cfRule type="cellIs" dxfId="3237" priority="8597" operator="lessThan">
      <formula>0</formula>
    </cfRule>
    <cfRule type="cellIs" dxfId="3236" priority="8598" operator="greaterThanOrEqual">
      <formula>0</formula>
    </cfRule>
  </conditionalFormatting>
  <conditionalFormatting sqref="AB15 AB18 AB21 AB24 AB26 AB31 AB34 AB37 AB40">
    <cfRule type="cellIs" dxfId="3235" priority="8596" operator="greaterThanOrEqual">
      <formula>0</formula>
    </cfRule>
  </conditionalFormatting>
  <conditionalFormatting sqref="AB15 AB18 AB21 AB24 AB26 AB31 AB34 AB37 AB40">
    <cfRule type="cellIs" dxfId="3234" priority="8595" operator="lessThan">
      <formula>0</formula>
    </cfRule>
  </conditionalFormatting>
  <conditionalFormatting sqref="AC73">
    <cfRule type="cellIs" dxfId="3233" priority="8593" operator="greaterThan">
      <formula>0</formula>
    </cfRule>
    <cfRule type="cellIs" dxfId="3232" priority="8594" operator="lessThanOrEqual">
      <formula>0</formula>
    </cfRule>
  </conditionalFormatting>
  <conditionalFormatting sqref="AC67">
    <cfRule type="cellIs" dxfId="3231" priority="8591" operator="greaterThan">
      <formula>0</formula>
    </cfRule>
    <cfRule type="cellIs" dxfId="3230" priority="8592" operator="lessThanOrEqual">
      <formula>0</formula>
    </cfRule>
  </conditionalFormatting>
  <conditionalFormatting sqref="AB67">
    <cfRule type="cellIs" dxfId="3229" priority="8589" operator="greaterThanOrEqual">
      <formula>0</formula>
    </cfRule>
    <cfRule type="cellIs" dxfId="3228" priority="8590" operator="lessThan">
      <formula>0</formula>
    </cfRule>
  </conditionalFormatting>
  <conditionalFormatting sqref="AI13:AI14 AI16:AI17 AI19:AI20 AI22:AI23 AI29:AI30 AI32:AI33 AI35:AI36 AI38:AI39 AI48:AI49">
    <cfRule type="cellIs" dxfId="3227" priority="8587" operator="lessThan">
      <formula>0</formula>
    </cfRule>
    <cfRule type="cellIs" dxfId="3226" priority="8588" operator="greaterThanOrEqual">
      <formula>0</formula>
    </cfRule>
  </conditionalFormatting>
  <conditionalFormatting sqref="AI15 AI24 AI18 AI21 AI31 AI34 AI37 AI40">
    <cfRule type="cellIs" dxfId="3225" priority="8586" operator="greaterThanOrEqual">
      <formula>0</formula>
    </cfRule>
  </conditionalFormatting>
  <conditionalFormatting sqref="AI15 AI24 AI18 AI21 AI31 AI34 AI37 AI40">
    <cfRule type="cellIs" dxfId="3224" priority="8585" operator="lessThan">
      <formula>0</formula>
    </cfRule>
  </conditionalFormatting>
  <conditionalFormatting sqref="AI71 AI73">
    <cfRule type="cellIs" dxfId="3223" priority="8583" operator="lessThan">
      <formula>0</formula>
    </cfRule>
    <cfRule type="cellIs" dxfId="3222" priority="8584" operator="greaterThanOrEqual">
      <formula>0</formula>
    </cfRule>
  </conditionalFormatting>
  <conditionalFormatting sqref="AI67">
    <cfRule type="cellIs" dxfId="3221" priority="8581" operator="greaterThanOrEqual">
      <formula>0</formula>
    </cfRule>
    <cfRule type="cellIs" dxfId="3220" priority="8582" operator="lessThan">
      <formula>0</formula>
    </cfRule>
  </conditionalFormatting>
  <conditionalFormatting sqref="AJ13:AJ14">
    <cfRule type="cellIs" dxfId="3219" priority="8579" operator="greaterThan">
      <formula>0</formula>
    </cfRule>
    <cfRule type="cellIs" dxfId="3218" priority="8580" operator="lessThanOrEqual">
      <formula>0</formula>
    </cfRule>
  </conditionalFormatting>
  <conditionalFormatting sqref="AJ68">
    <cfRule type="cellIs" dxfId="3217" priority="8577" operator="lessThan">
      <formula>0</formula>
    </cfRule>
    <cfRule type="cellIs" dxfId="3216" priority="8578" operator="greaterThanOrEqual">
      <formula>0</formula>
    </cfRule>
  </conditionalFormatting>
  <conditionalFormatting sqref="AJ15 AJ24 AJ18 AJ21 AJ31 AJ34 AJ37 AJ40">
    <cfRule type="cellIs" dxfId="3215" priority="8576" operator="greaterThanOrEqual">
      <formula>0</formula>
    </cfRule>
  </conditionalFormatting>
  <conditionalFormatting sqref="AJ15 AJ24 AJ18 AJ21 AJ31 AJ34 AJ37 AJ40">
    <cfRule type="cellIs" dxfId="3214" priority="8575" operator="lessThan">
      <formula>0</formula>
    </cfRule>
  </conditionalFormatting>
  <conditionalFormatting sqref="AI68">
    <cfRule type="cellIs" dxfId="3213" priority="8573" operator="lessThan">
      <formula>0</formula>
    </cfRule>
    <cfRule type="cellIs" dxfId="3212" priority="8574" operator="greaterThanOrEqual">
      <formula>0</formula>
    </cfRule>
  </conditionalFormatting>
  <conditionalFormatting sqref="AJ71 AJ73">
    <cfRule type="cellIs" dxfId="3211" priority="8571" operator="lessThan">
      <formula>0</formula>
    </cfRule>
    <cfRule type="cellIs" dxfId="3210" priority="8572" operator="greaterThanOrEqual">
      <formula>0</formula>
    </cfRule>
  </conditionalFormatting>
  <conditionalFormatting sqref="AJ67">
    <cfRule type="cellIs" dxfId="3209" priority="8569" operator="lessThan">
      <formula>0</formula>
    </cfRule>
    <cfRule type="cellIs" dxfId="3208" priority="8570" operator="greaterThanOrEqual">
      <formula>0</formula>
    </cfRule>
  </conditionalFormatting>
  <conditionalFormatting sqref="AB62">
    <cfRule type="cellIs" dxfId="3207" priority="8550" operator="greaterThanOrEqual">
      <formula>0</formula>
    </cfRule>
  </conditionalFormatting>
  <conditionalFormatting sqref="AB62">
    <cfRule type="cellIs" dxfId="3206" priority="8549" operator="lessThan">
      <formula>0</formula>
    </cfRule>
  </conditionalFormatting>
  <conditionalFormatting sqref="AC44">
    <cfRule type="cellIs" dxfId="3205" priority="8559" operator="greaterThan">
      <formula>0</formula>
    </cfRule>
    <cfRule type="cellIs" dxfId="3204" priority="8560" operator="lessThanOrEqual">
      <formula>0</formula>
    </cfRule>
  </conditionalFormatting>
  <conditionalFormatting sqref="AC47">
    <cfRule type="cellIs" dxfId="3203" priority="8557" operator="greaterThan">
      <formula>0</formula>
    </cfRule>
    <cfRule type="cellIs" dxfId="3202" priority="8558" operator="lessThanOrEqual">
      <formula>0</formula>
    </cfRule>
  </conditionalFormatting>
  <conditionalFormatting sqref="AC50">
    <cfRule type="cellIs" dxfId="3201" priority="8555" operator="greaterThan">
      <formula>0</formula>
    </cfRule>
    <cfRule type="cellIs" dxfId="3200" priority="8556" operator="lessThanOrEqual">
      <formula>0</formula>
    </cfRule>
  </conditionalFormatting>
  <conditionalFormatting sqref="AC28">
    <cfRule type="cellIs" dxfId="3199" priority="8567" operator="greaterThan">
      <formula>0</formula>
    </cfRule>
    <cfRule type="cellIs" dxfId="3198" priority="8568" operator="lessThanOrEqual">
      <formula>0</formula>
    </cfRule>
  </conditionalFormatting>
  <conditionalFormatting sqref="AC41">
    <cfRule type="cellIs" dxfId="3197" priority="8565" operator="greaterThan">
      <formula>0</formula>
    </cfRule>
    <cfRule type="cellIs" dxfId="3196" priority="8566" operator="lessThanOrEqual">
      <formula>0</formula>
    </cfRule>
  </conditionalFormatting>
  <conditionalFormatting sqref="AC42:AC43 AC45:AC46">
    <cfRule type="cellIs" dxfId="3195" priority="8563" operator="greaterThan">
      <formula>0</formula>
    </cfRule>
    <cfRule type="cellIs" dxfId="3194" priority="8564" operator="lessThanOrEqual">
      <formula>0</formula>
    </cfRule>
  </conditionalFormatting>
  <conditionalFormatting sqref="AC57:AC58 AC60:AC61">
    <cfRule type="cellIs" dxfId="3193" priority="8561" operator="greaterThan">
      <formula>0</formula>
    </cfRule>
    <cfRule type="cellIs" dxfId="3192" priority="8562" operator="lessThanOrEqual">
      <formula>0</formula>
    </cfRule>
  </conditionalFormatting>
  <conditionalFormatting sqref="AC59">
    <cfRule type="cellIs" dxfId="3191" priority="8553" operator="greaterThan">
      <formula>0</formula>
    </cfRule>
    <cfRule type="cellIs" dxfId="3190" priority="8554" operator="lessThanOrEqual">
      <formula>0</formula>
    </cfRule>
  </conditionalFormatting>
  <conditionalFormatting sqref="AC62">
    <cfRule type="cellIs" dxfId="3189" priority="8551" operator="greaterThan">
      <formula>0</formula>
    </cfRule>
    <cfRule type="cellIs" dxfId="3188" priority="8552" operator="lessThanOrEqual">
      <formula>0</formula>
    </cfRule>
  </conditionalFormatting>
  <conditionalFormatting sqref="AC65">
    <cfRule type="cellIs" dxfId="3187" priority="8547" operator="greaterThan">
      <formula>0</formula>
    </cfRule>
    <cfRule type="cellIs" dxfId="3186" priority="8548" operator="lessThanOrEqual">
      <formula>0</formula>
    </cfRule>
  </conditionalFormatting>
  <conditionalFormatting sqref="AG47">
    <cfRule type="cellIs" dxfId="3185" priority="8217" operator="greaterThan">
      <formula>0</formula>
    </cfRule>
    <cfRule type="cellIs" dxfId="3184" priority="8218" operator="lessThanOrEqual">
      <formula>0</formula>
    </cfRule>
  </conditionalFormatting>
  <conditionalFormatting sqref="AG59">
    <cfRule type="cellIs" dxfId="3183" priority="8213" operator="greaterThan">
      <formula>0</formula>
    </cfRule>
    <cfRule type="cellIs" dxfId="3182" priority="8214" operator="lessThanOrEqual">
      <formula>0</formula>
    </cfRule>
  </conditionalFormatting>
  <conditionalFormatting sqref="AF62">
    <cfRule type="cellIs" dxfId="3181" priority="8210" operator="greaterThanOrEqual">
      <formula>0</formula>
    </cfRule>
  </conditionalFormatting>
  <conditionalFormatting sqref="AF62">
    <cfRule type="cellIs" dxfId="3180" priority="8209" operator="lessThan">
      <formula>0</formula>
    </cfRule>
  </conditionalFormatting>
  <conditionalFormatting sqref="AC25">
    <cfRule type="cellIs" dxfId="3179" priority="8337" operator="greaterThan">
      <formula>0</formula>
    </cfRule>
    <cfRule type="cellIs" dxfId="3178" priority="8338" operator="lessThanOrEqual">
      <formula>0</formula>
    </cfRule>
  </conditionalFormatting>
  <conditionalFormatting sqref="AJ52">
    <cfRule type="cellIs" dxfId="3177" priority="8325" operator="lessThan">
      <formula>0</formula>
    </cfRule>
  </conditionalFormatting>
  <conditionalFormatting sqref="AC56">
    <cfRule type="cellIs" dxfId="3176" priority="8335" operator="greaterThan">
      <formula>0</formula>
    </cfRule>
    <cfRule type="cellIs" dxfId="3175" priority="8336" operator="lessThanOrEqual">
      <formula>0</formula>
    </cfRule>
  </conditionalFormatting>
  <conditionalFormatting sqref="AB56">
    <cfRule type="cellIs" dxfId="3174" priority="8334" operator="greaterThanOrEqual">
      <formula>0</formula>
    </cfRule>
  </conditionalFormatting>
  <conditionalFormatting sqref="AB56">
    <cfRule type="cellIs" dxfId="3173" priority="8333" operator="lessThan">
      <formula>0</formula>
    </cfRule>
  </conditionalFormatting>
  <conditionalFormatting sqref="AC52">
    <cfRule type="cellIs" dxfId="3172" priority="8331" operator="greaterThan">
      <formula>0</formula>
    </cfRule>
    <cfRule type="cellIs" dxfId="3171" priority="8332" operator="lessThanOrEqual">
      <formula>0</formula>
    </cfRule>
  </conditionalFormatting>
  <conditionalFormatting sqref="AB52">
    <cfRule type="cellIs" dxfId="3170" priority="8330" operator="greaterThanOrEqual">
      <formula>0</formula>
    </cfRule>
  </conditionalFormatting>
  <conditionalFormatting sqref="AB52">
    <cfRule type="cellIs" dxfId="3169" priority="8329" operator="lessThan">
      <formula>0</formula>
    </cfRule>
  </conditionalFormatting>
  <conditionalFormatting sqref="AI52">
    <cfRule type="cellIs" dxfId="3168" priority="8328" operator="greaterThanOrEqual">
      <formula>0</formula>
    </cfRule>
  </conditionalFormatting>
  <conditionalFormatting sqref="AI52">
    <cfRule type="cellIs" dxfId="3167" priority="8327" operator="lessThan">
      <formula>0</formula>
    </cfRule>
  </conditionalFormatting>
  <conditionalFormatting sqref="AJ52">
    <cfRule type="cellIs" dxfId="3166" priority="8326" operator="greaterThanOrEqual">
      <formula>0</formula>
    </cfRule>
  </conditionalFormatting>
  <conditionalFormatting sqref="AC69">
    <cfRule type="cellIs" dxfId="3165" priority="8323" operator="greaterThan">
      <formula>0</formula>
    </cfRule>
    <cfRule type="cellIs" dxfId="3164" priority="8324" operator="lessThanOrEqual">
      <formula>0</formula>
    </cfRule>
  </conditionalFormatting>
  <conditionalFormatting sqref="AI69">
    <cfRule type="cellIs" dxfId="3163" priority="8321" operator="lessThan">
      <formula>0</formula>
    </cfRule>
    <cfRule type="cellIs" dxfId="3162" priority="8322" operator="greaterThanOrEqual">
      <formula>0</formula>
    </cfRule>
  </conditionalFormatting>
  <conditionalFormatting sqref="AJ69">
    <cfRule type="cellIs" dxfId="3161" priority="8319" operator="lessThan">
      <formula>0</formula>
    </cfRule>
    <cfRule type="cellIs" dxfId="3160" priority="8320" operator="greaterThanOrEqual">
      <formula>0</formula>
    </cfRule>
  </conditionalFormatting>
  <conditionalFormatting sqref="AC70">
    <cfRule type="cellIs" dxfId="3159" priority="8317" operator="greaterThan">
      <formula>0</formula>
    </cfRule>
    <cfRule type="cellIs" dxfId="3158" priority="8318" operator="lessThanOrEqual">
      <formula>0</formula>
    </cfRule>
  </conditionalFormatting>
  <conditionalFormatting sqref="AI72">
    <cfRule type="cellIs" dxfId="3157" priority="8315" operator="lessThan">
      <formula>0</formula>
    </cfRule>
    <cfRule type="cellIs" dxfId="3156" priority="8316" operator="greaterThanOrEqual">
      <formula>0</formula>
    </cfRule>
  </conditionalFormatting>
  <conditionalFormatting sqref="AC72">
    <cfRule type="cellIs" dxfId="3155" priority="8313" operator="greaterThan">
      <formula>0</formula>
    </cfRule>
    <cfRule type="cellIs" dxfId="3154" priority="8314" operator="lessThanOrEqual">
      <formula>0</formula>
    </cfRule>
  </conditionalFormatting>
  <conditionalFormatting sqref="AB25">
    <cfRule type="cellIs" dxfId="3153" priority="8312" operator="greaterThanOrEqual">
      <formula>0</formula>
    </cfRule>
  </conditionalFormatting>
  <conditionalFormatting sqref="AB25">
    <cfRule type="cellIs" dxfId="3152" priority="8311" operator="lessThan">
      <formula>0</formula>
    </cfRule>
  </conditionalFormatting>
  <conditionalFormatting sqref="AB28">
    <cfRule type="cellIs" dxfId="3151" priority="8310" operator="greaterThanOrEqual">
      <formula>0</formula>
    </cfRule>
  </conditionalFormatting>
  <conditionalFormatting sqref="AB28">
    <cfRule type="cellIs" dxfId="3150" priority="8309" operator="lessThan">
      <formula>0</formula>
    </cfRule>
  </conditionalFormatting>
  <conditionalFormatting sqref="AB41">
    <cfRule type="cellIs" dxfId="3149" priority="8308" operator="greaterThanOrEqual">
      <formula>0</formula>
    </cfRule>
  </conditionalFormatting>
  <conditionalFormatting sqref="AB41">
    <cfRule type="cellIs" dxfId="3148" priority="8307" operator="lessThan">
      <formula>0</formula>
    </cfRule>
  </conditionalFormatting>
  <conditionalFormatting sqref="AB44">
    <cfRule type="cellIs" dxfId="3147" priority="8306" operator="greaterThanOrEqual">
      <formula>0</formula>
    </cfRule>
  </conditionalFormatting>
  <conditionalFormatting sqref="AB44">
    <cfRule type="cellIs" dxfId="3146" priority="8305" operator="lessThan">
      <formula>0</formula>
    </cfRule>
  </conditionalFormatting>
  <conditionalFormatting sqref="AB47">
    <cfRule type="cellIs" dxfId="3145" priority="8304" operator="greaterThanOrEqual">
      <formula>0</formula>
    </cfRule>
  </conditionalFormatting>
  <conditionalFormatting sqref="AB47">
    <cfRule type="cellIs" dxfId="3144" priority="8303" operator="lessThan">
      <formula>0</formula>
    </cfRule>
  </conditionalFormatting>
  <conditionalFormatting sqref="AB50">
    <cfRule type="cellIs" dxfId="3143" priority="8302" operator="greaterThanOrEqual">
      <formula>0</formula>
    </cfRule>
  </conditionalFormatting>
  <conditionalFormatting sqref="AB50">
    <cfRule type="cellIs" dxfId="3142" priority="8301" operator="lessThan">
      <formula>0</formula>
    </cfRule>
  </conditionalFormatting>
  <conditionalFormatting sqref="AB51">
    <cfRule type="cellIs" dxfId="3141" priority="8300" operator="greaterThanOrEqual">
      <formula>0</formula>
    </cfRule>
  </conditionalFormatting>
  <conditionalFormatting sqref="AB51">
    <cfRule type="cellIs" dxfId="3140" priority="8299" operator="lessThan">
      <formula>0</formula>
    </cfRule>
  </conditionalFormatting>
  <conditionalFormatting sqref="AB59">
    <cfRule type="cellIs" dxfId="3139" priority="8298" operator="greaterThanOrEqual">
      <formula>0</formula>
    </cfRule>
  </conditionalFormatting>
  <conditionalFormatting sqref="AB59">
    <cfRule type="cellIs" dxfId="3138" priority="8297" operator="lessThan">
      <formula>0</formula>
    </cfRule>
  </conditionalFormatting>
  <conditionalFormatting sqref="AB65">
    <cfRule type="cellIs" dxfId="3137" priority="8296" operator="greaterThanOrEqual">
      <formula>0</formula>
    </cfRule>
  </conditionalFormatting>
  <conditionalFormatting sqref="AB65">
    <cfRule type="cellIs" dxfId="3136" priority="8295" operator="lessThan">
      <formula>0</formula>
    </cfRule>
  </conditionalFormatting>
  <conditionalFormatting sqref="AB66">
    <cfRule type="cellIs" dxfId="3135" priority="8294" operator="greaterThanOrEqual">
      <formula>0</formula>
    </cfRule>
  </conditionalFormatting>
  <conditionalFormatting sqref="AB66">
    <cfRule type="cellIs" dxfId="3134" priority="8293" operator="lessThan">
      <formula>0</formula>
    </cfRule>
  </conditionalFormatting>
  <conditionalFormatting sqref="AB68:AB70">
    <cfRule type="cellIs" dxfId="3133" priority="8291" operator="lessThan">
      <formula>0</formula>
    </cfRule>
    <cfRule type="cellIs" dxfId="3132" priority="8292" operator="greaterThanOrEqual">
      <formula>0</formula>
    </cfRule>
  </conditionalFormatting>
  <conditionalFormatting sqref="AB71:AB72">
    <cfRule type="cellIs" dxfId="3131" priority="8290" operator="greaterThanOrEqual">
      <formula>0</formula>
    </cfRule>
  </conditionalFormatting>
  <conditionalFormatting sqref="AB71:AB72">
    <cfRule type="cellIs" dxfId="3130" priority="8289" operator="lessThan">
      <formula>0</formula>
    </cfRule>
  </conditionalFormatting>
  <conditionalFormatting sqref="AB73">
    <cfRule type="cellIs" dxfId="3129" priority="8288" operator="greaterThanOrEqual">
      <formula>0</formula>
    </cfRule>
  </conditionalFormatting>
  <conditionalFormatting sqref="AB73">
    <cfRule type="cellIs" dxfId="3128" priority="8287" operator="lessThan">
      <formula>0</formula>
    </cfRule>
  </conditionalFormatting>
  <conditionalFormatting sqref="AB42:AB43">
    <cfRule type="cellIs" dxfId="3127" priority="8285" operator="lessThan">
      <formula>0</formula>
    </cfRule>
    <cfRule type="cellIs" dxfId="3126" priority="8286" operator="greaterThanOrEqual">
      <formula>0</formula>
    </cfRule>
  </conditionalFormatting>
  <conditionalFormatting sqref="AB45:AB46">
    <cfRule type="cellIs" dxfId="3125" priority="8283" operator="lessThan">
      <formula>0</formula>
    </cfRule>
    <cfRule type="cellIs" dxfId="3124" priority="8284" operator="greaterThanOrEqual">
      <formula>0</formula>
    </cfRule>
  </conditionalFormatting>
  <conditionalFormatting sqref="AB57:AB58">
    <cfRule type="cellIs" dxfId="3123" priority="8281" operator="lessThan">
      <formula>0</formula>
    </cfRule>
    <cfRule type="cellIs" dxfId="3122" priority="8282" operator="greaterThanOrEqual">
      <formula>0</formula>
    </cfRule>
  </conditionalFormatting>
  <conditionalFormatting sqref="AB60:AB61">
    <cfRule type="cellIs" dxfId="3121" priority="8279" operator="lessThan">
      <formula>0</formula>
    </cfRule>
    <cfRule type="cellIs" dxfId="3120" priority="8280" operator="greaterThanOrEqual">
      <formula>0</formula>
    </cfRule>
  </conditionalFormatting>
  <conditionalFormatting sqref="AB63:AB64">
    <cfRule type="cellIs" dxfId="3119" priority="8277" operator="lessThan">
      <formula>0</formula>
    </cfRule>
    <cfRule type="cellIs" dxfId="3118" priority="8278" operator="greaterThanOrEqual">
      <formula>0</formula>
    </cfRule>
  </conditionalFormatting>
  <conditionalFormatting sqref="AG13:AG14">
    <cfRule type="cellIs" dxfId="3117" priority="8275" operator="greaterThan">
      <formula>0</formula>
    </cfRule>
    <cfRule type="cellIs" dxfId="3116" priority="8276" operator="lessThanOrEqual">
      <formula>0</formula>
    </cfRule>
  </conditionalFormatting>
  <conditionalFormatting sqref="AG16:AG17">
    <cfRule type="cellIs" dxfId="3115" priority="8273" operator="greaterThan">
      <formula>0</formula>
    </cfRule>
    <cfRule type="cellIs" dxfId="3114" priority="8274" operator="lessThanOrEqual">
      <formula>0</formula>
    </cfRule>
  </conditionalFormatting>
  <conditionalFormatting sqref="AG19:AG20">
    <cfRule type="cellIs" dxfId="3113" priority="8271" operator="greaterThan">
      <formula>0</formula>
    </cfRule>
    <cfRule type="cellIs" dxfId="3112" priority="8272" operator="lessThanOrEqual">
      <formula>0</formula>
    </cfRule>
  </conditionalFormatting>
  <conditionalFormatting sqref="AG29:AG30">
    <cfRule type="cellIs" dxfId="3111" priority="8269" operator="greaterThan">
      <formula>0</formula>
    </cfRule>
    <cfRule type="cellIs" dxfId="3110" priority="8270" operator="lessThanOrEqual">
      <formula>0</formula>
    </cfRule>
  </conditionalFormatting>
  <conditionalFormatting sqref="AG22:AG23">
    <cfRule type="cellIs" dxfId="3109" priority="8267" operator="greaterThan">
      <formula>0</formula>
    </cfRule>
    <cfRule type="cellIs" dxfId="3108" priority="8268" operator="lessThanOrEqual">
      <formula>0</formula>
    </cfRule>
  </conditionalFormatting>
  <conditionalFormatting sqref="AG32:AG33">
    <cfRule type="cellIs" dxfId="3107" priority="8265" operator="greaterThan">
      <formula>0</formula>
    </cfRule>
    <cfRule type="cellIs" dxfId="3106" priority="8266" operator="lessThanOrEqual">
      <formula>0</formula>
    </cfRule>
  </conditionalFormatting>
  <conditionalFormatting sqref="AG35:AG36">
    <cfRule type="cellIs" dxfId="3105" priority="8263" operator="greaterThan">
      <formula>0</formula>
    </cfRule>
    <cfRule type="cellIs" dxfId="3104" priority="8264" operator="lessThanOrEqual">
      <formula>0</formula>
    </cfRule>
  </conditionalFormatting>
  <conditionalFormatting sqref="AG38:AG39">
    <cfRule type="cellIs" dxfId="3103" priority="8261" operator="greaterThan">
      <formula>0</formula>
    </cfRule>
    <cfRule type="cellIs" dxfId="3102" priority="8262" operator="lessThanOrEqual">
      <formula>0</formula>
    </cfRule>
  </conditionalFormatting>
  <conditionalFormatting sqref="AG48:AG49">
    <cfRule type="cellIs" dxfId="3101" priority="8259" operator="greaterThan">
      <formula>0</formula>
    </cfRule>
    <cfRule type="cellIs" dxfId="3100" priority="8260" operator="lessThanOrEqual">
      <formula>0</formula>
    </cfRule>
  </conditionalFormatting>
  <conditionalFormatting sqref="AG63:AG64">
    <cfRule type="cellIs" dxfId="3099" priority="8257" operator="greaterThan">
      <formula>0</formula>
    </cfRule>
    <cfRule type="cellIs" dxfId="3098" priority="8258" operator="lessThanOrEqual">
      <formula>0</formula>
    </cfRule>
  </conditionalFormatting>
  <conditionalFormatting sqref="AG53:AG54">
    <cfRule type="cellIs" dxfId="3097" priority="8255" operator="greaterThan">
      <formula>0</formula>
    </cfRule>
    <cfRule type="cellIs" dxfId="3096" priority="8256" operator="lessThanOrEqual">
      <formula>0</formula>
    </cfRule>
  </conditionalFormatting>
  <conditionalFormatting sqref="AG15">
    <cfRule type="cellIs" dxfId="3095" priority="8253" operator="greaterThan">
      <formula>0</formula>
    </cfRule>
    <cfRule type="cellIs" dxfId="3094" priority="8254" operator="lessThanOrEqual">
      <formula>0</formula>
    </cfRule>
  </conditionalFormatting>
  <conditionalFormatting sqref="AG18">
    <cfRule type="cellIs" dxfId="3093" priority="8251" operator="greaterThan">
      <formula>0</formula>
    </cfRule>
    <cfRule type="cellIs" dxfId="3092" priority="8252" operator="lessThanOrEqual">
      <formula>0</formula>
    </cfRule>
  </conditionalFormatting>
  <conditionalFormatting sqref="AG21">
    <cfRule type="cellIs" dxfId="3091" priority="8249" operator="greaterThan">
      <formula>0</formula>
    </cfRule>
    <cfRule type="cellIs" dxfId="3090" priority="8250" operator="lessThanOrEqual">
      <formula>0</formula>
    </cfRule>
  </conditionalFormatting>
  <conditionalFormatting sqref="AG31">
    <cfRule type="cellIs" dxfId="3089" priority="8247" operator="greaterThan">
      <formula>0</formula>
    </cfRule>
    <cfRule type="cellIs" dxfId="3088" priority="8248" operator="lessThanOrEqual">
      <formula>0</formula>
    </cfRule>
  </conditionalFormatting>
  <conditionalFormatting sqref="AG24">
    <cfRule type="cellIs" dxfId="3087" priority="8245" operator="greaterThan">
      <formula>0</formula>
    </cfRule>
    <cfRule type="cellIs" dxfId="3086" priority="8246" operator="lessThanOrEqual">
      <formula>0</formula>
    </cfRule>
  </conditionalFormatting>
  <conditionalFormatting sqref="AG34">
    <cfRule type="cellIs" dxfId="3085" priority="8243" operator="greaterThan">
      <formula>0</formula>
    </cfRule>
    <cfRule type="cellIs" dxfId="3084" priority="8244" operator="lessThanOrEqual">
      <formula>0</formula>
    </cfRule>
  </conditionalFormatting>
  <conditionalFormatting sqref="AG37">
    <cfRule type="cellIs" dxfId="3083" priority="8241" operator="greaterThan">
      <formula>0</formula>
    </cfRule>
    <cfRule type="cellIs" dxfId="3082" priority="8242" operator="lessThanOrEqual">
      <formula>0</formula>
    </cfRule>
  </conditionalFormatting>
  <conditionalFormatting sqref="AG40">
    <cfRule type="cellIs" dxfId="3081" priority="8239" operator="greaterThan">
      <formula>0</formula>
    </cfRule>
    <cfRule type="cellIs" dxfId="3080" priority="8240" operator="lessThanOrEqual">
      <formula>0</formula>
    </cfRule>
  </conditionalFormatting>
  <conditionalFormatting sqref="AG26">
    <cfRule type="cellIs" dxfId="3079" priority="8237" operator="greaterThan">
      <formula>0</formula>
    </cfRule>
    <cfRule type="cellIs" dxfId="3078" priority="8238" operator="lessThanOrEqual">
      <formula>0</formula>
    </cfRule>
  </conditionalFormatting>
  <conditionalFormatting sqref="AG66">
    <cfRule type="cellIs" dxfId="3077" priority="8235" operator="greaterThan">
      <formula>0</formula>
    </cfRule>
    <cfRule type="cellIs" dxfId="3076" priority="8236" operator="lessThanOrEqual">
      <formula>0</formula>
    </cfRule>
  </conditionalFormatting>
  <conditionalFormatting sqref="AF13:AF14 AF16:AF17 AF19:AF20 AF22:AF23 AF29:AF30 AF32:AF33 AF35:AF36 AF38:AF39 AF48:AF49 AF53:AF54">
    <cfRule type="cellIs" dxfId="3075" priority="8233" operator="lessThan">
      <formula>0</formula>
    </cfRule>
    <cfRule type="cellIs" dxfId="3074" priority="8234" operator="greaterThanOrEqual">
      <formula>0</formula>
    </cfRule>
  </conditionalFormatting>
  <conditionalFormatting sqref="AF15 AF18 AF21 AF24 AF26 AF31 AF34 AF37 AF40">
    <cfRule type="cellIs" dxfId="3073" priority="8232" operator="greaterThanOrEqual">
      <formula>0</formula>
    </cfRule>
  </conditionalFormatting>
  <conditionalFormatting sqref="AF15 AF18 AF21 AF24 AF26 AF31 AF34 AF37 AF40">
    <cfRule type="cellIs" dxfId="3072" priority="8231" operator="lessThan">
      <formula>0</formula>
    </cfRule>
  </conditionalFormatting>
  <conditionalFormatting sqref="AG51">
    <cfRule type="cellIs" dxfId="3071" priority="8225" operator="greaterThan">
      <formula>0</formula>
    </cfRule>
    <cfRule type="cellIs" dxfId="3070" priority="8226" operator="lessThanOrEqual">
      <formula>0</formula>
    </cfRule>
  </conditionalFormatting>
  <conditionalFormatting sqref="AG44">
    <cfRule type="cellIs" dxfId="3069" priority="8219" operator="greaterThan">
      <formula>0</formula>
    </cfRule>
    <cfRule type="cellIs" dxfId="3068" priority="8220" operator="lessThanOrEqual">
      <formula>0</formula>
    </cfRule>
  </conditionalFormatting>
  <conditionalFormatting sqref="AG50">
    <cfRule type="cellIs" dxfId="3067" priority="8215" operator="greaterThan">
      <formula>0</formula>
    </cfRule>
    <cfRule type="cellIs" dxfId="3066" priority="8216" operator="lessThanOrEqual">
      <formula>0</formula>
    </cfRule>
  </conditionalFormatting>
  <conditionalFormatting sqref="AG28">
    <cfRule type="cellIs" dxfId="3065" priority="8229" operator="greaterThan">
      <formula>0</formula>
    </cfRule>
    <cfRule type="cellIs" dxfId="3064" priority="8230" operator="lessThanOrEqual">
      <formula>0</formula>
    </cfRule>
  </conditionalFormatting>
  <conditionalFormatting sqref="AG41">
    <cfRule type="cellIs" dxfId="3063" priority="8227" operator="greaterThan">
      <formula>0</formula>
    </cfRule>
    <cfRule type="cellIs" dxfId="3062" priority="8228" operator="lessThanOrEqual">
      <formula>0</formula>
    </cfRule>
  </conditionalFormatting>
  <conditionalFormatting sqref="AG42:AG43 AG45:AG46">
    <cfRule type="cellIs" dxfId="3061" priority="8223" operator="greaterThan">
      <formula>0</formula>
    </cfRule>
    <cfRule type="cellIs" dxfId="3060" priority="8224" operator="lessThanOrEqual">
      <formula>0</formula>
    </cfRule>
  </conditionalFormatting>
  <conditionalFormatting sqref="AG57:AG58 AG60:AG61">
    <cfRule type="cellIs" dxfId="3059" priority="8221" operator="greaterThan">
      <formula>0</formula>
    </cfRule>
    <cfRule type="cellIs" dxfId="3058" priority="8222" operator="lessThanOrEqual">
      <formula>0</formula>
    </cfRule>
  </conditionalFormatting>
  <conditionalFormatting sqref="AG62">
    <cfRule type="cellIs" dxfId="3057" priority="8211" operator="greaterThan">
      <formula>0</formula>
    </cfRule>
    <cfRule type="cellIs" dxfId="3056" priority="8212" operator="lessThanOrEqual">
      <formula>0</formula>
    </cfRule>
  </conditionalFormatting>
  <conditionalFormatting sqref="AG65">
    <cfRule type="cellIs" dxfId="3055" priority="8207" operator="greaterThan">
      <formula>0</formula>
    </cfRule>
    <cfRule type="cellIs" dxfId="3054" priority="8208" operator="lessThanOrEqual">
      <formula>0</formula>
    </cfRule>
  </conditionalFormatting>
  <conditionalFormatting sqref="AG25">
    <cfRule type="cellIs" dxfId="3053" priority="8205" operator="greaterThan">
      <formula>0</formula>
    </cfRule>
    <cfRule type="cellIs" dxfId="3052" priority="8206" operator="lessThanOrEqual">
      <formula>0</formula>
    </cfRule>
  </conditionalFormatting>
  <conditionalFormatting sqref="AG56">
    <cfRule type="cellIs" dxfId="3051" priority="8203" operator="greaterThan">
      <formula>0</formula>
    </cfRule>
    <cfRule type="cellIs" dxfId="3050" priority="8204" operator="lessThanOrEqual">
      <formula>0</formula>
    </cfRule>
  </conditionalFormatting>
  <conditionalFormatting sqref="AF56">
    <cfRule type="cellIs" dxfId="3049" priority="8202" operator="greaterThanOrEqual">
      <formula>0</formula>
    </cfRule>
  </conditionalFormatting>
  <conditionalFormatting sqref="AF56">
    <cfRule type="cellIs" dxfId="3048" priority="8201" operator="lessThan">
      <formula>0</formula>
    </cfRule>
  </conditionalFormatting>
  <conditionalFormatting sqref="AG52">
    <cfRule type="cellIs" dxfId="3047" priority="8199" operator="greaterThan">
      <formula>0</formula>
    </cfRule>
    <cfRule type="cellIs" dxfId="3046" priority="8200" operator="lessThanOrEqual">
      <formula>0</formula>
    </cfRule>
  </conditionalFormatting>
  <conditionalFormatting sqref="AF52">
    <cfRule type="cellIs" dxfId="3045" priority="8198" operator="greaterThanOrEqual">
      <formula>0</formula>
    </cfRule>
  </conditionalFormatting>
  <conditionalFormatting sqref="AF52">
    <cfRule type="cellIs" dxfId="3044" priority="8197" operator="lessThan">
      <formula>0</formula>
    </cfRule>
  </conditionalFormatting>
  <conditionalFormatting sqref="AF25">
    <cfRule type="cellIs" dxfId="3043" priority="8196" operator="greaterThanOrEqual">
      <formula>0</formula>
    </cfRule>
  </conditionalFormatting>
  <conditionalFormatting sqref="AF25">
    <cfRule type="cellIs" dxfId="3042" priority="8195" operator="lessThan">
      <formula>0</formula>
    </cfRule>
  </conditionalFormatting>
  <conditionalFormatting sqref="AF28">
    <cfRule type="cellIs" dxfId="3041" priority="8194" operator="greaterThanOrEqual">
      <formula>0</formula>
    </cfRule>
  </conditionalFormatting>
  <conditionalFormatting sqref="AF28">
    <cfRule type="cellIs" dxfId="3040" priority="8193" operator="lessThan">
      <formula>0</formula>
    </cfRule>
  </conditionalFormatting>
  <conditionalFormatting sqref="AF41">
    <cfRule type="cellIs" dxfId="3039" priority="8192" operator="greaterThanOrEqual">
      <formula>0</formula>
    </cfRule>
  </conditionalFormatting>
  <conditionalFormatting sqref="AF41">
    <cfRule type="cellIs" dxfId="3038" priority="8191" operator="lessThan">
      <formula>0</formula>
    </cfRule>
  </conditionalFormatting>
  <conditionalFormatting sqref="AF44">
    <cfRule type="cellIs" dxfId="3037" priority="8190" operator="greaterThanOrEqual">
      <formula>0</formula>
    </cfRule>
  </conditionalFormatting>
  <conditionalFormatting sqref="AF44">
    <cfRule type="cellIs" dxfId="3036" priority="8189" operator="lessThan">
      <formula>0</formula>
    </cfRule>
  </conditionalFormatting>
  <conditionalFormatting sqref="AF47">
    <cfRule type="cellIs" dxfId="3035" priority="8188" operator="greaterThanOrEqual">
      <formula>0</formula>
    </cfRule>
  </conditionalFormatting>
  <conditionalFormatting sqref="AF47">
    <cfRule type="cellIs" dxfId="3034" priority="8187" operator="lessThan">
      <formula>0</formula>
    </cfRule>
  </conditionalFormatting>
  <conditionalFormatting sqref="AF50">
    <cfRule type="cellIs" dxfId="3033" priority="8186" operator="greaterThanOrEqual">
      <formula>0</formula>
    </cfRule>
  </conditionalFormatting>
  <conditionalFormatting sqref="AF50">
    <cfRule type="cellIs" dxfId="3032" priority="8185" operator="lessThan">
      <formula>0</formula>
    </cfRule>
  </conditionalFormatting>
  <conditionalFormatting sqref="AF51">
    <cfRule type="cellIs" dxfId="3031" priority="8184" operator="greaterThanOrEqual">
      <formula>0</formula>
    </cfRule>
  </conditionalFormatting>
  <conditionalFormatting sqref="AF51">
    <cfRule type="cellIs" dxfId="3030" priority="8183" operator="lessThan">
      <formula>0</formula>
    </cfRule>
  </conditionalFormatting>
  <conditionalFormatting sqref="AF59">
    <cfRule type="cellIs" dxfId="3029" priority="8182" operator="greaterThanOrEqual">
      <formula>0</formula>
    </cfRule>
  </conditionalFormatting>
  <conditionalFormatting sqref="AF59">
    <cfRule type="cellIs" dxfId="3028" priority="8181" operator="lessThan">
      <formula>0</formula>
    </cfRule>
  </conditionalFormatting>
  <conditionalFormatting sqref="AF65">
    <cfRule type="cellIs" dxfId="3027" priority="8180" operator="greaterThanOrEqual">
      <formula>0</formula>
    </cfRule>
  </conditionalFormatting>
  <conditionalFormatting sqref="AF65">
    <cfRule type="cellIs" dxfId="3026" priority="8179" operator="lessThan">
      <formula>0</formula>
    </cfRule>
  </conditionalFormatting>
  <conditionalFormatting sqref="AF66">
    <cfRule type="cellIs" dxfId="3025" priority="8178" operator="greaterThanOrEqual">
      <formula>0</formula>
    </cfRule>
  </conditionalFormatting>
  <conditionalFormatting sqref="AF66">
    <cfRule type="cellIs" dxfId="3024" priority="8177" operator="lessThan">
      <formula>0</formula>
    </cfRule>
  </conditionalFormatting>
  <conditionalFormatting sqref="AF42:AF43">
    <cfRule type="cellIs" dxfId="3023" priority="8175" operator="lessThan">
      <formula>0</formula>
    </cfRule>
    <cfRule type="cellIs" dxfId="3022" priority="8176" operator="greaterThanOrEqual">
      <formula>0</formula>
    </cfRule>
  </conditionalFormatting>
  <conditionalFormatting sqref="AF45:AF46">
    <cfRule type="cellIs" dxfId="3021" priority="8173" operator="lessThan">
      <formula>0</formula>
    </cfRule>
    <cfRule type="cellIs" dxfId="3020" priority="8174" operator="greaterThanOrEqual">
      <formula>0</formula>
    </cfRule>
  </conditionalFormatting>
  <conditionalFormatting sqref="AF57:AF58">
    <cfRule type="cellIs" dxfId="3019" priority="8171" operator="lessThan">
      <formula>0</formula>
    </cfRule>
    <cfRule type="cellIs" dxfId="3018" priority="8172" operator="greaterThanOrEqual">
      <formula>0</formula>
    </cfRule>
  </conditionalFormatting>
  <conditionalFormatting sqref="AF60:AF61">
    <cfRule type="cellIs" dxfId="3017" priority="8169" operator="lessThan">
      <formula>0</formula>
    </cfRule>
    <cfRule type="cellIs" dxfId="3016" priority="8170" operator="greaterThanOrEqual">
      <formula>0</formula>
    </cfRule>
  </conditionalFormatting>
  <conditionalFormatting sqref="AF63:AF64">
    <cfRule type="cellIs" dxfId="3015" priority="8167" operator="lessThan">
      <formula>0</formula>
    </cfRule>
    <cfRule type="cellIs" dxfId="3014" priority="8168" operator="greaterThanOrEqual">
      <formula>0</formula>
    </cfRule>
  </conditionalFormatting>
  <conditionalFormatting sqref="AG68 AG71">
    <cfRule type="cellIs" dxfId="3013" priority="8165" operator="greaterThan">
      <formula>0</formula>
    </cfRule>
    <cfRule type="cellIs" dxfId="3012" priority="8166" operator="lessThanOrEqual">
      <formula>0</formula>
    </cfRule>
  </conditionalFormatting>
  <conditionalFormatting sqref="AG73">
    <cfRule type="cellIs" dxfId="3011" priority="8163" operator="greaterThan">
      <formula>0</formula>
    </cfRule>
    <cfRule type="cellIs" dxfId="3010" priority="8164" operator="lessThanOrEqual">
      <formula>0</formula>
    </cfRule>
  </conditionalFormatting>
  <conditionalFormatting sqref="AG69">
    <cfRule type="cellIs" dxfId="3009" priority="8161" operator="greaterThan">
      <formula>0</formula>
    </cfRule>
    <cfRule type="cellIs" dxfId="3008" priority="8162" operator="lessThanOrEqual">
      <formula>0</formula>
    </cfRule>
  </conditionalFormatting>
  <conditionalFormatting sqref="AG70">
    <cfRule type="cellIs" dxfId="3007" priority="8159" operator="greaterThan">
      <formula>0</formula>
    </cfRule>
    <cfRule type="cellIs" dxfId="3006" priority="8160" operator="lessThanOrEqual">
      <formula>0</formula>
    </cfRule>
  </conditionalFormatting>
  <conditionalFormatting sqref="AG72">
    <cfRule type="cellIs" dxfId="3005" priority="8157" operator="greaterThan">
      <formula>0</formula>
    </cfRule>
    <cfRule type="cellIs" dxfId="3004" priority="8158" operator="lessThanOrEqual">
      <formula>0</formula>
    </cfRule>
  </conditionalFormatting>
  <conditionalFormatting sqref="AF68:AF70">
    <cfRule type="cellIs" dxfId="3003" priority="8155" operator="lessThan">
      <formula>0</formula>
    </cfRule>
    <cfRule type="cellIs" dxfId="3002" priority="8156" operator="greaterThanOrEqual">
      <formula>0</formula>
    </cfRule>
  </conditionalFormatting>
  <conditionalFormatting sqref="AF71:AF72">
    <cfRule type="cellIs" dxfId="3001" priority="8154" operator="greaterThanOrEqual">
      <formula>0</formula>
    </cfRule>
  </conditionalFormatting>
  <conditionalFormatting sqref="AF71:AF72">
    <cfRule type="cellIs" dxfId="3000" priority="8153" operator="lessThan">
      <formula>0</formula>
    </cfRule>
  </conditionalFormatting>
  <conditionalFormatting sqref="AF73">
    <cfRule type="cellIs" dxfId="2999" priority="8152" operator="greaterThanOrEqual">
      <formula>0</formula>
    </cfRule>
  </conditionalFormatting>
  <conditionalFormatting sqref="AF73">
    <cfRule type="cellIs" dxfId="2998" priority="8151" operator="lessThan">
      <formula>0</formula>
    </cfRule>
  </conditionalFormatting>
  <conditionalFormatting sqref="AG67">
    <cfRule type="cellIs" dxfId="2997" priority="8149" operator="greaterThan">
      <formula>0</formula>
    </cfRule>
    <cfRule type="cellIs" dxfId="2996" priority="8150" operator="lessThanOrEqual">
      <formula>0</formula>
    </cfRule>
  </conditionalFormatting>
  <conditionalFormatting sqref="AF67">
    <cfRule type="cellIs" dxfId="2995" priority="8147" operator="greaterThanOrEqual">
      <formula>0</formula>
    </cfRule>
    <cfRule type="cellIs" dxfId="2994" priority="8148" operator="lessThan">
      <formula>0</formula>
    </cfRule>
  </conditionalFormatting>
  <conditionalFormatting sqref="AC51">
    <cfRule type="cellIs" dxfId="2993" priority="8145" operator="greaterThan">
      <formula>0</formula>
    </cfRule>
    <cfRule type="cellIs" dxfId="2992" priority="8146" operator="lessThanOrEqual">
      <formula>0</formula>
    </cfRule>
  </conditionalFormatting>
  <conditionalFormatting sqref="AI42:AI43">
    <cfRule type="cellIs" dxfId="2991" priority="8143" operator="lessThan">
      <formula>0</formula>
    </cfRule>
    <cfRule type="cellIs" dxfId="2990" priority="8144" operator="greaterThanOrEqual">
      <formula>0</formula>
    </cfRule>
  </conditionalFormatting>
  <conditionalFormatting sqref="AI45:AI46">
    <cfRule type="cellIs" dxfId="2989" priority="8141" operator="lessThan">
      <formula>0</formula>
    </cfRule>
    <cfRule type="cellIs" dxfId="2988" priority="8142" operator="greaterThanOrEqual">
      <formula>0</formula>
    </cfRule>
  </conditionalFormatting>
  <conditionalFormatting sqref="AI53:AI54">
    <cfRule type="cellIs" dxfId="2987" priority="8139" operator="lessThan">
      <formula>0</formula>
    </cfRule>
    <cfRule type="cellIs" dxfId="2986" priority="8140" operator="greaterThanOrEqual">
      <formula>0</formula>
    </cfRule>
  </conditionalFormatting>
  <conditionalFormatting sqref="AI57:AI58">
    <cfRule type="cellIs" dxfId="2985" priority="8137" operator="lessThan">
      <formula>0</formula>
    </cfRule>
    <cfRule type="cellIs" dxfId="2984" priority="8138" operator="greaterThanOrEqual">
      <formula>0</formula>
    </cfRule>
  </conditionalFormatting>
  <conditionalFormatting sqref="AI60:AI61">
    <cfRule type="cellIs" dxfId="2983" priority="8135" operator="lessThan">
      <formula>0</formula>
    </cfRule>
    <cfRule type="cellIs" dxfId="2982" priority="8136" operator="greaterThanOrEqual">
      <formula>0</formula>
    </cfRule>
  </conditionalFormatting>
  <conditionalFormatting sqref="AI63:AI64">
    <cfRule type="cellIs" dxfId="2981" priority="8133" operator="lessThan">
      <formula>0</formula>
    </cfRule>
    <cfRule type="cellIs" dxfId="2980" priority="8134" operator="greaterThanOrEqual">
      <formula>0</formula>
    </cfRule>
  </conditionalFormatting>
  <conditionalFormatting sqref="AI25">
    <cfRule type="cellIs" dxfId="2979" priority="8132" operator="greaterThanOrEqual">
      <formula>0</formula>
    </cfRule>
  </conditionalFormatting>
  <conditionalFormatting sqref="AI25">
    <cfRule type="cellIs" dxfId="2978" priority="8131" operator="lessThan">
      <formula>0</formula>
    </cfRule>
  </conditionalFormatting>
  <conditionalFormatting sqref="AI26">
    <cfRule type="cellIs" dxfId="2977" priority="8130" operator="greaterThanOrEqual">
      <formula>0</formula>
    </cfRule>
  </conditionalFormatting>
  <conditionalFormatting sqref="AI26">
    <cfRule type="cellIs" dxfId="2976" priority="8129" operator="lessThan">
      <formula>0</formula>
    </cfRule>
  </conditionalFormatting>
  <conditionalFormatting sqref="AI28">
    <cfRule type="cellIs" dxfId="2975" priority="8128" operator="greaterThanOrEqual">
      <formula>0</formula>
    </cfRule>
  </conditionalFormatting>
  <conditionalFormatting sqref="AI28">
    <cfRule type="cellIs" dxfId="2974" priority="8127" operator="lessThan">
      <formula>0</formula>
    </cfRule>
  </conditionalFormatting>
  <conditionalFormatting sqref="AI41">
    <cfRule type="cellIs" dxfId="2973" priority="8126" operator="greaterThanOrEqual">
      <formula>0</formula>
    </cfRule>
  </conditionalFormatting>
  <conditionalFormatting sqref="AI41">
    <cfRule type="cellIs" dxfId="2972" priority="8125" operator="lessThan">
      <formula>0</formula>
    </cfRule>
  </conditionalFormatting>
  <conditionalFormatting sqref="AI44">
    <cfRule type="cellIs" dxfId="2971" priority="8124" operator="greaterThanOrEqual">
      <formula>0</formula>
    </cfRule>
  </conditionalFormatting>
  <conditionalFormatting sqref="AI44">
    <cfRule type="cellIs" dxfId="2970" priority="8123" operator="lessThan">
      <formula>0</formula>
    </cfRule>
  </conditionalFormatting>
  <conditionalFormatting sqref="AI47">
    <cfRule type="cellIs" dxfId="2969" priority="8122" operator="greaterThanOrEqual">
      <formula>0</formula>
    </cfRule>
  </conditionalFormatting>
  <conditionalFormatting sqref="AI47">
    <cfRule type="cellIs" dxfId="2968" priority="8121" operator="lessThan">
      <formula>0</formula>
    </cfRule>
  </conditionalFormatting>
  <conditionalFormatting sqref="AI50">
    <cfRule type="cellIs" dxfId="2967" priority="8120" operator="greaterThanOrEqual">
      <formula>0</formula>
    </cfRule>
  </conditionalFormatting>
  <conditionalFormatting sqref="AI50">
    <cfRule type="cellIs" dxfId="2966" priority="8119" operator="lessThan">
      <formula>0</formula>
    </cfRule>
  </conditionalFormatting>
  <conditionalFormatting sqref="AI51">
    <cfRule type="cellIs" dxfId="2965" priority="8118" operator="greaterThanOrEqual">
      <formula>0</formula>
    </cfRule>
  </conditionalFormatting>
  <conditionalFormatting sqref="AI51">
    <cfRule type="cellIs" dxfId="2964" priority="8117" operator="lessThan">
      <formula>0</formula>
    </cfRule>
  </conditionalFormatting>
  <conditionalFormatting sqref="AI59">
    <cfRule type="cellIs" dxfId="2963" priority="8116" operator="greaterThanOrEqual">
      <formula>0</formula>
    </cfRule>
  </conditionalFormatting>
  <conditionalFormatting sqref="AI59">
    <cfRule type="cellIs" dxfId="2962" priority="8115" operator="lessThan">
      <formula>0</formula>
    </cfRule>
  </conditionalFormatting>
  <conditionalFormatting sqref="AI62">
    <cfRule type="cellIs" dxfId="2961" priority="8114" operator="greaterThanOrEqual">
      <formula>0</formula>
    </cfRule>
  </conditionalFormatting>
  <conditionalFormatting sqref="AI62">
    <cfRule type="cellIs" dxfId="2960" priority="8113" operator="lessThan">
      <formula>0</formula>
    </cfRule>
  </conditionalFormatting>
  <conditionalFormatting sqref="AI65">
    <cfRule type="cellIs" dxfId="2959" priority="8112" operator="greaterThanOrEqual">
      <formula>0</formula>
    </cfRule>
  </conditionalFormatting>
  <conditionalFormatting sqref="AI65">
    <cfRule type="cellIs" dxfId="2958" priority="8111" operator="lessThan">
      <formula>0</formula>
    </cfRule>
  </conditionalFormatting>
  <conditionalFormatting sqref="AI56">
    <cfRule type="cellIs" dxfId="2957" priority="8110" operator="greaterThanOrEqual">
      <formula>0</formula>
    </cfRule>
  </conditionalFormatting>
  <conditionalFormatting sqref="AI56">
    <cfRule type="cellIs" dxfId="2956" priority="8109" operator="lessThan">
      <formula>0</formula>
    </cfRule>
  </conditionalFormatting>
  <conditionalFormatting sqref="AI66">
    <cfRule type="cellIs" dxfId="2955" priority="8108" operator="greaterThanOrEqual">
      <formula>0</formula>
    </cfRule>
  </conditionalFormatting>
  <conditionalFormatting sqref="AI66">
    <cfRule type="cellIs" dxfId="2954" priority="8107" operator="lessThan">
      <formula>0</formula>
    </cfRule>
  </conditionalFormatting>
  <conditionalFormatting sqref="AJ16:AJ17">
    <cfRule type="cellIs" dxfId="2953" priority="8105" operator="greaterThan">
      <formula>0</formula>
    </cfRule>
    <cfRule type="cellIs" dxfId="2952" priority="8106" operator="lessThanOrEqual">
      <formula>0</formula>
    </cfRule>
  </conditionalFormatting>
  <conditionalFormatting sqref="AJ19:AJ20">
    <cfRule type="cellIs" dxfId="2951" priority="8103" operator="greaterThan">
      <formula>0</formula>
    </cfRule>
    <cfRule type="cellIs" dxfId="2950" priority="8104" operator="lessThanOrEqual">
      <formula>0</formula>
    </cfRule>
  </conditionalFormatting>
  <conditionalFormatting sqref="AJ22:AJ23">
    <cfRule type="cellIs" dxfId="2949" priority="8101" operator="greaterThan">
      <formula>0</formula>
    </cfRule>
    <cfRule type="cellIs" dxfId="2948" priority="8102" operator="lessThanOrEqual">
      <formula>0</formula>
    </cfRule>
  </conditionalFormatting>
  <conditionalFormatting sqref="AJ29:AJ30">
    <cfRule type="cellIs" dxfId="2947" priority="8099" operator="greaterThan">
      <formula>0</formula>
    </cfRule>
    <cfRule type="cellIs" dxfId="2946" priority="8100" operator="lessThanOrEqual">
      <formula>0</formula>
    </cfRule>
  </conditionalFormatting>
  <conditionalFormatting sqref="AJ32:AJ33">
    <cfRule type="cellIs" dxfId="2945" priority="8097" operator="greaterThan">
      <formula>0</formula>
    </cfRule>
    <cfRule type="cellIs" dxfId="2944" priority="8098" operator="lessThanOrEqual">
      <formula>0</formula>
    </cfRule>
  </conditionalFormatting>
  <conditionalFormatting sqref="AJ35:AJ36">
    <cfRule type="cellIs" dxfId="2943" priority="8095" operator="greaterThan">
      <formula>0</formula>
    </cfRule>
    <cfRule type="cellIs" dxfId="2942" priority="8096" operator="lessThanOrEqual">
      <formula>0</formula>
    </cfRule>
  </conditionalFormatting>
  <conditionalFormatting sqref="AJ38:AJ39">
    <cfRule type="cellIs" dxfId="2941" priority="8093" operator="greaterThan">
      <formula>0</formula>
    </cfRule>
    <cfRule type="cellIs" dxfId="2940" priority="8094" operator="lessThanOrEqual">
      <formula>0</formula>
    </cfRule>
  </conditionalFormatting>
  <conditionalFormatting sqref="AJ42:AJ43">
    <cfRule type="cellIs" dxfId="2939" priority="8091" operator="greaterThan">
      <formula>0</formula>
    </cfRule>
    <cfRule type="cellIs" dxfId="2938" priority="8092" operator="lessThanOrEqual">
      <formula>0</formula>
    </cfRule>
  </conditionalFormatting>
  <conditionalFormatting sqref="AJ45:AJ46">
    <cfRule type="cellIs" dxfId="2937" priority="8089" operator="greaterThan">
      <formula>0</formula>
    </cfRule>
    <cfRule type="cellIs" dxfId="2936" priority="8090" operator="lessThanOrEqual">
      <formula>0</formula>
    </cfRule>
  </conditionalFormatting>
  <conditionalFormatting sqref="AJ48:AJ49">
    <cfRule type="cellIs" dxfId="2935" priority="8087" operator="greaterThan">
      <formula>0</formula>
    </cfRule>
    <cfRule type="cellIs" dxfId="2934" priority="8088" operator="lessThanOrEqual">
      <formula>0</formula>
    </cfRule>
  </conditionalFormatting>
  <conditionalFormatting sqref="AJ53:AJ54">
    <cfRule type="cellIs" dxfId="2933" priority="8085" operator="greaterThan">
      <formula>0</formula>
    </cfRule>
    <cfRule type="cellIs" dxfId="2932" priority="8086" operator="lessThanOrEqual">
      <formula>0</formula>
    </cfRule>
  </conditionalFormatting>
  <conditionalFormatting sqref="AJ57:AJ58">
    <cfRule type="cellIs" dxfId="2931" priority="8083" operator="greaterThan">
      <formula>0</formula>
    </cfRule>
    <cfRule type="cellIs" dxfId="2930" priority="8084" operator="lessThanOrEqual">
      <formula>0</formula>
    </cfRule>
  </conditionalFormatting>
  <conditionalFormatting sqref="AJ60:AJ61">
    <cfRule type="cellIs" dxfId="2929" priority="8081" operator="greaterThan">
      <formula>0</formula>
    </cfRule>
    <cfRule type="cellIs" dxfId="2928" priority="8082" operator="lessThanOrEqual">
      <formula>0</formula>
    </cfRule>
  </conditionalFormatting>
  <conditionalFormatting sqref="AJ63:AJ64">
    <cfRule type="cellIs" dxfId="2927" priority="8079" operator="greaterThan">
      <formula>0</formula>
    </cfRule>
    <cfRule type="cellIs" dxfId="2926" priority="8080" operator="lessThanOrEqual">
      <formula>0</formula>
    </cfRule>
  </conditionalFormatting>
  <conditionalFormatting sqref="AJ25">
    <cfRule type="cellIs" dxfId="2925" priority="8078" operator="greaterThanOrEqual">
      <formula>0</formula>
    </cfRule>
  </conditionalFormatting>
  <conditionalFormatting sqref="AJ25">
    <cfRule type="cellIs" dxfId="2924" priority="8077" operator="lessThan">
      <formula>0</formula>
    </cfRule>
  </conditionalFormatting>
  <conditionalFormatting sqref="AJ26">
    <cfRule type="cellIs" dxfId="2923" priority="8076" operator="greaterThanOrEqual">
      <formula>0</formula>
    </cfRule>
  </conditionalFormatting>
  <conditionalFormatting sqref="AJ26">
    <cfRule type="cellIs" dxfId="2922" priority="8075" operator="lessThan">
      <formula>0</formula>
    </cfRule>
  </conditionalFormatting>
  <conditionalFormatting sqref="AJ28">
    <cfRule type="cellIs" dxfId="2921" priority="8074" operator="greaterThanOrEqual">
      <formula>0</formula>
    </cfRule>
  </conditionalFormatting>
  <conditionalFormatting sqref="AJ28">
    <cfRule type="cellIs" dxfId="2920" priority="8073" operator="lessThan">
      <formula>0</formula>
    </cfRule>
  </conditionalFormatting>
  <conditionalFormatting sqref="AJ41">
    <cfRule type="cellIs" dxfId="2919" priority="8072" operator="greaterThanOrEqual">
      <formula>0</formula>
    </cfRule>
  </conditionalFormatting>
  <conditionalFormatting sqref="AJ41">
    <cfRule type="cellIs" dxfId="2918" priority="8071" operator="lessThan">
      <formula>0</formula>
    </cfRule>
  </conditionalFormatting>
  <conditionalFormatting sqref="AJ44">
    <cfRule type="cellIs" dxfId="2917" priority="8070" operator="greaterThanOrEqual">
      <formula>0</formula>
    </cfRule>
  </conditionalFormatting>
  <conditionalFormatting sqref="AJ44">
    <cfRule type="cellIs" dxfId="2916" priority="8069" operator="lessThan">
      <formula>0</formula>
    </cfRule>
  </conditionalFormatting>
  <conditionalFormatting sqref="AJ47">
    <cfRule type="cellIs" dxfId="2915" priority="8068" operator="greaterThanOrEqual">
      <formula>0</formula>
    </cfRule>
  </conditionalFormatting>
  <conditionalFormatting sqref="AJ47">
    <cfRule type="cellIs" dxfId="2914" priority="8067" operator="lessThan">
      <formula>0</formula>
    </cfRule>
  </conditionalFormatting>
  <conditionalFormatting sqref="AJ50">
    <cfRule type="cellIs" dxfId="2913" priority="8066" operator="greaterThanOrEqual">
      <formula>0</formula>
    </cfRule>
  </conditionalFormatting>
  <conditionalFormatting sqref="AJ50">
    <cfRule type="cellIs" dxfId="2912" priority="8065" operator="lessThan">
      <formula>0</formula>
    </cfRule>
  </conditionalFormatting>
  <conditionalFormatting sqref="AJ51">
    <cfRule type="cellIs" dxfId="2911" priority="8064" operator="greaterThanOrEqual">
      <formula>0</formula>
    </cfRule>
  </conditionalFormatting>
  <conditionalFormatting sqref="AJ51">
    <cfRule type="cellIs" dxfId="2910" priority="8063" operator="lessThan">
      <formula>0</formula>
    </cfRule>
  </conditionalFormatting>
  <conditionalFormatting sqref="AJ59">
    <cfRule type="cellIs" dxfId="2909" priority="8062" operator="greaterThanOrEqual">
      <formula>0</formula>
    </cfRule>
  </conditionalFormatting>
  <conditionalFormatting sqref="AJ59">
    <cfRule type="cellIs" dxfId="2908" priority="8061" operator="lessThan">
      <formula>0</formula>
    </cfRule>
  </conditionalFormatting>
  <conditionalFormatting sqref="AJ62">
    <cfRule type="cellIs" dxfId="2907" priority="8060" operator="greaterThanOrEqual">
      <formula>0</formula>
    </cfRule>
  </conditionalFormatting>
  <conditionalFormatting sqref="AJ62">
    <cfRule type="cellIs" dxfId="2906" priority="8059" operator="lessThan">
      <formula>0</formula>
    </cfRule>
  </conditionalFormatting>
  <conditionalFormatting sqref="AJ65">
    <cfRule type="cellIs" dxfId="2905" priority="8058" operator="greaterThanOrEqual">
      <formula>0</formula>
    </cfRule>
  </conditionalFormatting>
  <conditionalFormatting sqref="AJ65">
    <cfRule type="cellIs" dxfId="2904" priority="8057" operator="lessThan">
      <formula>0</formula>
    </cfRule>
  </conditionalFormatting>
  <conditionalFormatting sqref="AJ56">
    <cfRule type="cellIs" dxfId="2903" priority="8055" operator="lessThan">
      <formula>0</formula>
    </cfRule>
  </conditionalFormatting>
  <conditionalFormatting sqref="AJ56">
    <cfRule type="cellIs" dxfId="2902" priority="8056" operator="greaterThanOrEqual">
      <formula>0</formula>
    </cfRule>
  </conditionalFormatting>
  <conditionalFormatting sqref="AJ66">
    <cfRule type="cellIs" dxfId="2901" priority="8053" operator="lessThan">
      <formula>0</formula>
    </cfRule>
  </conditionalFormatting>
  <conditionalFormatting sqref="AJ66">
    <cfRule type="cellIs" dxfId="2900" priority="8054" operator="greaterThanOrEqual">
      <formula>0</formula>
    </cfRule>
  </conditionalFormatting>
  <conditionalFormatting sqref="AI70">
    <cfRule type="cellIs" dxfId="2899" priority="8051" operator="lessThan">
      <formula>0</formula>
    </cfRule>
    <cfRule type="cellIs" dxfId="2898" priority="8052" operator="greaterThanOrEqual">
      <formula>0</formula>
    </cfRule>
  </conditionalFormatting>
  <conditionalFormatting sqref="AJ70">
    <cfRule type="cellIs" dxfId="2897" priority="8049" operator="lessThan">
      <formula>0</formula>
    </cfRule>
    <cfRule type="cellIs" dxfId="2896" priority="8050" operator="greaterThanOrEqual">
      <formula>0</formula>
    </cfRule>
  </conditionalFormatting>
  <conditionalFormatting sqref="AJ72">
    <cfRule type="cellIs" dxfId="2895" priority="8047" operator="lessThan">
      <formula>0</formula>
    </cfRule>
    <cfRule type="cellIs" dxfId="2894" priority="8048" operator="greaterThanOrEqual">
      <formula>0</formula>
    </cfRule>
  </conditionalFormatting>
  <conditionalFormatting sqref="AB55">
    <cfRule type="cellIs" dxfId="2893" priority="8046" operator="greaterThanOrEqual">
      <formula>0</formula>
    </cfRule>
  </conditionalFormatting>
  <conditionalFormatting sqref="AB55">
    <cfRule type="cellIs" dxfId="2892" priority="8045" operator="lessThan">
      <formula>0</formula>
    </cfRule>
  </conditionalFormatting>
  <conditionalFormatting sqref="AG55">
    <cfRule type="cellIs" dxfId="2891" priority="8043" operator="greaterThan">
      <formula>0</formula>
    </cfRule>
    <cfRule type="cellIs" dxfId="2890" priority="8044" operator="lessThanOrEqual">
      <formula>0</formula>
    </cfRule>
  </conditionalFormatting>
  <conditionalFormatting sqref="AF55">
    <cfRule type="cellIs" dxfId="2889" priority="8042" operator="greaterThanOrEqual">
      <formula>0</formula>
    </cfRule>
  </conditionalFormatting>
  <conditionalFormatting sqref="AF55">
    <cfRule type="cellIs" dxfId="2888" priority="8041" operator="lessThan">
      <formula>0</formula>
    </cfRule>
  </conditionalFormatting>
  <conditionalFormatting sqref="AC55">
    <cfRule type="cellIs" dxfId="2887" priority="8039" operator="greaterThan">
      <formula>0</formula>
    </cfRule>
    <cfRule type="cellIs" dxfId="2886" priority="8040" operator="lessThanOrEqual">
      <formula>0</formula>
    </cfRule>
  </conditionalFormatting>
  <conditionalFormatting sqref="AI55">
    <cfRule type="cellIs" dxfId="2885" priority="8038" operator="greaterThanOrEqual">
      <formula>0</formula>
    </cfRule>
  </conditionalFormatting>
  <conditionalFormatting sqref="AI55">
    <cfRule type="cellIs" dxfId="2884" priority="8037" operator="lessThan">
      <formula>0</formula>
    </cfRule>
  </conditionalFormatting>
  <conditionalFormatting sqref="AJ55">
    <cfRule type="cellIs" dxfId="2883" priority="8036" operator="greaterThanOrEqual">
      <formula>0</formula>
    </cfRule>
  </conditionalFormatting>
  <conditionalFormatting sqref="AJ55">
    <cfRule type="cellIs" dxfId="2882" priority="8035" operator="lessThan">
      <formula>0</formula>
    </cfRule>
  </conditionalFormatting>
  <conditionalFormatting sqref="AC27">
    <cfRule type="cellIs" dxfId="2881" priority="7589" operator="greaterThan">
      <formula>0</formula>
    </cfRule>
    <cfRule type="cellIs" dxfId="2880" priority="7590" operator="lessThanOrEqual">
      <formula>0</formula>
    </cfRule>
  </conditionalFormatting>
  <conditionalFormatting sqref="AB27">
    <cfRule type="cellIs" dxfId="2879" priority="7588" operator="greaterThanOrEqual">
      <formula>0</formula>
    </cfRule>
  </conditionalFormatting>
  <conditionalFormatting sqref="AB27">
    <cfRule type="cellIs" dxfId="2878" priority="7587" operator="lessThan">
      <formula>0</formula>
    </cfRule>
  </conditionalFormatting>
  <conditionalFormatting sqref="AG27">
    <cfRule type="cellIs" dxfId="2877" priority="7585" operator="greaterThan">
      <formula>0</formula>
    </cfRule>
    <cfRule type="cellIs" dxfId="2876" priority="7586" operator="lessThanOrEqual">
      <formula>0</formula>
    </cfRule>
  </conditionalFormatting>
  <conditionalFormatting sqref="AF27">
    <cfRule type="cellIs" dxfId="2875" priority="7584" operator="greaterThanOrEqual">
      <formula>0</formula>
    </cfRule>
  </conditionalFormatting>
  <conditionalFormatting sqref="AF27">
    <cfRule type="cellIs" dxfId="2874" priority="7583" operator="lessThan">
      <formula>0</formula>
    </cfRule>
  </conditionalFormatting>
  <conditionalFormatting sqref="AI27">
    <cfRule type="cellIs" dxfId="2873" priority="7582" operator="greaterThanOrEqual">
      <formula>0</formula>
    </cfRule>
  </conditionalFormatting>
  <conditionalFormatting sqref="AI27">
    <cfRule type="cellIs" dxfId="2872" priority="7581" operator="lessThan">
      <formula>0</formula>
    </cfRule>
  </conditionalFormatting>
  <conditionalFormatting sqref="AJ27">
    <cfRule type="cellIs" dxfId="2871" priority="7580" operator="greaterThanOrEqual">
      <formula>0</formula>
    </cfRule>
  </conditionalFormatting>
  <conditionalFormatting sqref="AJ27">
    <cfRule type="cellIs" dxfId="2870" priority="7579" operator="lessThan">
      <formula>0</formula>
    </cfRule>
  </conditionalFormatting>
  <conditionalFormatting sqref="AN13:AN14">
    <cfRule type="cellIs" dxfId="2869" priority="7559" operator="greaterThan">
      <formula>0</formula>
    </cfRule>
    <cfRule type="cellIs" dxfId="2868" priority="7560" operator="lessThanOrEqual">
      <formula>0</formula>
    </cfRule>
  </conditionalFormatting>
  <conditionalFormatting sqref="AN16:AN17">
    <cfRule type="cellIs" dxfId="2867" priority="7557" operator="greaterThan">
      <formula>0</formula>
    </cfRule>
    <cfRule type="cellIs" dxfId="2866" priority="7558" operator="lessThanOrEqual">
      <formula>0</formula>
    </cfRule>
  </conditionalFormatting>
  <conditionalFormatting sqref="AN19:AN20">
    <cfRule type="cellIs" dxfId="2865" priority="7555" operator="greaterThan">
      <formula>0</formula>
    </cfRule>
    <cfRule type="cellIs" dxfId="2864" priority="7556" operator="lessThanOrEqual">
      <formula>0</formula>
    </cfRule>
  </conditionalFormatting>
  <conditionalFormatting sqref="AN29:AN30">
    <cfRule type="cellIs" dxfId="2863" priority="7553" operator="greaterThan">
      <formula>0</formula>
    </cfRule>
    <cfRule type="cellIs" dxfId="2862" priority="7554" operator="lessThanOrEqual">
      <formula>0</formula>
    </cfRule>
  </conditionalFormatting>
  <conditionalFormatting sqref="AN22:AN23">
    <cfRule type="cellIs" dxfId="2861" priority="7551" operator="greaterThan">
      <formula>0</formula>
    </cfRule>
    <cfRule type="cellIs" dxfId="2860" priority="7552" operator="lessThanOrEqual">
      <formula>0</formula>
    </cfRule>
  </conditionalFormatting>
  <conditionalFormatting sqref="AN32:AN33">
    <cfRule type="cellIs" dxfId="2859" priority="7549" operator="greaterThan">
      <formula>0</formula>
    </cfRule>
    <cfRule type="cellIs" dxfId="2858" priority="7550" operator="lessThanOrEqual">
      <formula>0</formula>
    </cfRule>
  </conditionalFormatting>
  <conditionalFormatting sqref="AN35:AN36">
    <cfRule type="cellIs" dxfId="2857" priority="7547" operator="greaterThan">
      <formula>0</formula>
    </cfRule>
    <cfRule type="cellIs" dxfId="2856" priority="7548" operator="lessThanOrEqual">
      <formula>0</formula>
    </cfRule>
  </conditionalFormatting>
  <conditionalFormatting sqref="AN38:AN39">
    <cfRule type="cellIs" dxfId="2855" priority="7545" operator="greaterThan">
      <formula>0</formula>
    </cfRule>
    <cfRule type="cellIs" dxfId="2854" priority="7546" operator="lessThanOrEqual">
      <formula>0</formula>
    </cfRule>
  </conditionalFormatting>
  <conditionalFormatting sqref="AN48:AN49">
    <cfRule type="cellIs" dxfId="2853" priority="7543" operator="greaterThan">
      <formula>0</formula>
    </cfRule>
    <cfRule type="cellIs" dxfId="2852" priority="7544" operator="lessThanOrEqual">
      <formula>0</formula>
    </cfRule>
  </conditionalFormatting>
  <conditionalFormatting sqref="AN63:AN64">
    <cfRule type="cellIs" dxfId="2851" priority="7541" operator="greaterThan">
      <formula>0</formula>
    </cfRule>
    <cfRule type="cellIs" dxfId="2850" priority="7542" operator="lessThanOrEqual">
      <formula>0</formula>
    </cfRule>
  </conditionalFormatting>
  <conditionalFormatting sqref="AN53:AN54">
    <cfRule type="cellIs" dxfId="2849" priority="7539" operator="greaterThan">
      <formula>0</formula>
    </cfRule>
    <cfRule type="cellIs" dxfId="2848" priority="7540" operator="lessThanOrEqual">
      <formula>0</formula>
    </cfRule>
  </conditionalFormatting>
  <conditionalFormatting sqref="AN15">
    <cfRule type="cellIs" dxfId="2847" priority="7537" operator="greaterThan">
      <formula>0</formula>
    </cfRule>
    <cfRule type="cellIs" dxfId="2846" priority="7538" operator="lessThanOrEqual">
      <formula>0</formula>
    </cfRule>
  </conditionalFormatting>
  <conditionalFormatting sqref="AN18">
    <cfRule type="cellIs" dxfId="2845" priority="7535" operator="greaterThan">
      <formula>0</formula>
    </cfRule>
    <cfRule type="cellIs" dxfId="2844" priority="7536" operator="lessThanOrEqual">
      <formula>0</formula>
    </cfRule>
  </conditionalFormatting>
  <conditionalFormatting sqref="AN21">
    <cfRule type="cellIs" dxfId="2843" priority="7533" operator="greaterThan">
      <formula>0</formula>
    </cfRule>
    <cfRule type="cellIs" dxfId="2842" priority="7534" operator="lessThanOrEqual">
      <formula>0</formula>
    </cfRule>
  </conditionalFormatting>
  <conditionalFormatting sqref="AN31">
    <cfRule type="cellIs" dxfId="2841" priority="7531" operator="greaterThan">
      <formula>0</formula>
    </cfRule>
    <cfRule type="cellIs" dxfId="2840" priority="7532" operator="lessThanOrEqual">
      <formula>0</formula>
    </cfRule>
  </conditionalFormatting>
  <conditionalFormatting sqref="AN24">
    <cfRule type="cellIs" dxfId="2839" priority="7529" operator="greaterThan">
      <formula>0</formula>
    </cfRule>
    <cfRule type="cellIs" dxfId="2838" priority="7530" operator="lessThanOrEqual">
      <formula>0</formula>
    </cfRule>
  </conditionalFormatting>
  <conditionalFormatting sqref="AN34">
    <cfRule type="cellIs" dxfId="2837" priority="7527" operator="greaterThan">
      <formula>0</formula>
    </cfRule>
    <cfRule type="cellIs" dxfId="2836" priority="7528" operator="lessThanOrEqual">
      <formula>0</formula>
    </cfRule>
  </conditionalFormatting>
  <conditionalFormatting sqref="AN37">
    <cfRule type="cellIs" dxfId="2835" priority="7525" operator="greaterThan">
      <formula>0</formula>
    </cfRule>
    <cfRule type="cellIs" dxfId="2834" priority="7526" operator="lessThanOrEqual">
      <formula>0</formula>
    </cfRule>
  </conditionalFormatting>
  <conditionalFormatting sqref="AN40">
    <cfRule type="cellIs" dxfId="2833" priority="7523" operator="greaterThan">
      <formula>0</formula>
    </cfRule>
    <cfRule type="cellIs" dxfId="2832" priority="7524" operator="lessThanOrEqual">
      <formula>0</formula>
    </cfRule>
  </conditionalFormatting>
  <conditionalFormatting sqref="AN26">
    <cfRule type="cellIs" dxfId="2831" priority="7521" operator="greaterThan">
      <formula>0</formula>
    </cfRule>
    <cfRule type="cellIs" dxfId="2830" priority="7522" operator="lessThanOrEqual">
      <formula>0</formula>
    </cfRule>
  </conditionalFormatting>
  <conditionalFormatting sqref="AN66 AN68 AN71">
    <cfRule type="cellIs" dxfId="2829" priority="7519" operator="greaterThan">
      <formula>0</formula>
    </cfRule>
    <cfRule type="cellIs" dxfId="2828" priority="7520" operator="lessThanOrEqual">
      <formula>0</formula>
    </cfRule>
  </conditionalFormatting>
  <conditionalFormatting sqref="AM13:AM14 AM16:AM17 AM19:AM20 AM22:AM23 AM29:AM30 AM32:AM33 AM35:AM36 AM38:AM39 AM48:AM49 AM53:AM54">
    <cfRule type="cellIs" dxfId="2827" priority="7517" operator="lessThan">
      <formula>0</formula>
    </cfRule>
    <cfRule type="cellIs" dxfId="2826" priority="7518" operator="greaterThanOrEqual">
      <formula>0</formula>
    </cfRule>
  </conditionalFormatting>
  <conditionalFormatting sqref="AM15 AM18 AM21 AM24 AM26 AM31 AM34 AM37 AM40">
    <cfRule type="cellIs" dxfId="2825" priority="7516" operator="greaterThanOrEqual">
      <formula>0</formula>
    </cfRule>
  </conditionalFormatting>
  <conditionalFormatting sqref="AM15 AM18 AM21 AM24 AM26 AM31 AM34 AM37 AM40">
    <cfRule type="cellIs" dxfId="2824" priority="7515" operator="lessThan">
      <formula>0</formula>
    </cfRule>
  </conditionalFormatting>
  <conditionalFormatting sqref="AN73">
    <cfRule type="cellIs" dxfId="2823" priority="7513" operator="greaterThan">
      <formula>0</formula>
    </cfRule>
    <cfRule type="cellIs" dxfId="2822" priority="7514" operator="lessThanOrEqual">
      <formula>0</formula>
    </cfRule>
  </conditionalFormatting>
  <conditionalFormatting sqref="AN67">
    <cfRule type="cellIs" dxfId="2821" priority="7511" operator="greaterThan">
      <formula>0</formula>
    </cfRule>
    <cfRule type="cellIs" dxfId="2820" priority="7512" operator="lessThanOrEqual">
      <formula>0</formula>
    </cfRule>
  </conditionalFormatting>
  <conditionalFormatting sqref="AM67">
    <cfRule type="cellIs" dxfId="2819" priority="7509" operator="greaterThanOrEqual">
      <formula>0</formula>
    </cfRule>
    <cfRule type="cellIs" dxfId="2818" priority="7510" operator="lessThan">
      <formula>0</formula>
    </cfRule>
  </conditionalFormatting>
  <conditionalFormatting sqref="AT13:AT14 AT16:AT17 AT19:AT20 AT22:AT23 AT29:AT30 AT32:AT33 AT35:AT36 AT38:AT39 AT48:AT49">
    <cfRule type="cellIs" dxfId="2817" priority="7507" operator="lessThan">
      <formula>0</formula>
    </cfRule>
    <cfRule type="cellIs" dxfId="2816" priority="7508" operator="greaterThanOrEqual">
      <formula>0</formula>
    </cfRule>
  </conditionalFormatting>
  <conditionalFormatting sqref="AT15 AT24 AT18 AT21 AT31 AT34 AT37 AT40">
    <cfRule type="cellIs" dxfId="2815" priority="7506" operator="greaterThanOrEqual">
      <formula>0</formula>
    </cfRule>
  </conditionalFormatting>
  <conditionalFormatting sqref="AT15 AT24 AT18 AT21 AT31 AT34 AT37 AT40">
    <cfRule type="cellIs" dxfId="2814" priority="7505" operator="lessThan">
      <formula>0</formula>
    </cfRule>
  </conditionalFormatting>
  <conditionalFormatting sqref="AT71 AT73">
    <cfRule type="cellIs" dxfId="2813" priority="7503" operator="lessThan">
      <formula>0</formula>
    </cfRule>
    <cfRule type="cellIs" dxfId="2812" priority="7504" operator="greaterThanOrEqual">
      <formula>0</formula>
    </cfRule>
  </conditionalFormatting>
  <conditionalFormatting sqref="AT67">
    <cfRule type="cellIs" dxfId="2811" priority="7501" operator="greaterThanOrEqual">
      <formula>0</formula>
    </cfRule>
    <cfRule type="cellIs" dxfId="2810" priority="7502" operator="lessThan">
      <formula>0</formula>
    </cfRule>
  </conditionalFormatting>
  <conditionalFormatting sqref="AU13:AU14">
    <cfRule type="cellIs" dxfId="2809" priority="7499" operator="greaterThan">
      <formula>0</formula>
    </cfRule>
    <cfRule type="cellIs" dxfId="2808" priority="7500" operator="lessThanOrEqual">
      <formula>0</formula>
    </cfRule>
  </conditionalFormatting>
  <conditionalFormatting sqref="AU68">
    <cfRule type="cellIs" dxfId="2807" priority="7497" operator="lessThan">
      <formula>0</formula>
    </cfRule>
    <cfRule type="cellIs" dxfId="2806" priority="7498" operator="greaterThanOrEqual">
      <formula>0</formula>
    </cfRule>
  </conditionalFormatting>
  <conditionalFormatting sqref="AU15 AU24 AU18 AU21 AU31 AU34 AU37 AU40">
    <cfRule type="cellIs" dxfId="2805" priority="7496" operator="greaterThanOrEqual">
      <formula>0</formula>
    </cfRule>
  </conditionalFormatting>
  <conditionalFormatting sqref="AU15 AU24 AU18 AU21 AU31 AU34 AU37 AU40">
    <cfRule type="cellIs" dxfId="2804" priority="7495" operator="lessThan">
      <formula>0</formula>
    </cfRule>
  </conditionalFormatting>
  <conditionalFormatting sqref="AT68">
    <cfRule type="cellIs" dxfId="2803" priority="7493" operator="lessThan">
      <formula>0</formula>
    </cfRule>
    <cfRule type="cellIs" dxfId="2802" priority="7494" operator="greaterThanOrEqual">
      <formula>0</formula>
    </cfRule>
  </conditionalFormatting>
  <conditionalFormatting sqref="AU71 AU73">
    <cfRule type="cellIs" dxfId="2801" priority="7491" operator="lessThan">
      <formula>0</formula>
    </cfRule>
    <cfRule type="cellIs" dxfId="2800" priority="7492" operator="greaterThanOrEqual">
      <formula>0</formula>
    </cfRule>
  </conditionalFormatting>
  <conditionalFormatting sqref="AU67">
    <cfRule type="cellIs" dxfId="2799" priority="7489" operator="lessThan">
      <formula>0</formula>
    </cfRule>
    <cfRule type="cellIs" dxfId="2798" priority="7490" operator="greaterThanOrEqual">
      <formula>0</formula>
    </cfRule>
  </conditionalFormatting>
  <conditionalFormatting sqref="AM62">
    <cfRule type="cellIs" dxfId="2797" priority="7470" operator="greaterThanOrEqual">
      <formula>0</formula>
    </cfRule>
  </conditionalFormatting>
  <conditionalFormatting sqref="AM62">
    <cfRule type="cellIs" dxfId="2796" priority="7469" operator="lessThan">
      <formula>0</formula>
    </cfRule>
  </conditionalFormatting>
  <conditionalFormatting sqref="AN44">
    <cfRule type="cellIs" dxfId="2795" priority="7479" operator="greaterThan">
      <formula>0</formula>
    </cfRule>
    <cfRule type="cellIs" dxfId="2794" priority="7480" operator="lessThanOrEqual">
      <formula>0</formula>
    </cfRule>
  </conditionalFormatting>
  <conditionalFormatting sqref="AN47">
    <cfRule type="cellIs" dxfId="2793" priority="7477" operator="greaterThan">
      <formula>0</formula>
    </cfRule>
    <cfRule type="cellIs" dxfId="2792" priority="7478" operator="lessThanOrEqual">
      <formula>0</formula>
    </cfRule>
  </conditionalFormatting>
  <conditionalFormatting sqref="AN50">
    <cfRule type="cellIs" dxfId="2791" priority="7475" operator="greaterThan">
      <formula>0</formula>
    </cfRule>
    <cfRule type="cellIs" dxfId="2790" priority="7476" operator="lessThanOrEqual">
      <formula>0</formula>
    </cfRule>
  </conditionalFormatting>
  <conditionalFormatting sqref="AN28">
    <cfRule type="cellIs" dxfId="2789" priority="7487" operator="greaterThan">
      <formula>0</formula>
    </cfRule>
    <cfRule type="cellIs" dxfId="2788" priority="7488" operator="lessThanOrEqual">
      <formula>0</formula>
    </cfRule>
  </conditionalFormatting>
  <conditionalFormatting sqref="AN41">
    <cfRule type="cellIs" dxfId="2787" priority="7485" operator="greaterThan">
      <formula>0</formula>
    </cfRule>
    <cfRule type="cellIs" dxfId="2786" priority="7486" operator="lessThanOrEqual">
      <formula>0</formula>
    </cfRule>
  </conditionalFormatting>
  <conditionalFormatting sqref="AN42:AN43 AN45:AN46">
    <cfRule type="cellIs" dxfId="2785" priority="7483" operator="greaterThan">
      <formula>0</formula>
    </cfRule>
    <cfRule type="cellIs" dxfId="2784" priority="7484" operator="lessThanOrEqual">
      <formula>0</formula>
    </cfRule>
  </conditionalFormatting>
  <conditionalFormatting sqref="AN57:AN58 AN60:AN61">
    <cfRule type="cellIs" dxfId="2783" priority="7481" operator="greaterThan">
      <formula>0</formula>
    </cfRule>
    <cfRule type="cellIs" dxfId="2782" priority="7482" operator="lessThanOrEqual">
      <formula>0</formula>
    </cfRule>
  </conditionalFormatting>
  <conditionalFormatting sqref="AN59">
    <cfRule type="cellIs" dxfId="2781" priority="7473" operator="greaterThan">
      <formula>0</formula>
    </cfRule>
    <cfRule type="cellIs" dxfId="2780" priority="7474" operator="lessThanOrEqual">
      <formula>0</formula>
    </cfRule>
  </conditionalFormatting>
  <conditionalFormatting sqref="AN62">
    <cfRule type="cellIs" dxfId="2779" priority="7471" operator="greaterThan">
      <formula>0</formula>
    </cfRule>
    <cfRule type="cellIs" dxfId="2778" priority="7472" operator="lessThanOrEqual">
      <formula>0</formula>
    </cfRule>
  </conditionalFormatting>
  <conditionalFormatting sqref="AN65">
    <cfRule type="cellIs" dxfId="2777" priority="7467" operator="greaterThan">
      <formula>0</formula>
    </cfRule>
    <cfRule type="cellIs" dxfId="2776" priority="7468" operator="lessThanOrEqual">
      <formula>0</formula>
    </cfRule>
  </conditionalFormatting>
  <conditionalFormatting sqref="AR47">
    <cfRule type="cellIs" dxfId="2775" priority="7137" operator="greaterThan">
      <formula>0</formula>
    </cfRule>
    <cfRule type="cellIs" dxfId="2774" priority="7138" operator="lessThanOrEqual">
      <formula>0</formula>
    </cfRule>
  </conditionalFormatting>
  <conditionalFormatting sqref="AR59">
    <cfRule type="cellIs" dxfId="2773" priority="7133" operator="greaterThan">
      <formula>0</formula>
    </cfRule>
    <cfRule type="cellIs" dxfId="2772" priority="7134" operator="lessThanOrEqual">
      <formula>0</formula>
    </cfRule>
  </conditionalFormatting>
  <conditionalFormatting sqref="AQ62">
    <cfRule type="cellIs" dxfId="2771" priority="7130" operator="greaterThanOrEqual">
      <formula>0</formula>
    </cfRule>
  </conditionalFormatting>
  <conditionalFormatting sqref="AQ62">
    <cfRule type="cellIs" dxfId="2770" priority="7129" operator="lessThan">
      <formula>0</formula>
    </cfRule>
  </conditionalFormatting>
  <conditionalFormatting sqref="AN25">
    <cfRule type="cellIs" dxfId="2769" priority="7257" operator="greaterThan">
      <formula>0</formula>
    </cfRule>
    <cfRule type="cellIs" dxfId="2768" priority="7258" operator="lessThanOrEqual">
      <formula>0</formula>
    </cfRule>
  </conditionalFormatting>
  <conditionalFormatting sqref="AU52">
    <cfRule type="cellIs" dxfId="2767" priority="7245" operator="lessThan">
      <formula>0</formula>
    </cfRule>
  </conditionalFormatting>
  <conditionalFormatting sqref="AN56">
    <cfRule type="cellIs" dxfId="2766" priority="7255" operator="greaterThan">
      <formula>0</formula>
    </cfRule>
    <cfRule type="cellIs" dxfId="2765" priority="7256" operator="lessThanOrEqual">
      <formula>0</formula>
    </cfRule>
  </conditionalFormatting>
  <conditionalFormatting sqref="AM56">
    <cfRule type="cellIs" dxfId="2764" priority="7254" operator="greaterThanOrEqual">
      <formula>0</formula>
    </cfRule>
  </conditionalFormatting>
  <conditionalFormatting sqref="AM56">
    <cfRule type="cellIs" dxfId="2763" priority="7253" operator="lessThan">
      <formula>0</formula>
    </cfRule>
  </conditionalFormatting>
  <conditionalFormatting sqref="AN52">
    <cfRule type="cellIs" dxfId="2762" priority="7251" operator="greaterThan">
      <formula>0</formula>
    </cfRule>
    <cfRule type="cellIs" dxfId="2761" priority="7252" operator="lessThanOrEqual">
      <formula>0</formula>
    </cfRule>
  </conditionalFormatting>
  <conditionalFormatting sqref="AM52">
    <cfRule type="cellIs" dxfId="2760" priority="7250" operator="greaterThanOrEqual">
      <formula>0</formula>
    </cfRule>
  </conditionalFormatting>
  <conditionalFormatting sqref="AM52">
    <cfRule type="cellIs" dxfId="2759" priority="7249" operator="lessThan">
      <formula>0</formula>
    </cfRule>
  </conditionalFormatting>
  <conditionalFormatting sqref="AT52">
    <cfRule type="cellIs" dxfId="2758" priority="7248" operator="greaterThanOrEqual">
      <formula>0</formula>
    </cfRule>
  </conditionalFormatting>
  <conditionalFormatting sqref="AT52">
    <cfRule type="cellIs" dxfId="2757" priority="7247" operator="lessThan">
      <formula>0</formula>
    </cfRule>
  </conditionalFormatting>
  <conditionalFormatting sqref="AU52">
    <cfRule type="cellIs" dxfId="2756" priority="7246" operator="greaterThanOrEqual">
      <formula>0</formula>
    </cfRule>
  </conditionalFormatting>
  <conditionalFormatting sqref="AN69">
    <cfRule type="cellIs" dxfId="2755" priority="7243" operator="greaterThan">
      <formula>0</formula>
    </cfRule>
    <cfRule type="cellIs" dxfId="2754" priority="7244" operator="lessThanOrEqual">
      <formula>0</formula>
    </cfRule>
  </conditionalFormatting>
  <conditionalFormatting sqref="AT69">
    <cfRule type="cellIs" dxfId="2753" priority="7241" operator="lessThan">
      <formula>0</formula>
    </cfRule>
    <cfRule type="cellIs" dxfId="2752" priority="7242" operator="greaterThanOrEqual">
      <formula>0</formula>
    </cfRule>
  </conditionalFormatting>
  <conditionalFormatting sqref="AU69">
    <cfRule type="cellIs" dxfId="2751" priority="7239" operator="lessThan">
      <formula>0</formula>
    </cfRule>
    <cfRule type="cellIs" dxfId="2750" priority="7240" operator="greaterThanOrEqual">
      <formula>0</formula>
    </cfRule>
  </conditionalFormatting>
  <conditionalFormatting sqref="AN70">
    <cfRule type="cellIs" dxfId="2749" priority="7237" operator="greaterThan">
      <formula>0</formula>
    </cfRule>
    <cfRule type="cellIs" dxfId="2748" priority="7238" operator="lessThanOrEqual">
      <formula>0</formula>
    </cfRule>
  </conditionalFormatting>
  <conditionalFormatting sqref="AT72">
    <cfRule type="cellIs" dxfId="2747" priority="7235" operator="lessThan">
      <formula>0</formula>
    </cfRule>
    <cfRule type="cellIs" dxfId="2746" priority="7236" operator="greaterThanOrEqual">
      <formula>0</formula>
    </cfRule>
  </conditionalFormatting>
  <conditionalFormatting sqref="AN72">
    <cfRule type="cellIs" dxfId="2745" priority="7233" operator="greaterThan">
      <formula>0</formula>
    </cfRule>
    <cfRule type="cellIs" dxfId="2744" priority="7234" operator="lessThanOrEqual">
      <formula>0</formula>
    </cfRule>
  </conditionalFormatting>
  <conditionalFormatting sqref="AM25">
    <cfRule type="cellIs" dxfId="2743" priority="7232" operator="greaterThanOrEqual">
      <formula>0</formula>
    </cfRule>
  </conditionalFormatting>
  <conditionalFormatting sqref="AM25">
    <cfRule type="cellIs" dxfId="2742" priority="7231" operator="lessThan">
      <formula>0</formula>
    </cfRule>
  </conditionalFormatting>
  <conditionalFormatting sqref="AM28">
    <cfRule type="cellIs" dxfId="2741" priority="7230" operator="greaterThanOrEqual">
      <formula>0</formula>
    </cfRule>
  </conditionalFormatting>
  <conditionalFormatting sqref="AM28">
    <cfRule type="cellIs" dxfId="2740" priority="7229" operator="lessThan">
      <formula>0</formula>
    </cfRule>
  </conditionalFormatting>
  <conditionalFormatting sqref="AM41">
    <cfRule type="cellIs" dxfId="2739" priority="7228" operator="greaterThanOrEqual">
      <formula>0</formula>
    </cfRule>
  </conditionalFormatting>
  <conditionalFormatting sqref="AM41">
    <cfRule type="cellIs" dxfId="2738" priority="7227" operator="lessThan">
      <formula>0</formula>
    </cfRule>
  </conditionalFormatting>
  <conditionalFormatting sqref="AM44">
    <cfRule type="cellIs" dxfId="2737" priority="7226" operator="greaterThanOrEqual">
      <formula>0</formula>
    </cfRule>
  </conditionalFormatting>
  <conditionalFormatting sqref="AM44">
    <cfRule type="cellIs" dxfId="2736" priority="7225" operator="lessThan">
      <formula>0</formula>
    </cfRule>
  </conditionalFormatting>
  <conditionalFormatting sqref="AM47">
    <cfRule type="cellIs" dxfId="2735" priority="7224" operator="greaterThanOrEqual">
      <formula>0</formula>
    </cfRule>
  </conditionalFormatting>
  <conditionalFormatting sqref="AM47">
    <cfRule type="cellIs" dxfId="2734" priority="7223" operator="lessThan">
      <formula>0</formula>
    </cfRule>
  </conditionalFormatting>
  <conditionalFormatting sqref="AM50">
    <cfRule type="cellIs" dxfId="2733" priority="7222" operator="greaterThanOrEqual">
      <formula>0</formula>
    </cfRule>
  </conditionalFormatting>
  <conditionalFormatting sqref="AM50">
    <cfRule type="cellIs" dxfId="2732" priority="7221" operator="lessThan">
      <formula>0</formula>
    </cfRule>
  </conditionalFormatting>
  <conditionalFormatting sqref="AM51">
    <cfRule type="cellIs" dxfId="2731" priority="7220" operator="greaterThanOrEqual">
      <formula>0</formula>
    </cfRule>
  </conditionalFormatting>
  <conditionalFormatting sqref="AM51">
    <cfRule type="cellIs" dxfId="2730" priority="7219" operator="lessThan">
      <formula>0</formula>
    </cfRule>
  </conditionalFormatting>
  <conditionalFormatting sqref="AM59">
    <cfRule type="cellIs" dxfId="2729" priority="7218" operator="greaterThanOrEqual">
      <formula>0</formula>
    </cfRule>
  </conditionalFormatting>
  <conditionalFormatting sqref="AM59">
    <cfRule type="cellIs" dxfId="2728" priority="7217" operator="lessThan">
      <formula>0</formula>
    </cfRule>
  </conditionalFormatting>
  <conditionalFormatting sqref="AM65">
    <cfRule type="cellIs" dxfId="2727" priority="7216" operator="greaterThanOrEqual">
      <formula>0</formula>
    </cfRule>
  </conditionalFormatting>
  <conditionalFormatting sqref="AM65">
    <cfRule type="cellIs" dxfId="2726" priority="7215" operator="lessThan">
      <formula>0</formula>
    </cfRule>
  </conditionalFormatting>
  <conditionalFormatting sqref="AM66">
    <cfRule type="cellIs" dxfId="2725" priority="7214" operator="greaterThanOrEqual">
      <formula>0</formula>
    </cfRule>
  </conditionalFormatting>
  <conditionalFormatting sqref="AM66">
    <cfRule type="cellIs" dxfId="2724" priority="7213" operator="lessThan">
      <formula>0</formula>
    </cfRule>
  </conditionalFormatting>
  <conditionalFormatting sqref="AM68:AM70">
    <cfRule type="cellIs" dxfId="2723" priority="7211" operator="lessThan">
      <formula>0</formula>
    </cfRule>
    <cfRule type="cellIs" dxfId="2722" priority="7212" operator="greaterThanOrEqual">
      <formula>0</formula>
    </cfRule>
  </conditionalFormatting>
  <conditionalFormatting sqref="AM71:AM72">
    <cfRule type="cellIs" dxfId="2721" priority="7210" operator="greaterThanOrEqual">
      <formula>0</formula>
    </cfRule>
  </conditionalFormatting>
  <conditionalFormatting sqref="AM71:AM72">
    <cfRule type="cellIs" dxfId="2720" priority="7209" operator="lessThan">
      <formula>0</formula>
    </cfRule>
  </conditionalFormatting>
  <conditionalFormatting sqref="AM73">
    <cfRule type="cellIs" dxfId="2719" priority="7208" operator="greaterThanOrEqual">
      <formula>0</formula>
    </cfRule>
  </conditionalFormatting>
  <conditionalFormatting sqref="AM73">
    <cfRule type="cellIs" dxfId="2718" priority="7207" operator="lessThan">
      <formula>0</formula>
    </cfRule>
  </conditionalFormatting>
  <conditionalFormatting sqref="AM42:AM43">
    <cfRule type="cellIs" dxfId="2717" priority="7205" operator="lessThan">
      <formula>0</formula>
    </cfRule>
    <cfRule type="cellIs" dxfId="2716" priority="7206" operator="greaterThanOrEqual">
      <formula>0</formula>
    </cfRule>
  </conditionalFormatting>
  <conditionalFormatting sqref="AM45:AM46">
    <cfRule type="cellIs" dxfId="2715" priority="7203" operator="lessThan">
      <formula>0</formula>
    </cfRule>
    <cfRule type="cellIs" dxfId="2714" priority="7204" operator="greaterThanOrEqual">
      <formula>0</formula>
    </cfRule>
  </conditionalFormatting>
  <conditionalFormatting sqref="AM57:AM58">
    <cfRule type="cellIs" dxfId="2713" priority="7201" operator="lessThan">
      <formula>0</formula>
    </cfRule>
    <cfRule type="cellIs" dxfId="2712" priority="7202" operator="greaterThanOrEqual">
      <formula>0</formula>
    </cfRule>
  </conditionalFormatting>
  <conditionalFormatting sqref="AM60:AM61">
    <cfRule type="cellIs" dxfId="2711" priority="7199" operator="lessThan">
      <formula>0</formula>
    </cfRule>
    <cfRule type="cellIs" dxfId="2710" priority="7200" operator="greaterThanOrEqual">
      <formula>0</formula>
    </cfRule>
  </conditionalFormatting>
  <conditionalFormatting sqref="AM63:AM64">
    <cfRule type="cellIs" dxfId="2709" priority="7197" operator="lessThan">
      <formula>0</formula>
    </cfRule>
    <cfRule type="cellIs" dxfId="2708" priority="7198" operator="greaterThanOrEqual">
      <formula>0</formula>
    </cfRule>
  </conditionalFormatting>
  <conditionalFormatting sqref="AR13:AR14">
    <cfRule type="cellIs" dxfId="2707" priority="7195" operator="greaterThan">
      <formula>0</formula>
    </cfRule>
    <cfRule type="cellIs" dxfId="2706" priority="7196" operator="lessThanOrEqual">
      <formula>0</formula>
    </cfRule>
  </conditionalFormatting>
  <conditionalFormatting sqref="AR16:AR17">
    <cfRule type="cellIs" dxfId="2705" priority="7193" operator="greaterThan">
      <formula>0</formula>
    </cfRule>
    <cfRule type="cellIs" dxfId="2704" priority="7194" operator="lessThanOrEqual">
      <formula>0</formula>
    </cfRule>
  </conditionalFormatting>
  <conditionalFormatting sqref="AR19:AR20">
    <cfRule type="cellIs" dxfId="2703" priority="7191" operator="greaterThan">
      <formula>0</formula>
    </cfRule>
    <cfRule type="cellIs" dxfId="2702" priority="7192" operator="lessThanOrEqual">
      <formula>0</formula>
    </cfRule>
  </conditionalFormatting>
  <conditionalFormatting sqref="AR29:AR30">
    <cfRule type="cellIs" dxfId="2701" priority="7189" operator="greaterThan">
      <formula>0</formula>
    </cfRule>
    <cfRule type="cellIs" dxfId="2700" priority="7190" operator="lessThanOrEqual">
      <formula>0</formula>
    </cfRule>
  </conditionalFormatting>
  <conditionalFormatting sqref="AR22:AR23">
    <cfRule type="cellIs" dxfId="2699" priority="7187" operator="greaterThan">
      <formula>0</formula>
    </cfRule>
    <cfRule type="cellIs" dxfId="2698" priority="7188" operator="lessThanOrEqual">
      <formula>0</formula>
    </cfRule>
  </conditionalFormatting>
  <conditionalFormatting sqref="AR32:AR33">
    <cfRule type="cellIs" dxfId="2697" priority="7185" operator="greaterThan">
      <formula>0</formula>
    </cfRule>
    <cfRule type="cellIs" dxfId="2696" priority="7186" operator="lessThanOrEqual">
      <formula>0</formula>
    </cfRule>
  </conditionalFormatting>
  <conditionalFormatting sqref="AR35:AR36">
    <cfRule type="cellIs" dxfId="2695" priority="7183" operator="greaterThan">
      <formula>0</formula>
    </cfRule>
    <cfRule type="cellIs" dxfId="2694" priority="7184" operator="lessThanOrEqual">
      <formula>0</formula>
    </cfRule>
  </conditionalFormatting>
  <conditionalFormatting sqref="AR38:AR39">
    <cfRule type="cellIs" dxfId="2693" priority="7181" operator="greaterThan">
      <formula>0</formula>
    </cfRule>
    <cfRule type="cellIs" dxfId="2692" priority="7182" operator="lessThanOrEqual">
      <formula>0</formula>
    </cfRule>
  </conditionalFormatting>
  <conditionalFormatting sqref="AR48:AR49">
    <cfRule type="cellIs" dxfId="2691" priority="7179" operator="greaterThan">
      <formula>0</formula>
    </cfRule>
    <cfRule type="cellIs" dxfId="2690" priority="7180" operator="lessThanOrEqual">
      <formula>0</formula>
    </cfRule>
  </conditionalFormatting>
  <conditionalFormatting sqref="AR63:AR64">
    <cfRule type="cellIs" dxfId="2689" priority="7177" operator="greaterThan">
      <formula>0</formula>
    </cfRule>
    <cfRule type="cellIs" dxfId="2688" priority="7178" operator="lessThanOrEqual">
      <formula>0</formula>
    </cfRule>
  </conditionalFormatting>
  <conditionalFormatting sqref="AR53:AR54">
    <cfRule type="cellIs" dxfId="2687" priority="7175" operator="greaterThan">
      <formula>0</formula>
    </cfRule>
    <cfRule type="cellIs" dxfId="2686" priority="7176" operator="lessThanOrEqual">
      <formula>0</formula>
    </cfRule>
  </conditionalFormatting>
  <conditionalFormatting sqref="AR15">
    <cfRule type="cellIs" dxfId="2685" priority="7173" operator="greaterThan">
      <formula>0</formula>
    </cfRule>
    <cfRule type="cellIs" dxfId="2684" priority="7174" operator="lessThanOrEqual">
      <formula>0</formula>
    </cfRule>
  </conditionalFormatting>
  <conditionalFormatting sqref="AR18">
    <cfRule type="cellIs" dxfId="2683" priority="7171" operator="greaterThan">
      <formula>0</formula>
    </cfRule>
    <cfRule type="cellIs" dxfId="2682" priority="7172" operator="lessThanOrEqual">
      <formula>0</formula>
    </cfRule>
  </conditionalFormatting>
  <conditionalFormatting sqref="AR21">
    <cfRule type="cellIs" dxfId="2681" priority="7169" operator="greaterThan">
      <formula>0</formula>
    </cfRule>
    <cfRule type="cellIs" dxfId="2680" priority="7170" operator="lessThanOrEqual">
      <formula>0</formula>
    </cfRule>
  </conditionalFormatting>
  <conditionalFormatting sqref="AR31">
    <cfRule type="cellIs" dxfId="2679" priority="7167" operator="greaterThan">
      <formula>0</formula>
    </cfRule>
    <cfRule type="cellIs" dxfId="2678" priority="7168" operator="lessThanOrEqual">
      <formula>0</formula>
    </cfRule>
  </conditionalFormatting>
  <conditionalFormatting sqref="AR24">
    <cfRule type="cellIs" dxfId="2677" priority="7165" operator="greaterThan">
      <formula>0</formula>
    </cfRule>
    <cfRule type="cellIs" dxfId="2676" priority="7166" operator="lessThanOrEqual">
      <formula>0</formula>
    </cfRule>
  </conditionalFormatting>
  <conditionalFormatting sqref="AR34">
    <cfRule type="cellIs" dxfId="2675" priority="7163" operator="greaterThan">
      <formula>0</formula>
    </cfRule>
    <cfRule type="cellIs" dxfId="2674" priority="7164" operator="lessThanOrEqual">
      <formula>0</formula>
    </cfRule>
  </conditionalFormatting>
  <conditionalFormatting sqref="AR37">
    <cfRule type="cellIs" dxfId="2673" priority="7161" operator="greaterThan">
      <formula>0</formula>
    </cfRule>
    <cfRule type="cellIs" dxfId="2672" priority="7162" operator="lessThanOrEqual">
      <formula>0</formula>
    </cfRule>
  </conditionalFormatting>
  <conditionalFormatting sqref="AR40">
    <cfRule type="cellIs" dxfId="2671" priority="7159" operator="greaterThan">
      <formula>0</formula>
    </cfRule>
    <cfRule type="cellIs" dxfId="2670" priority="7160" operator="lessThanOrEqual">
      <formula>0</formula>
    </cfRule>
  </conditionalFormatting>
  <conditionalFormatting sqref="AR26">
    <cfRule type="cellIs" dxfId="2669" priority="7157" operator="greaterThan">
      <formula>0</formula>
    </cfRule>
    <cfRule type="cellIs" dxfId="2668" priority="7158" operator="lessThanOrEqual">
      <formula>0</formula>
    </cfRule>
  </conditionalFormatting>
  <conditionalFormatting sqref="AR66">
    <cfRule type="cellIs" dxfId="2667" priority="7155" operator="greaterThan">
      <formula>0</formula>
    </cfRule>
    <cfRule type="cellIs" dxfId="2666" priority="7156" operator="lessThanOrEqual">
      <formula>0</formula>
    </cfRule>
  </conditionalFormatting>
  <conditionalFormatting sqref="AQ13:AQ14 AQ16:AQ17 AQ19:AQ20 AQ22:AQ23 AQ29:AQ30 AQ32:AQ33 AQ35:AQ36 AQ38:AQ39 AQ48:AQ49 AQ53:AQ54">
    <cfRule type="cellIs" dxfId="2665" priority="7153" operator="lessThan">
      <formula>0</formula>
    </cfRule>
    <cfRule type="cellIs" dxfId="2664" priority="7154" operator="greaterThanOrEqual">
      <formula>0</formula>
    </cfRule>
  </conditionalFormatting>
  <conditionalFormatting sqref="AQ15 AQ18 AQ21 AQ24 AQ26 AQ31 AQ34 AQ37 AQ40">
    <cfRule type="cellIs" dxfId="2663" priority="7152" operator="greaterThanOrEqual">
      <formula>0</formula>
    </cfRule>
  </conditionalFormatting>
  <conditionalFormatting sqref="AQ15 AQ18 AQ21 AQ24 AQ26 AQ31 AQ34 AQ37 AQ40">
    <cfRule type="cellIs" dxfId="2662" priority="7151" operator="lessThan">
      <formula>0</formula>
    </cfRule>
  </conditionalFormatting>
  <conditionalFormatting sqref="AR51">
    <cfRule type="cellIs" dxfId="2661" priority="7145" operator="greaterThan">
      <formula>0</formula>
    </cfRule>
    <cfRule type="cellIs" dxfId="2660" priority="7146" operator="lessThanOrEqual">
      <formula>0</formula>
    </cfRule>
  </conditionalFormatting>
  <conditionalFormatting sqref="AR44">
    <cfRule type="cellIs" dxfId="2659" priority="7139" operator="greaterThan">
      <formula>0</formula>
    </cfRule>
    <cfRule type="cellIs" dxfId="2658" priority="7140" operator="lessThanOrEqual">
      <formula>0</formula>
    </cfRule>
  </conditionalFormatting>
  <conditionalFormatting sqref="AR50">
    <cfRule type="cellIs" dxfId="2657" priority="7135" operator="greaterThan">
      <formula>0</formula>
    </cfRule>
    <cfRule type="cellIs" dxfId="2656" priority="7136" operator="lessThanOrEqual">
      <formula>0</formula>
    </cfRule>
  </conditionalFormatting>
  <conditionalFormatting sqref="AR28">
    <cfRule type="cellIs" dxfId="2655" priority="7149" operator="greaterThan">
      <formula>0</formula>
    </cfRule>
    <cfRule type="cellIs" dxfId="2654" priority="7150" operator="lessThanOrEqual">
      <formula>0</formula>
    </cfRule>
  </conditionalFormatting>
  <conditionalFormatting sqref="AR41">
    <cfRule type="cellIs" dxfId="2653" priority="7147" operator="greaterThan">
      <formula>0</formula>
    </cfRule>
    <cfRule type="cellIs" dxfId="2652" priority="7148" operator="lessThanOrEqual">
      <formula>0</formula>
    </cfRule>
  </conditionalFormatting>
  <conditionalFormatting sqref="AR42:AR43 AR45:AR46">
    <cfRule type="cellIs" dxfId="2651" priority="7143" operator="greaterThan">
      <formula>0</formula>
    </cfRule>
    <cfRule type="cellIs" dxfId="2650" priority="7144" operator="lessThanOrEqual">
      <formula>0</formula>
    </cfRule>
  </conditionalFormatting>
  <conditionalFormatting sqref="AR57:AR58 AR60:AR61">
    <cfRule type="cellIs" dxfId="2649" priority="7141" operator="greaterThan">
      <formula>0</formula>
    </cfRule>
    <cfRule type="cellIs" dxfId="2648" priority="7142" operator="lessThanOrEqual">
      <formula>0</formula>
    </cfRule>
  </conditionalFormatting>
  <conditionalFormatting sqref="AR62">
    <cfRule type="cellIs" dxfId="2647" priority="7131" operator="greaterThan">
      <formula>0</formula>
    </cfRule>
    <cfRule type="cellIs" dxfId="2646" priority="7132" operator="lessThanOrEqual">
      <formula>0</formula>
    </cfRule>
  </conditionalFormatting>
  <conditionalFormatting sqref="AR65">
    <cfRule type="cellIs" dxfId="2645" priority="7127" operator="greaterThan">
      <formula>0</formula>
    </cfRule>
    <cfRule type="cellIs" dxfId="2644" priority="7128" operator="lessThanOrEqual">
      <formula>0</formula>
    </cfRule>
  </conditionalFormatting>
  <conditionalFormatting sqref="AR25">
    <cfRule type="cellIs" dxfId="2643" priority="7125" operator="greaterThan">
      <formula>0</formula>
    </cfRule>
    <cfRule type="cellIs" dxfId="2642" priority="7126" operator="lessThanOrEqual">
      <formula>0</formula>
    </cfRule>
  </conditionalFormatting>
  <conditionalFormatting sqref="AR56">
    <cfRule type="cellIs" dxfId="2641" priority="7123" operator="greaterThan">
      <formula>0</formula>
    </cfRule>
    <cfRule type="cellIs" dxfId="2640" priority="7124" operator="lessThanOrEqual">
      <formula>0</formula>
    </cfRule>
  </conditionalFormatting>
  <conditionalFormatting sqref="AQ56">
    <cfRule type="cellIs" dxfId="2639" priority="7122" operator="greaterThanOrEqual">
      <formula>0</formula>
    </cfRule>
  </conditionalFormatting>
  <conditionalFormatting sqref="AQ56">
    <cfRule type="cellIs" dxfId="2638" priority="7121" operator="lessThan">
      <formula>0</formula>
    </cfRule>
  </conditionalFormatting>
  <conditionalFormatting sqref="AR52">
    <cfRule type="cellIs" dxfId="2637" priority="7119" operator="greaterThan">
      <formula>0</formula>
    </cfRule>
    <cfRule type="cellIs" dxfId="2636" priority="7120" operator="lessThanOrEqual">
      <formula>0</formula>
    </cfRule>
  </conditionalFormatting>
  <conditionalFormatting sqref="AQ52">
    <cfRule type="cellIs" dxfId="2635" priority="7118" operator="greaterThanOrEqual">
      <formula>0</formula>
    </cfRule>
  </conditionalFormatting>
  <conditionalFormatting sqref="AQ52">
    <cfRule type="cellIs" dxfId="2634" priority="7117" operator="lessThan">
      <formula>0</formula>
    </cfRule>
  </conditionalFormatting>
  <conditionalFormatting sqref="AQ25">
    <cfRule type="cellIs" dxfId="2633" priority="7116" operator="greaterThanOrEqual">
      <formula>0</formula>
    </cfRule>
  </conditionalFormatting>
  <conditionalFormatting sqref="AQ25">
    <cfRule type="cellIs" dxfId="2632" priority="7115" operator="lessThan">
      <formula>0</formula>
    </cfRule>
  </conditionalFormatting>
  <conditionalFormatting sqref="AQ28">
    <cfRule type="cellIs" dxfId="2631" priority="7114" operator="greaterThanOrEqual">
      <formula>0</formula>
    </cfRule>
  </conditionalFormatting>
  <conditionalFormatting sqref="AQ28">
    <cfRule type="cellIs" dxfId="2630" priority="7113" operator="lessThan">
      <formula>0</formula>
    </cfRule>
  </conditionalFormatting>
  <conditionalFormatting sqref="AQ41">
    <cfRule type="cellIs" dxfId="2629" priority="7112" operator="greaterThanOrEqual">
      <formula>0</formula>
    </cfRule>
  </conditionalFormatting>
  <conditionalFormatting sqref="AQ41">
    <cfRule type="cellIs" dxfId="2628" priority="7111" operator="lessThan">
      <formula>0</formula>
    </cfRule>
  </conditionalFormatting>
  <conditionalFormatting sqref="AQ44">
    <cfRule type="cellIs" dxfId="2627" priority="7110" operator="greaterThanOrEqual">
      <formula>0</formula>
    </cfRule>
  </conditionalFormatting>
  <conditionalFormatting sqref="AQ44">
    <cfRule type="cellIs" dxfId="2626" priority="7109" operator="lessThan">
      <formula>0</formula>
    </cfRule>
  </conditionalFormatting>
  <conditionalFormatting sqref="AQ47">
    <cfRule type="cellIs" dxfId="2625" priority="7108" operator="greaterThanOrEqual">
      <formula>0</formula>
    </cfRule>
  </conditionalFormatting>
  <conditionalFormatting sqref="AQ47">
    <cfRule type="cellIs" dxfId="2624" priority="7107" operator="lessThan">
      <formula>0</formula>
    </cfRule>
  </conditionalFormatting>
  <conditionalFormatting sqref="AQ50">
    <cfRule type="cellIs" dxfId="2623" priority="7106" operator="greaterThanOrEqual">
      <formula>0</formula>
    </cfRule>
  </conditionalFormatting>
  <conditionalFormatting sqref="AQ50">
    <cfRule type="cellIs" dxfId="2622" priority="7105" operator="lessThan">
      <formula>0</formula>
    </cfRule>
  </conditionalFormatting>
  <conditionalFormatting sqref="AQ51">
    <cfRule type="cellIs" dxfId="2621" priority="7104" operator="greaterThanOrEqual">
      <formula>0</formula>
    </cfRule>
  </conditionalFormatting>
  <conditionalFormatting sqref="AQ51">
    <cfRule type="cellIs" dxfId="2620" priority="7103" operator="lessThan">
      <formula>0</formula>
    </cfRule>
  </conditionalFormatting>
  <conditionalFormatting sqref="AQ59">
    <cfRule type="cellIs" dxfId="2619" priority="7102" operator="greaterThanOrEqual">
      <formula>0</formula>
    </cfRule>
  </conditionalFormatting>
  <conditionalFormatting sqref="AQ59">
    <cfRule type="cellIs" dxfId="2618" priority="7101" operator="lessThan">
      <formula>0</formula>
    </cfRule>
  </conditionalFormatting>
  <conditionalFormatting sqref="AQ65">
    <cfRule type="cellIs" dxfId="2617" priority="7100" operator="greaterThanOrEqual">
      <formula>0</formula>
    </cfRule>
  </conditionalFormatting>
  <conditionalFormatting sqref="AQ65">
    <cfRule type="cellIs" dxfId="2616" priority="7099" operator="lessThan">
      <formula>0</formula>
    </cfRule>
  </conditionalFormatting>
  <conditionalFormatting sqref="AQ66">
    <cfRule type="cellIs" dxfId="2615" priority="7098" operator="greaterThanOrEqual">
      <formula>0</formula>
    </cfRule>
  </conditionalFormatting>
  <conditionalFormatting sqref="AQ66">
    <cfRule type="cellIs" dxfId="2614" priority="7097" operator="lessThan">
      <formula>0</formula>
    </cfRule>
  </conditionalFormatting>
  <conditionalFormatting sqref="AQ42:AQ43">
    <cfRule type="cellIs" dxfId="2613" priority="7095" operator="lessThan">
      <formula>0</formula>
    </cfRule>
    <cfRule type="cellIs" dxfId="2612" priority="7096" operator="greaterThanOrEqual">
      <formula>0</formula>
    </cfRule>
  </conditionalFormatting>
  <conditionalFormatting sqref="AQ45:AQ46">
    <cfRule type="cellIs" dxfId="2611" priority="7093" operator="lessThan">
      <formula>0</formula>
    </cfRule>
    <cfRule type="cellIs" dxfId="2610" priority="7094" operator="greaterThanOrEqual">
      <formula>0</formula>
    </cfRule>
  </conditionalFormatting>
  <conditionalFormatting sqref="AQ57:AQ58">
    <cfRule type="cellIs" dxfId="2609" priority="7091" operator="lessThan">
      <formula>0</formula>
    </cfRule>
    <cfRule type="cellIs" dxfId="2608" priority="7092" operator="greaterThanOrEqual">
      <formula>0</formula>
    </cfRule>
  </conditionalFormatting>
  <conditionalFormatting sqref="AQ60:AQ61">
    <cfRule type="cellIs" dxfId="2607" priority="7089" operator="lessThan">
      <formula>0</formula>
    </cfRule>
    <cfRule type="cellIs" dxfId="2606" priority="7090" operator="greaterThanOrEqual">
      <formula>0</formula>
    </cfRule>
  </conditionalFormatting>
  <conditionalFormatting sqref="AQ63:AQ64">
    <cfRule type="cellIs" dxfId="2605" priority="7087" operator="lessThan">
      <formula>0</formula>
    </cfRule>
    <cfRule type="cellIs" dxfId="2604" priority="7088" operator="greaterThanOrEqual">
      <formula>0</formula>
    </cfRule>
  </conditionalFormatting>
  <conditionalFormatting sqref="AR68 AR71">
    <cfRule type="cellIs" dxfId="2603" priority="7085" operator="greaterThan">
      <formula>0</formula>
    </cfRule>
    <cfRule type="cellIs" dxfId="2602" priority="7086" operator="lessThanOrEqual">
      <formula>0</formula>
    </cfRule>
  </conditionalFormatting>
  <conditionalFormatting sqref="AR73">
    <cfRule type="cellIs" dxfId="2601" priority="7083" operator="greaterThan">
      <formula>0</formula>
    </cfRule>
    <cfRule type="cellIs" dxfId="2600" priority="7084" operator="lessThanOrEqual">
      <formula>0</formula>
    </cfRule>
  </conditionalFormatting>
  <conditionalFormatting sqref="AR69">
    <cfRule type="cellIs" dxfId="2599" priority="7081" operator="greaterThan">
      <formula>0</formula>
    </cfRule>
    <cfRule type="cellIs" dxfId="2598" priority="7082" operator="lessThanOrEqual">
      <formula>0</formula>
    </cfRule>
  </conditionalFormatting>
  <conditionalFormatting sqref="AR70">
    <cfRule type="cellIs" dxfId="2597" priority="7079" operator="greaterThan">
      <formula>0</formula>
    </cfRule>
    <cfRule type="cellIs" dxfId="2596" priority="7080" operator="lessThanOrEqual">
      <formula>0</formula>
    </cfRule>
  </conditionalFormatting>
  <conditionalFormatting sqref="AR72">
    <cfRule type="cellIs" dxfId="2595" priority="7077" operator="greaterThan">
      <formula>0</formula>
    </cfRule>
    <cfRule type="cellIs" dxfId="2594" priority="7078" operator="lessThanOrEqual">
      <formula>0</formula>
    </cfRule>
  </conditionalFormatting>
  <conditionalFormatting sqref="AQ68:AQ70">
    <cfRule type="cellIs" dxfId="2593" priority="7075" operator="lessThan">
      <formula>0</formula>
    </cfRule>
    <cfRule type="cellIs" dxfId="2592" priority="7076" operator="greaterThanOrEqual">
      <formula>0</formula>
    </cfRule>
  </conditionalFormatting>
  <conditionalFormatting sqref="AQ71:AQ72">
    <cfRule type="cellIs" dxfId="2591" priority="7074" operator="greaterThanOrEqual">
      <formula>0</formula>
    </cfRule>
  </conditionalFormatting>
  <conditionalFormatting sqref="AQ71:AQ72">
    <cfRule type="cellIs" dxfId="2590" priority="7073" operator="lessThan">
      <formula>0</formula>
    </cfRule>
  </conditionalFormatting>
  <conditionalFormatting sqref="AQ73">
    <cfRule type="cellIs" dxfId="2589" priority="7072" operator="greaterThanOrEqual">
      <formula>0</formula>
    </cfRule>
  </conditionalFormatting>
  <conditionalFormatting sqref="AQ73">
    <cfRule type="cellIs" dxfId="2588" priority="7071" operator="lessThan">
      <formula>0</formula>
    </cfRule>
  </conditionalFormatting>
  <conditionalFormatting sqref="AR67">
    <cfRule type="cellIs" dxfId="2587" priority="7069" operator="greaterThan">
      <formula>0</formula>
    </cfRule>
    <cfRule type="cellIs" dxfId="2586" priority="7070" operator="lessThanOrEqual">
      <formula>0</formula>
    </cfRule>
  </conditionalFormatting>
  <conditionalFormatting sqref="AQ67">
    <cfRule type="cellIs" dxfId="2585" priority="7067" operator="greaterThanOrEqual">
      <formula>0</formula>
    </cfRule>
    <cfRule type="cellIs" dxfId="2584" priority="7068" operator="lessThan">
      <formula>0</formula>
    </cfRule>
  </conditionalFormatting>
  <conditionalFormatting sqref="AN51">
    <cfRule type="cellIs" dxfId="2583" priority="7065" operator="greaterThan">
      <formula>0</formula>
    </cfRule>
    <cfRule type="cellIs" dxfId="2582" priority="7066" operator="lessThanOrEqual">
      <formula>0</formula>
    </cfRule>
  </conditionalFormatting>
  <conditionalFormatting sqref="AT42:AT43">
    <cfRule type="cellIs" dxfId="2581" priority="7063" operator="lessThan">
      <formula>0</formula>
    </cfRule>
    <cfRule type="cellIs" dxfId="2580" priority="7064" operator="greaterThanOrEqual">
      <formula>0</formula>
    </cfRule>
  </conditionalFormatting>
  <conditionalFormatting sqref="AT45:AT46">
    <cfRule type="cellIs" dxfId="2579" priority="7061" operator="lessThan">
      <formula>0</formula>
    </cfRule>
    <cfRule type="cellIs" dxfId="2578" priority="7062" operator="greaterThanOrEqual">
      <formula>0</formula>
    </cfRule>
  </conditionalFormatting>
  <conditionalFormatting sqref="AT53:AT54">
    <cfRule type="cellIs" dxfId="2577" priority="7059" operator="lessThan">
      <formula>0</formula>
    </cfRule>
    <cfRule type="cellIs" dxfId="2576" priority="7060" operator="greaterThanOrEqual">
      <formula>0</formula>
    </cfRule>
  </conditionalFormatting>
  <conditionalFormatting sqref="AT57:AT58">
    <cfRule type="cellIs" dxfId="2575" priority="7057" operator="lessThan">
      <formula>0</formula>
    </cfRule>
    <cfRule type="cellIs" dxfId="2574" priority="7058" operator="greaterThanOrEqual">
      <formula>0</formula>
    </cfRule>
  </conditionalFormatting>
  <conditionalFormatting sqref="AT60:AT61">
    <cfRule type="cellIs" dxfId="2573" priority="7055" operator="lessThan">
      <formula>0</formula>
    </cfRule>
    <cfRule type="cellIs" dxfId="2572" priority="7056" operator="greaterThanOrEqual">
      <formula>0</formula>
    </cfRule>
  </conditionalFormatting>
  <conditionalFormatting sqref="AT63:AT64">
    <cfRule type="cellIs" dxfId="2571" priority="7053" operator="lessThan">
      <formula>0</formula>
    </cfRule>
    <cfRule type="cellIs" dxfId="2570" priority="7054" operator="greaterThanOrEqual">
      <formula>0</formula>
    </cfRule>
  </conditionalFormatting>
  <conditionalFormatting sqref="AT25">
    <cfRule type="cellIs" dxfId="2569" priority="7052" operator="greaterThanOrEqual">
      <formula>0</formula>
    </cfRule>
  </conditionalFormatting>
  <conditionalFormatting sqref="AT25">
    <cfRule type="cellIs" dxfId="2568" priority="7051" operator="lessThan">
      <formula>0</formula>
    </cfRule>
  </conditionalFormatting>
  <conditionalFormatting sqref="AT26">
    <cfRule type="cellIs" dxfId="2567" priority="7050" operator="greaterThanOrEqual">
      <formula>0</formula>
    </cfRule>
  </conditionalFormatting>
  <conditionalFormatting sqref="AT26">
    <cfRule type="cellIs" dxfId="2566" priority="7049" operator="lessThan">
      <formula>0</formula>
    </cfRule>
  </conditionalFormatting>
  <conditionalFormatting sqref="AT28">
    <cfRule type="cellIs" dxfId="2565" priority="7048" operator="greaterThanOrEqual">
      <formula>0</formula>
    </cfRule>
  </conditionalFormatting>
  <conditionalFormatting sqref="AT28">
    <cfRule type="cellIs" dxfId="2564" priority="7047" operator="lessThan">
      <formula>0</formula>
    </cfRule>
  </conditionalFormatting>
  <conditionalFormatting sqref="AT41">
    <cfRule type="cellIs" dxfId="2563" priority="7046" operator="greaterThanOrEqual">
      <formula>0</formula>
    </cfRule>
  </conditionalFormatting>
  <conditionalFormatting sqref="AT41">
    <cfRule type="cellIs" dxfId="2562" priority="7045" operator="lessThan">
      <formula>0</formula>
    </cfRule>
  </conditionalFormatting>
  <conditionalFormatting sqref="AT44">
    <cfRule type="cellIs" dxfId="2561" priority="7044" operator="greaterThanOrEqual">
      <formula>0</formula>
    </cfRule>
  </conditionalFormatting>
  <conditionalFormatting sqref="AT44">
    <cfRule type="cellIs" dxfId="2560" priority="7043" operator="lessThan">
      <formula>0</formula>
    </cfRule>
  </conditionalFormatting>
  <conditionalFormatting sqref="AT47">
    <cfRule type="cellIs" dxfId="2559" priority="7042" operator="greaterThanOrEqual">
      <formula>0</formula>
    </cfRule>
  </conditionalFormatting>
  <conditionalFormatting sqref="AT47">
    <cfRule type="cellIs" dxfId="2558" priority="7041" operator="lessThan">
      <formula>0</formula>
    </cfRule>
  </conditionalFormatting>
  <conditionalFormatting sqref="AT50">
    <cfRule type="cellIs" dxfId="2557" priority="7040" operator="greaterThanOrEqual">
      <formula>0</formula>
    </cfRule>
  </conditionalFormatting>
  <conditionalFormatting sqref="AT50">
    <cfRule type="cellIs" dxfId="2556" priority="7039" operator="lessThan">
      <formula>0</formula>
    </cfRule>
  </conditionalFormatting>
  <conditionalFormatting sqref="AT51">
    <cfRule type="cellIs" dxfId="2555" priority="7038" operator="greaterThanOrEqual">
      <formula>0</formula>
    </cfRule>
  </conditionalFormatting>
  <conditionalFormatting sqref="AT51">
    <cfRule type="cellIs" dxfId="2554" priority="7037" operator="lessThan">
      <formula>0</formula>
    </cfRule>
  </conditionalFormatting>
  <conditionalFormatting sqref="AT59">
    <cfRule type="cellIs" dxfId="2553" priority="7036" operator="greaterThanOrEqual">
      <formula>0</formula>
    </cfRule>
  </conditionalFormatting>
  <conditionalFormatting sqref="AT59">
    <cfRule type="cellIs" dxfId="2552" priority="7035" operator="lessThan">
      <formula>0</formula>
    </cfRule>
  </conditionalFormatting>
  <conditionalFormatting sqref="AT62">
    <cfRule type="cellIs" dxfId="2551" priority="7034" operator="greaterThanOrEqual">
      <formula>0</formula>
    </cfRule>
  </conditionalFormatting>
  <conditionalFormatting sqref="AT62">
    <cfRule type="cellIs" dxfId="2550" priority="7033" operator="lessThan">
      <formula>0</formula>
    </cfRule>
  </conditionalFormatting>
  <conditionalFormatting sqref="AT65">
    <cfRule type="cellIs" dxfId="2549" priority="7032" operator="greaterThanOrEqual">
      <formula>0</formula>
    </cfRule>
  </conditionalFormatting>
  <conditionalFormatting sqref="AT65">
    <cfRule type="cellIs" dxfId="2548" priority="7031" operator="lessThan">
      <formula>0</formula>
    </cfRule>
  </conditionalFormatting>
  <conditionalFormatting sqref="AT56">
    <cfRule type="cellIs" dxfId="2547" priority="7030" operator="greaterThanOrEqual">
      <formula>0</formula>
    </cfRule>
  </conditionalFormatting>
  <conditionalFormatting sqref="AT56">
    <cfRule type="cellIs" dxfId="2546" priority="7029" operator="lessThan">
      <formula>0</formula>
    </cfRule>
  </conditionalFormatting>
  <conditionalFormatting sqref="AT66">
    <cfRule type="cellIs" dxfId="2545" priority="7028" operator="greaterThanOrEqual">
      <formula>0</formula>
    </cfRule>
  </conditionalFormatting>
  <conditionalFormatting sqref="AT66">
    <cfRule type="cellIs" dxfId="2544" priority="7027" operator="lessThan">
      <formula>0</formula>
    </cfRule>
  </conditionalFormatting>
  <conditionalFormatting sqref="AU16:AU17">
    <cfRule type="cellIs" dxfId="2543" priority="7025" operator="greaterThan">
      <formula>0</formula>
    </cfRule>
    <cfRule type="cellIs" dxfId="2542" priority="7026" operator="lessThanOrEqual">
      <formula>0</formula>
    </cfRule>
  </conditionalFormatting>
  <conditionalFormatting sqref="AU19:AU20">
    <cfRule type="cellIs" dxfId="2541" priority="7023" operator="greaterThan">
      <formula>0</formula>
    </cfRule>
    <cfRule type="cellIs" dxfId="2540" priority="7024" operator="lessThanOrEqual">
      <formula>0</formula>
    </cfRule>
  </conditionalFormatting>
  <conditionalFormatting sqref="AU22:AU23">
    <cfRule type="cellIs" dxfId="2539" priority="7021" operator="greaterThan">
      <formula>0</formula>
    </cfRule>
    <cfRule type="cellIs" dxfId="2538" priority="7022" operator="lessThanOrEqual">
      <formula>0</formula>
    </cfRule>
  </conditionalFormatting>
  <conditionalFormatting sqref="AU29:AU30">
    <cfRule type="cellIs" dxfId="2537" priority="7019" operator="greaterThan">
      <formula>0</formula>
    </cfRule>
    <cfRule type="cellIs" dxfId="2536" priority="7020" operator="lessThanOrEqual">
      <formula>0</formula>
    </cfRule>
  </conditionalFormatting>
  <conditionalFormatting sqref="AU32:AU33">
    <cfRule type="cellIs" dxfId="2535" priority="7017" operator="greaterThan">
      <formula>0</formula>
    </cfRule>
    <cfRule type="cellIs" dxfId="2534" priority="7018" operator="lessThanOrEqual">
      <formula>0</formula>
    </cfRule>
  </conditionalFormatting>
  <conditionalFormatting sqref="AU35:AU36">
    <cfRule type="cellIs" dxfId="2533" priority="7015" operator="greaterThan">
      <formula>0</formula>
    </cfRule>
    <cfRule type="cellIs" dxfId="2532" priority="7016" operator="lessThanOrEqual">
      <formula>0</formula>
    </cfRule>
  </conditionalFormatting>
  <conditionalFormatting sqref="AU38:AU39">
    <cfRule type="cellIs" dxfId="2531" priority="7013" operator="greaterThan">
      <formula>0</formula>
    </cfRule>
    <cfRule type="cellIs" dxfId="2530" priority="7014" operator="lessThanOrEqual">
      <formula>0</formula>
    </cfRule>
  </conditionalFormatting>
  <conditionalFormatting sqref="AU42:AU43">
    <cfRule type="cellIs" dxfId="2529" priority="7011" operator="greaterThan">
      <formula>0</formula>
    </cfRule>
    <cfRule type="cellIs" dxfId="2528" priority="7012" operator="lessThanOrEqual">
      <formula>0</formula>
    </cfRule>
  </conditionalFormatting>
  <conditionalFormatting sqref="AU45:AU46">
    <cfRule type="cellIs" dxfId="2527" priority="7009" operator="greaterThan">
      <formula>0</formula>
    </cfRule>
    <cfRule type="cellIs" dxfId="2526" priority="7010" operator="lessThanOrEqual">
      <formula>0</formula>
    </cfRule>
  </conditionalFormatting>
  <conditionalFormatting sqref="AU48:AU49">
    <cfRule type="cellIs" dxfId="2525" priority="7007" operator="greaterThan">
      <formula>0</formula>
    </cfRule>
    <cfRule type="cellIs" dxfId="2524" priority="7008" operator="lessThanOrEqual">
      <formula>0</formula>
    </cfRule>
  </conditionalFormatting>
  <conditionalFormatting sqref="AU53:AU54">
    <cfRule type="cellIs" dxfId="2523" priority="7005" operator="greaterThan">
      <formula>0</formula>
    </cfRule>
    <cfRule type="cellIs" dxfId="2522" priority="7006" operator="lessThanOrEqual">
      <formula>0</formula>
    </cfRule>
  </conditionalFormatting>
  <conditionalFormatting sqref="AU57:AU58">
    <cfRule type="cellIs" dxfId="2521" priority="7003" operator="greaterThan">
      <formula>0</formula>
    </cfRule>
    <cfRule type="cellIs" dxfId="2520" priority="7004" operator="lessThanOrEqual">
      <formula>0</formula>
    </cfRule>
  </conditionalFormatting>
  <conditionalFormatting sqref="AU60:AU61">
    <cfRule type="cellIs" dxfId="2519" priority="7001" operator="greaterThan">
      <formula>0</formula>
    </cfRule>
    <cfRule type="cellIs" dxfId="2518" priority="7002" operator="lessThanOrEqual">
      <formula>0</formula>
    </cfRule>
  </conditionalFormatting>
  <conditionalFormatting sqref="AU63:AU64">
    <cfRule type="cellIs" dxfId="2517" priority="6999" operator="greaterThan">
      <formula>0</formula>
    </cfRule>
    <cfRule type="cellIs" dxfId="2516" priority="7000" operator="lessThanOrEqual">
      <formula>0</formula>
    </cfRule>
  </conditionalFormatting>
  <conditionalFormatting sqref="AU25">
    <cfRule type="cellIs" dxfId="2515" priority="6998" operator="greaterThanOrEqual">
      <formula>0</formula>
    </cfRule>
  </conditionalFormatting>
  <conditionalFormatting sqref="AU25">
    <cfRule type="cellIs" dxfId="2514" priority="6997" operator="lessThan">
      <formula>0</formula>
    </cfRule>
  </conditionalFormatting>
  <conditionalFormatting sqref="AU26">
    <cfRule type="cellIs" dxfId="2513" priority="6996" operator="greaterThanOrEqual">
      <formula>0</formula>
    </cfRule>
  </conditionalFormatting>
  <conditionalFormatting sqref="AU26">
    <cfRule type="cellIs" dxfId="2512" priority="6995" operator="lessThan">
      <formula>0</formula>
    </cfRule>
  </conditionalFormatting>
  <conditionalFormatting sqref="AU28">
    <cfRule type="cellIs" dxfId="2511" priority="6994" operator="greaterThanOrEqual">
      <formula>0</formula>
    </cfRule>
  </conditionalFormatting>
  <conditionalFormatting sqref="AU28">
    <cfRule type="cellIs" dxfId="2510" priority="6993" operator="lessThan">
      <formula>0</formula>
    </cfRule>
  </conditionalFormatting>
  <conditionalFormatting sqref="AU41">
    <cfRule type="cellIs" dxfId="2509" priority="6992" operator="greaterThanOrEqual">
      <formula>0</formula>
    </cfRule>
  </conditionalFormatting>
  <conditionalFormatting sqref="AU41">
    <cfRule type="cellIs" dxfId="2508" priority="6991" operator="lessThan">
      <formula>0</formula>
    </cfRule>
  </conditionalFormatting>
  <conditionalFormatting sqref="AU44">
    <cfRule type="cellIs" dxfId="2507" priority="6990" operator="greaterThanOrEqual">
      <formula>0</formula>
    </cfRule>
  </conditionalFormatting>
  <conditionalFormatting sqref="AU44">
    <cfRule type="cellIs" dxfId="2506" priority="6989" operator="lessThan">
      <formula>0</formula>
    </cfRule>
  </conditionalFormatting>
  <conditionalFormatting sqref="AU47">
    <cfRule type="cellIs" dxfId="2505" priority="6988" operator="greaterThanOrEqual">
      <formula>0</formula>
    </cfRule>
  </conditionalFormatting>
  <conditionalFormatting sqref="AU47">
    <cfRule type="cellIs" dxfId="2504" priority="6987" operator="lessThan">
      <formula>0</formula>
    </cfRule>
  </conditionalFormatting>
  <conditionalFormatting sqref="AU50">
    <cfRule type="cellIs" dxfId="2503" priority="6986" operator="greaterThanOrEqual">
      <formula>0</formula>
    </cfRule>
  </conditionalFormatting>
  <conditionalFormatting sqref="AU50">
    <cfRule type="cellIs" dxfId="2502" priority="6985" operator="lessThan">
      <formula>0</formula>
    </cfRule>
  </conditionalFormatting>
  <conditionalFormatting sqref="AU51">
    <cfRule type="cellIs" dxfId="2501" priority="6984" operator="greaterThanOrEqual">
      <formula>0</formula>
    </cfRule>
  </conditionalFormatting>
  <conditionalFormatting sqref="AU51">
    <cfRule type="cellIs" dxfId="2500" priority="6983" operator="lessThan">
      <formula>0</formula>
    </cfRule>
  </conditionalFormatting>
  <conditionalFormatting sqref="AU59">
    <cfRule type="cellIs" dxfId="2499" priority="6982" operator="greaterThanOrEqual">
      <formula>0</formula>
    </cfRule>
  </conditionalFormatting>
  <conditionalFormatting sqref="AU59">
    <cfRule type="cellIs" dxfId="2498" priority="6981" operator="lessThan">
      <formula>0</formula>
    </cfRule>
  </conditionalFormatting>
  <conditionalFormatting sqref="AU62">
    <cfRule type="cellIs" dxfId="2497" priority="6980" operator="greaterThanOrEqual">
      <formula>0</formula>
    </cfRule>
  </conditionalFormatting>
  <conditionalFormatting sqref="AU62">
    <cfRule type="cellIs" dxfId="2496" priority="6979" operator="lessThan">
      <formula>0</formula>
    </cfRule>
  </conditionalFormatting>
  <conditionalFormatting sqref="AU65">
    <cfRule type="cellIs" dxfId="2495" priority="6978" operator="greaterThanOrEqual">
      <formula>0</formula>
    </cfRule>
  </conditionalFormatting>
  <conditionalFormatting sqref="AU65">
    <cfRule type="cellIs" dxfId="2494" priority="6977" operator="lessThan">
      <formula>0</formula>
    </cfRule>
  </conditionalFormatting>
  <conditionalFormatting sqref="AU56">
    <cfRule type="cellIs" dxfId="2493" priority="6975" operator="lessThan">
      <formula>0</formula>
    </cfRule>
  </conditionalFormatting>
  <conditionalFormatting sqref="AU56">
    <cfRule type="cellIs" dxfId="2492" priority="6976" operator="greaterThanOrEqual">
      <formula>0</formula>
    </cfRule>
  </conditionalFormatting>
  <conditionalFormatting sqref="AU66">
    <cfRule type="cellIs" dxfId="2491" priority="6973" operator="lessThan">
      <formula>0</formula>
    </cfRule>
  </conditionalFormatting>
  <conditionalFormatting sqref="AU66">
    <cfRule type="cellIs" dxfId="2490" priority="6974" operator="greaterThanOrEqual">
      <formula>0</formula>
    </cfRule>
  </conditionalFormatting>
  <conditionalFormatting sqref="AT70">
    <cfRule type="cellIs" dxfId="2489" priority="6971" operator="lessThan">
      <formula>0</formula>
    </cfRule>
    <cfRule type="cellIs" dxfId="2488" priority="6972" operator="greaterThanOrEqual">
      <formula>0</formula>
    </cfRule>
  </conditionalFormatting>
  <conditionalFormatting sqref="AU70">
    <cfRule type="cellIs" dxfId="2487" priority="6969" operator="lessThan">
      <formula>0</formula>
    </cfRule>
    <cfRule type="cellIs" dxfId="2486" priority="6970" operator="greaterThanOrEqual">
      <formula>0</formula>
    </cfRule>
  </conditionalFormatting>
  <conditionalFormatting sqref="AU72">
    <cfRule type="cellIs" dxfId="2485" priority="6967" operator="lessThan">
      <formula>0</formula>
    </cfRule>
    <cfRule type="cellIs" dxfId="2484" priority="6968" operator="greaterThanOrEqual">
      <formula>0</formula>
    </cfRule>
  </conditionalFormatting>
  <conditionalFormatting sqref="AM55">
    <cfRule type="cellIs" dxfId="2483" priority="6966" operator="greaterThanOrEqual">
      <formula>0</formula>
    </cfRule>
  </conditionalFormatting>
  <conditionalFormatting sqref="AM55">
    <cfRule type="cellIs" dxfId="2482" priority="6965" operator="lessThan">
      <formula>0</formula>
    </cfRule>
  </conditionalFormatting>
  <conditionalFormatting sqref="AR55">
    <cfRule type="cellIs" dxfId="2481" priority="6963" operator="greaterThan">
      <formula>0</formula>
    </cfRule>
    <cfRule type="cellIs" dxfId="2480" priority="6964" operator="lessThanOrEqual">
      <formula>0</formula>
    </cfRule>
  </conditionalFormatting>
  <conditionalFormatting sqref="AQ55">
    <cfRule type="cellIs" dxfId="2479" priority="6962" operator="greaterThanOrEqual">
      <formula>0</formula>
    </cfRule>
  </conditionalFormatting>
  <conditionalFormatting sqref="AQ55">
    <cfRule type="cellIs" dxfId="2478" priority="6961" operator="lessThan">
      <formula>0</formula>
    </cfRule>
  </conditionalFormatting>
  <conditionalFormatting sqref="AN55">
    <cfRule type="cellIs" dxfId="2477" priority="6959" operator="greaterThan">
      <formula>0</formula>
    </cfRule>
    <cfRule type="cellIs" dxfId="2476" priority="6960" operator="lessThanOrEqual">
      <formula>0</formula>
    </cfRule>
  </conditionalFormatting>
  <conditionalFormatting sqref="AT55">
    <cfRule type="cellIs" dxfId="2475" priority="6958" operator="greaterThanOrEqual">
      <formula>0</formula>
    </cfRule>
  </conditionalFormatting>
  <conditionalFormatting sqref="AT55">
    <cfRule type="cellIs" dxfId="2474" priority="6957" operator="lessThan">
      <formula>0</formula>
    </cfRule>
  </conditionalFormatting>
  <conditionalFormatting sqref="AU55">
    <cfRule type="cellIs" dxfId="2473" priority="6956" operator="greaterThanOrEqual">
      <formula>0</formula>
    </cfRule>
  </conditionalFormatting>
  <conditionalFormatting sqref="AU55">
    <cfRule type="cellIs" dxfId="2472" priority="6955" operator="lessThan">
      <formula>0</formula>
    </cfRule>
  </conditionalFormatting>
  <conditionalFormatting sqref="AN27">
    <cfRule type="cellIs" dxfId="2471" priority="6509" operator="greaterThan">
      <formula>0</formula>
    </cfRule>
    <cfRule type="cellIs" dxfId="2470" priority="6510" operator="lessThanOrEqual">
      <formula>0</formula>
    </cfRule>
  </conditionalFormatting>
  <conditionalFormatting sqref="AM27">
    <cfRule type="cellIs" dxfId="2469" priority="6508" operator="greaterThanOrEqual">
      <formula>0</formula>
    </cfRule>
  </conditionalFormatting>
  <conditionalFormatting sqref="AM27">
    <cfRule type="cellIs" dxfId="2468" priority="6507" operator="lessThan">
      <formula>0</formula>
    </cfRule>
  </conditionalFormatting>
  <conditionalFormatting sqref="AR27">
    <cfRule type="cellIs" dxfId="2467" priority="6505" operator="greaterThan">
      <formula>0</formula>
    </cfRule>
    <cfRule type="cellIs" dxfId="2466" priority="6506" operator="lessThanOrEqual">
      <formula>0</formula>
    </cfRule>
  </conditionalFormatting>
  <conditionalFormatting sqref="AQ27">
    <cfRule type="cellIs" dxfId="2465" priority="6504" operator="greaterThanOrEqual">
      <formula>0</formula>
    </cfRule>
  </conditionalFormatting>
  <conditionalFormatting sqref="AQ27">
    <cfRule type="cellIs" dxfId="2464" priority="6503" operator="lessThan">
      <formula>0</formula>
    </cfRule>
  </conditionalFormatting>
  <conditionalFormatting sqref="AT27">
    <cfRule type="cellIs" dxfId="2463" priority="6502" operator="greaterThanOrEqual">
      <formula>0</formula>
    </cfRule>
  </conditionalFormatting>
  <conditionalFormatting sqref="AT27">
    <cfRule type="cellIs" dxfId="2462" priority="6501" operator="lessThan">
      <formula>0</formula>
    </cfRule>
  </conditionalFormatting>
  <conditionalFormatting sqref="AU27">
    <cfRule type="cellIs" dxfId="2461" priority="6500" operator="greaterThanOrEqual">
      <formula>0</formula>
    </cfRule>
  </conditionalFormatting>
  <conditionalFormatting sqref="AU27">
    <cfRule type="cellIs" dxfId="2460" priority="6499" operator="lessThan">
      <formula>0</formula>
    </cfRule>
  </conditionalFormatting>
  <conditionalFormatting sqref="AY13:AY14">
    <cfRule type="cellIs" dxfId="2459" priority="6479" operator="greaterThan">
      <formula>0</formula>
    </cfRule>
    <cfRule type="cellIs" dxfId="2458" priority="6480" operator="lessThanOrEqual">
      <formula>0</formula>
    </cfRule>
  </conditionalFormatting>
  <conditionalFormatting sqref="AY16:AY17">
    <cfRule type="cellIs" dxfId="2457" priority="6477" operator="greaterThan">
      <formula>0</formula>
    </cfRule>
    <cfRule type="cellIs" dxfId="2456" priority="6478" operator="lessThanOrEqual">
      <formula>0</formula>
    </cfRule>
  </conditionalFormatting>
  <conditionalFormatting sqref="AY19:AY20">
    <cfRule type="cellIs" dxfId="2455" priority="6475" operator="greaterThan">
      <formula>0</formula>
    </cfRule>
    <cfRule type="cellIs" dxfId="2454" priority="6476" operator="lessThanOrEqual">
      <formula>0</formula>
    </cfRule>
  </conditionalFormatting>
  <conditionalFormatting sqref="AY29:AY30">
    <cfRule type="cellIs" dxfId="2453" priority="6473" operator="greaterThan">
      <formula>0</formula>
    </cfRule>
    <cfRule type="cellIs" dxfId="2452" priority="6474" operator="lessThanOrEqual">
      <formula>0</formula>
    </cfRule>
  </conditionalFormatting>
  <conditionalFormatting sqref="AY22:AY23">
    <cfRule type="cellIs" dxfId="2451" priority="6471" operator="greaterThan">
      <formula>0</formula>
    </cfRule>
    <cfRule type="cellIs" dxfId="2450" priority="6472" operator="lessThanOrEqual">
      <formula>0</formula>
    </cfRule>
  </conditionalFormatting>
  <conditionalFormatting sqref="AY32:AY33">
    <cfRule type="cellIs" dxfId="2449" priority="6469" operator="greaterThan">
      <formula>0</formula>
    </cfRule>
    <cfRule type="cellIs" dxfId="2448" priority="6470" operator="lessThanOrEqual">
      <formula>0</formula>
    </cfRule>
  </conditionalFormatting>
  <conditionalFormatting sqref="AY35:AY36">
    <cfRule type="cellIs" dxfId="2447" priority="6467" operator="greaterThan">
      <formula>0</formula>
    </cfRule>
    <cfRule type="cellIs" dxfId="2446" priority="6468" operator="lessThanOrEqual">
      <formula>0</formula>
    </cfRule>
  </conditionalFormatting>
  <conditionalFormatting sqref="AY38:AY39">
    <cfRule type="cellIs" dxfId="2445" priority="6465" operator="greaterThan">
      <formula>0</formula>
    </cfRule>
    <cfRule type="cellIs" dxfId="2444" priority="6466" operator="lessThanOrEqual">
      <formula>0</formula>
    </cfRule>
  </conditionalFormatting>
  <conditionalFormatting sqref="AY48:AY49">
    <cfRule type="cellIs" dxfId="2443" priority="6463" operator="greaterThan">
      <formula>0</formula>
    </cfRule>
    <cfRule type="cellIs" dxfId="2442" priority="6464" operator="lessThanOrEqual">
      <formula>0</formula>
    </cfRule>
  </conditionalFormatting>
  <conditionalFormatting sqref="AY63:AY64">
    <cfRule type="cellIs" dxfId="2441" priority="6461" operator="greaterThan">
      <formula>0</formula>
    </cfRule>
    <cfRule type="cellIs" dxfId="2440" priority="6462" operator="lessThanOrEqual">
      <formula>0</formula>
    </cfRule>
  </conditionalFormatting>
  <conditionalFormatting sqref="AY53:AY54">
    <cfRule type="cellIs" dxfId="2439" priority="6459" operator="greaterThan">
      <formula>0</formula>
    </cfRule>
    <cfRule type="cellIs" dxfId="2438" priority="6460" operator="lessThanOrEqual">
      <formula>0</formula>
    </cfRule>
  </conditionalFormatting>
  <conditionalFormatting sqref="AY15">
    <cfRule type="cellIs" dxfId="2437" priority="6457" operator="greaterThan">
      <formula>0</formula>
    </cfRule>
    <cfRule type="cellIs" dxfId="2436" priority="6458" operator="lessThanOrEqual">
      <formula>0</formula>
    </cfRule>
  </conditionalFormatting>
  <conditionalFormatting sqref="AY18">
    <cfRule type="cellIs" dxfId="2435" priority="6455" operator="greaterThan">
      <formula>0</formula>
    </cfRule>
    <cfRule type="cellIs" dxfId="2434" priority="6456" operator="lessThanOrEqual">
      <formula>0</formula>
    </cfRule>
  </conditionalFormatting>
  <conditionalFormatting sqref="AY21">
    <cfRule type="cellIs" dxfId="2433" priority="6453" operator="greaterThan">
      <formula>0</formula>
    </cfRule>
    <cfRule type="cellIs" dxfId="2432" priority="6454" operator="lessThanOrEqual">
      <formula>0</formula>
    </cfRule>
  </conditionalFormatting>
  <conditionalFormatting sqref="AY31">
    <cfRule type="cellIs" dxfId="2431" priority="6451" operator="greaterThan">
      <formula>0</formula>
    </cfRule>
    <cfRule type="cellIs" dxfId="2430" priority="6452" operator="lessThanOrEqual">
      <formula>0</formula>
    </cfRule>
  </conditionalFormatting>
  <conditionalFormatting sqref="AY24">
    <cfRule type="cellIs" dxfId="2429" priority="6449" operator="greaterThan">
      <formula>0</formula>
    </cfRule>
    <cfRule type="cellIs" dxfId="2428" priority="6450" operator="lessThanOrEqual">
      <formula>0</formula>
    </cfRule>
  </conditionalFormatting>
  <conditionalFormatting sqref="AY34">
    <cfRule type="cellIs" dxfId="2427" priority="6447" operator="greaterThan">
      <formula>0</formula>
    </cfRule>
    <cfRule type="cellIs" dxfId="2426" priority="6448" operator="lessThanOrEqual">
      <formula>0</formula>
    </cfRule>
  </conditionalFormatting>
  <conditionalFormatting sqref="AY37">
    <cfRule type="cellIs" dxfId="2425" priority="6445" operator="greaterThan">
      <formula>0</formula>
    </cfRule>
    <cfRule type="cellIs" dxfId="2424" priority="6446" operator="lessThanOrEqual">
      <formula>0</formula>
    </cfRule>
  </conditionalFormatting>
  <conditionalFormatting sqref="AY40">
    <cfRule type="cellIs" dxfId="2423" priority="6443" operator="greaterThan">
      <formula>0</formula>
    </cfRule>
    <cfRule type="cellIs" dxfId="2422" priority="6444" operator="lessThanOrEqual">
      <formula>0</formula>
    </cfRule>
  </conditionalFormatting>
  <conditionalFormatting sqref="AY26">
    <cfRule type="cellIs" dxfId="2421" priority="6441" operator="greaterThan">
      <formula>0</formula>
    </cfRule>
    <cfRule type="cellIs" dxfId="2420" priority="6442" operator="lessThanOrEqual">
      <formula>0</formula>
    </cfRule>
  </conditionalFormatting>
  <conditionalFormatting sqref="AY66 AY68 AY71">
    <cfRule type="cellIs" dxfId="2419" priority="6439" operator="greaterThan">
      <formula>0</formula>
    </cfRule>
    <cfRule type="cellIs" dxfId="2418" priority="6440" operator="lessThanOrEqual">
      <formula>0</formula>
    </cfRule>
  </conditionalFormatting>
  <conditionalFormatting sqref="AX13:AX14 AX16:AX17 AX19:AX20 AX22:AX23 AX29:AX30 AX32:AX33 AX35:AX36 AX38:AX39 AX48:AX49 AX53:AX54">
    <cfRule type="cellIs" dxfId="2417" priority="6437" operator="lessThan">
      <formula>0</formula>
    </cfRule>
    <cfRule type="cellIs" dxfId="2416" priority="6438" operator="greaterThanOrEqual">
      <formula>0</formula>
    </cfRule>
  </conditionalFormatting>
  <conditionalFormatting sqref="AX15 AX18 AX21 AX24 AX26 AX31 AX34 AX37 AX40">
    <cfRule type="cellIs" dxfId="2415" priority="6436" operator="greaterThanOrEqual">
      <formula>0</formula>
    </cfRule>
  </conditionalFormatting>
  <conditionalFormatting sqref="AX15 AX18 AX21 AX24 AX26 AX31 AX34 AX37 AX40">
    <cfRule type="cellIs" dxfId="2414" priority="6435" operator="lessThan">
      <formula>0</formula>
    </cfRule>
  </conditionalFormatting>
  <conditionalFormatting sqref="AY73">
    <cfRule type="cellIs" dxfId="2413" priority="6433" operator="greaterThan">
      <formula>0</formula>
    </cfRule>
    <cfRule type="cellIs" dxfId="2412" priority="6434" operator="lessThanOrEqual">
      <formula>0</formula>
    </cfRule>
  </conditionalFormatting>
  <conditionalFormatting sqref="AY67">
    <cfRule type="cellIs" dxfId="2411" priority="6431" operator="greaterThan">
      <formula>0</formula>
    </cfRule>
    <cfRule type="cellIs" dxfId="2410" priority="6432" operator="lessThanOrEqual">
      <formula>0</formula>
    </cfRule>
  </conditionalFormatting>
  <conditionalFormatting sqref="AX67">
    <cfRule type="cellIs" dxfId="2409" priority="6429" operator="greaterThanOrEqual">
      <formula>0</formula>
    </cfRule>
    <cfRule type="cellIs" dxfId="2408" priority="6430" operator="lessThan">
      <formula>0</formula>
    </cfRule>
  </conditionalFormatting>
  <conditionalFormatting sqref="BE13:BE14 BE16:BE17 BE19:BE20 BE22:BE23 BE29:BE30 BE32:BE33 BE35:BE36 BE38:BE39 BE48:BE49">
    <cfRule type="cellIs" dxfId="2407" priority="6427" operator="lessThan">
      <formula>0</formula>
    </cfRule>
    <cfRule type="cellIs" dxfId="2406" priority="6428" operator="greaterThanOrEqual">
      <formula>0</formula>
    </cfRule>
  </conditionalFormatting>
  <conditionalFormatting sqref="BE15 BE24 BE18 BE21 BE31 BE34 BE37 BE40">
    <cfRule type="cellIs" dxfId="2405" priority="6426" operator="greaterThanOrEqual">
      <formula>0</formula>
    </cfRule>
  </conditionalFormatting>
  <conditionalFormatting sqref="BE15 BE24 BE18 BE21 BE31 BE34 BE37 BE40">
    <cfRule type="cellIs" dxfId="2404" priority="6425" operator="lessThan">
      <formula>0</formula>
    </cfRule>
  </conditionalFormatting>
  <conditionalFormatting sqref="BE71 BE73">
    <cfRule type="cellIs" dxfId="2403" priority="6423" operator="lessThan">
      <formula>0</formula>
    </cfRule>
    <cfRule type="cellIs" dxfId="2402" priority="6424" operator="greaterThanOrEqual">
      <formula>0</formula>
    </cfRule>
  </conditionalFormatting>
  <conditionalFormatting sqref="BE67">
    <cfRule type="cellIs" dxfId="2401" priority="6421" operator="greaterThanOrEqual">
      <formula>0</formula>
    </cfRule>
    <cfRule type="cellIs" dxfId="2400" priority="6422" operator="lessThan">
      <formula>0</formula>
    </cfRule>
  </conditionalFormatting>
  <conditionalFormatting sqref="BF13:BF14">
    <cfRule type="cellIs" dxfId="2399" priority="6419" operator="greaterThan">
      <formula>0</formula>
    </cfRule>
    <cfRule type="cellIs" dxfId="2398" priority="6420" operator="lessThanOrEqual">
      <formula>0</formula>
    </cfRule>
  </conditionalFormatting>
  <conditionalFormatting sqref="BF68">
    <cfRule type="cellIs" dxfId="2397" priority="6417" operator="lessThan">
      <formula>0</formula>
    </cfRule>
    <cfRule type="cellIs" dxfId="2396" priority="6418" operator="greaterThanOrEqual">
      <formula>0</formula>
    </cfRule>
  </conditionalFormatting>
  <conditionalFormatting sqref="BF15 BF24 BF18 BF21 BF31 BF34 BF37 BF40">
    <cfRule type="cellIs" dxfId="2395" priority="6416" operator="greaterThanOrEqual">
      <formula>0</formula>
    </cfRule>
  </conditionalFormatting>
  <conditionalFormatting sqref="BF15 BF24 BF18 BF21 BF31 BF34 BF37 BF40">
    <cfRule type="cellIs" dxfId="2394" priority="6415" operator="lessThan">
      <formula>0</formula>
    </cfRule>
  </conditionalFormatting>
  <conditionalFormatting sqref="BE68">
    <cfRule type="cellIs" dxfId="2393" priority="6413" operator="lessThan">
      <formula>0</formula>
    </cfRule>
    <cfRule type="cellIs" dxfId="2392" priority="6414" operator="greaterThanOrEqual">
      <formula>0</formula>
    </cfRule>
  </conditionalFormatting>
  <conditionalFormatting sqref="BF71 BF73">
    <cfRule type="cellIs" dxfId="2391" priority="6411" operator="lessThan">
      <formula>0</formula>
    </cfRule>
    <cfRule type="cellIs" dxfId="2390" priority="6412" operator="greaterThanOrEqual">
      <formula>0</formula>
    </cfRule>
  </conditionalFormatting>
  <conditionalFormatting sqref="BF67">
    <cfRule type="cellIs" dxfId="2389" priority="6409" operator="lessThan">
      <formula>0</formula>
    </cfRule>
    <cfRule type="cellIs" dxfId="2388" priority="6410" operator="greaterThanOrEqual">
      <formula>0</formula>
    </cfRule>
  </conditionalFormatting>
  <conditionalFormatting sqref="AX62">
    <cfRule type="cellIs" dxfId="2387" priority="6390" operator="greaterThanOrEqual">
      <formula>0</formula>
    </cfRule>
  </conditionalFormatting>
  <conditionalFormatting sqref="AX62">
    <cfRule type="cellIs" dxfId="2386" priority="6389" operator="lessThan">
      <formula>0</formula>
    </cfRule>
  </conditionalFormatting>
  <conditionalFormatting sqref="AY44">
    <cfRule type="cellIs" dxfId="2385" priority="6399" operator="greaterThan">
      <formula>0</formula>
    </cfRule>
    <cfRule type="cellIs" dxfId="2384" priority="6400" operator="lessThanOrEqual">
      <formula>0</formula>
    </cfRule>
  </conditionalFormatting>
  <conditionalFormatting sqref="AY47">
    <cfRule type="cellIs" dxfId="2383" priority="6397" operator="greaterThan">
      <formula>0</formula>
    </cfRule>
    <cfRule type="cellIs" dxfId="2382" priority="6398" operator="lessThanOrEqual">
      <formula>0</formula>
    </cfRule>
  </conditionalFormatting>
  <conditionalFormatting sqref="AY50">
    <cfRule type="cellIs" dxfId="2381" priority="6395" operator="greaterThan">
      <formula>0</formula>
    </cfRule>
    <cfRule type="cellIs" dxfId="2380" priority="6396" operator="lessThanOrEqual">
      <formula>0</formula>
    </cfRule>
  </conditionalFormatting>
  <conditionalFormatting sqref="AY28">
    <cfRule type="cellIs" dxfId="2379" priority="6407" operator="greaterThan">
      <formula>0</formula>
    </cfRule>
    <cfRule type="cellIs" dxfId="2378" priority="6408" operator="lessThanOrEqual">
      <formula>0</formula>
    </cfRule>
  </conditionalFormatting>
  <conditionalFormatting sqref="AY41">
    <cfRule type="cellIs" dxfId="2377" priority="6405" operator="greaterThan">
      <formula>0</formula>
    </cfRule>
    <cfRule type="cellIs" dxfId="2376" priority="6406" operator="lessThanOrEqual">
      <formula>0</formula>
    </cfRule>
  </conditionalFormatting>
  <conditionalFormatting sqref="AY42:AY43 AY45:AY46">
    <cfRule type="cellIs" dxfId="2375" priority="6403" operator="greaterThan">
      <formula>0</formula>
    </cfRule>
    <cfRule type="cellIs" dxfId="2374" priority="6404" operator="lessThanOrEqual">
      <formula>0</formula>
    </cfRule>
  </conditionalFormatting>
  <conditionalFormatting sqref="AY57:AY58 AY60:AY61">
    <cfRule type="cellIs" dxfId="2373" priority="6401" operator="greaterThan">
      <formula>0</formula>
    </cfRule>
    <cfRule type="cellIs" dxfId="2372" priority="6402" operator="lessThanOrEqual">
      <formula>0</formula>
    </cfRule>
  </conditionalFormatting>
  <conditionalFormatting sqref="AY59">
    <cfRule type="cellIs" dxfId="2371" priority="6393" operator="greaterThan">
      <formula>0</formula>
    </cfRule>
    <cfRule type="cellIs" dxfId="2370" priority="6394" operator="lessThanOrEqual">
      <formula>0</formula>
    </cfRule>
  </conditionalFormatting>
  <conditionalFormatting sqref="AY62">
    <cfRule type="cellIs" dxfId="2369" priority="6391" operator="greaterThan">
      <formula>0</formula>
    </cfRule>
    <cfRule type="cellIs" dxfId="2368" priority="6392" operator="lessThanOrEqual">
      <formula>0</formula>
    </cfRule>
  </conditionalFormatting>
  <conditionalFormatting sqref="AY65">
    <cfRule type="cellIs" dxfId="2367" priority="6387" operator="greaterThan">
      <formula>0</formula>
    </cfRule>
    <cfRule type="cellIs" dxfId="2366" priority="6388" operator="lessThanOrEqual">
      <formula>0</formula>
    </cfRule>
  </conditionalFormatting>
  <conditionalFormatting sqref="BC47">
    <cfRule type="cellIs" dxfId="2365" priority="6057" operator="greaterThan">
      <formula>0</formula>
    </cfRule>
    <cfRule type="cellIs" dxfId="2364" priority="6058" operator="lessThanOrEqual">
      <formula>0</formula>
    </cfRule>
  </conditionalFormatting>
  <conditionalFormatting sqref="BC59">
    <cfRule type="cellIs" dxfId="2363" priority="6053" operator="greaterThan">
      <formula>0</formula>
    </cfRule>
    <cfRule type="cellIs" dxfId="2362" priority="6054" operator="lessThanOrEqual">
      <formula>0</formula>
    </cfRule>
  </conditionalFormatting>
  <conditionalFormatting sqref="BB62">
    <cfRule type="cellIs" dxfId="2361" priority="6050" operator="greaterThanOrEqual">
      <formula>0</formula>
    </cfRule>
  </conditionalFormatting>
  <conditionalFormatting sqref="BB62">
    <cfRule type="cellIs" dxfId="2360" priority="6049" operator="lessThan">
      <formula>0</formula>
    </cfRule>
  </conditionalFormatting>
  <conditionalFormatting sqref="AY25">
    <cfRule type="cellIs" dxfId="2359" priority="6177" operator="greaterThan">
      <formula>0</formula>
    </cfRule>
    <cfRule type="cellIs" dxfId="2358" priority="6178" operator="lessThanOrEqual">
      <formula>0</formula>
    </cfRule>
  </conditionalFormatting>
  <conditionalFormatting sqref="BF52">
    <cfRule type="cellIs" dxfId="2357" priority="6165" operator="lessThan">
      <formula>0</formula>
    </cfRule>
  </conditionalFormatting>
  <conditionalFormatting sqref="AY56">
    <cfRule type="cellIs" dxfId="2356" priority="6175" operator="greaterThan">
      <formula>0</formula>
    </cfRule>
    <cfRule type="cellIs" dxfId="2355" priority="6176" operator="lessThanOrEqual">
      <formula>0</formula>
    </cfRule>
  </conditionalFormatting>
  <conditionalFormatting sqref="AX56">
    <cfRule type="cellIs" dxfId="2354" priority="6174" operator="greaterThanOrEqual">
      <formula>0</formula>
    </cfRule>
  </conditionalFormatting>
  <conditionalFormatting sqref="AX56">
    <cfRule type="cellIs" dxfId="2353" priority="6173" operator="lessThan">
      <formula>0</formula>
    </cfRule>
  </conditionalFormatting>
  <conditionalFormatting sqref="AY52">
    <cfRule type="cellIs" dxfId="2352" priority="6171" operator="greaterThan">
      <formula>0</formula>
    </cfRule>
    <cfRule type="cellIs" dxfId="2351" priority="6172" operator="lessThanOrEqual">
      <formula>0</formula>
    </cfRule>
  </conditionalFormatting>
  <conditionalFormatting sqref="AX52">
    <cfRule type="cellIs" dxfId="2350" priority="6170" operator="greaterThanOrEqual">
      <formula>0</formula>
    </cfRule>
  </conditionalFormatting>
  <conditionalFormatting sqref="AX52">
    <cfRule type="cellIs" dxfId="2349" priority="6169" operator="lessThan">
      <formula>0</formula>
    </cfRule>
  </conditionalFormatting>
  <conditionalFormatting sqref="BE52">
    <cfRule type="cellIs" dxfId="2348" priority="6168" operator="greaterThanOrEqual">
      <formula>0</formula>
    </cfRule>
  </conditionalFormatting>
  <conditionalFormatting sqref="BE52">
    <cfRule type="cellIs" dxfId="2347" priority="6167" operator="lessThan">
      <formula>0</formula>
    </cfRule>
  </conditionalFormatting>
  <conditionalFormatting sqref="BF52">
    <cfRule type="cellIs" dxfId="2346" priority="6166" operator="greaterThanOrEqual">
      <formula>0</formula>
    </cfRule>
  </conditionalFormatting>
  <conditionalFormatting sqref="AY69">
    <cfRule type="cellIs" dxfId="2345" priority="6163" operator="greaterThan">
      <formula>0</formula>
    </cfRule>
    <cfRule type="cellIs" dxfId="2344" priority="6164" operator="lessThanOrEqual">
      <formula>0</formula>
    </cfRule>
  </conditionalFormatting>
  <conditionalFormatting sqref="BE69">
    <cfRule type="cellIs" dxfId="2343" priority="6161" operator="lessThan">
      <formula>0</formula>
    </cfRule>
    <cfRule type="cellIs" dxfId="2342" priority="6162" operator="greaterThanOrEqual">
      <formula>0</formula>
    </cfRule>
  </conditionalFormatting>
  <conditionalFormatting sqref="BF69">
    <cfRule type="cellIs" dxfId="2341" priority="6159" operator="lessThan">
      <formula>0</formula>
    </cfRule>
    <cfRule type="cellIs" dxfId="2340" priority="6160" operator="greaterThanOrEqual">
      <formula>0</formula>
    </cfRule>
  </conditionalFormatting>
  <conditionalFormatting sqref="AY70">
    <cfRule type="cellIs" dxfId="2339" priority="6157" operator="greaterThan">
      <formula>0</formula>
    </cfRule>
    <cfRule type="cellIs" dxfId="2338" priority="6158" operator="lessThanOrEqual">
      <formula>0</formula>
    </cfRule>
  </conditionalFormatting>
  <conditionalFormatting sqref="BE72">
    <cfRule type="cellIs" dxfId="2337" priority="6155" operator="lessThan">
      <formula>0</formula>
    </cfRule>
    <cfRule type="cellIs" dxfId="2336" priority="6156" operator="greaterThanOrEqual">
      <formula>0</formula>
    </cfRule>
  </conditionalFormatting>
  <conditionalFormatting sqref="AY72">
    <cfRule type="cellIs" dxfId="2335" priority="6153" operator="greaterThan">
      <formula>0</formula>
    </cfRule>
    <cfRule type="cellIs" dxfId="2334" priority="6154" operator="lessThanOrEqual">
      <formula>0</formula>
    </cfRule>
  </conditionalFormatting>
  <conditionalFormatting sqref="AX25">
    <cfRule type="cellIs" dxfId="2333" priority="6152" operator="greaterThanOrEqual">
      <formula>0</formula>
    </cfRule>
  </conditionalFormatting>
  <conditionalFormatting sqref="AX25">
    <cfRule type="cellIs" dxfId="2332" priority="6151" operator="lessThan">
      <formula>0</formula>
    </cfRule>
  </conditionalFormatting>
  <conditionalFormatting sqref="AX28">
    <cfRule type="cellIs" dxfId="2331" priority="6150" operator="greaterThanOrEqual">
      <formula>0</formula>
    </cfRule>
  </conditionalFormatting>
  <conditionalFormatting sqref="AX28">
    <cfRule type="cellIs" dxfId="2330" priority="6149" operator="lessThan">
      <formula>0</formula>
    </cfRule>
  </conditionalFormatting>
  <conditionalFormatting sqref="AX41">
    <cfRule type="cellIs" dxfId="2329" priority="6148" operator="greaterThanOrEqual">
      <formula>0</formula>
    </cfRule>
  </conditionalFormatting>
  <conditionalFormatting sqref="AX41">
    <cfRule type="cellIs" dxfId="2328" priority="6147" operator="lessThan">
      <formula>0</formula>
    </cfRule>
  </conditionalFormatting>
  <conditionalFormatting sqref="AX44">
    <cfRule type="cellIs" dxfId="2327" priority="6146" operator="greaterThanOrEqual">
      <formula>0</formula>
    </cfRule>
  </conditionalFormatting>
  <conditionalFormatting sqref="AX44">
    <cfRule type="cellIs" dxfId="2326" priority="6145" operator="lessThan">
      <formula>0</formula>
    </cfRule>
  </conditionalFormatting>
  <conditionalFormatting sqref="AX47">
    <cfRule type="cellIs" dxfId="2325" priority="6144" operator="greaterThanOrEqual">
      <formula>0</formula>
    </cfRule>
  </conditionalFormatting>
  <conditionalFormatting sqref="AX47">
    <cfRule type="cellIs" dxfId="2324" priority="6143" operator="lessThan">
      <formula>0</formula>
    </cfRule>
  </conditionalFormatting>
  <conditionalFormatting sqref="AX50">
    <cfRule type="cellIs" dxfId="2323" priority="6142" operator="greaterThanOrEqual">
      <formula>0</formula>
    </cfRule>
  </conditionalFormatting>
  <conditionalFormatting sqref="AX50">
    <cfRule type="cellIs" dxfId="2322" priority="6141" operator="lessThan">
      <formula>0</formula>
    </cfRule>
  </conditionalFormatting>
  <conditionalFormatting sqref="AX51">
    <cfRule type="cellIs" dxfId="2321" priority="6140" operator="greaterThanOrEqual">
      <formula>0</formula>
    </cfRule>
  </conditionalFormatting>
  <conditionalFormatting sqref="AX51">
    <cfRule type="cellIs" dxfId="2320" priority="6139" operator="lessThan">
      <formula>0</formula>
    </cfRule>
  </conditionalFormatting>
  <conditionalFormatting sqref="AX59">
    <cfRule type="cellIs" dxfId="2319" priority="6138" operator="greaterThanOrEqual">
      <formula>0</formula>
    </cfRule>
  </conditionalFormatting>
  <conditionalFormatting sqref="AX59">
    <cfRule type="cellIs" dxfId="2318" priority="6137" operator="lessThan">
      <formula>0</formula>
    </cfRule>
  </conditionalFormatting>
  <conditionalFormatting sqref="AX65">
    <cfRule type="cellIs" dxfId="2317" priority="6136" operator="greaterThanOrEqual">
      <formula>0</formula>
    </cfRule>
  </conditionalFormatting>
  <conditionalFormatting sqref="AX65">
    <cfRule type="cellIs" dxfId="2316" priority="6135" operator="lessThan">
      <formula>0</formula>
    </cfRule>
  </conditionalFormatting>
  <conditionalFormatting sqref="AX66">
    <cfRule type="cellIs" dxfId="2315" priority="6134" operator="greaterThanOrEqual">
      <formula>0</formula>
    </cfRule>
  </conditionalFormatting>
  <conditionalFormatting sqref="AX66">
    <cfRule type="cellIs" dxfId="2314" priority="6133" operator="lessThan">
      <formula>0</formula>
    </cfRule>
  </conditionalFormatting>
  <conditionalFormatting sqref="AX68:AX70">
    <cfRule type="cellIs" dxfId="2313" priority="6131" operator="lessThan">
      <formula>0</formula>
    </cfRule>
    <cfRule type="cellIs" dxfId="2312" priority="6132" operator="greaterThanOrEqual">
      <formula>0</formula>
    </cfRule>
  </conditionalFormatting>
  <conditionalFormatting sqref="AX71:AX72">
    <cfRule type="cellIs" dxfId="2311" priority="6130" operator="greaterThanOrEqual">
      <formula>0</formula>
    </cfRule>
  </conditionalFormatting>
  <conditionalFormatting sqref="AX71:AX72">
    <cfRule type="cellIs" dxfId="2310" priority="6129" operator="lessThan">
      <formula>0</formula>
    </cfRule>
  </conditionalFormatting>
  <conditionalFormatting sqref="AX73">
    <cfRule type="cellIs" dxfId="2309" priority="6128" operator="greaterThanOrEqual">
      <formula>0</formula>
    </cfRule>
  </conditionalFormatting>
  <conditionalFormatting sqref="AX73">
    <cfRule type="cellIs" dxfId="2308" priority="6127" operator="lessThan">
      <formula>0</formula>
    </cfRule>
  </conditionalFormatting>
  <conditionalFormatting sqref="AX42:AX43">
    <cfRule type="cellIs" dxfId="2307" priority="6125" operator="lessThan">
      <formula>0</formula>
    </cfRule>
    <cfRule type="cellIs" dxfId="2306" priority="6126" operator="greaterThanOrEqual">
      <formula>0</formula>
    </cfRule>
  </conditionalFormatting>
  <conditionalFormatting sqref="AX45:AX46">
    <cfRule type="cellIs" dxfId="2305" priority="6123" operator="lessThan">
      <formula>0</formula>
    </cfRule>
    <cfRule type="cellIs" dxfId="2304" priority="6124" operator="greaterThanOrEqual">
      <formula>0</formula>
    </cfRule>
  </conditionalFormatting>
  <conditionalFormatting sqref="AX57:AX58">
    <cfRule type="cellIs" dxfId="2303" priority="6121" operator="lessThan">
      <formula>0</formula>
    </cfRule>
    <cfRule type="cellIs" dxfId="2302" priority="6122" operator="greaterThanOrEqual">
      <formula>0</formula>
    </cfRule>
  </conditionalFormatting>
  <conditionalFormatting sqref="AX60:AX61">
    <cfRule type="cellIs" dxfId="2301" priority="6119" operator="lessThan">
      <formula>0</formula>
    </cfRule>
    <cfRule type="cellIs" dxfId="2300" priority="6120" operator="greaterThanOrEqual">
      <formula>0</formula>
    </cfRule>
  </conditionalFormatting>
  <conditionalFormatting sqref="AX63:AX64">
    <cfRule type="cellIs" dxfId="2299" priority="6117" operator="lessThan">
      <formula>0</formula>
    </cfRule>
    <cfRule type="cellIs" dxfId="2298" priority="6118" operator="greaterThanOrEqual">
      <formula>0</formula>
    </cfRule>
  </conditionalFormatting>
  <conditionalFormatting sqref="BC13:BC14">
    <cfRule type="cellIs" dxfId="2297" priority="6115" operator="greaterThan">
      <formula>0</formula>
    </cfRule>
    <cfRule type="cellIs" dxfId="2296" priority="6116" operator="lessThanOrEqual">
      <formula>0</formula>
    </cfRule>
  </conditionalFormatting>
  <conditionalFormatting sqref="BC16:BC17">
    <cfRule type="cellIs" dxfId="2295" priority="6113" operator="greaterThan">
      <formula>0</formula>
    </cfRule>
    <cfRule type="cellIs" dxfId="2294" priority="6114" operator="lessThanOrEqual">
      <formula>0</formula>
    </cfRule>
  </conditionalFormatting>
  <conditionalFormatting sqref="BC19:BC20">
    <cfRule type="cellIs" dxfId="2293" priority="6111" operator="greaterThan">
      <formula>0</formula>
    </cfRule>
    <cfRule type="cellIs" dxfId="2292" priority="6112" operator="lessThanOrEqual">
      <formula>0</formula>
    </cfRule>
  </conditionalFormatting>
  <conditionalFormatting sqref="BC29:BC30">
    <cfRule type="cellIs" dxfId="2291" priority="6109" operator="greaterThan">
      <formula>0</formula>
    </cfRule>
    <cfRule type="cellIs" dxfId="2290" priority="6110" operator="lessThanOrEqual">
      <formula>0</formula>
    </cfRule>
  </conditionalFormatting>
  <conditionalFormatting sqref="BC22:BC23">
    <cfRule type="cellIs" dxfId="2289" priority="6107" operator="greaterThan">
      <formula>0</formula>
    </cfRule>
    <cfRule type="cellIs" dxfId="2288" priority="6108" operator="lessThanOrEqual">
      <formula>0</formula>
    </cfRule>
  </conditionalFormatting>
  <conditionalFormatting sqref="BC32:BC33">
    <cfRule type="cellIs" dxfId="2287" priority="6105" operator="greaterThan">
      <formula>0</formula>
    </cfRule>
    <cfRule type="cellIs" dxfId="2286" priority="6106" operator="lessThanOrEqual">
      <formula>0</formula>
    </cfRule>
  </conditionalFormatting>
  <conditionalFormatting sqref="BC35:BC36">
    <cfRule type="cellIs" dxfId="2285" priority="6103" operator="greaterThan">
      <formula>0</formula>
    </cfRule>
    <cfRule type="cellIs" dxfId="2284" priority="6104" operator="lessThanOrEqual">
      <formula>0</formula>
    </cfRule>
  </conditionalFormatting>
  <conditionalFormatting sqref="BC38:BC39">
    <cfRule type="cellIs" dxfId="2283" priority="6101" operator="greaterThan">
      <formula>0</formula>
    </cfRule>
    <cfRule type="cellIs" dxfId="2282" priority="6102" operator="lessThanOrEqual">
      <formula>0</formula>
    </cfRule>
  </conditionalFormatting>
  <conditionalFormatting sqref="BC48:BC49">
    <cfRule type="cellIs" dxfId="2281" priority="6099" operator="greaterThan">
      <formula>0</formula>
    </cfRule>
    <cfRule type="cellIs" dxfId="2280" priority="6100" operator="lessThanOrEqual">
      <formula>0</formula>
    </cfRule>
  </conditionalFormatting>
  <conditionalFormatting sqref="BC63:BC64">
    <cfRule type="cellIs" dxfId="2279" priority="6097" operator="greaterThan">
      <formula>0</formula>
    </cfRule>
    <cfRule type="cellIs" dxfId="2278" priority="6098" operator="lessThanOrEqual">
      <formula>0</formula>
    </cfRule>
  </conditionalFormatting>
  <conditionalFormatting sqref="BC53:BC54">
    <cfRule type="cellIs" dxfId="2277" priority="6095" operator="greaterThan">
      <formula>0</formula>
    </cfRule>
    <cfRule type="cellIs" dxfId="2276" priority="6096" operator="lessThanOrEqual">
      <formula>0</formula>
    </cfRule>
  </conditionalFormatting>
  <conditionalFormatting sqref="BC15">
    <cfRule type="cellIs" dxfId="2275" priority="6093" operator="greaterThan">
      <formula>0</formula>
    </cfRule>
    <cfRule type="cellIs" dxfId="2274" priority="6094" operator="lessThanOrEqual">
      <formula>0</formula>
    </cfRule>
  </conditionalFormatting>
  <conditionalFormatting sqref="BC18">
    <cfRule type="cellIs" dxfId="2273" priority="6091" operator="greaterThan">
      <formula>0</formula>
    </cfRule>
    <cfRule type="cellIs" dxfId="2272" priority="6092" operator="lessThanOrEqual">
      <formula>0</formula>
    </cfRule>
  </conditionalFormatting>
  <conditionalFormatting sqref="BC21">
    <cfRule type="cellIs" dxfId="2271" priority="6089" operator="greaterThan">
      <formula>0</formula>
    </cfRule>
    <cfRule type="cellIs" dxfId="2270" priority="6090" operator="lessThanOrEqual">
      <formula>0</formula>
    </cfRule>
  </conditionalFormatting>
  <conditionalFormatting sqref="BC31">
    <cfRule type="cellIs" dxfId="2269" priority="6087" operator="greaterThan">
      <formula>0</formula>
    </cfRule>
    <cfRule type="cellIs" dxfId="2268" priority="6088" operator="lessThanOrEqual">
      <formula>0</formula>
    </cfRule>
  </conditionalFormatting>
  <conditionalFormatting sqref="BC24">
    <cfRule type="cellIs" dxfId="2267" priority="6085" operator="greaterThan">
      <formula>0</formula>
    </cfRule>
    <cfRule type="cellIs" dxfId="2266" priority="6086" operator="lessThanOrEqual">
      <formula>0</formula>
    </cfRule>
  </conditionalFormatting>
  <conditionalFormatting sqref="BC34">
    <cfRule type="cellIs" dxfId="2265" priority="6083" operator="greaterThan">
      <formula>0</formula>
    </cfRule>
    <cfRule type="cellIs" dxfId="2264" priority="6084" operator="lessThanOrEqual">
      <formula>0</formula>
    </cfRule>
  </conditionalFormatting>
  <conditionalFormatting sqref="BC37">
    <cfRule type="cellIs" dxfId="2263" priority="6081" operator="greaterThan">
      <formula>0</formula>
    </cfRule>
    <cfRule type="cellIs" dxfId="2262" priority="6082" operator="lessThanOrEqual">
      <formula>0</formula>
    </cfRule>
  </conditionalFormatting>
  <conditionalFormatting sqref="BC40">
    <cfRule type="cellIs" dxfId="2261" priority="6079" operator="greaterThan">
      <formula>0</formula>
    </cfRule>
    <cfRule type="cellIs" dxfId="2260" priority="6080" operator="lessThanOrEqual">
      <formula>0</formula>
    </cfRule>
  </conditionalFormatting>
  <conditionalFormatting sqref="BC26">
    <cfRule type="cellIs" dxfId="2259" priority="6077" operator="greaterThan">
      <formula>0</formula>
    </cfRule>
    <cfRule type="cellIs" dxfId="2258" priority="6078" operator="lessThanOrEqual">
      <formula>0</formula>
    </cfRule>
  </conditionalFormatting>
  <conditionalFormatting sqref="BC66">
    <cfRule type="cellIs" dxfId="2257" priority="6075" operator="greaterThan">
      <formula>0</formula>
    </cfRule>
    <cfRule type="cellIs" dxfId="2256" priority="6076" operator="lessThanOrEqual">
      <formula>0</formula>
    </cfRule>
  </conditionalFormatting>
  <conditionalFormatting sqref="BB13:BB14 BB16:BB17 BB19:BB20 BB22:BB23 BB29:BB30 BB32:BB33 BB35:BB36 BB38:BB39 BB48:BB49 BB53:BB54">
    <cfRule type="cellIs" dxfId="2255" priority="6073" operator="lessThan">
      <formula>0</formula>
    </cfRule>
    <cfRule type="cellIs" dxfId="2254" priority="6074" operator="greaterThanOrEqual">
      <formula>0</formula>
    </cfRule>
  </conditionalFormatting>
  <conditionalFormatting sqref="BB15 BB18 BB21 BB24 BB26 BB31 BB34 BB37 BB40">
    <cfRule type="cellIs" dxfId="2253" priority="6072" operator="greaterThanOrEqual">
      <formula>0</formula>
    </cfRule>
  </conditionalFormatting>
  <conditionalFormatting sqref="BB15 BB18 BB21 BB24 BB26 BB31 BB34 BB37 BB40">
    <cfRule type="cellIs" dxfId="2252" priority="6071" operator="lessThan">
      <formula>0</formula>
    </cfRule>
  </conditionalFormatting>
  <conditionalFormatting sqref="BC51">
    <cfRule type="cellIs" dxfId="2251" priority="6065" operator="greaterThan">
      <formula>0</formula>
    </cfRule>
    <cfRule type="cellIs" dxfId="2250" priority="6066" operator="lessThanOrEqual">
      <formula>0</formula>
    </cfRule>
  </conditionalFormatting>
  <conditionalFormatting sqref="BC44">
    <cfRule type="cellIs" dxfId="2249" priority="6059" operator="greaterThan">
      <formula>0</formula>
    </cfRule>
    <cfRule type="cellIs" dxfId="2248" priority="6060" operator="lessThanOrEqual">
      <formula>0</formula>
    </cfRule>
  </conditionalFormatting>
  <conditionalFormatting sqref="BC50">
    <cfRule type="cellIs" dxfId="2247" priority="6055" operator="greaterThan">
      <formula>0</formula>
    </cfRule>
    <cfRule type="cellIs" dxfId="2246" priority="6056" operator="lessThanOrEqual">
      <formula>0</formula>
    </cfRule>
  </conditionalFormatting>
  <conditionalFormatting sqref="BC28">
    <cfRule type="cellIs" dxfId="2245" priority="6069" operator="greaterThan">
      <formula>0</formula>
    </cfRule>
    <cfRule type="cellIs" dxfId="2244" priority="6070" operator="lessThanOrEqual">
      <formula>0</formula>
    </cfRule>
  </conditionalFormatting>
  <conditionalFormatting sqref="BC41">
    <cfRule type="cellIs" dxfId="2243" priority="6067" operator="greaterThan">
      <formula>0</formula>
    </cfRule>
    <cfRule type="cellIs" dxfId="2242" priority="6068" operator="lessThanOrEqual">
      <formula>0</formula>
    </cfRule>
  </conditionalFormatting>
  <conditionalFormatting sqref="BC42:BC43 BC45:BC46">
    <cfRule type="cellIs" dxfId="2241" priority="6063" operator="greaterThan">
      <formula>0</formula>
    </cfRule>
    <cfRule type="cellIs" dxfId="2240" priority="6064" operator="lessThanOrEqual">
      <formula>0</formula>
    </cfRule>
  </conditionalFormatting>
  <conditionalFormatting sqref="BC57:BC58 BC60:BC61">
    <cfRule type="cellIs" dxfId="2239" priority="6061" operator="greaterThan">
      <formula>0</formula>
    </cfRule>
    <cfRule type="cellIs" dxfId="2238" priority="6062" operator="lessThanOrEqual">
      <formula>0</formula>
    </cfRule>
  </conditionalFormatting>
  <conditionalFormatting sqref="BC62">
    <cfRule type="cellIs" dxfId="2237" priority="6051" operator="greaterThan">
      <formula>0</formula>
    </cfRule>
    <cfRule type="cellIs" dxfId="2236" priority="6052" operator="lessThanOrEqual">
      <formula>0</formula>
    </cfRule>
  </conditionalFormatting>
  <conditionalFormatting sqref="BC65">
    <cfRule type="cellIs" dxfId="2235" priority="6047" operator="greaterThan">
      <formula>0</formula>
    </cfRule>
    <cfRule type="cellIs" dxfId="2234" priority="6048" operator="lessThanOrEqual">
      <formula>0</formula>
    </cfRule>
  </conditionalFormatting>
  <conditionalFormatting sqref="BC25">
    <cfRule type="cellIs" dxfId="2233" priority="6045" operator="greaterThan">
      <formula>0</formula>
    </cfRule>
    <cfRule type="cellIs" dxfId="2232" priority="6046" operator="lessThanOrEqual">
      <formula>0</formula>
    </cfRule>
  </conditionalFormatting>
  <conditionalFormatting sqref="BC56">
    <cfRule type="cellIs" dxfId="2231" priority="6043" operator="greaterThan">
      <formula>0</formula>
    </cfRule>
    <cfRule type="cellIs" dxfId="2230" priority="6044" operator="lessThanOrEqual">
      <formula>0</formula>
    </cfRule>
  </conditionalFormatting>
  <conditionalFormatting sqref="BB56">
    <cfRule type="cellIs" dxfId="2229" priority="6042" operator="greaterThanOrEqual">
      <formula>0</formula>
    </cfRule>
  </conditionalFormatting>
  <conditionalFormatting sqref="BB56">
    <cfRule type="cellIs" dxfId="2228" priority="6041" operator="lessThan">
      <formula>0</formula>
    </cfRule>
  </conditionalFormatting>
  <conditionalFormatting sqref="BC52">
    <cfRule type="cellIs" dxfId="2227" priority="6039" operator="greaterThan">
      <formula>0</formula>
    </cfRule>
    <cfRule type="cellIs" dxfId="2226" priority="6040" operator="lessThanOrEqual">
      <formula>0</formula>
    </cfRule>
  </conditionalFormatting>
  <conditionalFormatting sqref="BB52">
    <cfRule type="cellIs" dxfId="2225" priority="6038" operator="greaterThanOrEqual">
      <formula>0</formula>
    </cfRule>
  </conditionalFormatting>
  <conditionalFormatting sqref="BB52">
    <cfRule type="cellIs" dxfId="2224" priority="6037" operator="lessThan">
      <formula>0</formula>
    </cfRule>
  </conditionalFormatting>
  <conditionalFormatting sqref="BB25">
    <cfRule type="cellIs" dxfId="2223" priority="6036" operator="greaterThanOrEqual">
      <formula>0</formula>
    </cfRule>
  </conditionalFormatting>
  <conditionalFormatting sqref="BB25">
    <cfRule type="cellIs" dxfId="2222" priority="6035" operator="lessThan">
      <formula>0</formula>
    </cfRule>
  </conditionalFormatting>
  <conditionalFormatting sqref="BB28">
    <cfRule type="cellIs" dxfId="2221" priority="6034" operator="greaterThanOrEqual">
      <formula>0</formula>
    </cfRule>
  </conditionalFormatting>
  <conditionalFormatting sqref="BB28">
    <cfRule type="cellIs" dxfId="2220" priority="6033" operator="lessThan">
      <formula>0</formula>
    </cfRule>
  </conditionalFormatting>
  <conditionalFormatting sqref="BB41">
    <cfRule type="cellIs" dxfId="2219" priority="6032" operator="greaterThanOrEqual">
      <formula>0</formula>
    </cfRule>
  </conditionalFormatting>
  <conditionalFormatting sqref="BB41">
    <cfRule type="cellIs" dxfId="2218" priority="6031" operator="lessThan">
      <formula>0</formula>
    </cfRule>
  </conditionalFormatting>
  <conditionalFormatting sqref="BB44">
    <cfRule type="cellIs" dxfId="2217" priority="6030" operator="greaterThanOrEqual">
      <formula>0</formula>
    </cfRule>
  </conditionalFormatting>
  <conditionalFormatting sqref="BB44">
    <cfRule type="cellIs" dxfId="2216" priority="6029" operator="lessThan">
      <formula>0</formula>
    </cfRule>
  </conditionalFormatting>
  <conditionalFormatting sqref="BB47">
    <cfRule type="cellIs" dxfId="2215" priority="6028" operator="greaterThanOrEqual">
      <formula>0</formula>
    </cfRule>
  </conditionalFormatting>
  <conditionalFormatting sqref="BB47">
    <cfRule type="cellIs" dxfId="2214" priority="6027" operator="lessThan">
      <formula>0</formula>
    </cfRule>
  </conditionalFormatting>
  <conditionalFormatting sqref="BB50">
    <cfRule type="cellIs" dxfId="2213" priority="6026" operator="greaterThanOrEqual">
      <formula>0</formula>
    </cfRule>
  </conditionalFormatting>
  <conditionalFormatting sqref="BB50">
    <cfRule type="cellIs" dxfId="2212" priority="6025" operator="lessThan">
      <formula>0</formula>
    </cfRule>
  </conditionalFormatting>
  <conditionalFormatting sqref="BB51">
    <cfRule type="cellIs" dxfId="2211" priority="6024" operator="greaterThanOrEqual">
      <formula>0</formula>
    </cfRule>
  </conditionalFormatting>
  <conditionalFormatting sqref="BB51">
    <cfRule type="cellIs" dxfId="2210" priority="6023" operator="lessThan">
      <formula>0</formula>
    </cfRule>
  </conditionalFormatting>
  <conditionalFormatting sqref="BB59">
    <cfRule type="cellIs" dxfId="2209" priority="6022" operator="greaterThanOrEqual">
      <formula>0</formula>
    </cfRule>
  </conditionalFormatting>
  <conditionalFormatting sqref="BB59">
    <cfRule type="cellIs" dxfId="2208" priority="6021" operator="lessThan">
      <formula>0</formula>
    </cfRule>
  </conditionalFormatting>
  <conditionalFormatting sqref="BB65">
    <cfRule type="cellIs" dxfId="2207" priority="6020" operator="greaterThanOrEqual">
      <formula>0</formula>
    </cfRule>
  </conditionalFormatting>
  <conditionalFormatting sqref="BB65">
    <cfRule type="cellIs" dxfId="2206" priority="6019" operator="lessThan">
      <formula>0</formula>
    </cfRule>
  </conditionalFormatting>
  <conditionalFormatting sqref="BB66">
    <cfRule type="cellIs" dxfId="2205" priority="6018" operator="greaterThanOrEqual">
      <formula>0</formula>
    </cfRule>
  </conditionalFormatting>
  <conditionalFormatting sqref="BB66">
    <cfRule type="cellIs" dxfId="2204" priority="6017" operator="lessThan">
      <formula>0</formula>
    </cfRule>
  </conditionalFormatting>
  <conditionalFormatting sqref="BB42:BB43">
    <cfRule type="cellIs" dxfId="2203" priority="6015" operator="lessThan">
      <formula>0</formula>
    </cfRule>
    <cfRule type="cellIs" dxfId="2202" priority="6016" operator="greaterThanOrEqual">
      <formula>0</formula>
    </cfRule>
  </conditionalFormatting>
  <conditionalFormatting sqref="BB45:BB46">
    <cfRule type="cellIs" dxfId="2201" priority="6013" operator="lessThan">
      <formula>0</formula>
    </cfRule>
    <cfRule type="cellIs" dxfId="2200" priority="6014" operator="greaterThanOrEqual">
      <formula>0</formula>
    </cfRule>
  </conditionalFormatting>
  <conditionalFormatting sqref="BB57:BB58">
    <cfRule type="cellIs" dxfId="2199" priority="6011" operator="lessThan">
      <formula>0</formula>
    </cfRule>
    <cfRule type="cellIs" dxfId="2198" priority="6012" operator="greaterThanOrEqual">
      <formula>0</formula>
    </cfRule>
  </conditionalFormatting>
  <conditionalFormatting sqref="BB60:BB61">
    <cfRule type="cellIs" dxfId="2197" priority="6009" operator="lessThan">
      <formula>0</formula>
    </cfRule>
    <cfRule type="cellIs" dxfId="2196" priority="6010" operator="greaterThanOrEqual">
      <formula>0</formula>
    </cfRule>
  </conditionalFormatting>
  <conditionalFormatting sqref="BB63:BB64">
    <cfRule type="cellIs" dxfId="2195" priority="6007" operator="lessThan">
      <formula>0</formula>
    </cfRule>
    <cfRule type="cellIs" dxfId="2194" priority="6008" operator="greaterThanOrEqual">
      <formula>0</formula>
    </cfRule>
  </conditionalFormatting>
  <conditionalFormatting sqref="BC68 BC71">
    <cfRule type="cellIs" dxfId="2193" priority="6005" operator="greaterThan">
      <formula>0</formula>
    </cfRule>
    <cfRule type="cellIs" dxfId="2192" priority="6006" operator="lessThanOrEqual">
      <formula>0</formula>
    </cfRule>
  </conditionalFormatting>
  <conditionalFormatting sqref="BC73">
    <cfRule type="cellIs" dxfId="2191" priority="6003" operator="greaterThan">
      <formula>0</formula>
    </cfRule>
    <cfRule type="cellIs" dxfId="2190" priority="6004" operator="lessThanOrEqual">
      <formula>0</formula>
    </cfRule>
  </conditionalFormatting>
  <conditionalFormatting sqref="BC69">
    <cfRule type="cellIs" dxfId="2189" priority="6001" operator="greaterThan">
      <formula>0</formula>
    </cfRule>
    <cfRule type="cellIs" dxfId="2188" priority="6002" operator="lessThanOrEqual">
      <formula>0</formula>
    </cfRule>
  </conditionalFormatting>
  <conditionalFormatting sqref="BC70">
    <cfRule type="cellIs" dxfId="2187" priority="5999" operator="greaterThan">
      <formula>0</formula>
    </cfRule>
    <cfRule type="cellIs" dxfId="2186" priority="6000" operator="lessThanOrEqual">
      <formula>0</formula>
    </cfRule>
  </conditionalFormatting>
  <conditionalFormatting sqref="BC72">
    <cfRule type="cellIs" dxfId="2185" priority="5997" operator="greaterThan">
      <formula>0</formula>
    </cfRule>
    <cfRule type="cellIs" dxfId="2184" priority="5998" operator="lessThanOrEqual">
      <formula>0</formula>
    </cfRule>
  </conditionalFormatting>
  <conditionalFormatting sqref="BB68:BB70">
    <cfRule type="cellIs" dxfId="2183" priority="5995" operator="lessThan">
      <formula>0</formula>
    </cfRule>
    <cfRule type="cellIs" dxfId="2182" priority="5996" operator="greaterThanOrEqual">
      <formula>0</formula>
    </cfRule>
  </conditionalFormatting>
  <conditionalFormatting sqref="BB71:BB72">
    <cfRule type="cellIs" dxfId="2181" priority="5994" operator="greaterThanOrEqual">
      <formula>0</formula>
    </cfRule>
  </conditionalFormatting>
  <conditionalFormatting sqref="BB71:BB72">
    <cfRule type="cellIs" dxfId="2180" priority="5993" operator="lessThan">
      <formula>0</formula>
    </cfRule>
  </conditionalFormatting>
  <conditionalFormatting sqref="BB73">
    <cfRule type="cellIs" dxfId="2179" priority="5992" operator="greaterThanOrEqual">
      <formula>0</formula>
    </cfRule>
  </conditionalFormatting>
  <conditionalFormatting sqref="BB73">
    <cfRule type="cellIs" dxfId="2178" priority="5991" operator="lessThan">
      <formula>0</formula>
    </cfRule>
  </conditionalFormatting>
  <conditionalFormatting sqref="BC67">
    <cfRule type="cellIs" dxfId="2177" priority="5989" operator="greaterThan">
      <formula>0</formula>
    </cfRule>
    <cfRule type="cellIs" dxfId="2176" priority="5990" operator="lessThanOrEqual">
      <formula>0</formula>
    </cfRule>
  </conditionalFormatting>
  <conditionalFormatting sqref="BB67">
    <cfRule type="cellIs" dxfId="2175" priority="5987" operator="greaterThanOrEqual">
      <formula>0</formula>
    </cfRule>
    <cfRule type="cellIs" dxfId="2174" priority="5988" operator="lessThan">
      <formula>0</formula>
    </cfRule>
  </conditionalFormatting>
  <conditionalFormatting sqref="AY51">
    <cfRule type="cellIs" dxfId="2173" priority="5985" operator="greaterThan">
      <formula>0</formula>
    </cfRule>
    <cfRule type="cellIs" dxfId="2172" priority="5986" operator="lessThanOrEqual">
      <formula>0</formula>
    </cfRule>
  </conditionalFormatting>
  <conditionalFormatting sqref="BE42:BE43">
    <cfRule type="cellIs" dxfId="2171" priority="5983" operator="lessThan">
      <formula>0</formula>
    </cfRule>
    <cfRule type="cellIs" dxfId="2170" priority="5984" operator="greaterThanOrEqual">
      <formula>0</formula>
    </cfRule>
  </conditionalFormatting>
  <conditionalFormatting sqref="BE45:BE46">
    <cfRule type="cellIs" dxfId="2169" priority="5981" operator="lessThan">
      <formula>0</formula>
    </cfRule>
    <cfRule type="cellIs" dxfId="2168" priority="5982" operator="greaterThanOrEqual">
      <formula>0</formula>
    </cfRule>
  </conditionalFormatting>
  <conditionalFormatting sqref="BE53:BE54">
    <cfRule type="cellIs" dxfId="2167" priority="5979" operator="lessThan">
      <formula>0</formula>
    </cfRule>
    <cfRule type="cellIs" dxfId="2166" priority="5980" operator="greaterThanOrEqual">
      <formula>0</formula>
    </cfRule>
  </conditionalFormatting>
  <conditionalFormatting sqref="BE57:BE58">
    <cfRule type="cellIs" dxfId="2165" priority="5977" operator="lessThan">
      <formula>0</formula>
    </cfRule>
    <cfRule type="cellIs" dxfId="2164" priority="5978" operator="greaterThanOrEqual">
      <formula>0</formula>
    </cfRule>
  </conditionalFormatting>
  <conditionalFormatting sqref="BE60:BE61">
    <cfRule type="cellIs" dxfId="2163" priority="5975" operator="lessThan">
      <formula>0</formula>
    </cfRule>
    <cfRule type="cellIs" dxfId="2162" priority="5976" operator="greaterThanOrEqual">
      <formula>0</formula>
    </cfRule>
  </conditionalFormatting>
  <conditionalFormatting sqref="BE63:BE64">
    <cfRule type="cellIs" dxfId="2161" priority="5973" operator="lessThan">
      <formula>0</formula>
    </cfRule>
    <cfRule type="cellIs" dxfId="2160" priority="5974" operator="greaterThanOrEqual">
      <formula>0</formula>
    </cfRule>
  </conditionalFormatting>
  <conditionalFormatting sqref="BE25">
    <cfRule type="cellIs" dxfId="2159" priority="5972" operator="greaterThanOrEqual">
      <formula>0</formula>
    </cfRule>
  </conditionalFormatting>
  <conditionalFormatting sqref="BE25">
    <cfRule type="cellIs" dxfId="2158" priority="5971" operator="lessThan">
      <formula>0</formula>
    </cfRule>
  </conditionalFormatting>
  <conditionalFormatting sqref="BE26">
    <cfRule type="cellIs" dxfId="2157" priority="5970" operator="greaterThanOrEqual">
      <formula>0</formula>
    </cfRule>
  </conditionalFormatting>
  <conditionalFormatting sqref="BE26">
    <cfRule type="cellIs" dxfId="2156" priority="5969" operator="lessThan">
      <formula>0</formula>
    </cfRule>
  </conditionalFormatting>
  <conditionalFormatting sqref="BE28">
    <cfRule type="cellIs" dxfId="2155" priority="5968" operator="greaterThanOrEqual">
      <formula>0</formula>
    </cfRule>
  </conditionalFormatting>
  <conditionalFormatting sqref="BE28">
    <cfRule type="cellIs" dxfId="2154" priority="5967" operator="lessThan">
      <formula>0</formula>
    </cfRule>
  </conditionalFormatting>
  <conditionalFormatting sqref="BE41">
    <cfRule type="cellIs" dxfId="2153" priority="5966" operator="greaterThanOrEqual">
      <formula>0</formula>
    </cfRule>
  </conditionalFormatting>
  <conditionalFormatting sqref="BE41">
    <cfRule type="cellIs" dxfId="2152" priority="5965" operator="lessThan">
      <formula>0</formula>
    </cfRule>
  </conditionalFormatting>
  <conditionalFormatting sqref="BE44">
    <cfRule type="cellIs" dxfId="2151" priority="5964" operator="greaterThanOrEqual">
      <formula>0</formula>
    </cfRule>
  </conditionalFormatting>
  <conditionalFormatting sqref="BE44">
    <cfRule type="cellIs" dxfId="2150" priority="5963" operator="lessThan">
      <formula>0</formula>
    </cfRule>
  </conditionalFormatting>
  <conditionalFormatting sqref="BE47">
    <cfRule type="cellIs" dxfId="2149" priority="5962" operator="greaterThanOrEqual">
      <formula>0</formula>
    </cfRule>
  </conditionalFormatting>
  <conditionalFormatting sqref="BE47">
    <cfRule type="cellIs" dxfId="2148" priority="5961" operator="lessThan">
      <formula>0</formula>
    </cfRule>
  </conditionalFormatting>
  <conditionalFormatting sqref="BE50">
    <cfRule type="cellIs" dxfId="2147" priority="5960" operator="greaterThanOrEqual">
      <formula>0</formula>
    </cfRule>
  </conditionalFormatting>
  <conditionalFormatting sqref="BE50">
    <cfRule type="cellIs" dxfId="2146" priority="5959" operator="lessThan">
      <formula>0</formula>
    </cfRule>
  </conditionalFormatting>
  <conditionalFormatting sqref="BE51">
    <cfRule type="cellIs" dxfId="2145" priority="5958" operator="greaterThanOrEqual">
      <formula>0</formula>
    </cfRule>
  </conditionalFormatting>
  <conditionalFormatting sqref="BE51">
    <cfRule type="cellIs" dxfId="2144" priority="5957" operator="lessThan">
      <formula>0</formula>
    </cfRule>
  </conditionalFormatting>
  <conditionalFormatting sqref="BE59">
    <cfRule type="cellIs" dxfId="2143" priority="5956" operator="greaterThanOrEqual">
      <formula>0</formula>
    </cfRule>
  </conditionalFormatting>
  <conditionalFormatting sqref="BE59">
    <cfRule type="cellIs" dxfId="2142" priority="5955" operator="lessThan">
      <formula>0</formula>
    </cfRule>
  </conditionalFormatting>
  <conditionalFormatting sqref="BE62">
    <cfRule type="cellIs" dxfId="2141" priority="5954" operator="greaterThanOrEqual">
      <formula>0</formula>
    </cfRule>
  </conditionalFormatting>
  <conditionalFormatting sqref="BE62">
    <cfRule type="cellIs" dxfId="2140" priority="5953" operator="lessThan">
      <formula>0</formula>
    </cfRule>
  </conditionalFormatting>
  <conditionalFormatting sqref="BE65">
    <cfRule type="cellIs" dxfId="2139" priority="5952" operator="greaterThanOrEqual">
      <formula>0</formula>
    </cfRule>
  </conditionalFormatting>
  <conditionalFormatting sqref="BE65">
    <cfRule type="cellIs" dxfId="2138" priority="5951" operator="lessThan">
      <formula>0</formula>
    </cfRule>
  </conditionalFormatting>
  <conditionalFormatting sqref="BE56">
    <cfRule type="cellIs" dxfId="2137" priority="5950" operator="greaterThanOrEqual">
      <formula>0</formula>
    </cfRule>
  </conditionalFormatting>
  <conditionalFormatting sqref="BE56">
    <cfRule type="cellIs" dxfId="2136" priority="5949" operator="lessThan">
      <formula>0</formula>
    </cfRule>
  </conditionalFormatting>
  <conditionalFormatting sqref="BE66">
    <cfRule type="cellIs" dxfId="2135" priority="5948" operator="greaterThanOrEqual">
      <formula>0</formula>
    </cfRule>
  </conditionalFormatting>
  <conditionalFormatting sqref="BE66">
    <cfRule type="cellIs" dxfId="2134" priority="5947" operator="lessThan">
      <formula>0</formula>
    </cfRule>
  </conditionalFormatting>
  <conditionalFormatting sqref="BF16:BF17">
    <cfRule type="cellIs" dxfId="2133" priority="5945" operator="greaterThan">
      <formula>0</formula>
    </cfRule>
    <cfRule type="cellIs" dxfId="2132" priority="5946" operator="lessThanOrEqual">
      <formula>0</formula>
    </cfRule>
  </conditionalFormatting>
  <conditionalFormatting sqref="BF19:BF20">
    <cfRule type="cellIs" dxfId="2131" priority="5943" operator="greaterThan">
      <formula>0</formula>
    </cfRule>
    <cfRule type="cellIs" dxfId="2130" priority="5944" operator="lessThanOrEqual">
      <formula>0</formula>
    </cfRule>
  </conditionalFormatting>
  <conditionalFormatting sqref="BF22:BF23">
    <cfRule type="cellIs" dxfId="2129" priority="5941" operator="greaterThan">
      <formula>0</formula>
    </cfRule>
    <cfRule type="cellIs" dxfId="2128" priority="5942" operator="lessThanOrEqual">
      <formula>0</formula>
    </cfRule>
  </conditionalFormatting>
  <conditionalFormatting sqref="BF29:BF30">
    <cfRule type="cellIs" dxfId="2127" priority="5939" operator="greaterThan">
      <formula>0</formula>
    </cfRule>
    <cfRule type="cellIs" dxfId="2126" priority="5940" operator="lessThanOrEqual">
      <formula>0</formula>
    </cfRule>
  </conditionalFormatting>
  <conditionalFormatting sqref="BF32:BF33">
    <cfRule type="cellIs" dxfId="2125" priority="5937" operator="greaterThan">
      <formula>0</formula>
    </cfRule>
    <cfRule type="cellIs" dxfId="2124" priority="5938" operator="lessThanOrEqual">
      <formula>0</formula>
    </cfRule>
  </conditionalFormatting>
  <conditionalFormatting sqref="BF35:BF36">
    <cfRule type="cellIs" dxfId="2123" priority="5935" operator="greaterThan">
      <formula>0</formula>
    </cfRule>
    <cfRule type="cellIs" dxfId="2122" priority="5936" operator="lessThanOrEqual">
      <formula>0</formula>
    </cfRule>
  </conditionalFormatting>
  <conditionalFormatting sqref="BF38:BF39">
    <cfRule type="cellIs" dxfId="2121" priority="5933" operator="greaterThan">
      <formula>0</formula>
    </cfRule>
    <cfRule type="cellIs" dxfId="2120" priority="5934" operator="lessThanOrEqual">
      <formula>0</formula>
    </cfRule>
  </conditionalFormatting>
  <conditionalFormatting sqref="BF42:BF43">
    <cfRule type="cellIs" dxfId="2119" priority="5931" operator="greaterThan">
      <formula>0</formula>
    </cfRule>
    <cfRule type="cellIs" dxfId="2118" priority="5932" operator="lessThanOrEqual">
      <formula>0</formula>
    </cfRule>
  </conditionalFormatting>
  <conditionalFormatting sqref="BF45:BF46">
    <cfRule type="cellIs" dxfId="2117" priority="5929" operator="greaterThan">
      <formula>0</formula>
    </cfRule>
    <cfRule type="cellIs" dxfId="2116" priority="5930" operator="lessThanOrEqual">
      <formula>0</formula>
    </cfRule>
  </conditionalFormatting>
  <conditionalFormatting sqref="BF48:BF49">
    <cfRule type="cellIs" dxfId="2115" priority="5927" operator="greaterThan">
      <formula>0</formula>
    </cfRule>
    <cfRule type="cellIs" dxfId="2114" priority="5928" operator="lessThanOrEqual">
      <formula>0</formula>
    </cfRule>
  </conditionalFormatting>
  <conditionalFormatting sqref="BF53:BF54">
    <cfRule type="cellIs" dxfId="2113" priority="5925" operator="greaterThan">
      <formula>0</formula>
    </cfRule>
    <cfRule type="cellIs" dxfId="2112" priority="5926" operator="lessThanOrEqual">
      <formula>0</formula>
    </cfRule>
  </conditionalFormatting>
  <conditionalFormatting sqref="BF57:BF58">
    <cfRule type="cellIs" dxfId="2111" priority="5923" operator="greaterThan">
      <formula>0</formula>
    </cfRule>
    <cfRule type="cellIs" dxfId="2110" priority="5924" operator="lessThanOrEqual">
      <formula>0</formula>
    </cfRule>
  </conditionalFormatting>
  <conditionalFormatting sqref="BF60:BF61">
    <cfRule type="cellIs" dxfId="2109" priority="5921" operator="greaterThan">
      <formula>0</formula>
    </cfRule>
    <cfRule type="cellIs" dxfId="2108" priority="5922" operator="lessThanOrEqual">
      <formula>0</formula>
    </cfRule>
  </conditionalFormatting>
  <conditionalFormatting sqref="BF63:BF64">
    <cfRule type="cellIs" dxfId="2107" priority="5919" operator="greaterThan">
      <formula>0</formula>
    </cfRule>
    <cfRule type="cellIs" dxfId="2106" priority="5920" operator="lessThanOrEqual">
      <formula>0</formula>
    </cfRule>
  </conditionalFormatting>
  <conditionalFormatting sqref="BF25">
    <cfRule type="cellIs" dxfId="2105" priority="5918" operator="greaterThanOrEqual">
      <formula>0</formula>
    </cfRule>
  </conditionalFormatting>
  <conditionalFormatting sqref="BF25">
    <cfRule type="cellIs" dxfId="2104" priority="5917" operator="lessThan">
      <formula>0</formula>
    </cfRule>
  </conditionalFormatting>
  <conditionalFormatting sqref="BF26">
    <cfRule type="cellIs" dxfId="2103" priority="5916" operator="greaterThanOrEqual">
      <formula>0</formula>
    </cfRule>
  </conditionalFormatting>
  <conditionalFormatting sqref="BF26">
    <cfRule type="cellIs" dxfId="2102" priority="5915" operator="lessThan">
      <formula>0</formula>
    </cfRule>
  </conditionalFormatting>
  <conditionalFormatting sqref="BF28">
    <cfRule type="cellIs" dxfId="2101" priority="5914" operator="greaterThanOrEqual">
      <formula>0</formula>
    </cfRule>
  </conditionalFormatting>
  <conditionalFormatting sqref="BF28">
    <cfRule type="cellIs" dxfId="2100" priority="5913" operator="lessThan">
      <formula>0</formula>
    </cfRule>
  </conditionalFormatting>
  <conditionalFormatting sqref="BF41">
    <cfRule type="cellIs" dxfId="2099" priority="5912" operator="greaterThanOrEqual">
      <formula>0</formula>
    </cfRule>
  </conditionalFormatting>
  <conditionalFormatting sqref="BF41">
    <cfRule type="cellIs" dxfId="2098" priority="5911" operator="lessThan">
      <formula>0</formula>
    </cfRule>
  </conditionalFormatting>
  <conditionalFormatting sqref="BF44">
    <cfRule type="cellIs" dxfId="2097" priority="5910" operator="greaterThanOrEqual">
      <formula>0</formula>
    </cfRule>
  </conditionalFormatting>
  <conditionalFormatting sqref="BF44">
    <cfRule type="cellIs" dxfId="2096" priority="5909" operator="lessThan">
      <formula>0</formula>
    </cfRule>
  </conditionalFormatting>
  <conditionalFormatting sqref="BF47">
    <cfRule type="cellIs" dxfId="2095" priority="5908" operator="greaterThanOrEqual">
      <formula>0</formula>
    </cfRule>
  </conditionalFormatting>
  <conditionalFormatting sqref="BF47">
    <cfRule type="cellIs" dxfId="2094" priority="5907" operator="lessThan">
      <formula>0</formula>
    </cfRule>
  </conditionalFormatting>
  <conditionalFormatting sqref="BF50">
    <cfRule type="cellIs" dxfId="2093" priority="5906" operator="greaterThanOrEqual">
      <formula>0</formula>
    </cfRule>
  </conditionalFormatting>
  <conditionalFormatting sqref="BF50">
    <cfRule type="cellIs" dxfId="2092" priority="5905" operator="lessThan">
      <formula>0</formula>
    </cfRule>
  </conditionalFormatting>
  <conditionalFormatting sqref="BF51">
    <cfRule type="cellIs" dxfId="2091" priority="5904" operator="greaterThanOrEqual">
      <formula>0</formula>
    </cfRule>
  </conditionalFormatting>
  <conditionalFormatting sqref="BF51">
    <cfRule type="cellIs" dxfId="2090" priority="5903" operator="lessThan">
      <formula>0</formula>
    </cfRule>
  </conditionalFormatting>
  <conditionalFormatting sqref="BF59">
    <cfRule type="cellIs" dxfId="2089" priority="5902" operator="greaterThanOrEqual">
      <formula>0</formula>
    </cfRule>
  </conditionalFormatting>
  <conditionalFormatting sqref="BF59">
    <cfRule type="cellIs" dxfId="2088" priority="5901" operator="lessThan">
      <formula>0</formula>
    </cfRule>
  </conditionalFormatting>
  <conditionalFormatting sqref="BF62">
    <cfRule type="cellIs" dxfId="2087" priority="5900" operator="greaterThanOrEqual">
      <formula>0</formula>
    </cfRule>
  </conditionalFormatting>
  <conditionalFormatting sqref="BF62">
    <cfRule type="cellIs" dxfId="2086" priority="5899" operator="lessThan">
      <formula>0</formula>
    </cfRule>
  </conditionalFormatting>
  <conditionalFormatting sqref="BF65">
    <cfRule type="cellIs" dxfId="2085" priority="5898" operator="greaterThanOrEqual">
      <formula>0</formula>
    </cfRule>
  </conditionalFormatting>
  <conditionalFormatting sqref="BF65">
    <cfRule type="cellIs" dxfId="2084" priority="5897" operator="lessThan">
      <formula>0</formula>
    </cfRule>
  </conditionalFormatting>
  <conditionalFormatting sqref="BF56">
    <cfRule type="cellIs" dxfId="2083" priority="5895" operator="lessThan">
      <formula>0</formula>
    </cfRule>
  </conditionalFormatting>
  <conditionalFormatting sqref="BF56">
    <cfRule type="cellIs" dxfId="2082" priority="5896" operator="greaterThanOrEqual">
      <formula>0</formula>
    </cfRule>
  </conditionalFormatting>
  <conditionalFormatting sqref="BF66">
    <cfRule type="cellIs" dxfId="2081" priority="5893" operator="lessThan">
      <formula>0</formula>
    </cfRule>
  </conditionalFormatting>
  <conditionalFormatting sqref="BF66">
    <cfRule type="cellIs" dxfId="2080" priority="5894" operator="greaterThanOrEqual">
      <formula>0</formula>
    </cfRule>
  </conditionalFormatting>
  <conditionalFormatting sqref="BE70">
    <cfRule type="cellIs" dxfId="2079" priority="5891" operator="lessThan">
      <formula>0</formula>
    </cfRule>
    <cfRule type="cellIs" dxfId="2078" priority="5892" operator="greaterThanOrEqual">
      <formula>0</formula>
    </cfRule>
  </conditionalFormatting>
  <conditionalFormatting sqref="BF70">
    <cfRule type="cellIs" dxfId="2077" priority="5889" operator="lessThan">
      <formula>0</formula>
    </cfRule>
    <cfRule type="cellIs" dxfId="2076" priority="5890" operator="greaterThanOrEqual">
      <formula>0</formula>
    </cfRule>
  </conditionalFormatting>
  <conditionalFormatting sqref="BF72">
    <cfRule type="cellIs" dxfId="2075" priority="5887" operator="lessThan">
      <formula>0</formula>
    </cfRule>
    <cfRule type="cellIs" dxfId="2074" priority="5888" operator="greaterThanOrEqual">
      <formula>0</formula>
    </cfRule>
  </conditionalFormatting>
  <conditionalFormatting sqref="AX55">
    <cfRule type="cellIs" dxfId="2073" priority="5886" operator="greaterThanOrEqual">
      <formula>0</formula>
    </cfRule>
  </conditionalFormatting>
  <conditionalFormatting sqref="AX55">
    <cfRule type="cellIs" dxfId="2072" priority="5885" operator="lessThan">
      <formula>0</formula>
    </cfRule>
  </conditionalFormatting>
  <conditionalFormatting sqref="BC55">
    <cfRule type="cellIs" dxfId="2071" priority="5883" operator="greaterThan">
      <formula>0</formula>
    </cfRule>
    <cfRule type="cellIs" dxfId="2070" priority="5884" operator="lessThanOrEqual">
      <formula>0</formula>
    </cfRule>
  </conditionalFormatting>
  <conditionalFormatting sqref="BB55">
    <cfRule type="cellIs" dxfId="2069" priority="5882" operator="greaterThanOrEqual">
      <formula>0</formula>
    </cfRule>
  </conditionalFormatting>
  <conditionalFormatting sqref="BB55">
    <cfRule type="cellIs" dxfId="2068" priority="5881" operator="lessThan">
      <formula>0</formula>
    </cfRule>
  </conditionalFormatting>
  <conditionalFormatting sqref="AY55">
    <cfRule type="cellIs" dxfId="2067" priority="5879" operator="greaterThan">
      <formula>0</formula>
    </cfRule>
    <cfRule type="cellIs" dxfId="2066" priority="5880" operator="lessThanOrEqual">
      <formula>0</formula>
    </cfRule>
  </conditionalFormatting>
  <conditionalFormatting sqref="BE55">
    <cfRule type="cellIs" dxfId="2065" priority="5878" operator="greaterThanOrEqual">
      <formula>0</formula>
    </cfRule>
  </conditionalFormatting>
  <conditionalFormatting sqref="BE55">
    <cfRule type="cellIs" dxfId="2064" priority="5877" operator="lessThan">
      <formula>0</formula>
    </cfRule>
  </conditionalFormatting>
  <conditionalFormatting sqref="BF55">
    <cfRule type="cellIs" dxfId="2063" priority="5876" operator="greaterThanOrEqual">
      <formula>0</formula>
    </cfRule>
  </conditionalFormatting>
  <conditionalFormatting sqref="BF55">
    <cfRule type="cellIs" dxfId="2062" priority="5875" operator="lessThan">
      <formula>0</formula>
    </cfRule>
  </conditionalFormatting>
  <conditionalFormatting sqref="AY27">
    <cfRule type="cellIs" dxfId="2061" priority="5429" operator="greaterThan">
      <formula>0</formula>
    </cfRule>
    <cfRule type="cellIs" dxfId="2060" priority="5430" operator="lessThanOrEqual">
      <formula>0</formula>
    </cfRule>
  </conditionalFormatting>
  <conditionalFormatting sqref="AX27">
    <cfRule type="cellIs" dxfId="2059" priority="5428" operator="greaterThanOrEqual">
      <formula>0</formula>
    </cfRule>
  </conditionalFormatting>
  <conditionalFormatting sqref="AX27">
    <cfRule type="cellIs" dxfId="2058" priority="5427" operator="lessThan">
      <formula>0</formula>
    </cfRule>
  </conditionalFormatting>
  <conditionalFormatting sqref="BC27">
    <cfRule type="cellIs" dxfId="2057" priority="5425" operator="greaterThan">
      <formula>0</formula>
    </cfRule>
    <cfRule type="cellIs" dxfId="2056" priority="5426" operator="lessThanOrEqual">
      <formula>0</formula>
    </cfRule>
  </conditionalFormatting>
  <conditionalFormatting sqref="BB27">
    <cfRule type="cellIs" dxfId="2055" priority="5424" operator="greaterThanOrEqual">
      <formula>0</formula>
    </cfRule>
  </conditionalFormatting>
  <conditionalFormatting sqref="BB27">
    <cfRule type="cellIs" dxfId="2054" priority="5423" operator="lessThan">
      <formula>0</formula>
    </cfRule>
  </conditionalFormatting>
  <conditionalFormatting sqref="BE27">
    <cfRule type="cellIs" dxfId="2053" priority="5422" operator="greaterThanOrEqual">
      <formula>0</formula>
    </cfRule>
  </conditionalFormatting>
  <conditionalFormatting sqref="BE27">
    <cfRule type="cellIs" dxfId="2052" priority="5421" operator="lessThan">
      <formula>0</formula>
    </cfRule>
  </conditionalFormatting>
  <conditionalFormatting sqref="BF27">
    <cfRule type="cellIs" dxfId="2051" priority="5420" operator="greaterThanOrEqual">
      <formula>0</formula>
    </cfRule>
  </conditionalFormatting>
  <conditionalFormatting sqref="BF27">
    <cfRule type="cellIs" dxfId="2050" priority="5419" operator="lessThan">
      <formula>0</formula>
    </cfRule>
  </conditionalFormatting>
  <conditionalFormatting sqref="BJ13:BJ14">
    <cfRule type="cellIs" dxfId="2049" priority="5399" operator="greaterThan">
      <formula>0</formula>
    </cfRule>
    <cfRule type="cellIs" dxfId="2048" priority="5400" operator="lessThanOrEqual">
      <formula>0</formula>
    </cfRule>
  </conditionalFormatting>
  <conditionalFormatting sqref="BJ16:BJ17">
    <cfRule type="cellIs" dxfId="2047" priority="5397" operator="greaterThan">
      <formula>0</formula>
    </cfRule>
    <cfRule type="cellIs" dxfId="2046" priority="5398" operator="lessThanOrEqual">
      <formula>0</formula>
    </cfRule>
  </conditionalFormatting>
  <conditionalFormatting sqref="BJ19:BJ20">
    <cfRule type="cellIs" dxfId="2045" priority="5395" operator="greaterThan">
      <formula>0</formula>
    </cfRule>
    <cfRule type="cellIs" dxfId="2044" priority="5396" operator="lessThanOrEqual">
      <formula>0</formula>
    </cfRule>
  </conditionalFormatting>
  <conditionalFormatting sqref="BJ29:BJ30">
    <cfRule type="cellIs" dxfId="2043" priority="5393" operator="greaterThan">
      <formula>0</formula>
    </cfRule>
    <cfRule type="cellIs" dxfId="2042" priority="5394" operator="lessThanOrEqual">
      <formula>0</formula>
    </cfRule>
  </conditionalFormatting>
  <conditionalFormatting sqref="BJ22:BJ23">
    <cfRule type="cellIs" dxfId="2041" priority="5391" operator="greaterThan">
      <formula>0</formula>
    </cfRule>
    <cfRule type="cellIs" dxfId="2040" priority="5392" operator="lessThanOrEqual">
      <formula>0</formula>
    </cfRule>
  </conditionalFormatting>
  <conditionalFormatting sqref="BJ32:BJ33">
    <cfRule type="cellIs" dxfId="2039" priority="5389" operator="greaterThan">
      <formula>0</formula>
    </cfRule>
    <cfRule type="cellIs" dxfId="2038" priority="5390" operator="lessThanOrEqual">
      <formula>0</formula>
    </cfRule>
  </conditionalFormatting>
  <conditionalFormatting sqref="BJ35:BJ36">
    <cfRule type="cellIs" dxfId="2037" priority="5387" operator="greaterThan">
      <formula>0</formula>
    </cfRule>
    <cfRule type="cellIs" dxfId="2036" priority="5388" operator="lessThanOrEqual">
      <formula>0</formula>
    </cfRule>
  </conditionalFormatting>
  <conditionalFormatting sqref="BJ38:BJ39">
    <cfRule type="cellIs" dxfId="2035" priority="5385" operator="greaterThan">
      <formula>0</formula>
    </cfRule>
    <cfRule type="cellIs" dxfId="2034" priority="5386" operator="lessThanOrEqual">
      <formula>0</formula>
    </cfRule>
  </conditionalFormatting>
  <conditionalFormatting sqref="BJ48:BJ49">
    <cfRule type="cellIs" dxfId="2033" priority="5383" operator="greaterThan">
      <formula>0</formula>
    </cfRule>
    <cfRule type="cellIs" dxfId="2032" priority="5384" operator="lessThanOrEqual">
      <formula>0</formula>
    </cfRule>
  </conditionalFormatting>
  <conditionalFormatting sqref="BJ63:BJ64">
    <cfRule type="cellIs" dxfId="2031" priority="5381" operator="greaterThan">
      <formula>0</formula>
    </cfRule>
    <cfRule type="cellIs" dxfId="2030" priority="5382" operator="lessThanOrEqual">
      <formula>0</formula>
    </cfRule>
  </conditionalFormatting>
  <conditionalFormatting sqref="BJ53:BJ54">
    <cfRule type="cellIs" dxfId="2029" priority="5379" operator="greaterThan">
      <formula>0</formula>
    </cfRule>
    <cfRule type="cellIs" dxfId="2028" priority="5380" operator="lessThanOrEqual">
      <formula>0</formula>
    </cfRule>
  </conditionalFormatting>
  <conditionalFormatting sqref="BJ15">
    <cfRule type="cellIs" dxfId="2027" priority="5377" operator="greaterThan">
      <formula>0</formula>
    </cfRule>
    <cfRule type="cellIs" dxfId="2026" priority="5378" operator="lessThanOrEqual">
      <formula>0</formula>
    </cfRule>
  </conditionalFormatting>
  <conditionalFormatting sqref="BJ18">
    <cfRule type="cellIs" dxfId="2025" priority="5375" operator="greaterThan">
      <formula>0</formula>
    </cfRule>
    <cfRule type="cellIs" dxfId="2024" priority="5376" operator="lessThanOrEqual">
      <formula>0</formula>
    </cfRule>
  </conditionalFormatting>
  <conditionalFormatting sqref="BJ21">
    <cfRule type="cellIs" dxfId="2023" priority="5373" operator="greaterThan">
      <formula>0</formula>
    </cfRule>
    <cfRule type="cellIs" dxfId="2022" priority="5374" operator="lessThanOrEqual">
      <formula>0</formula>
    </cfRule>
  </conditionalFormatting>
  <conditionalFormatting sqref="BJ31">
    <cfRule type="cellIs" dxfId="2021" priority="5371" operator="greaterThan">
      <formula>0</formula>
    </cfRule>
    <cfRule type="cellIs" dxfId="2020" priority="5372" operator="lessThanOrEqual">
      <formula>0</formula>
    </cfRule>
  </conditionalFormatting>
  <conditionalFormatting sqref="BJ24">
    <cfRule type="cellIs" dxfId="2019" priority="5369" operator="greaterThan">
      <formula>0</formula>
    </cfRule>
    <cfRule type="cellIs" dxfId="2018" priority="5370" operator="lessThanOrEqual">
      <formula>0</formula>
    </cfRule>
  </conditionalFormatting>
  <conditionalFormatting sqref="BJ34">
    <cfRule type="cellIs" dxfId="2017" priority="5367" operator="greaterThan">
      <formula>0</formula>
    </cfRule>
    <cfRule type="cellIs" dxfId="2016" priority="5368" operator="lessThanOrEqual">
      <formula>0</formula>
    </cfRule>
  </conditionalFormatting>
  <conditionalFormatting sqref="BJ37">
    <cfRule type="cellIs" dxfId="2015" priority="5365" operator="greaterThan">
      <formula>0</formula>
    </cfRule>
    <cfRule type="cellIs" dxfId="2014" priority="5366" operator="lessThanOrEqual">
      <formula>0</formula>
    </cfRule>
  </conditionalFormatting>
  <conditionalFormatting sqref="BJ40">
    <cfRule type="cellIs" dxfId="2013" priority="5363" operator="greaterThan">
      <formula>0</formula>
    </cfRule>
    <cfRule type="cellIs" dxfId="2012" priority="5364" operator="lessThanOrEqual">
      <formula>0</formula>
    </cfRule>
  </conditionalFormatting>
  <conditionalFormatting sqref="BJ26">
    <cfRule type="cellIs" dxfId="2011" priority="5361" operator="greaterThan">
      <formula>0</formula>
    </cfRule>
    <cfRule type="cellIs" dxfId="2010" priority="5362" operator="lessThanOrEqual">
      <formula>0</formula>
    </cfRule>
  </conditionalFormatting>
  <conditionalFormatting sqref="BJ66 BJ68 BJ71">
    <cfRule type="cellIs" dxfId="2009" priority="5359" operator="greaterThan">
      <formula>0</formula>
    </cfRule>
    <cfRule type="cellIs" dxfId="2008" priority="5360" operator="lessThanOrEqual">
      <formula>0</formula>
    </cfRule>
  </conditionalFormatting>
  <conditionalFormatting sqref="BI13:BI14 BI16:BI17 BI19:BI20 BI22:BI23 BI29:BI30 BI32:BI33 BI35:BI36 BI38:BI39 BI48:BI49 BI53:BI54">
    <cfRule type="cellIs" dxfId="2007" priority="5357" operator="lessThan">
      <formula>0</formula>
    </cfRule>
    <cfRule type="cellIs" dxfId="2006" priority="5358" operator="greaterThanOrEqual">
      <formula>0</formula>
    </cfRule>
  </conditionalFormatting>
  <conditionalFormatting sqref="BI15 BI18 BI21 BI24 BI26 BI31 BI34 BI37 BI40">
    <cfRule type="cellIs" dxfId="2005" priority="5356" operator="greaterThanOrEqual">
      <formula>0</formula>
    </cfRule>
  </conditionalFormatting>
  <conditionalFormatting sqref="BI15 BI18 BI21 BI24 BI26 BI31 BI34 BI37 BI40">
    <cfRule type="cellIs" dxfId="2004" priority="5355" operator="lessThan">
      <formula>0</formula>
    </cfRule>
  </conditionalFormatting>
  <conditionalFormatting sqref="BJ73">
    <cfRule type="cellIs" dxfId="2003" priority="5353" operator="greaterThan">
      <formula>0</formula>
    </cfRule>
    <cfRule type="cellIs" dxfId="2002" priority="5354" operator="lessThanOrEqual">
      <formula>0</formula>
    </cfRule>
  </conditionalFormatting>
  <conditionalFormatting sqref="BJ67">
    <cfRule type="cellIs" dxfId="2001" priority="5351" operator="greaterThan">
      <formula>0</formula>
    </cfRule>
    <cfRule type="cellIs" dxfId="2000" priority="5352" operator="lessThanOrEqual">
      <formula>0</formula>
    </cfRule>
  </conditionalFormatting>
  <conditionalFormatting sqref="BI67">
    <cfRule type="cellIs" dxfId="1999" priority="5349" operator="greaterThanOrEqual">
      <formula>0</formula>
    </cfRule>
    <cfRule type="cellIs" dxfId="1998" priority="5350" operator="lessThan">
      <formula>0</formula>
    </cfRule>
  </conditionalFormatting>
  <conditionalFormatting sqref="BP13:BP14 BP16:BP17 BP19:BP20 BP22:BP23 BP29:BP30 BP32:BP33 BP35:BP36 BP38:BP39 BP48:BP49">
    <cfRule type="cellIs" dxfId="1997" priority="5347" operator="lessThan">
      <formula>0</formula>
    </cfRule>
    <cfRule type="cellIs" dxfId="1996" priority="5348" operator="greaterThanOrEqual">
      <formula>0</formula>
    </cfRule>
  </conditionalFormatting>
  <conditionalFormatting sqref="BP15 BP24 BP18 BP21 BP31 BP34 BP37 BP40">
    <cfRule type="cellIs" dxfId="1995" priority="5346" operator="greaterThanOrEqual">
      <formula>0</formula>
    </cfRule>
  </conditionalFormatting>
  <conditionalFormatting sqref="BP15 BP24 BP18 BP21 BP31 BP34 BP37 BP40">
    <cfRule type="cellIs" dxfId="1994" priority="5345" operator="lessThan">
      <formula>0</formula>
    </cfRule>
  </conditionalFormatting>
  <conditionalFormatting sqref="BP71 BP73">
    <cfRule type="cellIs" dxfId="1993" priority="5343" operator="lessThan">
      <formula>0</formula>
    </cfRule>
    <cfRule type="cellIs" dxfId="1992" priority="5344" operator="greaterThanOrEqual">
      <formula>0</formula>
    </cfRule>
  </conditionalFormatting>
  <conditionalFormatting sqref="BP67">
    <cfRule type="cellIs" dxfId="1991" priority="5341" operator="greaterThanOrEqual">
      <formula>0</formula>
    </cfRule>
    <cfRule type="cellIs" dxfId="1990" priority="5342" operator="lessThan">
      <formula>0</formula>
    </cfRule>
  </conditionalFormatting>
  <conditionalFormatting sqref="BQ13:BQ14">
    <cfRule type="cellIs" dxfId="1989" priority="5339" operator="greaterThan">
      <formula>0</formula>
    </cfRule>
    <cfRule type="cellIs" dxfId="1988" priority="5340" operator="lessThanOrEqual">
      <formula>0</formula>
    </cfRule>
  </conditionalFormatting>
  <conditionalFormatting sqref="BQ68">
    <cfRule type="cellIs" dxfId="1987" priority="5337" operator="lessThan">
      <formula>0</formula>
    </cfRule>
    <cfRule type="cellIs" dxfId="1986" priority="5338" operator="greaterThanOrEqual">
      <formula>0</formula>
    </cfRule>
  </conditionalFormatting>
  <conditionalFormatting sqref="BQ15 BQ24 BQ18 BQ21 BQ31 BQ34 BQ37 BQ40">
    <cfRule type="cellIs" dxfId="1985" priority="5336" operator="greaterThanOrEqual">
      <formula>0</formula>
    </cfRule>
  </conditionalFormatting>
  <conditionalFormatting sqref="BQ15 BQ24 BQ18 BQ21 BQ31 BQ34 BQ37 BQ40">
    <cfRule type="cellIs" dxfId="1984" priority="5335" operator="lessThan">
      <formula>0</formula>
    </cfRule>
  </conditionalFormatting>
  <conditionalFormatting sqref="BP68">
    <cfRule type="cellIs" dxfId="1983" priority="5333" operator="lessThan">
      <formula>0</formula>
    </cfRule>
    <cfRule type="cellIs" dxfId="1982" priority="5334" operator="greaterThanOrEqual">
      <formula>0</formula>
    </cfRule>
  </conditionalFormatting>
  <conditionalFormatting sqref="BQ71 BQ73">
    <cfRule type="cellIs" dxfId="1981" priority="5331" operator="lessThan">
      <formula>0</formula>
    </cfRule>
    <cfRule type="cellIs" dxfId="1980" priority="5332" operator="greaterThanOrEqual">
      <formula>0</formula>
    </cfRule>
  </conditionalFormatting>
  <conditionalFormatting sqref="BQ67">
    <cfRule type="cellIs" dxfId="1979" priority="5329" operator="lessThan">
      <formula>0</formula>
    </cfRule>
    <cfRule type="cellIs" dxfId="1978" priority="5330" operator="greaterThanOrEqual">
      <formula>0</formula>
    </cfRule>
  </conditionalFormatting>
  <conditionalFormatting sqref="BI62">
    <cfRule type="cellIs" dxfId="1977" priority="5310" operator="greaterThanOrEqual">
      <formula>0</formula>
    </cfRule>
  </conditionalFormatting>
  <conditionalFormatting sqref="BI62">
    <cfRule type="cellIs" dxfId="1976" priority="5309" operator="lessThan">
      <formula>0</formula>
    </cfRule>
  </conditionalFormatting>
  <conditionalFormatting sqref="BJ44">
    <cfRule type="cellIs" dxfId="1975" priority="5319" operator="greaterThan">
      <formula>0</formula>
    </cfRule>
    <cfRule type="cellIs" dxfId="1974" priority="5320" operator="lessThanOrEqual">
      <formula>0</formula>
    </cfRule>
  </conditionalFormatting>
  <conditionalFormatting sqref="BJ47">
    <cfRule type="cellIs" dxfId="1973" priority="5317" operator="greaterThan">
      <formula>0</formula>
    </cfRule>
    <cfRule type="cellIs" dxfId="1972" priority="5318" operator="lessThanOrEqual">
      <formula>0</formula>
    </cfRule>
  </conditionalFormatting>
  <conditionalFormatting sqref="BJ50">
    <cfRule type="cellIs" dxfId="1971" priority="5315" operator="greaterThan">
      <formula>0</formula>
    </cfRule>
    <cfRule type="cellIs" dxfId="1970" priority="5316" operator="lessThanOrEqual">
      <formula>0</formula>
    </cfRule>
  </conditionalFormatting>
  <conditionalFormatting sqref="BJ28">
    <cfRule type="cellIs" dxfId="1969" priority="5327" operator="greaterThan">
      <formula>0</formula>
    </cfRule>
    <cfRule type="cellIs" dxfId="1968" priority="5328" operator="lessThanOrEqual">
      <formula>0</formula>
    </cfRule>
  </conditionalFormatting>
  <conditionalFormatting sqref="BJ41">
    <cfRule type="cellIs" dxfId="1967" priority="5325" operator="greaterThan">
      <formula>0</formula>
    </cfRule>
    <cfRule type="cellIs" dxfId="1966" priority="5326" operator="lessThanOrEqual">
      <formula>0</formula>
    </cfRule>
  </conditionalFormatting>
  <conditionalFormatting sqref="BJ42:BJ43 BJ45:BJ46">
    <cfRule type="cellIs" dxfId="1965" priority="5323" operator="greaterThan">
      <formula>0</formula>
    </cfRule>
    <cfRule type="cellIs" dxfId="1964" priority="5324" operator="lessThanOrEqual">
      <formula>0</formula>
    </cfRule>
  </conditionalFormatting>
  <conditionalFormatting sqref="BJ57:BJ58 BJ60:BJ61">
    <cfRule type="cellIs" dxfId="1963" priority="5321" operator="greaterThan">
      <formula>0</formula>
    </cfRule>
    <cfRule type="cellIs" dxfId="1962" priority="5322" operator="lessThanOrEqual">
      <formula>0</formula>
    </cfRule>
  </conditionalFormatting>
  <conditionalFormatting sqref="BJ59">
    <cfRule type="cellIs" dxfId="1961" priority="5313" operator="greaterThan">
      <formula>0</formula>
    </cfRule>
    <cfRule type="cellIs" dxfId="1960" priority="5314" operator="lessThanOrEqual">
      <formula>0</formula>
    </cfRule>
  </conditionalFormatting>
  <conditionalFormatting sqref="BJ62">
    <cfRule type="cellIs" dxfId="1959" priority="5311" operator="greaterThan">
      <formula>0</formula>
    </cfRule>
    <cfRule type="cellIs" dxfId="1958" priority="5312" operator="lessThanOrEqual">
      <formula>0</formula>
    </cfRule>
  </conditionalFormatting>
  <conditionalFormatting sqref="BJ65">
    <cfRule type="cellIs" dxfId="1957" priority="5307" operator="greaterThan">
      <formula>0</formula>
    </cfRule>
    <cfRule type="cellIs" dxfId="1956" priority="5308" operator="lessThanOrEqual">
      <formula>0</formula>
    </cfRule>
  </conditionalFormatting>
  <conditionalFormatting sqref="BN47">
    <cfRule type="cellIs" dxfId="1955" priority="4977" operator="greaterThan">
      <formula>0</formula>
    </cfRule>
    <cfRule type="cellIs" dxfId="1954" priority="4978" operator="lessThanOrEqual">
      <formula>0</formula>
    </cfRule>
  </conditionalFormatting>
  <conditionalFormatting sqref="BN59">
    <cfRule type="cellIs" dxfId="1953" priority="4973" operator="greaterThan">
      <formula>0</formula>
    </cfRule>
    <cfRule type="cellIs" dxfId="1952" priority="4974" operator="lessThanOrEqual">
      <formula>0</formula>
    </cfRule>
  </conditionalFormatting>
  <conditionalFormatting sqref="BM62">
    <cfRule type="cellIs" dxfId="1951" priority="4970" operator="greaterThanOrEqual">
      <formula>0</formula>
    </cfRule>
  </conditionalFormatting>
  <conditionalFormatting sqref="BM62">
    <cfRule type="cellIs" dxfId="1950" priority="4969" operator="lessThan">
      <formula>0</formula>
    </cfRule>
  </conditionalFormatting>
  <conditionalFormatting sqref="BJ25">
    <cfRule type="cellIs" dxfId="1949" priority="5097" operator="greaterThan">
      <formula>0</formula>
    </cfRule>
    <cfRule type="cellIs" dxfId="1948" priority="5098" operator="lessThanOrEqual">
      <formula>0</formula>
    </cfRule>
  </conditionalFormatting>
  <conditionalFormatting sqref="BQ52">
    <cfRule type="cellIs" dxfId="1947" priority="5085" operator="lessThan">
      <formula>0</formula>
    </cfRule>
  </conditionalFormatting>
  <conditionalFormatting sqref="BJ56">
    <cfRule type="cellIs" dxfId="1946" priority="5095" operator="greaterThan">
      <formula>0</formula>
    </cfRule>
    <cfRule type="cellIs" dxfId="1945" priority="5096" operator="lessThanOrEqual">
      <formula>0</formula>
    </cfRule>
  </conditionalFormatting>
  <conditionalFormatting sqref="BI56">
    <cfRule type="cellIs" dxfId="1944" priority="5094" operator="greaterThanOrEqual">
      <formula>0</formula>
    </cfRule>
  </conditionalFormatting>
  <conditionalFormatting sqref="BI56">
    <cfRule type="cellIs" dxfId="1943" priority="5093" operator="lessThan">
      <formula>0</formula>
    </cfRule>
  </conditionalFormatting>
  <conditionalFormatting sqref="BJ52">
    <cfRule type="cellIs" dxfId="1942" priority="5091" operator="greaterThan">
      <formula>0</formula>
    </cfRule>
    <cfRule type="cellIs" dxfId="1941" priority="5092" operator="lessThanOrEqual">
      <formula>0</formula>
    </cfRule>
  </conditionalFormatting>
  <conditionalFormatting sqref="BI52">
    <cfRule type="cellIs" dxfId="1940" priority="5090" operator="greaterThanOrEqual">
      <formula>0</formula>
    </cfRule>
  </conditionalFormatting>
  <conditionalFormatting sqref="BI52">
    <cfRule type="cellIs" dxfId="1939" priority="5089" operator="lessThan">
      <formula>0</formula>
    </cfRule>
  </conditionalFormatting>
  <conditionalFormatting sqref="BP52">
    <cfRule type="cellIs" dxfId="1938" priority="5088" operator="greaterThanOrEqual">
      <formula>0</formula>
    </cfRule>
  </conditionalFormatting>
  <conditionalFormatting sqref="BP52">
    <cfRule type="cellIs" dxfId="1937" priority="5087" operator="lessThan">
      <formula>0</formula>
    </cfRule>
  </conditionalFormatting>
  <conditionalFormatting sqref="BQ52">
    <cfRule type="cellIs" dxfId="1936" priority="5086" operator="greaterThanOrEqual">
      <formula>0</formula>
    </cfRule>
  </conditionalFormatting>
  <conditionalFormatting sqref="BJ69">
    <cfRule type="cellIs" dxfId="1935" priority="5083" operator="greaterThan">
      <formula>0</formula>
    </cfRule>
    <cfRule type="cellIs" dxfId="1934" priority="5084" operator="lessThanOrEqual">
      <formula>0</formula>
    </cfRule>
  </conditionalFormatting>
  <conditionalFormatting sqref="BP69">
    <cfRule type="cellIs" dxfId="1933" priority="5081" operator="lessThan">
      <formula>0</formula>
    </cfRule>
    <cfRule type="cellIs" dxfId="1932" priority="5082" operator="greaterThanOrEqual">
      <formula>0</formula>
    </cfRule>
  </conditionalFormatting>
  <conditionalFormatting sqref="BQ69">
    <cfRule type="cellIs" dxfId="1931" priority="5079" operator="lessThan">
      <formula>0</formula>
    </cfRule>
    <cfRule type="cellIs" dxfId="1930" priority="5080" operator="greaterThanOrEqual">
      <formula>0</formula>
    </cfRule>
  </conditionalFormatting>
  <conditionalFormatting sqref="BJ70">
    <cfRule type="cellIs" dxfId="1929" priority="5077" operator="greaterThan">
      <formula>0</formula>
    </cfRule>
    <cfRule type="cellIs" dxfId="1928" priority="5078" operator="lessThanOrEqual">
      <formula>0</formula>
    </cfRule>
  </conditionalFormatting>
  <conditionalFormatting sqref="BP72">
    <cfRule type="cellIs" dxfId="1927" priority="5075" operator="lessThan">
      <formula>0</formula>
    </cfRule>
    <cfRule type="cellIs" dxfId="1926" priority="5076" operator="greaterThanOrEqual">
      <formula>0</formula>
    </cfRule>
  </conditionalFormatting>
  <conditionalFormatting sqref="BJ72">
    <cfRule type="cellIs" dxfId="1925" priority="5073" operator="greaterThan">
      <formula>0</formula>
    </cfRule>
    <cfRule type="cellIs" dxfId="1924" priority="5074" operator="lessThanOrEqual">
      <formula>0</formula>
    </cfRule>
  </conditionalFormatting>
  <conditionalFormatting sqref="BI25">
    <cfRule type="cellIs" dxfId="1923" priority="5072" operator="greaterThanOrEqual">
      <formula>0</formula>
    </cfRule>
  </conditionalFormatting>
  <conditionalFormatting sqref="BI25">
    <cfRule type="cellIs" dxfId="1922" priority="5071" operator="lessThan">
      <formula>0</formula>
    </cfRule>
  </conditionalFormatting>
  <conditionalFormatting sqref="BI28">
    <cfRule type="cellIs" dxfId="1921" priority="5070" operator="greaterThanOrEqual">
      <formula>0</formula>
    </cfRule>
  </conditionalFormatting>
  <conditionalFormatting sqref="BI28">
    <cfRule type="cellIs" dxfId="1920" priority="5069" operator="lessThan">
      <formula>0</formula>
    </cfRule>
  </conditionalFormatting>
  <conditionalFormatting sqref="BI41">
    <cfRule type="cellIs" dxfId="1919" priority="5068" operator="greaterThanOrEqual">
      <formula>0</formula>
    </cfRule>
  </conditionalFormatting>
  <conditionalFormatting sqref="BI41">
    <cfRule type="cellIs" dxfId="1918" priority="5067" operator="lessThan">
      <formula>0</formula>
    </cfRule>
  </conditionalFormatting>
  <conditionalFormatting sqref="BI44">
    <cfRule type="cellIs" dxfId="1917" priority="5066" operator="greaterThanOrEqual">
      <formula>0</formula>
    </cfRule>
  </conditionalFormatting>
  <conditionalFormatting sqref="BI44">
    <cfRule type="cellIs" dxfId="1916" priority="5065" operator="lessThan">
      <formula>0</formula>
    </cfRule>
  </conditionalFormatting>
  <conditionalFormatting sqref="BI47">
    <cfRule type="cellIs" dxfId="1915" priority="5064" operator="greaterThanOrEqual">
      <formula>0</formula>
    </cfRule>
  </conditionalFormatting>
  <conditionalFormatting sqref="BI47">
    <cfRule type="cellIs" dxfId="1914" priority="5063" operator="lessThan">
      <formula>0</formula>
    </cfRule>
  </conditionalFormatting>
  <conditionalFormatting sqref="BI50">
    <cfRule type="cellIs" dxfId="1913" priority="5062" operator="greaterThanOrEqual">
      <formula>0</formula>
    </cfRule>
  </conditionalFormatting>
  <conditionalFormatting sqref="BI50">
    <cfRule type="cellIs" dxfId="1912" priority="5061" operator="lessThan">
      <formula>0</formula>
    </cfRule>
  </conditionalFormatting>
  <conditionalFormatting sqref="BI51">
    <cfRule type="cellIs" dxfId="1911" priority="5060" operator="greaterThanOrEqual">
      <formula>0</formula>
    </cfRule>
  </conditionalFormatting>
  <conditionalFormatting sqref="BI51">
    <cfRule type="cellIs" dxfId="1910" priority="5059" operator="lessThan">
      <formula>0</formula>
    </cfRule>
  </conditionalFormatting>
  <conditionalFormatting sqref="BI59">
    <cfRule type="cellIs" dxfId="1909" priority="5058" operator="greaterThanOrEqual">
      <formula>0</formula>
    </cfRule>
  </conditionalFormatting>
  <conditionalFormatting sqref="BI59">
    <cfRule type="cellIs" dxfId="1908" priority="5057" operator="lessThan">
      <formula>0</formula>
    </cfRule>
  </conditionalFormatting>
  <conditionalFormatting sqref="BI65">
    <cfRule type="cellIs" dxfId="1907" priority="5056" operator="greaterThanOrEqual">
      <formula>0</formula>
    </cfRule>
  </conditionalFormatting>
  <conditionalFormatting sqref="BI65">
    <cfRule type="cellIs" dxfId="1906" priority="5055" operator="lessThan">
      <formula>0</formula>
    </cfRule>
  </conditionalFormatting>
  <conditionalFormatting sqref="BI66">
    <cfRule type="cellIs" dxfId="1905" priority="5054" operator="greaterThanOrEqual">
      <formula>0</formula>
    </cfRule>
  </conditionalFormatting>
  <conditionalFormatting sqref="BI66">
    <cfRule type="cellIs" dxfId="1904" priority="5053" operator="lessThan">
      <formula>0</formula>
    </cfRule>
  </conditionalFormatting>
  <conditionalFormatting sqref="BI68:BI70">
    <cfRule type="cellIs" dxfId="1903" priority="5051" operator="lessThan">
      <formula>0</formula>
    </cfRule>
    <cfRule type="cellIs" dxfId="1902" priority="5052" operator="greaterThanOrEqual">
      <formula>0</formula>
    </cfRule>
  </conditionalFormatting>
  <conditionalFormatting sqref="BI71:BI72">
    <cfRule type="cellIs" dxfId="1901" priority="5050" operator="greaterThanOrEqual">
      <formula>0</formula>
    </cfRule>
  </conditionalFormatting>
  <conditionalFormatting sqref="BI71:BI72">
    <cfRule type="cellIs" dxfId="1900" priority="5049" operator="lessThan">
      <formula>0</formula>
    </cfRule>
  </conditionalFormatting>
  <conditionalFormatting sqref="BI73">
    <cfRule type="cellIs" dxfId="1899" priority="5048" operator="greaterThanOrEqual">
      <formula>0</formula>
    </cfRule>
  </conditionalFormatting>
  <conditionalFormatting sqref="BI73">
    <cfRule type="cellIs" dxfId="1898" priority="5047" operator="lessThan">
      <formula>0</formula>
    </cfRule>
  </conditionalFormatting>
  <conditionalFormatting sqref="BI42:BI43">
    <cfRule type="cellIs" dxfId="1897" priority="5045" operator="lessThan">
      <formula>0</formula>
    </cfRule>
    <cfRule type="cellIs" dxfId="1896" priority="5046" operator="greaterThanOrEqual">
      <formula>0</formula>
    </cfRule>
  </conditionalFormatting>
  <conditionalFormatting sqref="BI45:BI46">
    <cfRule type="cellIs" dxfId="1895" priority="5043" operator="lessThan">
      <formula>0</formula>
    </cfRule>
    <cfRule type="cellIs" dxfId="1894" priority="5044" operator="greaterThanOrEqual">
      <formula>0</formula>
    </cfRule>
  </conditionalFormatting>
  <conditionalFormatting sqref="BI57:BI58">
    <cfRule type="cellIs" dxfId="1893" priority="5041" operator="lessThan">
      <formula>0</formula>
    </cfRule>
    <cfRule type="cellIs" dxfId="1892" priority="5042" operator="greaterThanOrEqual">
      <formula>0</formula>
    </cfRule>
  </conditionalFormatting>
  <conditionalFormatting sqref="BI60:BI61">
    <cfRule type="cellIs" dxfId="1891" priority="5039" operator="lessThan">
      <formula>0</formula>
    </cfRule>
    <cfRule type="cellIs" dxfId="1890" priority="5040" operator="greaterThanOrEqual">
      <formula>0</formula>
    </cfRule>
  </conditionalFormatting>
  <conditionalFormatting sqref="BI63:BI64">
    <cfRule type="cellIs" dxfId="1889" priority="5037" operator="lessThan">
      <formula>0</formula>
    </cfRule>
    <cfRule type="cellIs" dxfId="1888" priority="5038" operator="greaterThanOrEqual">
      <formula>0</formula>
    </cfRule>
  </conditionalFormatting>
  <conditionalFormatting sqref="BN13:BN14">
    <cfRule type="cellIs" dxfId="1887" priority="5035" operator="greaterThan">
      <formula>0</formula>
    </cfRule>
    <cfRule type="cellIs" dxfId="1886" priority="5036" operator="lessThanOrEqual">
      <formula>0</formula>
    </cfRule>
  </conditionalFormatting>
  <conditionalFormatting sqref="BN16:BN17">
    <cfRule type="cellIs" dxfId="1885" priority="5033" operator="greaterThan">
      <formula>0</formula>
    </cfRule>
    <cfRule type="cellIs" dxfId="1884" priority="5034" operator="lessThanOrEqual">
      <formula>0</formula>
    </cfRule>
  </conditionalFormatting>
  <conditionalFormatting sqref="BN19:BN20">
    <cfRule type="cellIs" dxfId="1883" priority="5031" operator="greaterThan">
      <formula>0</formula>
    </cfRule>
    <cfRule type="cellIs" dxfId="1882" priority="5032" operator="lessThanOrEqual">
      <formula>0</formula>
    </cfRule>
  </conditionalFormatting>
  <conditionalFormatting sqref="BN29:BN30">
    <cfRule type="cellIs" dxfId="1881" priority="5029" operator="greaterThan">
      <formula>0</formula>
    </cfRule>
    <cfRule type="cellIs" dxfId="1880" priority="5030" operator="lessThanOrEqual">
      <formula>0</formula>
    </cfRule>
  </conditionalFormatting>
  <conditionalFormatting sqref="BN22:BN23">
    <cfRule type="cellIs" dxfId="1879" priority="5027" operator="greaterThan">
      <formula>0</formula>
    </cfRule>
    <cfRule type="cellIs" dxfId="1878" priority="5028" operator="lessThanOrEqual">
      <formula>0</formula>
    </cfRule>
  </conditionalFormatting>
  <conditionalFormatting sqref="BN32:BN33">
    <cfRule type="cellIs" dxfId="1877" priority="5025" operator="greaterThan">
      <formula>0</formula>
    </cfRule>
    <cfRule type="cellIs" dxfId="1876" priority="5026" operator="lessThanOrEqual">
      <formula>0</formula>
    </cfRule>
  </conditionalFormatting>
  <conditionalFormatting sqref="BN35:BN36">
    <cfRule type="cellIs" dxfId="1875" priority="5023" operator="greaterThan">
      <formula>0</formula>
    </cfRule>
    <cfRule type="cellIs" dxfId="1874" priority="5024" operator="lessThanOrEqual">
      <formula>0</formula>
    </cfRule>
  </conditionalFormatting>
  <conditionalFormatting sqref="BN38:BN39">
    <cfRule type="cellIs" dxfId="1873" priority="5021" operator="greaterThan">
      <formula>0</formula>
    </cfRule>
    <cfRule type="cellIs" dxfId="1872" priority="5022" operator="lessThanOrEqual">
      <formula>0</formula>
    </cfRule>
  </conditionalFormatting>
  <conditionalFormatting sqref="BN48:BN49">
    <cfRule type="cellIs" dxfId="1871" priority="5019" operator="greaterThan">
      <formula>0</formula>
    </cfRule>
    <cfRule type="cellIs" dxfId="1870" priority="5020" operator="lessThanOrEqual">
      <formula>0</formula>
    </cfRule>
  </conditionalFormatting>
  <conditionalFormatting sqref="BN63:BN64">
    <cfRule type="cellIs" dxfId="1869" priority="5017" operator="greaterThan">
      <formula>0</formula>
    </cfRule>
    <cfRule type="cellIs" dxfId="1868" priority="5018" operator="lessThanOrEqual">
      <formula>0</formula>
    </cfRule>
  </conditionalFormatting>
  <conditionalFormatting sqref="BN53:BN54">
    <cfRule type="cellIs" dxfId="1867" priority="5015" operator="greaterThan">
      <formula>0</formula>
    </cfRule>
    <cfRule type="cellIs" dxfId="1866" priority="5016" operator="lessThanOrEqual">
      <formula>0</formula>
    </cfRule>
  </conditionalFormatting>
  <conditionalFormatting sqref="BN15">
    <cfRule type="cellIs" dxfId="1865" priority="5013" operator="greaterThan">
      <formula>0</formula>
    </cfRule>
    <cfRule type="cellIs" dxfId="1864" priority="5014" operator="lessThanOrEqual">
      <formula>0</formula>
    </cfRule>
  </conditionalFormatting>
  <conditionalFormatting sqref="BN18">
    <cfRule type="cellIs" dxfId="1863" priority="5011" operator="greaterThan">
      <formula>0</formula>
    </cfRule>
    <cfRule type="cellIs" dxfId="1862" priority="5012" operator="lessThanOrEqual">
      <formula>0</formula>
    </cfRule>
  </conditionalFormatting>
  <conditionalFormatting sqref="BN21">
    <cfRule type="cellIs" dxfId="1861" priority="5009" operator="greaterThan">
      <formula>0</formula>
    </cfRule>
    <cfRule type="cellIs" dxfId="1860" priority="5010" operator="lessThanOrEqual">
      <formula>0</formula>
    </cfRule>
  </conditionalFormatting>
  <conditionalFormatting sqref="BN31">
    <cfRule type="cellIs" dxfId="1859" priority="5007" operator="greaterThan">
      <formula>0</formula>
    </cfRule>
    <cfRule type="cellIs" dxfId="1858" priority="5008" operator="lessThanOrEqual">
      <formula>0</formula>
    </cfRule>
  </conditionalFormatting>
  <conditionalFormatting sqref="BN24">
    <cfRule type="cellIs" dxfId="1857" priority="5005" operator="greaterThan">
      <formula>0</formula>
    </cfRule>
    <cfRule type="cellIs" dxfId="1856" priority="5006" operator="lessThanOrEqual">
      <formula>0</formula>
    </cfRule>
  </conditionalFormatting>
  <conditionalFormatting sqref="BN34">
    <cfRule type="cellIs" dxfId="1855" priority="5003" operator="greaterThan">
      <formula>0</formula>
    </cfRule>
    <cfRule type="cellIs" dxfId="1854" priority="5004" operator="lessThanOrEqual">
      <formula>0</formula>
    </cfRule>
  </conditionalFormatting>
  <conditionalFormatting sqref="BN37">
    <cfRule type="cellIs" dxfId="1853" priority="5001" operator="greaterThan">
      <formula>0</formula>
    </cfRule>
    <cfRule type="cellIs" dxfId="1852" priority="5002" operator="lessThanOrEqual">
      <formula>0</formula>
    </cfRule>
  </conditionalFormatting>
  <conditionalFormatting sqref="BN40">
    <cfRule type="cellIs" dxfId="1851" priority="4999" operator="greaterThan">
      <formula>0</formula>
    </cfRule>
    <cfRule type="cellIs" dxfId="1850" priority="5000" operator="lessThanOrEqual">
      <formula>0</formula>
    </cfRule>
  </conditionalFormatting>
  <conditionalFormatting sqref="BN26">
    <cfRule type="cellIs" dxfId="1849" priority="4997" operator="greaterThan">
      <formula>0</formula>
    </cfRule>
    <cfRule type="cellIs" dxfId="1848" priority="4998" operator="lessThanOrEqual">
      <formula>0</formula>
    </cfRule>
  </conditionalFormatting>
  <conditionalFormatting sqref="BN66">
    <cfRule type="cellIs" dxfId="1847" priority="4995" operator="greaterThan">
      <formula>0</formula>
    </cfRule>
    <cfRule type="cellIs" dxfId="1846" priority="4996" operator="lessThanOrEqual">
      <formula>0</formula>
    </cfRule>
  </conditionalFormatting>
  <conditionalFormatting sqref="BM13:BM14 BM16:BM17 BM19:BM20 BM22:BM23 BM29:BM30 BM32:BM33 BM35:BM36 BM38:BM39 BM48:BM49 BM53:BM54">
    <cfRule type="cellIs" dxfId="1845" priority="4993" operator="lessThan">
      <formula>0</formula>
    </cfRule>
    <cfRule type="cellIs" dxfId="1844" priority="4994" operator="greaterThanOrEqual">
      <formula>0</formula>
    </cfRule>
  </conditionalFormatting>
  <conditionalFormatting sqref="BM15 BM18 BM21 BM24 BM26 BM31 BM34 BM37 BM40">
    <cfRule type="cellIs" dxfId="1843" priority="4992" operator="greaterThanOrEqual">
      <formula>0</formula>
    </cfRule>
  </conditionalFormatting>
  <conditionalFormatting sqref="BM15 BM18 BM21 BM24 BM26 BM31 BM34 BM37 BM40">
    <cfRule type="cellIs" dxfId="1842" priority="4991" operator="lessThan">
      <formula>0</formula>
    </cfRule>
  </conditionalFormatting>
  <conditionalFormatting sqref="BN51">
    <cfRule type="cellIs" dxfId="1841" priority="4985" operator="greaterThan">
      <formula>0</formula>
    </cfRule>
    <cfRule type="cellIs" dxfId="1840" priority="4986" operator="lessThanOrEqual">
      <formula>0</formula>
    </cfRule>
  </conditionalFormatting>
  <conditionalFormatting sqref="BN44">
    <cfRule type="cellIs" dxfId="1839" priority="4979" operator="greaterThan">
      <formula>0</formula>
    </cfRule>
    <cfRule type="cellIs" dxfId="1838" priority="4980" operator="lessThanOrEqual">
      <formula>0</formula>
    </cfRule>
  </conditionalFormatting>
  <conditionalFormatting sqref="BN50">
    <cfRule type="cellIs" dxfId="1837" priority="4975" operator="greaterThan">
      <formula>0</formula>
    </cfRule>
    <cfRule type="cellIs" dxfId="1836" priority="4976" operator="lessThanOrEqual">
      <formula>0</formula>
    </cfRule>
  </conditionalFormatting>
  <conditionalFormatting sqref="BN28">
    <cfRule type="cellIs" dxfId="1835" priority="4989" operator="greaterThan">
      <formula>0</formula>
    </cfRule>
    <cfRule type="cellIs" dxfId="1834" priority="4990" operator="lessThanOrEqual">
      <formula>0</formula>
    </cfRule>
  </conditionalFormatting>
  <conditionalFormatting sqref="BN41">
    <cfRule type="cellIs" dxfId="1833" priority="4987" operator="greaterThan">
      <formula>0</formula>
    </cfRule>
    <cfRule type="cellIs" dxfId="1832" priority="4988" operator="lessThanOrEqual">
      <formula>0</formula>
    </cfRule>
  </conditionalFormatting>
  <conditionalFormatting sqref="BN42:BN43 BN45:BN46">
    <cfRule type="cellIs" dxfId="1831" priority="4983" operator="greaterThan">
      <formula>0</formula>
    </cfRule>
    <cfRule type="cellIs" dxfId="1830" priority="4984" operator="lessThanOrEqual">
      <formula>0</formula>
    </cfRule>
  </conditionalFormatting>
  <conditionalFormatting sqref="BN57:BN58 BN60:BN61">
    <cfRule type="cellIs" dxfId="1829" priority="4981" operator="greaterThan">
      <formula>0</formula>
    </cfRule>
    <cfRule type="cellIs" dxfId="1828" priority="4982" operator="lessThanOrEqual">
      <formula>0</formula>
    </cfRule>
  </conditionalFormatting>
  <conditionalFormatting sqref="BN62">
    <cfRule type="cellIs" dxfId="1827" priority="4971" operator="greaterThan">
      <formula>0</formula>
    </cfRule>
    <cfRule type="cellIs" dxfId="1826" priority="4972" operator="lessThanOrEqual">
      <formula>0</formula>
    </cfRule>
  </conditionalFormatting>
  <conditionalFormatting sqref="BN65">
    <cfRule type="cellIs" dxfId="1825" priority="4967" operator="greaterThan">
      <formula>0</formula>
    </cfRule>
    <cfRule type="cellIs" dxfId="1824" priority="4968" operator="lessThanOrEqual">
      <formula>0</formula>
    </cfRule>
  </conditionalFormatting>
  <conditionalFormatting sqref="BN25">
    <cfRule type="cellIs" dxfId="1823" priority="4965" operator="greaterThan">
      <formula>0</formula>
    </cfRule>
    <cfRule type="cellIs" dxfId="1822" priority="4966" operator="lessThanOrEqual">
      <formula>0</formula>
    </cfRule>
  </conditionalFormatting>
  <conditionalFormatting sqref="BN56">
    <cfRule type="cellIs" dxfId="1821" priority="4963" operator="greaterThan">
      <formula>0</formula>
    </cfRule>
    <cfRule type="cellIs" dxfId="1820" priority="4964" operator="lessThanOrEqual">
      <formula>0</formula>
    </cfRule>
  </conditionalFormatting>
  <conditionalFormatting sqref="BM56">
    <cfRule type="cellIs" dxfId="1819" priority="4962" operator="greaterThanOrEqual">
      <formula>0</formula>
    </cfRule>
  </conditionalFormatting>
  <conditionalFormatting sqref="BM56">
    <cfRule type="cellIs" dxfId="1818" priority="4961" operator="lessThan">
      <formula>0</formula>
    </cfRule>
  </conditionalFormatting>
  <conditionalFormatting sqref="BN52">
    <cfRule type="cellIs" dxfId="1817" priority="4959" operator="greaterThan">
      <formula>0</formula>
    </cfRule>
    <cfRule type="cellIs" dxfId="1816" priority="4960" operator="lessThanOrEqual">
      <formula>0</formula>
    </cfRule>
  </conditionalFormatting>
  <conditionalFormatting sqref="BM52">
    <cfRule type="cellIs" dxfId="1815" priority="4958" operator="greaterThanOrEqual">
      <formula>0</formula>
    </cfRule>
  </conditionalFormatting>
  <conditionalFormatting sqref="BM52">
    <cfRule type="cellIs" dxfId="1814" priority="4957" operator="lessThan">
      <formula>0</formula>
    </cfRule>
  </conditionalFormatting>
  <conditionalFormatting sqref="BM25">
    <cfRule type="cellIs" dxfId="1813" priority="4956" operator="greaterThanOrEqual">
      <formula>0</formula>
    </cfRule>
  </conditionalFormatting>
  <conditionalFormatting sqref="BM25">
    <cfRule type="cellIs" dxfId="1812" priority="4955" operator="lessThan">
      <formula>0</formula>
    </cfRule>
  </conditionalFormatting>
  <conditionalFormatting sqref="BM28">
    <cfRule type="cellIs" dxfId="1811" priority="4954" operator="greaterThanOrEqual">
      <formula>0</formula>
    </cfRule>
  </conditionalFormatting>
  <conditionalFormatting sqref="BM28">
    <cfRule type="cellIs" dxfId="1810" priority="4953" operator="lessThan">
      <formula>0</formula>
    </cfRule>
  </conditionalFormatting>
  <conditionalFormatting sqref="BM41">
    <cfRule type="cellIs" dxfId="1809" priority="4952" operator="greaterThanOrEqual">
      <formula>0</formula>
    </cfRule>
  </conditionalFormatting>
  <conditionalFormatting sqref="BM41">
    <cfRule type="cellIs" dxfId="1808" priority="4951" operator="lessThan">
      <formula>0</formula>
    </cfRule>
  </conditionalFormatting>
  <conditionalFormatting sqref="BM44">
    <cfRule type="cellIs" dxfId="1807" priority="4950" operator="greaterThanOrEqual">
      <formula>0</formula>
    </cfRule>
  </conditionalFormatting>
  <conditionalFormatting sqref="BM44">
    <cfRule type="cellIs" dxfId="1806" priority="4949" operator="lessThan">
      <formula>0</formula>
    </cfRule>
  </conditionalFormatting>
  <conditionalFormatting sqref="BM47">
    <cfRule type="cellIs" dxfId="1805" priority="4948" operator="greaterThanOrEqual">
      <formula>0</formula>
    </cfRule>
  </conditionalFormatting>
  <conditionalFormatting sqref="BM47">
    <cfRule type="cellIs" dxfId="1804" priority="4947" operator="lessThan">
      <formula>0</formula>
    </cfRule>
  </conditionalFormatting>
  <conditionalFormatting sqref="BM50">
    <cfRule type="cellIs" dxfId="1803" priority="4946" operator="greaterThanOrEqual">
      <formula>0</formula>
    </cfRule>
  </conditionalFormatting>
  <conditionalFormatting sqref="BM50">
    <cfRule type="cellIs" dxfId="1802" priority="4945" operator="lessThan">
      <formula>0</formula>
    </cfRule>
  </conditionalFormatting>
  <conditionalFormatting sqref="BM51">
    <cfRule type="cellIs" dxfId="1801" priority="4944" operator="greaterThanOrEqual">
      <formula>0</formula>
    </cfRule>
  </conditionalFormatting>
  <conditionalFormatting sqref="BM51">
    <cfRule type="cellIs" dxfId="1800" priority="4943" operator="lessThan">
      <formula>0</formula>
    </cfRule>
  </conditionalFormatting>
  <conditionalFormatting sqref="BM59">
    <cfRule type="cellIs" dxfId="1799" priority="4942" operator="greaterThanOrEqual">
      <formula>0</formula>
    </cfRule>
  </conditionalFormatting>
  <conditionalFormatting sqref="BM59">
    <cfRule type="cellIs" dxfId="1798" priority="4941" operator="lessThan">
      <formula>0</formula>
    </cfRule>
  </conditionalFormatting>
  <conditionalFormatting sqref="BM65">
    <cfRule type="cellIs" dxfId="1797" priority="4940" operator="greaterThanOrEqual">
      <formula>0</formula>
    </cfRule>
  </conditionalFormatting>
  <conditionalFormatting sqref="BM65">
    <cfRule type="cellIs" dxfId="1796" priority="4939" operator="lessThan">
      <formula>0</formula>
    </cfRule>
  </conditionalFormatting>
  <conditionalFormatting sqref="BM66">
    <cfRule type="cellIs" dxfId="1795" priority="4938" operator="greaterThanOrEqual">
      <formula>0</formula>
    </cfRule>
  </conditionalFormatting>
  <conditionalFormatting sqref="BM66">
    <cfRule type="cellIs" dxfId="1794" priority="4937" operator="lessThan">
      <formula>0</formula>
    </cfRule>
  </conditionalFormatting>
  <conditionalFormatting sqref="BM42:BM43">
    <cfRule type="cellIs" dxfId="1793" priority="4935" operator="lessThan">
      <formula>0</formula>
    </cfRule>
    <cfRule type="cellIs" dxfId="1792" priority="4936" operator="greaterThanOrEqual">
      <formula>0</formula>
    </cfRule>
  </conditionalFormatting>
  <conditionalFormatting sqref="BM45:BM46">
    <cfRule type="cellIs" dxfId="1791" priority="4933" operator="lessThan">
      <formula>0</formula>
    </cfRule>
    <cfRule type="cellIs" dxfId="1790" priority="4934" operator="greaterThanOrEqual">
      <formula>0</formula>
    </cfRule>
  </conditionalFormatting>
  <conditionalFormatting sqref="BM57:BM58">
    <cfRule type="cellIs" dxfId="1789" priority="4931" operator="lessThan">
      <formula>0</formula>
    </cfRule>
    <cfRule type="cellIs" dxfId="1788" priority="4932" operator="greaterThanOrEqual">
      <formula>0</formula>
    </cfRule>
  </conditionalFormatting>
  <conditionalFormatting sqref="BM60:BM61">
    <cfRule type="cellIs" dxfId="1787" priority="4929" operator="lessThan">
      <formula>0</formula>
    </cfRule>
    <cfRule type="cellIs" dxfId="1786" priority="4930" operator="greaterThanOrEqual">
      <formula>0</formula>
    </cfRule>
  </conditionalFormatting>
  <conditionalFormatting sqref="BM63:BM64">
    <cfRule type="cellIs" dxfId="1785" priority="4927" operator="lessThan">
      <formula>0</formula>
    </cfRule>
    <cfRule type="cellIs" dxfId="1784" priority="4928" operator="greaterThanOrEqual">
      <formula>0</formula>
    </cfRule>
  </conditionalFormatting>
  <conditionalFormatting sqref="BN68 BN71">
    <cfRule type="cellIs" dxfId="1783" priority="4925" operator="greaterThan">
      <formula>0</formula>
    </cfRule>
    <cfRule type="cellIs" dxfId="1782" priority="4926" operator="lessThanOrEqual">
      <formula>0</formula>
    </cfRule>
  </conditionalFormatting>
  <conditionalFormatting sqref="BN73">
    <cfRule type="cellIs" dxfId="1781" priority="4923" operator="greaterThan">
      <formula>0</formula>
    </cfRule>
    <cfRule type="cellIs" dxfId="1780" priority="4924" operator="lessThanOrEqual">
      <formula>0</formula>
    </cfRule>
  </conditionalFormatting>
  <conditionalFormatting sqref="BN69">
    <cfRule type="cellIs" dxfId="1779" priority="4921" operator="greaterThan">
      <formula>0</formula>
    </cfRule>
    <cfRule type="cellIs" dxfId="1778" priority="4922" operator="lessThanOrEqual">
      <formula>0</formula>
    </cfRule>
  </conditionalFormatting>
  <conditionalFormatting sqref="BN70">
    <cfRule type="cellIs" dxfId="1777" priority="4919" operator="greaterThan">
      <formula>0</formula>
    </cfRule>
    <cfRule type="cellIs" dxfId="1776" priority="4920" operator="lessThanOrEqual">
      <formula>0</formula>
    </cfRule>
  </conditionalFormatting>
  <conditionalFormatting sqref="BN72">
    <cfRule type="cellIs" dxfId="1775" priority="4917" operator="greaterThan">
      <formula>0</formula>
    </cfRule>
    <cfRule type="cellIs" dxfId="1774" priority="4918" operator="lessThanOrEqual">
      <formula>0</formula>
    </cfRule>
  </conditionalFormatting>
  <conditionalFormatting sqref="BM68:BM70">
    <cfRule type="cellIs" dxfId="1773" priority="4915" operator="lessThan">
      <formula>0</formula>
    </cfRule>
    <cfRule type="cellIs" dxfId="1772" priority="4916" operator="greaterThanOrEqual">
      <formula>0</formula>
    </cfRule>
  </conditionalFormatting>
  <conditionalFormatting sqref="BM71:BM72">
    <cfRule type="cellIs" dxfId="1771" priority="4914" operator="greaterThanOrEqual">
      <formula>0</formula>
    </cfRule>
  </conditionalFormatting>
  <conditionalFormatting sqref="BM71:BM72">
    <cfRule type="cellIs" dxfId="1770" priority="4913" operator="lessThan">
      <formula>0</formula>
    </cfRule>
  </conditionalFormatting>
  <conditionalFormatting sqref="BM73">
    <cfRule type="cellIs" dxfId="1769" priority="4912" operator="greaterThanOrEqual">
      <formula>0</formula>
    </cfRule>
  </conditionalFormatting>
  <conditionalFormatting sqref="BM73">
    <cfRule type="cellIs" dxfId="1768" priority="4911" operator="lessThan">
      <formula>0</formula>
    </cfRule>
  </conditionalFormatting>
  <conditionalFormatting sqref="BN67">
    <cfRule type="cellIs" dxfId="1767" priority="4909" operator="greaterThan">
      <formula>0</formula>
    </cfRule>
    <cfRule type="cellIs" dxfId="1766" priority="4910" operator="lessThanOrEqual">
      <formula>0</formula>
    </cfRule>
  </conditionalFormatting>
  <conditionalFormatting sqref="BM67">
    <cfRule type="cellIs" dxfId="1765" priority="4907" operator="greaterThanOrEqual">
      <formula>0</formula>
    </cfRule>
    <cfRule type="cellIs" dxfId="1764" priority="4908" operator="lessThan">
      <formula>0</formula>
    </cfRule>
  </conditionalFormatting>
  <conditionalFormatting sqref="BJ51">
    <cfRule type="cellIs" dxfId="1763" priority="4905" operator="greaterThan">
      <formula>0</formula>
    </cfRule>
    <cfRule type="cellIs" dxfId="1762" priority="4906" operator="lessThanOrEqual">
      <formula>0</formula>
    </cfRule>
  </conditionalFormatting>
  <conditionalFormatting sqref="BP42:BP43">
    <cfRule type="cellIs" dxfId="1761" priority="4903" operator="lessThan">
      <formula>0</formula>
    </cfRule>
    <cfRule type="cellIs" dxfId="1760" priority="4904" operator="greaterThanOrEqual">
      <formula>0</formula>
    </cfRule>
  </conditionalFormatting>
  <conditionalFormatting sqref="BP45:BP46">
    <cfRule type="cellIs" dxfId="1759" priority="4901" operator="lessThan">
      <formula>0</formula>
    </cfRule>
    <cfRule type="cellIs" dxfId="1758" priority="4902" operator="greaterThanOrEqual">
      <formula>0</formula>
    </cfRule>
  </conditionalFormatting>
  <conditionalFormatting sqref="BP53:BP54">
    <cfRule type="cellIs" dxfId="1757" priority="4899" operator="lessThan">
      <formula>0</formula>
    </cfRule>
    <cfRule type="cellIs" dxfId="1756" priority="4900" operator="greaterThanOrEqual">
      <formula>0</formula>
    </cfRule>
  </conditionalFormatting>
  <conditionalFormatting sqref="BP57:BP58">
    <cfRule type="cellIs" dxfId="1755" priority="4897" operator="lessThan">
      <formula>0</formula>
    </cfRule>
    <cfRule type="cellIs" dxfId="1754" priority="4898" operator="greaterThanOrEqual">
      <formula>0</formula>
    </cfRule>
  </conditionalFormatting>
  <conditionalFormatting sqref="BP60:BP61">
    <cfRule type="cellIs" dxfId="1753" priority="4895" operator="lessThan">
      <formula>0</formula>
    </cfRule>
    <cfRule type="cellIs" dxfId="1752" priority="4896" operator="greaterThanOrEqual">
      <formula>0</formula>
    </cfRule>
  </conditionalFormatting>
  <conditionalFormatting sqref="BP63:BP64">
    <cfRule type="cellIs" dxfId="1751" priority="4893" operator="lessThan">
      <formula>0</formula>
    </cfRule>
    <cfRule type="cellIs" dxfId="1750" priority="4894" operator="greaterThanOrEqual">
      <formula>0</formula>
    </cfRule>
  </conditionalFormatting>
  <conditionalFormatting sqref="BP25">
    <cfRule type="cellIs" dxfId="1749" priority="4892" operator="greaterThanOrEqual">
      <formula>0</formula>
    </cfRule>
  </conditionalFormatting>
  <conditionalFormatting sqref="BP25">
    <cfRule type="cellIs" dxfId="1748" priority="4891" operator="lessThan">
      <formula>0</formula>
    </cfRule>
  </conditionalFormatting>
  <conditionalFormatting sqref="BP26">
    <cfRule type="cellIs" dxfId="1747" priority="4890" operator="greaterThanOrEqual">
      <formula>0</formula>
    </cfRule>
  </conditionalFormatting>
  <conditionalFormatting sqref="BP26">
    <cfRule type="cellIs" dxfId="1746" priority="4889" operator="lessThan">
      <formula>0</formula>
    </cfRule>
  </conditionalFormatting>
  <conditionalFormatting sqref="BP28">
    <cfRule type="cellIs" dxfId="1745" priority="4888" operator="greaterThanOrEqual">
      <formula>0</formula>
    </cfRule>
  </conditionalFormatting>
  <conditionalFormatting sqref="BP28">
    <cfRule type="cellIs" dxfId="1744" priority="4887" operator="lessThan">
      <formula>0</formula>
    </cfRule>
  </conditionalFormatting>
  <conditionalFormatting sqref="BP41">
    <cfRule type="cellIs" dxfId="1743" priority="4886" operator="greaterThanOrEqual">
      <formula>0</formula>
    </cfRule>
  </conditionalFormatting>
  <conditionalFormatting sqref="BP41">
    <cfRule type="cellIs" dxfId="1742" priority="4885" operator="lessThan">
      <formula>0</formula>
    </cfRule>
  </conditionalFormatting>
  <conditionalFormatting sqref="BP44">
    <cfRule type="cellIs" dxfId="1741" priority="4884" operator="greaterThanOrEqual">
      <formula>0</formula>
    </cfRule>
  </conditionalFormatting>
  <conditionalFormatting sqref="BP44">
    <cfRule type="cellIs" dxfId="1740" priority="4883" operator="lessThan">
      <formula>0</formula>
    </cfRule>
  </conditionalFormatting>
  <conditionalFormatting sqref="BP47">
    <cfRule type="cellIs" dxfId="1739" priority="4882" operator="greaterThanOrEqual">
      <formula>0</formula>
    </cfRule>
  </conditionalFormatting>
  <conditionalFormatting sqref="BP47">
    <cfRule type="cellIs" dxfId="1738" priority="4881" operator="lessThan">
      <formula>0</formula>
    </cfRule>
  </conditionalFormatting>
  <conditionalFormatting sqref="BP50">
    <cfRule type="cellIs" dxfId="1737" priority="4880" operator="greaterThanOrEqual">
      <formula>0</formula>
    </cfRule>
  </conditionalFormatting>
  <conditionalFormatting sqref="BP50">
    <cfRule type="cellIs" dxfId="1736" priority="4879" operator="lessThan">
      <formula>0</formula>
    </cfRule>
  </conditionalFormatting>
  <conditionalFormatting sqref="BP51">
    <cfRule type="cellIs" dxfId="1735" priority="4878" operator="greaterThanOrEqual">
      <formula>0</formula>
    </cfRule>
  </conditionalFormatting>
  <conditionalFormatting sqref="BP51">
    <cfRule type="cellIs" dxfId="1734" priority="4877" operator="lessThan">
      <formula>0</formula>
    </cfRule>
  </conditionalFormatting>
  <conditionalFormatting sqref="BP59">
    <cfRule type="cellIs" dxfId="1733" priority="4876" operator="greaterThanOrEqual">
      <formula>0</formula>
    </cfRule>
  </conditionalFormatting>
  <conditionalFormatting sqref="BP59">
    <cfRule type="cellIs" dxfId="1732" priority="4875" operator="lessThan">
      <formula>0</formula>
    </cfRule>
  </conditionalFormatting>
  <conditionalFormatting sqref="BP62">
    <cfRule type="cellIs" dxfId="1731" priority="4874" operator="greaterThanOrEqual">
      <formula>0</formula>
    </cfRule>
  </conditionalFormatting>
  <conditionalFormatting sqref="BP62">
    <cfRule type="cellIs" dxfId="1730" priority="4873" operator="lessThan">
      <formula>0</formula>
    </cfRule>
  </conditionalFormatting>
  <conditionalFormatting sqref="BP65">
    <cfRule type="cellIs" dxfId="1729" priority="4872" operator="greaterThanOrEqual">
      <formula>0</formula>
    </cfRule>
  </conditionalFormatting>
  <conditionalFormatting sqref="BP65">
    <cfRule type="cellIs" dxfId="1728" priority="4871" operator="lessThan">
      <formula>0</formula>
    </cfRule>
  </conditionalFormatting>
  <conditionalFormatting sqref="BP56">
    <cfRule type="cellIs" dxfId="1727" priority="4870" operator="greaterThanOrEqual">
      <formula>0</formula>
    </cfRule>
  </conditionalFormatting>
  <conditionalFormatting sqref="BP56">
    <cfRule type="cellIs" dxfId="1726" priority="4869" operator="lessThan">
      <formula>0</formula>
    </cfRule>
  </conditionalFormatting>
  <conditionalFormatting sqref="BP66">
    <cfRule type="cellIs" dxfId="1725" priority="4868" operator="greaterThanOrEqual">
      <formula>0</formula>
    </cfRule>
  </conditionalFormatting>
  <conditionalFormatting sqref="BP66">
    <cfRule type="cellIs" dxfId="1724" priority="4867" operator="lessThan">
      <formula>0</formula>
    </cfRule>
  </conditionalFormatting>
  <conditionalFormatting sqref="BQ16:BQ17">
    <cfRule type="cellIs" dxfId="1723" priority="4865" operator="greaterThan">
      <formula>0</formula>
    </cfRule>
    <cfRule type="cellIs" dxfId="1722" priority="4866" operator="lessThanOrEqual">
      <formula>0</formula>
    </cfRule>
  </conditionalFormatting>
  <conditionalFormatting sqref="BQ19:BQ20">
    <cfRule type="cellIs" dxfId="1721" priority="4863" operator="greaterThan">
      <formula>0</formula>
    </cfRule>
    <cfRule type="cellIs" dxfId="1720" priority="4864" operator="lessThanOrEqual">
      <formula>0</formula>
    </cfRule>
  </conditionalFormatting>
  <conditionalFormatting sqref="BQ22:BQ23">
    <cfRule type="cellIs" dxfId="1719" priority="4861" operator="greaterThan">
      <formula>0</formula>
    </cfRule>
    <cfRule type="cellIs" dxfId="1718" priority="4862" operator="lessThanOrEqual">
      <formula>0</formula>
    </cfRule>
  </conditionalFormatting>
  <conditionalFormatting sqref="BQ29:BQ30">
    <cfRule type="cellIs" dxfId="1717" priority="4859" operator="greaterThan">
      <formula>0</formula>
    </cfRule>
    <cfRule type="cellIs" dxfId="1716" priority="4860" operator="lessThanOrEqual">
      <formula>0</formula>
    </cfRule>
  </conditionalFormatting>
  <conditionalFormatting sqref="BQ32:BQ33">
    <cfRule type="cellIs" dxfId="1715" priority="4857" operator="greaterThan">
      <formula>0</formula>
    </cfRule>
    <cfRule type="cellIs" dxfId="1714" priority="4858" operator="lessThanOrEqual">
      <formula>0</formula>
    </cfRule>
  </conditionalFormatting>
  <conditionalFormatting sqref="BQ35:BQ36">
    <cfRule type="cellIs" dxfId="1713" priority="4855" operator="greaterThan">
      <formula>0</formula>
    </cfRule>
    <cfRule type="cellIs" dxfId="1712" priority="4856" operator="lessThanOrEqual">
      <formula>0</formula>
    </cfRule>
  </conditionalFormatting>
  <conditionalFormatting sqref="BQ38:BQ39">
    <cfRule type="cellIs" dxfId="1711" priority="4853" operator="greaterThan">
      <formula>0</formula>
    </cfRule>
    <cfRule type="cellIs" dxfId="1710" priority="4854" operator="lessThanOrEqual">
      <formula>0</formula>
    </cfRule>
  </conditionalFormatting>
  <conditionalFormatting sqref="BQ42:BQ43">
    <cfRule type="cellIs" dxfId="1709" priority="4851" operator="greaterThan">
      <formula>0</formula>
    </cfRule>
    <cfRule type="cellIs" dxfId="1708" priority="4852" operator="lessThanOrEqual">
      <formula>0</formula>
    </cfRule>
  </conditionalFormatting>
  <conditionalFormatting sqref="BQ45:BQ46">
    <cfRule type="cellIs" dxfId="1707" priority="4849" operator="greaterThan">
      <formula>0</formula>
    </cfRule>
    <cfRule type="cellIs" dxfId="1706" priority="4850" operator="lessThanOrEqual">
      <formula>0</formula>
    </cfRule>
  </conditionalFormatting>
  <conditionalFormatting sqref="BQ48:BQ49">
    <cfRule type="cellIs" dxfId="1705" priority="4847" operator="greaterThan">
      <formula>0</formula>
    </cfRule>
    <cfRule type="cellIs" dxfId="1704" priority="4848" operator="lessThanOrEqual">
      <formula>0</formula>
    </cfRule>
  </conditionalFormatting>
  <conditionalFormatting sqref="BQ53:BQ54">
    <cfRule type="cellIs" dxfId="1703" priority="4845" operator="greaterThan">
      <formula>0</formula>
    </cfRule>
    <cfRule type="cellIs" dxfId="1702" priority="4846" operator="lessThanOrEqual">
      <formula>0</formula>
    </cfRule>
  </conditionalFormatting>
  <conditionalFormatting sqref="BQ57:BQ58">
    <cfRule type="cellIs" dxfId="1701" priority="4843" operator="greaterThan">
      <formula>0</formula>
    </cfRule>
    <cfRule type="cellIs" dxfId="1700" priority="4844" operator="lessThanOrEqual">
      <formula>0</formula>
    </cfRule>
  </conditionalFormatting>
  <conditionalFormatting sqref="BQ60:BQ61">
    <cfRule type="cellIs" dxfId="1699" priority="4841" operator="greaterThan">
      <formula>0</formula>
    </cfRule>
    <cfRule type="cellIs" dxfId="1698" priority="4842" operator="lessThanOrEqual">
      <formula>0</formula>
    </cfRule>
  </conditionalFormatting>
  <conditionalFormatting sqref="BQ63:BQ64">
    <cfRule type="cellIs" dxfId="1697" priority="4839" operator="greaterThan">
      <formula>0</formula>
    </cfRule>
    <cfRule type="cellIs" dxfId="1696" priority="4840" operator="lessThanOrEqual">
      <formula>0</formula>
    </cfRule>
  </conditionalFormatting>
  <conditionalFormatting sqref="BQ25">
    <cfRule type="cellIs" dxfId="1695" priority="4838" operator="greaterThanOrEqual">
      <formula>0</formula>
    </cfRule>
  </conditionalFormatting>
  <conditionalFormatting sqref="BQ25">
    <cfRule type="cellIs" dxfId="1694" priority="4837" operator="lessThan">
      <formula>0</formula>
    </cfRule>
  </conditionalFormatting>
  <conditionalFormatting sqref="BQ26">
    <cfRule type="cellIs" dxfId="1693" priority="4836" operator="greaterThanOrEqual">
      <formula>0</formula>
    </cfRule>
  </conditionalFormatting>
  <conditionalFormatting sqref="BQ26">
    <cfRule type="cellIs" dxfId="1692" priority="4835" operator="lessThan">
      <formula>0</formula>
    </cfRule>
  </conditionalFormatting>
  <conditionalFormatting sqref="BQ28">
    <cfRule type="cellIs" dxfId="1691" priority="4834" operator="greaterThanOrEqual">
      <formula>0</formula>
    </cfRule>
  </conditionalFormatting>
  <conditionalFormatting sqref="BQ28">
    <cfRule type="cellIs" dxfId="1690" priority="4833" operator="lessThan">
      <formula>0</formula>
    </cfRule>
  </conditionalFormatting>
  <conditionalFormatting sqref="BQ41">
    <cfRule type="cellIs" dxfId="1689" priority="4832" operator="greaterThanOrEqual">
      <formula>0</formula>
    </cfRule>
  </conditionalFormatting>
  <conditionalFormatting sqref="BQ41">
    <cfRule type="cellIs" dxfId="1688" priority="4831" operator="lessThan">
      <formula>0</formula>
    </cfRule>
  </conditionalFormatting>
  <conditionalFormatting sqref="BQ44">
    <cfRule type="cellIs" dxfId="1687" priority="4830" operator="greaterThanOrEqual">
      <formula>0</formula>
    </cfRule>
  </conditionalFormatting>
  <conditionalFormatting sqref="BQ44">
    <cfRule type="cellIs" dxfId="1686" priority="4829" operator="lessThan">
      <formula>0</formula>
    </cfRule>
  </conditionalFormatting>
  <conditionalFormatting sqref="BQ47">
    <cfRule type="cellIs" dxfId="1685" priority="4828" operator="greaterThanOrEqual">
      <formula>0</formula>
    </cfRule>
  </conditionalFormatting>
  <conditionalFormatting sqref="BQ47">
    <cfRule type="cellIs" dxfId="1684" priority="4827" operator="lessThan">
      <formula>0</formula>
    </cfRule>
  </conditionalFormatting>
  <conditionalFormatting sqref="BQ50">
    <cfRule type="cellIs" dxfId="1683" priority="4826" operator="greaterThanOrEqual">
      <formula>0</formula>
    </cfRule>
  </conditionalFormatting>
  <conditionalFormatting sqref="BQ50">
    <cfRule type="cellIs" dxfId="1682" priority="4825" operator="lessThan">
      <formula>0</formula>
    </cfRule>
  </conditionalFormatting>
  <conditionalFormatting sqref="BQ51">
    <cfRule type="cellIs" dxfId="1681" priority="4824" operator="greaterThanOrEqual">
      <formula>0</formula>
    </cfRule>
  </conditionalFormatting>
  <conditionalFormatting sqref="BQ51">
    <cfRule type="cellIs" dxfId="1680" priority="4823" operator="lessThan">
      <formula>0</formula>
    </cfRule>
  </conditionalFormatting>
  <conditionalFormatting sqref="BQ59">
    <cfRule type="cellIs" dxfId="1679" priority="4822" operator="greaterThanOrEqual">
      <formula>0</formula>
    </cfRule>
  </conditionalFormatting>
  <conditionalFormatting sqref="BQ59">
    <cfRule type="cellIs" dxfId="1678" priority="4821" operator="lessThan">
      <formula>0</formula>
    </cfRule>
  </conditionalFormatting>
  <conditionalFormatting sqref="BQ62">
    <cfRule type="cellIs" dxfId="1677" priority="4820" operator="greaterThanOrEqual">
      <formula>0</formula>
    </cfRule>
  </conditionalFormatting>
  <conditionalFormatting sqref="BQ62">
    <cfRule type="cellIs" dxfId="1676" priority="4819" operator="lessThan">
      <formula>0</formula>
    </cfRule>
  </conditionalFormatting>
  <conditionalFormatting sqref="BQ65">
    <cfRule type="cellIs" dxfId="1675" priority="4818" operator="greaterThanOrEqual">
      <formula>0</formula>
    </cfRule>
  </conditionalFormatting>
  <conditionalFormatting sqref="BQ65">
    <cfRule type="cellIs" dxfId="1674" priority="4817" operator="lessThan">
      <formula>0</formula>
    </cfRule>
  </conditionalFormatting>
  <conditionalFormatting sqref="BQ56">
    <cfRule type="cellIs" dxfId="1673" priority="4815" operator="lessThan">
      <formula>0</formula>
    </cfRule>
  </conditionalFormatting>
  <conditionalFormatting sqref="BQ56">
    <cfRule type="cellIs" dxfId="1672" priority="4816" operator="greaterThanOrEqual">
      <formula>0</formula>
    </cfRule>
  </conditionalFormatting>
  <conditionalFormatting sqref="BQ66">
    <cfRule type="cellIs" dxfId="1671" priority="4813" operator="lessThan">
      <formula>0</formula>
    </cfRule>
  </conditionalFormatting>
  <conditionalFormatting sqref="BQ66">
    <cfRule type="cellIs" dxfId="1670" priority="4814" operator="greaterThanOrEqual">
      <formula>0</formula>
    </cfRule>
  </conditionalFormatting>
  <conditionalFormatting sqref="BP70">
    <cfRule type="cellIs" dxfId="1669" priority="4811" operator="lessThan">
      <formula>0</formula>
    </cfRule>
    <cfRule type="cellIs" dxfId="1668" priority="4812" operator="greaterThanOrEqual">
      <formula>0</formula>
    </cfRule>
  </conditionalFormatting>
  <conditionalFormatting sqref="BQ70">
    <cfRule type="cellIs" dxfId="1667" priority="4809" operator="lessThan">
      <formula>0</formula>
    </cfRule>
    <cfRule type="cellIs" dxfId="1666" priority="4810" operator="greaterThanOrEqual">
      <formula>0</formula>
    </cfRule>
  </conditionalFormatting>
  <conditionalFormatting sqref="BQ72">
    <cfRule type="cellIs" dxfId="1665" priority="4807" operator="lessThan">
      <formula>0</formula>
    </cfRule>
    <cfRule type="cellIs" dxfId="1664" priority="4808" operator="greaterThanOrEqual">
      <formula>0</formula>
    </cfRule>
  </conditionalFormatting>
  <conditionalFormatting sqref="BI55">
    <cfRule type="cellIs" dxfId="1663" priority="4806" operator="greaterThanOrEqual">
      <formula>0</formula>
    </cfRule>
  </conditionalFormatting>
  <conditionalFormatting sqref="BI55">
    <cfRule type="cellIs" dxfId="1662" priority="4805" operator="lessThan">
      <formula>0</formula>
    </cfRule>
  </conditionalFormatting>
  <conditionalFormatting sqref="BN55">
    <cfRule type="cellIs" dxfId="1661" priority="4803" operator="greaterThan">
      <formula>0</formula>
    </cfRule>
    <cfRule type="cellIs" dxfId="1660" priority="4804" operator="lessThanOrEqual">
      <formula>0</formula>
    </cfRule>
  </conditionalFormatting>
  <conditionalFormatting sqref="BM55">
    <cfRule type="cellIs" dxfId="1659" priority="4802" operator="greaterThanOrEqual">
      <formula>0</formula>
    </cfRule>
  </conditionalFormatting>
  <conditionalFormatting sqref="BM55">
    <cfRule type="cellIs" dxfId="1658" priority="4801" operator="lessThan">
      <formula>0</formula>
    </cfRule>
  </conditionalFormatting>
  <conditionalFormatting sqref="BJ55">
    <cfRule type="cellIs" dxfId="1657" priority="4799" operator="greaterThan">
      <formula>0</formula>
    </cfRule>
    <cfRule type="cellIs" dxfId="1656" priority="4800" operator="lessThanOrEqual">
      <formula>0</formula>
    </cfRule>
  </conditionalFormatting>
  <conditionalFormatting sqref="BP55">
    <cfRule type="cellIs" dxfId="1655" priority="4798" operator="greaterThanOrEqual">
      <formula>0</formula>
    </cfRule>
  </conditionalFormatting>
  <conditionalFormatting sqref="BP55">
    <cfRule type="cellIs" dxfId="1654" priority="4797" operator="lessThan">
      <formula>0</formula>
    </cfRule>
  </conditionalFormatting>
  <conditionalFormatting sqref="BQ55">
    <cfRule type="cellIs" dxfId="1653" priority="4796" operator="greaterThanOrEqual">
      <formula>0</formula>
    </cfRule>
  </conditionalFormatting>
  <conditionalFormatting sqref="BQ55">
    <cfRule type="cellIs" dxfId="1652" priority="4795" operator="lessThan">
      <formula>0</formula>
    </cfRule>
  </conditionalFormatting>
  <conditionalFormatting sqref="BJ27">
    <cfRule type="cellIs" dxfId="1651" priority="4349" operator="greaterThan">
      <formula>0</formula>
    </cfRule>
    <cfRule type="cellIs" dxfId="1650" priority="4350" operator="lessThanOrEqual">
      <formula>0</formula>
    </cfRule>
  </conditionalFormatting>
  <conditionalFormatting sqref="BI27">
    <cfRule type="cellIs" dxfId="1649" priority="4348" operator="greaterThanOrEqual">
      <formula>0</formula>
    </cfRule>
  </conditionalFormatting>
  <conditionalFormatting sqref="BI27">
    <cfRule type="cellIs" dxfId="1648" priority="4347" operator="lessThan">
      <formula>0</formula>
    </cfRule>
  </conditionalFormatting>
  <conditionalFormatting sqref="BN27">
    <cfRule type="cellIs" dxfId="1647" priority="4345" operator="greaterThan">
      <formula>0</formula>
    </cfRule>
    <cfRule type="cellIs" dxfId="1646" priority="4346" operator="lessThanOrEqual">
      <formula>0</formula>
    </cfRule>
  </conditionalFormatting>
  <conditionalFormatting sqref="BM27">
    <cfRule type="cellIs" dxfId="1645" priority="4344" operator="greaterThanOrEqual">
      <formula>0</formula>
    </cfRule>
  </conditionalFormatting>
  <conditionalFormatting sqref="BM27">
    <cfRule type="cellIs" dxfId="1644" priority="4343" operator="lessThan">
      <formula>0</formula>
    </cfRule>
  </conditionalFormatting>
  <conditionalFormatting sqref="BP27">
    <cfRule type="cellIs" dxfId="1643" priority="4342" operator="greaterThanOrEqual">
      <formula>0</formula>
    </cfRule>
  </conditionalFormatting>
  <conditionalFormatting sqref="BP27">
    <cfRule type="cellIs" dxfId="1642" priority="4341" operator="lessThan">
      <formula>0</formula>
    </cfRule>
  </conditionalFormatting>
  <conditionalFormatting sqref="BQ27">
    <cfRule type="cellIs" dxfId="1641" priority="4340" operator="greaterThanOrEqual">
      <formula>0</formula>
    </cfRule>
  </conditionalFormatting>
  <conditionalFormatting sqref="BQ27">
    <cfRule type="cellIs" dxfId="1640" priority="4339" operator="lessThan">
      <formula>0</formula>
    </cfRule>
  </conditionalFormatting>
  <conditionalFormatting sqref="BU13:BU14">
    <cfRule type="cellIs" dxfId="1639" priority="4319" operator="greaterThan">
      <formula>0</formula>
    </cfRule>
    <cfRule type="cellIs" dxfId="1638" priority="4320" operator="lessThanOrEqual">
      <formula>0</formula>
    </cfRule>
  </conditionalFormatting>
  <conditionalFormatting sqref="BU16:BU17">
    <cfRule type="cellIs" dxfId="1637" priority="4317" operator="greaterThan">
      <formula>0</formula>
    </cfRule>
    <cfRule type="cellIs" dxfId="1636" priority="4318" operator="lessThanOrEqual">
      <formula>0</formula>
    </cfRule>
  </conditionalFormatting>
  <conditionalFormatting sqref="BU19:BU20">
    <cfRule type="cellIs" dxfId="1635" priority="4315" operator="greaterThan">
      <formula>0</formula>
    </cfRule>
    <cfRule type="cellIs" dxfId="1634" priority="4316" operator="lessThanOrEqual">
      <formula>0</formula>
    </cfRule>
  </conditionalFormatting>
  <conditionalFormatting sqref="BU29:BU30">
    <cfRule type="cellIs" dxfId="1633" priority="4313" operator="greaterThan">
      <formula>0</formula>
    </cfRule>
    <cfRule type="cellIs" dxfId="1632" priority="4314" operator="lessThanOrEqual">
      <formula>0</formula>
    </cfRule>
  </conditionalFormatting>
  <conditionalFormatting sqref="BU22:BU23">
    <cfRule type="cellIs" dxfId="1631" priority="4311" operator="greaterThan">
      <formula>0</formula>
    </cfRule>
    <cfRule type="cellIs" dxfId="1630" priority="4312" operator="lessThanOrEqual">
      <formula>0</formula>
    </cfRule>
  </conditionalFormatting>
  <conditionalFormatting sqref="BU32:BU33">
    <cfRule type="cellIs" dxfId="1629" priority="4309" operator="greaterThan">
      <formula>0</formula>
    </cfRule>
    <cfRule type="cellIs" dxfId="1628" priority="4310" operator="lessThanOrEqual">
      <formula>0</formula>
    </cfRule>
  </conditionalFormatting>
  <conditionalFormatting sqref="BU35:BU36">
    <cfRule type="cellIs" dxfId="1627" priority="4307" operator="greaterThan">
      <formula>0</formula>
    </cfRule>
    <cfRule type="cellIs" dxfId="1626" priority="4308" operator="lessThanOrEqual">
      <formula>0</formula>
    </cfRule>
  </conditionalFormatting>
  <conditionalFormatting sqref="BU38:BU39">
    <cfRule type="cellIs" dxfId="1625" priority="4305" operator="greaterThan">
      <formula>0</formula>
    </cfRule>
    <cfRule type="cellIs" dxfId="1624" priority="4306" operator="lessThanOrEqual">
      <formula>0</formula>
    </cfRule>
  </conditionalFormatting>
  <conditionalFormatting sqref="BU48:BU49">
    <cfRule type="cellIs" dxfId="1623" priority="4303" operator="greaterThan">
      <formula>0</formula>
    </cfRule>
    <cfRule type="cellIs" dxfId="1622" priority="4304" operator="lessThanOrEqual">
      <formula>0</formula>
    </cfRule>
  </conditionalFormatting>
  <conditionalFormatting sqref="BU63:BU64">
    <cfRule type="cellIs" dxfId="1621" priority="4301" operator="greaterThan">
      <formula>0</formula>
    </cfRule>
    <cfRule type="cellIs" dxfId="1620" priority="4302" operator="lessThanOrEqual">
      <formula>0</formula>
    </cfRule>
  </conditionalFormatting>
  <conditionalFormatting sqref="BU53:BU54">
    <cfRule type="cellIs" dxfId="1619" priority="4299" operator="greaterThan">
      <formula>0</formula>
    </cfRule>
    <cfRule type="cellIs" dxfId="1618" priority="4300" operator="lessThanOrEqual">
      <formula>0</formula>
    </cfRule>
  </conditionalFormatting>
  <conditionalFormatting sqref="BU15">
    <cfRule type="cellIs" dxfId="1617" priority="4297" operator="greaterThan">
      <formula>0</formula>
    </cfRule>
    <cfRule type="cellIs" dxfId="1616" priority="4298" operator="lessThanOrEqual">
      <formula>0</formula>
    </cfRule>
  </conditionalFormatting>
  <conditionalFormatting sqref="BU18">
    <cfRule type="cellIs" dxfId="1615" priority="4295" operator="greaterThan">
      <formula>0</formula>
    </cfRule>
    <cfRule type="cellIs" dxfId="1614" priority="4296" operator="lessThanOrEqual">
      <formula>0</formula>
    </cfRule>
  </conditionalFormatting>
  <conditionalFormatting sqref="BU21">
    <cfRule type="cellIs" dxfId="1613" priority="4293" operator="greaterThan">
      <formula>0</formula>
    </cfRule>
    <cfRule type="cellIs" dxfId="1612" priority="4294" operator="lessThanOrEqual">
      <formula>0</formula>
    </cfRule>
  </conditionalFormatting>
  <conditionalFormatting sqref="BU31">
    <cfRule type="cellIs" dxfId="1611" priority="4291" operator="greaterThan">
      <formula>0</formula>
    </cfRule>
    <cfRule type="cellIs" dxfId="1610" priority="4292" operator="lessThanOrEqual">
      <formula>0</formula>
    </cfRule>
  </conditionalFormatting>
  <conditionalFormatting sqref="BU24">
    <cfRule type="cellIs" dxfId="1609" priority="4289" operator="greaterThan">
      <formula>0</formula>
    </cfRule>
    <cfRule type="cellIs" dxfId="1608" priority="4290" operator="lessThanOrEqual">
      <formula>0</formula>
    </cfRule>
  </conditionalFormatting>
  <conditionalFormatting sqref="BU34">
    <cfRule type="cellIs" dxfId="1607" priority="4287" operator="greaterThan">
      <formula>0</formula>
    </cfRule>
    <cfRule type="cellIs" dxfId="1606" priority="4288" operator="lessThanOrEqual">
      <formula>0</formula>
    </cfRule>
  </conditionalFormatting>
  <conditionalFormatting sqref="BU37">
    <cfRule type="cellIs" dxfId="1605" priority="4285" operator="greaterThan">
      <formula>0</formula>
    </cfRule>
    <cfRule type="cellIs" dxfId="1604" priority="4286" operator="lessThanOrEqual">
      <formula>0</formula>
    </cfRule>
  </conditionalFormatting>
  <conditionalFormatting sqref="BU40">
    <cfRule type="cellIs" dxfId="1603" priority="4283" operator="greaterThan">
      <formula>0</formula>
    </cfRule>
    <cfRule type="cellIs" dxfId="1602" priority="4284" operator="lessThanOrEqual">
      <formula>0</formula>
    </cfRule>
  </conditionalFormatting>
  <conditionalFormatting sqref="BU26">
    <cfRule type="cellIs" dxfId="1601" priority="4281" operator="greaterThan">
      <formula>0</formula>
    </cfRule>
    <cfRule type="cellIs" dxfId="1600" priority="4282" operator="lessThanOrEqual">
      <formula>0</formula>
    </cfRule>
  </conditionalFormatting>
  <conditionalFormatting sqref="BU66 BU68 BU71">
    <cfRule type="cellIs" dxfId="1599" priority="4279" operator="greaterThan">
      <formula>0</formula>
    </cfRule>
    <cfRule type="cellIs" dxfId="1598" priority="4280" operator="lessThanOrEqual">
      <formula>0</formula>
    </cfRule>
  </conditionalFormatting>
  <conditionalFormatting sqref="BT13:BT14 BT16:BT17 BT19:BT20 BT22:BT23 BT29:BT30 BT32:BT33 BT35:BT36 BT38:BT39 BT48:BT49 BT53:BT54">
    <cfRule type="cellIs" dxfId="1597" priority="4277" operator="lessThan">
      <formula>0</formula>
    </cfRule>
    <cfRule type="cellIs" dxfId="1596" priority="4278" operator="greaterThanOrEqual">
      <formula>0</formula>
    </cfRule>
  </conditionalFormatting>
  <conditionalFormatting sqref="BT15 BT18 BT21 BT24 BT26 BT31 BT34 BT37 BT40">
    <cfRule type="cellIs" dxfId="1595" priority="4276" operator="greaterThanOrEqual">
      <formula>0</formula>
    </cfRule>
  </conditionalFormatting>
  <conditionalFormatting sqref="BT15 BT18 BT21 BT24 BT26 BT31 BT34 BT37 BT40">
    <cfRule type="cellIs" dxfId="1594" priority="4275" operator="lessThan">
      <formula>0</formula>
    </cfRule>
  </conditionalFormatting>
  <conditionalFormatting sqref="BU73">
    <cfRule type="cellIs" dxfId="1593" priority="4273" operator="greaterThan">
      <formula>0</formula>
    </cfRule>
    <cfRule type="cellIs" dxfId="1592" priority="4274" operator="lessThanOrEqual">
      <formula>0</formula>
    </cfRule>
  </conditionalFormatting>
  <conditionalFormatting sqref="BU67">
    <cfRule type="cellIs" dxfId="1591" priority="4271" operator="greaterThan">
      <formula>0</formula>
    </cfRule>
    <cfRule type="cellIs" dxfId="1590" priority="4272" operator="lessThanOrEqual">
      <formula>0</formula>
    </cfRule>
  </conditionalFormatting>
  <conditionalFormatting sqref="BT67">
    <cfRule type="cellIs" dxfId="1589" priority="4269" operator="greaterThanOrEqual">
      <formula>0</formula>
    </cfRule>
    <cfRule type="cellIs" dxfId="1588" priority="4270" operator="lessThan">
      <formula>0</formula>
    </cfRule>
  </conditionalFormatting>
  <conditionalFormatting sqref="CA13:CA14 CA16:CA17 CA19:CA20 CA22:CA23 CA29:CA30 CA32:CA33 CA35:CA36 CA38:CA39 CA48:CA49">
    <cfRule type="cellIs" dxfId="1587" priority="4267" operator="lessThan">
      <formula>0</formula>
    </cfRule>
    <cfRule type="cellIs" dxfId="1586" priority="4268" operator="greaterThanOrEqual">
      <formula>0</formula>
    </cfRule>
  </conditionalFormatting>
  <conditionalFormatting sqref="CA15 CA24 CA18 CA21 CA31 CA34 CA37 CA40">
    <cfRule type="cellIs" dxfId="1585" priority="4266" operator="greaterThanOrEqual">
      <formula>0</formula>
    </cfRule>
  </conditionalFormatting>
  <conditionalFormatting sqref="CA15 CA24 CA18 CA21 CA31 CA34 CA37 CA40">
    <cfRule type="cellIs" dxfId="1584" priority="4265" operator="lessThan">
      <formula>0</formula>
    </cfRule>
  </conditionalFormatting>
  <conditionalFormatting sqref="CA71 CA73">
    <cfRule type="cellIs" dxfId="1583" priority="4263" operator="lessThan">
      <formula>0</formula>
    </cfRule>
    <cfRule type="cellIs" dxfId="1582" priority="4264" operator="greaterThanOrEqual">
      <formula>0</formula>
    </cfRule>
  </conditionalFormatting>
  <conditionalFormatting sqref="CA67">
    <cfRule type="cellIs" dxfId="1581" priority="4261" operator="greaterThanOrEqual">
      <formula>0</formula>
    </cfRule>
    <cfRule type="cellIs" dxfId="1580" priority="4262" operator="lessThan">
      <formula>0</formula>
    </cfRule>
  </conditionalFormatting>
  <conditionalFormatting sqref="CB13:CB14">
    <cfRule type="cellIs" dxfId="1579" priority="4259" operator="greaterThan">
      <formula>0</formula>
    </cfRule>
    <cfRule type="cellIs" dxfId="1578" priority="4260" operator="lessThanOrEqual">
      <formula>0</formula>
    </cfRule>
  </conditionalFormatting>
  <conditionalFormatting sqref="CB68">
    <cfRule type="cellIs" dxfId="1577" priority="4257" operator="lessThan">
      <formula>0</formula>
    </cfRule>
    <cfRule type="cellIs" dxfId="1576" priority="4258" operator="greaterThanOrEqual">
      <formula>0</formula>
    </cfRule>
  </conditionalFormatting>
  <conditionalFormatting sqref="CB15 CB24 CB18 CB21 CB31 CB34 CB37 CB40">
    <cfRule type="cellIs" dxfId="1575" priority="4256" operator="greaterThanOrEqual">
      <formula>0</formula>
    </cfRule>
  </conditionalFormatting>
  <conditionalFormatting sqref="CB15 CB24 CB18 CB21 CB31 CB34 CB37 CB40">
    <cfRule type="cellIs" dxfId="1574" priority="4255" operator="lessThan">
      <formula>0</formula>
    </cfRule>
  </conditionalFormatting>
  <conditionalFormatting sqref="CA68">
    <cfRule type="cellIs" dxfId="1573" priority="4253" operator="lessThan">
      <formula>0</formula>
    </cfRule>
    <cfRule type="cellIs" dxfId="1572" priority="4254" operator="greaterThanOrEqual">
      <formula>0</formula>
    </cfRule>
  </conditionalFormatting>
  <conditionalFormatting sqref="CB71 CB73">
    <cfRule type="cellIs" dxfId="1571" priority="4251" operator="lessThan">
      <formula>0</formula>
    </cfRule>
    <cfRule type="cellIs" dxfId="1570" priority="4252" operator="greaterThanOrEqual">
      <formula>0</formula>
    </cfRule>
  </conditionalFormatting>
  <conditionalFormatting sqref="CB67">
    <cfRule type="cellIs" dxfId="1569" priority="4249" operator="lessThan">
      <formula>0</formula>
    </cfRule>
    <cfRule type="cellIs" dxfId="1568" priority="4250" operator="greaterThanOrEqual">
      <formula>0</formula>
    </cfRule>
  </conditionalFormatting>
  <conditionalFormatting sqref="BT62">
    <cfRule type="cellIs" dxfId="1567" priority="4230" operator="greaterThanOrEqual">
      <formula>0</formula>
    </cfRule>
  </conditionalFormatting>
  <conditionalFormatting sqref="BT62">
    <cfRule type="cellIs" dxfId="1566" priority="4229" operator="lessThan">
      <formula>0</formula>
    </cfRule>
  </conditionalFormatting>
  <conditionalFormatting sqref="BU44">
    <cfRule type="cellIs" dxfId="1565" priority="4239" operator="greaterThan">
      <formula>0</formula>
    </cfRule>
    <cfRule type="cellIs" dxfId="1564" priority="4240" operator="lessThanOrEqual">
      <formula>0</formula>
    </cfRule>
  </conditionalFormatting>
  <conditionalFormatting sqref="BU47">
    <cfRule type="cellIs" dxfId="1563" priority="4237" operator="greaterThan">
      <formula>0</formula>
    </cfRule>
    <cfRule type="cellIs" dxfId="1562" priority="4238" operator="lessThanOrEqual">
      <formula>0</formula>
    </cfRule>
  </conditionalFormatting>
  <conditionalFormatting sqref="BU50">
    <cfRule type="cellIs" dxfId="1561" priority="4235" operator="greaterThan">
      <formula>0</formula>
    </cfRule>
    <cfRule type="cellIs" dxfId="1560" priority="4236" operator="lessThanOrEqual">
      <formula>0</formula>
    </cfRule>
  </conditionalFormatting>
  <conditionalFormatting sqref="BU28">
    <cfRule type="cellIs" dxfId="1559" priority="4247" operator="greaterThan">
      <formula>0</formula>
    </cfRule>
    <cfRule type="cellIs" dxfId="1558" priority="4248" operator="lessThanOrEqual">
      <formula>0</formula>
    </cfRule>
  </conditionalFormatting>
  <conditionalFormatting sqref="BU41">
    <cfRule type="cellIs" dxfId="1557" priority="4245" operator="greaterThan">
      <formula>0</formula>
    </cfRule>
    <cfRule type="cellIs" dxfId="1556" priority="4246" operator="lessThanOrEqual">
      <formula>0</formula>
    </cfRule>
  </conditionalFormatting>
  <conditionalFormatting sqref="BU42:BU43 BU45:BU46">
    <cfRule type="cellIs" dxfId="1555" priority="4243" operator="greaterThan">
      <formula>0</formula>
    </cfRule>
    <cfRule type="cellIs" dxfId="1554" priority="4244" operator="lessThanOrEqual">
      <formula>0</formula>
    </cfRule>
  </conditionalFormatting>
  <conditionalFormatting sqref="BU57:BU58 BU60:BU61">
    <cfRule type="cellIs" dxfId="1553" priority="4241" operator="greaterThan">
      <formula>0</formula>
    </cfRule>
    <cfRule type="cellIs" dxfId="1552" priority="4242" operator="lessThanOrEqual">
      <formula>0</formula>
    </cfRule>
  </conditionalFormatting>
  <conditionalFormatting sqref="BU59">
    <cfRule type="cellIs" dxfId="1551" priority="4233" operator="greaterThan">
      <formula>0</formula>
    </cfRule>
    <cfRule type="cellIs" dxfId="1550" priority="4234" operator="lessThanOrEqual">
      <formula>0</formula>
    </cfRule>
  </conditionalFormatting>
  <conditionalFormatting sqref="BU62">
    <cfRule type="cellIs" dxfId="1549" priority="4231" operator="greaterThan">
      <formula>0</formula>
    </cfRule>
    <cfRule type="cellIs" dxfId="1548" priority="4232" operator="lessThanOrEqual">
      <formula>0</formula>
    </cfRule>
  </conditionalFormatting>
  <conditionalFormatting sqref="BU65">
    <cfRule type="cellIs" dxfId="1547" priority="4227" operator="greaterThan">
      <formula>0</formula>
    </cfRule>
    <cfRule type="cellIs" dxfId="1546" priority="4228" operator="lessThanOrEqual">
      <formula>0</formula>
    </cfRule>
  </conditionalFormatting>
  <conditionalFormatting sqref="BY47">
    <cfRule type="cellIs" dxfId="1545" priority="3897" operator="greaterThan">
      <formula>0</formula>
    </cfRule>
    <cfRule type="cellIs" dxfId="1544" priority="3898" operator="lessThanOrEqual">
      <formula>0</formula>
    </cfRule>
  </conditionalFormatting>
  <conditionalFormatting sqref="BY59">
    <cfRule type="cellIs" dxfId="1543" priority="3893" operator="greaterThan">
      <formula>0</formula>
    </cfRule>
    <cfRule type="cellIs" dxfId="1542" priority="3894" operator="lessThanOrEqual">
      <formula>0</formula>
    </cfRule>
  </conditionalFormatting>
  <conditionalFormatting sqref="BX62">
    <cfRule type="cellIs" dxfId="1541" priority="3890" operator="greaterThanOrEqual">
      <formula>0</formula>
    </cfRule>
  </conditionalFormatting>
  <conditionalFormatting sqref="BX62">
    <cfRule type="cellIs" dxfId="1540" priority="3889" operator="lessThan">
      <formula>0</formula>
    </cfRule>
  </conditionalFormatting>
  <conditionalFormatting sqref="BU25">
    <cfRule type="cellIs" dxfId="1539" priority="4017" operator="greaterThan">
      <formula>0</formula>
    </cfRule>
    <cfRule type="cellIs" dxfId="1538" priority="4018" operator="lessThanOrEqual">
      <formula>0</formula>
    </cfRule>
  </conditionalFormatting>
  <conditionalFormatting sqref="CB52">
    <cfRule type="cellIs" dxfId="1537" priority="4005" operator="lessThan">
      <formula>0</formula>
    </cfRule>
  </conditionalFormatting>
  <conditionalFormatting sqref="BU56">
    <cfRule type="cellIs" dxfId="1536" priority="4015" operator="greaterThan">
      <formula>0</formula>
    </cfRule>
    <cfRule type="cellIs" dxfId="1535" priority="4016" operator="lessThanOrEqual">
      <formula>0</formula>
    </cfRule>
  </conditionalFormatting>
  <conditionalFormatting sqref="BT56">
    <cfRule type="cellIs" dxfId="1534" priority="4014" operator="greaterThanOrEqual">
      <formula>0</formula>
    </cfRule>
  </conditionalFormatting>
  <conditionalFormatting sqref="BT56">
    <cfRule type="cellIs" dxfId="1533" priority="4013" operator="lessThan">
      <formula>0</formula>
    </cfRule>
  </conditionalFormatting>
  <conditionalFormatting sqref="BU52">
    <cfRule type="cellIs" dxfId="1532" priority="4011" operator="greaterThan">
      <formula>0</formula>
    </cfRule>
    <cfRule type="cellIs" dxfId="1531" priority="4012" operator="lessThanOrEqual">
      <formula>0</formula>
    </cfRule>
  </conditionalFormatting>
  <conditionalFormatting sqref="BT52">
    <cfRule type="cellIs" dxfId="1530" priority="4010" operator="greaterThanOrEqual">
      <formula>0</formula>
    </cfRule>
  </conditionalFormatting>
  <conditionalFormatting sqref="BT52">
    <cfRule type="cellIs" dxfId="1529" priority="4009" operator="lessThan">
      <formula>0</formula>
    </cfRule>
  </conditionalFormatting>
  <conditionalFormatting sqref="CA52">
    <cfRule type="cellIs" dxfId="1528" priority="4008" operator="greaterThanOrEqual">
      <formula>0</formula>
    </cfRule>
  </conditionalFormatting>
  <conditionalFormatting sqref="CA52">
    <cfRule type="cellIs" dxfId="1527" priority="4007" operator="lessThan">
      <formula>0</formula>
    </cfRule>
  </conditionalFormatting>
  <conditionalFormatting sqref="CB52">
    <cfRule type="cellIs" dxfId="1526" priority="4006" operator="greaterThanOrEqual">
      <formula>0</formula>
    </cfRule>
  </conditionalFormatting>
  <conditionalFormatting sqref="BU69">
    <cfRule type="cellIs" dxfId="1525" priority="4003" operator="greaterThan">
      <formula>0</formula>
    </cfRule>
    <cfRule type="cellIs" dxfId="1524" priority="4004" operator="lessThanOrEqual">
      <formula>0</formula>
    </cfRule>
  </conditionalFormatting>
  <conditionalFormatting sqref="CA69">
    <cfRule type="cellIs" dxfId="1523" priority="4001" operator="lessThan">
      <formula>0</formula>
    </cfRule>
    <cfRule type="cellIs" dxfId="1522" priority="4002" operator="greaterThanOrEqual">
      <formula>0</formula>
    </cfRule>
  </conditionalFormatting>
  <conditionalFormatting sqref="CB69">
    <cfRule type="cellIs" dxfId="1521" priority="3999" operator="lessThan">
      <formula>0</formula>
    </cfRule>
    <cfRule type="cellIs" dxfId="1520" priority="4000" operator="greaterThanOrEqual">
      <formula>0</formula>
    </cfRule>
  </conditionalFormatting>
  <conditionalFormatting sqref="BU70">
    <cfRule type="cellIs" dxfId="1519" priority="3997" operator="greaterThan">
      <formula>0</formula>
    </cfRule>
    <cfRule type="cellIs" dxfId="1518" priority="3998" operator="lessThanOrEqual">
      <formula>0</formula>
    </cfRule>
  </conditionalFormatting>
  <conditionalFormatting sqref="CA72">
    <cfRule type="cellIs" dxfId="1517" priority="3995" operator="lessThan">
      <formula>0</formula>
    </cfRule>
    <cfRule type="cellIs" dxfId="1516" priority="3996" operator="greaterThanOrEqual">
      <formula>0</formula>
    </cfRule>
  </conditionalFormatting>
  <conditionalFormatting sqref="BU72">
    <cfRule type="cellIs" dxfId="1515" priority="3993" operator="greaterThan">
      <formula>0</formula>
    </cfRule>
    <cfRule type="cellIs" dxfId="1514" priority="3994" operator="lessThanOrEqual">
      <formula>0</formula>
    </cfRule>
  </conditionalFormatting>
  <conditionalFormatting sqref="BT25">
    <cfRule type="cellIs" dxfId="1513" priority="3992" operator="greaterThanOrEqual">
      <formula>0</formula>
    </cfRule>
  </conditionalFormatting>
  <conditionalFormatting sqref="BT25">
    <cfRule type="cellIs" dxfId="1512" priority="3991" operator="lessThan">
      <formula>0</formula>
    </cfRule>
  </conditionalFormatting>
  <conditionalFormatting sqref="BT28">
    <cfRule type="cellIs" dxfId="1511" priority="3990" operator="greaterThanOrEqual">
      <formula>0</formula>
    </cfRule>
  </conditionalFormatting>
  <conditionalFormatting sqref="BT28">
    <cfRule type="cellIs" dxfId="1510" priority="3989" operator="lessThan">
      <formula>0</formula>
    </cfRule>
  </conditionalFormatting>
  <conditionalFormatting sqref="BT41">
    <cfRule type="cellIs" dxfId="1509" priority="3988" operator="greaterThanOrEqual">
      <formula>0</formula>
    </cfRule>
  </conditionalFormatting>
  <conditionalFormatting sqref="BT41">
    <cfRule type="cellIs" dxfId="1508" priority="3987" operator="lessThan">
      <formula>0</formula>
    </cfRule>
  </conditionalFormatting>
  <conditionalFormatting sqref="BT44">
    <cfRule type="cellIs" dxfId="1507" priority="3986" operator="greaterThanOrEqual">
      <formula>0</formula>
    </cfRule>
  </conditionalFormatting>
  <conditionalFormatting sqref="BT44">
    <cfRule type="cellIs" dxfId="1506" priority="3985" operator="lessThan">
      <formula>0</formula>
    </cfRule>
  </conditionalFormatting>
  <conditionalFormatting sqref="BT47">
    <cfRule type="cellIs" dxfId="1505" priority="3984" operator="greaterThanOrEqual">
      <formula>0</formula>
    </cfRule>
  </conditionalFormatting>
  <conditionalFormatting sqref="BT47">
    <cfRule type="cellIs" dxfId="1504" priority="3983" operator="lessThan">
      <formula>0</formula>
    </cfRule>
  </conditionalFormatting>
  <conditionalFormatting sqref="BT50">
    <cfRule type="cellIs" dxfId="1503" priority="3982" operator="greaterThanOrEqual">
      <formula>0</formula>
    </cfRule>
  </conditionalFormatting>
  <conditionalFormatting sqref="BT50">
    <cfRule type="cellIs" dxfId="1502" priority="3981" operator="lessThan">
      <formula>0</formula>
    </cfRule>
  </conditionalFormatting>
  <conditionalFormatting sqref="BT51">
    <cfRule type="cellIs" dxfId="1501" priority="3980" operator="greaterThanOrEqual">
      <formula>0</formula>
    </cfRule>
  </conditionalFormatting>
  <conditionalFormatting sqref="BT51">
    <cfRule type="cellIs" dxfId="1500" priority="3979" operator="lessThan">
      <formula>0</formula>
    </cfRule>
  </conditionalFormatting>
  <conditionalFormatting sqref="BT59">
    <cfRule type="cellIs" dxfId="1499" priority="3978" operator="greaterThanOrEqual">
      <formula>0</formula>
    </cfRule>
  </conditionalFormatting>
  <conditionalFormatting sqref="BT59">
    <cfRule type="cellIs" dxfId="1498" priority="3977" operator="lessThan">
      <formula>0</formula>
    </cfRule>
  </conditionalFormatting>
  <conditionalFormatting sqref="BT65">
    <cfRule type="cellIs" dxfId="1497" priority="3976" operator="greaterThanOrEqual">
      <formula>0</formula>
    </cfRule>
  </conditionalFormatting>
  <conditionalFormatting sqref="BT65">
    <cfRule type="cellIs" dxfId="1496" priority="3975" operator="lessThan">
      <formula>0</formula>
    </cfRule>
  </conditionalFormatting>
  <conditionalFormatting sqref="BT66">
    <cfRule type="cellIs" dxfId="1495" priority="3974" operator="greaterThanOrEqual">
      <formula>0</formula>
    </cfRule>
  </conditionalFormatting>
  <conditionalFormatting sqref="BT66">
    <cfRule type="cellIs" dxfId="1494" priority="3973" operator="lessThan">
      <formula>0</formula>
    </cfRule>
  </conditionalFormatting>
  <conditionalFormatting sqref="BT68:BT70">
    <cfRule type="cellIs" dxfId="1493" priority="3971" operator="lessThan">
      <formula>0</formula>
    </cfRule>
    <cfRule type="cellIs" dxfId="1492" priority="3972" operator="greaterThanOrEqual">
      <formula>0</formula>
    </cfRule>
  </conditionalFormatting>
  <conditionalFormatting sqref="BT71:BT72">
    <cfRule type="cellIs" dxfId="1491" priority="3970" operator="greaterThanOrEqual">
      <formula>0</formula>
    </cfRule>
  </conditionalFormatting>
  <conditionalFormatting sqref="BT71:BT72">
    <cfRule type="cellIs" dxfId="1490" priority="3969" operator="lessThan">
      <formula>0</formula>
    </cfRule>
  </conditionalFormatting>
  <conditionalFormatting sqref="BT73">
    <cfRule type="cellIs" dxfId="1489" priority="3968" operator="greaterThanOrEqual">
      <formula>0</formula>
    </cfRule>
  </conditionalFormatting>
  <conditionalFormatting sqref="BT73">
    <cfRule type="cellIs" dxfId="1488" priority="3967" operator="lessThan">
      <formula>0</formula>
    </cfRule>
  </conditionalFormatting>
  <conditionalFormatting sqref="BT42:BT43">
    <cfRule type="cellIs" dxfId="1487" priority="3965" operator="lessThan">
      <formula>0</formula>
    </cfRule>
    <cfRule type="cellIs" dxfId="1486" priority="3966" operator="greaterThanOrEqual">
      <formula>0</formula>
    </cfRule>
  </conditionalFormatting>
  <conditionalFormatting sqref="BT45:BT46">
    <cfRule type="cellIs" dxfId="1485" priority="3963" operator="lessThan">
      <formula>0</formula>
    </cfRule>
    <cfRule type="cellIs" dxfId="1484" priority="3964" operator="greaterThanOrEqual">
      <formula>0</formula>
    </cfRule>
  </conditionalFormatting>
  <conditionalFormatting sqref="BT57:BT58">
    <cfRule type="cellIs" dxfId="1483" priority="3961" operator="lessThan">
      <formula>0</formula>
    </cfRule>
    <cfRule type="cellIs" dxfId="1482" priority="3962" operator="greaterThanOrEqual">
      <formula>0</formula>
    </cfRule>
  </conditionalFormatting>
  <conditionalFormatting sqref="BT60:BT61">
    <cfRule type="cellIs" dxfId="1481" priority="3959" operator="lessThan">
      <formula>0</formula>
    </cfRule>
    <cfRule type="cellIs" dxfId="1480" priority="3960" operator="greaterThanOrEqual">
      <formula>0</formula>
    </cfRule>
  </conditionalFormatting>
  <conditionalFormatting sqref="BT63:BT64">
    <cfRule type="cellIs" dxfId="1479" priority="3957" operator="lessThan">
      <formula>0</formula>
    </cfRule>
    <cfRule type="cellIs" dxfId="1478" priority="3958" operator="greaterThanOrEqual">
      <formula>0</formula>
    </cfRule>
  </conditionalFormatting>
  <conditionalFormatting sqref="BY13:BY14">
    <cfRule type="cellIs" dxfId="1477" priority="3955" operator="greaterThan">
      <formula>0</formula>
    </cfRule>
    <cfRule type="cellIs" dxfId="1476" priority="3956" operator="lessThanOrEqual">
      <formula>0</formula>
    </cfRule>
  </conditionalFormatting>
  <conditionalFormatting sqref="BY16:BY17">
    <cfRule type="cellIs" dxfId="1475" priority="3953" operator="greaterThan">
      <formula>0</formula>
    </cfRule>
    <cfRule type="cellIs" dxfId="1474" priority="3954" operator="lessThanOrEqual">
      <formula>0</formula>
    </cfRule>
  </conditionalFormatting>
  <conditionalFormatting sqref="BY19:BY20">
    <cfRule type="cellIs" dxfId="1473" priority="3951" operator="greaterThan">
      <formula>0</formula>
    </cfRule>
    <cfRule type="cellIs" dxfId="1472" priority="3952" operator="lessThanOrEqual">
      <formula>0</formula>
    </cfRule>
  </conditionalFormatting>
  <conditionalFormatting sqref="BY29:BY30">
    <cfRule type="cellIs" dxfId="1471" priority="3949" operator="greaterThan">
      <formula>0</formula>
    </cfRule>
    <cfRule type="cellIs" dxfId="1470" priority="3950" operator="lessThanOrEqual">
      <formula>0</formula>
    </cfRule>
  </conditionalFormatting>
  <conditionalFormatting sqref="BY22:BY23">
    <cfRule type="cellIs" dxfId="1469" priority="3947" operator="greaterThan">
      <formula>0</formula>
    </cfRule>
    <cfRule type="cellIs" dxfId="1468" priority="3948" operator="lessThanOrEqual">
      <formula>0</formula>
    </cfRule>
  </conditionalFormatting>
  <conditionalFormatting sqref="BY32:BY33">
    <cfRule type="cellIs" dxfId="1467" priority="3945" operator="greaterThan">
      <formula>0</formula>
    </cfRule>
    <cfRule type="cellIs" dxfId="1466" priority="3946" operator="lessThanOrEqual">
      <formula>0</formula>
    </cfRule>
  </conditionalFormatting>
  <conditionalFormatting sqref="BY35:BY36">
    <cfRule type="cellIs" dxfId="1465" priority="3943" operator="greaterThan">
      <formula>0</formula>
    </cfRule>
    <cfRule type="cellIs" dxfId="1464" priority="3944" operator="lessThanOrEqual">
      <formula>0</formula>
    </cfRule>
  </conditionalFormatting>
  <conditionalFormatting sqref="BY38:BY39">
    <cfRule type="cellIs" dxfId="1463" priority="3941" operator="greaterThan">
      <formula>0</formula>
    </cfRule>
    <cfRule type="cellIs" dxfId="1462" priority="3942" operator="lessThanOrEqual">
      <formula>0</formula>
    </cfRule>
  </conditionalFormatting>
  <conditionalFormatting sqref="BY48:BY49">
    <cfRule type="cellIs" dxfId="1461" priority="3939" operator="greaterThan">
      <formula>0</formula>
    </cfRule>
    <cfRule type="cellIs" dxfId="1460" priority="3940" operator="lessThanOrEqual">
      <formula>0</formula>
    </cfRule>
  </conditionalFormatting>
  <conditionalFormatting sqref="BY63:BY64">
    <cfRule type="cellIs" dxfId="1459" priority="3937" operator="greaterThan">
      <formula>0</formula>
    </cfRule>
    <cfRule type="cellIs" dxfId="1458" priority="3938" operator="lessThanOrEqual">
      <formula>0</formula>
    </cfRule>
  </conditionalFormatting>
  <conditionalFormatting sqref="BY53:BY54">
    <cfRule type="cellIs" dxfId="1457" priority="3935" operator="greaterThan">
      <formula>0</formula>
    </cfRule>
    <cfRule type="cellIs" dxfId="1456" priority="3936" operator="lessThanOrEqual">
      <formula>0</formula>
    </cfRule>
  </conditionalFormatting>
  <conditionalFormatting sqref="BY15">
    <cfRule type="cellIs" dxfId="1455" priority="3933" operator="greaterThan">
      <formula>0</formula>
    </cfRule>
    <cfRule type="cellIs" dxfId="1454" priority="3934" operator="lessThanOrEqual">
      <formula>0</formula>
    </cfRule>
  </conditionalFormatting>
  <conditionalFormatting sqref="BY18">
    <cfRule type="cellIs" dxfId="1453" priority="3931" operator="greaterThan">
      <formula>0</formula>
    </cfRule>
    <cfRule type="cellIs" dxfId="1452" priority="3932" operator="lessThanOrEqual">
      <formula>0</formula>
    </cfRule>
  </conditionalFormatting>
  <conditionalFormatting sqref="BY21">
    <cfRule type="cellIs" dxfId="1451" priority="3929" operator="greaterThan">
      <formula>0</formula>
    </cfRule>
    <cfRule type="cellIs" dxfId="1450" priority="3930" operator="lessThanOrEqual">
      <formula>0</formula>
    </cfRule>
  </conditionalFormatting>
  <conditionalFormatting sqref="BY31">
    <cfRule type="cellIs" dxfId="1449" priority="3927" operator="greaterThan">
      <formula>0</formula>
    </cfRule>
    <cfRule type="cellIs" dxfId="1448" priority="3928" operator="lessThanOrEqual">
      <formula>0</formula>
    </cfRule>
  </conditionalFormatting>
  <conditionalFormatting sqref="BY24">
    <cfRule type="cellIs" dxfId="1447" priority="3925" operator="greaterThan">
      <formula>0</formula>
    </cfRule>
    <cfRule type="cellIs" dxfId="1446" priority="3926" operator="lessThanOrEqual">
      <formula>0</formula>
    </cfRule>
  </conditionalFormatting>
  <conditionalFormatting sqref="BY34">
    <cfRule type="cellIs" dxfId="1445" priority="3923" operator="greaterThan">
      <formula>0</formula>
    </cfRule>
    <cfRule type="cellIs" dxfId="1444" priority="3924" operator="lessThanOrEqual">
      <formula>0</formula>
    </cfRule>
  </conditionalFormatting>
  <conditionalFormatting sqref="BY37">
    <cfRule type="cellIs" dxfId="1443" priority="3921" operator="greaterThan">
      <formula>0</formula>
    </cfRule>
    <cfRule type="cellIs" dxfId="1442" priority="3922" operator="lessThanOrEqual">
      <formula>0</formula>
    </cfRule>
  </conditionalFormatting>
  <conditionalFormatting sqref="BY40">
    <cfRule type="cellIs" dxfId="1441" priority="3919" operator="greaterThan">
      <formula>0</formula>
    </cfRule>
    <cfRule type="cellIs" dxfId="1440" priority="3920" operator="lessThanOrEqual">
      <formula>0</formula>
    </cfRule>
  </conditionalFormatting>
  <conditionalFormatting sqref="BY26">
    <cfRule type="cellIs" dxfId="1439" priority="3917" operator="greaterThan">
      <formula>0</formula>
    </cfRule>
    <cfRule type="cellIs" dxfId="1438" priority="3918" operator="lessThanOrEqual">
      <formula>0</formula>
    </cfRule>
  </conditionalFormatting>
  <conditionalFormatting sqref="BY66">
    <cfRule type="cellIs" dxfId="1437" priority="3915" operator="greaterThan">
      <formula>0</formula>
    </cfRule>
    <cfRule type="cellIs" dxfId="1436" priority="3916" operator="lessThanOrEqual">
      <formula>0</formula>
    </cfRule>
  </conditionalFormatting>
  <conditionalFormatting sqref="BX13:BX14 BX16:BX17 BX19:BX20 BX22:BX23 BX29:BX30 BX32:BX33 BX35:BX36 BX38:BX39 BX48:BX49 BX53:BX54">
    <cfRule type="cellIs" dxfId="1435" priority="3913" operator="lessThan">
      <formula>0</formula>
    </cfRule>
    <cfRule type="cellIs" dxfId="1434" priority="3914" operator="greaterThanOrEqual">
      <formula>0</formula>
    </cfRule>
  </conditionalFormatting>
  <conditionalFormatting sqref="BX15 BX18 BX21 BX24 BX26 BX31 BX34 BX37 BX40">
    <cfRule type="cellIs" dxfId="1433" priority="3912" operator="greaterThanOrEqual">
      <formula>0</formula>
    </cfRule>
  </conditionalFormatting>
  <conditionalFormatting sqref="BX15 BX18 BX21 BX24 BX26 BX31 BX34 BX37 BX40">
    <cfRule type="cellIs" dxfId="1432" priority="3911" operator="lessThan">
      <formula>0</formula>
    </cfRule>
  </conditionalFormatting>
  <conditionalFormatting sqref="BY51">
    <cfRule type="cellIs" dxfId="1431" priority="3905" operator="greaterThan">
      <formula>0</formula>
    </cfRule>
    <cfRule type="cellIs" dxfId="1430" priority="3906" operator="lessThanOrEqual">
      <formula>0</formula>
    </cfRule>
  </conditionalFormatting>
  <conditionalFormatting sqref="BY44">
    <cfRule type="cellIs" dxfId="1429" priority="3899" operator="greaterThan">
      <formula>0</formula>
    </cfRule>
    <cfRule type="cellIs" dxfId="1428" priority="3900" operator="lessThanOrEqual">
      <formula>0</formula>
    </cfRule>
  </conditionalFormatting>
  <conditionalFormatting sqref="BY50">
    <cfRule type="cellIs" dxfId="1427" priority="3895" operator="greaterThan">
      <formula>0</formula>
    </cfRule>
    <cfRule type="cellIs" dxfId="1426" priority="3896" operator="lessThanOrEqual">
      <formula>0</formula>
    </cfRule>
  </conditionalFormatting>
  <conditionalFormatting sqref="BY28">
    <cfRule type="cellIs" dxfId="1425" priority="3909" operator="greaterThan">
      <formula>0</formula>
    </cfRule>
    <cfRule type="cellIs" dxfId="1424" priority="3910" operator="lessThanOrEqual">
      <formula>0</formula>
    </cfRule>
  </conditionalFormatting>
  <conditionalFormatting sqref="BY41">
    <cfRule type="cellIs" dxfId="1423" priority="3907" operator="greaterThan">
      <formula>0</formula>
    </cfRule>
    <cfRule type="cellIs" dxfId="1422" priority="3908" operator="lessThanOrEqual">
      <formula>0</formula>
    </cfRule>
  </conditionalFormatting>
  <conditionalFormatting sqref="BY42:BY43 BY45:BY46">
    <cfRule type="cellIs" dxfId="1421" priority="3903" operator="greaterThan">
      <formula>0</formula>
    </cfRule>
    <cfRule type="cellIs" dxfId="1420" priority="3904" operator="lessThanOrEqual">
      <formula>0</formula>
    </cfRule>
  </conditionalFormatting>
  <conditionalFormatting sqref="BY57:BY58 BY60:BY61">
    <cfRule type="cellIs" dxfId="1419" priority="3901" operator="greaterThan">
      <formula>0</formula>
    </cfRule>
    <cfRule type="cellIs" dxfId="1418" priority="3902" operator="lessThanOrEqual">
      <formula>0</formula>
    </cfRule>
  </conditionalFormatting>
  <conditionalFormatting sqref="BY62">
    <cfRule type="cellIs" dxfId="1417" priority="3891" operator="greaterThan">
      <formula>0</formula>
    </cfRule>
    <cfRule type="cellIs" dxfId="1416" priority="3892" operator="lessThanOrEqual">
      <formula>0</formula>
    </cfRule>
  </conditionalFormatting>
  <conditionalFormatting sqref="BY65">
    <cfRule type="cellIs" dxfId="1415" priority="3887" operator="greaterThan">
      <formula>0</formula>
    </cfRule>
    <cfRule type="cellIs" dxfId="1414" priority="3888" operator="lessThanOrEqual">
      <formula>0</formula>
    </cfRule>
  </conditionalFormatting>
  <conditionalFormatting sqref="BY25">
    <cfRule type="cellIs" dxfId="1413" priority="3885" operator="greaterThan">
      <formula>0</formula>
    </cfRule>
    <cfRule type="cellIs" dxfId="1412" priority="3886" operator="lessThanOrEqual">
      <formula>0</formula>
    </cfRule>
  </conditionalFormatting>
  <conditionalFormatting sqref="BY56">
    <cfRule type="cellIs" dxfId="1411" priority="3883" operator="greaterThan">
      <formula>0</formula>
    </cfRule>
    <cfRule type="cellIs" dxfId="1410" priority="3884" operator="lessThanOrEqual">
      <formula>0</formula>
    </cfRule>
  </conditionalFormatting>
  <conditionalFormatting sqref="BX56">
    <cfRule type="cellIs" dxfId="1409" priority="3882" operator="greaterThanOrEqual">
      <formula>0</formula>
    </cfRule>
  </conditionalFormatting>
  <conditionalFormatting sqref="BX56">
    <cfRule type="cellIs" dxfId="1408" priority="3881" operator="lessThan">
      <formula>0</formula>
    </cfRule>
  </conditionalFormatting>
  <conditionalFormatting sqref="BY52">
    <cfRule type="cellIs" dxfId="1407" priority="3879" operator="greaterThan">
      <formula>0</formula>
    </cfRule>
    <cfRule type="cellIs" dxfId="1406" priority="3880" operator="lessThanOrEqual">
      <formula>0</formula>
    </cfRule>
  </conditionalFormatting>
  <conditionalFormatting sqref="BX52">
    <cfRule type="cellIs" dxfId="1405" priority="3878" operator="greaterThanOrEqual">
      <formula>0</formula>
    </cfRule>
  </conditionalFormatting>
  <conditionalFormatting sqref="BX52">
    <cfRule type="cellIs" dxfId="1404" priority="3877" operator="lessThan">
      <formula>0</formula>
    </cfRule>
  </conditionalFormatting>
  <conditionalFormatting sqref="BX25">
    <cfRule type="cellIs" dxfId="1403" priority="3876" operator="greaterThanOrEqual">
      <formula>0</formula>
    </cfRule>
  </conditionalFormatting>
  <conditionalFormatting sqref="BX25">
    <cfRule type="cellIs" dxfId="1402" priority="3875" operator="lessThan">
      <formula>0</formula>
    </cfRule>
  </conditionalFormatting>
  <conditionalFormatting sqref="BX28">
    <cfRule type="cellIs" dxfId="1401" priority="3874" operator="greaterThanOrEqual">
      <formula>0</formula>
    </cfRule>
  </conditionalFormatting>
  <conditionalFormatting sqref="BX28">
    <cfRule type="cellIs" dxfId="1400" priority="3873" operator="lessThan">
      <formula>0</formula>
    </cfRule>
  </conditionalFormatting>
  <conditionalFormatting sqref="BX41">
    <cfRule type="cellIs" dxfId="1399" priority="3872" operator="greaterThanOrEqual">
      <formula>0</formula>
    </cfRule>
  </conditionalFormatting>
  <conditionalFormatting sqref="BX41">
    <cfRule type="cellIs" dxfId="1398" priority="3871" operator="lessThan">
      <formula>0</formula>
    </cfRule>
  </conditionalFormatting>
  <conditionalFormatting sqref="BX44">
    <cfRule type="cellIs" dxfId="1397" priority="3870" operator="greaterThanOrEqual">
      <formula>0</formula>
    </cfRule>
  </conditionalFormatting>
  <conditionalFormatting sqref="BX44">
    <cfRule type="cellIs" dxfId="1396" priority="3869" operator="lessThan">
      <formula>0</formula>
    </cfRule>
  </conditionalFormatting>
  <conditionalFormatting sqref="BX47">
    <cfRule type="cellIs" dxfId="1395" priority="3868" operator="greaterThanOrEqual">
      <formula>0</formula>
    </cfRule>
  </conditionalFormatting>
  <conditionalFormatting sqref="BX47">
    <cfRule type="cellIs" dxfId="1394" priority="3867" operator="lessThan">
      <formula>0</formula>
    </cfRule>
  </conditionalFormatting>
  <conditionalFormatting sqref="BX50">
    <cfRule type="cellIs" dxfId="1393" priority="3866" operator="greaterThanOrEqual">
      <formula>0</formula>
    </cfRule>
  </conditionalFormatting>
  <conditionalFormatting sqref="BX50">
    <cfRule type="cellIs" dxfId="1392" priority="3865" operator="lessThan">
      <formula>0</formula>
    </cfRule>
  </conditionalFormatting>
  <conditionalFormatting sqref="BX51">
    <cfRule type="cellIs" dxfId="1391" priority="3864" operator="greaterThanOrEqual">
      <formula>0</formula>
    </cfRule>
  </conditionalFormatting>
  <conditionalFormatting sqref="BX51">
    <cfRule type="cellIs" dxfId="1390" priority="3863" operator="lessThan">
      <formula>0</formula>
    </cfRule>
  </conditionalFormatting>
  <conditionalFormatting sqref="BX59">
    <cfRule type="cellIs" dxfId="1389" priority="3862" operator="greaterThanOrEqual">
      <formula>0</formula>
    </cfRule>
  </conditionalFormatting>
  <conditionalFormatting sqref="BX59">
    <cfRule type="cellIs" dxfId="1388" priority="3861" operator="lessThan">
      <formula>0</formula>
    </cfRule>
  </conditionalFormatting>
  <conditionalFormatting sqref="BX65">
    <cfRule type="cellIs" dxfId="1387" priority="3860" operator="greaterThanOrEqual">
      <formula>0</formula>
    </cfRule>
  </conditionalFormatting>
  <conditionalFormatting sqref="BX65">
    <cfRule type="cellIs" dxfId="1386" priority="3859" operator="lessThan">
      <formula>0</formula>
    </cfRule>
  </conditionalFormatting>
  <conditionalFormatting sqref="BX66">
    <cfRule type="cellIs" dxfId="1385" priority="3858" operator="greaterThanOrEqual">
      <formula>0</formula>
    </cfRule>
  </conditionalFormatting>
  <conditionalFormatting sqref="BX66">
    <cfRule type="cellIs" dxfId="1384" priority="3857" operator="lessThan">
      <formula>0</formula>
    </cfRule>
  </conditionalFormatting>
  <conditionalFormatting sqref="BX42:BX43">
    <cfRule type="cellIs" dxfId="1383" priority="3855" operator="lessThan">
      <formula>0</formula>
    </cfRule>
    <cfRule type="cellIs" dxfId="1382" priority="3856" operator="greaterThanOrEqual">
      <formula>0</formula>
    </cfRule>
  </conditionalFormatting>
  <conditionalFormatting sqref="BX45:BX46">
    <cfRule type="cellIs" dxfId="1381" priority="3853" operator="lessThan">
      <formula>0</formula>
    </cfRule>
    <cfRule type="cellIs" dxfId="1380" priority="3854" operator="greaterThanOrEqual">
      <formula>0</formula>
    </cfRule>
  </conditionalFormatting>
  <conditionalFormatting sqref="BX57:BX58">
    <cfRule type="cellIs" dxfId="1379" priority="3851" operator="lessThan">
      <formula>0</formula>
    </cfRule>
    <cfRule type="cellIs" dxfId="1378" priority="3852" operator="greaterThanOrEqual">
      <formula>0</formula>
    </cfRule>
  </conditionalFormatting>
  <conditionalFormatting sqref="BX60:BX61">
    <cfRule type="cellIs" dxfId="1377" priority="3849" operator="lessThan">
      <formula>0</formula>
    </cfRule>
    <cfRule type="cellIs" dxfId="1376" priority="3850" operator="greaterThanOrEqual">
      <formula>0</formula>
    </cfRule>
  </conditionalFormatting>
  <conditionalFormatting sqref="BX63:BX64">
    <cfRule type="cellIs" dxfId="1375" priority="3847" operator="lessThan">
      <formula>0</formula>
    </cfRule>
    <cfRule type="cellIs" dxfId="1374" priority="3848" operator="greaterThanOrEqual">
      <formula>0</formula>
    </cfRule>
  </conditionalFormatting>
  <conditionalFormatting sqref="BY68 BY71">
    <cfRule type="cellIs" dxfId="1373" priority="3845" operator="greaterThan">
      <formula>0</formula>
    </cfRule>
    <cfRule type="cellIs" dxfId="1372" priority="3846" operator="lessThanOrEqual">
      <formula>0</formula>
    </cfRule>
  </conditionalFormatting>
  <conditionalFormatting sqref="BY73">
    <cfRule type="cellIs" dxfId="1371" priority="3843" operator="greaterThan">
      <formula>0</formula>
    </cfRule>
    <cfRule type="cellIs" dxfId="1370" priority="3844" operator="lessThanOrEqual">
      <formula>0</formula>
    </cfRule>
  </conditionalFormatting>
  <conditionalFormatting sqref="BY69">
    <cfRule type="cellIs" dxfId="1369" priority="3841" operator="greaterThan">
      <formula>0</formula>
    </cfRule>
    <cfRule type="cellIs" dxfId="1368" priority="3842" operator="lessThanOrEqual">
      <formula>0</formula>
    </cfRule>
  </conditionalFormatting>
  <conditionalFormatting sqref="BY70">
    <cfRule type="cellIs" dxfId="1367" priority="3839" operator="greaterThan">
      <formula>0</formula>
    </cfRule>
    <cfRule type="cellIs" dxfId="1366" priority="3840" operator="lessThanOrEqual">
      <formula>0</formula>
    </cfRule>
  </conditionalFormatting>
  <conditionalFormatting sqref="BY72">
    <cfRule type="cellIs" dxfId="1365" priority="3837" operator="greaterThan">
      <formula>0</formula>
    </cfRule>
    <cfRule type="cellIs" dxfId="1364" priority="3838" operator="lessThanOrEqual">
      <formula>0</formula>
    </cfRule>
  </conditionalFormatting>
  <conditionalFormatting sqref="BX68:BX70">
    <cfRule type="cellIs" dxfId="1363" priority="3835" operator="lessThan">
      <formula>0</formula>
    </cfRule>
    <cfRule type="cellIs" dxfId="1362" priority="3836" operator="greaterThanOrEqual">
      <formula>0</formula>
    </cfRule>
  </conditionalFormatting>
  <conditionalFormatting sqref="BX71:BX72">
    <cfRule type="cellIs" dxfId="1361" priority="3834" operator="greaterThanOrEqual">
      <formula>0</formula>
    </cfRule>
  </conditionalFormatting>
  <conditionalFormatting sqref="BX71:BX72">
    <cfRule type="cellIs" dxfId="1360" priority="3833" operator="lessThan">
      <formula>0</formula>
    </cfRule>
  </conditionalFormatting>
  <conditionalFormatting sqref="BX73">
    <cfRule type="cellIs" dxfId="1359" priority="3832" operator="greaterThanOrEqual">
      <formula>0</formula>
    </cfRule>
  </conditionalFormatting>
  <conditionalFormatting sqref="BX73">
    <cfRule type="cellIs" dxfId="1358" priority="3831" operator="lessThan">
      <formula>0</formula>
    </cfRule>
  </conditionalFormatting>
  <conditionalFormatting sqref="BY67">
    <cfRule type="cellIs" dxfId="1357" priority="3829" operator="greaterThan">
      <formula>0</formula>
    </cfRule>
    <cfRule type="cellIs" dxfId="1356" priority="3830" operator="lessThanOrEqual">
      <formula>0</formula>
    </cfRule>
  </conditionalFormatting>
  <conditionalFormatting sqref="BX67">
    <cfRule type="cellIs" dxfId="1355" priority="3827" operator="greaterThanOrEqual">
      <formula>0</formula>
    </cfRule>
    <cfRule type="cellIs" dxfId="1354" priority="3828" operator="lessThan">
      <formula>0</formula>
    </cfRule>
  </conditionalFormatting>
  <conditionalFormatting sqref="BU51">
    <cfRule type="cellIs" dxfId="1353" priority="3825" operator="greaterThan">
      <formula>0</formula>
    </cfRule>
    <cfRule type="cellIs" dxfId="1352" priority="3826" operator="lessThanOrEqual">
      <formula>0</formula>
    </cfRule>
  </conditionalFormatting>
  <conditionalFormatting sqref="CA42:CA43">
    <cfRule type="cellIs" dxfId="1351" priority="3823" operator="lessThan">
      <formula>0</formula>
    </cfRule>
    <cfRule type="cellIs" dxfId="1350" priority="3824" operator="greaterThanOrEqual">
      <formula>0</formula>
    </cfRule>
  </conditionalFormatting>
  <conditionalFormatting sqref="CA45:CA46">
    <cfRule type="cellIs" dxfId="1349" priority="3821" operator="lessThan">
      <formula>0</formula>
    </cfRule>
    <cfRule type="cellIs" dxfId="1348" priority="3822" operator="greaterThanOrEqual">
      <formula>0</formula>
    </cfRule>
  </conditionalFormatting>
  <conditionalFormatting sqref="CA53:CA54">
    <cfRule type="cellIs" dxfId="1347" priority="3819" operator="lessThan">
      <formula>0</formula>
    </cfRule>
    <cfRule type="cellIs" dxfId="1346" priority="3820" operator="greaterThanOrEqual">
      <formula>0</formula>
    </cfRule>
  </conditionalFormatting>
  <conditionalFormatting sqref="CA57:CA58">
    <cfRule type="cellIs" dxfId="1345" priority="3817" operator="lessThan">
      <formula>0</formula>
    </cfRule>
    <cfRule type="cellIs" dxfId="1344" priority="3818" operator="greaterThanOrEqual">
      <formula>0</formula>
    </cfRule>
  </conditionalFormatting>
  <conditionalFormatting sqref="CA60:CA61">
    <cfRule type="cellIs" dxfId="1343" priority="3815" operator="lessThan">
      <formula>0</formula>
    </cfRule>
    <cfRule type="cellIs" dxfId="1342" priority="3816" operator="greaterThanOrEqual">
      <formula>0</formula>
    </cfRule>
  </conditionalFormatting>
  <conditionalFormatting sqref="CA63:CA64">
    <cfRule type="cellIs" dxfId="1341" priority="3813" operator="lessThan">
      <formula>0</formula>
    </cfRule>
    <cfRule type="cellIs" dxfId="1340" priority="3814" operator="greaterThanOrEqual">
      <formula>0</formula>
    </cfRule>
  </conditionalFormatting>
  <conditionalFormatting sqref="CA25">
    <cfRule type="cellIs" dxfId="1339" priority="3812" operator="greaterThanOrEqual">
      <formula>0</formula>
    </cfRule>
  </conditionalFormatting>
  <conditionalFormatting sqref="CA25">
    <cfRule type="cellIs" dxfId="1338" priority="3811" operator="lessThan">
      <formula>0</formula>
    </cfRule>
  </conditionalFormatting>
  <conditionalFormatting sqref="CA26">
    <cfRule type="cellIs" dxfId="1337" priority="3810" operator="greaterThanOrEqual">
      <formula>0</formula>
    </cfRule>
  </conditionalFormatting>
  <conditionalFormatting sqref="CA26">
    <cfRule type="cellIs" dxfId="1336" priority="3809" operator="lessThan">
      <formula>0</formula>
    </cfRule>
  </conditionalFormatting>
  <conditionalFormatting sqref="CA28">
    <cfRule type="cellIs" dxfId="1335" priority="3808" operator="greaterThanOrEqual">
      <formula>0</formula>
    </cfRule>
  </conditionalFormatting>
  <conditionalFormatting sqref="CA28">
    <cfRule type="cellIs" dxfId="1334" priority="3807" operator="lessThan">
      <formula>0</formula>
    </cfRule>
  </conditionalFormatting>
  <conditionalFormatting sqref="CA41">
    <cfRule type="cellIs" dxfId="1333" priority="3806" operator="greaterThanOrEqual">
      <formula>0</formula>
    </cfRule>
  </conditionalFormatting>
  <conditionalFormatting sqref="CA41">
    <cfRule type="cellIs" dxfId="1332" priority="3805" operator="lessThan">
      <formula>0</formula>
    </cfRule>
  </conditionalFormatting>
  <conditionalFormatting sqref="CA44">
    <cfRule type="cellIs" dxfId="1331" priority="3804" operator="greaterThanOrEqual">
      <formula>0</formula>
    </cfRule>
  </conditionalFormatting>
  <conditionalFormatting sqref="CA44">
    <cfRule type="cellIs" dxfId="1330" priority="3803" operator="lessThan">
      <formula>0</formula>
    </cfRule>
  </conditionalFormatting>
  <conditionalFormatting sqref="CA47">
    <cfRule type="cellIs" dxfId="1329" priority="3802" operator="greaterThanOrEqual">
      <formula>0</formula>
    </cfRule>
  </conditionalFormatting>
  <conditionalFormatting sqref="CA47">
    <cfRule type="cellIs" dxfId="1328" priority="3801" operator="lessThan">
      <formula>0</formula>
    </cfRule>
  </conditionalFormatting>
  <conditionalFormatting sqref="CA50">
    <cfRule type="cellIs" dxfId="1327" priority="3800" operator="greaterThanOrEqual">
      <formula>0</formula>
    </cfRule>
  </conditionalFormatting>
  <conditionalFormatting sqref="CA50">
    <cfRule type="cellIs" dxfId="1326" priority="3799" operator="lessThan">
      <formula>0</formula>
    </cfRule>
  </conditionalFormatting>
  <conditionalFormatting sqref="CA51">
    <cfRule type="cellIs" dxfId="1325" priority="3798" operator="greaterThanOrEqual">
      <formula>0</formula>
    </cfRule>
  </conditionalFormatting>
  <conditionalFormatting sqref="CA51">
    <cfRule type="cellIs" dxfId="1324" priority="3797" operator="lessThan">
      <formula>0</formula>
    </cfRule>
  </conditionalFormatting>
  <conditionalFormatting sqref="CA59">
    <cfRule type="cellIs" dxfId="1323" priority="3796" operator="greaterThanOrEqual">
      <formula>0</formula>
    </cfRule>
  </conditionalFormatting>
  <conditionalFormatting sqref="CA59">
    <cfRule type="cellIs" dxfId="1322" priority="3795" operator="lessThan">
      <formula>0</formula>
    </cfRule>
  </conditionalFormatting>
  <conditionalFormatting sqref="CA62">
    <cfRule type="cellIs" dxfId="1321" priority="3794" operator="greaterThanOrEqual">
      <formula>0</formula>
    </cfRule>
  </conditionalFormatting>
  <conditionalFormatting sqref="CA62">
    <cfRule type="cellIs" dxfId="1320" priority="3793" operator="lessThan">
      <formula>0</formula>
    </cfRule>
  </conditionalFormatting>
  <conditionalFormatting sqref="CA65">
    <cfRule type="cellIs" dxfId="1319" priority="3792" operator="greaterThanOrEqual">
      <formula>0</formula>
    </cfRule>
  </conditionalFormatting>
  <conditionalFormatting sqref="CA65">
    <cfRule type="cellIs" dxfId="1318" priority="3791" operator="lessThan">
      <formula>0</formula>
    </cfRule>
  </conditionalFormatting>
  <conditionalFormatting sqref="CA56">
    <cfRule type="cellIs" dxfId="1317" priority="3790" operator="greaterThanOrEqual">
      <formula>0</formula>
    </cfRule>
  </conditionalFormatting>
  <conditionalFormatting sqref="CA56">
    <cfRule type="cellIs" dxfId="1316" priority="3789" operator="lessThan">
      <formula>0</formula>
    </cfRule>
  </conditionalFormatting>
  <conditionalFormatting sqref="CA66">
    <cfRule type="cellIs" dxfId="1315" priority="3788" operator="greaterThanOrEqual">
      <formula>0</formula>
    </cfRule>
  </conditionalFormatting>
  <conditionalFormatting sqref="CA66">
    <cfRule type="cellIs" dxfId="1314" priority="3787" operator="lessThan">
      <formula>0</formula>
    </cfRule>
  </conditionalFormatting>
  <conditionalFormatting sqref="CB16:CB17">
    <cfRule type="cellIs" dxfId="1313" priority="3785" operator="greaterThan">
      <formula>0</formula>
    </cfRule>
    <cfRule type="cellIs" dxfId="1312" priority="3786" operator="lessThanOrEqual">
      <formula>0</formula>
    </cfRule>
  </conditionalFormatting>
  <conditionalFormatting sqref="CB19:CB20">
    <cfRule type="cellIs" dxfId="1311" priority="3783" operator="greaterThan">
      <formula>0</formula>
    </cfRule>
    <cfRule type="cellIs" dxfId="1310" priority="3784" operator="lessThanOrEqual">
      <formula>0</formula>
    </cfRule>
  </conditionalFormatting>
  <conditionalFormatting sqref="CB22:CB23">
    <cfRule type="cellIs" dxfId="1309" priority="3781" operator="greaterThan">
      <formula>0</formula>
    </cfRule>
    <cfRule type="cellIs" dxfId="1308" priority="3782" operator="lessThanOrEqual">
      <formula>0</formula>
    </cfRule>
  </conditionalFormatting>
  <conditionalFormatting sqref="CB29:CB30">
    <cfRule type="cellIs" dxfId="1307" priority="3779" operator="greaterThan">
      <formula>0</formula>
    </cfRule>
    <cfRule type="cellIs" dxfId="1306" priority="3780" operator="lessThanOrEqual">
      <formula>0</formula>
    </cfRule>
  </conditionalFormatting>
  <conditionalFormatting sqref="CB32:CB33">
    <cfRule type="cellIs" dxfId="1305" priority="3777" operator="greaterThan">
      <formula>0</formula>
    </cfRule>
    <cfRule type="cellIs" dxfId="1304" priority="3778" operator="lessThanOrEqual">
      <formula>0</formula>
    </cfRule>
  </conditionalFormatting>
  <conditionalFormatting sqref="CB35:CB36">
    <cfRule type="cellIs" dxfId="1303" priority="3775" operator="greaterThan">
      <formula>0</formula>
    </cfRule>
    <cfRule type="cellIs" dxfId="1302" priority="3776" operator="lessThanOrEqual">
      <formula>0</formula>
    </cfRule>
  </conditionalFormatting>
  <conditionalFormatting sqref="CB38:CB39">
    <cfRule type="cellIs" dxfId="1301" priority="3773" operator="greaterThan">
      <formula>0</formula>
    </cfRule>
    <cfRule type="cellIs" dxfId="1300" priority="3774" operator="lessThanOrEqual">
      <formula>0</formula>
    </cfRule>
  </conditionalFormatting>
  <conditionalFormatting sqref="CB42:CB43">
    <cfRule type="cellIs" dxfId="1299" priority="3771" operator="greaterThan">
      <formula>0</formula>
    </cfRule>
    <cfRule type="cellIs" dxfId="1298" priority="3772" operator="lessThanOrEqual">
      <formula>0</formula>
    </cfRule>
  </conditionalFormatting>
  <conditionalFormatting sqref="CB45:CB46">
    <cfRule type="cellIs" dxfId="1297" priority="3769" operator="greaterThan">
      <formula>0</formula>
    </cfRule>
    <cfRule type="cellIs" dxfId="1296" priority="3770" operator="lessThanOrEqual">
      <formula>0</formula>
    </cfRule>
  </conditionalFormatting>
  <conditionalFormatting sqref="CB48:CB49">
    <cfRule type="cellIs" dxfId="1295" priority="3767" operator="greaterThan">
      <formula>0</formula>
    </cfRule>
    <cfRule type="cellIs" dxfId="1294" priority="3768" operator="lessThanOrEqual">
      <formula>0</formula>
    </cfRule>
  </conditionalFormatting>
  <conditionalFormatting sqref="CB53:CB54">
    <cfRule type="cellIs" dxfId="1293" priority="3765" operator="greaterThan">
      <formula>0</formula>
    </cfRule>
    <cfRule type="cellIs" dxfId="1292" priority="3766" operator="lessThanOrEqual">
      <formula>0</formula>
    </cfRule>
  </conditionalFormatting>
  <conditionalFormatting sqref="CB57:CB58">
    <cfRule type="cellIs" dxfId="1291" priority="3763" operator="greaterThan">
      <formula>0</formula>
    </cfRule>
    <cfRule type="cellIs" dxfId="1290" priority="3764" operator="lessThanOrEqual">
      <formula>0</formula>
    </cfRule>
  </conditionalFormatting>
  <conditionalFormatting sqref="CB60:CB61">
    <cfRule type="cellIs" dxfId="1289" priority="3761" operator="greaterThan">
      <formula>0</formula>
    </cfRule>
    <cfRule type="cellIs" dxfId="1288" priority="3762" operator="lessThanOrEqual">
      <formula>0</formula>
    </cfRule>
  </conditionalFormatting>
  <conditionalFormatting sqref="CB63:CB64">
    <cfRule type="cellIs" dxfId="1287" priority="3759" operator="greaterThan">
      <formula>0</formula>
    </cfRule>
    <cfRule type="cellIs" dxfId="1286" priority="3760" operator="lessThanOrEqual">
      <formula>0</formula>
    </cfRule>
  </conditionalFormatting>
  <conditionalFormatting sqref="CB25">
    <cfRule type="cellIs" dxfId="1285" priority="3758" operator="greaterThanOrEqual">
      <formula>0</formula>
    </cfRule>
  </conditionalFormatting>
  <conditionalFormatting sqref="CB25">
    <cfRule type="cellIs" dxfId="1284" priority="3757" operator="lessThan">
      <formula>0</formula>
    </cfRule>
  </conditionalFormatting>
  <conditionalFormatting sqref="CB26">
    <cfRule type="cellIs" dxfId="1283" priority="3756" operator="greaterThanOrEqual">
      <formula>0</formula>
    </cfRule>
  </conditionalFormatting>
  <conditionalFormatting sqref="CB26">
    <cfRule type="cellIs" dxfId="1282" priority="3755" operator="lessThan">
      <formula>0</formula>
    </cfRule>
  </conditionalFormatting>
  <conditionalFormatting sqref="CB28">
    <cfRule type="cellIs" dxfId="1281" priority="3754" operator="greaterThanOrEqual">
      <formula>0</formula>
    </cfRule>
  </conditionalFormatting>
  <conditionalFormatting sqref="CB28">
    <cfRule type="cellIs" dxfId="1280" priority="3753" operator="lessThan">
      <formula>0</formula>
    </cfRule>
  </conditionalFormatting>
  <conditionalFormatting sqref="CB41">
    <cfRule type="cellIs" dxfId="1279" priority="3752" operator="greaterThanOrEqual">
      <formula>0</formula>
    </cfRule>
  </conditionalFormatting>
  <conditionalFormatting sqref="CB41">
    <cfRule type="cellIs" dxfId="1278" priority="3751" operator="lessThan">
      <formula>0</formula>
    </cfRule>
  </conditionalFormatting>
  <conditionalFormatting sqref="CB44">
    <cfRule type="cellIs" dxfId="1277" priority="3750" operator="greaterThanOrEqual">
      <formula>0</formula>
    </cfRule>
  </conditionalFormatting>
  <conditionalFormatting sqref="CB44">
    <cfRule type="cellIs" dxfId="1276" priority="3749" operator="lessThan">
      <formula>0</formula>
    </cfRule>
  </conditionalFormatting>
  <conditionalFormatting sqref="CB47">
    <cfRule type="cellIs" dxfId="1275" priority="3748" operator="greaterThanOrEqual">
      <formula>0</formula>
    </cfRule>
  </conditionalFormatting>
  <conditionalFormatting sqref="CB47">
    <cfRule type="cellIs" dxfId="1274" priority="3747" operator="lessThan">
      <formula>0</formula>
    </cfRule>
  </conditionalFormatting>
  <conditionalFormatting sqref="CB50">
    <cfRule type="cellIs" dxfId="1273" priority="3746" operator="greaterThanOrEqual">
      <formula>0</formula>
    </cfRule>
  </conditionalFormatting>
  <conditionalFormatting sqref="CB50">
    <cfRule type="cellIs" dxfId="1272" priority="3745" operator="lessThan">
      <formula>0</formula>
    </cfRule>
  </conditionalFormatting>
  <conditionalFormatting sqref="CB51">
    <cfRule type="cellIs" dxfId="1271" priority="3744" operator="greaterThanOrEqual">
      <formula>0</formula>
    </cfRule>
  </conditionalFormatting>
  <conditionalFormatting sqref="CB51">
    <cfRule type="cellIs" dxfId="1270" priority="3743" operator="lessThan">
      <formula>0</formula>
    </cfRule>
  </conditionalFormatting>
  <conditionalFormatting sqref="CB59">
    <cfRule type="cellIs" dxfId="1269" priority="3742" operator="greaterThanOrEqual">
      <formula>0</formula>
    </cfRule>
  </conditionalFormatting>
  <conditionalFormatting sqref="CB59">
    <cfRule type="cellIs" dxfId="1268" priority="3741" operator="lessThan">
      <formula>0</formula>
    </cfRule>
  </conditionalFormatting>
  <conditionalFormatting sqref="CB62">
    <cfRule type="cellIs" dxfId="1267" priority="3740" operator="greaterThanOrEqual">
      <formula>0</formula>
    </cfRule>
  </conditionalFormatting>
  <conditionalFormatting sqref="CB62">
    <cfRule type="cellIs" dxfId="1266" priority="3739" operator="lessThan">
      <formula>0</formula>
    </cfRule>
  </conditionalFormatting>
  <conditionalFormatting sqref="CB65">
    <cfRule type="cellIs" dxfId="1265" priority="3738" operator="greaterThanOrEqual">
      <formula>0</formula>
    </cfRule>
  </conditionalFormatting>
  <conditionalFormatting sqref="CB65">
    <cfRule type="cellIs" dxfId="1264" priority="3737" operator="lessThan">
      <formula>0</formula>
    </cfRule>
  </conditionalFormatting>
  <conditionalFormatting sqref="CB56">
    <cfRule type="cellIs" dxfId="1263" priority="3735" operator="lessThan">
      <formula>0</formula>
    </cfRule>
  </conditionalFormatting>
  <conditionalFormatting sqref="CB56">
    <cfRule type="cellIs" dxfId="1262" priority="3736" operator="greaterThanOrEqual">
      <formula>0</formula>
    </cfRule>
  </conditionalFormatting>
  <conditionalFormatting sqref="CB66">
    <cfRule type="cellIs" dxfId="1261" priority="3733" operator="lessThan">
      <formula>0</formula>
    </cfRule>
  </conditionalFormatting>
  <conditionalFormatting sqref="CB66">
    <cfRule type="cellIs" dxfId="1260" priority="3734" operator="greaterThanOrEqual">
      <formula>0</formula>
    </cfRule>
  </conditionalFormatting>
  <conditionalFormatting sqref="CA70">
    <cfRule type="cellIs" dxfId="1259" priority="3731" operator="lessThan">
      <formula>0</formula>
    </cfRule>
    <cfRule type="cellIs" dxfId="1258" priority="3732" operator="greaterThanOrEqual">
      <formula>0</formula>
    </cfRule>
  </conditionalFormatting>
  <conditionalFormatting sqref="CB70">
    <cfRule type="cellIs" dxfId="1257" priority="3729" operator="lessThan">
      <formula>0</formula>
    </cfRule>
    <cfRule type="cellIs" dxfId="1256" priority="3730" operator="greaterThanOrEqual">
      <formula>0</formula>
    </cfRule>
  </conditionalFormatting>
  <conditionalFormatting sqref="CB72">
    <cfRule type="cellIs" dxfId="1255" priority="3727" operator="lessThan">
      <formula>0</formula>
    </cfRule>
    <cfRule type="cellIs" dxfId="1254" priority="3728" operator="greaterThanOrEqual">
      <formula>0</formula>
    </cfRule>
  </conditionalFormatting>
  <conditionalFormatting sqref="BT55">
    <cfRule type="cellIs" dxfId="1253" priority="3726" operator="greaterThanOrEqual">
      <formula>0</formula>
    </cfRule>
  </conditionalFormatting>
  <conditionalFormatting sqref="BT55">
    <cfRule type="cellIs" dxfId="1252" priority="3725" operator="lessThan">
      <formula>0</formula>
    </cfRule>
  </conditionalFormatting>
  <conditionalFormatting sqref="BY55">
    <cfRule type="cellIs" dxfId="1251" priority="3723" operator="greaterThan">
      <formula>0</formula>
    </cfRule>
    <cfRule type="cellIs" dxfId="1250" priority="3724" operator="lessThanOrEqual">
      <formula>0</formula>
    </cfRule>
  </conditionalFormatting>
  <conditionalFormatting sqref="BX55">
    <cfRule type="cellIs" dxfId="1249" priority="3722" operator="greaterThanOrEqual">
      <formula>0</formula>
    </cfRule>
  </conditionalFormatting>
  <conditionalFormatting sqref="BX55">
    <cfRule type="cellIs" dxfId="1248" priority="3721" operator="lessThan">
      <formula>0</formula>
    </cfRule>
  </conditionalFormatting>
  <conditionalFormatting sqref="BU55">
    <cfRule type="cellIs" dxfId="1247" priority="3719" operator="greaterThan">
      <formula>0</formula>
    </cfRule>
    <cfRule type="cellIs" dxfId="1246" priority="3720" operator="lessThanOrEqual">
      <formula>0</formula>
    </cfRule>
  </conditionalFormatting>
  <conditionalFormatting sqref="CA55">
    <cfRule type="cellIs" dxfId="1245" priority="3718" operator="greaterThanOrEqual">
      <formula>0</formula>
    </cfRule>
  </conditionalFormatting>
  <conditionalFormatting sqref="CA55">
    <cfRule type="cellIs" dxfId="1244" priority="3717" operator="lessThan">
      <formula>0</formula>
    </cfRule>
  </conditionalFormatting>
  <conditionalFormatting sqref="CB55">
    <cfRule type="cellIs" dxfId="1243" priority="3716" operator="greaterThanOrEqual">
      <formula>0</formula>
    </cfRule>
  </conditionalFormatting>
  <conditionalFormatting sqref="CB55">
    <cfRule type="cellIs" dxfId="1242" priority="3715" operator="lessThan">
      <formula>0</formula>
    </cfRule>
  </conditionalFormatting>
  <conditionalFormatting sqref="BU27">
    <cfRule type="cellIs" dxfId="1241" priority="3269" operator="greaterThan">
      <formula>0</formula>
    </cfRule>
    <cfRule type="cellIs" dxfId="1240" priority="3270" operator="lessThanOrEqual">
      <formula>0</formula>
    </cfRule>
  </conditionalFormatting>
  <conditionalFormatting sqref="BT27">
    <cfRule type="cellIs" dxfId="1239" priority="3268" operator="greaterThanOrEqual">
      <formula>0</formula>
    </cfRule>
  </conditionalFormatting>
  <conditionalFormatting sqref="BT27">
    <cfRule type="cellIs" dxfId="1238" priority="3267" operator="lessThan">
      <formula>0</formula>
    </cfRule>
  </conditionalFormatting>
  <conditionalFormatting sqref="BY27">
    <cfRule type="cellIs" dxfId="1237" priority="3265" operator="greaterThan">
      <formula>0</formula>
    </cfRule>
    <cfRule type="cellIs" dxfId="1236" priority="3266" operator="lessThanOrEqual">
      <formula>0</formula>
    </cfRule>
  </conditionalFormatting>
  <conditionalFormatting sqref="BX27">
    <cfRule type="cellIs" dxfId="1235" priority="3264" operator="greaterThanOrEqual">
      <formula>0</formula>
    </cfRule>
  </conditionalFormatting>
  <conditionalFormatting sqref="BX27">
    <cfRule type="cellIs" dxfId="1234" priority="3263" operator="lessThan">
      <formula>0</formula>
    </cfRule>
  </conditionalFormatting>
  <conditionalFormatting sqref="CA27">
    <cfRule type="cellIs" dxfId="1233" priority="3262" operator="greaterThanOrEqual">
      <formula>0</formula>
    </cfRule>
  </conditionalFormatting>
  <conditionalFormatting sqref="CA27">
    <cfRule type="cellIs" dxfId="1232" priority="3261" operator="lessThan">
      <formula>0</formula>
    </cfRule>
  </conditionalFormatting>
  <conditionalFormatting sqref="CB27">
    <cfRule type="cellIs" dxfId="1231" priority="3260" operator="greaterThanOrEqual">
      <formula>0</formula>
    </cfRule>
  </conditionalFormatting>
  <conditionalFormatting sqref="CB27">
    <cfRule type="cellIs" dxfId="1230" priority="3259" operator="lessThan">
      <formula>0</formula>
    </cfRule>
  </conditionalFormatting>
  <conditionalFormatting sqref="CF13:CF14">
    <cfRule type="cellIs" dxfId="1229" priority="3239" operator="greaterThan">
      <formula>0</formula>
    </cfRule>
    <cfRule type="cellIs" dxfId="1228" priority="3240" operator="lessThanOrEqual">
      <formula>0</formula>
    </cfRule>
  </conditionalFormatting>
  <conditionalFormatting sqref="CF16:CF17">
    <cfRule type="cellIs" dxfId="1227" priority="3237" operator="greaterThan">
      <formula>0</formula>
    </cfRule>
    <cfRule type="cellIs" dxfId="1226" priority="3238" operator="lessThanOrEqual">
      <formula>0</formula>
    </cfRule>
  </conditionalFormatting>
  <conditionalFormatting sqref="CF19:CF20">
    <cfRule type="cellIs" dxfId="1225" priority="3235" operator="greaterThan">
      <formula>0</formula>
    </cfRule>
    <cfRule type="cellIs" dxfId="1224" priority="3236" operator="lessThanOrEqual">
      <formula>0</formula>
    </cfRule>
  </conditionalFormatting>
  <conditionalFormatting sqref="CF29:CF30">
    <cfRule type="cellIs" dxfId="1223" priority="3233" operator="greaterThan">
      <formula>0</formula>
    </cfRule>
    <cfRule type="cellIs" dxfId="1222" priority="3234" operator="lessThanOrEqual">
      <formula>0</formula>
    </cfRule>
  </conditionalFormatting>
  <conditionalFormatting sqref="CF22:CF23">
    <cfRule type="cellIs" dxfId="1221" priority="3231" operator="greaterThan">
      <formula>0</formula>
    </cfRule>
    <cfRule type="cellIs" dxfId="1220" priority="3232" operator="lessThanOrEqual">
      <formula>0</formula>
    </cfRule>
  </conditionalFormatting>
  <conditionalFormatting sqref="CF32:CF33">
    <cfRule type="cellIs" dxfId="1219" priority="3229" operator="greaterThan">
      <formula>0</formula>
    </cfRule>
    <cfRule type="cellIs" dxfId="1218" priority="3230" operator="lessThanOrEqual">
      <formula>0</formula>
    </cfRule>
  </conditionalFormatting>
  <conditionalFormatting sqref="CF35:CF36">
    <cfRule type="cellIs" dxfId="1217" priority="3227" operator="greaterThan">
      <formula>0</formula>
    </cfRule>
    <cfRule type="cellIs" dxfId="1216" priority="3228" operator="lessThanOrEqual">
      <formula>0</formula>
    </cfRule>
  </conditionalFormatting>
  <conditionalFormatting sqref="CF38:CF39">
    <cfRule type="cellIs" dxfId="1215" priority="3225" operator="greaterThan">
      <formula>0</formula>
    </cfRule>
    <cfRule type="cellIs" dxfId="1214" priority="3226" operator="lessThanOrEqual">
      <formula>0</formula>
    </cfRule>
  </conditionalFormatting>
  <conditionalFormatting sqref="CF48:CF49">
    <cfRule type="cellIs" dxfId="1213" priority="3223" operator="greaterThan">
      <formula>0</formula>
    </cfRule>
    <cfRule type="cellIs" dxfId="1212" priority="3224" operator="lessThanOrEqual">
      <formula>0</formula>
    </cfRule>
  </conditionalFormatting>
  <conditionalFormatting sqref="CF63:CF64">
    <cfRule type="cellIs" dxfId="1211" priority="3221" operator="greaterThan">
      <formula>0</formula>
    </cfRule>
    <cfRule type="cellIs" dxfId="1210" priority="3222" operator="lessThanOrEqual">
      <formula>0</formula>
    </cfRule>
  </conditionalFormatting>
  <conditionalFormatting sqref="CF53:CF54">
    <cfRule type="cellIs" dxfId="1209" priority="3219" operator="greaterThan">
      <formula>0</formula>
    </cfRule>
    <cfRule type="cellIs" dxfId="1208" priority="3220" operator="lessThanOrEqual">
      <formula>0</formula>
    </cfRule>
  </conditionalFormatting>
  <conditionalFormatting sqref="CF15">
    <cfRule type="cellIs" dxfId="1207" priority="3217" operator="greaterThan">
      <formula>0</formula>
    </cfRule>
    <cfRule type="cellIs" dxfId="1206" priority="3218" operator="lessThanOrEqual">
      <formula>0</formula>
    </cfRule>
  </conditionalFormatting>
  <conditionalFormatting sqref="CF18">
    <cfRule type="cellIs" dxfId="1205" priority="3215" operator="greaterThan">
      <formula>0</formula>
    </cfRule>
    <cfRule type="cellIs" dxfId="1204" priority="3216" operator="lessThanOrEqual">
      <formula>0</formula>
    </cfRule>
  </conditionalFormatting>
  <conditionalFormatting sqref="CF21">
    <cfRule type="cellIs" dxfId="1203" priority="3213" operator="greaterThan">
      <formula>0</formula>
    </cfRule>
    <cfRule type="cellIs" dxfId="1202" priority="3214" operator="lessThanOrEqual">
      <formula>0</formula>
    </cfRule>
  </conditionalFormatting>
  <conditionalFormatting sqref="CF31">
    <cfRule type="cellIs" dxfId="1201" priority="3211" operator="greaterThan">
      <formula>0</formula>
    </cfRule>
    <cfRule type="cellIs" dxfId="1200" priority="3212" operator="lessThanOrEqual">
      <formula>0</formula>
    </cfRule>
  </conditionalFormatting>
  <conditionalFormatting sqref="CF24">
    <cfRule type="cellIs" dxfId="1199" priority="3209" operator="greaterThan">
      <formula>0</formula>
    </cfRule>
    <cfRule type="cellIs" dxfId="1198" priority="3210" operator="lessThanOrEqual">
      <formula>0</formula>
    </cfRule>
  </conditionalFormatting>
  <conditionalFormatting sqref="CF34">
    <cfRule type="cellIs" dxfId="1197" priority="3207" operator="greaterThan">
      <formula>0</formula>
    </cfRule>
    <cfRule type="cellIs" dxfId="1196" priority="3208" operator="lessThanOrEqual">
      <formula>0</formula>
    </cfRule>
  </conditionalFormatting>
  <conditionalFormatting sqref="CF37">
    <cfRule type="cellIs" dxfId="1195" priority="3205" operator="greaterThan">
      <formula>0</formula>
    </cfRule>
    <cfRule type="cellIs" dxfId="1194" priority="3206" operator="lessThanOrEqual">
      <formula>0</formula>
    </cfRule>
  </conditionalFormatting>
  <conditionalFormatting sqref="CF40">
    <cfRule type="cellIs" dxfId="1193" priority="3203" operator="greaterThan">
      <formula>0</formula>
    </cfRule>
    <cfRule type="cellIs" dxfId="1192" priority="3204" operator="lessThanOrEqual">
      <formula>0</formula>
    </cfRule>
  </conditionalFormatting>
  <conditionalFormatting sqref="CF26">
    <cfRule type="cellIs" dxfId="1191" priority="3201" operator="greaterThan">
      <formula>0</formula>
    </cfRule>
    <cfRule type="cellIs" dxfId="1190" priority="3202" operator="lessThanOrEqual">
      <formula>0</formula>
    </cfRule>
  </conditionalFormatting>
  <conditionalFormatting sqref="CF66 CF68 CF71">
    <cfRule type="cellIs" dxfId="1189" priority="3199" operator="greaterThan">
      <formula>0</formula>
    </cfRule>
    <cfRule type="cellIs" dxfId="1188" priority="3200" operator="lessThanOrEqual">
      <formula>0</formula>
    </cfRule>
  </conditionalFormatting>
  <conditionalFormatting sqref="CE13:CE14 CE16:CE17 CE19:CE20 CE22:CE23 CE29:CE30 CE32:CE33 CE35:CE36 CE38:CE39 CE48:CE49 CE53:CE54">
    <cfRule type="cellIs" dxfId="1187" priority="3197" operator="lessThan">
      <formula>0</formula>
    </cfRule>
    <cfRule type="cellIs" dxfId="1186" priority="3198" operator="greaterThanOrEqual">
      <formula>0</formula>
    </cfRule>
  </conditionalFormatting>
  <conditionalFormatting sqref="CE15 CE18 CE21 CE24 CE26 CE31 CE34 CE37 CE40">
    <cfRule type="cellIs" dxfId="1185" priority="3196" operator="greaterThanOrEqual">
      <formula>0</formula>
    </cfRule>
  </conditionalFormatting>
  <conditionalFormatting sqref="CE15 CE18 CE21 CE24 CE26 CE31 CE34 CE37 CE40">
    <cfRule type="cellIs" dxfId="1184" priority="3195" operator="lessThan">
      <formula>0</formula>
    </cfRule>
  </conditionalFormatting>
  <conditionalFormatting sqref="CF73">
    <cfRule type="cellIs" dxfId="1183" priority="3193" operator="greaterThan">
      <formula>0</formula>
    </cfRule>
    <cfRule type="cellIs" dxfId="1182" priority="3194" operator="lessThanOrEqual">
      <formula>0</formula>
    </cfRule>
  </conditionalFormatting>
  <conditionalFormatting sqref="CF67">
    <cfRule type="cellIs" dxfId="1181" priority="3191" operator="greaterThan">
      <formula>0</formula>
    </cfRule>
    <cfRule type="cellIs" dxfId="1180" priority="3192" operator="lessThanOrEqual">
      <formula>0</formula>
    </cfRule>
  </conditionalFormatting>
  <conditionalFormatting sqref="CE67">
    <cfRule type="cellIs" dxfId="1179" priority="3189" operator="greaterThanOrEqual">
      <formula>0</formula>
    </cfRule>
    <cfRule type="cellIs" dxfId="1178" priority="3190" operator="lessThan">
      <formula>0</formula>
    </cfRule>
  </conditionalFormatting>
  <conditionalFormatting sqref="CL13:CL14 CL16:CL17 CL19:CL20 CL22:CL23 CL29:CL30 CL32:CL33 CL35:CL36 CL38:CL39 CL48:CL49">
    <cfRule type="cellIs" dxfId="1177" priority="3187" operator="lessThan">
      <formula>0</formula>
    </cfRule>
    <cfRule type="cellIs" dxfId="1176" priority="3188" operator="greaterThanOrEqual">
      <formula>0</formula>
    </cfRule>
  </conditionalFormatting>
  <conditionalFormatting sqref="CL15 CL24 CL18 CL21 CL31 CL34 CL37 CL40">
    <cfRule type="cellIs" dxfId="1175" priority="3186" operator="greaterThanOrEqual">
      <formula>0</formula>
    </cfRule>
  </conditionalFormatting>
  <conditionalFormatting sqref="CL15 CL24 CL18 CL21 CL31 CL34 CL37 CL40">
    <cfRule type="cellIs" dxfId="1174" priority="3185" operator="lessThan">
      <formula>0</formula>
    </cfRule>
  </conditionalFormatting>
  <conditionalFormatting sqref="CL71 CL73">
    <cfRule type="cellIs" dxfId="1173" priority="3183" operator="lessThan">
      <formula>0</formula>
    </cfRule>
    <cfRule type="cellIs" dxfId="1172" priority="3184" operator="greaterThanOrEqual">
      <formula>0</formula>
    </cfRule>
  </conditionalFormatting>
  <conditionalFormatting sqref="CL67">
    <cfRule type="cellIs" dxfId="1171" priority="3181" operator="greaterThanOrEqual">
      <formula>0</formula>
    </cfRule>
    <cfRule type="cellIs" dxfId="1170" priority="3182" operator="lessThan">
      <formula>0</formula>
    </cfRule>
  </conditionalFormatting>
  <conditionalFormatting sqref="CM13:CM14">
    <cfRule type="cellIs" dxfId="1169" priority="3179" operator="greaterThan">
      <formula>0</formula>
    </cfRule>
    <cfRule type="cellIs" dxfId="1168" priority="3180" operator="lessThanOrEqual">
      <formula>0</formula>
    </cfRule>
  </conditionalFormatting>
  <conditionalFormatting sqref="CM68">
    <cfRule type="cellIs" dxfId="1167" priority="3177" operator="lessThan">
      <formula>0</formula>
    </cfRule>
    <cfRule type="cellIs" dxfId="1166" priority="3178" operator="greaterThanOrEqual">
      <formula>0</formula>
    </cfRule>
  </conditionalFormatting>
  <conditionalFormatting sqref="CM15 CM24 CM18 CM21 CM31 CM34 CM37 CM40">
    <cfRule type="cellIs" dxfId="1165" priority="3176" operator="greaterThanOrEqual">
      <formula>0</formula>
    </cfRule>
  </conditionalFormatting>
  <conditionalFormatting sqref="CM15 CM24 CM18 CM21 CM31 CM34 CM37 CM40">
    <cfRule type="cellIs" dxfId="1164" priority="3175" operator="lessThan">
      <formula>0</formula>
    </cfRule>
  </conditionalFormatting>
  <conditionalFormatting sqref="CL68">
    <cfRule type="cellIs" dxfId="1163" priority="3173" operator="lessThan">
      <formula>0</formula>
    </cfRule>
    <cfRule type="cellIs" dxfId="1162" priority="3174" operator="greaterThanOrEqual">
      <formula>0</formula>
    </cfRule>
  </conditionalFormatting>
  <conditionalFormatting sqref="CM71 CM73">
    <cfRule type="cellIs" dxfId="1161" priority="3171" operator="lessThan">
      <formula>0</formula>
    </cfRule>
    <cfRule type="cellIs" dxfId="1160" priority="3172" operator="greaterThanOrEqual">
      <formula>0</formula>
    </cfRule>
  </conditionalFormatting>
  <conditionalFormatting sqref="CM67">
    <cfRule type="cellIs" dxfId="1159" priority="3169" operator="lessThan">
      <formula>0</formula>
    </cfRule>
    <cfRule type="cellIs" dxfId="1158" priority="3170" operator="greaterThanOrEqual">
      <formula>0</formula>
    </cfRule>
  </conditionalFormatting>
  <conditionalFormatting sqref="CE62">
    <cfRule type="cellIs" dxfId="1157" priority="3150" operator="greaterThanOrEqual">
      <formula>0</formula>
    </cfRule>
  </conditionalFormatting>
  <conditionalFormatting sqref="CE62">
    <cfRule type="cellIs" dxfId="1156" priority="3149" operator="lessThan">
      <formula>0</formula>
    </cfRule>
  </conditionalFormatting>
  <conditionalFormatting sqref="CF44">
    <cfRule type="cellIs" dxfId="1155" priority="3159" operator="greaterThan">
      <formula>0</formula>
    </cfRule>
    <cfRule type="cellIs" dxfId="1154" priority="3160" operator="lessThanOrEqual">
      <formula>0</formula>
    </cfRule>
  </conditionalFormatting>
  <conditionalFormatting sqref="CF47">
    <cfRule type="cellIs" dxfId="1153" priority="3157" operator="greaterThan">
      <formula>0</formula>
    </cfRule>
    <cfRule type="cellIs" dxfId="1152" priority="3158" operator="lessThanOrEqual">
      <formula>0</formula>
    </cfRule>
  </conditionalFormatting>
  <conditionalFormatting sqref="CF50">
    <cfRule type="cellIs" dxfId="1151" priority="3155" operator="greaterThan">
      <formula>0</formula>
    </cfRule>
    <cfRule type="cellIs" dxfId="1150" priority="3156" operator="lessThanOrEqual">
      <formula>0</formula>
    </cfRule>
  </conditionalFormatting>
  <conditionalFormatting sqref="CF28">
    <cfRule type="cellIs" dxfId="1149" priority="3167" operator="greaterThan">
      <formula>0</formula>
    </cfRule>
    <cfRule type="cellIs" dxfId="1148" priority="3168" operator="lessThanOrEqual">
      <formula>0</formula>
    </cfRule>
  </conditionalFormatting>
  <conditionalFormatting sqref="CF41">
    <cfRule type="cellIs" dxfId="1147" priority="3165" operator="greaterThan">
      <formula>0</formula>
    </cfRule>
    <cfRule type="cellIs" dxfId="1146" priority="3166" operator="lessThanOrEqual">
      <formula>0</formula>
    </cfRule>
  </conditionalFormatting>
  <conditionalFormatting sqref="CF42:CF43 CF45:CF46">
    <cfRule type="cellIs" dxfId="1145" priority="3163" operator="greaterThan">
      <formula>0</formula>
    </cfRule>
    <cfRule type="cellIs" dxfId="1144" priority="3164" operator="lessThanOrEqual">
      <formula>0</formula>
    </cfRule>
  </conditionalFormatting>
  <conditionalFormatting sqref="CF57:CF58 CF60:CF61">
    <cfRule type="cellIs" dxfId="1143" priority="3161" operator="greaterThan">
      <formula>0</formula>
    </cfRule>
    <cfRule type="cellIs" dxfId="1142" priority="3162" operator="lessThanOrEqual">
      <formula>0</formula>
    </cfRule>
  </conditionalFormatting>
  <conditionalFormatting sqref="CF59">
    <cfRule type="cellIs" dxfId="1141" priority="3153" operator="greaterThan">
      <formula>0</formula>
    </cfRule>
    <cfRule type="cellIs" dxfId="1140" priority="3154" operator="lessThanOrEqual">
      <formula>0</formula>
    </cfRule>
  </conditionalFormatting>
  <conditionalFormatting sqref="CF62">
    <cfRule type="cellIs" dxfId="1139" priority="3151" operator="greaterThan">
      <formula>0</formula>
    </cfRule>
    <cfRule type="cellIs" dxfId="1138" priority="3152" operator="lessThanOrEqual">
      <formula>0</formula>
    </cfRule>
  </conditionalFormatting>
  <conditionalFormatting sqref="CF65">
    <cfRule type="cellIs" dxfId="1137" priority="3147" operator="greaterThan">
      <formula>0</formula>
    </cfRule>
    <cfRule type="cellIs" dxfId="1136" priority="3148" operator="lessThanOrEqual">
      <formula>0</formula>
    </cfRule>
  </conditionalFormatting>
  <conditionalFormatting sqref="CJ47">
    <cfRule type="cellIs" dxfId="1135" priority="2817" operator="greaterThan">
      <formula>0</formula>
    </cfRule>
    <cfRule type="cellIs" dxfId="1134" priority="2818" operator="lessThanOrEqual">
      <formula>0</formula>
    </cfRule>
  </conditionalFormatting>
  <conditionalFormatting sqref="CJ59">
    <cfRule type="cellIs" dxfId="1133" priority="2813" operator="greaterThan">
      <formula>0</formula>
    </cfRule>
    <cfRule type="cellIs" dxfId="1132" priority="2814" operator="lessThanOrEqual">
      <formula>0</formula>
    </cfRule>
  </conditionalFormatting>
  <conditionalFormatting sqref="CI62">
    <cfRule type="cellIs" dxfId="1131" priority="2810" operator="greaterThanOrEqual">
      <formula>0</formula>
    </cfRule>
  </conditionalFormatting>
  <conditionalFormatting sqref="CI62">
    <cfRule type="cellIs" dxfId="1130" priority="2809" operator="lessThan">
      <formula>0</formula>
    </cfRule>
  </conditionalFormatting>
  <conditionalFormatting sqref="CF25">
    <cfRule type="cellIs" dxfId="1129" priority="2937" operator="greaterThan">
      <formula>0</formula>
    </cfRule>
    <cfRule type="cellIs" dxfId="1128" priority="2938" operator="lessThanOrEqual">
      <formula>0</formula>
    </cfRule>
  </conditionalFormatting>
  <conditionalFormatting sqref="CM52">
    <cfRule type="cellIs" dxfId="1127" priority="2925" operator="lessThan">
      <formula>0</formula>
    </cfRule>
  </conditionalFormatting>
  <conditionalFormatting sqref="CF56">
    <cfRule type="cellIs" dxfId="1126" priority="2935" operator="greaterThan">
      <formula>0</formula>
    </cfRule>
    <cfRule type="cellIs" dxfId="1125" priority="2936" operator="lessThanOrEqual">
      <formula>0</formula>
    </cfRule>
  </conditionalFormatting>
  <conditionalFormatting sqref="CE56">
    <cfRule type="cellIs" dxfId="1124" priority="2934" operator="greaterThanOrEqual">
      <formula>0</formula>
    </cfRule>
  </conditionalFormatting>
  <conditionalFormatting sqref="CE56">
    <cfRule type="cellIs" dxfId="1123" priority="2933" operator="lessThan">
      <formula>0</formula>
    </cfRule>
  </conditionalFormatting>
  <conditionalFormatting sqref="CF52">
    <cfRule type="cellIs" dxfId="1122" priority="2931" operator="greaterThan">
      <formula>0</formula>
    </cfRule>
    <cfRule type="cellIs" dxfId="1121" priority="2932" operator="lessThanOrEqual">
      <formula>0</formula>
    </cfRule>
  </conditionalFormatting>
  <conditionalFormatting sqref="CE52">
    <cfRule type="cellIs" dxfId="1120" priority="2930" operator="greaterThanOrEqual">
      <formula>0</formula>
    </cfRule>
  </conditionalFormatting>
  <conditionalFormatting sqref="CE52">
    <cfRule type="cellIs" dxfId="1119" priority="2929" operator="lessThan">
      <formula>0</formula>
    </cfRule>
  </conditionalFormatting>
  <conditionalFormatting sqref="CL52">
    <cfRule type="cellIs" dxfId="1118" priority="2928" operator="greaterThanOrEqual">
      <formula>0</formula>
    </cfRule>
  </conditionalFormatting>
  <conditionalFormatting sqref="CL52">
    <cfRule type="cellIs" dxfId="1117" priority="2927" operator="lessThan">
      <formula>0</formula>
    </cfRule>
  </conditionalFormatting>
  <conditionalFormatting sqref="CM52">
    <cfRule type="cellIs" dxfId="1116" priority="2926" operator="greaterThanOrEqual">
      <formula>0</formula>
    </cfRule>
  </conditionalFormatting>
  <conditionalFormatting sqref="CF69">
    <cfRule type="cellIs" dxfId="1115" priority="2923" operator="greaterThan">
      <formula>0</formula>
    </cfRule>
    <cfRule type="cellIs" dxfId="1114" priority="2924" operator="lessThanOrEqual">
      <formula>0</formula>
    </cfRule>
  </conditionalFormatting>
  <conditionalFormatting sqref="CL69">
    <cfRule type="cellIs" dxfId="1113" priority="2921" operator="lessThan">
      <formula>0</formula>
    </cfRule>
    <cfRule type="cellIs" dxfId="1112" priority="2922" operator="greaterThanOrEqual">
      <formula>0</formula>
    </cfRule>
  </conditionalFormatting>
  <conditionalFormatting sqref="CM69">
    <cfRule type="cellIs" dxfId="1111" priority="2919" operator="lessThan">
      <formula>0</formula>
    </cfRule>
    <cfRule type="cellIs" dxfId="1110" priority="2920" operator="greaterThanOrEqual">
      <formula>0</formula>
    </cfRule>
  </conditionalFormatting>
  <conditionalFormatting sqref="CF70">
    <cfRule type="cellIs" dxfId="1109" priority="2917" operator="greaterThan">
      <formula>0</formula>
    </cfRule>
    <cfRule type="cellIs" dxfId="1108" priority="2918" operator="lessThanOrEqual">
      <formula>0</formula>
    </cfRule>
  </conditionalFormatting>
  <conditionalFormatting sqref="CL72">
    <cfRule type="cellIs" dxfId="1107" priority="2915" operator="lessThan">
      <formula>0</formula>
    </cfRule>
    <cfRule type="cellIs" dxfId="1106" priority="2916" operator="greaterThanOrEqual">
      <formula>0</formula>
    </cfRule>
  </conditionalFormatting>
  <conditionalFormatting sqref="CF72">
    <cfRule type="cellIs" dxfId="1105" priority="2913" operator="greaterThan">
      <formula>0</formula>
    </cfRule>
    <cfRule type="cellIs" dxfId="1104" priority="2914" operator="lessThanOrEqual">
      <formula>0</formula>
    </cfRule>
  </conditionalFormatting>
  <conditionalFormatting sqref="CE25">
    <cfRule type="cellIs" dxfId="1103" priority="2912" operator="greaterThanOrEqual">
      <formula>0</formula>
    </cfRule>
  </conditionalFormatting>
  <conditionalFormatting sqref="CE25">
    <cfRule type="cellIs" dxfId="1102" priority="2911" operator="lessThan">
      <formula>0</formula>
    </cfRule>
  </conditionalFormatting>
  <conditionalFormatting sqref="CE28">
    <cfRule type="cellIs" dxfId="1101" priority="2910" operator="greaterThanOrEqual">
      <formula>0</formula>
    </cfRule>
  </conditionalFormatting>
  <conditionalFormatting sqref="CE28">
    <cfRule type="cellIs" dxfId="1100" priority="2909" operator="lessThan">
      <formula>0</formula>
    </cfRule>
  </conditionalFormatting>
  <conditionalFormatting sqref="CE41">
    <cfRule type="cellIs" dxfId="1099" priority="2908" operator="greaterThanOrEqual">
      <formula>0</formula>
    </cfRule>
  </conditionalFormatting>
  <conditionalFormatting sqref="CE41">
    <cfRule type="cellIs" dxfId="1098" priority="2907" operator="lessThan">
      <formula>0</formula>
    </cfRule>
  </conditionalFormatting>
  <conditionalFormatting sqref="CE44">
    <cfRule type="cellIs" dxfId="1097" priority="2906" operator="greaterThanOrEqual">
      <formula>0</formula>
    </cfRule>
  </conditionalFormatting>
  <conditionalFormatting sqref="CE44">
    <cfRule type="cellIs" dxfId="1096" priority="2905" operator="lessThan">
      <formula>0</formula>
    </cfRule>
  </conditionalFormatting>
  <conditionalFormatting sqref="CE47">
    <cfRule type="cellIs" dxfId="1095" priority="2904" operator="greaterThanOrEqual">
      <formula>0</formula>
    </cfRule>
  </conditionalFormatting>
  <conditionalFormatting sqref="CE47">
    <cfRule type="cellIs" dxfId="1094" priority="2903" operator="lessThan">
      <formula>0</formula>
    </cfRule>
  </conditionalFormatting>
  <conditionalFormatting sqref="CE50">
    <cfRule type="cellIs" dxfId="1093" priority="2902" operator="greaterThanOrEqual">
      <formula>0</formula>
    </cfRule>
  </conditionalFormatting>
  <conditionalFormatting sqref="CE50">
    <cfRule type="cellIs" dxfId="1092" priority="2901" operator="lessThan">
      <formula>0</formula>
    </cfRule>
  </conditionalFormatting>
  <conditionalFormatting sqref="CE51">
    <cfRule type="cellIs" dxfId="1091" priority="2900" operator="greaterThanOrEqual">
      <formula>0</formula>
    </cfRule>
  </conditionalFormatting>
  <conditionalFormatting sqref="CE51">
    <cfRule type="cellIs" dxfId="1090" priority="2899" operator="lessThan">
      <formula>0</formula>
    </cfRule>
  </conditionalFormatting>
  <conditionalFormatting sqref="CE59">
    <cfRule type="cellIs" dxfId="1089" priority="2898" operator="greaterThanOrEqual">
      <formula>0</formula>
    </cfRule>
  </conditionalFormatting>
  <conditionalFormatting sqref="CE59">
    <cfRule type="cellIs" dxfId="1088" priority="2897" operator="lessThan">
      <formula>0</formula>
    </cfRule>
  </conditionalFormatting>
  <conditionalFormatting sqref="CE65">
    <cfRule type="cellIs" dxfId="1087" priority="2896" operator="greaterThanOrEqual">
      <formula>0</formula>
    </cfRule>
  </conditionalFormatting>
  <conditionalFormatting sqref="CE65">
    <cfRule type="cellIs" dxfId="1086" priority="2895" operator="lessThan">
      <formula>0</formula>
    </cfRule>
  </conditionalFormatting>
  <conditionalFormatting sqref="CE66">
    <cfRule type="cellIs" dxfId="1085" priority="2894" operator="greaterThanOrEqual">
      <formula>0</formula>
    </cfRule>
  </conditionalFormatting>
  <conditionalFormatting sqref="CE66">
    <cfRule type="cellIs" dxfId="1084" priority="2893" operator="lessThan">
      <formula>0</formula>
    </cfRule>
  </conditionalFormatting>
  <conditionalFormatting sqref="CE68:CE70">
    <cfRule type="cellIs" dxfId="1083" priority="2891" operator="lessThan">
      <formula>0</formula>
    </cfRule>
    <cfRule type="cellIs" dxfId="1082" priority="2892" operator="greaterThanOrEqual">
      <formula>0</formula>
    </cfRule>
  </conditionalFormatting>
  <conditionalFormatting sqref="CE71:CE72">
    <cfRule type="cellIs" dxfId="1081" priority="2890" operator="greaterThanOrEqual">
      <formula>0</formula>
    </cfRule>
  </conditionalFormatting>
  <conditionalFormatting sqref="CE71:CE72">
    <cfRule type="cellIs" dxfId="1080" priority="2889" operator="lessThan">
      <formula>0</formula>
    </cfRule>
  </conditionalFormatting>
  <conditionalFormatting sqref="CE73">
    <cfRule type="cellIs" dxfId="1079" priority="2888" operator="greaterThanOrEqual">
      <formula>0</formula>
    </cfRule>
  </conditionalFormatting>
  <conditionalFormatting sqref="CE73">
    <cfRule type="cellIs" dxfId="1078" priority="2887" operator="lessThan">
      <formula>0</formula>
    </cfRule>
  </conditionalFormatting>
  <conditionalFormatting sqref="CE42:CE43">
    <cfRule type="cellIs" dxfId="1077" priority="2885" operator="lessThan">
      <formula>0</formula>
    </cfRule>
    <cfRule type="cellIs" dxfId="1076" priority="2886" operator="greaterThanOrEqual">
      <formula>0</formula>
    </cfRule>
  </conditionalFormatting>
  <conditionalFormatting sqref="CE45:CE46">
    <cfRule type="cellIs" dxfId="1075" priority="2883" operator="lessThan">
      <formula>0</formula>
    </cfRule>
    <cfRule type="cellIs" dxfId="1074" priority="2884" operator="greaterThanOrEqual">
      <formula>0</formula>
    </cfRule>
  </conditionalFormatting>
  <conditionalFormatting sqref="CE57:CE58">
    <cfRule type="cellIs" dxfId="1073" priority="2881" operator="lessThan">
      <formula>0</formula>
    </cfRule>
    <cfRule type="cellIs" dxfId="1072" priority="2882" operator="greaterThanOrEqual">
      <formula>0</formula>
    </cfRule>
  </conditionalFormatting>
  <conditionalFormatting sqref="CE60:CE61">
    <cfRule type="cellIs" dxfId="1071" priority="2879" operator="lessThan">
      <formula>0</formula>
    </cfRule>
    <cfRule type="cellIs" dxfId="1070" priority="2880" operator="greaterThanOrEqual">
      <formula>0</formula>
    </cfRule>
  </conditionalFormatting>
  <conditionalFormatting sqref="CE63:CE64">
    <cfRule type="cellIs" dxfId="1069" priority="2877" operator="lessThan">
      <formula>0</formula>
    </cfRule>
    <cfRule type="cellIs" dxfId="1068" priority="2878" operator="greaterThanOrEqual">
      <formula>0</formula>
    </cfRule>
  </conditionalFormatting>
  <conditionalFormatting sqref="CJ13:CJ14">
    <cfRule type="cellIs" dxfId="1067" priority="2875" operator="greaterThan">
      <formula>0</formula>
    </cfRule>
    <cfRule type="cellIs" dxfId="1066" priority="2876" operator="lessThanOrEqual">
      <formula>0</formula>
    </cfRule>
  </conditionalFormatting>
  <conditionalFormatting sqref="CJ16:CJ17">
    <cfRule type="cellIs" dxfId="1065" priority="2873" operator="greaterThan">
      <formula>0</formula>
    </cfRule>
    <cfRule type="cellIs" dxfId="1064" priority="2874" operator="lessThanOrEqual">
      <formula>0</formula>
    </cfRule>
  </conditionalFormatting>
  <conditionalFormatting sqref="CJ19:CJ20">
    <cfRule type="cellIs" dxfId="1063" priority="2871" operator="greaterThan">
      <formula>0</formula>
    </cfRule>
    <cfRule type="cellIs" dxfId="1062" priority="2872" operator="lessThanOrEqual">
      <formula>0</formula>
    </cfRule>
  </conditionalFormatting>
  <conditionalFormatting sqref="CJ29:CJ30">
    <cfRule type="cellIs" dxfId="1061" priority="2869" operator="greaterThan">
      <formula>0</formula>
    </cfRule>
    <cfRule type="cellIs" dxfId="1060" priority="2870" operator="lessThanOrEqual">
      <formula>0</formula>
    </cfRule>
  </conditionalFormatting>
  <conditionalFormatting sqref="CJ22:CJ23">
    <cfRule type="cellIs" dxfId="1059" priority="2867" operator="greaterThan">
      <formula>0</formula>
    </cfRule>
    <cfRule type="cellIs" dxfId="1058" priority="2868" operator="lessThanOrEqual">
      <formula>0</formula>
    </cfRule>
  </conditionalFormatting>
  <conditionalFormatting sqref="CJ32:CJ33">
    <cfRule type="cellIs" dxfId="1057" priority="2865" operator="greaterThan">
      <formula>0</formula>
    </cfRule>
    <cfRule type="cellIs" dxfId="1056" priority="2866" operator="lessThanOrEqual">
      <formula>0</formula>
    </cfRule>
  </conditionalFormatting>
  <conditionalFormatting sqref="CJ35:CJ36">
    <cfRule type="cellIs" dxfId="1055" priority="2863" operator="greaterThan">
      <formula>0</formula>
    </cfRule>
    <cfRule type="cellIs" dxfId="1054" priority="2864" operator="lessThanOrEqual">
      <formula>0</formula>
    </cfRule>
  </conditionalFormatting>
  <conditionalFormatting sqref="CJ38:CJ39">
    <cfRule type="cellIs" dxfId="1053" priority="2861" operator="greaterThan">
      <formula>0</formula>
    </cfRule>
    <cfRule type="cellIs" dxfId="1052" priority="2862" operator="lessThanOrEqual">
      <formula>0</formula>
    </cfRule>
  </conditionalFormatting>
  <conditionalFormatting sqref="CJ48:CJ49">
    <cfRule type="cellIs" dxfId="1051" priority="2859" operator="greaterThan">
      <formula>0</formula>
    </cfRule>
    <cfRule type="cellIs" dxfId="1050" priority="2860" operator="lessThanOrEqual">
      <formula>0</formula>
    </cfRule>
  </conditionalFormatting>
  <conditionalFormatting sqref="CJ63:CJ64">
    <cfRule type="cellIs" dxfId="1049" priority="2857" operator="greaterThan">
      <formula>0</formula>
    </cfRule>
    <cfRule type="cellIs" dxfId="1048" priority="2858" operator="lessThanOrEqual">
      <formula>0</formula>
    </cfRule>
  </conditionalFormatting>
  <conditionalFormatting sqref="CJ53:CJ54">
    <cfRule type="cellIs" dxfId="1047" priority="2855" operator="greaterThan">
      <formula>0</formula>
    </cfRule>
    <cfRule type="cellIs" dxfId="1046" priority="2856" operator="lessThanOrEqual">
      <formula>0</formula>
    </cfRule>
  </conditionalFormatting>
  <conditionalFormatting sqref="CJ15">
    <cfRule type="cellIs" dxfId="1045" priority="2853" operator="greaterThan">
      <formula>0</formula>
    </cfRule>
    <cfRule type="cellIs" dxfId="1044" priority="2854" operator="lessThanOrEqual">
      <formula>0</formula>
    </cfRule>
  </conditionalFormatting>
  <conditionalFormatting sqref="CJ18">
    <cfRule type="cellIs" dxfId="1043" priority="2851" operator="greaterThan">
      <formula>0</formula>
    </cfRule>
    <cfRule type="cellIs" dxfId="1042" priority="2852" operator="lessThanOrEqual">
      <formula>0</formula>
    </cfRule>
  </conditionalFormatting>
  <conditionalFormatting sqref="CJ21">
    <cfRule type="cellIs" dxfId="1041" priority="2849" operator="greaterThan">
      <formula>0</formula>
    </cfRule>
    <cfRule type="cellIs" dxfId="1040" priority="2850" operator="lessThanOrEqual">
      <formula>0</formula>
    </cfRule>
  </conditionalFormatting>
  <conditionalFormatting sqref="CJ31">
    <cfRule type="cellIs" dxfId="1039" priority="2847" operator="greaterThan">
      <formula>0</formula>
    </cfRule>
    <cfRule type="cellIs" dxfId="1038" priority="2848" operator="lessThanOrEqual">
      <formula>0</formula>
    </cfRule>
  </conditionalFormatting>
  <conditionalFormatting sqref="CJ24">
    <cfRule type="cellIs" dxfId="1037" priority="2845" operator="greaterThan">
      <formula>0</formula>
    </cfRule>
    <cfRule type="cellIs" dxfId="1036" priority="2846" operator="lessThanOrEqual">
      <formula>0</formula>
    </cfRule>
  </conditionalFormatting>
  <conditionalFormatting sqref="CJ34">
    <cfRule type="cellIs" dxfId="1035" priority="2843" operator="greaterThan">
      <formula>0</formula>
    </cfRule>
    <cfRule type="cellIs" dxfId="1034" priority="2844" operator="lessThanOrEqual">
      <formula>0</formula>
    </cfRule>
  </conditionalFormatting>
  <conditionalFormatting sqref="CJ37">
    <cfRule type="cellIs" dxfId="1033" priority="2841" operator="greaterThan">
      <formula>0</formula>
    </cfRule>
    <cfRule type="cellIs" dxfId="1032" priority="2842" operator="lessThanOrEqual">
      <formula>0</formula>
    </cfRule>
  </conditionalFormatting>
  <conditionalFormatting sqref="CJ40">
    <cfRule type="cellIs" dxfId="1031" priority="2839" operator="greaterThan">
      <formula>0</formula>
    </cfRule>
    <cfRule type="cellIs" dxfId="1030" priority="2840" operator="lessThanOrEqual">
      <formula>0</formula>
    </cfRule>
  </conditionalFormatting>
  <conditionalFormatting sqref="CJ26">
    <cfRule type="cellIs" dxfId="1029" priority="2837" operator="greaterThan">
      <formula>0</formula>
    </cfRule>
    <cfRule type="cellIs" dxfId="1028" priority="2838" operator="lessThanOrEqual">
      <formula>0</formula>
    </cfRule>
  </conditionalFormatting>
  <conditionalFormatting sqref="CJ66">
    <cfRule type="cellIs" dxfId="1027" priority="2835" operator="greaterThan">
      <formula>0</formula>
    </cfRule>
    <cfRule type="cellIs" dxfId="1026" priority="2836" operator="lessThanOrEqual">
      <formula>0</formula>
    </cfRule>
  </conditionalFormatting>
  <conditionalFormatting sqref="CI13:CI14 CI16:CI17 CI19:CI20 CI22:CI23 CI29:CI30 CI32:CI33 CI35:CI36 CI38:CI39 CI48:CI49 CI53:CI54">
    <cfRule type="cellIs" dxfId="1025" priority="2833" operator="lessThan">
      <formula>0</formula>
    </cfRule>
    <cfRule type="cellIs" dxfId="1024" priority="2834" operator="greaterThanOrEqual">
      <formula>0</formula>
    </cfRule>
  </conditionalFormatting>
  <conditionalFormatting sqref="CI15 CI18 CI21 CI24 CI26 CI31 CI34 CI37 CI40">
    <cfRule type="cellIs" dxfId="1023" priority="2832" operator="greaterThanOrEqual">
      <formula>0</formula>
    </cfRule>
  </conditionalFormatting>
  <conditionalFormatting sqref="CI15 CI18 CI21 CI24 CI26 CI31 CI34 CI37 CI40">
    <cfRule type="cellIs" dxfId="1022" priority="2831" operator="lessThan">
      <formula>0</formula>
    </cfRule>
  </conditionalFormatting>
  <conditionalFormatting sqref="CJ51">
    <cfRule type="cellIs" dxfId="1021" priority="2825" operator="greaterThan">
      <formula>0</formula>
    </cfRule>
    <cfRule type="cellIs" dxfId="1020" priority="2826" operator="lessThanOrEqual">
      <formula>0</formula>
    </cfRule>
  </conditionalFormatting>
  <conditionalFormatting sqref="CJ44">
    <cfRule type="cellIs" dxfId="1019" priority="2819" operator="greaterThan">
      <formula>0</formula>
    </cfRule>
    <cfRule type="cellIs" dxfId="1018" priority="2820" operator="lessThanOrEqual">
      <formula>0</formula>
    </cfRule>
  </conditionalFormatting>
  <conditionalFormatting sqref="CJ50">
    <cfRule type="cellIs" dxfId="1017" priority="2815" operator="greaterThan">
      <formula>0</formula>
    </cfRule>
    <cfRule type="cellIs" dxfId="1016" priority="2816" operator="lessThanOrEqual">
      <formula>0</formula>
    </cfRule>
  </conditionalFormatting>
  <conditionalFormatting sqref="CJ28">
    <cfRule type="cellIs" dxfId="1015" priority="2829" operator="greaterThan">
      <formula>0</formula>
    </cfRule>
    <cfRule type="cellIs" dxfId="1014" priority="2830" operator="lessThanOrEqual">
      <formula>0</formula>
    </cfRule>
  </conditionalFormatting>
  <conditionalFormatting sqref="CJ41">
    <cfRule type="cellIs" dxfId="1013" priority="2827" operator="greaterThan">
      <formula>0</formula>
    </cfRule>
    <cfRule type="cellIs" dxfId="1012" priority="2828" operator="lessThanOrEqual">
      <formula>0</formula>
    </cfRule>
  </conditionalFormatting>
  <conditionalFormatting sqref="CJ42:CJ43 CJ45:CJ46">
    <cfRule type="cellIs" dxfId="1011" priority="2823" operator="greaterThan">
      <formula>0</formula>
    </cfRule>
    <cfRule type="cellIs" dxfId="1010" priority="2824" operator="lessThanOrEqual">
      <formula>0</formula>
    </cfRule>
  </conditionalFormatting>
  <conditionalFormatting sqref="CJ57:CJ58 CJ60:CJ61">
    <cfRule type="cellIs" dxfId="1009" priority="2821" operator="greaterThan">
      <formula>0</formula>
    </cfRule>
    <cfRule type="cellIs" dxfId="1008" priority="2822" operator="lessThanOrEqual">
      <formula>0</formula>
    </cfRule>
  </conditionalFormatting>
  <conditionalFormatting sqref="CJ62">
    <cfRule type="cellIs" dxfId="1007" priority="2811" operator="greaterThan">
      <formula>0</formula>
    </cfRule>
    <cfRule type="cellIs" dxfId="1006" priority="2812" operator="lessThanOrEqual">
      <formula>0</formula>
    </cfRule>
  </conditionalFormatting>
  <conditionalFormatting sqref="CJ65">
    <cfRule type="cellIs" dxfId="1005" priority="2807" operator="greaterThan">
      <formula>0</formula>
    </cfRule>
    <cfRule type="cellIs" dxfId="1004" priority="2808" operator="lessThanOrEqual">
      <formula>0</formula>
    </cfRule>
  </conditionalFormatting>
  <conditionalFormatting sqref="CJ25">
    <cfRule type="cellIs" dxfId="1003" priority="2805" operator="greaterThan">
      <formula>0</formula>
    </cfRule>
    <cfRule type="cellIs" dxfId="1002" priority="2806" operator="lessThanOrEqual">
      <formula>0</formula>
    </cfRule>
  </conditionalFormatting>
  <conditionalFormatting sqref="CJ56">
    <cfRule type="cellIs" dxfId="1001" priority="2803" operator="greaterThan">
      <formula>0</formula>
    </cfRule>
    <cfRule type="cellIs" dxfId="1000" priority="2804" operator="lessThanOrEqual">
      <formula>0</formula>
    </cfRule>
  </conditionalFormatting>
  <conditionalFormatting sqref="CI56">
    <cfRule type="cellIs" dxfId="999" priority="2802" operator="greaterThanOrEqual">
      <formula>0</formula>
    </cfRule>
  </conditionalFormatting>
  <conditionalFormatting sqref="CI56">
    <cfRule type="cellIs" dxfId="998" priority="2801" operator="lessThan">
      <formula>0</formula>
    </cfRule>
  </conditionalFormatting>
  <conditionalFormatting sqref="CJ52">
    <cfRule type="cellIs" dxfId="997" priority="2799" operator="greaterThan">
      <formula>0</formula>
    </cfRule>
    <cfRule type="cellIs" dxfId="996" priority="2800" operator="lessThanOrEqual">
      <formula>0</formula>
    </cfRule>
  </conditionalFormatting>
  <conditionalFormatting sqref="CI52">
    <cfRule type="cellIs" dxfId="995" priority="2798" operator="greaterThanOrEqual">
      <formula>0</formula>
    </cfRule>
  </conditionalFormatting>
  <conditionalFormatting sqref="CI52">
    <cfRule type="cellIs" dxfId="994" priority="2797" operator="lessThan">
      <formula>0</formula>
    </cfRule>
  </conditionalFormatting>
  <conditionalFormatting sqref="CI25">
    <cfRule type="cellIs" dxfId="993" priority="2796" operator="greaterThanOrEqual">
      <formula>0</formula>
    </cfRule>
  </conditionalFormatting>
  <conditionalFormatting sqref="CI25">
    <cfRule type="cellIs" dxfId="992" priority="2795" operator="lessThan">
      <formula>0</formula>
    </cfRule>
  </conditionalFormatting>
  <conditionalFormatting sqref="CI28">
    <cfRule type="cellIs" dxfId="991" priority="2794" operator="greaterThanOrEqual">
      <formula>0</formula>
    </cfRule>
  </conditionalFormatting>
  <conditionalFormatting sqref="CI28">
    <cfRule type="cellIs" dxfId="990" priority="2793" operator="lessThan">
      <formula>0</formula>
    </cfRule>
  </conditionalFormatting>
  <conditionalFormatting sqref="CI41">
    <cfRule type="cellIs" dxfId="989" priority="2792" operator="greaterThanOrEqual">
      <formula>0</formula>
    </cfRule>
  </conditionalFormatting>
  <conditionalFormatting sqref="CI41">
    <cfRule type="cellIs" dxfId="988" priority="2791" operator="lessThan">
      <formula>0</formula>
    </cfRule>
  </conditionalFormatting>
  <conditionalFormatting sqref="CI44">
    <cfRule type="cellIs" dxfId="987" priority="2790" operator="greaterThanOrEqual">
      <formula>0</formula>
    </cfRule>
  </conditionalFormatting>
  <conditionalFormatting sqref="CI44">
    <cfRule type="cellIs" dxfId="986" priority="2789" operator="lessThan">
      <formula>0</formula>
    </cfRule>
  </conditionalFormatting>
  <conditionalFormatting sqref="CI47">
    <cfRule type="cellIs" dxfId="985" priority="2788" operator="greaterThanOrEqual">
      <formula>0</formula>
    </cfRule>
  </conditionalFormatting>
  <conditionalFormatting sqref="CI47">
    <cfRule type="cellIs" dxfId="984" priority="2787" operator="lessThan">
      <formula>0</formula>
    </cfRule>
  </conditionalFormatting>
  <conditionalFormatting sqref="CI50">
    <cfRule type="cellIs" dxfId="983" priority="2786" operator="greaterThanOrEqual">
      <formula>0</formula>
    </cfRule>
  </conditionalFormatting>
  <conditionalFormatting sqref="CI50">
    <cfRule type="cellIs" dxfId="982" priority="2785" operator="lessThan">
      <formula>0</formula>
    </cfRule>
  </conditionalFormatting>
  <conditionalFormatting sqref="CI51">
    <cfRule type="cellIs" dxfId="981" priority="2784" operator="greaterThanOrEqual">
      <formula>0</formula>
    </cfRule>
  </conditionalFormatting>
  <conditionalFormatting sqref="CI51">
    <cfRule type="cellIs" dxfId="980" priority="2783" operator="lessThan">
      <formula>0</formula>
    </cfRule>
  </conditionalFormatting>
  <conditionalFormatting sqref="CI59">
    <cfRule type="cellIs" dxfId="979" priority="2782" operator="greaterThanOrEqual">
      <formula>0</formula>
    </cfRule>
  </conditionalFormatting>
  <conditionalFormatting sqref="CI59">
    <cfRule type="cellIs" dxfId="978" priority="2781" operator="lessThan">
      <formula>0</formula>
    </cfRule>
  </conditionalFormatting>
  <conditionalFormatting sqref="CI65">
    <cfRule type="cellIs" dxfId="977" priority="2780" operator="greaterThanOrEqual">
      <formula>0</formula>
    </cfRule>
  </conditionalFormatting>
  <conditionalFormatting sqref="CI65">
    <cfRule type="cellIs" dxfId="976" priority="2779" operator="lessThan">
      <formula>0</formula>
    </cfRule>
  </conditionalFormatting>
  <conditionalFormatting sqref="CI66">
    <cfRule type="cellIs" dxfId="975" priority="2778" operator="greaterThanOrEqual">
      <formula>0</formula>
    </cfRule>
  </conditionalFormatting>
  <conditionalFormatting sqref="CI66">
    <cfRule type="cellIs" dxfId="974" priority="2777" operator="lessThan">
      <formula>0</formula>
    </cfRule>
  </conditionalFormatting>
  <conditionalFormatting sqref="CI42:CI43">
    <cfRule type="cellIs" dxfId="973" priority="2775" operator="lessThan">
      <formula>0</formula>
    </cfRule>
    <cfRule type="cellIs" dxfId="972" priority="2776" operator="greaterThanOrEqual">
      <formula>0</formula>
    </cfRule>
  </conditionalFormatting>
  <conditionalFormatting sqref="CI45:CI46">
    <cfRule type="cellIs" dxfId="971" priority="2773" operator="lessThan">
      <formula>0</formula>
    </cfRule>
    <cfRule type="cellIs" dxfId="970" priority="2774" operator="greaterThanOrEqual">
      <formula>0</formula>
    </cfRule>
  </conditionalFormatting>
  <conditionalFormatting sqref="CI57:CI58">
    <cfRule type="cellIs" dxfId="969" priority="2771" operator="lessThan">
      <formula>0</formula>
    </cfRule>
    <cfRule type="cellIs" dxfId="968" priority="2772" operator="greaterThanOrEqual">
      <formula>0</formula>
    </cfRule>
  </conditionalFormatting>
  <conditionalFormatting sqref="CI60:CI61">
    <cfRule type="cellIs" dxfId="967" priority="2769" operator="lessThan">
      <formula>0</formula>
    </cfRule>
    <cfRule type="cellIs" dxfId="966" priority="2770" operator="greaterThanOrEqual">
      <formula>0</formula>
    </cfRule>
  </conditionalFormatting>
  <conditionalFormatting sqref="CI63:CI64">
    <cfRule type="cellIs" dxfId="965" priority="2767" operator="lessThan">
      <formula>0</formula>
    </cfRule>
    <cfRule type="cellIs" dxfId="964" priority="2768" operator="greaterThanOrEqual">
      <formula>0</formula>
    </cfRule>
  </conditionalFormatting>
  <conditionalFormatting sqref="CJ68 CJ71">
    <cfRule type="cellIs" dxfId="963" priority="2765" operator="greaterThan">
      <formula>0</formula>
    </cfRule>
    <cfRule type="cellIs" dxfId="962" priority="2766" operator="lessThanOrEqual">
      <formula>0</formula>
    </cfRule>
  </conditionalFormatting>
  <conditionalFormatting sqref="CJ73">
    <cfRule type="cellIs" dxfId="961" priority="2763" operator="greaterThan">
      <formula>0</formula>
    </cfRule>
    <cfRule type="cellIs" dxfId="960" priority="2764" operator="lessThanOrEqual">
      <formula>0</formula>
    </cfRule>
  </conditionalFormatting>
  <conditionalFormatting sqref="CJ69">
    <cfRule type="cellIs" dxfId="959" priority="2761" operator="greaterThan">
      <formula>0</formula>
    </cfRule>
    <cfRule type="cellIs" dxfId="958" priority="2762" operator="lessThanOrEqual">
      <formula>0</formula>
    </cfRule>
  </conditionalFormatting>
  <conditionalFormatting sqref="CJ70">
    <cfRule type="cellIs" dxfId="957" priority="2759" operator="greaterThan">
      <formula>0</formula>
    </cfRule>
    <cfRule type="cellIs" dxfId="956" priority="2760" operator="lessThanOrEqual">
      <formula>0</formula>
    </cfRule>
  </conditionalFormatting>
  <conditionalFormatting sqref="CJ72">
    <cfRule type="cellIs" dxfId="955" priority="2757" operator="greaterThan">
      <formula>0</formula>
    </cfRule>
    <cfRule type="cellIs" dxfId="954" priority="2758" operator="lessThanOrEqual">
      <formula>0</formula>
    </cfRule>
  </conditionalFormatting>
  <conditionalFormatting sqref="CI68:CI70">
    <cfRule type="cellIs" dxfId="953" priority="2755" operator="lessThan">
      <formula>0</formula>
    </cfRule>
    <cfRule type="cellIs" dxfId="952" priority="2756" operator="greaterThanOrEqual">
      <formula>0</formula>
    </cfRule>
  </conditionalFormatting>
  <conditionalFormatting sqref="CI71:CI72">
    <cfRule type="cellIs" dxfId="951" priority="2754" operator="greaterThanOrEqual">
      <formula>0</formula>
    </cfRule>
  </conditionalFormatting>
  <conditionalFormatting sqref="CI71:CI72">
    <cfRule type="cellIs" dxfId="950" priority="2753" operator="lessThan">
      <formula>0</formula>
    </cfRule>
  </conditionalFormatting>
  <conditionalFormatting sqref="CI73">
    <cfRule type="cellIs" dxfId="949" priority="2752" operator="greaterThanOrEqual">
      <formula>0</formula>
    </cfRule>
  </conditionalFormatting>
  <conditionalFormatting sqref="CI73">
    <cfRule type="cellIs" dxfId="948" priority="2751" operator="lessThan">
      <formula>0</formula>
    </cfRule>
  </conditionalFormatting>
  <conditionalFormatting sqref="CJ67">
    <cfRule type="cellIs" dxfId="947" priority="2749" operator="greaterThan">
      <formula>0</formula>
    </cfRule>
    <cfRule type="cellIs" dxfId="946" priority="2750" operator="lessThanOrEqual">
      <formula>0</formula>
    </cfRule>
  </conditionalFormatting>
  <conditionalFormatting sqref="CI67">
    <cfRule type="cellIs" dxfId="945" priority="2747" operator="greaterThanOrEqual">
      <formula>0</formula>
    </cfRule>
    <cfRule type="cellIs" dxfId="944" priority="2748" operator="lessThan">
      <formula>0</formula>
    </cfRule>
  </conditionalFormatting>
  <conditionalFormatting sqref="CF51">
    <cfRule type="cellIs" dxfId="943" priority="2745" operator="greaterThan">
      <formula>0</formula>
    </cfRule>
    <cfRule type="cellIs" dxfId="942" priority="2746" operator="lessThanOrEqual">
      <formula>0</formula>
    </cfRule>
  </conditionalFormatting>
  <conditionalFormatting sqref="CL42:CL43">
    <cfRule type="cellIs" dxfId="941" priority="2743" operator="lessThan">
      <formula>0</formula>
    </cfRule>
    <cfRule type="cellIs" dxfId="940" priority="2744" operator="greaterThanOrEqual">
      <formula>0</formula>
    </cfRule>
  </conditionalFormatting>
  <conditionalFormatting sqref="CL45:CL46">
    <cfRule type="cellIs" dxfId="939" priority="2741" operator="lessThan">
      <formula>0</formula>
    </cfRule>
    <cfRule type="cellIs" dxfId="938" priority="2742" operator="greaterThanOrEqual">
      <formula>0</formula>
    </cfRule>
  </conditionalFormatting>
  <conditionalFormatting sqref="CL53:CL54">
    <cfRule type="cellIs" dxfId="937" priority="2739" operator="lessThan">
      <formula>0</formula>
    </cfRule>
    <cfRule type="cellIs" dxfId="936" priority="2740" operator="greaterThanOrEqual">
      <formula>0</formula>
    </cfRule>
  </conditionalFormatting>
  <conditionalFormatting sqref="CL57:CL58">
    <cfRule type="cellIs" dxfId="935" priority="2737" operator="lessThan">
      <formula>0</formula>
    </cfRule>
    <cfRule type="cellIs" dxfId="934" priority="2738" operator="greaterThanOrEqual">
      <formula>0</formula>
    </cfRule>
  </conditionalFormatting>
  <conditionalFormatting sqref="CL60:CL61">
    <cfRule type="cellIs" dxfId="933" priority="2735" operator="lessThan">
      <formula>0</formula>
    </cfRule>
    <cfRule type="cellIs" dxfId="932" priority="2736" operator="greaterThanOrEqual">
      <formula>0</formula>
    </cfRule>
  </conditionalFormatting>
  <conditionalFormatting sqref="CL63:CL64">
    <cfRule type="cellIs" dxfId="931" priority="2733" operator="lessThan">
      <formula>0</formula>
    </cfRule>
    <cfRule type="cellIs" dxfId="930" priority="2734" operator="greaterThanOrEqual">
      <formula>0</formula>
    </cfRule>
  </conditionalFormatting>
  <conditionalFormatting sqref="CL25">
    <cfRule type="cellIs" dxfId="929" priority="2732" operator="greaterThanOrEqual">
      <formula>0</formula>
    </cfRule>
  </conditionalFormatting>
  <conditionalFormatting sqref="CL25">
    <cfRule type="cellIs" dxfId="928" priority="2731" operator="lessThan">
      <formula>0</formula>
    </cfRule>
  </conditionalFormatting>
  <conditionalFormatting sqref="CL26">
    <cfRule type="cellIs" dxfId="927" priority="2730" operator="greaterThanOrEqual">
      <formula>0</formula>
    </cfRule>
  </conditionalFormatting>
  <conditionalFormatting sqref="CL26">
    <cfRule type="cellIs" dxfId="926" priority="2729" operator="lessThan">
      <formula>0</formula>
    </cfRule>
  </conditionalFormatting>
  <conditionalFormatting sqref="CL28">
    <cfRule type="cellIs" dxfId="925" priority="2728" operator="greaterThanOrEqual">
      <formula>0</formula>
    </cfRule>
  </conditionalFormatting>
  <conditionalFormatting sqref="CL28">
    <cfRule type="cellIs" dxfId="924" priority="2727" operator="lessThan">
      <formula>0</formula>
    </cfRule>
  </conditionalFormatting>
  <conditionalFormatting sqref="CL41">
    <cfRule type="cellIs" dxfId="923" priority="2726" operator="greaterThanOrEqual">
      <formula>0</formula>
    </cfRule>
  </conditionalFormatting>
  <conditionalFormatting sqref="CL41">
    <cfRule type="cellIs" dxfId="922" priority="2725" operator="lessThan">
      <formula>0</formula>
    </cfRule>
  </conditionalFormatting>
  <conditionalFormatting sqref="CL44">
    <cfRule type="cellIs" dxfId="921" priority="2724" operator="greaterThanOrEqual">
      <formula>0</formula>
    </cfRule>
  </conditionalFormatting>
  <conditionalFormatting sqref="CL44">
    <cfRule type="cellIs" dxfId="920" priority="2723" operator="lessThan">
      <formula>0</formula>
    </cfRule>
  </conditionalFormatting>
  <conditionalFormatting sqref="CL47">
    <cfRule type="cellIs" dxfId="919" priority="2722" operator="greaterThanOrEqual">
      <formula>0</formula>
    </cfRule>
  </conditionalFormatting>
  <conditionalFormatting sqref="CL47">
    <cfRule type="cellIs" dxfId="918" priority="2721" operator="lessThan">
      <formula>0</formula>
    </cfRule>
  </conditionalFormatting>
  <conditionalFormatting sqref="CL50">
    <cfRule type="cellIs" dxfId="917" priority="2720" operator="greaterThanOrEqual">
      <formula>0</formula>
    </cfRule>
  </conditionalFormatting>
  <conditionalFormatting sqref="CL50">
    <cfRule type="cellIs" dxfId="916" priority="2719" operator="lessThan">
      <formula>0</formula>
    </cfRule>
  </conditionalFormatting>
  <conditionalFormatting sqref="CL51">
    <cfRule type="cellIs" dxfId="915" priority="2718" operator="greaterThanOrEqual">
      <formula>0</formula>
    </cfRule>
  </conditionalFormatting>
  <conditionalFormatting sqref="CL51">
    <cfRule type="cellIs" dxfId="914" priority="2717" operator="lessThan">
      <formula>0</formula>
    </cfRule>
  </conditionalFormatting>
  <conditionalFormatting sqref="CL59">
    <cfRule type="cellIs" dxfId="913" priority="2716" operator="greaterThanOrEqual">
      <formula>0</formula>
    </cfRule>
  </conditionalFormatting>
  <conditionalFormatting sqref="CL59">
    <cfRule type="cellIs" dxfId="912" priority="2715" operator="lessThan">
      <formula>0</formula>
    </cfRule>
  </conditionalFormatting>
  <conditionalFormatting sqref="CL62">
    <cfRule type="cellIs" dxfId="911" priority="2714" operator="greaterThanOrEqual">
      <formula>0</formula>
    </cfRule>
  </conditionalFormatting>
  <conditionalFormatting sqref="CL62">
    <cfRule type="cellIs" dxfId="910" priority="2713" operator="lessThan">
      <formula>0</formula>
    </cfRule>
  </conditionalFormatting>
  <conditionalFormatting sqref="CL65">
    <cfRule type="cellIs" dxfId="909" priority="2712" operator="greaterThanOrEqual">
      <formula>0</formula>
    </cfRule>
  </conditionalFormatting>
  <conditionalFormatting sqref="CL65">
    <cfRule type="cellIs" dxfId="908" priority="2711" operator="lessThan">
      <formula>0</formula>
    </cfRule>
  </conditionalFormatting>
  <conditionalFormatting sqref="CL56">
    <cfRule type="cellIs" dxfId="907" priority="2710" operator="greaterThanOrEqual">
      <formula>0</formula>
    </cfRule>
  </conditionalFormatting>
  <conditionalFormatting sqref="CL56">
    <cfRule type="cellIs" dxfId="906" priority="2709" operator="lessThan">
      <formula>0</formula>
    </cfRule>
  </conditionalFormatting>
  <conditionalFormatting sqref="CL66">
    <cfRule type="cellIs" dxfId="905" priority="2708" operator="greaterThanOrEqual">
      <formula>0</formula>
    </cfRule>
  </conditionalFormatting>
  <conditionalFormatting sqref="CL66">
    <cfRule type="cellIs" dxfId="904" priority="2707" operator="lessThan">
      <formula>0</formula>
    </cfRule>
  </conditionalFormatting>
  <conditionalFormatting sqref="CM16:CM17">
    <cfRule type="cellIs" dxfId="903" priority="2705" operator="greaterThan">
      <formula>0</formula>
    </cfRule>
    <cfRule type="cellIs" dxfId="902" priority="2706" operator="lessThanOrEqual">
      <formula>0</formula>
    </cfRule>
  </conditionalFormatting>
  <conditionalFormatting sqref="CM19:CM20">
    <cfRule type="cellIs" dxfId="901" priority="2703" operator="greaterThan">
      <formula>0</formula>
    </cfRule>
    <cfRule type="cellIs" dxfId="900" priority="2704" operator="lessThanOrEqual">
      <formula>0</formula>
    </cfRule>
  </conditionalFormatting>
  <conditionalFormatting sqref="CM22:CM23">
    <cfRule type="cellIs" dxfId="899" priority="2701" operator="greaterThan">
      <formula>0</formula>
    </cfRule>
    <cfRule type="cellIs" dxfId="898" priority="2702" operator="lessThanOrEqual">
      <formula>0</formula>
    </cfRule>
  </conditionalFormatting>
  <conditionalFormatting sqref="CM29:CM30">
    <cfRule type="cellIs" dxfId="897" priority="2699" operator="greaterThan">
      <formula>0</formula>
    </cfRule>
    <cfRule type="cellIs" dxfId="896" priority="2700" operator="lessThanOrEqual">
      <formula>0</formula>
    </cfRule>
  </conditionalFormatting>
  <conditionalFormatting sqref="CM32:CM33">
    <cfRule type="cellIs" dxfId="895" priority="2697" operator="greaterThan">
      <formula>0</formula>
    </cfRule>
    <cfRule type="cellIs" dxfId="894" priority="2698" operator="lessThanOrEqual">
      <formula>0</formula>
    </cfRule>
  </conditionalFormatting>
  <conditionalFormatting sqref="CM35:CM36">
    <cfRule type="cellIs" dxfId="893" priority="2695" operator="greaterThan">
      <formula>0</formula>
    </cfRule>
    <cfRule type="cellIs" dxfId="892" priority="2696" operator="lessThanOrEqual">
      <formula>0</formula>
    </cfRule>
  </conditionalFormatting>
  <conditionalFormatting sqref="CM38:CM39">
    <cfRule type="cellIs" dxfId="891" priority="2693" operator="greaterThan">
      <formula>0</formula>
    </cfRule>
    <cfRule type="cellIs" dxfId="890" priority="2694" operator="lessThanOrEqual">
      <formula>0</formula>
    </cfRule>
  </conditionalFormatting>
  <conditionalFormatting sqref="CM42:CM43">
    <cfRule type="cellIs" dxfId="889" priority="2691" operator="greaterThan">
      <formula>0</formula>
    </cfRule>
    <cfRule type="cellIs" dxfId="888" priority="2692" operator="lessThanOrEqual">
      <formula>0</formula>
    </cfRule>
  </conditionalFormatting>
  <conditionalFormatting sqref="CM45:CM46">
    <cfRule type="cellIs" dxfId="887" priority="2689" operator="greaterThan">
      <formula>0</formula>
    </cfRule>
    <cfRule type="cellIs" dxfId="886" priority="2690" operator="lessThanOrEqual">
      <formula>0</formula>
    </cfRule>
  </conditionalFormatting>
  <conditionalFormatting sqref="CM48:CM49">
    <cfRule type="cellIs" dxfId="885" priority="2687" operator="greaterThan">
      <formula>0</formula>
    </cfRule>
    <cfRule type="cellIs" dxfId="884" priority="2688" operator="lessThanOrEqual">
      <formula>0</formula>
    </cfRule>
  </conditionalFormatting>
  <conditionalFormatting sqref="CM53:CM54">
    <cfRule type="cellIs" dxfId="883" priority="2685" operator="greaterThan">
      <formula>0</formula>
    </cfRule>
    <cfRule type="cellIs" dxfId="882" priority="2686" operator="lessThanOrEqual">
      <formula>0</formula>
    </cfRule>
  </conditionalFormatting>
  <conditionalFormatting sqref="CM57:CM58">
    <cfRule type="cellIs" dxfId="881" priority="2683" operator="greaterThan">
      <formula>0</formula>
    </cfRule>
    <cfRule type="cellIs" dxfId="880" priority="2684" operator="lessThanOrEqual">
      <formula>0</formula>
    </cfRule>
  </conditionalFormatting>
  <conditionalFormatting sqref="CM60:CM61">
    <cfRule type="cellIs" dxfId="879" priority="2681" operator="greaterThan">
      <formula>0</formula>
    </cfRule>
    <cfRule type="cellIs" dxfId="878" priority="2682" operator="lessThanOrEqual">
      <formula>0</formula>
    </cfRule>
  </conditionalFormatting>
  <conditionalFormatting sqref="CM63:CM64">
    <cfRule type="cellIs" dxfId="877" priority="2679" operator="greaterThan">
      <formula>0</formula>
    </cfRule>
    <cfRule type="cellIs" dxfId="876" priority="2680" operator="lessThanOrEqual">
      <formula>0</formula>
    </cfRule>
  </conditionalFormatting>
  <conditionalFormatting sqref="CM25">
    <cfRule type="cellIs" dxfId="875" priority="2678" operator="greaterThanOrEqual">
      <formula>0</formula>
    </cfRule>
  </conditionalFormatting>
  <conditionalFormatting sqref="CM25">
    <cfRule type="cellIs" dxfId="874" priority="2677" operator="lessThan">
      <formula>0</formula>
    </cfRule>
  </conditionalFormatting>
  <conditionalFormatting sqref="CM26">
    <cfRule type="cellIs" dxfId="873" priority="2676" operator="greaterThanOrEqual">
      <formula>0</formula>
    </cfRule>
  </conditionalFormatting>
  <conditionalFormatting sqref="CM26">
    <cfRule type="cellIs" dxfId="872" priority="2675" operator="lessThan">
      <formula>0</formula>
    </cfRule>
  </conditionalFormatting>
  <conditionalFormatting sqref="CM28">
    <cfRule type="cellIs" dxfId="871" priority="2674" operator="greaterThanOrEqual">
      <formula>0</formula>
    </cfRule>
  </conditionalFormatting>
  <conditionalFormatting sqref="CM28">
    <cfRule type="cellIs" dxfId="870" priority="2673" operator="lessThan">
      <formula>0</formula>
    </cfRule>
  </conditionalFormatting>
  <conditionalFormatting sqref="CM41">
    <cfRule type="cellIs" dxfId="869" priority="2672" operator="greaterThanOrEqual">
      <formula>0</formula>
    </cfRule>
  </conditionalFormatting>
  <conditionalFormatting sqref="CM41">
    <cfRule type="cellIs" dxfId="868" priority="2671" operator="lessThan">
      <formula>0</formula>
    </cfRule>
  </conditionalFormatting>
  <conditionalFormatting sqref="CM44">
    <cfRule type="cellIs" dxfId="867" priority="2670" operator="greaterThanOrEqual">
      <formula>0</formula>
    </cfRule>
  </conditionalFormatting>
  <conditionalFormatting sqref="CM44">
    <cfRule type="cellIs" dxfId="866" priority="2669" operator="lessThan">
      <formula>0</formula>
    </cfRule>
  </conditionalFormatting>
  <conditionalFormatting sqref="CM47">
    <cfRule type="cellIs" dxfId="865" priority="2668" operator="greaterThanOrEqual">
      <formula>0</formula>
    </cfRule>
  </conditionalFormatting>
  <conditionalFormatting sqref="CM47">
    <cfRule type="cellIs" dxfId="864" priority="2667" operator="lessThan">
      <formula>0</formula>
    </cfRule>
  </conditionalFormatting>
  <conditionalFormatting sqref="CM50">
    <cfRule type="cellIs" dxfId="863" priority="2666" operator="greaterThanOrEqual">
      <formula>0</formula>
    </cfRule>
  </conditionalFormatting>
  <conditionalFormatting sqref="CM50">
    <cfRule type="cellIs" dxfId="862" priority="2665" operator="lessThan">
      <formula>0</formula>
    </cfRule>
  </conditionalFormatting>
  <conditionalFormatting sqref="CM51">
    <cfRule type="cellIs" dxfId="861" priority="2664" operator="greaterThanOrEqual">
      <formula>0</formula>
    </cfRule>
  </conditionalFormatting>
  <conditionalFormatting sqref="CM51">
    <cfRule type="cellIs" dxfId="860" priority="2663" operator="lessThan">
      <formula>0</formula>
    </cfRule>
  </conditionalFormatting>
  <conditionalFormatting sqref="CM59">
    <cfRule type="cellIs" dxfId="859" priority="2662" operator="greaterThanOrEqual">
      <formula>0</formula>
    </cfRule>
  </conditionalFormatting>
  <conditionalFormatting sqref="CM59">
    <cfRule type="cellIs" dxfId="858" priority="2661" operator="lessThan">
      <formula>0</formula>
    </cfRule>
  </conditionalFormatting>
  <conditionalFormatting sqref="CM62">
    <cfRule type="cellIs" dxfId="857" priority="2660" operator="greaterThanOrEqual">
      <formula>0</formula>
    </cfRule>
  </conditionalFormatting>
  <conditionalFormatting sqref="CM62">
    <cfRule type="cellIs" dxfId="856" priority="2659" operator="lessThan">
      <formula>0</formula>
    </cfRule>
  </conditionalFormatting>
  <conditionalFormatting sqref="CM65">
    <cfRule type="cellIs" dxfId="855" priority="2658" operator="greaterThanOrEqual">
      <formula>0</formula>
    </cfRule>
  </conditionalFormatting>
  <conditionalFormatting sqref="CM65">
    <cfRule type="cellIs" dxfId="854" priority="2657" operator="lessThan">
      <formula>0</formula>
    </cfRule>
  </conditionalFormatting>
  <conditionalFormatting sqref="CM56">
    <cfRule type="cellIs" dxfId="853" priority="2655" operator="lessThan">
      <formula>0</formula>
    </cfRule>
  </conditionalFormatting>
  <conditionalFormatting sqref="CM56">
    <cfRule type="cellIs" dxfId="852" priority="2656" operator="greaterThanOrEqual">
      <formula>0</formula>
    </cfRule>
  </conditionalFormatting>
  <conditionalFormatting sqref="CM66">
    <cfRule type="cellIs" dxfId="851" priority="2653" operator="lessThan">
      <formula>0</formula>
    </cfRule>
  </conditionalFormatting>
  <conditionalFormatting sqref="CM66">
    <cfRule type="cellIs" dxfId="850" priority="2654" operator="greaterThanOrEqual">
      <formula>0</formula>
    </cfRule>
  </conditionalFormatting>
  <conditionalFormatting sqref="CL70">
    <cfRule type="cellIs" dxfId="849" priority="2651" operator="lessThan">
      <formula>0</formula>
    </cfRule>
    <cfRule type="cellIs" dxfId="848" priority="2652" operator="greaterThanOrEqual">
      <formula>0</formula>
    </cfRule>
  </conditionalFormatting>
  <conditionalFormatting sqref="CM70">
    <cfRule type="cellIs" dxfId="847" priority="2649" operator="lessThan">
      <formula>0</formula>
    </cfRule>
    <cfRule type="cellIs" dxfId="846" priority="2650" operator="greaterThanOrEqual">
      <formula>0</formula>
    </cfRule>
  </conditionalFormatting>
  <conditionalFormatting sqref="CM72">
    <cfRule type="cellIs" dxfId="845" priority="2647" operator="lessThan">
      <formula>0</formula>
    </cfRule>
    <cfRule type="cellIs" dxfId="844" priority="2648" operator="greaterThanOrEqual">
      <formula>0</formula>
    </cfRule>
  </conditionalFormatting>
  <conditionalFormatting sqref="CE55">
    <cfRule type="cellIs" dxfId="843" priority="2646" operator="greaterThanOrEqual">
      <formula>0</formula>
    </cfRule>
  </conditionalFormatting>
  <conditionalFormatting sqref="CE55">
    <cfRule type="cellIs" dxfId="842" priority="2645" operator="lessThan">
      <formula>0</formula>
    </cfRule>
  </conditionalFormatting>
  <conditionalFormatting sqref="CJ55">
    <cfRule type="cellIs" dxfId="841" priority="2643" operator="greaterThan">
      <formula>0</formula>
    </cfRule>
    <cfRule type="cellIs" dxfId="840" priority="2644" operator="lessThanOrEqual">
      <formula>0</formula>
    </cfRule>
  </conditionalFormatting>
  <conditionalFormatting sqref="CI55">
    <cfRule type="cellIs" dxfId="839" priority="2642" operator="greaterThanOrEqual">
      <formula>0</formula>
    </cfRule>
  </conditionalFormatting>
  <conditionalFormatting sqref="CI55">
    <cfRule type="cellIs" dxfId="838" priority="2641" operator="lessThan">
      <formula>0</formula>
    </cfRule>
  </conditionalFormatting>
  <conditionalFormatting sqref="CF55">
    <cfRule type="cellIs" dxfId="837" priority="2639" operator="greaterThan">
      <formula>0</formula>
    </cfRule>
    <cfRule type="cellIs" dxfId="836" priority="2640" operator="lessThanOrEqual">
      <formula>0</formula>
    </cfRule>
  </conditionalFormatting>
  <conditionalFormatting sqref="CL55">
    <cfRule type="cellIs" dxfId="835" priority="2638" operator="greaterThanOrEqual">
      <formula>0</formula>
    </cfRule>
  </conditionalFormatting>
  <conditionalFormatting sqref="CL55">
    <cfRule type="cellIs" dxfId="834" priority="2637" operator="lessThan">
      <formula>0</formula>
    </cfRule>
  </conditionalFormatting>
  <conditionalFormatting sqref="CM55">
    <cfRule type="cellIs" dxfId="833" priority="2636" operator="greaterThanOrEqual">
      <formula>0</formula>
    </cfRule>
  </conditionalFormatting>
  <conditionalFormatting sqref="CM55">
    <cfRule type="cellIs" dxfId="832" priority="2635" operator="lessThan">
      <formula>0</formula>
    </cfRule>
  </conditionalFormatting>
  <conditionalFormatting sqref="CF27">
    <cfRule type="cellIs" dxfId="831" priority="2189" operator="greaterThan">
      <formula>0</formula>
    </cfRule>
    <cfRule type="cellIs" dxfId="830" priority="2190" operator="lessThanOrEqual">
      <formula>0</formula>
    </cfRule>
  </conditionalFormatting>
  <conditionalFormatting sqref="CE27">
    <cfRule type="cellIs" dxfId="829" priority="2188" operator="greaterThanOrEqual">
      <formula>0</formula>
    </cfRule>
  </conditionalFormatting>
  <conditionalFormatting sqref="CE27">
    <cfRule type="cellIs" dxfId="828" priority="2187" operator="lessThan">
      <formula>0</formula>
    </cfRule>
  </conditionalFormatting>
  <conditionalFormatting sqref="CJ27">
    <cfRule type="cellIs" dxfId="827" priority="2185" operator="greaterThan">
      <formula>0</formula>
    </cfRule>
    <cfRule type="cellIs" dxfId="826" priority="2186" operator="lessThanOrEqual">
      <formula>0</formula>
    </cfRule>
  </conditionalFormatting>
  <conditionalFormatting sqref="CI27">
    <cfRule type="cellIs" dxfId="825" priority="2184" operator="greaterThanOrEqual">
      <formula>0</formula>
    </cfRule>
  </conditionalFormatting>
  <conditionalFormatting sqref="CI27">
    <cfRule type="cellIs" dxfId="824" priority="2183" operator="lessThan">
      <formula>0</formula>
    </cfRule>
  </conditionalFormatting>
  <conditionalFormatting sqref="CL27">
    <cfRule type="cellIs" dxfId="823" priority="2182" operator="greaterThanOrEqual">
      <formula>0</formula>
    </cfRule>
  </conditionalFormatting>
  <conditionalFormatting sqref="CL27">
    <cfRule type="cellIs" dxfId="822" priority="2181" operator="lessThan">
      <formula>0</formula>
    </cfRule>
  </conditionalFormatting>
  <conditionalFormatting sqref="CM27">
    <cfRule type="cellIs" dxfId="821" priority="2180" operator="greaterThanOrEqual">
      <formula>0</formula>
    </cfRule>
  </conditionalFormatting>
  <conditionalFormatting sqref="CM27">
    <cfRule type="cellIs" dxfId="820" priority="2179" operator="lessThan">
      <formula>0</formula>
    </cfRule>
  </conditionalFormatting>
  <conditionalFormatting sqref="CQ13:CQ14">
    <cfRule type="cellIs" dxfId="819" priority="2159" operator="greaterThan">
      <formula>0</formula>
    </cfRule>
    <cfRule type="cellIs" dxfId="818" priority="2160" operator="lessThanOrEqual">
      <formula>0</formula>
    </cfRule>
  </conditionalFormatting>
  <conditionalFormatting sqref="CQ16:CQ17">
    <cfRule type="cellIs" dxfId="817" priority="2157" operator="greaterThan">
      <formula>0</formula>
    </cfRule>
    <cfRule type="cellIs" dxfId="816" priority="2158" operator="lessThanOrEqual">
      <formula>0</formula>
    </cfRule>
  </conditionalFormatting>
  <conditionalFormatting sqref="CQ19:CQ20">
    <cfRule type="cellIs" dxfId="815" priority="2155" operator="greaterThan">
      <formula>0</formula>
    </cfRule>
    <cfRule type="cellIs" dxfId="814" priority="2156" operator="lessThanOrEqual">
      <formula>0</formula>
    </cfRule>
  </conditionalFormatting>
  <conditionalFormatting sqref="CQ29:CQ30">
    <cfRule type="cellIs" dxfId="813" priority="2153" operator="greaterThan">
      <formula>0</formula>
    </cfRule>
    <cfRule type="cellIs" dxfId="812" priority="2154" operator="lessThanOrEqual">
      <formula>0</formula>
    </cfRule>
  </conditionalFormatting>
  <conditionalFormatting sqref="CQ22:CQ23">
    <cfRule type="cellIs" dxfId="811" priority="2151" operator="greaterThan">
      <formula>0</formula>
    </cfRule>
    <cfRule type="cellIs" dxfId="810" priority="2152" operator="lessThanOrEqual">
      <formula>0</formula>
    </cfRule>
  </conditionalFormatting>
  <conditionalFormatting sqref="CQ32:CQ33">
    <cfRule type="cellIs" dxfId="809" priority="2149" operator="greaterThan">
      <formula>0</formula>
    </cfRule>
    <cfRule type="cellIs" dxfId="808" priority="2150" operator="lessThanOrEqual">
      <formula>0</formula>
    </cfRule>
  </conditionalFormatting>
  <conditionalFormatting sqref="CQ35:CQ36">
    <cfRule type="cellIs" dxfId="807" priority="2147" operator="greaterThan">
      <formula>0</formula>
    </cfRule>
    <cfRule type="cellIs" dxfId="806" priority="2148" operator="lessThanOrEqual">
      <formula>0</formula>
    </cfRule>
  </conditionalFormatting>
  <conditionalFormatting sqref="CQ38:CQ39">
    <cfRule type="cellIs" dxfId="805" priority="2145" operator="greaterThan">
      <formula>0</formula>
    </cfRule>
    <cfRule type="cellIs" dxfId="804" priority="2146" operator="lessThanOrEqual">
      <formula>0</formula>
    </cfRule>
  </conditionalFormatting>
  <conditionalFormatting sqref="CQ48:CQ49">
    <cfRule type="cellIs" dxfId="803" priority="2143" operator="greaterThan">
      <formula>0</formula>
    </cfRule>
    <cfRule type="cellIs" dxfId="802" priority="2144" operator="lessThanOrEqual">
      <formula>0</formula>
    </cfRule>
  </conditionalFormatting>
  <conditionalFormatting sqref="CQ63:CQ64">
    <cfRule type="cellIs" dxfId="801" priority="2141" operator="greaterThan">
      <formula>0</formula>
    </cfRule>
    <cfRule type="cellIs" dxfId="800" priority="2142" operator="lessThanOrEqual">
      <formula>0</formula>
    </cfRule>
  </conditionalFormatting>
  <conditionalFormatting sqref="CQ53:CQ54">
    <cfRule type="cellIs" dxfId="799" priority="2139" operator="greaterThan">
      <formula>0</formula>
    </cfRule>
    <cfRule type="cellIs" dxfId="798" priority="2140" operator="lessThanOrEqual">
      <formula>0</formula>
    </cfRule>
  </conditionalFormatting>
  <conditionalFormatting sqref="CQ15">
    <cfRule type="cellIs" dxfId="797" priority="2137" operator="greaterThan">
      <formula>0</formula>
    </cfRule>
    <cfRule type="cellIs" dxfId="796" priority="2138" operator="lessThanOrEqual">
      <formula>0</formula>
    </cfRule>
  </conditionalFormatting>
  <conditionalFormatting sqref="CQ18">
    <cfRule type="cellIs" dxfId="795" priority="2135" operator="greaterThan">
      <formula>0</formula>
    </cfRule>
    <cfRule type="cellIs" dxfId="794" priority="2136" operator="lessThanOrEqual">
      <formula>0</formula>
    </cfRule>
  </conditionalFormatting>
  <conditionalFormatting sqref="CQ21">
    <cfRule type="cellIs" dxfId="793" priority="2133" operator="greaterThan">
      <formula>0</formula>
    </cfRule>
    <cfRule type="cellIs" dxfId="792" priority="2134" operator="lessThanOrEqual">
      <formula>0</formula>
    </cfRule>
  </conditionalFormatting>
  <conditionalFormatting sqref="CQ31">
    <cfRule type="cellIs" dxfId="791" priority="2131" operator="greaterThan">
      <formula>0</formula>
    </cfRule>
    <cfRule type="cellIs" dxfId="790" priority="2132" operator="lessThanOrEqual">
      <formula>0</formula>
    </cfRule>
  </conditionalFormatting>
  <conditionalFormatting sqref="CQ24">
    <cfRule type="cellIs" dxfId="789" priority="2129" operator="greaterThan">
      <formula>0</formula>
    </cfRule>
    <cfRule type="cellIs" dxfId="788" priority="2130" operator="lessThanOrEqual">
      <formula>0</formula>
    </cfRule>
  </conditionalFormatting>
  <conditionalFormatting sqref="CQ34">
    <cfRule type="cellIs" dxfId="787" priority="2127" operator="greaterThan">
      <formula>0</formula>
    </cfRule>
    <cfRule type="cellIs" dxfId="786" priority="2128" operator="lessThanOrEqual">
      <formula>0</formula>
    </cfRule>
  </conditionalFormatting>
  <conditionalFormatting sqref="CQ37">
    <cfRule type="cellIs" dxfId="785" priority="2125" operator="greaterThan">
      <formula>0</formula>
    </cfRule>
    <cfRule type="cellIs" dxfId="784" priority="2126" operator="lessThanOrEqual">
      <formula>0</formula>
    </cfRule>
  </conditionalFormatting>
  <conditionalFormatting sqref="CQ40">
    <cfRule type="cellIs" dxfId="783" priority="2123" operator="greaterThan">
      <formula>0</formula>
    </cfRule>
    <cfRule type="cellIs" dxfId="782" priority="2124" operator="lessThanOrEqual">
      <formula>0</formula>
    </cfRule>
  </conditionalFormatting>
  <conditionalFormatting sqref="CQ26">
    <cfRule type="cellIs" dxfId="781" priority="2121" operator="greaterThan">
      <formula>0</formula>
    </cfRule>
    <cfRule type="cellIs" dxfId="780" priority="2122" operator="lessThanOrEqual">
      <formula>0</formula>
    </cfRule>
  </conditionalFormatting>
  <conditionalFormatting sqref="CQ66 CQ68 CQ71">
    <cfRule type="cellIs" dxfId="779" priority="2119" operator="greaterThan">
      <formula>0</formula>
    </cfRule>
    <cfRule type="cellIs" dxfId="778" priority="2120" operator="lessThanOrEqual">
      <formula>0</formula>
    </cfRule>
  </conditionalFormatting>
  <conditionalFormatting sqref="CP13:CP14 CP16:CP17 CP19:CP20 CP22:CP23 CP29:CP30 CP32:CP33 CP35:CP36 CP38:CP39 CP48:CP49 CP53:CP54">
    <cfRule type="cellIs" dxfId="777" priority="2117" operator="lessThan">
      <formula>0</formula>
    </cfRule>
    <cfRule type="cellIs" dxfId="776" priority="2118" operator="greaterThanOrEqual">
      <formula>0</formula>
    </cfRule>
  </conditionalFormatting>
  <conditionalFormatting sqref="CP15 CP18 CP21 CP24 CP26 CP31 CP34 CP37 CP40">
    <cfRule type="cellIs" dxfId="775" priority="2116" operator="greaterThanOrEqual">
      <formula>0</formula>
    </cfRule>
  </conditionalFormatting>
  <conditionalFormatting sqref="CP15 CP18 CP21 CP24 CP26 CP31 CP34 CP37 CP40">
    <cfRule type="cellIs" dxfId="774" priority="2115" operator="lessThan">
      <formula>0</formula>
    </cfRule>
  </conditionalFormatting>
  <conditionalFormatting sqref="CQ73">
    <cfRule type="cellIs" dxfId="773" priority="2113" operator="greaterThan">
      <formula>0</formula>
    </cfRule>
    <cfRule type="cellIs" dxfId="772" priority="2114" operator="lessThanOrEqual">
      <formula>0</formula>
    </cfRule>
  </conditionalFormatting>
  <conditionalFormatting sqref="CQ67">
    <cfRule type="cellIs" dxfId="771" priority="2111" operator="greaterThan">
      <formula>0</formula>
    </cfRule>
    <cfRule type="cellIs" dxfId="770" priority="2112" operator="lessThanOrEqual">
      <formula>0</formula>
    </cfRule>
  </conditionalFormatting>
  <conditionalFormatting sqref="CP67">
    <cfRule type="cellIs" dxfId="769" priority="2109" operator="greaterThanOrEqual">
      <formula>0</formula>
    </cfRule>
    <cfRule type="cellIs" dxfId="768" priority="2110" operator="lessThan">
      <formula>0</formula>
    </cfRule>
  </conditionalFormatting>
  <conditionalFormatting sqref="CW13:CW14 CW16:CW17 CW19:CW20 CW22:CW23 CW29:CW30 CW32:CW33 CW35:CW36 CW38:CW39 CW48:CW49">
    <cfRule type="cellIs" dxfId="767" priority="2107" operator="lessThan">
      <formula>0</formula>
    </cfRule>
    <cfRule type="cellIs" dxfId="766" priority="2108" operator="greaterThanOrEqual">
      <formula>0</formula>
    </cfRule>
  </conditionalFormatting>
  <conditionalFormatting sqref="CW15 CW24 CW18 CW21 CW31 CW34 CW37 CW40">
    <cfRule type="cellIs" dxfId="765" priority="2106" operator="greaterThanOrEqual">
      <formula>0</formula>
    </cfRule>
  </conditionalFormatting>
  <conditionalFormatting sqref="CW15 CW24 CW18 CW21 CW31 CW34 CW37 CW40">
    <cfRule type="cellIs" dxfId="764" priority="2105" operator="lessThan">
      <formula>0</formula>
    </cfRule>
  </conditionalFormatting>
  <conditionalFormatting sqref="CW71 CW73">
    <cfRule type="cellIs" dxfId="763" priority="2103" operator="lessThan">
      <formula>0</formula>
    </cfRule>
    <cfRule type="cellIs" dxfId="762" priority="2104" operator="greaterThanOrEqual">
      <formula>0</formula>
    </cfRule>
  </conditionalFormatting>
  <conditionalFormatting sqref="CW67">
    <cfRule type="cellIs" dxfId="761" priority="2101" operator="greaterThanOrEqual">
      <formula>0</formula>
    </cfRule>
    <cfRule type="cellIs" dxfId="760" priority="2102" operator="lessThan">
      <formula>0</formula>
    </cfRule>
  </conditionalFormatting>
  <conditionalFormatting sqref="CX13:CX14">
    <cfRule type="cellIs" dxfId="759" priority="2099" operator="greaterThan">
      <formula>0</formula>
    </cfRule>
    <cfRule type="cellIs" dxfId="758" priority="2100" operator="lessThanOrEqual">
      <formula>0</formula>
    </cfRule>
  </conditionalFormatting>
  <conditionalFormatting sqref="CX68">
    <cfRule type="cellIs" dxfId="757" priority="2097" operator="lessThan">
      <formula>0</formula>
    </cfRule>
    <cfRule type="cellIs" dxfId="756" priority="2098" operator="greaterThanOrEqual">
      <formula>0</formula>
    </cfRule>
  </conditionalFormatting>
  <conditionalFormatting sqref="CX15 CX24 CX18 CX21 CX31 CX34 CX37 CX40">
    <cfRule type="cellIs" dxfId="755" priority="2096" operator="greaterThanOrEqual">
      <formula>0</formula>
    </cfRule>
  </conditionalFormatting>
  <conditionalFormatting sqref="CX15 CX24 CX18 CX21 CX31 CX34 CX37 CX40">
    <cfRule type="cellIs" dxfId="754" priority="2095" operator="lessThan">
      <formula>0</formula>
    </cfRule>
  </conditionalFormatting>
  <conditionalFormatting sqref="CW68">
    <cfRule type="cellIs" dxfId="753" priority="2093" operator="lessThan">
      <formula>0</formula>
    </cfRule>
    <cfRule type="cellIs" dxfId="752" priority="2094" operator="greaterThanOrEqual">
      <formula>0</formula>
    </cfRule>
  </conditionalFormatting>
  <conditionalFormatting sqref="CX71 CX73">
    <cfRule type="cellIs" dxfId="751" priority="2091" operator="lessThan">
      <formula>0</formula>
    </cfRule>
    <cfRule type="cellIs" dxfId="750" priority="2092" operator="greaterThanOrEqual">
      <formula>0</formula>
    </cfRule>
  </conditionalFormatting>
  <conditionalFormatting sqref="CX67">
    <cfRule type="cellIs" dxfId="749" priority="2089" operator="lessThan">
      <formula>0</formula>
    </cfRule>
    <cfRule type="cellIs" dxfId="748" priority="2090" operator="greaterThanOrEqual">
      <formula>0</formula>
    </cfRule>
  </conditionalFormatting>
  <conditionalFormatting sqref="CP62">
    <cfRule type="cellIs" dxfId="747" priority="2070" operator="greaterThanOrEqual">
      <formula>0</formula>
    </cfRule>
  </conditionalFormatting>
  <conditionalFormatting sqref="CP62">
    <cfRule type="cellIs" dxfId="746" priority="2069" operator="lessThan">
      <formula>0</formula>
    </cfRule>
  </conditionalFormatting>
  <conditionalFormatting sqref="CQ44">
    <cfRule type="cellIs" dxfId="745" priority="2079" operator="greaterThan">
      <formula>0</formula>
    </cfRule>
    <cfRule type="cellIs" dxfId="744" priority="2080" operator="lessThanOrEqual">
      <formula>0</formula>
    </cfRule>
  </conditionalFormatting>
  <conditionalFormatting sqref="CQ47">
    <cfRule type="cellIs" dxfId="743" priority="2077" operator="greaterThan">
      <formula>0</formula>
    </cfRule>
    <cfRule type="cellIs" dxfId="742" priority="2078" operator="lessThanOrEqual">
      <formula>0</formula>
    </cfRule>
  </conditionalFormatting>
  <conditionalFormatting sqref="CQ50">
    <cfRule type="cellIs" dxfId="741" priority="2075" operator="greaterThan">
      <formula>0</formula>
    </cfRule>
    <cfRule type="cellIs" dxfId="740" priority="2076" operator="lessThanOrEqual">
      <formula>0</formula>
    </cfRule>
  </conditionalFormatting>
  <conditionalFormatting sqref="CQ28">
    <cfRule type="cellIs" dxfId="739" priority="2087" operator="greaterThan">
      <formula>0</formula>
    </cfRule>
    <cfRule type="cellIs" dxfId="738" priority="2088" operator="lessThanOrEqual">
      <formula>0</formula>
    </cfRule>
  </conditionalFormatting>
  <conditionalFormatting sqref="CQ41">
    <cfRule type="cellIs" dxfId="737" priority="2085" operator="greaterThan">
      <formula>0</formula>
    </cfRule>
    <cfRule type="cellIs" dxfId="736" priority="2086" operator="lessThanOrEqual">
      <formula>0</formula>
    </cfRule>
  </conditionalFormatting>
  <conditionalFormatting sqref="CQ42:CQ43 CQ45:CQ46">
    <cfRule type="cellIs" dxfId="735" priority="2083" operator="greaterThan">
      <formula>0</formula>
    </cfRule>
    <cfRule type="cellIs" dxfId="734" priority="2084" operator="lessThanOrEqual">
      <formula>0</formula>
    </cfRule>
  </conditionalFormatting>
  <conditionalFormatting sqref="CQ57:CQ58 CQ60:CQ61">
    <cfRule type="cellIs" dxfId="733" priority="2081" operator="greaterThan">
      <formula>0</formula>
    </cfRule>
    <cfRule type="cellIs" dxfId="732" priority="2082" operator="lessThanOrEqual">
      <formula>0</formula>
    </cfRule>
  </conditionalFormatting>
  <conditionalFormatting sqref="CQ59">
    <cfRule type="cellIs" dxfId="731" priority="2073" operator="greaterThan">
      <formula>0</formula>
    </cfRule>
    <cfRule type="cellIs" dxfId="730" priority="2074" operator="lessThanOrEqual">
      <formula>0</formula>
    </cfRule>
  </conditionalFormatting>
  <conditionalFormatting sqref="CQ62">
    <cfRule type="cellIs" dxfId="729" priority="2071" operator="greaterThan">
      <formula>0</formula>
    </cfRule>
    <cfRule type="cellIs" dxfId="728" priority="2072" operator="lessThanOrEqual">
      <formula>0</formula>
    </cfRule>
  </conditionalFormatting>
  <conditionalFormatting sqref="CQ65">
    <cfRule type="cellIs" dxfId="727" priority="2067" operator="greaterThan">
      <formula>0</formula>
    </cfRule>
    <cfRule type="cellIs" dxfId="726" priority="2068" operator="lessThanOrEqual">
      <formula>0</formula>
    </cfRule>
  </conditionalFormatting>
  <conditionalFormatting sqref="CU47">
    <cfRule type="cellIs" dxfId="725" priority="1737" operator="greaterThan">
      <formula>0</formula>
    </cfRule>
    <cfRule type="cellIs" dxfId="724" priority="1738" operator="lessThanOrEqual">
      <formula>0</formula>
    </cfRule>
  </conditionalFormatting>
  <conditionalFormatting sqref="CU59">
    <cfRule type="cellIs" dxfId="723" priority="1733" operator="greaterThan">
      <formula>0</formula>
    </cfRule>
    <cfRule type="cellIs" dxfId="722" priority="1734" operator="lessThanOrEqual">
      <formula>0</formula>
    </cfRule>
  </conditionalFormatting>
  <conditionalFormatting sqref="CT62">
    <cfRule type="cellIs" dxfId="721" priority="1730" operator="greaterThanOrEqual">
      <formula>0</formula>
    </cfRule>
  </conditionalFormatting>
  <conditionalFormatting sqref="CT62">
    <cfRule type="cellIs" dxfId="720" priority="1729" operator="lessThan">
      <formula>0</formula>
    </cfRule>
  </conditionalFormatting>
  <conditionalFormatting sqref="CQ25">
    <cfRule type="cellIs" dxfId="719" priority="1857" operator="greaterThan">
      <formula>0</formula>
    </cfRule>
    <cfRule type="cellIs" dxfId="718" priority="1858" operator="lessThanOrEqual">
      <formula>0</formula>
    </cfRule>
  </conditionalFormatting>
  <conditionalFormatting sqref="CX52">
    <cfRule type="cellIs" dxfId="717" priority="1845" operator="lessThan">
      <formula>0</formula>
    </cfRule>
  </conditionalFormatting>
  <conditionalFormatting sqref="CQ56">
    <cfRule type="cellIs" dxfId="716" priority="1855" operator="greaterThan">
      <formula>0</formula>
    </cfRule>
    <cfRule type="cellIs" dxfId="715" priority="1856" operator="lessThanOrEqual">
      <formula>0</formula>
    </cfRule>
  </conditionalFormatting>
  <conditionalFormatting sqref="CP56">
    <cfRule type="cellIs" dxfId="714" priority="1854" operator="greaterThanOrEqual">
      <formula>0</formula>
    </cfRule>
  </conditionalFormatting>
  <conditionalFormatting sqref="CP56">
    <cfRule type="cellIs" dxfId="713" priority="1853" operator="lessThan">
      <formula>0</formula>
    </cfRule>
  </conditionalFormatting>
  <conditionalFormatting sqref="CQ52">
    <cfRule type="cellIs" dxfId="712" priority="1851" operator="greaterThan">
      <formula>0</formula>
    </cfRule>
    <cfRule type="cellIs" dxfId="711" priority="1852" operator="lessThanOrEqual">
      <formula>0</formula>
    </cfRule>
  </conditionalFormatting>
  <conditionalFormatting sqref="CP52">
    <cfRule type="cellIs" dxfId="710" priority="1850" operator="greaterThanOrEqual">
      <formula>0</formula>
    </cfRule>
  </conditionalFormatting>
  <conditionalFormatting sqref="CP52">
    <cfRule type="cellIs" dxfId="709" priority="1849" operator="lessThan">
      <formula>0</formula>
    </cfRule>
  </conditionalFormatting>
  <conditionalFormatting sqref="CW52">
    <cfRule type="cellIs" dxfId="708" priority="1848" operator="greaterThanOrEqual">
      <formula>0</formula>
    </cfRule>
  </conditionalFormatting>
  <conditionalFormatting sqref="CW52">
    <cfRule type="cellIs" dxfId="707" priority="1847" operator="lessThan">
      <formula>0</formula>
    </cfRule>
  </conditionalFormatting>
  <conditionalFormatting sqref="CX52">
    <cfRule type="cellIs" dxfId="706" priority="1846" operator="greaterThanOrEqual">
      <formula>0</formula>
    </cfRule>
  </conditionalFormatting>
  <conditionalFormatting sqref="CQ69">
    <cfRule type="cellIs" dxfId="705" priority="1843" operator="greaterThan">
      <formula>0</formula>
    </cfRule>
    <cfRule type="cellIs" dxfId="704" priority="1844" operator="lessThanOrEqual">
      <formula>0</formula>
    </cfRule>
  </conditionalFormatting>
  <conditionalFormatting sqref="CW69">
    <cfRule type="cellIs" dxfId="703" priority="1841" operator="lessThan">
      <formula>0</formula>
    </cfRule>
    <cfRule type="cellIs" dxfId="702" priority="1842" operator="greaterThanOrEqual">
      <formula>0</formula>
    </cfRule>
  </conditionalFormatting>
  <conditionalFormatting sqref="CX69">
    <cfRule type="cellIs" dxfId="701" priority="1839" operator="lessThan">
      <formula>0</formula>
    </cfRule>
    <cfRule type="cellIs" dxfId="700" priority="1840" operator="greaterThanOrEqual">
      <formula>0</formula>
    </cfRule>
  </conditionalFormatting>
  <conditionalFormatting sqref="CQ70">
    <cfRule type="cellIs" dxfId="699" priority="1837" operator="greaterThan">
      <formula>0</formula>
    </cfRule>
    <cfRule type="cellIs" dxfId="698" priority="1838" operator="lessThanOrEqual">
      <formula>0</formula>
    </cfRule>
  </conditionalFormatting>
  <conditionalFormatting sqref="CW72">
    <cfRule type="cellIs" dxfId="697" priority="1835" operator="lessThan">
      <formula>0</formula>
    </cfRule>
    <cfRule type="cellIs" dxfId="696" priority="1836" operator="greaterThanOrEqual">
      <formula>0</formula>
    </cfRule>
  </conditionalFormatting>
  <conditionalFormatting sqref="CQ72">
    <cfRule type="cellIs" dxfId="695" priority="1833" operator="greaterThan">
      <formula>0</formula>
    </cfRule>
    <cfRule type="cellIs" dxfId="694" priority="1834" operator="lessThanOrEqual">
      <formula>0</formula>
    </cfRule>
  </conditionalFormatting>
  <conditionalFormatting sqref="CP25">
    <cfRule type="cellIs" dxfId="693" priority="1832" operator="greaterThanOrEqual">
      <formula>0</formula>
    </cfRule>
  </conditionalFormatting>
  <conditionalFormatting sqref="CP25">
    <cfRule type="cellIs" dxfId="692" priority="1831" operator="lessThan">
      <formula>0</formula>
    </cfRule>
  </conditionalFormatting>
  <conditionalFormatting sqref="CP28">
    <cfRule type="cellIs" dxfId="691" priority="1830" operator="greaterThanOrEqual">
      <formula>0</formula>
    </cfRule>
  </conditionalFormatting>
  <conditionalFormatting sqref="CP28">
    <cfRule type="cellIs" dxfId="690" priority="1829" operator="lessThan">
      <formula>0</formula>
    </cfRule>
  </conditionalFormatting>
  <conditionalFormatting sqref="CP41">
    <cfRule type="cellIs" dxfId="689" priority="1828" operator="greaterThanOrEqual">
      <formula>0</formula>
    </cfRule>
  </conditionalFormatting>
  <conditionalFormatting sqref="CP41">
    <cfRule type="cellIs" dxfId="688" priority="1827" operator="lessThan">
      <formula>0</formula>
    </cfRule>
  </conditionalFormatting>
  <conditionalFormatting sqref="CP44">
    <cfRule type="cellIs" dxfId="687" priority="1826" operator="greaterThanOrEqual">
      <formula>0</formula>
    </cfRule>
  </conditionalFormatting>
  <conditionalFormatting sqref="CP44">
    <cfRule type="cellIs" dxfId="686" priority="1825" operator="lessThan">
      <formula>0</formula>
    </cfRule>
  </conditionalFormatting>
  <conditionalFormatting sqref="CP47">
    <cfRule type="cellIs" dxfId="685" priority="1824" operator="greaterThanOrEqual">
      <formula>0</formula>
    </cfRule>
  </conditionalFormatting>
  <conditionalFormatting sqref="CP47">
    <cfRule type="cellIs" dxfId="684" priority="1823" operator="lessThan">
      <formula>0</formula>
    </cfRule>
  </conditionalFormatting>
  <conditionalFormatting sqref="CP50">
    <cfRule type="cellIs" dxfId="683" priority="1822" operator="greaterThanOrEqual">
      <formula>0</formula>
    </cfRule>
  </conditionalFormatting>
  <conditionalFormatting sqref="CP50">
    <cfRule type="cellIs" dxfId="682" priority="1821" operator="lessThan">
      <formula>0</formula>
    </cfRule>
  </conditionalFormatting>
  <conditionalFormatting sqref="CP51">
    <cfRule type="cellIs" dxfId="681" priority="1820" operator="greaterThanOrEqual">
      <formula>0</formula>
    </cfRule>
  </conditionalFormatting>
  <conditionalFormatting sqref="CP51">
    <cfRule type="cellIs" dxfId="680" priority="1819" operator="lessThan">
      <formula>0</formula>
    </cfRule>
  </conditionalFormatting>
  <conditionalFormatting sqref="CP59">
    <cfRule type="cellIs" dxfId="679" priority="1818" operator="greaterThanOrEqual">
      <formula>0</formula>
    </cfRule>
  </conditionalFormatting>
  <conditionalFormatting sqref="CP59">
    <cfRule type="cellIs" dxfId="678" priority="1817" operator="lessThan">
      <formula>0</formula>
    </cfRule>
  </conditionalFormatting>
  <conditionalFormatting sqref="CP65">
    <cfRule type="cellIs" dxfId="677" priority="1816" operator="greaterThanOrEqual">
      <formula>0</formula>
    </cfRule>
  </conditionalFormatting>
  <conditionalFormatting sqref="CP65">
    <cfRule type="cellIs" dxfId="676" priority="1815" operator="lessThan">
      <formula>0</formula>
    </cfRule>
  </conditionalFormatting>
  <conditionalFormatting sqref="CP66">
    <cfRule type="cellIs" dxfId="675" priority="1814" operator="greaterThanOrEqual">
      <formula>0</formula>
    </cfRule>
  </conditionalFormatting>
  <conditionalFormatting sqref="CP66">
    <cfRule type="cellIs" dxfId="674" priority="1813" operator="lessThan">
      <formula>0</formula>
    </cfRule>
  </conditionalFormatting>
  <conditionalFormatting sqref="CP68:CP70">
    <cfRule type="cellIs" dxfId="673" priority="1811" operator="lessThan">
      <formula>0</formula>
    </cfRule>
    <cfRule type="cellIs" dxfId="672" priority="1812" operator="greaterThanOrEqual">
      <formula>0</formula>
    </cfRule>
  </conditionalFormatting>
  <conditionalFormatting sqref="CP71:CP72">
    <cfRule type="cellIs" dxfId="671" priority="1810" operator="greaterThanOrEqual">
      <formula>0</formula>
    </cfRule>
  </conditionalFormatting>
  <conditionalFormatting sqref="CP71:CP72">
    <cfRule type="cellIs" dxfId="670" priority="1809" operator="lessThan">
      <formula>0</formula>
    </cfRule>
  </conditionalFormatting>
  <conditionalFormatting sqref="CP73">
    <cfRule type="cellIs" dxfId="669" priority="1808" operator="greaterThanOrEqual">
      <formula>0</formula>
    </cfRule>
  </conditionalFormatting>
  <conditionalFormatting sqref="CP73">
    <cfRule type="cellIs" dxfId="668" priority="1807" operator="lessThan">
      <formula>0</formula>
    </cfRule>
  </conditionalFormatting>
  <conditionalFormatting sqref="CP42:CP43">
    <cfRule type="cellIs" dxfId="667" priority="1805" operator="lessThan">
      <formula>0</formula>
    </cfRule>
    <cfRule type="cellIs" dxfId="666" priority="1806" operator="greaterThanOrEqual">
      <formula>0</formula>
    </cfRule>
  </conditionalFormatting>
  <conditionalFormatting sqref="CP45:CP46">
    <cfRule type="cellIs" dxfId="665" priority="1803" operator="lessThan">
      <formula>0</formula>
    </cfRule>
    <cfRule type="cellIs" dxfId="664" priority="1804" operator="greaterThanOrEqual">
      <formula>0</formula>
    </cfRule>
  </conditionalFormatting>
  <conditionalFormatting sqref="CP57:CP58">
    <cfRule type="cellIs" dxfId="663" priority="1801" operator="lessThan">
      <formula>0</formula>
    </cfRule>
    <cfRule type="cellIs" dxfId="662" priority="1802" operator="greaterThanOrEqual">
      <formula>0</formula>
    </cfRule>
  </conditionalFormatting>
  <conditionalFormatting sqref="CP60:CP61">
    <cfRule type="cellIs" dxfId="661" priority="1799" operator="lessThan">
      <formula>0</formula>
    </cfRule>
    <cfRule type="cellIs" dxfId="660" priority="1800" operator="greaterThanOrEqual">
      <formula>0</formula>
    </cfRule>
  </conditionalFormatting>
  <conditionalFormatting sqref="CP63:CP64">
    <cfRule type="cellIs" dxfId="659" priority="1797" operator="lessThan">
      <formula>0</formula>
    </cfRule>
    <cfRule type="cellIs" dxfId="658" priority="1798" operator="greaterThanOrEqual">
      <formula>0</formula>
    </cfRule>
  </conditionalFormatting>
  <conditionalFormatting sqref="CU13:CU14">
    <cfRule type="cellIs" dxfId="657" priority="1795" operator="greaterThan">
      <formula>0</formula>
    </cfRule>
    <cfRule type="cellIs" dxfId="656" priority="1796" operator="lessThanOrEqual">
      <formula>0</formula>
    </cfRule>
  </conditionalFormatting>
  <conditionalFormatting sqref="CU16:CU17">
    <cfRule type="cellIs" dxfId="655" priority="1793" operator="greaterThan">
      <formula>0</formula>
    </cfRule>
    <cfRule type="cellIs" dxfId="654" priority="1794" operator="lessThanOrEqual">
      <formula>0</formula>
    </cfRule>
  </conditionalFormatting>
  <conditionalFormatting sqref="CU19:CU20">
    <cfRule type="cellIs" dxfId="653" priority="1791" operator="greaterThan">
      <formula>0</formula>
    </cfRule>
    <cfRule type="cellIs" dxfId="652" priority="1792" operator="lessThanOrEqual">
      <formula>0</formula>
    </cfRule>
  </conditionalFormatting>
  <conditionalFormatting sqref="CU29:CU30">
    <cfRule type="cellIs" dxfId="651" priority="1789" operator="greaterThan">
      <formula>0</formula>
    </cfRule>
    <cfRule type="cellIs" dxfId="650" priority="1790" operator="lessThanOrEqual">
      <formula>0</formula>
    </cfRule>
  </conditionalFormatting>
  <conditionalFormatting sqref="CU22:CU23">
    <cfRule type="cellIs" dxfId="649" priority="1787" operator="greaterThan">
      <formula>0</formula>
    </cfRule>
    <cfRule type="cellIs" dxfId="648" priority="1788" operator="lessThanOrEqual">
      <formula>0</formula>
    </cfRule>
  </conditionalFormatting>
  <conditionalFormatting sqref="CU32:CU33">
    <cfRule type="cellIs" dxfId="647" priority="1785" operator="greaterThan">
      <formula>0</formula>
    </cfRule>
    <cfRule type="cellIs" dxfId="646" priority="1786" operator="lessThanOrEqual">
      <formula>0</formula>
    </cfRule>
  </conditionalFormatting>
  <conditionalFormatting sqref="CU35:CU36">
    <cfRule type="cellIs" dxfId="645" priority="1783" operator="greaterThan">
      <formula>0</formula>
    </cfRule>
    <cfRule type="cellIs" dxfId="644" priority="1784" operator="lessThanOrEqual">
      <formula>0</formula>
    </cfRule>
  </conditionalFormatting>
  <conditionalFormatting sqref="CU38:CU39">
    <cfRule type="cellIs" dxfId="643" priority="1781" operator="greaterThan">
      <formula>0</formula>
    </cfRule>
    <cfRule type="cellIs" dxfId="642" priority="1782" operator="lessThanOrEqual">
      <formula>0</formula>
    </cfRule>
  </conditionalFormatting>
  <conditionalFormatting sqref="CU48:CU49">
    <cfRule type="cellIs" dxfId="641" priority="1779" operator="greaterThan">
      <formula>0</formula>
    </cfRule>
    <cfRule type="cellIs" dxfId="640" priority="1780" operator="lessThanOrEqual">
      <formula>0</formula>
    </cfRule>
  </conditionalFormatting>
  <conditionalFormatting sqref="CU63:CU64">
    <cfRule type="cellIs" dxfId="639" priority="1777" operator="greaterThan">
      <formula>0</formula>
    </cfRule>
    <cfRule type="cellIs" dxfId="638" priority="1778" operator="lessThanOrEqual">
      <formula>0</formula>
    </cfRule>
  </conditionalFormatting>
  <conditionalFormatting sqref="CU53:CU54">
    <cfRule type="cellIs" dxfId="637" priority="1775" operator="greaterThan">
      <formula>0</formula>
    </cfRule>
    <cfRule type="cellIs" dxfId="636" priority="1776" operator="lessThanOrEqual">
      <formula>0</formula>
    </cfRule>
  </conditionalFormatting>
  <conditionalFormatting sqref="CU15">
    <cfRule type="cellIs" dxfId="635" priority="1773" operator="greaterThan">
      <formula>0</formula>
    </cfRule>
    <cfRule type="cellIs" dxfId="634" priority="1774" operator="lessThanOrEqual">
      <formula>0</formula>
    </cfRule>
  </conditionalFormatting>
  <conditionalFormatting sqref="CU18">
    <cfRule type="cellIs" dxfId="633" priority="1771" operator="greaterThan">
      <formula>0</formula>
    </cfRule>
    <cfRule type="cellIs" dxfId="632" priority="1772" operator="lessThanOrEqual">
      <formula>0</formula>
    </cfRule>
  </conditionalFormatting>
  <conditionalFormatting sqref="CU21">
    <cfRule type="cellIs" dxfId="631" priority="1769" operator="greaterThan">
      <formula>0</formula>
    </cfRule>
    <cfRule type="cellIs" dxfId="630" priority="1770" operator="lessThanOrEqual">
      <formula>0</formula>
    </cfRule>
  </conditionalFormatting>
  <conditionalFormatting sqref="CU31">
    <cfRule type="cellIs" dxfId="629" priority="1767" operator="greaterThan">
      <formula>0</formula>
    </cfRule>
    <cfRule type="cellIs" dxfId="628" priority="1768" operator="lessThanOrEqual">
      <formula>0</formula>
    </cfRule>
  </conditionalFormatting>
  <conditionalFormatting sqref="CU24">
    <cfRule type="cellIs" dxfId="627" priority="1765" operator="greaterThan">
      <formula>0</formula>
    </cfRule>
    <cfRule type="cellIs" dxfId="626" priority="1766" operator="lessThanOrEqual">
      <formula>0</formula>
    </cfRule>
  </conditionalFormatting>
  <conditionalFormatting sqref="CU34">
    <cfRule type="cellIs" dxfId="625" priority="1763" operator="greaterThan">
      <formula>0</formula>
    </cfRule>
    <cfRule type="cellIs" dxfId="624" priority="1764" operator="lessThanOrEqual">
      <formula>0</formula>
    </cfRule>
  </conditionalFormatting>
  <conditionalFormatting sqref="CU37">
    <cfRule type="cellIs" dxfId="623" priority="1761" operator="greaterThan">
      <formula>0</formula>
    </cfRule>
    <cfRule type="cellIs" dxfId="622" priority="1762" operator="lessThanOrEqual">
      <formula>0</formula>
    </cfRule>
  </conditionalFormatting>
  <conditionalFormatting sqref="CU40">
    <cfRule type="cellIs" dxfId="621" priority="1759" operator="greaterThan">
      <formula>0</formula>
    </cfRule>
    <cfRule type="cellIs" dxfId="620" priority="1760" operator="lessThanOrEqual">
      <formula>0</formula>
    </cfRule>
  </conditionalFormatting>
  <conditionalFormatting sqref="CU26">
    <cfRule type="cellIs" dxfId="619" priority="1757" operator="greaterThan">
      <formula>0</formula>
    </cfRule>
    <cfRule type="cellIs" dxfId="618" priority="1758" operator="lessThanOrEqual">
      <formula>0</formula>
    </cfRule>
  </conditionalFormatting>
  <conditionalFormatting sqref="CU66">
    <cfRule type="cellIs" dxfId="617" priority="1755" operator="greaterThan">
      <formula>0</formula>
    </cfRule>
    <cfRule type="cellIs" dxfId="616" priority="1756" operator="lessThanOrEqual">
      <formula>0</formula>
    </cfRule>
  </conditionalFormatting>
  <conditionalFormatting sqref="CT13:CT14 CT16:CT17 CT19:CT20 CT22:CT23 CT29:CT30 CT32:CT33 CT35:CT36 CT38:CT39 CT48:CT49 CT53:CT54">
    <cfRule type="cellIs" dxfId="615" priority="1753" operator="lessThan">
      <formula>0</formula>
    </cfRule>
    <cfRule type="cellIs" dxfId="614" priority="1754" operator="greaterThanOrEqual">
      <formula>0</formula>
    </cfRule>
  </conditionalFormatting>
  <conditionalFormatting sqref="CT15 CT18 CT21 CT24 CT26 CT31 CT34 CT37 CT40">
    <cfRule type="cellIs" dxfId="613" priority="1752" operator="greaterThanOrEqual">
      <formula>0</formula>
    </cfRule>
  </conditionalFormatting>
  <conditionalFormatting sqref="CT15 CT18 CT21 CT24 CT26 CT31 CT34 CT37 CT40">
    <cfRule type="cellIs" dxfId="612" priority="1751" operator="lessThan">
      <formula>0</formula>
    </cfRule>
  </conditionalFormatting>
  <conditionalFormatting sqref="CU51">
    <cfRule type="cellIs" dxfId="611" priority="1745" operator="greaterThan">
      <formula>0</formula>
    </cfRule>
    <cfRule type="cellIs" dxfId="610" priority="1746" operator="lessThanOrEqual">
      <formula>0</formula>
    </cfRule>
  </conditionalFormatting>
  <conditionalFormatting sqref="CU44">
    <cfRule type="cellIs" dxfId="609" priority="1739" operator="greaterThan">
      <formula>0</formula>
    </cfRule>
    <cfRule type="cellIs" dxfId="608" priority="1740" operator="lessThanOrEqual">
      <formula>0</formula>
    </cfRule>
  </conditionalFormatting>
  <conditionalFormatting sqref="CU50">
    <cfRule type="cellIs" dxfId="607" priority="1735" operator="greaterThan">
      <formula>0</formula>
    </cfRule>
    <cfRule type="cellIs" dxfId="606" priority="1736" operator="lessThanOrEqual">
      <formula>0</formula>
    </cfRule>
  </conditionalFormatting>
  <conditionalFormatting sqref="CU28">
    <cfRule type="cellIs" dxfId="605" priority="1749" operator="greaterThan">
      <formula>0</formula>
    </cfRule>
    <cfRule type="cellIs" dxfId="604" priority="1750" operator="lessThanOrEqual">
      <formula>0</formula>
    </cfRule>
  </conditionalFormatting>
  <conditionalFormatting sqref="CU41">
    <cfRule type="cellIs" dxfId="603" priority="1747" operator="greaterThan">
      <formula>0</formula>
    </cfRule>
    <cfRule type="cellIs" dxfId="602" priority="1748" operator="lessThanOrEqual">
      <formula>0</formula>
    </cfRule>
  </conditionalFormatting>
  <conditionalFormatting sqref="CU42:CU43 CU45:CU46">
    <cfRule type="cellIs" dxfId="601" priority="1743" operator="greaterThan">
      <formula>0</formula>
    </cfRule>
    <cfRule type="cellIs" dxfId="600" priority="1744" operator="lessThanOrEqual">
      <formula>0</formula>
    </cfRule>
  </conditionalFormatting>
  <conditionalFormatting sqref="CU57:CU58 CU60:CU61">
    <cfRule type="cellIs" dxfId="599" priority="1741" operator="greaterThan">
      <formula>0</formula>
    </cfRule>
    <cfRule type="cellIs" dxfId="598" priority="1742" operator="lessThanOrEqual">
      <formula>0</formula>
    </cfRule>
  </conditionalFormatting>
  <conditionalFormatting sqref="CU62">
    <cfRule type="cellIs" dxfId="597" priority="1731" operator="greaterThan">
      <formula>0</formula>
    </cfRule>
    <cfRule type="cellIs" dxfId="596" priority="1732" operator="lessThanOrEqual">
      <formula>0</formula>
    </cfRule>
  </conditionalFormatting>
  <conditionalFormatting sqref="CU65">
    <cfRule type="cellIs" dxfId="595" priority="1727" operator="greaterThan">
      <formula>0</formula>
    </cfRule>
    <cfRule type="cellIs" dxfId="594" priority="1728" operator="lessThanOrEqual">
      <formula>0</formula>
    </cfRule>
  </conditionalFormatting>
  <conditionalFormatting sqref="CU25">
    <cfRule type="cellIs" dxfId="593" priority="1725" operator="greaterThan">
      <formula>0</formula>
    </cfRule>
    <cfRule type="cellIs" dxfId="592" priority="1726" operator="lessThanOrEqual">
      <formula>0</formula>
    </cfRule>
  </conditionalFormatting>
  <conditionalFormatting sqref="CU56">
    <cfRule type="cellIs" dxfId="591" priority="1723" operator="greaterThan">
      <formula>0</formula>
    </cfRule>
    <cfRule type="cellIs" dxfId="590" priority="1724" operator="lessThanOrEqual">
      <formula>0</formula>
    </cfRule>
  </conditionalFormatting>
  <conditionalFormatting sqref="CT56">
    <cfRule type="cellIs" dxfId="589" priority="1722" operator="greaterThanOrEqual">
      <formula>0</formula>
    </cfRule>
  </conditionalFormatting>
  <conditionalFormatting sqref="CT56">
    <cfRule type="cellIs" dxfId="588" priority="1721" operator="lessThan">
      <formula>0</formula>
    </cfRule>
  </conditionalFormatting>
  <conditionalFormatting sqref="CU52">
    <cfRule type="cellIs" dxfId="587" priority="1719" operator="greaterThan">
      <formula>0</formula>
    </cfRule>
    <cfRule type="cellIs" dxfId="586" priority="1720" operator="lessThanOrEqual">
      <formula>0</formula>
    </cfRule>
  </conditionalFormatting>
  <conditionalFormatting sqref="CT52">
    <cfRule type="cellIs" dxfId="585" priority="1718" operator="greaterThanOrEqual">
      <formula>0</formula>
    </cfRule>
  </conditionalFormatting>
  <conditionalFormatting sqref="CT52">
    <cfRule type="cellIs" dxfId="584" priority="1717" operator="lessThan">
      <formula>0</formula>
    </cfRule>
  </conditionalFormatting>
  <conditionalFormatting sqref="CT25">
    <cfRule type="cellIs" dxfId="583" priority="1716" operator="greaterThanOrEqual">
      <formula>0</formula>
    </cfRule>
  </conditionalFormatting>
  <conditionalFormatting sqref="CT25">
    <cfRule type="cellIs" dxfId="582" priority="1715" operator="lessThan">
      <formula>0</formula>
    </cfRule>
  </conditionalFormatting>
  <conditionalFormatting sqref="CT28">
    <cfRule type="cellIs" dxfId="581" priority="1714" operator="greaterThanOrEqual">
      <formula>0</formula>
    </cfRule>
  </conditionalFormatting>
  <conditionalFormatting sqref="CT28">
    <cfRule type="cellIs" dxfId="580" priority="1713" operator="lessThan">
      <formula>0</formula>
    </cfRule>
  </conditionalFormatting>
  <conditionalFormatting sqref="CT41">
    <cfRule type="cellIs" dxfId="579" priority="1712" operator="greaterThanOrEqual">
      <formula>0</formula>
    </cfRule>
  </conditionalFormatting>
  <conditionalFormatting sqref="CT41">
    <cfRule type="cellIs" dxfId="578" priority="1711" operator="lessThan">
      <formula>0</formula>
    </cfRule>
  </conditionalFormatting>
  <conditionalFormatting sqref="CT44">
    <cfRule type="cellIs" dxfId="577" priority="1710" operator="greaterThanOrEqual">
      <formula>0</formula>
    </cfRule>
  </conditionalFormatting>
  <conditionalFormatting sqref="CT44">
    <cfRule type="cellIs" dxfId="576" priority="1709" operator="lessThan">
      <formula>0</formula>
    </cfRule>
  </conditionalFormatting>
  <conditionalFormatting sqref="CT47">
    <cfRule type="cellIs" dxfId="575" priority="1708" operator="greaterThanOrEqual">
      <formula>0</formula>
    </cfRule>
  </conditionalFormatting>
  <conditionalFormatting sqref="CT47">
    <cfRule type="cellIs" dxfId="574" priority="1707" operator="lessThan">
      <formula>0</formula>
    </cfRule>
  </conditionalFormatting>
  <conditionalFormatting sqref="CT50">
    <cfRule type="cellIs" dxfId="573" priority="1706" operator="greaterThanOrEqual">
      <formula>0</formula>
    </cfRule>
  </conditionalFormatting>
  <conditionalFormatting sqref="CT50">
    <cfRule type="cellIs" dxfId="572" priority="1705" operator="lessThan">
      <formula>0</formula>
    </cfRule>
  </conditionalFormatting>
  <conditionalFormatting sqref="CT51">
    <cfRule type="cellIs" dxfId="571" priority="1704" operator="greaterThanOrEqual">
      <formula>0</formula>
    </cfRule>
  </conditionalFormatting>
  <conditionalFormatting sqref="CT51">
    <cfRule type="cellIs" dxfId="570" priority="1703" operator="lessThan">
      <formula>0</formula>
    </cfRule>
  </conditionalFormatting>
  <conditionalFormatting sqref="CT59">
    <cfRule type="cellIs" dxfId="569" priority="1702" operator="greaterThanOrEqual">
      <formula>0</formula>
    </cfRule>
  </conditionalFormatting>
  <conditionalFormatting sqref="CT59">
    <cfRule type="cellIs" dxfId="568" priority="1701" operator="lessThan">
      <formula>0</formula>
    </cfRule>
  </conditionalFormatting>
  <conditionalFormatting sqref="CT65">
    <cfRule type="cellIs" dxfId="567" priority="1700" operator="greaterThanOrEqual">
      <formula>0</formula>
    </cfRule>
  </conditionalFormatting>
  <conditionalFormatting sqref="CT65">
    <cfRule type="cellIs" dxfId="566" priority="1699" operator="lessThan">
      <formula>0</formula>
    </cfRule>
  </conditionalFormatting>
  <conditionalFormatting sqref="CT66">
    <cfRule type="cellIs" dxfId="565" priority="1698" operator="greaterThanOrEqual">
      <formula>0</formula>
    </cfRule>
  </conditionalFormatting>
  <conditionalFormatting sqref="CT66">
    <cfRule type="cellIs" dxfId="564" priority="1697" operator="lessThan">
      <formula>0</formula>
    </cfRule>
  </conditionalFormatting>
  <conditionalFormatting sqref="CT42:CT43">
    <cfRule type="cellIs" dxfId="563" priority="1695" operator="lessThan">
      <formula>0</formula>
    </cfRule>
    <cfRule type="cellIs" dxfId="562" priority="1696" operator="greaterThanOrEqual">
      <formula>0</formula>
    </cfRule>
  </conditionalFormatting>
  <conditionalFormatting sqref="CT45:CT46">
    <cfRule type="cellIs" dxfId="561" priority="1693" operator="lessThan">
      <formula>0</formula>
    </cfRule>
    <cfRule type="cellIs" dxfId="560" priority="1694" operator="greaterThanOrEqual">
      <formula>0</formula>
    </cfRule>
  </conditionalFormatting>
  <conditionalFormatting sqref="CT57:CT58">
    <cfRule type="cellIs" dxfId="559" priority="1691" operator="lessThan">
      <formula>0</formula>
    </cfRule>
    <cfRule type="cellIs" dxfId="558" priority="1692" operator="greaterThanOrEqual">
      <formula>0</formula>
    </cfRule>
  </conditionalFormatting>
  <conditionalFormatting sqref="CT60:CT61">
    <cfRule type="cellIs" dxfId="557" priority="1689" operator="lessThan">
      <formula>0</formula>
    </cfRule>
    <cfRule type="cellIs" dxfId="556" priority="1690" operator="greaterThanOrEqual">
      <formula>0</formula>
    </cfRule>
  </conditionalFormatting>
  <conditionalFormatting sqref="CT63:CT64">
    <cfRule type="cellIs" dxfId="555" priority="1687" operator="lessThan">
      <formula>0</formula>
    </cfRule>
    <cfRule type="cellIs" dxfId="554" priority="1688" operator="greaterThanOrEqual">
      <formula>0</formula>
    </cfRule>
  </conditionalFormatting>
  <conditionalFormatting sqref="CU68 CU71">
    <cfRule type="cellIs" dxfId="553" priority="1685" operator="greaterThan">
      <formula>0</formula>
    </cfRule>
    <cfRule type="cellIs" dxfId="552" priority="1686" operator="lessThanOrEqual">
      <formula>0</formula>
    </cfRule>
  </conditionalFormatting>
  <conditionalFormatting sqref="CU73">
    <cfRule type="cellIs" dxfId="551" priority="1683" operator="greaterThan">
      <formula>0</formula>
    </cfRule>
    <cfRule type="cellIs" dxfId="550" priority="1684" operator="lessThanOrEqual">
      <formula>0</formula>
    </cfRule>
  </conditionalFormatting>
  <conditionalFormatting sqref="CU69">
    <cfRule type="cellIs" dxfId="549" priority="1681" operator="greaterThan">
      <formula>0</formula>
    </cfRule>
    <cfRule type="cellIs" dxfId="548" priority="1682" operator="lessThanOrEqual">
      <formula>0</formula>
    </cfRule>
  </conditionalFormatting>
  <conditionalFormatting sqref="CU70">
    <cfRule type="cellIs" dxfId="547" priority="1679" operator="greaterThan">
      <formula>0</formula>
    </cfRule>
    <cfRule type="cellIs" dxfId="546" priority="1680" operator="lessThanOrEqual">
      <formula>0</formula>
    </cfRule>
  </conditionalFormatting>
  <conditionalFormatting sqref="CU72">
    <cfRule type="cellIs" dxfId="545" priority="1677" operator="greaterThan">
      <formula>0</formula>
    </cfRule>
    <cfRule type="cellIs" dxfId="544" priority="1678" operator="lessThanOrEqual">
      <formula>0</formula>
    </cfRule>
  </conditionalFormatting>
  <conditionalFormatting sqref="CT68:CT70">
    <cfRule type="cellIs" dxfId="543" priority="1675" operator="lessThan">
      <formula>0</formula>
    </cfRule>
    <cfRule type="cellIs" dxfId="542" priority="1676" operator="greaterThanOrEqual">
      <formula>0</formula>
    </cfRule>
  </conditionalFormatting>
  <conditionalFormatting sqref="CT71:CT72">
    <cfRule type="cellIs" dxfId="541" priority="1674" operator="greaterThanOrEqual">
      <formula>0</formula>
    </cfRule>
  </conditionalFormatting>
  <conditionalFormatting sqref="CT71:CT72">
    <cfRule type="cellIs" dxfId="540" priority="1673" operator="lessThan">
      <formula>0</formula>
    </cfRule>
  </conditionalFormatting>
  <conditionalFormatting sqref="CT73">
    <cfRule type="cellIs" dxfId="539" priority="1672" operator="greaterThanOrEqual">
      <formula>0</formula>
    </cfRule>
  </conditionalFormatting>
  <conditionalFormatting sqref="CT73">
    <cfRule type="cellIs" dxfId="538" priority="1671" operator="lessThan">
      <formula>0</formula>
    </cfRule>
  </conditionalFormatting>
  <conditionalFormatting sqref="CU67">
    <cfRule type="cellIs" dxfId="537" priority="1669" operator="greaterThan">
      <formula>0</formula>
    </cfRule>
    <cfRule type="cellIs" dxfId="536" priority="1670" operator="lessThanOrEqual">
      <formula>0</formula>
    </cfRule>
  </conditionalFormatting>
  <conditionalFormatting sqref="CT67">
    <cfRule type="cellIs" dxfId="535" priority="1667" operator="greaterThanOrEqual">
      <formula>0</formula>
    </cfRule>
    <cfRule type="cellIs" dxfId="534" priority="1668" operator="lessThan">
      <formula>0</formula>
    </cfRule>
  </conditionalFormatting>
  <conditionalFormatting sqref="CQ51">
    <cfRule type="cellIs" dxfId="533" priority="1665" operator="greaterThan">
      <formula>0</formula>
    </cfRule>
    <cfRule type="cellIs" dxfId="532" priority="1666" operator="lessThanOrEqual">
      <formula>0</formula>
    </cfRule>
  </conditionalFormatting>
  <conditionalFormatting sqref="CW42:CW43">
    <cfRule type="cellIs" dxfId="531" priority="1663" operator="lessThan">
      <formula>0</formula>
    </cfRule>
    <cfRule type="cellIs" dxfId="530" priority="1664" operator="greaterThanOrEqual">
      <formula>0</formula>
    </cfRule>
  </conditionalFormatting>
  <conditionalFormatting sqref="CW45:CW46">
    <cfRule type="cellIs" dxfId="529" priority="1661" operator="lessThan">
      <formula>0</formula>
    </cfRule>
    <cfRule type="cellIs" dxfId="528" priority="1662" operator="greaterThanOrEqual">
      <formula>0</formula>
    </cfRule>
  </conditionalFormatting>
  <conditionalFormatting sqref="CW53:CW54">
    <cfRule type="cellIs" dxfId="527" priority="1659" operator="lessThan">
      <formula>0</formula>
    </cfRule>
    <cfRule type="cellIs" dxfId="526" priority="1660" operator="greaterThanOrEqual">
      <formula>0</formula>
    </cfRule>
  </conditionalFormatting>
  <conditionalFormatting sqref="CW57:CW58">
    <cfRule type="cellIs" dxfId="525" priority="1657" operator="lessThan">
      <formula>0</formula>
    </cfRule>
    <cfRule type="cellIs" dxfId="524" priority="1658" operator="greaterThanOrEqual">
      <formula>0</formula>
    </cfRule>
  </conditionalFormatting>
  <conditionalFormatting sqref="CW60:CW61">
    <cfRule type="cellIs" dxfId="523" priority="1655" operator="lessThan">
      <formula>0</formula>
    </cfRule>
    <cfRule type="cellIs" dxfId="522" priority="1656" operator="greaterThanOrEqual">
      <formula>0</formula>
    </cfRule>
  </conditionalFormatting>
  <conditionalFormatting sqref="CW63:CW64">
    <cfRule type="cellIs" dxfId="521" priority="1653" operator="lessThan">
      <formula>0</formula>
    </cfRule>
    <cfRule type="cellIs" dxfId="520" priority="1654" operator="greaterThanOrEqual">
      <formula>0</formula>
    </cfRule>
  </conditionalFormatting>
  <conditionalFormatting sqref="CW25">
    <cfRule type="cellIs" dxfId="519" priority="1652" operator="greaterThanOrEqual">
      <formula>0</formula>
    </cfRule>
  </conditionalFormatting>
  <conditionalFormatting sqref="CW25">
    <cfRule type="cellIs" dxfId="518" priority="1651" operator="lessThan">
      <formula>0</formula>
    </cfRule>
  </conditionalFormatting>
  <conditionalFormatting sqref="CW26">
    <cfRule type="cellIs" dxfId="517" priority="1650" operator="greaterThanOrEqual">
      <formula>0</formula>
    </cfRule>
  </conditionalFormatting>
  <conditionalFormatting sqref="CW26">
    <cfRule type="cellIs" dxfId="516" priority="1649" operator="lessThan">
      <formula>0</formula>
    </cfRule>
  </conditionalFormatting>
  <conditionalFormatting sqref="CW28">
    <cfRule type="cellIs" dxfId="515" priority="1648" operator="greaterThanOrEqual">
      <formula>0</formula>
    </cfRule>
  </conditionalFormatting>
  <conditionalFormatting sqref="CW28">
    <cfRule type="cellIs" dxfId="514" priority="1647" operator="lessThan">
      <formula>0</formula>
    </cfRule>
  </conditionalFormatting>
  <conditionalFormatting sqref="CW41">
    <cfRule type="cellIs" dxfId="513" priority="1646" operator="greaterThanOrEqual">
      <formula>0</formula>
    </cfRule>
  </conditionalFormatting>
  <conditionalFormatting sqref="CW41">
    <cfRule type="cellIs" dxfId="512" priority="1645" operator="lessThan">
      <formula>0</formula>
    </cfRule>
  </conditionalFormatting>
  <conditionalFormatting sqref="CW44">
    <cfRule type="cellIs" dxfId="511" priority="1644" operator="greaterThanOrEqual">
      <formula>0</formula>
    </cfRule>
  </conditionalFormatting>
  <conditionalFormatting sqref="CW44">
    <cfRule type="cellIs" dxfId="510" priority="1643" operator="lessThan">
      <formula>0</formula>
    </cfRule>
  </conditionalFormatting>
  <conditionalFormatting sqref="CW47">
    <cfRule type="cellIs" dxfId="509" priority="1642" operator="greaterThanOrEqual">
      <formula>0</formula>
    </cfRule>
  </conditionalFormatting>
  <conditionalFormatting sqref="CW47">
    <cfRule type="cellIs" dxfId="508" priority="1641" operator="lessThan">
      <formula>0</formula>
    </cfRule>
  </conditionalFormatting>
  <conditionalFormatting sqref="CW50">
    <cfRule type="cellIs" dxfId="507" priority="1640" operator="greaterThanOrEqual">
      <formula>0</formula>
    </cfRule>
  </conditionalFormatting>
  <conditionalFormatting sqref="CW50">
    <cfRule type="cellIs" dxfId="506" priority="1639" operator="lessThan">
      <formula>0</formula>
    </cfRule>
  </conditionalFormatting>
  <conditionalFormatting sqref="CW51">
    <cfRule type="cellIs" dxfId="505" priority="1638" operator="greaterThanOrEqual">
      <formula>0</formula>
    </cfRule>
  </conditionalFormatting>
  <conditionalFormatting sqref="CW51">
    <cfRule type="cellIs" dxfId="504" priority="1637" operator="lessThan">
      <formula>0</formula>
    </cfRule>
  </conditionalFormatting>
  <conditionalFormatting sqref="CW59">
    <cfRule type="cellIs" dxfId="503" priority="1636" operator="greaterThanOrEqual">
      <formula>0</formula>
    </cfRule>
  </conditionalFormatting>
  <conditionalFormatting sqref="CW59">
    <cfRule type="cellIs" dxfId="502" priority="1635" operator="lessThan">
      <formula>0</formula>
    </cfRule>
  </conditionalFormatting>
  <conditionalFormatting sqref="CW62">
    <cfRule type="cellIs" dxfId="501" priority="1634" operator="greaterThanOrEqual">
      <formula>0</formula>
    </cfRule>
  </conditionalFormatting>
  <conditionalFormatting sqref="CW62">
    <cfRule type="cellIs" dxfId="500" priority="1633" operator="lessThan">
      <formula>0</formula>
    </cfRule>
  </conditionalFormatting>
  <conditionalFormatting sqref="CW65">
    <cfRule type="cellIs" dxfId="499" priority="1632" operator="greaterThanOrEqual">
      <formula>0</formula>
    </cfRule>
  </conditionalFormatting>
  <conditionalFormatting sqref="CW65">
    <cfRule type="cellIs" dxfId="498" priority="1631" operator="lessThan">
      <formula>0</formula>
    </cfRule>
  </conditionalFormatting>
  <conditionalFormatting sqref="CW56">
    <cfRule type="cellIs" dxfId="497" priority="1630" operator="greaterThanOrEqual">
      <formula>0</formula>
    </cfRule>
  </conditionalFormatting>
  <conditionalFormatting sqref="CW56">
    <cfRule type="cellIs" dxfId="496" priority="1629" operator="lessThan">
      <formula>0</formula>
    </cfRule>
  </conditionalFormatting>
  <conditionalFormatting sqref="CW66">
    <cfRule type="cellIs" dxfId="495" priority="1628" operator="greaterThanOrEqual">
      <formula>0</formula>
    </cfRule>
  </conditionalFormatting>
  <conditionalFormatting sqref="CW66">
    <cfRule type="cellIs" dxfId="494" priority="1627" operator="lessThan">
      <formula>0</formula>
    </cfRule>
  </conditionalFormatting>
  <conditionalFormatting sqref="CX16:CX17">
    <cfRule type="cellIs" dxfId="493" priority="1625" operator="greaterThan">
      <formula>0</formula>
    </cfRule>
    <cfRule type="cellIs" dxfId="492" priority="1626" operator="lessThanOrEqual">
      <formula>0</formula>
    </cfRule>
  </conditionalFormatting>
  <conditionalFormatting sqref="CX19:CX20">
    <cfRule type="cellIs" dxfId="491" priority="1623" operator="greaterThan">
      <formula>0</formula>
    </cfRule>
    <cfRule type="cellIs" dxfId="490" priority="1624" operator="lessThanOrEqual">
      <formula>0</formula>
    </cfRule>
  </conditionalFormatting>
  <conditionalFormatting sqref="CX22:CX23">
    <cfRule type="cellIs" dxfId="489" priority="1621" operator="greaterThan">
      <formula>0</formula>
    </cfRule>
    <cfRule type="cellIs" dxfId="488" priority="1622" operator="lessThanOrEqual">
      <formula>0</formula>
    </cfRule>
  </conditionalFormatting>
  <conditionalFormatting sqref="CX29:CX30">
    <cfRule type="cellIs" dxfId="487" priority="1619" operator="greaterThan">
      <formula>0</formula>
    </cfRule>
    <cfRule type="cellIs" dxfId="486" priority="1620" operator="lessThanOrEqual">
      <formula>0</formula>
    </cfRule>
  </conditionalFormatting>
  <conditionalFormatting sqref="CX32:CX33">
    <cfRule type="cellIs" dxfId="485" priority="1617" operator="greaterThan">
      <formula>0</formula>
    </cfRule>
    <cfRule type="cellIs" dxfId="484" priority="1618" operator="lessThanOrEqual">
      <formula>0</formula>
    </cfRule>
  </conditionalFormatting>
  <conditionalFormatting sqref="CX35:CX36">
    <cfRule type="cellIs" dxfId="483" priority="1615" operator="greaterThan">
      <formula>0</formula>
    </cfRule>
    <cfRule type="cellIs" dxfId="482" priority="1616" operator="lessThanOrEqual">
      <formula>0</formula>
    </cfRule>
  </conditionalFormatting>
  <conditionalFormatting sqref="CX38:CX39">
    <cfRule type="cellIs" dxfId="481" priority="1613" operator="greaterThan">
      <formula>0</formula>
    </cfRule>
    <cfRule type="cellIs" dxfId="480" priority="1614" operator="lessThanOrEqual">
      <formula>0</formula>
    </cfRule>
  </conditionalFormatting>
  <conditionalFormatting sqref="CX42:CX43">
    <cfRule type="cellIs" dxfId="479" priority="1611" operator="greaterThan">
      <formula>0</formula>
    </cfRule>
    <cfRule type="cellIs" dxfId="478" priority="1612" operator="lessThanOrEqual">
      <formula>0</formula>
    </cfRule>
  </conditionalFormatting>
  <conditionalFormatting sqref="CX45:CX46">
    <cfRule type="cellIs" dxfId="477" priority="1609" operator="greaterThan">
      <formula>0</formula>
    </cfRule>
    <cfRule type="cellIs" dxfId="476" priority="1610" operator="lessThanOrEqual">
      <formula>0</formula>
    </cfRule>
  </conditionalFormatting>
  <conditionalFormatting sqref="CX48:CX49">
    <cfRule type="cellIs" dxfId="475" priority="1607" operator="greaterThan">
      <formula>0</formula>
    </cfRule>
    <cfRule type="cellIs" dxfId="474" priority="1608" operator="lessThanOrEqual">
      <formula>0</formula>
    </cfRule>
  </conditionalFormatting>
  <conditionalFormatting sqref="CX53:CX54">
    <cfRule type="cellIs" dxfId="473" priority="1605" operator="greaterThan">
      <formula>0</formula>
    </cfRule>
    <cfRule type="cellIs" dxfId="472" priority="1606" operator="lessThanOrEqual">
      <formula>0</formula>
    </cfRule>
  </conditionalFormatting>
  <conditionalFormatting sqref="CX57:CX58">
    <cfRule type="cellIs" dxfId="471" priority="1603" operator="greaterThan">
      <formula>0</formula>
    </cfRule>
    <cfRule type="cellIs" dxfId="470" priority="1604" operator="lessThanOrEqual">
      <formula>0</formula>
    </cfRule>
  </conditionalFormatting>
  <conditionalFormatting sqref="CX60:CX61">
    <cfRule type="cellIs" dxfId="469" priority="1601" operator="greaterThan">
      <formula>0</formula>
    </cfRule>
    <cfRule type="cellIs" dxfId="468" priority="1602" operator="lessThanOrEqual">
      <formula>0</formula>
    </cfRule>
  </conditionalFormatting>
  <conditionalFormatting sqref="CX63:CX64">
    <cfRule type="cellIs" dxfId="467" priority="1599" operator="greaterThan">
      <formula>0</formula>
    </cfRule>
    <cfRule type="cellIs" dxfId="466" priority="1600" operator="lessThanOrEqual">
      <formula>0</formula>
    </cfRule>
  </conditionalFormatting>
  <conditionalFormatting sqref="CX25">
    <cfRule type="cellIs" dxfId="465" priority="1598" operator="greaterThanOrEqual">
      <formula>0</formula>
    </cfRule>
  </conditionalFormatting>
  <conditionalFormatting sqref="CX25">
    <cfRule type="cellIs" dxfId="464" priority="1597" operator="lessThan">
      <formula>0</formula>
    </cfRule>
  </conditionalFormatting>
  <conditionalFormatting sqref="CX26">
    <cfRule type="cellIs" dxfId="463" priority="1596" operator="greaterThanOrEqual">
      <formula>0</formula>
    </cfRule>
  </conditionalFormatting>
  <conditionalFormatting sqref="CX26">
    <cfRule type="cellIs" dxfId="462" priority="1595" operator="lessThan">
      <formula>0</formula>
    </cfRule>
  </conditionalFormatting>
  <conditionalFormatting sqref="CX28">
    <cfRule type="cellIs" dxfId="461" priority="1594" operator="greaterThanOrEqual">
      <formula>0</formula>
    </cfRule>
  </conditionalFormatting>
  <conditionalFormatting sqref="CX28">
    <cfRule type="cellIs" dxfId="460" priority="1593" operator="lessThan">
      <formula>0</formula>
    </cfRule>
  </conditionalFormatting>
  <conditionalFormatting sqref="CX41">
    <cfRule type="cellIs" dxfId="459" priority="1592" operator="greaterThanOrEqual">
      <formula>0</formula>
    </cfRule>
  </conditionalFormatting>
  <conditionalFormatting sqref="CX41">
    <cfRule type="cellIs" dxfId="458" priority="1591" operator="lessThan">
      <formula>0</formula>
    </cfRule>
  </conditionalFormatting>
  <conditionalFormatting sqref="CX44">
    <cfRule type="cellIs" dxfId="457" priority="1590" operator="greaterThanOrEqual">
      <formula>0</formula>
    </cfRule>
  </conditionalFormatting>
  <conditionalFormatting sqref="CX44">
    <cfRule type="cellIs" dxfId="456" priority="1589" operator="lessThan">
      <formula>0</formula>
    </cfRule>
  </conditionalFormatting>
  <conditionalFormatting sqref="CX47">
    <cfRule type="cellIs" dxfId="455" priority="1588" operator="greaterThanOrEqual">
      <formula>0</formula>
    </cfRule>
  </conditionalFormatting>
  <conditionalFormatting sqref="CX47">
    <cfRule type="cellIs" dxfId="454" priority="1587" operator="lessThan">
      <formula>0</formula>
    </cfRule>
  </conditionalFormatting>
  <conditionalFormatting sqref="CX50">
    <cfRule type="cellIs" dxfId="453" priority="1586" operator="greaterThanOrEqual">
      <formula>0</formula>
    </cfRule>
  </conditionalFormatting>
  <conditionalFormatting sqref="CX50">
    <cfRule type="cellIs" dxfId="452" priority="1585" operator="lessThan">
      <formula>0</formula>
    </cfRule>
  </conditionalFormatting>
  <conditionalFormatting sqref="CX51">
    <cfRule type="cellIs" dxfId="451" priority="1584" operator="greaterThanOrEqual">
      <formula>0</formula>
    </cfRule>
  </conditionalFormatting>
  <conditionalFormatting sqref="CX51">
    <cfRule type="cellIs" dxfId="450" priority="1583" operator="lessThan">
      <formula>0</formula>
    </cfRule>
  </conditionalFormatting>
  <conditionalFormatting sqref="CX59">
    <cfRule type="cellIs" dxfId="449" priority="1582" operator="greaterThanOrEqual">
      <formula>0</formula>
    </cfRule>
  </conditionalFormatting>
  <conditionalFormatting sqref="CX59">
    <cfRule type="cellIs" dxfId="448" priority="1581" operator="lessThan">
      <formula>0</formula>
    </cfRule>
  </conditionalFormatting>
  <conditionalFormatting sqref="CX62">
    <cfRule type="cellIs" dxfId="447" priority="1580" operator="greaterThanOrEqual">
      <formula>0</formula>
    </cfRule>
  </conditionalFormatting>
  <conditionalFormatting sqref="CX62">
    <cfRule type="cellIs" dxfId="446" priority="1579" operator="lessThan">
      <formula>0</formula>
    </cfRule>
  </conditionalFormatting>
  <conditionalFormatting sqref="CX65">
    <cfRule type="cellIs" dxfId="445" priority="1578" operator="greaterThanOrEqual">
      <formula>0</formula>
    </cfRule>
  </conditionalFormatting>
  <conditionalFormatting sqref="CX65">
    <cfRule type="cellIs" dxfId="444" priority="1577" operator="lessThan">
      <formula>0</formula>
    </cfRule>
  </conditionalFormatting>
  <conditionalFormatting sqref="CX56">
    <cfRule type="cellIs" dxfId="443" priority="1575" operator="lessThan">
      <formula>0</formula>
    </cfRule>
  </conditionalFormatting>
  <conditionalFormatting sqref="CX56">
    <cfRule type="cellIs" dxfId="442" priority="1576" operator="greaterThanOrEqual">
      <formula>0</formula>
    </cfRule>
  </conditionalFormatting>
  <conditionalFormatting sqref="CX66">
    <cfRule type="cellIs" dxfId="441" priority="1573" operator="lessThan">
      <formula>0</formula>
    </cfRule>
  </conditionalFormatting>
  <conditionalFormatting sqref="CX66">
    <cfRule type="cellIs" dxfId="440" priority="1574" operator="greaterThanOrEqual">
      <formula>0</formula>
    </cfRule>
  </conditionalFormatting>
  <conditionalFormatting sqref="CW70">
    <cfRule type="cellIs" dxfId="439" priority="1571" operator="lessThan">
      <formula>0</formula>
    </cfRule>
    <cfRule type="cellIs" dxfId="438" priority="1572" operator="greaterThanOrEqual">
      <formula>0</formula>
    </cfRule>
  </conditionalFormatting>
  <conditionalFormatting sqref="CX70">
    <cfRule type="cellIs" dxfId="437" priority="1569" operator="lessThan">
      <formula>0</formula>
    </cfRule>
    <cfRule type="cellIs" dxfId="436" priority="1570" operator="greaterThanOrEqual">
      <formula>0</formula>
    </cfRule>
  </conditionalFormatting>
  <conditionalFormatting sqref="CX72">
    <cfRule type="cellIs" dxfId="435" priority="1567" operator="lessThan">
      <formula>0</formula>
    </cfRule>
    <cfRule type="cellIs" dxfId="434" priority="1568" operator="greaterThanOrEqual">
      <formula>0</formula>
    </cfRule>
  </conditionalFormatting>
  <conditionalFormatting sqref="CP55">
    <cfRule type="cellIs" dxfId="433" priority="1566" operator="greaterThanOrEqual">
      <formula>0</formula>
    </cfRule>
  </conditionalFormatting>
  <conditionalFormatting sqref="CP55">
    <cfRule type="cellIs" dxfId="432" priority="1565" operator="lessThan">
      <formula>0</formula>
    </cfRule>
  </conditionalFormatting>
  <conditionalFormatting sqref="CU55">
    <cfRule type="cellIs" dxfId="431" priority="1563" operator="greaterThan">
      <formula>0</formula>
    </cfRule>
    <cfRule type="cellIs" dxfId="430" priority="1564" operator="lessThanOrEqual">
      <formula>0</formula>
    </cfRule>
  </conditionalFormatting>
  <conditionalFormatting sqref="CT55">
    <cfRule type="cellIs" dxfId="429" priority="1562" operator="greaterThanOrEqual">
      <formula>0</formula>
    </cfRule>
  </conditionalFormatting>
  <conditionalFormatting sqref="CT55">
    <cfRule type="cellIs" dxfId="428" priority="1561" operator="lessThan">
      <formula>0</formula>
    </cfRule>
  </conditionalFormatting>
  <conditionalFormatting sqref="CQ55">
    <cfRule type="cellIs" dxfId="427" priority="1559" operator="greaterThan">
      <formula>0</formula>
    </cfRule>
    <cfRule type="cellIs" dxfId="426" priority="1560" operator="lessThanOrEqual">
      <formula>0</formula>
    </cfRule>
  </conditionalFormatting>
  <conditionalFormatting sqref="CW55">
    <cfRule type="cellIs" dxfId="425" priority="1558" operator="greaterThanOrEqual">
      <formula>0</formula>
    </cfRule>
  </conditionalFormatting>
  <conditionalFormatting sqref="CW55">
    <cfRule type="cellIs" dxfId="424" priority="1557" operator="lessThan">
      <formula>0</formula>
    </cfRule>
  </conditionalFormatting>
  <conditionalFormatting sqref="CX55">
    <cfRule type="cellIs" dxfId="423" priority="1556" operator="greaterThanOrEqual">
      <formula>0</formula>
    </cfRule>
  </conditionalFormatting>
  <conditionalFormatting sqref="CX55">
    <cfRule type="cellIs" dxfId="422" priority="1555" operator="lessThan">
      <formula>0</formula>
    </cfRule>
  </conditionalFormatting>
  <conditionalFormatting sqref="CQ27">
    <cfRule type="cellIs" dxfId="421" priority="1109" operator="greaterThan">
      <formula>0</formula>
    </cfRule>
    <cfRule type="cellIs" dxfId="420" priority="1110" operator="lessThanOrEqual">
      <formula>0</formula>
    </cfRule>
  </conditionalFormatting>
  <conditionalFormatting sqref="CP27">
    <cfRule type="cellIs" dxfId="419" priority="1108" operator="greaterThanOrEqual">
      <formula>0</formula>
    </cfRule>
  </conditionalFormatting>
  <conditionalFormatting sqref="CP27">
    <cfRule type="cellIs" dxfId="418" priority="1107" operator="lessThan">
      <formula>0</formula>
    </cfRule>
  </conditionalFormatting>
  <conditionalFormatting sqref="CU27">
    <cfRule type="cellIs" dxfId="417" priority="1105" operator="greaterThan">
      <formula>0</formula>
    </cfRule>
    <cfRule type="cellIs" dxfId="416" priority="1106" operator="lessThanOrEqual">
      <formula>0</formula>
    </cfRule>
  </conditionalFormatting>
  <conditionalFormatting sqref="CT27">
    <cfRule type="cellIs" dxfId="415" priority="1104" operator="greaterThanOrEqual">
      <formula>0</formula>
    </cfRule>
  </conditionalFormatting>
  <conditionalFormatting sqref="CT27">
    <cfRule type="cellIs" dxfId="414" priority="1103" operator="lessThan">
      <formula>0</formula>
    </cfRule>
  </conditionalFormatting>
  <conditionalFormatting sqref="CW27">
    <cfRule type="cellIs" dxfId="413" priority="1102" operator="greaterThanOrEqual">
      <formula>0</formula>
    </cfRule>
  </conditionalFormatting>
  <conditionalFormatting sqref="CW27">
    <cfRule type="cellIs" dxfId="412" priority="1101" operator="lessThan">
      <formula>0</formula>
    </cfRule>
  </conditionalFormatting>
  <conditionalFormatting sqref="CX27">
    <cfRule type="cellIs" dxfId="411" priority="1100" operator="greaterThanOrEqual">
      <formula>0</formula>
    </cfRule>
  </conditionalFormatting>
  <conditionalFormatting sqref="CX27">
    <cfRule type="cellIs" dxfId="410" priority="1099" operator="lessThan">
      <formula>0</formula>
    </cfRule>
  </conditionalFormatting>
  <conditionalFormatting sqref="DB13:DB14">
    <cfRule type="cellIs" dxfId="409" priority="1079" operator="greaterThan">
      <formula>0</formula>
    </cfRule>
    <cfRule type="cellIs" dxfId="408" priority="1080" operator="lessThanOrEqual">
      <formula>0</formula>
    </cfRule>
  </conditionalFormatting>
  <conditionalFormatting sqref="DB16:DB17">
    <cfRule type="cellIs" dxfId="407" priority="1077" operator="greaterThan">
      <formula>0</formula>
    </cfRule>
    <cfRule type="cellIs" dxfId="406" priority="1078" operator="lessThanOrEqual">
      <formula>0</formula>
    </cfRule>
  </conditionalFormatting>
  <conditionalFormatting sqref="DB19:DB20">
    <cfRule type="cellIs" dxfId="405" priority="1075" operator="greaterThan">
      <formula>0</formula>
    </cfRule>
    <cfRule type="cellIs" dxfId="404" priority="1076" operator="lessThanOrEqual">
      <formula>0</formula>
    </cfRule>
  </conditionalFormatting>
  <conditionalFormatting sqref="DB29:DB30">
    <cfRule type="cellIs" dxfId="403" priority="1073" operator="greaterThan">
      <formula>0</formula>
    </cfRule>
    <cfRule type="cellIs" dxfId="402" priority="1074" operator="lessThanOrEqual">
      <formula>0</formula>
    </cfRule>
  </conditionalFormatting>
  <conditionalFormatting sqref="DB22:DB23">
    <cfRule type="cellIs" dxfId="401" priority="1071" operator="greaterThan">
      <formula>0</formula>
    </cfRule>
    <cfRule type="cellIs" dxfId="400" priority="1072" operator="lessThanOrEqual">
      <formula>0</formula>
    </cfRule>
  </conditionalFormatting>
  <conditionalFormatting sqref="DB32:DB33">
    <cfRule type="cellIs" dxfId="399" priority="1069" operator="greaterThan">
      <formula>0</formula>
    </cfRule>
    <cfRule type="cellIs" dxfId="398" priority="1070" operator="lessThanOrEqual">
      <formula>0</formula>
    </cfRule>
  </conditionalFormatting>
  <conditionalFormatting sqref="DB35:DB36">
    <cfRule type="cellIs" dxfId="397" priority="1067" operator="greaterThan">
      <formula>0</formula>
    </cfRule>
    <cfRule type="cellIs" dxfId="396" priority="1068" operator="lessThanOrEqual">
      <formula>0</formula>
    </cfRule>
  </conditionalFormatting>
  <conditionalFormatting sqref="DB38:DB39">
    <cfRule type="cellIs" dxfId="395" priority="1065" operator="greaterThan">
      <formula>0</formula>
    </cfRule>
    <cfRule type="cellIs" dxfId="394" priority="1066" operator="lessThanOrEqual">
      <formula>0</formula>
    </cfRule>
  </conditionalFormatting>
  <conditionalFormatting sqref="DB48:DB49">
    <cfRule type="cellIs" dxfId="393" priority="1063" operator="greaterThan">
      <formula>0</formula>
    </cfRule>
    <cfRule type="cellIs" dxfId="392" priority="1064" operator="lessThanOrEqual">
      <formula>0</formula>
    </cfRule>
  </conditionalFormatting>
  <conditionalFormatting sqref="DB63:DB64">
    <cfRule type="cellIs" dxfId="391" priority="1061" operator="greaterThan">
      <formula>0</formula>
    </cfRule>
    <cfRule type="cellIs" dxfId="390" priority="1062" operator="lessThanOrEqual">
      <formula>0</formula>
    </cfRule>
  </conditionalFormatting>
  <conditionalFormatting sqref="DB53:DB54">
    <cfRule type="cellIs" dxfId="389" priority="1059" operator="greaterThan">
      <formula>0</formula>
    </cfRule>
    <cfRule type="cellIs" dxfId="388" priority="1060" operator="lessThanOrEqual">
      <formula>0</formula>
    </cfRule>
  </conditionalFormatting>
  <conditionalFormatting sqref="DB15">
    <cfRule type="cellIs" dxfId="387" priority="1057" operator="greaterThan">
      <formula>0</formula>
    </cfRule>
    <cfRule type="cellIs" dxfId="386" priority="1058" operator="lessThanOrEqual">
      <formula>0</formula>
    </cfRule>
  </conditionalFormatting>
  <conditionalFormatting sqref="DB18">
    <cfRule type="cellIs" dxfId="385" priority="1055" operator="greaterThan">
      <formula>0</formula>
    </cfRule>
    <cfRule type="cellIs" dxfId="384" priority="1056" operator="lessThanOrEqual">
      <formula>0</formula>
    </cfRule>
  </conditionalFormatting>
  <conditionalFormatting sqref="DB21">
    <cfRule type="cellIs" dxfId="383" priority="1053" operator="greaterThan">
      <formula>0</formula>
    </cfRule>
    <cfRule type="cellIs" dxfId="382" priority="1054" operator="lessThanOrEqual">
      <formula>0</formula>
    </cfRule>
  </conditionalFormatting>
  <conditionalFormatting sqref="DB31">
    <cfRule type="cellIs" dxfId="381" priority="1051" operator="greaterThan">
      <formula>0</formula>
    </cfRule>
    <cfRule type="cellIs" dxfId="380" priority="1052" operator="lessThanOrEqual">
      <formula>0</formula>
    </cfRule>
  </conditionalFormatting>
  <conditionalFormatting sqref="DB24">
    <cfRule type="cellIs" dxfId="379" priority="1049" operator="greaterThan">
      <formula>0</formula>
    </cfRule>
    <cfRule type="cellIs" dxfId="378" priority="1050" operator="lessThanOrEqual">
      <formula>0</formula>
    </cfRule>
  </conditionalFormatting>
  <conditionalFormatting sqref="DB34">
    <cfRule type="cellIs" dxfId="377" priority="1047" operator="greaterThan">
      <formula>0</formula>
    </cfRule>
    <cfRule type="cellIs" dxfId="376" priority="1048" operator="lessThanOrEqual">
      <formula>0</formula>
    </cfRule>
  </conditionalFormatting>
  <conditionalFormatting sqref="DB37">
    <cfRule type="cellIs" dxfId="375" priority="1045" operator="greaterThan">
      <formula>0</formula>
    </cfRule>
    <cfRule type="cellIs" dxfId="374" priority="1046" operator="lessThanOrEqual">
      <formula>0</formula>
    </cfRule>
  </conditionalFormatting>
  <conditionalFormatting sqref="DB40">
    <cfRule type="cellIs" dxfId="373" priority="1043" operator="greaterThan">
      <formula>0</formula>
    </cfRule>
    <cfRule type="cellIs" dxfId="372" priority="1044" operator="lessThanOrEqual">
      <formula>0</formula>
    </cfRule>
  </conditionalFormatting>
  <conditionalFormatting sqref="DB26">
    <cfRule type="cellIs" dxfId="371" priority="1041" operator="greaterThan">
      <formula>0</formula>
    </cfRule>
    <cfRule type="cellIs" dxfId="370" priority="1042" operator="lessThanOrEqual">
      <formula>0</formula>
    </cfRule>
  </conditionalFormatting>
  <conditionalFormatting sqref="DB66 DB68 DB71">
    <cfRule type="cellIs" dxfId="369" priority="1039" operator="greaterThan">
      <formula>0</formula>
    </cfRule>
    <cfRule type="cellIs" dxfId="368" priority="1040" operator="lessThanOrEqual">
      <formula>0</formula>
    </cfRule>
  </conditionalFormatting>
  <conditionalFormatting sqref="DA13:DA14 DA16:DA17 DA19:DA20 DA22:DA23 DA29:DA30 DA32:DA33 DA35:DA36 DA38:DA39 DA48:DA49 DA53:DA54">
    <cfRule type="cellIs" dxfId="367" priority="1037" operator="lessThan">
      <formula>0</formula>
    </cfRule>
    <cfRule type="cellIs" dxfId="366" priority="1038" operator="greaterThanOrEqual">
      <formula>0</formula>
    </cfRule>
  </conditionalFormatting>
  <conditionalFormatting sqref="DA15 DA18 DA21 DA24 DA26 DA31 DA34 DA37 DA40">
    <cfRule type="cellIs" dxfId="365" priority="1036" operator="greaterThanOrEqual">
      <formula>0</formula>
    </cfRule>
  </conditionalFormatting>
  <conditionalFormatting sqref="DA15 DA18 DA21 DA24 DA26 DA31 DA34 DA37 DA40">
    <cfRule type="cellIs" dxfId="364" priority="1035" operator="lessThan">
      <formula>0</formula>
    </cfRule>
  </conditionalFormatting>
  <conditionalFormatting sqref="DB73">
    <cfRule type="cellIs" dxfId="363" priority="1033" operator="greaterThan">
      <formula>0</formula>
    </cfRule>
    <cfRule type="cellIs" dxfId="362" priority="1034" operator="lessThanOrEqual">
      <formula>0</formula>
    </cfRule>
  </conditionalFormatting>
  <conditionalFormatting sqref="DB67">
    <cfRule type="cellIs" dxfId="361" priority="1031" operator="greaterThan">
      <formula>0</formula>
    </cfRule>
    <cfRule type="cellIs" dxfId="360" priority="1032" operator="lessThanOrEqual">
      <formula>0</formula>
    </cfRule>
  </conditionalFormatting>
  <conditionalFormatting sqref="DA67">
    <cfRule type="cellIs" dxfId="359" priority="1029" operator="greaterThanOrEqual">
      <formula>0</formula>
    </cfRule>
    <cfRule type="cellIs" dxfId="358" priority="1030" operator="lessThan">
      <formula>0</formula>
    </cfRule>
  </conditionalFormatting>
  <conditionalFormatting sqref="DH13:DH14 DH16:DH17 DH19:DH20 DH22:DH23 DH29:DH30 DH32:DH33 DH35:DH36 DH38:DH39 DH48:DH49">
    <cfRule type="cellIs" dxfId="357" priority="1027" operator="lessThan">
      <formula>0</formula>
    </cfRule>
    <cfRule type="cellIs" dxfId="356" priority="1028" operator="greaterThanOrEqual">
      <formula>0</formula>
    </cfRule>
  </conditionalFormatting>
  <conditionalFormatting sqref="DH15 DH24 DH18 DH21 DH31 DH34 DH37 DH40">
    <cfRule type="cellIs" dxfId="355" priority="1026" operator="greaterThanOrEqual">
      <formula>0</formula>
    </cfRule>
  </conditionalFormatting>
  <conditionalFormatting sqref="DH15 DH24 DH18 DH21 DH31 DH34 DH37 DH40">
    <cfRule type="cellIs" dxfId="354" priority="1025" operator="lessThan">
      <formula>0</formula>
    </cfRule>
  </conditionalFormatting>
  <conditionalFormatting sqref="DH71 DH73">
    <cfRule type="cellIs" dxfId="353" priority="1023" operator="lessThan">
      <formula>0</formula>
    </cfRule>
    <cfRule type="cellIs" dxfId="352" priority="1024" operator="greaterThanOrEqual">
      <formula>0</formula>
    </cfRule>
  </conditionalFormatting>
  <conditionalFormatting sqref="DH67">
    <cfRule type="cellIs" dxfId="351" priority="1021" operator="greaterThanOrEqual">
      <formula>0</formula>
    </cfRule>
    <cfRule type="cellIs" dxfId="350" priority="1022" operator="lessThan">
      <formula>0</formula>
    </cfRule>
  </conditionalFormatting>
  <conditionalFormatting sqref="DI13:DI14">
    <cfRule type="cellIs" dxfId="349" priority="1019" operator="greaterThan">
      <formula>0</formula>
    </cfRule>
    <cfRule type="cellIs" dxfId="348" priority="1020" operator="lessThanOrEqual">
      <formula>0</formula>
    </cfRule>
  </conditionalFormatting>
  <conditionalFormatting sqref="DI68">
    <cfRule type="cellIs" dxfId="347" priority="1017" operator="lessThan">
      <formula>0</formula>
    </cfRule>
    <cfRule type="cellIs" dxfId="346" priority="1018" operator="greaterThanOrEqual">
      <formula>0</formula>
    </cfRule>
  </conditionalFormatting>
  <conditionalFormatting sqref="DI15 DI24 DI18 DI21 DI31 DI34 DI37 DI40">
    <cfRule type="cellIs" dxfId="345" priority="1016" operator="greaterThanOrEqual">
      <formula>0</formula>
    </cfRule>
  </conditionalFormatting>
  <conditionalFormatting sqref="DI15 DI24 DI18 DI21 DI31 DI34 DI37 DI40">
    <cfRule type="cellIs" dxfId="344" priority="1015" operator="lessThan">
      <formula>0</formula>
    </cfRule>
  </conditionalFormatting>
  <conditionalFormatting sqref="DH68">
    <cfRule type="cellIs" dxfId="343" priority="1013" operator="lessThan">
      <formula>0</formula>
    </cfRule>
    <cfRule type="cellIs" dxfId="342" priority="1014" operator="greaterThanOrEqual">
      <formula>0</formula>
    </cfRule>
  </conditionalFormatting>
  <conditionalFormatting sqref="DI71 DI73">
    <cfRule type="cellIs" dxfId="341" priority="1011" operator="lessThan">
      <formula>0</formula>
    </cfRule>
    <cfRule type="cellIs" dxfId="340" priority="1012" operator="greaterThanOrEqual">
      <formula>0</formula>
    </cfRule>
  </conditionalFormatting>
  <conditionalFormatting sqref="DI67">
    <cfRule type="cellIs" dxfId="339" priority="1009" operator="lessThan">
      <formula>0</formula>
    </cfRule>
    <cfRule type="cellIs" dxfId="338" priority="1010" operator="greaterThanOrEqual">
      <formula>0</formula>
    </cfRule>
  </conditionalFormatting>
  <conditionalFormatting sqref="DA62">
    <cfRule type="cellIs" dxfId="337" priority="990" operator="greaterThanOrEqual">
      <formula>0</formula>
    </cfRule>
  </conditionalFormatting>
  <conditionalFormatting sqref="DA62">
    <cfRule type="cellIs" dxfId="336" priority="989" operator="lessThan">
      <formula>0</formula>
    </cfRule>
  </conditionalFormatting>
  <conditionalFormatting sqref="DB44">
    <cfRule type="cellIs" dxfId="335" priority="999" operator="greaterThan">
      <formula>0</formula>
    </cfRule>
    <cfRule type="cellIs" dxfId="334" priority="1000" operator="lessThanOrEqual">
      <formula>0</formula>
    </cfRule>
  </conditionalFormatting>
  <conditionalFormatting sqref="DB47">
    <cfRule type="cellIs" dxfId="333" priority="997" operator="greaterThan">
      <formula>0</formula>
    </cfRule>
    <cfRule type="cellIs" dxfId="332" priority="998" operator="lessThanOrEqual">
      <formula>0</formula>
    </cfRule>
  </conditionalFormatting>
  <conditionalFormatting sqref="DB50">
    <cfRule type="cellIs" dxfId="331" priority="995" operator="greaterThan">
      <formula>0</formula>
    </cfRule>
    <cfRule type="cellIs" dxfId="330" priority="996" operator="lessThanOrEqual">
      <formula>0</formula>
    </cfRule>
  </conditionalFormatting>
  <conditionalFormatting sqref="DB28">
    <cfRule type="cellIs" dxfId="329" priority="1007" operator="greaterThan">
      <formula>0</formula>
    </cfRule>
    <cfRule type="cellIs" dxfId="328" priority="1008" operator="lessThanOrEqual">
      <formula>0</formula>
    </cfRule>
  </conditionalFormatting>
  <conditionalFormatting sqref="DB41">
    <cfRule type="cellIs" dxfId="327" priority="1005" operator="greaterThan">
      <formula>0</formula>
    </cfRule>
    <cfRule type="cellIs" dxfId="326" priority="1006" operator="lessThanOrEqual">
      <formula>0</formula>
    </cfRule>
  </conditionalFormatting>
  <conditionalFormatting sqref="DB42:DB43 DB45:DB46">
    <cfRule type="cellIs" dxfId="325" priority="1003" operator="greaterThan">
      <formula>0</formula>
    </cfRule>
    <cfRule type="cellIs" dxfId="324" priority="1004" operator="lessThanOrEqual">
      <formula>0</formula>
    </cfRule>
  </conditionalFormatting>
  <conditionalFormatting sqref="DB57:DB58 DB60:DB61">
    <cfRule type="cellIs" dxfId="323" priority="1001" operator="greaterThan">
      <formula>0</formula>
    </cfRule>
    <cfRule type="cellIs" dxfId="322" priority="1002" operator="lessThanOrEqual">
      <formula>0</formula>
    </cfRule>
  </conditionalFormatting>
  <conditionalFormatting sqref="DB59">
    <cfRule type="cellIs" dxfId="321" priority="993" operator="greaterThan">
      <formula>0</formula>
    </cfRule>
    <cfRule type="cellIs" dxfId="320" priority="994" operator="lessThanOrEqual">
      <formula>0</formula>
    </cfRule>
  </conditionalFormatting>
  <conditionalFormatting sqref="DB62">
    <cfRule type="cellIs" dxfId="319" priority="991" operator="greaterThan">
      <formula>0</formula>
    </cfRule>
    <cfRule type="cellIs" dxfId="318" priority="992" operator="lessThanOrEqual">
      <formula>0</formula>
    </cfRule>
  </conditionalFormatting>
  <conditionalFormatting sqref="DB65">
    <cfRule type="cellIs" dxfId="317" priority="987" operator="greaterThan">
      <formula>0</formula>
    </cfRule>
    <cfRule type="cellIs" dxfId="316" priority="988" operator="lessThanOrEqual">
      <formula>0</formula>
    </cfRule>
  </conditionalFormatting>
  <conditionalFormatting sqref="DF47">
    <cfRule type="cellIs" dxfId="315" priority="657" operator="greaterThan">
      <formula>0</formula>
    </cfRule>
    <cfRule type="cellIs" dxfId="314" priority="658" operator="lessThanOrEqual">
      <formula>0</formula>
    </cfRule>
  </conditionalFormatting>
  <conditionalFormatting sqref="DF59">
    <cfRule type="cellIs" dxfId="313" priority="653" operator="greaterThan">
      <formula>0</formula>
    </cfRule>
    <cfRule type="cellIs" dxfId="312" priority="654" operator="lessThanOrEqual">
      <formula>0</formula>
    </cfRule>
  </conditionalFormatting>
  <conditionalFormatting sqref="DE62">
    <cfRule type="cellIs" dxfId="311" priority="650" operator="greaterThanOrEqual">
      <formula>0</formula>
    </cfRule>
  </conditionalFormatting>
  <conditionalFormatting sqref="DE62">
    <cfRule type="cellIs" dxfId="310" priority="649" operator="lessThan">
      <formula>0</formula>
    </cfRule>
  </conditionalFormatting>
  <conditionalFormatting sqref="DB25">
    <cfRule type="cellIs" dxfId="309" priority="777" operator="greaterThan">
      <formula>0</formula>
    </cfRule>
    <cfRule type="cellIs" dxfId="308" priority="778" operator="lessThanOrEqual">
      <formula>0</formula>
    </cfRule>
  </conditionalFormatting>
  <conditionalFormatting sqref="DI52">
    <cfRule type="cellIs" dxfId="307" priority="765" operator="lessThan">
      <formula>0</formula>
    </cfRule>
  </conditionalFormatting>
  <conditionalFormatting sqref="DB56">
    <cfRule type="cellIs" dxfId="306" priority="775" operator="greaterThan">
      <formula>0</formula>
    </cfRule>
    <cfRule type="cellIs" dxfId="305" priority="776" operator="lessThanOrEqual">
      <formula>0</formula>
    </cfRule>
  </conditionalFormatting>
  <conditionalFormatting sqref="DA56">
    <cfRule type="cellIs" dxfId="304" priority="774" operator="greaterThanOrEqual">
      <formula>0</formula>
    </cfRule>
  </conditionalFormatting>
  <conditionalFormatting sqref="DA56">
    <cfRule type="cellIs" dxfId="303" priority="773" operator="lessThan">
      <formula>0</formula>
    </cfRule>
  </conditionalFormatting>
  <conditionalFormatting sqref="DB52">
    <cfRule type="cellIs" dxfId="302" priority="771" operator="greaterThan">
      <formula>0</formula>
    </cfRule>
    <cfRule type="cellIs" dxfId="301" priority="772" operator="lessThanOrEqual">
      <formula>0</formula>
    </cfRule>
  </conditionalFormatting>
  <conditionalFormatting sqref="DA52">
    <cfRule type="cellIs" dxfId="300" priority="770" operator="greaterThanOrEqual">
      <formula>0</formula>
    </cfRule>
  </conditionalFormatting>
  <conditionalFormatting sqref="DA52">
    <cfRule type="cellIs" dxfId="299" priority="769" operator="lessThan">
      <formula>0</formula>
    </cfRule>
  </conditionalFormatting>
  <conditionalFormatting sqref="DH52">
    <cfRule type="cellIs" dxfId="298" priority="768" operator="greaterThanOrEqual">
      <formula>0</formula>
    </cfRule>
  </conditionalFormatting>
  <conditionalFormatting sqref="DH52">
    <cfRule type="cellIs" dxfId="297" priority="767" operator="lessThan">
      <formula>0</formula>
    </cfRule>
  </conditionalFormatting>
  <conditionalFormatting sqref="DI52">
    <cfRule type="cellIs" dxfId="296" priority="766" operator="greaterThanOrEqual">
      <formula>0</formula>
    </cfRule>
  </conditionalFormatting>
  <conditionalFormatting sqref="DB69">
    <cfRule type="cellIs" dxfId="295" priority="763" operator="greaterThan">
      <formula>0</formula>
    </cfRule>
    <cfRule type="cellIs" dxfId="294" priority="764" operator="lessThanOrEqual">
      <formula>0</formula>
    </cfRule>
  </conditionalFormatting>
  <conditionalFormatting sqref="DH69">
    <cfRule type="cellIs" dxfId="293" priority="761" operator="lessThan">
      <formula>0</formula>
    </cfRule>
    <cfRule type="cellIs" dxfId="292" priority="762" operator="greaterThanOrEqual">
      <formula>0</formula>
    </cfRule>
  </conditionalFormatting>
  <conditionalFormatting sqref="DI69">
    <cfRule type="cellIs" dxfId="291" priority="759" operator="lessThan">
      <formula>0</formula>
    </cfRule>
    <cfRule type="cellIs" dxfId="290" priority="760" operator="greaterThanOrEqual">
      <formula>0</formula>
    </cfRule>
  </conditionalFormatting>
  <conditionalFormatting sqref="DB70">
    <cfRule type="cellIs" dxfId="289" priority="757" operator="greaterThan">
      <formula>0</formula>
    </cfRule>
    <cfRule type="cellIs" dxfId="288" priority="758" operator="lessThanOrEqual">
      <formula>0</formula>
    </cfRule>
  </conditionalFormatting>
  <conditionalFormatting sqref="DH72">
    <cfRule type="cellIs" dxfId="287" priority="755" operator="lessThan">
      <formula>0</formula>
    </cfRule>
    <cfRule type="cellIs" dxfId="286" priority="756" operator="greaterThanOrEqual">
      <formula>0</formula>
    </cfRule>
  </conditionalFormatting>
  <conditionalFormatting sqref="DB72">
    <cfRule type="cellIs" dxfId="285" priority="753" operator="greaterThan">
      <formula>0</formula>
    </cfRule>
    <cfRule type="cellIs" dxfId="284" priority="754" operator="lessThanOrEqual">
      <formula>0</formula>
    </cfRule>
  </conditionalFormatting>
  <conditionalFormatting sqref="DA25">
    <cfRule type="cellIs" dxfId="283" priority="752" operator="greaterThanOrEqual">
      <formula>0</formula>
    </cfRule>
  </conditionalFormatting>
  <conditionalFormatting sqref="DA25">
    <cfRule type="cellIs" dxfId="282" priority="751" operator="lessThan">
      <formula>0</formula>
    </cfRule>
  </conditionalFormatting>
  <conditionalFormatting sqref="DA28">
    <cfRule type="cellIs" dxfId="281" priority="750" operator="greaterThanOrEqual">
      <formula>0</formula>
    </cfRule>
  </conditionalFormatting>
  <conditionalFormatting sqref="DA28">
    <cfRule type="cellIs" dxfId="280" priority="749" operator="lessThan">
      <formula>0</formula>
    </cfRule>
  </conditionalFormatting>
  <conditionalFormatting sqref="DA41">
    <cfRule type="cellIs" dxfId="279" priority="748" operator="greaterThanOrEqual">
      <formula>0</formula>
    </cfRule>
  </conditionalFormatting>
  <conditionalFormatting sqref="DA41">
    <cfRule type="cellIs" dxfId="278" priority="747" operator="lessThan">
      <formula>0</formula>
    </cfRule>
  </conditionalFormatting>
  <conditionalFormatting sqref="DA44">
    <cfRule type="cellIs" dxfId="277" priority="746" operator="greaterThanOrEqual">
      <formula>0</formula>
    </cfRule>
  </conditionalFormatting>
  <conditionalFormatting sqref="DA44">
    <cfRule type="cellIs" dxfId="276" priority="745" operator="lessThan">
      <formula>0</formula>
    </cfRule>
  </conditionalFormatting>
  <conditionalFormatting sqref="DA47">
    <cfRule type="cellIs" dxfId="275" priority="744" operator="greaterThanOrEqual">
      <formula>0</formula>
    </cfRule>
  </conditionalFormatting>
  <conditionalFormatting sqref="DA47">
    <cfRule type="cellIs" dxfId="274" priority="743" operator="lessThan">
      <formula>0</formula>
    </cfRule>
  </conditionalFormatting>
  <conditionalFormatting sqref="DA50">
    <cfRule type="cellIs" dxfId="273" priority="742" operator="greaterThanOrEqual">
      <formula>0</formula>
    </cfRule>
  </conditionalFormatting>
  <conditionalFormatting sqref="DA50">
    <cfRule type="cellIs" dxfId="272" priority="741" operator="lessThan">
      <formula>0</formula>
    </cfRule>
  </conditionalFormatting>
  <conditionalFormatting sqref="DA51">
    <cfRule type="cellIs" dxfId="271" priority="740" operator="greaterThanOrEqual">
      <formula>0</formula>
    </cfRule>
  </conditionalFormatting>
  <conditionalFormatting sqref="DA51">
    <cfRule type="cellIs" dxfId="270" priority="739" operator="lessThan">
      <formula>0</formula>
    </cfRule>
  </conditionalFormatting>
  <conditionalFormatting sqref="DA59">
    <cfRule type="cellIs" dxfId="269" priority="738" operator="greaterThanOrEqual">
      <formula>0</formula>
    </cfRule>
  </conditionalFormatting>
  <conditionalFormatting sqref="DA59">
    <cfRule type="cellIs" dxfId="268" priority="737" operator="lessThan">
      <formula>0</formula>
    </cfRule>
  </conditionalFormatting>
  <conditionalFormatting sqref="DA65">
    <cfRule type="cellIs" dxfId="267" priority="736" operator="greaterThanOrEqual">
      <formula>0</formula>
    </cfRule>
  </conditionalFormatting>
  <conditionalFormatting sqref="DA65">
    <cfRule type="cellIs" dxfId="266" priority="735" operator="lessThan">
      <formula>0</formula>
    </cfRule>
  </conditionalFormatting>
  <conditionalFormatting sqref="DA66">
    <cfRule type="cellIs" dxfId="265" priority="734" operator="greaterThanOrEqual">
      <formula>0</formula>
    </cfRule>
  </conditionalFormatting>
  <conditionalFormatting sqref="DA66">
    <cfRule type="cellIs" dxfId="264" priority="733" operator="lessThan">
      <formula>0</formula>
    </cfRule>
  </conditionalFormatting>
  <conditionalFormatting sqref="DA68:DA70">
    <cfRule type="cellIs" dxfId="263" priority="731" operator="lessThan">
      <formula>0</formula>
    </cfRule>
    <cfRule type="cellIs" dxfId="262" priority="732" operator="greaterThanOrEqual">
      <formula>0</formula>
    </cfRule>
  </conditionalFormatting>
  <conditionalFormatting sqref="DA71:DA72">
    <cfRule type="cellIs" dxfId="261" priority="730" operator="greaterThanOrEqual">
      <formula>0</formula>
    </cfRule>
  </conditionalFormatting>
  <conditionalFormatting sqref="DA71:DA72">
    <cfRule type="cellIs" dxfId="260" priority="729" operator="lessThan">
      <formula>0</formula>
    </cfRule>
  </conditionalFormatting>
  <conditionalFormatting sqref="DA73">
    <cfRule type="cellIs" dxfId="259" priority="728" operator="greaterThanOrEqual">
      <formula>0</formula>
    </cfRule>
  </conditionalFormatting>
  <conditionalFormatting sqref="DA73">
    <cfRule type="cellIs" dxfId="258" priority="727" operator="lessThan">
      <formula>0</formula>
    </cfRule>
  </conditionalFormatting>
  <conditionalFormatting sqref="DA42:DA43">
    <cfRule type="cellIs" dxfId="257" priority="725" operator="lessThan">
      <formula>0</formula>
    </cfRule>
    <cfRule type="cellIs" dxfId="256" priority="726" operator="greaterThanOrEqual">
      <formula>0</formula>
    </cfRule>
  </conditionalFormatting>
  <conditionalFormatting sqref="DA45:DA46">
    <cfRule type="cellIs" dxfId="255" priority="723" operator="lessThan">
      <formula>0</formula>
    </cfRule>
    <cfRule type="cellIs" dxfId="254" priority="724" operator="greaterThanOrEqual">
      <formula>0</formula>
    </cfRule>
  </conditionalFormatting>
  <conditionalFormatting sqref="DA57:DA58">
    <cfRule type="cellIs" dxfId="253" priority="721" operator="lessThan">
      <formula>0</formula>
    </cfRule>
    <cfRule type="cellIs" dxfId="252" priority="722" operator="greaterThanOrEqual">
      <formula>0</formula>
    </cfRule>
  </conditionalFormatting>
  <conditionalFormatting sqref="DA60:DA61">
    <cfRule type="cellIs" dxfId="251" priority="719" operator="lessThan">
      <formula>0</formula>
    </cfRule>
    <cfRule type="cellIs" dxfId="250" priority="720" operator="greaterThanOrEqual">
      <formula>0</formula>
    </cfRule>
  </conditionalFormatting>
  <conditionalFormatting sqref="DA63:DA64">
    <cfRule type="cellIs" dxfId="249" priority="717" operator="lessThan">
      <formula>0</formula>
    </cfRule>
    <cfRule type="cellIs" dxfId="248" priority="718" operator="greaterThanOrEqual">
      <formula>0</formula>
    </cfRule>
  </conditionalFormatting>
  <conditionalFormatting sqref="DF13:DF14">
    <cfRule type="cellIs" dxfId="247" priority="715" operator="greaterThan">
      <formula>0</formula>
    </cfRule>
    <cfRule type="cellIs" dxfId="246" priority="716" operator="lessThanOrEqual">
      <formula>0</formula>
    </cfRule>
  </conditionalFormatting>
  <conditionalFormatting sqref="DF16:DF17">
    <cfRule type="cellIs" dxfId="245" priority="713" operator="greaterThan">
      <formula>0</formula>
    </cfRule>
    <cfRule type="cellIs" dxfId="244" priority="714" operator="lessThanOrEqual">
      <formula>0</formula>
    </cfRule>
  </conditionalFormatting>
  <conditionalFormatting sqref="DF19:DF20">
    <cfRule type="cellIs" dxfId="243" priority="711" operator="greaterThan">
      <formula>0</formula>
    </cfRule>
    <cfRule type="cellIs" dxfId="242" priority="712" operator="lessThanOrEqual">
      <formula>0</formula>
    </cfRule>
  </conditionalFormatting>
  <conditionalFormatting sqref="DF29:DF30">
    <cfRule type="cellIs" dxfId="241" priority="709" operator="greaterThan">
      <formula>0</formula>
    </cfRule>
    <cfRule type="cellIs" dxfId="240" priority="710" operator="lessThanOrEqual">
      <formula>0</formula>
    </cfRule>
  </conditionalFormatting>
  <conditionalFormatting sqref="DF22:DF23">
    <cfRule type="cellIs" dxfId="239" priority="707" operator="greaterThan">
      <formula>0</formula>
    </cfRule>
    <cfRule type="cellIs" dxfId="238" priority="708" operator="lessThanOrEqual">
      <formula>0</formula>
    </cfRule>
  </conditionalFormatting>
  <conditionalFormatting sqref="DF32:DF33">
    <cfRule type="cellIs" dxfId="237" priority="705" operator="greaterThan">
      <formula>0</formula>
    </cfRule>
    <cfRule type="cellIs" dxfId="236" priority="706" operator="lessThanOrEqual">
      <formula>0</formula>
    </cfRule>
  </conditionalFormatting>
  <conditionalFormatting sqref="DF35:DF36">
    <cfRule type="cellIs" dxfId="235" priority="703" operator="greaterThan">
      <formula>0</formula>
    </cfRule>
    <cfRule type="cellIs" dxfId="234" priority="704" operator="lessThanOrEqual">
      <formula>0</formula>
    </cfRule>
  </conditionalFormatting>
  <conditionalFormatting sqref="DF38:DF39">
    <cfRule type="cellIs" dxfId="233" priority="701" operator="greaterThan">
      <formula>0</formula>
    </cfRule>
    <cfRule type="cellIs" dxfId="232" priority="702" operator="lessThanOrEqual">
      <formula>0</formula>
    </cfRule>
  </conditionalFormatting>
  <conditionalFormatting sqref="DF48:DF49">
    <cfRule type="cellIs" dxfId="231" priority="699" operator="greaterThan">
      <formula>0</formula>
    </cfRule>
    <cfRule type="cellIs" dxfId="230" priority="700" operator="lessThanOrEqual">
      <formula>0</formula>
    </cfRule>
  </conditionalFormatting>
  <conditionalFormatting sqref="DF63:DF64">
    <cfRule type="cellIs" dxfId="229" priority="697" operator="greaterThan">
      <formula>0</formula>
    </cfRule>
    <cfRule type="cellIs" dxfId="228" priority="698" operator="lessThanOrEqual">
      <formula>0</formula>
    </cfRule>
  </conditionalFormatting>
  <conditionalFormatting sqref="DF53:DF54">
    <cfRule type="cellIs" dxfId="227" priority="695" operator="greaterThan">
      <formula>0</formula>
    </cfRule>
    <cfRule type="cellIs" dxfId="226" priority="696" operator="lessThanOrEqual">
      <formula>0</formula>
    </cfRule>
  </conditionalFormatting>
  <conditionalFormatting sqref="DF15">
    <cfRule type="cellIs" dxfId="225" priority="693" operator="greaterThan">
      <formula>0</formula>
    </cfRule>
    <cfRule type="cellIs" dxfId="224" priority="694" operator="lessThanOrEqual">
      <formula>0</formula>
    </cfRule>
  </conditionalFormatting>
  <conditionalFormatting sqref="DF18">
    <cfRule type="cellIs" dxfId="223" priority="691" operator="greaterThan">
      <formula>0</formula>
    </cfRule>
    <cfRule type="cellIs" dxfId="222" priority="692" operator="lessThanOrEqual">
      <formula>0</formula>
    </cfRule>
  </conditionalFormatting>
  <conditionalFormatting sqref="DF21">
    <cfRule type="cellIs" dxfId="221" priority="689" operator="greaterThan">
      <formula>0</formula>
    </cfRule>
    <cfRule type="cellIs" dxfId="220" priority="690" operator="lessThanOrEqual">
      <formula>0</formula>
    </cfRule>
  </conditionalFormatting>
  <conditionalFormatting sqref="DF31">
    <cfRule type="cellIs" dxfId="219" priority="687" operator="greaterThan">
      <formula>0</formula>
    </cfRule>
    <cfRule type="cellIs" dxfId="218" priority="688" operator="lessThanOrEqual">
      <formula>0</formula>
    </cfRule>
  </conditionalFormatting>
  <conditionalFormatting sqref="DF24">
    <cfRule type="cellIs" dxfId="217" priority="685" operator="greaterThan">
      <formula>0</formula>
    </cfRule>
    <cfRule type="cellIs" dxfId="216" priority="686" operator="lessThanOrEqual">
      <formula>0</formula>
    </cfRule>
  </conditionalFormatting>
  <conditionalFormatting sqref="DF34">
    <cfRule type="cellIs" dxfId="215" priority="683" operator="greaterThan">
      <formula>0</formula>
    </cfRule>
    <cfRule type="cellIs" dxfId="214" priority="684" operator="lessThanOrEqual">
      <formula>0</formula>
    </cfRule>
  </conditionalFormatting>
  <conditionalFormatting sqref="DF37">
    <cfRule type="cellIs" dxfId="213" priority="681" operator="greaterThan">
      <formula>0</formula>
    </cfRule>
    <cfRule type="cellIs" dxfId="212" priority="682" operator="lessThanOrEqual">
      <formula>0</formula>
    </cfRule>
  </conditionalFormatting>
  <conditionalFormatting sqref="DF40">
    <cfRule type="cellIs" dxfId="211" priority="679" operator="greaterThan">
      <formula>0</formula>
    </cfRule>
    <cfRule type="cellIs" dxfId="210" priority="680" operator="lessThanOrEqual">
      <formula>0</formula>
    </cfRule>
  </conditionalFormatting>
  <conditionalFormatting sqref="DF26">
    <cfRule type="cellIs" dxfId="209" priority="677" operator="greaterThan">
      <formula>0</formula>
    </cfRule>
    <cfRule type="cellIs" dxfId="208" priority="678" operator="lessThanOrEqual">
      <formula>0</formula>
    </cfRule>
  </conditionalFormatting>
  <conditionalFormatting sqref="DF66">
    <cfRule type="cellIs" dxfId="207" priority="675" operator="greaterThan">
      <formula>0</formula>
    </cfRule>
    <cfRule type="cellIs" dxfId="206" priority="676" operator="lessThanOrEqual">
      <formula>0</formula>
    </cfRule>
  </conditionalFormatting>
  <conditionalFormatting sqref="DE13:DE14 DE16:DE17 DE19:DE20 DE22:DE23 DE29:DE30 DE32:DE33 DE35:DE36 DE38:DE39 DE48:DE49 DE53:DE54">
    <cfRule type="cellIs" dxfId="205" priority="673" operator="lessThan">
      <formula>0</formula>
    </cfRule>
    <cfRule type="cellIs" dxfId="204" priority="674" operator="greaterThanOrEqual">
      <formula>0</formula>
    </cfRule>
  </conditionalFormatting>
  <conditionalFormatting sqref="DE15 DE18 DE21 DE24 DE26 DE31 DE34 DE37 DE40">
    <cfRule type="cellIs" dxfId="203" priority="672" operator="greaterThanOrEqual">
      <formula>0</formula>
    </cfRule>
  </conditionalFormatting>
  <conditionalFormatting sqref="DE15 DE18 DE21 DE24 DE26 DE31 DE34 DE37 DE40">
    <cfRule type="cellIs" dxfId="202" priority="671" operator="lessThan">
      <formula>0</formula>
    </cfRule>
  </conditionalFormatting>
  <conditionalFormatting sqref="DF51">
    <cfRule type="cellIs" dxfId="201" priority="665" operator="greaterThan">
      <formula>0</formula>
    </cfRule>
    <cfRule type="cellIs" dxfId="200" priority="666" operator="lessThanOrEqual">
      <formula>0</formula>
    </cfRule>
  </conditionalFormatting>
  <conditionalFormatting sqref="DF44">
    <cfRule type="cellIs" dxfId="199" priority="659" operator="greaterThan">
      <formula>0</formula>
    </cfRule>
    <cfRule type="cellIs" dxfId="198" priority="660" operator="lessThanOrEqual">
      <formula>0</formula>
    </cfRule>
  </conditionalFormatting>
  <conditionalFormatting sqref="DF50">
    <cfRule type="cellIs" dxfId="197" priority="655" operator="greaterThan">
      <formula>0</formula>
    </cfRule>
    <cfRule type="cellIs" dxfId="196" priority="656" operator="lessThanOrEqual">
      <formula>0</formula>
    </cfRule>
  </conditionalFormatting>
  <conditionalFormatting sqref="DF28">
    <cfRule type="cellIs" dxfId="195" priority="669" operator="greaterThan">
      <formula>0</formula>
    </cfRule>
    <cfRule type="cellIs" dxfId="194" priority="670" operator="lessThanOrEqual">
      <formula>0</formula>
    </cfRule>
  </conditionalFormatting>
  <conditionalFormatting sqref="DF41">
    <cfRule type="cellIs" dxfId="193" priority="667" operator="greaterThan">
      <formula>0</formula>
    </cfRule>
    <cfRule type="cellIs" dxfId="192" priority="668" operator="lessThanOrEqual">
      <formula>0</formula>
    </cfRule>
  </conditionalFormatting>
  <conditionalFormatting sqref="DF42:DF43 DF45:DF46">
    <cfRule type="cellIs" dxfId="191" priority="663" operator="greaterThan">
      <formula>0</formula>
    </cfRule>
    <cfRule type="cellIs" dxfId="190" priority="664" operator="lessThanOrEqual">
      <formula>0</formula>
    </cfRule>
  </conditionalFormatting>
  <conditionalFormatting sqref="DF57:DF58 DF60:DF61">
    <cfRule type="cellIs" dxfId="189" priority="661" operator="greaterThan">
      <formula>0</formula>
    </cfRule>
    <cfRule type="cellIs" dxfId="188" priority="662" operator="lessThanOrEqual">
      <formula>0</formula>
    </cfRule>
  </conditionalFormatting>
  <conditionalFormatting sqref="DF62">
    <cfRule type="cellIs" dxfId="187" priority="651" operator="greaterThan">
      <formula>0</formula>
    </cfRule>
    <cfRule type="cellIs" dxfId="186" priority="652" operator="lessThanOrEqual">
      <formula>0</formula>
    </cfRule>
  </conditionalFormatting>
  <conditionalFormatting sqref="DF65">
    <cfRule type="cellIs" dxfId="185" priority="647" operator="greaterThan">
      <formula>0</formula>
    </cfRule>
    <cfRule type="cellIs" dxfId="184" priority="648" operator="lessThanOrEqual">
      <formula>0</formula>
    </cfRule>
  </conditionalFormatting>
  <conditionalFormatting sqref="DF25">
    <cfRule type="cellIs" dxfId="183" priority="645" operator="greaterThan">
      <formula>0</formula>
    </cfRule>
    <cfRule type="cellIs" dxfId="182" priority="646" operator="lessThanOrEqual">
      <formula>0</formula>
    </cfRule>
  </conditionalFormatting>
  <conditionalFormatting sqref="DF56">
    <cfRule type="cellIs" dxfId="181" priority="643" operator="greaterThan">
      <formula>0</formula>
    </cfRule>
    <cfRule type="cellIs" dxfId="180" priority="644" operator="lessThanOrEqual">
      <formula>0</formula>
    </cfRule>
  </conditionalFormatting>
  <conditionalFormatting sqref="DE56">
    <cfRule type="cellIs" dxfId="179" priority="642" operator="greaterThanOrEqual">
      <formula>0</formula>
    </cfRule>
  </conditionalFormatting>
  <conditionalFormatting sqref="DE56">
    <cfRule type="cellIs" dxfId="178" priority="641" operator="lessThan">
      <formula>0</formula>
    </cfRule>
  </conditionalFormatting>
  <conditionalFormatting sqref="DF52">
    <cfRule type="cellIs" dxfId="177" priority="639" operator="greaterThan">
      <formula>0</formula>
    </cfRule>
    <cfRule type="cellIs" dxfId="176" priority="640" operator="lessThanOrEqual">
      <formula>0</formula>
    </cfRule>
  </conditionalFormatting>
  <conditionalFormatting sqref="DE52">
    <cfRule type="cellIs" dxfId="175" priority="638" operator="greaterThanOrEqual">
      <formula>0</formula>
    </cfRule>
  </conditionalFormatting>
  <conditionalFormatting sqref="DE52">
    <cfRule type="cellIs" dxfId="174" priority="637" operator="lessThan">
      <formula>0</formula>
    </cfRule>
  </conditionalFormatting>
  <conditionalFormatting sqref="DE25">
    <cfRule type="cellIs" dxfId="173" priority="636" operator="greaterThanOrEqual">
      <formula>0</formula>
    </cfRule>
  </conditionalFormatting>
  <conditionalFormatting sqref="DE25">
    <cfRule type="cellIs" dxfId="172" priority="635" operator="lessThan">
      <formula>0</formula>
    </cfRule>
  </conditionalFormatting>
  <conditionalFormatting sqref="DE28">
    <cfRule type="cellIs" dxfId="171" priority="634" operator="greaterThanOrEqual">
      <formula>0</formula>
    </cfRule>
  </conditionalFormatting>
  <conditionalFormatting sqref="DE28">
    <cfRule type="cellIs" dxfId="170" priority="633" operator="lessThan">
      <formula>0</formula>
    </cfRule>
  </conditionalFormatting>
  <conditionalFormatting sqref="DE41">
    <cfRule type="cellIs" dxfId="169" priority="632" operator="greaterThanOrEqual">
      <formula>0</formula>
    </cfRule>
  </conditionalFormatting>
  <conditionalFormatting sqref="DE41">
    <cfRule type="cellIs" dxfId="168" priority="631" operator="lessThan">
      <formula>0</formula>
    </cfRule>
  </conditionalFormatting>
  <conditionalFormatting sqref="DE44">
    <cfRule type="cellIs" dxfId="167" priority="630" operator="greaterThanOrEqual">
      <formula>0</formula>
    </cfRule>
  </conditionalFormatting>
  <conditionalFormatting sqref="DE44">
    <cfRule type="cellIs" dxfId="166" priority="629" operator="lessThan">
      <formula>0</formula>
    </cfRule>
  </conditionalFormatting>
  <conditionalFormatting sqref="DE47">
    <cfRule type="cellIs" dxfId="165" priority="628" operator="greaterThanOrEqual">
      <formula>0</formula>
    </cfRule>
  </conditionalFormatting>
  <conditionalFormatting sqref="DE47">
    <cfRule type="cellIs" dxfId="164" priority="627" operator="lessThan">
      <formula>0</formula>
    </cfRule>
  </conditionalFormatting>
  <conditionalFormatting sqref="DE50">
    <cfRule type="cellIs" dxfId="163" priority="626" operator="greaterThanOrEqual">
      <formula>0</formula>
    </cfRule>
  </conditionalFormatting>
  <conditionalFormatting sqref="DE50">
    <cfRule type="cellIs" dxfId="162" priority="625" operator="lessThan">
      <formula>0</formula>
    </cfRule>
  </conditionalFormatting>
  <conditionalFormatting sqref="DE51">
    <cfRule type="cellIs" dxfId="161" priority="624" operator="greaterThanOrEqual">
      <formula>0</formula>
    </cfRule>
  </conditionalFormatting>
  <conditionalFormatting sqref="DE51">
    <cfRule type="cellIs" dxfId="160" priority="623" operator="lessThan">
      <formula>0</formula>
    </cfRule>
  </conditionalFormatting>
  <conditionalFormatting sqref="DE59">
    <cfRule type="cellIs" dxfId="159" priority="622" operator="greaterThanOrEqual">
      <formula>0</formula>
    </cfRule>
  </conditionalFormatting>
  <conditionalFormatting sqref="DE59">
    <cfRule type="cellIs" dxfId="158" priority="621" operator="lessThan">
      <formula>0</formula>
    </cfRule>
  </conditionalFormatting>
  <conditionalFormatting sqref="DE65">
    <cfRule type="cellIs" dxfId="157" priority="620" operator="greaterThanOrEqual">
      <formula>0</formula>
    </cfRule>
  </conditionalFormatting>
  <conditionalFormatting sqref="DE65">
    <cfRule type="cellIs" dxfId="156" priority="619" operator="lessThan">
      <formula>0</formula>
    </cfRule>
  </conditionalFormatting>
  <conditionalFormatting sqref="DE66">
    <cfRule type="cellIs" dxfId="155" priority="618" operator="greaterThanOrEqual">
      <formula>0</formula>
    </cfRule>
  </conditionalFormatting>
  <conditionalFormatting sqref="DE66">
    <cfRule type="cellIs" dxfId="154" priority="617" operator="lessThan">
      <formula>0</formula>
    </cfRule>
  </conditionalFormatting>
  <conditionalFormatting sqref="DE42:DE43">
    <cfRule type="cellIs" dxfId="153" priority="615" operator="lessThan">
      <formula>0</formula>
    </cfRule>
    <cfRule type="cellIs" dxfId="152" priority="616" operator="greaterThanOrEqual">
      <formula>0</formula>
    </cfRule>
  </conditionalFormatting>
  <conditionalFormatting sqref="DE45:DE46">
    <cfRule type="cellIs" dxfId="151" priority="613" operator="lessThan">
      <formula>0</formula>
    </cfRule>
    <cfRule type="cellIs" dxfId="150" priority="614" operator="greaterThanOrEqual">
      <formula>0</formula>
    </cfRule>
  </conditionalFormatting>
  <conditionalFormatting sqref="DE57:DE58">
    <cfRule type="cellIs" dxfId="149" priority="611" operator="lessThan">
      <formula>0</formula>
    </cfRule>
    <cfRule type="cellIs" dxfId="148" priority="612" operator="greaterThanOrEqual">
      <formula>0</formula>
    </cfRule>
  </conditionalFormatting>
  <conditionalFormatting sqref="DE60:DE61">
    <cfRule type="cellIs" dxfId="147" priority="609" operator="lessThan">
      <formula>0</formula>
    </cfRule>
    <cfRule type="cellIs" dxfId="146" priority="610" operator="greaterThanOrEqual">
      <formula>0</formula>
    </cfRule>
  </conditionalFormatting>
  <conditionalFormatting sqref="DE63:DE64">
    <cfRule type="cellIs" dxfId="145" priority="607" operator="lessThan">
      <formula>0</formula>
    </cfRule>
    <cfRule type="cellIs" dxfId="144" priority="608" operator="greaterThanOrEqual">
      <formula>0</formula>
    </cfRule>
  </conditionalFormatting>
  <conditionalFormatting sqref="DF68 DF71">
    <cfRule type="cellIs" dxfId="143" priority="605" operator="greaterThan">
      <formula>0</formula>
    </cfRule>
    <cfRule type="cellIs" dxfId="142" priority="606" operator="lessThanOrEqual">
      <formula>0</formula>
    </cfRule>
  </conditionalFormatting>
  <conditionalFormatting sqref="DF73">
    <cfRule type="cellIs" dxfId="141" priority="603" operator="greaterThan">
      <formula>0</formula>
    </cfRule>
    <cfRule type="cellIs" dxfId="140" priority="604" operator="lessThanOrEqual">
      <formula>0</formula>
    </cfRule>
  </conditionalFormatting>
  <conditionalFormatting sqref="DF69">
    <cfRule type="cellIs" dxfId="139" priority="601" operator="greaterThan">
      <formula>0</formula>
    </cfRule>
    <cfRule type="cellIs" dxfId="138" priority="602" operator="lessThanOrEqual">
      <formula>0</formula>
    </cfRule>
  </conditionalFormatting>
  <conditionalFormatting sqref="DF70">
    <cfRule type="cellIs" dxfId="137" priority="599" operator="greaterThan">
      <formula>0</formula>
    </cfRule>
    <cfRule type="cellIs" dxfId="136" priority="600" operator="lessThanOrEqual">
      <formula>0</formula>
    </cfRule>
  </conditionalFormatting>
  <conditionalFormatting sqref="DF72">
    <cfRule type="cellIs" dxfId="135" priority="597" operator="greaterThan">
      <formula>0</formula>
    </cfRule>
    <cfRule type="cellIs" dxfId="134" priority="598" operator="lessThanOrEqual">
      <formula>0</formula>
    </cfRule>
  </conditionalFormatting>
  <conditionalFormatting sqref="DE68:DE70">
    <cfRule type="cellIs" dxfId="133" priority="595" operator="lessThan">
      <formula>0</formula>
    </cfRule>
    <cfRule type="cellIs" dxfId="132" priority="596" operator="greaterThanOrEqual">
      <formula>0</formula>
    </cfRule>
  </conditionalFormatting>
  <conditionalFormatting sqref="DE71:DE72">
    <cfRule type="cellIs" dxfId="131" priority="594" operator="greaterThanOrEqual">
      <formula>0</formula>
    </cfRule>
  </conditionalFormatting>
  <conditionalFormatting sqref="DE71:DE72">
    <cfRule type="cellIs" dxfId="130" priority="593" operator="lessThan">
      <formula>0</formula>
    </cfRule>
  </conditionalFormatting>
  <conditionalFormatting sqref="DE73">
    <cfRule type="cellIs" dxfId="129" priority="592" operator="greaterThanOrEqual">
      <formula>0</formula>
    </cfRule>
  </conditionalFormatting>
  <conditionalFormatting sqref="DE73">
    <cfRule type="cellIs" dxfId="128" priority="591" operator="lessThan">
      <formula>0</formula>
    </cfRule>
  </conditionalFormatting>
  <conditionalFormatting sqref="DF67">
    <cfRule type="cellIs" dxfId="127" priority="589" operator="greaterThan">
      <formula>0</formula>
    </cfRule>
    <cfRule type="cellIs" dxfId="126" priority="590" operator="lessThanOrEqual">
      <formula>0</formula>
    </cfRule>
  </conditionalFormatting>
  <conditionalFormatting sqref="DE67">
    <cfRule type="cellIs" dxfId="125" priority="587" operator="greaterThanOrEqual">
      <formula>0</formula>
    </cfRule>
    <cfRule type="cellIs" dxfId="124" priority="588" operator="lessThan">
      <formula>0</formula>
    </cfRule>
  </conditionalFormatting>
  <conditionalFormatting sqref="DB51">
    <cfRule type="cellIs" dxfId="123" priority="585" operator="greaterThan">
      <formula>0</formula>
    </cfRule>
    <cfRule type="cellIs" dxfId="122" priority="586" operator="lessThanOrEqual">
      <formula>0</formula>
    </cfRule>
  </conditionalFormatting>
  <conditionalFormatting sqref="DH42:DH43">
    <cfRule type="cellIs" dxfId="121" priority="583" operator="lessThan">
      <formula>0</formula>
    </cfRule>
    <cfRule type="cellIs" dxfId="120" priority="584" operator="greaterThanOrEqual">
      <formula>0</formula>
    </cfRule>
  </conditionalFormatting>
  <conditionalFormatting sqref="DH45:DH46">
    <cfRule type="cellIs" dxfId="119" priority="581" operator="lessThan">
      <formula>0</formula>
    </cfRule>
    <cfRule type="cellIs" dxfId="118" priority="582" operator="greaterThanOrEqual">
      <formula>0</formula>
    </cfRule>
  </conditionalFormatting>
  <conditionalFormatting sqref="DH53:DH54">
    <cfRule type="cellIs" dxfId="117" priority="579" operator="lessThan">
      <formula>0</formula>
    </cfRule>
    <cfRule type="cellIs" dxfId="116" priority="580" operator="greaterThanOrEqual">
      <formula>0</formula>
    </cfRule>
  </conditionalFormatting>
  <conditionalFormatting sqref="DH57:DH58">
    <cfRule type="cellIs" dxfId="115" priority="577" operator="lessThan">
      <formula>0</formula>
    </cfRule>
    <cfRule type="cellIs" dxfId="114" priority="578" operator="greaterThanOrEqual">
      <formula>0</formula>
    </cfRule>
  </conditionalFormatting>
  <conditionalFormatting sqref="DH60:DH61">
    <cfRule type="cellIs" dxfId="113" priority="575" operator="lessThan">
      <formula>0</formula>
    </cfRule>
    <cfRule type="cellIs" dxfId="112" priority="576" operator="greaterThanOrEqual">
      <formula>0</formula>
    </cfRule>
  </conditionalFormatting>
  <conditionalFormatting sqref="DH63:DH64">
    <cfRule type="cellIs" dxfId="111" priority="573" operator="lessThan">
      <formula>0</formula>
    </cfRule>
    <cfRule type="cellIs" dxfId="110" priority="574" operator="greaterThanOrEqual">
      <formula>0</formula>
    </cfRule>
  </conditionalFormatting>
  <conditionalFormatting sqref="DH25">
    <cfRule type="cellIs" dxfId="109" priority="572" operator="greaterThanOrEqual">
      <formula>0</formula>
    </cfRule>
  </conditionalFormatting>
  <conditionalFormatting sqref="DH25">
    <cfRule type="cellIs" dxfId="108" priority="571" operator="lessThan">
      <formula>0</formula>
    </cfRule>
  </conditionalFormatting>
  <conditionalFormatting sqref="DH26">
    <cfRule type="cellIs" dxfId="107" priority="570" operator="greaterThanOrEqual">
      <formula>0</formula>
    </cfRule>
  </conditionalFormatting>
  <conditionalFormatting sqref="DH26">
    <cfRule type="cellIs" dxfId="106" priority="569" operator="lessThan">
      <formula>0</formula>
    </cfRule>
  </conditionalFormatting>
  <conditionalFormatting sqref="DH28">
    <cfRule type="cellIs" dxfId="105" priority="568" operator="greaterThanOrEqual">
      <formula>0</formula>
    </cfRule>
  </conditionalFormatting>
  <conditionalFormatting sqref="DH28">
    <cfRule type="cellIs" dxfId="104" priority="567" operator="lessThan">
      <formula>0</formula>
    </cfRule>
  </conditionalFormatting>
  <conditionalFormatting sqref="DH41">
    <cfRule type="cellIs" dxfId="103" priority="566" operator="greaterThanOrEqual">
      <formula>0</formula>
    </cfRule>
  </conditionalFormatting>
  <conditionalFormatting sqref="DH41">
    <cfRule type="cellIs" dxfId="102" priority="565" operator="lessThan">
      <formula>0</formula>
    </cfRule>
  </conditionalFormatting>
  <conditionalFormatting sqref="DH44">
    <cfRule type="cellIs" dxfId="101" priority="564" operator="greaterThanOrEqual">
      <formula>0</formula>
    </cfRule>
  </conditionalFormatting>
  <conditionalFormatting sqref="DH44">
    <cfRule type="cellIs" dxfId="100" priority="563" operator="lessThan">
      <formula>0</formula>
    </cfRule>
  </conditionalFormatting>
  <conditionalFormatting sqref="DH47">
    <cfRule type="cellIs" dxfId="99" priority="562" operator="greaterThanOrEqual">
      <formula>0</formula>
    </cfRule>
  </conditionalFormatting>
  <conditionalFormatting sqref="DH47">
    <cfRule type="cellIs" dxfId="98" priority="561" operator="lessThan">
      <formula>0</formula>
    </cfRule>
  </conditionalFormatting>
  <conditionalFormatting sqref="DH50">
    <cfRule type="cellIs" dxfId="97" priority="560" operator="greaterThanOrEqual">
      <formula>0</formula>
    </cfRule>
  </conditionalFormatting>
  <conditionalFormatting sqref="DH50">
    <cfRule type="cellIs" dxfId="96" priority="559" operator="lessThan">
      <formula>0</formula>
    </cfRule>
  </conditionalFormatting>
  <conditionalFormatting sqref="DH51">
    <cfRule type="cellIs" dxfId="95" priority="558" operator="greaterThanOrEqual">
      <formula>0</formula>
    </cfRule>
  </conditionalFormatting>
  <conditionalFormatting sqref="DH51">
    <cfRule type="cellIs" dxfId="94" priority="557" operator="lessThan">
      <formula>0</formula>
    </cfRule>
  </conditionalFormatting>
  <conditionalFormatting sqref="DH59">
    <cfRule type="cellIs" dxfId="93" priority="556" operator="greaterThanOrEqual">
      <formula>0</formula>
    </cfRule>
  </conditionalFormatting>
  <conditionalFormatting sqref="DH59">
    <cfRule type="cellIs" dxfId="92" priority="555" operator="lessThan">
      <formula>0</formula>
    </cfRule>
  </conditionalFormatting>
  <conditionalFormatting sqref="DH62">
    <cfRule type="cellIs" dxfId="91" priority="554" operator="greaterThanOrEqual">
      <formula>0</formula>
    </cfRule>
  </conditionalFormatting>
  <conditionalFormatting sqref="DH62">
    <cfRule type="cellIs" dxfId="90" priority="553" operator="lessThan">
      <formula>0</formula>
    </cfRule>
  </conditionalFormatting>
  <conditionalFormatting sqref="DH65">
    <cfRule type="cellIs" dxfId="89" priority="552" operator="greaterThanOrEqual">
      <formula>0</formula>
    </cfRule>
  </conditionalFormatting>
  <conditionalFormatting sqref="DH65">
    <cfRule type="cellIs" dxfId="88" priority="551" operator="lessThan">
      <formula>0</formula>
    </cfRule>
  </conditionalFormatting>
  <conditionalFormatting sqref="DH56">
    <cfRule type="cellIs" dxfId="87" priority="550" operator="greaterThanOrEqual">
      <formula>0</formula>
    </cfRule>
  </conditionalFormatting>
  <conditionalFormatting sqref="DH56">
    <cfRule type="cellIs" dxfId="86" priority="549" operator="lessThan">
      <formula>0</formula>
    </cfRule>
  </conditionalFormatting>
  <conditionalFormatting sqref="DH66">
    <cfRule type="cellIs" dxfId="85" priority="548" operator="greaterThanOrEqual">
      <formula>0</formula>
    </cfRule>
  </conditionalFormatting>
  <conditionalFormatting sqref="DH66">
    <cfRule type="cellIs" dxfId="84" priority="547" operator="lessThan">
      <formula>0</formula>
    </cfRule>
  </conditionalFormatting>
  <conditionalFormatting sqref="DI16:DI17">
    <cfRule type="cellIs" dxfId="83" priority="545" operator="greaterThan">
      <formula>0</formula>
    </cfRule>
    <cfRule type="cellIs" dxfId="82" priority="546" operator="lessThanOrEqual">
      <formula>0</formula>
    </cfRule>
  </conditionalFormatting>
  <conditionalFormatting sqref="DI19:DI20">
    <cfRule type="cellIs" dxfId="81" priority="543" operator="greaterThan">
      <formula>0</formula>
    </cfRule>
    <cfRule type="cellIs" dxfId="80" priority="544" operator="lessThanOrEqual">
      <formula>0</formula>
    </cfRule>
  </conditionalFormatting>
  <conditionalFormatting sqref="DI22:DI23">
    <cfRule type="cellIs" dxfId="79" priority="541" operator="greaterThan">
      <formula>0</formula>
    </cfRule>
    <cfRule type="cellIs" dxfId="78" priority="542" operator="lessThanOrEqual">
      <formula>0</formula>
    </cfRule>
  </conditionalFormatting>
  <conditionalFormatting sqref="DI29:DI30">
    <cfRule type="cellIs" dxfId="77" priority="539" operator="greaterThan">
      <formula>0</formula>
    </cfRule>
    <cfRule type="cellIs" dxfId="76" priority="540" operator="lessThanOrEqual">
      <formula>0</formula>
    </cfRule>
  </conditionalFormatting>
  <conditionalFormatting sqref="DI32:DI33">
    <cfRule type="cellIs" dxfId="75" priority="537" operator="greaterThan">
      <formula>0</formula>
    </cfRule>
    <cfRule type="cellIs" dxfId="74" priority="538" operator="lessThanOrEqual">
      <formula>0</formula>
    </cfRule>
  </conditionalFormatting>
  <conditionalFormatting sqref="DI35:DI36">
    <cfRule type="cellIs" dxfId="73" priority="535" operator="greaterThan">
      <formula>0</formula>
    </cfRule>
    <cfRule type="cellIs" dxfId="72" priority="536" operator="lessThanOrEqual">
      <formula>0</formula>
    </cfRule>
  </conditionalFormatting>
  <conditionalFormatting sqref="DI38:DI39">
    <cfRule type="cellIs" dxfId="71" priority="533" operator="greaterThan">
      <formula>0</formula>
    </cfRule>
    <cfRule type="cellIs" dxfId="70" priority="534" operator="lessThanOrEqual">
      <formula>0</formula>
    </cfRule>
  </conditionalFormatting>
  <conditionalFormatting sqref="DI42:DI43">
    <cfRule type="cellIs" dxfId="69" priority="531" operator="greaterThan">
      <formula>0</formula>
    </cfRule>
    <cfRule type="cellIs" dxfId="68" priority="532" operator="lessThanOrEqual">
      <formula>0</formula>
    </cfRule>
  </conditionalFormatting>
  <conditionalFormatting sqref="DI45:DI46">
    <cfRule type="cellIs" dxfId="67" priority="529" operator="greaterThan">
      <formula>0</formula>
    </cfRule>
    <cfRule type="cellIs" dxfId="66" priority="530" operator="lessThanOrEqual">
      <formula>0</formula>
    </cfRule>
  </conditionalFormatting>
  <conditionalFormatting sqref="DI48:DI49">
    <cfRule type="cellIs" dxfId="65" priority="527" operator="greaterThan">
      <formula>0</formula>
    </cfRule>
    <cfRule type="cellIs" dxfId="64" priority="528" operator="lessThanOrEqual">
      <formula>0</formula>
    </cfRule>
  </conditionalFormatting>
  <conditionalFormatting sqref="DI53:DI54">
    <cfRule type="cellIs" dxfId="63" priority="525" operator="greaterThan">
      <formula>0</formula>
    </cfRule>
    <cfRule type="cellIs" dxfId="62" priority="526" operator="lessThanOrEqual">
      <formula>0</formula>
    </cfRule>
  </conditionalFormatting>
  <conditionalFormatting sqref="DI57:DI58">
    <cfRule type="cellIs" dxfId="61" priority="523" operator="greaterThan">
      <formula>0</formula>
    </cfRule>
    <cfRule type="cellIs" dxfId="60" priority="524" operator="lessThanOrEqual">
      <formula>0</formula>
    </cfRule>
  </conditionalFormatting>
  <conditionalFormatting sqref="DI60:DI61">
    <cfRule type="cellIs" dxfId="59" priority="521" operator="greaterThan">
      <formula>0</formula>
    </cfRule>
    <cfRule type="cellIs" dxfId="58" priority="522" operator="lessThanOrEqual">
      <formula>0</formula>
    </cfRule>
  </conditionalFormatting>
  <conditionalFormatting sqref="DI63:DI64">
    <cfRule type="cellIs" dxfId="57" priority="519" operator="greaterThan">
      <formula>0</formula>
    </cfRule>
    <cfRule type="cellIs" dxfId="56" priority="520" operator="lessThanOrEqual">
      <formula>0</formula>
    </cfRule>
  </conditionalFormatting>
  <conditionalFormatting sqref="DI25">
    <cfRule type="cellIs" dxfId="55" priority="518" operator="greaterThanOrEqual">
      <formula>0</formula>
    </cfRule>
  </conditionalFormatting>
  <conditionalFormatting sqref="DI25">
    <cfRule type="cellIs" dxfId="54" priority="517" operator="lessThan">
      <formula>0</formula>
    </cfRule>
  </conditionalFormatting>
  <conditionalFormatting sqref="DI26">
    <cfRule type="cellIs" dxfId="53" priority="516" operator="greaterThanOrEqual">
      <formula>0</formula>
    </cfRule>
  </conditionalFormatting>
  <conditionalFormatting sqref="DI26">
    <cfRule type="cellIs" dxfId="52" priority="515" operator="lessThan">
      <formula>0</formula>
    </cfRule>
  </conditionalFormatting>
  <conditionalFormatting sqref="DI28">
    <cfRule type="cellIs" dxfId="51" priority="514" operator="greaterThanOrEqual">
      <formula>0</formula>
    </cfRule>
  </conditionalFormatting>
  <conditionalFormatting sqref="DI28">
    <cfRule type="cellIs" dxfId="50" priority="513" operator="lessThan">
      <formula>0</formula>
    </cfRule>
  </conditionalFormatting>
  <conditionalFormatting sqref="DI41">
    <cfRule type="cellIs" dxfId="49" priority="512" operator="greaterThanOrEqual">
      <formula>0</formula>
    </cfRule>
  </conditionalFormatting>
  <conditionalFormatting sqref="DI41">
    <cfRule type="cellIs" dxfId="48" priority="511" operator="lessThan">
      <formula>0</formula>
    </cfRule>
  </conditionalFormatting>
  <conditionalFormatting sqref="DI44">
    <cfRule type="cellIs" dxfId="47" priority="510" operator="greaterThanOrEqual">
      <formula>0</formula>
    </cfRule>
  </conditionalFormatting>
  <conditionalFormatting sqref="DI44">
    <cfRule type="cellIs" dxfId="46" priority="509" operator="lessThan">
      <formula>0</formula>
    </cfRule>
  </conditionalFormatting>
  <conditionalFormatting sqref="DI47">
    <cfRule type="cellIs" dxfId="45" priority="508" operator="greaterThanOrEqual">
      <formula>0</formula>
    </cfRule>
  </conditionalFormatting>
  <conditionalFormatting sqref="DI47">
    <cfRule type="cellIs" dxfId="44" priority="507" operator="lessThan">
      <formula>0</formula>
    </cfRule>
  </conditionalFormatting>
  <conditionalFormatting sqref="DI50">
    <cfRule type="cellIs" dxfId="43" priority="506" operator="greaterThanOrEqual">
      <formula>0</formula>
    </cfRule>
  </conditionalFormatting>
  <conditionalFormatting sqref="DI50">
    <cfRule type="cellIs" dxfId="42" priority="505" operator="lessThan">
      <formula>0</formula>
    </cfRule>
  </conditionalFormatting>
  <conditionalFormatting sqref="DI51">
    <cfRule type="cellIs" dxfId="41" priority="504" operator="greaterThanOrEqual">
      <formula>0</formula>
    </cfRule>
  </conditionalFormatting>
  <conditionalFormatting sqref="DI51">
    <cfRule type="cellIs" dxfId="40" priority="503" operator="lessThan">
      <formula>0</formula>
    </cfRule>
  </conditionalFormatting>
  <conditionalFormatting sqref="DI59">
    <cfRule type="cellIs" dxfId="39" priority="502" operator="greaterThanOrEqual">
      <formula>0</formula>
    </cfRule>
  </conditionalFormatting>
  <conditionalFormatting sqref="DI59">
    <cfRule type="cellIs" dxfId="38" priority="501" operator="lessThan">
      <formula>0</formula>
    </cfRule>
  </conditionalFormatting>
  <conditionalFormatting sqref="DI62">
    <cfRule type="cellIs" dxfId="37" priority="500" operator="greaterThanOrEqual">
      <formula>0</formula>
    </cfRule>
  </conditionalFormatting>
  <conditionalFormatting sqref="DI62">
    <cfRule type="cellIs" dxfId="36" priority="499" operator="lessThan">
      <formula>0</formula>
    </cfRule>
  </conditionalFormatting>
  <conditionalFormatting sqref="DI65">
    <cfRule type="cellIs" dxfId="35" priority="498" operator="greaterThanOrEqual">
      <formula>0</formula>
    </cfRule>
  </conditionalFormatting>
  <conditionalFormatting sqref="DI65">
    <cfRule type="cellIs" dxfId="34" priority="497" operator="lessThan">
      <formula>0</formula>
    </cfRule>
  </conditionalFormatting>
  <conditionalFormatting sqref="DI56">
    <cfRule type="cellIs" dxfId="33" priority="495" operator="lessThan">
      <formula>0</formula>
    </cfRule>
  </conditionalFormatting>
  <conditionalFormatting sqref="DI56">
    <cfRule type="cellIs" dxfId="32" priority="496" operator="greaterThanOrEqual">
      <formula>0</formula>
    </cfRule>
  </conditionalFormatting>
  <conditionalFormatting sqref="DI66">
    <cfRule type="cellIs" dxfId="31" priority="493" operator="lessThan">
      <formula>0</formula>
    </cfRule>
  </conditionalFormatting>
  <conditionalFormatting sqref="DI66">
    <cfRule type="cellIs" dxfId="30" priority="494" operator="greaterThanOrEqual">
      <formula>0</formula>
    </cfRule>
  </conditionalFormatting>
  <conditionalFormatting sqref="DH70">
    <cfRule type="cellIs" dxfId="29" priority="491" operator="lessThan">
      <formula>0</formula>
    </cfRule>
    <cfRule type="cellIs" dxfId="28" priority="492" operator="greaterThanOrEqual">
      <formula>0</formula>
    </cfRule>
  </conditionalFormatting>
  <conditionalFormatting sqref="DI70">
    <cfRule type="cellIs" dxfId="27" priority="489" operator="lessThan">
      <formula>0</formula>
    </cfRule>
    <cfRule type="cellIs" dxfId="26" priority="490" operator="greaterThanOrEqual">
      <formula>0</formula>
    </cfRule>
  </conditionalFormatting>
  <conditionalFormatting sqref="DI72">
    <cfRule type="cellIs" dxfId="25" priority="487" operator="lessThan">
      <formula>0</formula>
    </cfRule>
    <cfRule type="cellIs" dxfId="24" priority="488" operator="greaterThanOrEqual">
      <formula>0</formula>
    </cfRule>
  </conditionalFormatting>
  <conditionalFormatting sqref="DA55">
    <cfRule type="cellIs" dxfId="23" priority="486" operator="greaterThanOrEqual">
      <formula>0</formula>
    </cfRule>
  </conditionalFormatting>
  <conditionalFormatting sqref="DA55">
    <cfRule type="cellIs" dxfId="22" priority="485" operator="lessThan">
      <formula>0</formula>
    </cfRule>
  </conditionalFormatting>
  <conditionalFormatting sqref="DF55">
    <cfRule type="cellIs" dxfId="21" priority="483" operator="greaterThan">
      <formula>0</formula>
    </cfRule>
    <cfRule type="cellIs" dxfId="20" priority="484" operator="lessThanOrEqual">
      <formula>0</formula>
    </cfRule>
  </conditionalFormatting>
  <conditionalFormatting sqref="DE55">
    <cfRule type="cellIs" dxfId="19" priority="482" operator="greaterThanOrEqual">
      <formula>0</formula>
    </cfRule>
  </conditionalFormatting>
  <conditionalFormatting sqref="DE55">
    <cfRule type="cellIs" dxfId="18" priority="481" operator="lessThan">
      <formula>0</formula>
    </cfRule>
  </conditionalFormatting>
  <conditionalFormatting sqref="DB55">
    <cfRule type="cellIs" dxfId="17" priority="479" operator="greaterThan">
      <formula>0</formula>
    </cfRule>
    <cfRule type="cellIs" dxfId="16" priority="480" operator="lessThanOrEqual">
      <formula>0</formula>
    </cfRule>
  </conditionalFormatting>
  <conditionalFormatting sqref="DH55">
    <cfRule type="cellIs" dxfId="15" priority="478" operator="greaterThanOrEqual">
      <formula>0</formula>
    </cfRule>
  </conditionalFormatting>
  <conditionalFormatting sqref="DH55">
    <cfRule type="cellIs" dxfId="14" priority="477" operator="lessThan">
      <formula>0</formula>
    </cfRule>
  </conditionalFormatting>
  <conditionalFormatting sqref="DI55">
    <cfRule type="cellIs" dxfId="13" priority="476" operator="greaterThanOrEqual">
      <formula>0</formula>
    </cfRule>
  </conditionalFormatting>
  <conditionalFormatting sqref="DI55">
    <cfRule type="cellIs" dxfId="12" priority="475" operator="lessThan">
      <formula>0</formula>
    </cfRule>
  </conditionalFormatting>
  <conditionalFormatting sqref="DB27">
    <cfRule type="cellIs" dxfId="11" priority="29" operator="greaterThan">
      <formula>0</formula>
    </cfRule>
    <cfRule type="cellIs" dxfId="10" priority="30" operator="lessThanOrEqual">
      <formula>0</formula>
    </cfRule>
  </conditionalFormatting>
  <conditionalFormatting sqref="DA27">
    <cfRule type="cellIs" dxfId="9" priority="28" operator="greaterThanOrEqual">
      <formula>0</formula>
    </cfRule>
  </conditionalFormatting>
  <conditionalFormatting sqref="DA27">
    <cfRule type="cellIs" dxfId="8" priority="27" operator="lessThan">
      <formula>0</formula>
    </cfRule>
  </conditionalFormatting>
  <conditionalFormatting sqref="DF27">
    <cfRule type="cellIs" dxfId="7" priority="25" operator="greaterThan">
      <formula>0</formula>
    </cfRule>
    <cfRule type="cellIs" dxfId="6" priority="26" operator="lessThanOrEqual">
      <formula>0</formula>
    </cfRule>
  </conditionalFormatting>
  <conditionalFormatting sqref="DE27">
    <cfRule type="cellIs" dxfId="5" priority="24" operator="greaterThanOrEqual">
      <formula>0</formula>
    </cfRule>
  </conditionalFormatting>
  <conditionalFormatting sqref="DE27">
    <cfRule type="cellIs" dxfId="4" priority="23" operator="lessThan">
      <formula>0</formula>
    </cfRule>
  </conditionalFormatting>
  <conditionalFormatting sqref="DH27">
    <cfRule type="cellIs" dxfId="3" priority="22" operator="greaterThanOrEqual">
      <formula>0</formula>
    </cfRule>
  </conditionalFormatting>
  <conditionalFormatting sqref="DH27">
    <cfRule type="cellIs" dxfId="2" priority="21" operator="lessThan">
      <formula>0</formula>
    </cfRule>
  </conditionalFormatting>
  <conditionalFormatting sqref="DI27">
    <cfRule type="cellIs" dxfId="1" priority="20" operator="greaterThanOrEqual">
      <formula>0</formula>
    </cfRule>
  </conditionalFormatting>
  <conditionalFormatting sqref="DI27">
    <cfRule type="cellIs" dxfId="0" priority="19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P367"/>
  <sheetViews>
    <sheetView showGridLines="0" zoomScale="80" zoomScaleNormal="80" workbookViewId="0">
      <pane ySplit="11" topLeftCell="A12" activePane="bottomLeft" state="frozen"/>
      <selection pane="bottomLeft" activeCell="C28" sqref="C28"/>
    </sheetView>
  </sheetViews>
  <sheetFormatPr defaultColWidth="9.140625" defaultRowHeight="12.75" outlineLevelRow="3" x14ac:dyDescent="0.2"/>
  <cols>
    <col min="1" max="1" width="5" style="1" customWidth="1"/>
    <col min="2" max="3" width="38.85546875" style="1" customWidth="1"/>
    <col min="4" max="4" width="13" style="1" bestFit="1" customWidth="1"/>
    <col min="5" max="7" width="12.42578125" style="1" customWidth="1"/>
    <col min="8" max="8" width="12.42578125" style="2" customWidth="1"/>
    <col min="9" max="15" width="12.42578125" style="1" customWidth="1"/>
    <col min="16" max="16" width="13.28515625" style="1" customWidth="1"/>
    <col min="17" max="16384" width="9.140625" style="1"/>
  </cols>
  <sheetData>
    <row r="1" spans="1:16" ht="31.5" x14ac:dyDescent="0.2">
      <c r="B1" s="139" t="s">
        <v>147</v>
      </c>
    </row>
    <row r="2" spans="1:16" x14ac:dyDescent="0.2">
      <c r="B2" s="135" t="s">
        <v>146</v>
      </c>
      <c r="C2" s="138" t="s">
        <v>145</v>
      </c>
    </row>
    <row r="3" spans="1:16" x14ac:dyDescent="0.2">
      <c r="B3" s="135" t="s">
        <v>144</v>
      </c>
      <c r="C3" s="138" t="s">
        <v>150</v>
      </c>
    </row>
    <row r="4" spans="1:16" x14ac:dyDescent="0.2">
      <c r="B4" s="135" t="s">
        <v>151</v>
      </c>
      <c r="C4" s="138" t="s">
        <v>150</v>
      </c>
    </row>
    <row r="5" spans="1:16" ht="13.5" customHeight="1" x14ac:dyDescent="0.2">
      <c r="B5" s="135" t="s">
        <v>162</v>
      </c>
      <c r="C5" s="138" t="s">
        <v>163</v>
      </c>
    </row>
    <row r="6" spans="1:16" x14ac:dyDescent="0.2">
      <c r="B6" s="135" t="s">
        <v>143</v>
      </c>
      <c r="C6" s="138" t="s">
        <v>142</v>
      </c>
      <c r="M6" s="136"/>
    </row>
    <row r="7" spans="1:16" x14ac:dyDescent="0.2">
      <c r="B7" s="135" t="s">
        <v>141</v>
      </c>
      <c r="C7" s="141" t="s">
        <v>164</v>
      </c>
      <c r="E7" s="2"/>
      <c r="F7" s="54"/>
      <c r="G7" s="54"/>
      <c r="M7" s="136"/>
      <c r="P7" s="2"/>
    </row>
    <row r="8" spans="1:16" x14ac:dyDescent="0.2">
      <c r="B8" s="135" t="s">
        <v>140</v>
      </c>
      <c r="C8" s="134" t="s">
        <v>139</v>
      </c>
      <c r="D8" s="133"/>
      <c r="E8" s="128"/>
      <c r="F8" s="128"/>
      <c r="G8" s="129"/>
      <c r="H8" s="128"/>
      <c r="I8" s="128"/>
      <c r="J8" s="128"/>
      <c r="K8" s="128"/>
      <c r="L8" s="128"/>
      <c r="M8" s="128"/>
      <c r="N8" s="128"/>
      <c r="O8" s="128"/>
      <c r="P8" s="128"/>
    </row>
    <row r="9" spans="1:16" ht="13.5" thickBot="1" x14ac:dyDescent="0.25">
      <c r="B9" s="131"/>
      <c r="C9" s="130"/>
      <c r="D9" s="128"/>
      <c r="E9" s="128"/>
      <c r="F9" s="128"/>
      <c r="G9" s="129"/>
      <c r="H9" s="128"/>
      <c r="I9" s="128"/>
      <c r="J9" s="128"/>
      <c r="K9" s="128"/>
      <c r="L9" s="128"/>
      <c r="M9" s="128"/>
      <c r="N9" s="128"/>
      <c r="O9" s="128"/>
      <c r="P9" s="128"/>
    </row>
    <row r="10" spans="1:16" ht="21.75" customHeight="1" thickTop="1" x14ac:dyDescent="0.2">
      <c r="B10" s="127"/>
      <c r="C10" s="127"/>
      <c r="D10" s="246" t="s">
        <v>134</v>
      </c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</row>
    <row r="11" spans="1:16" ht="34.5" customHeight="1" x14ac:dyDescent="0.2">
      <c r="B11" s="127"/>
      <c r="C11" s="126"/>
      <c r="D11" s="140">
        <v>46023</v>
      </c>
      <c r="E11" s="140">
        <v>46054</v>
      </c>
      <c r="F11" s="140">
        <v>46082</v>
      </c>
      <c r="G11" s="140">
        <v>46113</v>
      </c>
      <c r="H11" s="140">
        <v>46143</v>
      </c>
      <c r="I11" s="140">
        <v>46174</v>
      </c>
      <c r="J11" s="140">
        <v>46204</v>
      </c>
      <c r="K11" s="140">
        <v>46235</v>
      </c>
      <c r="L11" s="140">
        <v>46266</v>
      </c>
      <c r="M11" s="140">
        <v>46296</v>
      </c>
      <c r="N11" s="140">
        <v>46327</v>
      </c>
      <c r="O11" s="140">
        <v>46357</v>
      </c>
      <c r="P11" s="140" t="s">
        <v>161</v>
      </c>
    </row>
    <row r="12" spans="1:16" ht="16.5" customHeight="1" thickBot="1" x14ac:dyDescent="0.25">
      <c r="A12" s="54"/>
      <c r="B12" s="70" t="s">
        <v>130</v>
      </c>
      <c r="C12" s="69" t="s">
        <v>129</v>
      </c>
      <c r="D12" s="120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</row>
    <row r="13" spans="1:16" ht="13.5" hidden="1" outlineLevel="3" thickTop="1" x14ac:dyDescent="0.2">
      <c r="A13" s="54"/>
      <c r="B13" s="38" t="s">
        <v>128</v>
      </c>
      <c r="C13" s="62" t="s">
        <v>127</v>
      </c>
      <c r="D13" s="61">
        <v>135195586.78999999</v>
      </c>
      <c r="E13" s="60">
        <v>145701750</v>
      </c>
      <c r="F13" s="60">
        <v>145701750</v>
      </c>
      <c r="G13" s="60">
        <v>145701750</v>
      </c>
      <c r="H13" s="60">
        <v>145701750</v>
      </c>
      <c r="I13" s="60">
        <v>145701750</v>
      </c>
      <c r="J13" s="60">
        <v>145701750</v>
      </c>
      <c r="K13" s="60">
        <v>145701750</v>
      </c>
      <c r="L13" s="60">
        <v>0</v>
      </c>
      <c r="M13" s="60">
        <v>0</v>
      </c>
      <c r="N13" s="60">
        <v>0</v>
      </c>
      <c r="O13" s="60">
        <v>0</v>
      </c>
      <c r="P13" s="60">
        <f>SUM(D13:O13)</f>
        <v>1155107836.79</v>
      </c>
    </row>
    <row r="14" spans="1:16" hidden="1" outlineLevel="3" x14ac:dyDescent="0.2">
      <c r="A14" s="54"/>
      <c r="B14" s="38" t="s">
        <v>126</v>
      </c>
      <c r="C14" s="49" t="s">
        <v>125</v>
      </c>
      <c r="D14" s="41">
        <v>27369683.629999999</v>
      </c>
      <c r="E14" s="40">
        <v>26954823.75</v>
      </c>
      <c r="F14" s="40">
        <v>26954823.75</v>
      </c>
      <c r="G14" s="40">
        <v>26954823.75</v>
      </c>
      <c r="H14" s="40">
        <v>26954823.75</v>
      </c>
      <c r="I14" s="40">
        <v>26954823.75</v>
      </c>
      <c r="J14" s="40">
        <v>26954823.75</v>
      </c>
      <c r="K14" s="40">
        <v>26954823.75</v>
      </c>
      <c r="L14" s="40">
        <v>0</v>
      </c>
      <c r="M14" s="40">
        <v>0</v>
      </c>
      <c r="N14" s="40">
        <v>0</v>
      </c>
      <c r="O14" s="40">
        <v>0</v>
      </c>
      <c r="P14" s="40">
        <f t="shared" ref="P14:P67" si="0">SUM(D14:O14)</f>
        <v>216053449.88</v>
      </c>
    </row>
    <row r="15" spans="1:16" s="6" customFormat="1" hidden="1" outlineLevel="2" x14ac:dyDescent="0.2">
      <c r="A15" s="30"/>
      <c r="B15" s="29" t="s">
        <v>124</v>
      </c>
      <c r="C15" s="52" t="s">
        <v>123</v>
      </c>
      <c r="D15" s="27">
        <f>SUM(D13:D14)</f>
        <v>162565270.41999999</v>
      </c>
      <c r="E15" s="26">
        <f>SUM(E13:E14)</f>
        <v>172656573.75</v>
      </c>
      <c r="F15" s="26">
        <f t="shared" ref="F15:K15" si="1">SUM(F13:F14)</f>
        <v>172656573.75</v>
      </c>
      <c r="G15" s="26">
        <f t="shared" si="1"/>
        <v>172656573.75</v>
      </c>
      <c r="H15" s="26">
        <f t="shared" si="1"/>
        <v>172656573.75</v>
      </c>
      <c r="I15" s="26">
        <f t="shared" si="1"/>
        <v>172656573.75</v>
      </c>
      <c r="J15" s="26">
        <f t="shared" si="1"/>
        <v>172656573.75</v>
      </c>
      <c r="K15" s="26">
        <f t="shared" si="1"/>
        <v>172656573.75</v>
      </c>
      <c r="L15" s="26">
        <f>SUM(L13:L14)</f>
        <v>0</v>
      </c>
      <c r="M15" s="26">
        <f t="shared" ref="M15:O15" si="2">SUM(M13:M14)</f>
        <v>0</v>
      </c>
      <c r="N15" s="26">
        <f t="shared" si="2"/>
        <v>0</v>
      </c>
      <c r="O15" s="26">
        <f t="shared" si="2"/>
        <v>0</v>
      </c>
      <c r="P15" s="26">
        <f t="shared" si="0"/>
        <v>1371161286.6700001</v>
      </c>
    </row>
    <row r="16" spans="1:16" hidden="1" outlineLevel="3" x14ac:dyDescent="0.2">
      <c r="A16" s="54"/>
      <c r="B16" s="57" t="s">
        <v>122</v>
      </c>
      <c r="C16" s="56" t="s">
        <v>121</v>
      </c>
      <c r="D16" s="41">
        <v>44268446.450000003</v>
      </c>
      <c r="E16" s="40">
        <v>41309276.698853597</v>
      </c>
      <c r="F16" s="40">
        <v>41309276.698853597</v>
      </c>
      <c r="G16" s="40">
        <v>41309276.698853597</v>
      </c>
      <c r="H16" s="40">
        <v>41309276.698853597</v>
      </c>
      <c r="I16" s="40">
        <v>41309276.698853597</v>
      </c>
      <c r="J16" s="40">
        <v>41309276.698853597</v>
      </c>
      <c r="K16" s="40">
        <v>41309276.698853597</v>
      </c>
      <c r="L16" s="40">
        <v>0</v>
      </c>
      <c r="M16" s="40">
        <v>0</v>
      </c>
      <c r="N16" s="40">
        <v>0</v>
      </c>
      <c r="O16" s="40">
        <v>0</v>
      </c>
      <c r="P16" s="40">
        <f t="shared" si="0"/>
        <v>333433383.34197521</v>
      </c>
    </row>
    <row r="17" spans="1:16" hidden="1" outlineLevel="3" x14ac:dyDescent="0.2">
      <c r="A17" s="54"/>
      <c r="B17" s="38" t="s">
        <v>120</v>
      </c>
      <c r="C17" s="56" t="s">
        <v>119</v>
      </c>
      <c r="D17" s="41">
        <v>6226136.4199999999</v>
      </c>
      <c r="E17" s="40">
        <v>7642216.1892879102</v>
      </c>
      <c r="F17" s="40">
        <v>7642216.1892879102</v>
      </c>
      <c r="G17" s="40">
        <v>7642216.1892879102</v>
      </c>
      <c r="H17" s="40">
        <v>7642216.1892879102</v>
      </c>
      <c r="I17" s="40">
        <v>7642216.1892879102</v>
      </c>
      <c r="J17" s="40">
        <v>7642216.1892879102</v>
      </c>
      <c r="K17" s="40">
        <v>7642216.1892879102</v>
      </c>
      <c r="L17" s="40">
        <v>0</v>
      </c>
      <c r="M17" s="40">
        <v>0</v>
      </c>
      <c r="N17" s="40">
        <v>0</v>
      </c>
      <c r="O17" s="40">
        <v>0</v>
      </c>
      <c r="P17" s="40">
        <f t="shared" si="0"/>
        <v>59721649.74501536</v>
      </c>
    </row>
    <row r="18" spans="1:16" s="6" customFormat="1" hidden="1" outlineLevel="2" x14ac:dyDescent="0.2">
      <c r="A18" s="30"/>
      <c r="B18" s="29" t="s">
        <v>118</v>
      </c>
      <c r="C18" s="52" t="s">
        <v>117</v>
      </c>
      <c r="D18" s="27">
        <f>SUM(D16:D17)</f>
        <v>50494582.870000005</v>
      </c>
      <c r="E18" s="26">
        <f>SUM(E16:E17)</f>
        <v>48951492.888141505</v>
      </c>
      <c r="F18" s="26">
        <f t="shared" ref="F18:K18" si="3">SUM(F16:F17)</f>
        <v>48951492.888141505</v>
      </c>
      <c r="G18" s="26">
        <f t="shared" si="3"/>
        <v>48951492.888141505</v>
      </c>
      <c r="H18" s="26">
        <f t="shared" si="3"/>
        <v>48951492.888141505</v>
      </c>
      <c r="I18" s="26">
        <f t="shared" si="3"/>
        <v>48951492.888141505</v>
      </c>
      <c r="J18" s="26">
        <f t="shared" si="3"/>
        <v>48951492.888141505</v>
      </c>
      <c r="K18" s="26">
        <f t="shared" si="3"/>
        <v>48951492.888141505</v>
      </c>
      <c r="L18" s="26">
        <f>SUM(L16:L17)</f>
        <v>0</v>
      </c>
      <c r="M18" s="26">
        <f t="shared" ref="M18:O18" si="4">SUM(M16:M17)</f>
        <v>0</v>
      </c>
      <c r="N18" s="26">
        <f t="shared" si="4"/>
        <v>0</v>
      </c>
      <c r="O18" s="26">
        <f t="shared" si="4"/>
        <v>0</v>
      </c>
      <c r="P18" s="26">
        <f t="shared" si="0"/>
        <v>393155033.08699059</v>
      </c>
    </row>
    <row r="19" spans="1:16" hidden="1" outlineLevel="3" x14ac:dyDescent="0.2">
      <c r="A19" s="54"/>
      <c r="B19" s="38" t="s">
        <v>116</v>
      </c>
      <c r="C19" s="49" t="s">
        <v>115</v>
      </c>
      <c r="D19" s="41">
        <v>502299.88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f t="shared" si="0"/>
        <v>502299.88</v>
      </c>
    </row>
    <row r="20" spans="1:16" hidden="1" outlineLevel="3" x14ac:dyDescent="0.2">
      <c r="A20" s="54"/>
      <c r="B20" s="38" t="s">
        <v>114</v>
      </c>
      <c r="C20" s="49" t="s">
        <v>113</v>
      </c>
      <c r="D20" s="41">
        <v>81339.45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f t="shared" si="0"/>
        <v>81339.45</v>
      </c>
    </row>
    <row r="21" spans="1:16" s="6" customFormat="1" hidden="1" outlineLevel="2" x14ac:dyDescent="0.2">
      <c r="A21" s="30"/>
      <c r="B21" s="29" t="s">
        <v>112</v>
      </c>
      <c r="C21" s="52" t="s">
        <v>111</v>
      </c>
      <c r="D21" s="27">
        <f>SUM(D19:D20)</f>
        <v>583639.32999999996</v>
      </c>
      <c r="E21" s="26">
        <f>SUM(E19:E20)</f>
        <v>0</v>
      </c>
      <c r="F21" s="26">
        <f t="shared" ref="F21:K21" si="5">SUM(F19:F20)</f>
        <v>0</v>
      </c>
      <c r="G21" s="26">
        <f t="shared" si="5"/>
        <v>0</v>
      </c>
      <c r="H21" s="26">
        <f t="shared" si="5"/>
        <v>0</v>
      </c>
      <c r="I21" s="26">
        <f t="shared" si="5"/>
        <v>0</v>
      </c>
      <c r="J21" s="26">
        <f t="shared" si="5"/>
        <v>0</v>
      </c>
      <c r="K21" s="26">
        <f t="shared" si="5"/>
        <v>0</v>
      </c>
      <c r="L21" s="26">
        <f>SUM(L19:L20)</f>
        <v>0</v>
      </c>
      <c r="M21" s="26">
        <f t="shared" ref="M21:O21" si="6">SUM(M19:M20)</f>
        <v>0</v>
      </c>
      <c r="N21" s="26">
        <f t="shared" si="6"/>
        <v>0</v>
      </c>
      <c r="O21" s="26">
        <f t="shared" si="6"/>
        <v>0</v>
      </c>
      <c r="P21" s="26">
        <f t="shared" si="0"/>
        <v>583639.32999999996</v>
      </c>
    </row>
    <row r="22" spans="1:16" hidden="1" outlineLevel="3" x14ac:dyDescent="0.2">
      <c r="A22" s="54"/>
      <c r="B22" s="38" t="s">
        <v>110</v>
      </c>
      <c r="C22" s="49" t="s">
        <v>109</v>
      </c>
      <c r="D22" s="41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f t="shared" si="0"/>
        <v>0</v>
      </c>
    </row>
    <row r="23" spans="1:16" hidden="1" outlineLevel="3" x14ac:dyDescent="0.2">
      <c r="A23" s="54"/>
      <c r="B23" s="38" t="s">
        <v>108</v>
      </c>
      <c r="C23" s="49" t="s">
        <v>107</v>
      </c>
      <c r="D23" s="41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f t="shared" si="0"/>
        <v>0</v>
      </c>
    </row>
    <row r="24" spans="1:16" s="6" customFormat="1" hidden="1" outlineLevel="2" x14ac:dyDescent="0.2">
      <c r="A24" s="30"/>
      <c r="B24" s="29" t="s">
        <v>106</v>
      </c>
      <c r="C24" s="52" t="s">
        <v>105</v>
      </c>
      <c r="D24" s="27">
        <f>SUM(D22:D23)</f>
        <v>0</v>
      </c>
      <c r="E24" s="26">
        <f>SUM(E22:E23)</f>
        <v>0</v>
      </c>
      <c r="F24" s="26">
        <f t="shared" ref="F24:K24" si="7">SUM(F22:F23)</f>
        <v>0</v>
      </c>
      <c r="G24" s="26">
        <f t="shared" si="7"/>
        <v>0</v>
      </c>
      <c r="H24" s="26">
        <f t="shared" si="7"/>
        <v>0</v>
      </c>
      <c r="I24" s="26">
        <f t="shared" si="7"/>
        <v>0</v>
      </c>
      <c r="J24" s="26">
        <f t="shared" si="7"/>
        <v>0</v>
      </c>
      <c r="K24" s="26">
        <f t="shared" si="7"/>
        <v>0</v>
      </c>
      <c r="L24" s="26">
        <f>SUM(L22:L23)</f>
        <v>0</v>
      </c>
      <c r="M24" s="26">
        <f t="shared" ref="M24:O24" si="8">SUM(M22:M23)</f>
        <v>0</v>
      </c>
      <c r="N24" s="26">
        <f t="shared" si="8"/>
        <v>0</v>
      </c>
      <c r="O24" s="26">
        <f t="shared" si="8"/>
        <v>0</v>
      </c>
      <c r="P24" s="26">
        <f t="shared" si="0"/>
        <v>0</v>
      </c>
    </row>
    <row r="25" spans="1:16" s="6" customFormat="1" ht="13.5" outlineLevel="1" collapsed="1" thickTop="1" x14ac:dyDescent="0.2">
      <c r="A25" s="30"/>
      <c r="B25" s="48" t="s">
        <v>104</v>
      </c>
      <c r="C25" s="55" t="s">
        <v>103</v>
      </c>
      <c r="D25" s="46">
        <f>D15+D18+D21+D24</f>
        <v>213643492.62</v>
      </c>
      <c r="E25" s="45">
        <f>E15+E18+E21+E24</f>
        <v>221608066.63814151</v>
      </c>
      <c r="F25" s="45">
        <f t="shared" ref="F25:K25" si="9">F15+F18+F21+F24</f>
        <v>221608066.63814151</v>
      </c>
      <c r="G25" s="45">
        <f t="shared" si="9"/>
        <v>221608066.63814151</v>
      </c>
      <c r="H25" s="45">
        <f t="shared" si="9"/>
        <v>221608066.63814151</v>
      </c>
      <c r="I25" s="45">
        <f t="shared" si="9"/>
        <v>221608066.63814151</v>
      </c>
      <c r="J25" s="45">
        <f t="shared" si="9"/>
        <v>221608066.63814151</v>
      </c>
      <c r="K25" s="45">
        <f t="shared" si="9"/>
        <v>221608066.63814151</v>
      </c>
      <c r="L25" s="45">
        <f>L15+L18+L21+L24</f>
        <v>0</v>
      </c>
      <c r="M25" s="45">
        <f t="shared" ref="M25:O25" si="10">M15+M18+M21+M24</f>
        <v>0</v>
      </c>
      <c r="N25" s="45">
        <f t="shared" si="10"/>
        <v>0</v>
      </c>
      <c r="O25" s="45">
        <f t="shared" si="10"/>
        <v>0</v>
      </c>
      <c r="P25" s="45">
        <f t="shared" si="0"/>
        <v>1764899959.0869908</v>
      </c>
    </row>
    <row r="26" spans="1:16" s="6" customFormat="1" hidden="1" outlineLevel="2" x14ac:dyDescent="0.2">
      <c r="B26" s="29" t="s">
        <v>102</v>
      </c>
      <c r="C26" s="52" t="s">
        <v>101</v>
      </c>
      <c r="D26" s="27">
        <v>5000000</v>
      </c>
      <c r="E26" s="26">
        <v>5753441.4887820091</v>
      </c>
      <c r="F26" s="26">
        <v>5753441.4887820091</v>
      </c>
      <c r="G26" s="26">
        <v>5753441.4887820091</v>
      </c>
      <c r="H26" s="26">
        <v>5753441.4887820091</v>
      </c>
      <c r="I26" s="26">
        <v>5753441.4887820091</v>
      </c>
      <c r="J26" s="26">
        <v>5753441.4887820091</v>
      </c>
      <c r="K26" s="26">
        <v>5753441.4887820091</v>
      </c>
      <c r="L26" s="26">
        <v>0</v>
      </c>
      <c r="M26" s="26">
        <v>0</v>
      </c>
      <c r="N26" s="26">
        <v>0</v>
      </c>
      <c r="O26" s="26">
        <v>0</v>
      </c>
      <c r="P26" s="26">
        <f t="shared" si="0"/>
        <v>45274090.421474069</v>
      </c>
    </row>
    <row r="27" spans="1:16" s="6" customFormat="1" hidden="1" outlineLevel="2" x14ac:dyDescent="0.2">
      <c r="B27" s="29" t="s">
        <v>100</v>
      </c>
      <c r="C27" s="52" t="s">
        <v>99</v>
      </c>
      <c r="D27" s="27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f t="shared" si="0"/>
        <v>0</v>
      </c>
    </row>
    <row r="28" spans="1:16" s="6" customFormat="1" outlineLevel="1" collapsed="1" x14ac:dyDescent="0.2">
      <c r="A28" s="30"/>
      <c r="B28" s="48" t="s">
        <v>98</v>
      </c>
      <c r="C28" s="55" t="s">
        <v>97</v>
      </c>
      <c r="D28" s="46">
        <f>SUM(D26:D27)</f>
        <v>5000000</v>
      </c>
      <c r="E28" s="45">
        <f>SUM(E26:E27)</f>
        <v>5753441.4887820091</v>
      </c>
      <c r="F28" s="45">
        <f t="shared" ref="F28:K28" si="11">SUM(F26:F27)</f>
        <v>5753441.4887820091</v>
      </c>
      <c r="G28" s="45">
        <f t="shared" si="11"/>
        <v>5753441.4887820091</v>
      </c>
      <c r="H28" s="45">
        <f t="shared" si="11"/>
        <v>5753441.4887820091</v>
      </c>
      <c r="I28" s="45">
        <f t="shared" si="11"/>
        <v>5753441.4887820091</v>
      </c>
      <c r="J28" s="45">
        <f t="shared" si="11"/>
        <v>5753441.4887820091</v>
      </c>
      <c r="K28" s="45">
        <f t="shared" si="11"/>
        <v>5753441.4887820091</v>
      </c>
      <c r="L28" s="45">
        <f>SUM(L26:L27)</f>
        <v>0</v>
      </c>
      <c r="M28" s="45">
        <f t="shared" ref="M28:O28" si="12">SUM(M26:M27)</f>
        <v>0</v>
      </c>
      <c r="N28" s="45">
        <f t="shared" si="12"/>
        <v>0</v>
      </c>
      <c r="O28" s="45">
        <f t="shared" si="12"/>
        <v>0</v>
      </c>
      <c r="P28" s="45">
        <f t="shared" si="0"/>
        <v>45274090.421474069</v>
      </c>
    </row>
    <row r="29" spans="1:16" hidden="1" outlineLevel="3" x14ac:dyDescent="0.2">
      <c r="A29" s="54"/>
      <c r="B29" s="38" t="s">
        <v>96</v>
      </c>
      <c r="C29" s="49" t="s">
        <v>95</v>
      </c>
      <c r="D29" s="41">
        <v>120000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f t="shared" si="0"/>
        <v>120000</v>
      </c>
    </row>
    <row r="30" spans="1:16" hidden="1" outlineLevel="3" x14ac:dyDescent="0.2">
      <c r="A30" s="54"/>
      <c r="B30" s="38" t="s">
        <v>94</v>
      </c>
      <c r="C30" s="49" t="s">
        <v>93</v>
      </c>
      <c r="D30" s="41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f t="shared" si="0"/>
        <v>0</v>
      </c>
    </row>
    <row r="31" spans="1:16" s="6" customFormat="1" hidden="1" outlineLevel="2" x14ac:dyDescent="0.2">
      <c r="A31" s="30"/>
      <c r="B31" s="29" t="s">
        <v>92</v>
      </c>
      <c r="C31" s="52" t="s">
        <v>91</v>
      </c>
      <c r="D31" s="27">
        <f>SUM(D29:D30)</f>
        <v>120000</v>
      </c>
      <c r="E31" s="26">
        <f>SUM(E29:E30)</f>
        <v>0</v>
      </c>
      <c r="F31" s="26">
        <f t="shared" ref="F31:K31" si="13">SUM(F29:F30)</f>
        <v>0</v>
      </c>
      <c r="G31" s="26">
        <f t="shared" si="13"/>
        <v>0</v>
      </c>
      <c r="H31" s="26">
        <f t="shared" si="13"/>
        <v>0</v>
      </c>
      <c r="I31" s="26">
        <f t="shared" si="13"/>
        <v>0</v>
      </c>
      <c r="J31" s="26">
        <f t="shared" si="13"/>
        <v>0</v>
      </c>
      <c r="K31" s="26">
        <f t="shared" si="13"/>
        <v>0</v>
      </c>
      <c r="L31" s="26">
        <f>SUM(L29:L30)</f>
        <v>0</v>
      </c>
      <c r="M31" s="26">
        <f t="shared" ref="M31:O31" si="14">SUM(M29:M30)</f>
        <v>0</v>
      </c>
      <c r="N31" s="26">
        <f t="shared" si="14"/>
        <v>0</v>
      </c>
      <c r="O31" s="26">
        <f t="shared" si="14"/>
        <v>0</v>
      </c>
      <c r="P31" s="26">
        <f t="shared" si="0"/>
        <v>120000</v>
      </c>
    </row>
    <row r="32" spans="1:16" ht="12.75" hidden="1" customHeight="1" outlineLevel="3" x14ac:dyDescent="0.2">
      <c r="A32" s="54"/>
      <c r="B32" s="38" t="s">
        <v>90</v>
      </c>
      <c r="C32" s="49" t="s">
        <v>89</v>
      </c>
      <c r="D32" s="41">
        <v>19000000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f t="shared" si="0"/>
        <v>19000000</v>
      </c>
    </row>
    <row r="33" spans="1:16" ht="12.75" hidden="1" customHeight="1" outlineLevel="3" x14ac:dyDescent="0.2">
      <c r="A33" s="54"/>
      <c r="B33" s="38" t="s">
        <v>88</v>
      </c>
      <c r="C33" s="49" t="s">
        <v>87</v>
      </c>
      <c r="D33" s="41">
        <v>3328677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f t="shared" si="0"/>
        <v>3328677</v>
      </c>
    </row>
    <row r="34" spans="1:16" s="6" customFormat="1" hidden="1" outlineLevel="2" x14ac:dyDescent="0.2">
      <c r="A34" s="30"/>
      <c r="B34" s="29" t="s">
        <v>86</v>
      </c>
      <c r="C34" s="52" t="s">
        <v>85</v>
      </c>
      <c r="D34" s="27">
        <f>SUM(D32:D33)</f>
        <v>22328677</v>
      </c>
      <c r="E34" s="26">
        <f>SUM(E32:E33)</f>
        <v>0</v>
      </c>
      <c r="F34" s="26">
        <f t="shared" ref="F34:K34" si="15">SUM(F32:F33)</f>
        <v>0</v>
      </c>
      <c r="G34" s="26">
        <f t="shared" si="15"/>
        <v>0</v>
      </c>
      <c r="H34" s="26">
        <f t="shared" si="15"/>
        <v>0</v>
      </c>
      <c r="I34" s="26">
        <f t="shared" si="15"/>
        <v>0</v>
      </c>
      <c r="J34" s="26">
        <f t="shared" si="15"/>
        <v>0</v>
      </c>
      <c r="K34" s="26">
        <f t="shared" si="15"/>
        <v>0</v>
      </c>
      <c r="L34" s="26">
        <f>SUM(L32:L33)</f>
        <v>0</v>
      </c>
      <c r="M34" s="26">
        <f t="shared" ref="M34:O34" si="16">SUM(M32:M33)</f>
        <v>0</v>
      </c>
      <c r="N34" s="26">
        <f t="shared" si="16"/>
        <v>0</v>
      </c>
      <c r="O34" s="26">
        <f t="shared" si="16"/>
        <v>0</v>
      </c>
      <c r="P34" s="26">
        <f t="shared" si="0"/>
        <v>22328677</v>
      </c>
    </row>
    <row r="35" spans="1:16" ht="12.75" hidden="1" customHeight="1" outlineLevel="3" x14ac:dyDescent="0.2">
      <c r="A35" s="54"/>
      <c r="B35" s="38" t="s">
        <v>84</v>
      </c>
      <c r="C35" s="49" t="s">
        <v>83</v>
      </c>
      <c r="D35" s="41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f t="shared" si="0"/>
        <v>0</v>
      </c>
    </row>
    <row r="36" spans="1:16" ht="12.75" hidden="1" customHeight="1" outlineLevel="3" x14ac:dyDescent="0.2">
      <c r="A36" s="54"/>
      <c r="B36" s="38" t="s">
        <v>82</v>
      </c>
      <c r="C36" s="49" t="s">
        <v>81</v>
      </c>
      <c r="D36" s="41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f t="shared" si="0"/>
        <v>0</v>
      </c>
    </row>
    <row r="37" spans="1:16" s="6" customFormat="1" hidden="1" outlineLevel="2" x14ac:dyDescent="0.2">
      <c r="A37" s="30"/>
      <c r="B37" s="29" t="s">
        <v>80</v>
      </c>
      <c r="C37" s="52" t="s">
        <v>79</v>
      </c>
      <c r="D37" s="27">
        <f>SUM(D35:D36)</f>
        <v>0</v>
      </c>
      <c r="E37" s="26">
        <f>SUM(E35:E36)</f>
        <v>0</v>
      </c>
      <c r="F37" s="26">
        <f t="shared" ref="F37:K37" si="17">SUM(F35:F36)</f>
        <v>0</v>
      </c>
      <c r="G37" s="26">
        <f t="shared" si="17"/>
        <v>0</v>
      </c>
      <c r="H37" s="26">
        <f t="shared" si="17"/>
        <v>0</v>
      </c>
      <c r="I37" s="26">
        <f t="shared" si="17"/>
        <v>0</v>
      </c>
      <c r="J37" s="26">
        <f t="shared" si="17"/>
        <v>0</v>
      </c>
      <c r="K37" s="26">
        <f t="shared" si="17"/>
        <v>0</v>
      </c>
      <c r="L37" s="26">
        <f>SUM(L35:L36)</f>
        <v>0</v>
      </c>
      <c r="M37" s="26">
        <f t="shared" ref="M37:O37" si="18">SUM(M35:M36)</f>
        <v>0</v>
      </c>
      <c r="N37" s="26">
        <f t="shared" si="18"/>
        <v>0</v>
      </c>
      <c r="O37" s="26">
        <f t="shared" si="18"/>
        <v>0</v>
      </c>
      <c r="P37" s="26">
        <f t="shared" si="0"/>
        <v>0</v>
      </c>
    </row>
    <row r="38" spans="1:16" ht="12.75" hidden="1" customHeight="1" outlineLevel="3" x14ac:dyDescent="0.2">
      <c r="B38" s="38" t="s">
        <v>78</v>
      </c>
      <c r="C38" s="49" t="s">
        <v>74</v>
      </c>
      <c r="D38" s="41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f t="shared" si="0"/>
        <v>0</v>
      </c>
    </row>
    <row r="39" spans="1:16" ht="12.75" hidden="1" customHeight="1" outlineLevel="3" x14ac:dyDescent="0.2">
      <c r="B39" s="38" t="s">
        <v>77</v>
      </c>
      <c r="C39" s="49" t="s">
        <v>76</v>
      </c>
      <c r="D39" s="41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f t="shared" si="0"/>
        <v>0</v>
      </c>
    </row>
    <row r="40" spans="1:16" s="6" customFormat="1" hidden="1" outlineLevel="2" x14ac:dyDescent="0.2">
      <c r="B40" s="29" t="s">
        <v>75</v>
      </c>
      <c r="C40" s="52" t="s">
        <v>74</v>
      </c>
      <c r="D40" s="27">
        <f>SUM(D38:D39)</f>
        <v>0</v>
      </c>
      <c r="E40" s="26">
        <f>SUM(E38:E39)</f>
        <v>0</v>
      </c>
      <c r="F40" s="26">
        <f t="shared" ref="F40:K40" si="19">SUM(F38:F39)</f>
        <v>0</v>
      </c>
      <c r="G40" s="26">
        <f t="shared" si="19"/>
        <v>0</v>
      </c>
      <c r="H40" s="26">
        <f t="shared" si="19"/>
        <v>0</v>
      </c>
      <c r="I40" s="26">
        <f t="shared" si="19"/>
        <v>0</v>
      </c>
      <c r="J40" s="26">
        <f t="shared" si="19"/>
        <v>0</v>
      </c>
      <c r="K40" s="26">
        <f t="shared" si="19"/>
        <v>0</v>
      </c>
      <c r="L40" s="26">
        <f>SUM(L38:L39)</f>
        <v>0</v>
      </c>
      <c r="M40" s="26">
        <f t="shared" ref="M40:O40" si="20">SUM(M38:M39)</f>
        <v>0</v>
      </c>
      <c r="N40" s="26">
        <f t="shared" si="20"/>
        <v>0</v>
      </c>
      <c r="O40" s="26">
        <f t="shared" si="20"/>
        <v>0</v>
      </c>
      <c r="P40" s="26">
        <f t="shared" si="0"/>
        <v>0</v>
      </c>
    </row>
    <row r="41" spans="1:16" s="6" customFormat="1" outlineLevel="1" collapsed="1" x14ac:dyDescent="0.2">
      <c r="A41" s="30"/>
      <c r="B41" s="51" t="s">
        <v>73</v>
      </c>
      <c r="C41" s="50" t="s">
        <v>72</v>
      </c>
      <c r="D41" s="46">
        <f>D31+D34+D37+D40</f>
        <v>22448677</v>
      </c>
      <c r="E41" s="45">
        <f>E31+E34+E37+E40</f>
        <v>0</v>
      </c>
      <c r="F41" s="45">
        <f t="shared" ref="F41:K41" si="21">F31+F34+F37+F40</f>
        <v>0</v>
      </c>
      <c r="G41" s="45">
        <f t="shared" si="21"/>
        <v>0</v>
      </c>
      <c r="H41" s="45">
        <f t="shared" si="21"/>
        <v>0</v>
      </c>
      <c r="I41" s="45">
        <f t="shared" si="21"/>
        <v>0</v>
      </c>
      <c r="J41" s="45">
        <f t="shared" si="21"/>
        <v>0</v>
      </c>
      <c r="K41" s="45">
        <f t="shared" si="21"/>
        <v>0</v>
      </c>
      <c r="L41" s="45">
        <f>L31+L34+L37+L40</f>
        <v>0</v>
      </c>
      <c r="M41" s="45">
        <f t="shared" ref="M41:O41" si="22">M31+M34+M37+M40</f>
        <v>0</v>
      </c>
      <c r="N41" s="45">
        <f t="shared" si="22"/>
        <v>0</v>
      </c>
      <c r="O41" s="45">
        <f t="shared" si="22"/>
        <v>0</v>
      </c>
      <c r="P41" s="45">
        <f t="shared" si="0"/>
        <v>22448677</v>
      </c>
    </row>
    <row r="42" spans="1:16" ht="12.75" hidden="1" customHeight="1" outlineLevel="3" x14ac:dyDescent="0.2">
      <c r="B42" s="38" t="s">
        <v>71</v>
      </c>
      <c r="C42" s="49" t="s">
        <v>70</v>
      </c>
      <c r="D42" s="27">
        <f>33645750/3</f>
        <v>11215250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f t="shared" si="0"/>
        <v>11215250</v>
      </c>
    </row>
    <row r="43" spans="1:16" ht="12.75" hidden="1" customHeight="1" outlineLevel="3" x14ac:dyDescent="0.2">
      <c r="B43" s="38" t="s">
        <v>69</v>
      </c>
      <c r="C43" s="49" t="s">
        <v>68</v>
      </c>
      <c r="D43" s="27">
        <f>6224463.75/3</f>
        <v>2074821.25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f t="shared" si="0"/>
        <v>2074821.25</v>
      </c>
    </row>
    <row r="44" spans="1:16" s="6" customFormat="1" hidden="1" outlineLevel="2" x14ac:dyDescent="0.2">
      <c r="A44" s="30"/>
      <c r="B44" s="29" t="s">
        <v>67</v>
      </c>
      <c r="C44" s="42" t="s">
        <v>66</v>
      </c>
      <c r="D44" s="27">
        <f>SUM(D42:D43)</f>
        <v>13290071.25</v>
      </c>
      <c r="E44" s="26">
        <f>SUM(E42:E43)</f>
        <v>0</v>
      </c>
      <c r="F44" s="26">
        <f t="shared" ref="F44:K44" si="23">SUM(F42:F43)</f>
        <v>0</v>
      </c>
      <c r="G44" s="26">
        <f t="shared" si="23"/>
        <v>0</v>
      </c>
      <c r="H44" s="26">
        <f t="shared" si="23"/>
        <v>0</v>
      </c>
      <c r="I44" s="26">
        <f t="shared" si="23"/>
        <v>0</v>
      </c>
      <c r="J44" s="26">
        <f t="shared" si="23"/>
        <v>0</v>
      </c>
      <c r="K44" s="26">
        <f t="shared" si="23"/>
        <v>0</v>
      </c>
      <c r="L44" s="26">
        <f>SUM(L42:L43)</f>
        <v>0</v>
      </c>
      <c r="M44" s="26">
        <f t="shared" ref="M44:O44" si="24">SUM(M42:M43)</f>
        <v>0</v>
      </c>
      <c r="N44" s="26">
        <f t="shared" si="24"/>
        <v>0</v>
      </c>
      <c r="O44" s="26">
        <f t="shared" si="24"/>
        <v>0</v>
      </c>
      <c r="P44" s="26">
        <f t="shared" si="0"/>
        <v>13290071.25</v>
      </c>
    </row>
    <row r="45" spans="1:16" ht="12.75" hidden="1" customHeight="1" outlineLevel="3" x14ac:dyDescent="0.2">
      <c r="B45" s="38" t="s">
        <v>65</v>
      </c>
      <c r="C45" s="37" t="s">
        <v>64</v>
      </c>
      <c r="D45" s="41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f t="shared" si="0"/>
        <v>0</v>
      </c>
    </row>
    <row r="46" spans="1:16" ht="12.75" hidden="1" customHeight="1" outlineLevel="3" x14ac:dyDescent="0.2">
      <c r="B46" s="38" t="s">
        <v>63</v>
      </c>
      <c r="C46" s="37" t="s">
        <v>62</v>
      </c>
      <c r="D46" s="41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f t="shared" si="0"/>
        <v>0</v>
      </c>
    </row>
    <row r="47" spans="1:16" s="6" customFormat="1" hidden="1" outlineLevel="2" x14ac:dyDescent="0.2">
      <c r="A47" s="30"/>
      <c r="B47" s="29" t="s">
        <v>61</v>
      </c>
      <c r="C47" s="42" t="s">
        <v>60</v>
      </c>
      <c r="D47" s="27">
        <f>SUM(D45:D46)</f>
        <v>0</v>
      </c>
      <c r="E47" s="26">
        <f>SUM(E45:E46)</f>
        <v>0</v>
      </c>
      <c r="F47" s="26">
        <f t="shared" ref="F47:K47" si="25">SUM(F45:F46)</f>
        <v>0</v>
      </c>
      <c r="G47" s="26">
        <f t="shared" si="25"/>
        <v>0</v>
      </c>
      <c r="H47" s="26">
        <f t="shared" si="25"/>
        <v>0</v>
      </c>
      <c r="I47" s="26">
        <f t="shared" si="25"/>
        <v>0</v>
      </c>
      <c r="J47" s="26">
        <f t="shared" si="25"/>
        <v>0</v>
      </c>
      <c r="K47" s="26">
        <f t="shared" si="25"/>
        <v>0</v>
      </c>
      <c r="L47" s="26">
        <f>SUM(L45:L46)</f>
        <v>0</v>
      </c>
      <c r="M47" s="26">
        <f t="shared" ref="M47:O47" si="26">SUM(M45:M46)</f>
        <v>0</v>
      </c>
      <c r="N47" s="26">
        <f t="shared" si="26"/>
        <v>0</v>
      </c>
      <c r="O47" s="26">
        <f t="shared" si="26"/>
        <v>0</v>
      </c>
      <c r="P47" s="26">
        <f t="shared" si="0"/>
        <v>0</v>
      </c>
    </row>
    <row r="48" spans="1:16" ht="12.75" hidden="1" customHeight="1" outlineLevel="3" x14ac:dyDescent="0.2">
      <c r="B48" s="38" t="s">
        <v>59</v>
      </c>
      <c r="C48" s="37" t="s">
        <v>58</v>
      </c>
      <c r="D48" s="41">
        <v>0</v>
      </c>
      <c r="E48" s="40">
        <f>33645750/3</f>
        <v>11215250</v>
      </c>
      <c r="F48" s="40">
        <f t="shared" ref="F48:K48" si="27">33645750/3</f>
        <v>11215250</v>
      </c>
      <c r="G48" s="40">
        <f t="shared" si="27"/>
        <v>11215250</v>
      </c>
      <c r="H48" s="40">
        <f t="shared" si="27"/>
        <v>11215250</v>
      </c>
      <c r="I48" s="40">
        <f t="shared" si="27"/>
        <v>11215250</v>
      </c>
      <c r="J48" s="40">
        <f t="shared" si="27"/>
        <v>11215250</v>
      </c>
      <c r="K48" s="40">
        <f t="shared" si="27"/>
        <v>11215250</v>
      </c>
      <c r="L48" s="40">
        <v>0</v>
      </c>
      <c r="M48" s="40">
        <v>0</v>
      </c>
      <c r="N48" s="40">
        <v>0</v>
      </c>
      <c r="O48" s="40">
        <v>0</v>
      </c>
      <c r="P48" s="40">
        <f t="shared" si="0"/>
        <v>78506750</v>
      </c>
    </row>
    <row r="49" spans="1:16" ht="12.75" hidden="1" customHeight="1" outlineLevel="3" x14ac:dyDescent="0.2">
      <c r="B49" s="38" t="s">
        <v>57</v>
      </c>
      <c r="C49" s="37" t="s">
        <v>56</v>
      </c>
      <c r="D49" s="36">
        <v>0</v>
      </c>
      <c r="E49" s="35">
        <f>6224463.75/3</f>
        <v>2074821.25</v>
      </c>
      <c r="F49" s="35">
        <f t="shared" ref="F49:K49" si="28">6224463.75/3</f>
        <v>2074821.25</v>
      </c>
      <c r="G49" s="35">
        <f t="shared" si="28"/>
        <v>2074821.25</v>
      </c>
      <c r="H49" s="35">
        <f t="shared" si="28"/>
        <v>2074821.25</v>
      </c>
      <c r="I49" s="35">
        <f t="shared" si="28"/>
        <v>2074821.25</v>
      </c>
      <c r="J49" s="35">
        <f t="shared" si="28"/>
        <v>2074821.25</v>
      </c>
      <c r="K49" s="35">
        <f t="shared" si="28"/>
        <v>2074821.25</v>
      </c>
      <c r="L49" s="35">
        <v>0</v>
      </c>
      <c r="M49" s="35">
        <v>0</v>
      </c>
      <c r="N49" s="35">
        <v>0</v>
      </c>
      <c r="O49" s="35">
        <v>0</v>
      </c>
      <c r="P49" s="35">
        <f t="shared" si="0"/>
        <v>14523748.75</v>
      </c>
    </row>
    <row r="50" spans="1:16" s="6" customFormat="1" hidden="1" outlineLevel="2" x14ac:dyDescent="0.2">
      <c r="A50" s="30"/>
      <c r="B50" s="29" t="s">
        <v>55</v>
      </c>
      <c r="C50" s="42" t="s">
        <v>54</v>
      </c>
      <c r="D50" s="27">
        <f>SUM(D48:D49)</f>
        <v>0</v>
      </c>
      <c r="E50" s="26">
        <f>SUM(E48:E49)</f>
        <v>13290071.25</v>
      </c>
      <c r="F50" s="26">
        <f t="shared" ref="F50:K50" si="29">SUM(F48:F49)</f>
        <v>13290071.25</v>
      </c>
      <c r="G50" s="26">
        <f t="shared" si="29"/>
        <v>13290071.25</v>
      </c>
      <c r="H50" s="26">
        <f t="shared" si="29"/>
        <v>13290071.25</v>
      </c>
      <c r="I50" s="26">
        <f t="shared" si="29"/>
        <v>13290071.25</v>
      </c>
      <c r="J50" s="26">
        <f t="shared" si="29"/>
        <v>13290071.25</v>
      </c>
      <c r="K50" s="26">
        <f t="shared" si="29"/>
        <v>13290071.25</v>
      </c>
      <c r="L50" s="26">
        <f>SUM(L48:L49)</f>
        <v>0</v>
      </c>
      <c r="M50" s="26">
        <f t="shared" ref="M50:O50" si="30">SUM(M48:M49)</f>
        <v>0</v>
      </c>
      <c r="N50" s="26">
        <f t="shared" si="30"/>
        <v>0</v>
      </c>
      <c r="O50" s="26">
        <f t="shared" si="30"/>
        <v>0</v>
      </c>
      <c r="P50" s="26">
        <f t="shared" si="0"/>
        <v>93030498.75</v>
      </c>
    </row>
    <row r="51" spans="1:16" s="6" customFormat="1" ht="14.45" customHeight="1" outlineLevel="1" collapsed="1" x14ac:dyDescent="0.2">
      <c r="A51" s="30"/>
      <c r="B51" s="48" t="s">
        <v>53</v>
      </c>
      <c r="C51" s="47" t="s">
        <v>52</v>
      </c>
      <c r="D51" s="46">
        <f>D50+D47+D44</f>
        <v>13290071.25</v>
      </c>
      <c r="E51" s="45">
        <f>E50+E47+E44</f>
        <v>13290071.25</v>
      </c>
      <c r="F51" s="45">
        <f t="shared" ref="F51:K51" si="31">F50+F47+F44</f>
        <v>13290071.25</v>
      </c>
      <c r="G51" s="45">
        <f t="shared" si="31"/>
        <v>13290071.25</v>
      </c>
      <c r="H51" s="45">
        <f t="shared" si="31"/>
        <v>13290071.25</v>
      </c>
      <c r="I51" s="45">
        <f t="shared" si="31"/>
        <v>13290071.25</v>
      </c>
      <c r="J51" s="45">
        <f t="shared" si="31"/>
        <v>13290071.25</v>
      </c>
      <c r="K51" s="45">
        <f t="shared" si="31"/>
        <v>13290071.25</v>
      </c>
      <c r="L51" s="45">
        <f>L50+L47+L44</f>
        <v>0</v>
      </c>
      <c r="M51" s="45">
        <f t="shared" ref="M51:O51" si="32">M50+M47+M44</f>
        <v>0</v>
      </c>
      <c r="N51" s="45">
        <f t="shared" si="32"/>
        <v>0</v>
      </c>
      <c r="O51" s="45">
        <f t="shared" si="32"/>
        <v>0</v>
      </c>
      <c r="P51" s="45">
        <f t="shared" si="0"/>
        <v>106320570</v>
      </c>
    </row>
    <row r="52" spans="1:16" s="6" customFormat="1" ht="15.75" customHeight="1" x14ac:dyDescent="0.2">
      <c r="B52" s="21" t="s">
        <v>51</v>
      </c>
      <c r="C52" s="20" t="s">
        <v>50</v>
      </c>
      <c r="D52" s="19">
        <f>D51+D41+D28+D25</f>
        <v>254382240.87</v>
      </c>
      <c r="E52" s="18">
        <f>E51+E41+E28+E25</f>
        <v>240651579.37692353</v>
      </c>
      <c r="F52" s="18">
        <f t="shared" ref="F52:K52" si="33">F51+F41+F28+F25</f>
        <v>240651579.37692353</v>
      </c>
      <c r="G52" s="18">
        <f t="shared" si="33"/>
        <v>240651579.37692353</v>
      </c>
      <c r="H52" s="18">
        <f t="shared" si="33"/>
        <v>240651579.37692353</v>
      </c>
      <c r="I52" s="18">
        <f t="shared" si="33"/>
        <v>240651579.37692353</v>
      </c>
      <c r="J52" s="18">
        <f t="shared" si="33"/>
        <v>240651579.37692353</v>
      </c>
      <c r="K52" s="18">
        <f t="shared" si="33"/>
        <v>240651579.37692353</v>
      </c>
      <c r="L52" s="18">
        <f>L51+L41+L28+L25</f>
        <v>0</v>
      </c>
      <c r="M52" s="18">
        <f t="shared" ref="M52:O52" si="34">M51+M41+M28+M25</f>
        <v>0</v>
      </c>
      <c r="N52" s="18">
        <f t="shared" si="34"/>
        <v>0</v>
      </c>
      <c r="O52" s="18">
        <f t="shared" si="34"/>
        <v>0</v>
      </c>
      <c r="P52" s="18">
        <f t="shared" si="0"/>
        <v>1938943296.5084648</v>
      </c>
    </row>
    <row r="53" spans="1:16" ht="12.75" hidden="1" customHeight="1" outlineLevel="3" x14ac:dyDescent="0.2">
      <c r="B53" s="38" t="s">
        <v>45</v>
      </c>
      <c r="C53" s="37" t="s">
        <v>44</v>
      </c>
      <c r="D53" s="36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f t="shared" si="0"/>
        <v>0</v>
      </c>
    </row>
    <row r="54" spans="1:16" ht="12.75" hidden="1" customHeight="1" outlineLevel="3" x14ac:dyDescent="0.2">
      <c r="B54" s="38" t="s">
        <v>49</v>
      </c>
      <c r="C54" s="37" t="s">
        <v>48</v>
      </c>
      <c r="D54" s="36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f t="shared" si="0"/>
        <v>0</v>
      </c>
    </row>
    <row r="55" spans="1:16" s="6" customFormat="1" ht="14.45" customHeight="1" outlineLevel="1" collapsed="1" x14ac:dyDescent="0.2">
      <c r="A55" s="30"/>
      <c r="B55" s="48" t="s">
        <v>47</v>
      </c>
      <c r="C55" s="47" t="s">
        <v>46</v>
      </c>
      <c r="D55" s="46">
        <f>SUM(D53:D54)</f>
        <v>0</v>
      </c>
      <c r="E55" s="45">
        <f>SUM(E53:E54)</f>
        <v>0</v>
      </c>
      <c r="F55" s="45">
        <f t="shared" ref="F55:K55" si="35">SUM(F53:F54)</f>
        <v>0</v>
      </c>
      <c r="G55" s="45">
        <f t="shared" si="35"/>
        <v>0</v>
      </c>
      <c r="H55" s="45">
        <f t="shared" si="35"/>
        <v>0</v>
      </c>
      <c r="I55" s="45">
        <f t="shared" si="35"/>
        <v>0</v>
      </c>
      <c r="J55" s="45">
        <f t="shared" si="35"/>
        <v>0</v>
      </c>
      <c r="K55" s="45">
        <f t="shared" si="35"/>
        <v>0</v>
      </c>
      <c r="L55" s="45">
        <f>SUM(L53:L54)</f>
        <v>0</v>
      </c>
      <c r="M55" s="45">
        <f t="shared" ref="M55:O55" si="36">SUM(M53:M54)</f>
        <v>0</v>
      </c>
      <c r="N55" s="45">
        <f t="shared" si="36"/>
        <v>0</v>
      </c>
      <c r="O55" s="45">
        <f t="shared" si="36"/>
        <v>0</v>
      </c>
      <c r="P55" s="45">
        <f t="shared" si="0"/>
        <v>0</v>
      </c>
    </row>
    <row r="56" spans="1:16" s="6" customFormat="1" ht="15.75" customHeight="1" x14ac:dyDescent="0.2">
      <c r="B56" s="21" t="s">
        <v>45</v>
      </c>
      <c r="C56" s="20" t="s">
        <v>44</v>
      </c>
      <c r="D56" s="19">
        <f>D55</f>
        <v>0</v>
      </c>
      <c r="E56" s="18">
        <f>E55</f>
        <v>0</v>
      </c>
      <c r="F56" s="18">
        <f t="shared" ref="F56:K56" si="37">F55</f>
        <v>0</v>
      </c>
      <c r="G56" s="18">
        <f t="shared" si="37"/>
        <v>0</v>
      </c>
      <c r="H56" s="18">
        <f t="shared" si="37"/>
        <v>0</v>
      </c>
      <c r="I56" s="18">
        <f t="shared" si="37"/>
        <v>0</v>
      </c>
      <c r="J56" s="18">
        <f t="shared" si="37"/>
        <v>0</v>
      </c>
      <c r="K56" s="18">
        <f t="shared" si="37"/>
        <v>0</v>
      </c>
      <c r="L56" s="18">
        <f>L55</f>
        <v>0</v>
      </c>
      <c r="M56" s="18">
        <f t="shared" ref="M56:O56" si="38">M55</f>
        <v>0</v>
      </c>
      <c r="N56" s="18">
        <f t="shared" si="38"/>
        <v>0</v>
      </c>
      <c r="O56" s="18">
        <f t="shared" si="38"/>
        <v>0</v>
      </c>
      <c r="P56" s="18">
        <f t="shared" si="0"/>
        <v>0</v>
      </c>
    </row>
    <row r="57" spans="1:16" ht="12.75" hidden="1" customHeight="1" outlineLevel="3" x14ac:dyDescent="0.2">
      <c r="B57" s="38" t="s">
        <v>43</v>
      </c>
      <c r="C57" s="37" t="s">
        <v>42</v>
      </c>
      <c r="D57" s="41">
        <f>3528170167.46521*1/12</f>
        <v>294014180.62210083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f t="shared" si="0"/>
        <v>294014180.62210083</v>
      </c>
    </row>
    <row r="58" spans="1:16" ht="12.75" hidden="1" customHeight="1" outlineLevel="3" x14ac:dyDescent="0.2">
      <c r="B58" s="38" t="s">
        <v>41</v>
      </c>
      <c r="C58" s="37" t="s">
        <v>40</v>
      </c>
      <c r="D58" s="41">
        <f>652711480.981065*1/12</f>
        <v>54392623.41508875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f t="shared" si="0"/>
        <v>54392623.41508875</v>
      </c>
    </row>
    <row r="59" spans="1:16" s="6" customFormat="1" hidden="1" outlineLevel="2" x14ac:dyDescent="0.2">
      <c r="A59" s="30"/>
      <c r="B59" s="29" t="s">
        <v>39</v>
      </c>
      <c r="C59" s="42" t="s">
        <v>38</v>
      </c>
      <c r="D59" s="27">
        <f>SUM(D57:D58)</f>
        <v>348406804.0371896</v>
      </c>
      <c r="E59" s="26">
        <f>SUM(E57:E58)</f>
        <v>0</v>
      </c>
      <c r="F59" s="26">
        <f t="shared" ref="F59:K59" si="39">SUM(F57:F58)</f>
        <v>0</v>
      </c>
      <c r="G59" s="26">
        <f t="shared" si="39"/>
        <v>0</v>
      </c>
      <c r="H59" s="26">
        <f t="shared" si="39"/>
        <v>0</v>
      </c>
      <c r="I59" s="26">
        <f t="shared" si="39"/>
        <v>0</v>
      </c>
      <c r="J59" s="26">
        <f t="shared" si="39"/>
        <v>0</v>
      </c>
      <c r="K59" s="26">
        <f t="shared" si="39"/>
        <v>0</v>
      </c>
      <c r="L59" s="26">
        <f>SUM(L57:L58)</f>
        <v>0</v>
      </c>
      <c r="M59" s="26">
        <f t="shared" ref="M59:O59" si="40">SUM(M57:M58)</f>
        <v>0</v>
      </c>
      <c r="N59" s="26">
        <f t="shared" si="40"/>
        <v>0</v>
      </c>
      <c r="O59" s="26">
        <f t="shared" si="40"/>
        <v>0</v>
      </c>
      <c r="P59" s="26">
        <f t="shared" si="0"/>
        <v>348406804.0371896</v>
      </c>
    </row>
    <row r="60" spans="1:16" ht="12.75" hidden="1" customHeight="1" outlineLevel="3" x14ac:dyDescent="0.2">
      <c r="B60" s="38" t="s">
        <v>37</v>
      </c>
      <c r="C60" s="37" t="s">
        <v>36</v>
      </c>
      <c r="D60" s="41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f t="shared" si="0"/>
        <v>0</v>
      </c>
    </row>
    <row r="61" spans="1:16" ht="12.75" hidden="1" customHeight="1" outlineLevel="3" x14ac:dyDescent="0.2">
      <c r="B61" s="38" t="s">
        <v>35</v>
      </c>
      <c r="C61" s="37" t="s">
        <v>34</v>
      </c>
      <c r="D61" s="41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f t="shared" si="0"/>
        <v>0</v>
      </c>
    </row>
    <row r="62" spans="1:16" s="6" customFormat="1" hidden="1" outlineLevel="2" x14ac:dyDescent="0.2">
      <c r="A62" s="30"/>
      <c r="B62" s="29" t="s">
        <v>33</v>
      </c>
      <c r="C62" s="42" t="s">
        <v>32</v>
      </c>
      <c r="D62" s="27">
        <f>SUM(D60:D61)</f>
        <v>0</v>
      </c>
      <c r="E62" s="26">
        <f>SUM(E60:E61)</f>
        <v>0</v>
      </c>
      <c r="F62" s="26">
        <f t="shared" ref="F62:K62" si="41">SUM(F60:F61)</f>
        <v>0</v>
      </c>
      <c r="G62" s="26">
        <f t="shared" si="41"/>
        <v>0</v>
      </c>
      <c r="H62" s="26">
        <f t="shared" si="41"/>
        <v>0</v>
      </c>
      <c r="I62" s="26">
        <f t="shared" si="41"/>
        <v>0</v>
      </c>
      <c r="J62" s="26">
        <f t="shared" si="41"/>
        <v>0</v>
      </c>
      <c r="K62" s="26">
        <f t="shared" si="41"/>
        <v>0</v>
      </c>
      <c r="L62" s="26">
        <f>SUM(L60:L61)</f>
        <v>0</v>
      </c>
      <c r="M62" s="26">
        <f t="shared" ref="M62:O62" si="42">SUM(M60:M61)</f>
        <v>0</v>
      </c>
      <c r="N62" s="26">
        <f t="shared" si="42"/>
        <v>0</v>
      </c>
      <c r="O62" s="26">
        <f t="shared" si="42"/>
        <v>0</v>
      </c>
      <c r="P62" s="26">
        <f t="shared" si="0"/>
        <v>0</v>
      </c>
    </row>
    <row r="63" spans="1:16" ht="12.75" hidden="1" customHeight="1" outlineLevel="3" x14ac:dyDescent="0.2">
      <c r="B63" s="38" t="s">
        <v>26</v>
      </c>
      <c r="C63" s="37" t="s">
        <v>31</v>
      </c>
      <c r="D63" s="41">
        <f>H63/3</f>
        <v>98004726.874033615</v>
      </c>
      <c r="E63" s="40">
        <f>3528170167.46521/12</f>
        <v>294014180.62210083</v>
      </c>
      <c r="F63" s="40">
        <f t="shared" ref="F63:K63" si="43">3528170167.46521/12</f>
        <v>294014180.62210083</v>
      </c>
      <c r="G63" s="40">
        <f t="shared" si="43"/>
        <v>294014180.62210083</v>
      </c>
      <c r="H63" s="40">
        <f t="shared" si="43"/>
        <v>294014180.62210083</v>
      </c>
      <c r="I63" s="40">
        <f t="shared" si="43"/>
        <v>294014180.62210083</v>
      </c>
      <c r="J63" s="40">
        <f t="shared" si="43"/>
        <v>294014180.62210083</v>
      </c>
      <c r="K63" s="40">
        <f t="shared" si="43"/>
        <v>294014180.62210083</v>
      </c>
      <c r="L63" s="40">
        <v>0</v>
      </c>
      <c r="M63" s="40">
        <v>0</v>
      </c>
      <c r="N63" s="40">
        <v>0</v>
      </c>
      <c r="O63" s="40">
        <v>0</v>
      </c>
      <c r="P63" s="40">
        <f t="shared" si="0"/>
        <v>2156103991.2287397</v>
      </c>
    </row>
    <row r="64" spans="1:16" ht="12.75" hidden="1" customHeight="1" outlineLevel="3" x14ac:dyDescent="0.2">
      <c r="B64" s="38" t="s">
        <v>30</v>
      </c>
      <c r="C64" s="37" t="s">
        <v>29</v>
      </c>
      <c r="D64" s="36">
        <f>H64/3</f>
        <v>18130874.471696194</v>
      </c>
      <c r="E64" s="35">
        <f>652711480.981063/12</f>
        <v>54392623.415088587</v>
      </c>
      <c r="F64" s="35">
        <f t="shared" ref="F64:K64" si="44">652711480.981063/12</f>
        <v>54392623.415088587</v>
      </c>
      <c r="G64" s="35">
        <f t="shared" si="44"/>
        <v>54392623.415088587</v>
      </c>
      <c r="H64" s="35">
        <f t="shared" si="44"/>
        <v>54392623.415088587</v>
      </c>
      <c r="I64" s="35">
        <f t="shared" si="44"/>
        <v>54392623.415088587</v>
      </c>
      <c r="J64" s="35">
        <f t="shared" si="44"/>
        <v>54392623.415088587</v>
      </c>
      <c r="K64" s="35">
        <f t="shared" si="44"/>
        <v>54392623.415088587</v>
      </c>
      <c r="L64" s="35">
        <v>0</v>
      </c>
      <c r="M64" s="35">
        <v>0</v>
      </c>
      <c r="N64" s="35">
        <v>0</v>
      </c>
      <c r="O64" s="35">
        <v>0</v>
      </c>
      <c r="P64" s="35">
        <f t="shared" si="0"/>
        <v>398879238.3773163</v>
      </c>
    </row>
    <row r="65" spans="1:16" s="6" customFormat="1" hidden="1" outlineLevel="2" x14ac:dyDescent="0.2">
      <c r="A65" s="30"/>
      <c r="B65" s="29" t="s">
        <v>28</v>
      </c>
      <c r="C65" s="28" t="s">
        <v>27</v>
      </c>
      <c r="D65" s="27">
        <f>SUM(D63:D64)</f>
        <v>116135601.34572981</v>
      </c>
      <c r="E65" s="26">
        <f>SUM(E63:E64)</f>
        <v>348406804.03718942</v>
      </c>
      <c r="F65" s="26">
        <f t="shared" ref="F65:K65" si="45">SUM(F63:F64)</f>
        <v>348406804.03718942</v>
      </c>
      <c r="G65" s="26">
        <f t="shared" si="45"/>
        <v>348406804.03718942</v>
      </c>
      <c r="H65" s="26">
        <f t="shared" si="45"/>
        <v>348406804.03718942</v>
      </c>
      <c r="I65" s="26">
        <f t="shared" si="45"/>
        <v>348406804.03718942</v>
      </c>
      <c r="J65" s="26">
        <f t="shared" si="45"/>
        <v>348406804.03718942</v>
      </c>
      <c r="K65" s="26">
        <f t="shared" si="45"/>
        <v>348406804.03718942</v>
      </c>
      <c r="L65" s="26">
        <f>SUM(L63:L64)</f>
        <v>0</v>
      </c>
      <c r="M65" s="26">
        <f t="shared" ref="M65:O65" si="46">SUM(M63:M64)</f>
        <v>0</v>
      </c>
      <c r="N65" s="26">
        <f t="shared" si="46"/>
        <v>0</v>
      </c>
      <c r="O65" s="26">
        <f t="shared" si="46"/>
        <v>0</v>
      </c>
      <c r="P65" s="26">
        <f t="shared" si="0"/>
        <v>2554983229.6060557</v>
      </c>
    </row>
    <row r="66" spans="1:16" ht="15.75" customHeight="1" collapsed="1" x14ac:dyDescent="0.2">
      <c r="B66" s="21" t="s">
        <v>26</v>
      </c>
      <c r="C66" s="20" t="s">
        <v>25</v>
      </c>
      <c r="D66" s="19">
        <f>D65+D62+D59</f>
        <v>464542405.38291943</v>
      </c>
      <c r="E66" s="18">
        <f>E65+E62+E59</f>
        <v>348406804.03718942</v>
      </c>
      <c r="F66" s="18">
        <f t="shared" ref="F66:K66" si="47">F65+F62+F59</f>
        <v>348406804.03718942</v>
      </c>
      <c r="G66" s="18">
        <f t="shared" si="47"/>
        <v>348406804.03718942</v>
      </c>
      <c r="H66" s="18">
        <f t="shared" si="47"/>
        <v>348406804.03718942</v>
      </c>
      <c r="I66" s="18">
        <f t="shared" si="47"/>
        <v>348406804.03718942</v>
      </c>
      <c r="J66" s="18">
        <f t="shared" si="47"/>
        <v>348406804.03718942</v>
      </c>
      <c r="K66" s="18">
        <f t="shared" si="47"/>
        <v>348406804.03718942</v>
      </c>
      <c r="L66" s="18">
        <f>L65+L62+L59</f>
        <v>0</v>
      </c>
      <c r="M66" s="18">
        <f t="shared" ref="M66:O66" si="48">M65+M62+M59</f>
        <v>0</v>
      </c>
      <c r="N66" s="18">
        <f t="shared" si="48"/>
        <v>0</v>
      </c>
      <c r="O66" s="18">
        <f t="shared" si="48"/>
        <v>0</v>
      </c>
      <c r="P66" s="18">
        <f t="shared" si="0"/>
        <v>2903390033.6432457</v>
      </c>
    </row>
    <row r="67" spans="1:16" s="6" customFormat="1" ht="18.75" customHeight="1" x14ac:dyDescent="0.2">
      <c r="B67" s="13" t="s">
        <v>24</v>
      </c>
      <c r="C67" s="12" t="s">
        <v>23</v>
      </c>
      <c r="D67" s="119">
        <f>D52+D66+D56</f>
        <v>718924646.25291944</v>
      </c>
      <c r="E67" s="11">
        <f>E52+E66+E56</f>
        <v>589058383.41411293</v>
      </c>
      <c r="F67" s="11">
        <f t="shared" ref="F67:K67" si="49">F52+F66+F56</f>
        <v>589058383.41411293</v>
      </c>
      <c r="G67" s="11">
        <f t="shared" si="49"/>
        <v>589058383.41411293</v>
      </c>
      <c r="H67" s="11">
        <f t="shared" si="49"/>
        <v>589058383.41411293</v>
      </c>
      <c r="I67" s="11">
        <f t="shared" si="49"/>
        <v>589058383.41411293</v>
      </c>
      <c r="J67" s="11">
        <f t="shared" si="49"/>
        <v>589058383.41411293</v>
      </c>
      <c r="K67" s="11">
        <f t="shared" si="49"/>
        <v>589058383.41411293</v>
      </c>
      <c r="L67" s="11">
        <f>L52+L66+L56</f>
        <v>0</v>
      </c>
      <c r="M67" s="11">
        <f t="shared" ref="M67:O67" si="50">M52+M66+M56</f>
        <v>0</v>
      </c>
      <c r="N67" s="11">
        <f t="shared" si="50"/>
        <v>0</v>
      </c>
      <c r="O67" s="11">
        <f t="shared" si="50"/>
        <v>0</v>
      </c>
      <c r="P67" s="11">
        <f t="shared" si="0"/>
        <v>4842333330.1517105</v>
      </c>
    </row>
    <row r="68" spans="1:16" ht="16.5" customHeight="1" outlineLevel="1" x14ac:dyDescent="0.2">
      <c r="A68" s="54"/>
      <c r="B68" s="101" t="s">
        <v>22</v>
      </c>
      <c r="C68" s="100" t="s">
        <v>21</v>
      </c>
      <c r="D68" s="118">
        <f>(D14+D17+D20+D23+D30+D33+D36+D39)/(D13+D16+D19+D22+D29+D32+D35+D38)</f>
        <v>0.18587833690067815</v>
      </c>
      <c r="E68" s="117">
        <f>(E14+E17+E20+E23+E30+E33+E36+E39)/(E13+E16+E19+E22+E29+E32+E35+E38)</f>
        <v>0.18499999999999994</v>
      </c>
      <c r="F68" s="117">
        <f t="shared" ref="F68:K68" si="51">(F14+F17+F20+F23+F30+F33+F36+F39)/(F13+F16+F19+F22+F29+F32+F35+F38)</f>
        <v>0.18499999999999994</v>
      </c>
      <c r="G68" s="117">
        <f t="shared" si="51"/>
        <v>0.18499999999999994</v>
      </c>
      <c r="H68" s="117">
        <f t="shared" si="51"/>
        <v>0.18499999999999994</v>
      </c>
      <c r="I68" s="117">
        <f t="shared" si="51"/>
        <v>0.18499999999999994</v>
      </c>
      <c r="J68" s="117">
        <f t="shared" si="51"/>
        <v>0.18499999999999994</v>
      </c>
      <c r="K68" s="117">
        <f t="shared" si="51"/>
        <v>0.18499999999999994</v>
      </c>
      <c r="L68" s="117">
        <v>0</v>
      </c>
      <c r="M68" s="117">
        <v>0</v>
      </c>
      <c r="N68" s="117">
        <v>0</v>
      </c>
      <c r="O68" s="117">
        <v>0</v>
      </c>
      <c r="P68" s="117">
        <f>(P14+P17+P20+P23+P30+P33+P36+P39)/(P13+P16+P19+P22+P29+P32+P35+P38)</f>
        <v>0.18511594556590161</v>
      </c>
    </row>
    <row r="69" spans="1:16" s="103" customFormat="1" ht="16.5" customHeight="1" outlineLevel="1" x14ac:dyDescent="0.2">
      <c r="B69" s="111" t="s">
        <v>19</v>
      </c>
      <c r="C69" s="110" t="s">
        <v>18</v>
      </c>
      <c r="D69" s="109">
        <v>311</v>
      </c>
      <c r="E69" s="108">
        <v>331</v>
      </c>
      <c r="F69" s="108">
        <v>331</v>
      </c>
      <c r="G69" s="108">
        <v>331</v>
      </c>
      <c r="H69" s="108">
        <v>331</v>
      </c>
      <c r="I69" s="108">
        <v>331</v>
      </c>
      <c r="J69" s="108">
        <v>331</v>
      </c>
      <c r="K69" s="108">
        <v>331</v>
      </c>
      <c r="L69" s="108">
        <v>0</v>
      </c>
      <c r="M69" s="108">
        <v>0</v>
      </c>
      <c r="N69" s="108">
        <v>0</v>
      </c>
      <c r="O69" s="108">
        <v>0</v>
      </c>
      <c r="P69" s="108">
        <v>331</v>
      </c>
    </row>
    <row r="70" spans="1:16" s="103" customFormat="1" ht="16.5" customHeight="1" outlineLevel="1" x14ac:dyDescent="0.2">
      <c r="B70" s="111" t="s">
        <v>17</v>
      </c>
      <c r="C70" s="110" t="s">
        <v>16</v>
      </c>
      <c r="D70" s="109">
        <f>D71-D69</f>
        <v>110</v>
      </c>
      <c r="E70" s="108">
        <f>E71-E69</f>
        <v>113</v>
      </c>
      <c r="F70" s="108">
        <f t="shared" ref="F70:K70" si="52">F71-F69</f>
        <v>113</v>
      </c>
      <c r="G70" s="108">
        <f t="shared" si="52"/>
        <v>113</v>
      </c>
      <c r="H70" s="108">
        <f t="shared" si="52"/>
        <v>113</v>
      </c>
      <c r="I70" s="108">
        <f t="shared" si="52"/>
        <v>113</v>
      </c>
      <c r="J70" s="108">
        <f t="shared" si="52"/>
        <v>113</v>
      </c>
      <c r="K70" s="108">
        <f t="shared" si="52"/>
        <v>113</v>
      </c>
      <c r="L70" s="108">
        <v>0</v>
      </c>
      <c r="M70" s="108">
        <v>0</v>
      </c>
      <c r="N70" s="108">
        <v>0</v>
      </c>
      <c r="O70" s="108">
        <v>0</v>
      </c>
      <c r="P70" s="108">
        <f>P71-P69</f>
        <v>113</v>
      </c>
    </row>
    <row r="71" spans="1:16" ht="16.5" customHeight="1" outlineLevel="1" x14ac:dyDescent="0.2">
      <c r="B71" s="101" t="s">
        <v>15</v>
      </c>
      <c r="C71" s="100" t="s">
        <v>14</v>
      </c>
      <c r="D71" s="99">
        <v>421</v>
      </c>
      <c r="E71" s="102">
        <v>444</v>
      </c>
      <c r="F71" s="102">
        <v>444</v>
      </c>
      <c r="G71" s="102">
        <v>444</v>
      </c>
      <c r="H71" s="102">
        <v>444</v>
      </c>
      <c r="I71" s="102">
        <v>444</v>
      </c>
      <c r="J71" s="102">
        <v>444</v>
      </c>
      <c r="K71" s="102">
        <v>444</v>
      </c>
      <c r="L71" s="102">
        <v>0</v>
      </c>
      <c r="M71" s="102">
        <v>0</v>
      </c>
      <c r="N71" s="102">
        <v>0</v>
      </c>
      <c r="O71" s="102">
        <v>0</v>
      </c>
      <c r="P71" s="102">
        <v>444</v>
      </c>
    </row>
    <row r="72" spans="1:16" ht="16.5" customHeight="1" outlineLevel="1" x14ac:dyDescent="0.2">
      <c r="B72" s="101" t="s">
        <v>13</v>
      </c>
      <c r="C72" s="100" t="s">
        <v>12</v>
      </c>
      <c r="D72" s="99">
        <v>246</v>
      </c>
      <c r="E72" s="98">
        <v>265.68387212842742</v>
      </c>
      <c r="F72" s="98">
        <v>265.68387212842742</v>
      </c>
      <c r="G72" s="98">
        <v>265.68387212842742</v>
      </c>
      <c r="H72" s="98">
        <v>265.68387212842742</v>
      </c>
      <c r="I72" s="98">
        <v>265.68387212842742</v>
      </c>
      <c r="J72" s="98">
        <v>265.68387212842742</v>
      </c>
      <c r="K72" s="98">
        <v>265.68387212842742</v>
      </c>
      <c r="L72" s="98">
        <v>0</v>
      </c>
      <c r="M72" s="98">
        <v>0</v>
      </c>
      <c r="N72" s="98">
        <v>0</v>
      </c>
      <c r="O72" s="98">
        <v>0</v>
      </c>
      <c r="P72" s="98">
        <v>265.68387212842742</v>
      </c>
    </row>
    <row r="73" spans="1:16" ht="13.5" outlineLevel="1" thickBot="1" x14ac:dyDescent="0.25">
      <c r="A73" s="54"/>
      <c r="B73" s="92" t="s">
        <v>11</v>
      </c>
      <c r="C73" s="91" t="s">
        <v>11</v>
      </c>
      <c r="D73" s="90">
        <v>307.7</v>
      </c>
      <c r="E73" s="89">
        <v>310</v>
      </c>
      <c r="F73" s="89">
        <v>310</v>
      </c>
      <c r="G73" s="89">
        <v>310</v>
      </c>
      <c r="H73" s="89">
        <v>310</v>
      </c>
      <c r="I73" s="89">
        <v>310</v>
      </c>
      <c r="J73" s="89">
        <v>310</v>
      </c>
      <c r="K73" s="89">
        <v>310</v>
      </c>
      <c r="L73" s="89">
        <v>0</v>
      </c>
      <c r="M73" s="89">
        <v>0</v>
      </c>
      <c r="N73" s="89">
        <v>0</v>
      </c>
      <c r="O73" s="89">
        <v>0</v>
      </c>
      <c r="P73" s="89">
        <v>310</v>
      </c>
    </row>
    <row r="74" spans="1:16" s="80" customFormat="1" ht="13.5" thickTop="1" x14ac:dyDescent="0.2">
      <c r="B74" s="83"/>
      <c r="C74" s="83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</row>
    <row r="75" spans="1:16" ht="16.5" customHeight="1" thickBot="1" x14ac:dyDescent="0.25">
      <c r="A75" s="54"/>
      <c r="B75" s="70" t="s">
        <v>10</v>
      </c>
      <c r="C75" s="69" t="s">
        <v>9</v>
      </c>
      <c r="D75" s="67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</row>
    <row r="76" spans="1:16" ht="13.5" hidden="1" outlineLevel="3" thickTop="1" x14ac:dyDescent="0.2">
      <c r="A76" s="54"/>
      <c r="B76" s="38" t="str">
        <f t="shared" ref="B76:C95" si="53">B13</f>
        <v xml:space="preserve">Оклад </v>
      </c>
      <c r="C76" s="62" t="str">
        <f t="shared" si="53"/>
        <v>Salary</v>
      </c>
      <c r="D76" s="61">
        <v>135263390.90000001</v>
      </c>
      <c r="E76" s="60">
        <v>135263390.90000001</v>
      </c>
      <c r="F76" s="60">
        <v>135263390.90000001</v>
      </c>
      <c r="G76" s="60">
        <v>135263390.90000001</v>
      </c>
      <c r="H76" s="60">
        <v>135263390.90000001</v>
      </c>
      <c r="I76" s="60">
        <v>135263390.90000001</v>
      </c>
      <c r="J76" s="60">
        <v>135263390.90000001</v>
      </c>
      <c r="K76" s="60">
        <v>135263390.90000001</v>
      </c>
      <c r="L76" s="60">
        <v>0</v>
      </c>
      <c r="M76" s="60">
        <v>0</v>
      </c>
      <c r="N76" s="60">
        <v>0</v>
      </c>
      <c r="O76" s="60">
        <v>0</v>
      </c>
      <c r="P76" s="60">
        <f>SUM(D76:O76)</f>
        <v>1082107127.2</v>
      </c>
    </row>
    <row r="77" spans="1:16" hidden="1" outlineLevel="3" x14ac:dyDescent="0.2">
      <c r="A77" s="54"/>
      <c r="B77" s="38" t="str">
        <f t="shared" si="53"/>
        <v>Страховые взносы оклад</v>
      </c>
      <c r="C77" s="49" t="str">
        <f t="shared" si="53"/>
        <v>Social securities on salaries</v>
      </c>
      <c r="D77" s="41">
        <v>27298223.000000004</v>
      </c>
      <c r="E77" s="40">
        <v>27298223.000000004</v>
      </c>
      <c r="F77" s="40">
        <v>27298223.000000004</v>
      </c>
      <c r="G77" s="40">
        <v>27298223.000000004</v>
      </c>
      <c r="H77" s="40">
        <v>27298223.000000004</v>
      </c>
      <c r="I77" s="40">
        <v>27298223.000000004</v>
      </c>
      <c r="J77" s="40">
        <v>27298223.000000004</v>
      </c>
      <c r="K77" s="40">
        <v>27298223.000000004</v>
      </c>
      <c r="L77" s="40">
        <v>0</v>
      </c>
      <c r="M77" s="40">
        <v>0</v>
      </c>
      <c r="N77" s="40">
        <v>0</v>
      </c>
      <c r="O77" s="40">
        <v>0</v>
      </c>
      <c r="P77" s="40">
        <f t="shared" ref="P77:P130" si="54">SUM(D77:O77)</f>
        <v>218385784.00000003</v>
      </c>
    </row>
    <row r="78" spans="1:16" s="6" customFormat="1" hidden="1" outlineLevel="2" x14ac:dyDescent="0.2">
      <c r="A78" s="30"/>
      <c r="B78" s="29" t="str">
        <f t="shared" si="53"/>
        <v>Итого оклад</v>
      </c>
      <c r="C78" s="52" t="str">
        <f t="shared" si="53"/>
        <v>Total Salary</v>
      </c>
      <c r="D78" s="27">
        <f t="shared" ref="D78:O78" si="55">SUM(D76:D77)</f>
        <v>162561613.90000001</v>
      </c>
      <c r="E78" s="26">
        <f t="shared" si="55"/>
        <v>162561613.90000001</v>
      </c>
      <c r="F78" s="26">
        <f t="shared" si="55"/>
        <v>162561613.90000001</v>
      </c>
      <c r="G78" s="26">
        <f t="shared" si="55"/>
        <v>162561613.90000001</v>
      </c>
      <c r="H78" s="26">
        <f t="shared" si="55"/>
        <v>162561613.90000001</v>
      </c>
      <c r="I78" s="26">
        <f t="shared" si="55"/>
        <v>162561613.90000001</v>
      </c>
      <c r="J78" s="26">
        <f t="shared" si="55"/>
        <v>162561613.90000001</v>
      </c>
      <c r="K78" s="26">
        <f t="shared" si="55"/>
        <v>162561613.90000001</v>
      </c>
      <c r="L78" s="26">
        <f t="shared" si="55"/>
        <v>0</v>
      </c>
      <c r="M78" s="26">
        <f t="shared" si="55"/>
        <v>0</v>
      </c>
      <c r="N78" s="26">
        <f t="shared" si="55"/>
        <v>0</v>
      </c>
      <c r="O78" s="26">
        <f t="shared" si="55"/>
        <v>0</v>
      </c>
      <c r="P78" s="26">
        <f t="shared" si="54"/>
        <v>1300492911.2</v>
      </c>
    </row>
    <row r="79" spans="1:16" hidden="1" outlineLevel="3" x14ac:dyDescent="0.2">
      <c r="A79" s="54"/>
      <c r="B79" s="57" t="str">
        <f t="shared" si="53"/>
        <v>Резерв на отпуск</v>
      </c>
      <c r="C79" s="56" t="str">
        <f t="shared" si="53"/>
        <v>Accruals for unused vacations</v>
      </c>
      <c r="D79" s="41">
        <v>44272102.969999984</v>
      </c>
      <c r="E79" s="40">
        <v>44272102.969999984</v>
      </c>
      <c r="F79" s="40">
        <v>44272102.969999984</v>
      </c>
      <c r="G79" s="40">
        <v>44272102.969999984</v>
      </c>
      <c r="H79" s="40">
        <v>44272102.969999984</v>
      </c>
      <c r="I79" s="40">
        <v>44272102.969999984</v>
      </c>
      <c r="J79" s="40">
        <v>44272102.969999984</v>
      </c>
      <c r="K79" s="40">
        <v>44272102.969999984</v>
      </c>
      <c r="L79" s="40">
        <v>0</v>
      </c>
      <c r="M79" s="40">
        <v>0</v>
      </c>
      <c r="N79" s="40">
        <v>0</v>
      </c>
      <c r="O79" s="40">
        <v>0</v>
      </c>
      <c r="P79" s="40">
        <f t="shared" si="54"/>
        <v>354176823.75999981</v>
      </c>
    </row>
    <row r="80" spans="1:16" hidden="1" outlineLevel="3" x14ac:dyDescent="0.2">
      <c r="A80" s="54"/>
      <c r="B80" s="38" t="str">
        <f t="shared" si="53"/>
        <v>Страховые взносы резерв на отпуск</v>
      </c>
      <c r="C80" s="56" t="str">
        <f t="shared" si="53"/>
        <v>Social Security on accruals for unused vacations</v>
      </c>
      <c r="D80" s="41">
        <v>6226136.4200000018</v>
      </c>
      <c r="E80" s="40">
        <v>6226136.4200000018</v>
      </c>
      <c r="F80" s="40">
        <v>6226136.4200000018</v>
      </c>
      <c r="G80" s="40">
        <v>6226136.4200000018</v>
      </c>
      <c r="H80" s="40">
        <v>6226136.4200000018</v>
      </c>
      <c r="I80" s="40">
        <v>6226136.4200000018</v>
      </c>
      <c r="J80" s="40">
        <v>6226136.4200000018</v>
      </c>
      <c r="K80" s="40">
        <v>6226136.4200000018</v>
      </c>
      <c r="L80" s="40">
        <v>0</v>
      </c>
      <c r="M80" s="40">
        <v>0</v>
      </c>
      <c r="N80" s="40">
        <v>0</v>
      </c>
      <c r="O80" s="40">
        <v>0</v>
      </c>
      <c r="P80" s="40">
        <f t="shared" si="54"/>
        <v>49809091.360000014</v>
      </c>
    </row>
    <row r="81" spans="1:16" s="6" customFormat="1" hidden="1" outlineLevel="2" x14ac:dyDescent="0.2">
      <c r="A81" s="30"/>
      <c r="B81" s="29" t="str">
        <f t="shared" si="53"/>
        <v>Итого резерв на отпуск</v>
      </c>
      <c r="C81" s="52" t="str">
        <f t="shared" si="53"/>
        <v>Total Accruals for unused vacations</v>
      </c>
      <c r="D81" s="27">
        <f t="shared" ref="D81:O81" si="56">SUM(D79:D80)</f>
        <v>50498239.389999986</v>
      </c>
      <c r="E81" s="26">
        <f t="shared" si="56"/>
        <v>50498239.389999986</v>
      </c>
      <c r="F81" s="26">
        <f t="shared" si="56"/>
        <v>50498239.389999986</v>
      </c>
      <c r="G81" s="26">
        <f t="shared" si="56"/>
        <v>50498239.389999986</v>
      </c>
      <c r="H81" s="26">
        <f t="shared" si="56"/>
        <v>50498239.389999986</v>
      </c>
      <c r="I81" s="26">
        <f t="shared" si="56"/>
        <v>50498239.389999986</v>
      </c>
      <c r="J81" s="26">
        <f t="shared" si="56"/>
        <v>50498239.389999986</v>
      </c>
      <c r="K81" s="26">
        <f t="shared" si="56"/>
        <v>50498239.389999986</v>
      </c>
      <c r="L81" s="26">
        <f t="shared" si="56"/>
        <v>0</v>
      </c>
      <c r="M81" s="26">
        <f t="shared" si="56"/>
        <v>0</v>
      </c>
      <c r="N81" s="26">
        <f t="shared" si="56"/>
        <v>0</v>
      </c>
      <c r="O81" s="26">
        <f t="shared" si="56"/>
        <v>0</v>
      </c>
      <c r="P81" s="26">
        <f t="shared" si="54"/>
        <v>403985915.11999989</v>
      </c>
    </row>
    <row r="82" spans="1:16" hidden="1" outlineLevel="3" x14ac:dyDescent="0.2">
      <c r="A82" s="54"/>
      <c r="B82" s="38" t="str">
        <f t="shared" si="53"/>
        <v>Оплата больничных листов</v>
      </c>
      <c r="C82" s="49" t="str">
        <f t="shared" si="53"/>
        <v>Sick leave compensation</v>
      </c>
      <c r="D82" s="41">
        <v>502299.88</v>
      </c>
      <c r="E82" s="40">
        <v>502299.88</v>
      </c>
      <c r="F82" s="40">
        <v>502299.88</v>
      </c>
      <c r="G82" s="40">
        <v>502299.88</v>
      </c>
      <c r="H82" s="40">
        <v>502299.88</v>
      </c>
      <c r="I82" s="40">
        <v>502299.88</v>
      </c>
      <c r="J82" s="40">
        <v>502299.88</v>
      </c>
      <c r="K82" s="40">
        <v>502299.88</v>
      </c>
      <c r="L82" s="40">
        <v>0</v>
      </c>
      <c r="M82" s="40">
        <v>0</v>
      </c>
      <c r="N82" s="40">
        <v>0</v>
      </c>
      <c r="O82" s="40">
        <v>0</v>
      </c>
      <c r="P82" s="40">
        <f t="shared" si="54"/>
        <v>4018399.0399999996</v>
      </c>
    </row>
    <row r="83" spans="1:16" hidden="1" outlineLevel="3" x14ac:dyDescent="0.2">
      <c r="A83" s="54"/>
      <c r="B83" s="38" t="str">
        <f t="shared" si="53"/>
        <v>Страховые взносы оплата больничных листов</v>
      </c>
      <c r="C83" s="49" t="str">
        <f t="shared" si="53"/>
        <v>Social Security on Sick leave compensation</v>
      </c>
      <c r="D83" s="41">
        <v>81339.45</v>
      </c>
      <c r="E83" s="40">
        <v>81339.45</v>
      </c>
      <c r="F83" s="40">
        <v>81339.45</v>
      </c>
      <c r="G83" s="40">
        <v>81339.45</v>
      </c>
      <c r="H83" s="40">
        <v>81339.45</v>
      </c>
      <c r="I83" s="40">
        <v>81339.45</v>
      </c>
      <c r="J83" s="40">
        <v>81339.45</v>
      </c>
      <c r="K83" s="40">
        <v>81339.45</v>
      </c>
      <c r="L83" s="40">
        <v>0</v>
      </c>
      <c r="M83" s="40">
        <v>0</v>
      </c>
      <c r="N83" s="40">
        <v>0</v>
      </c>
      <c r="O83" s="40">
        <v>0</v>
      </c>
      <c r="P83" s="40">
        <f t="shared" si="54"/>
        <v>650715.6</v>
      </c>
    </row>
    <row r="84" spans="1:16" s="6" customFormat="1" hidden="1" outlineLevel="2" x14ac:dyDescent="0.2">
      <c r="A84" s="30"/>
      <c r="B84" s="29" t="str">
        <f t="shared" si="53"/>
        <v>Итого оплата больничных листов</v>
      </c>
      <c r="C84" s="52" t="str">
        <f t="shared" si="53"/>
        <v>Total Sick leave compensation</v>
      </c>
      <c r="D84" s="27">
        <f t="shared" ref="D84:O84" si="57">SUM(D82:D83)</f>
        <v>583639.32999999996</v>
      </c>
      <c r="E84" s="26">
        <f t="shared" si="57"/>
        <v>583639.32999999996</v>
      </c>
      <c r="F84" s="26">
        <f t="shared" si="57"/>
        <v>583639.32999999996</v>
      </c>
      <c r="G84" s="26">
        <f t="shared" si="57"/>
        <v>583639.32999999996</v>
      </c>
      <c r="H84" s="26">
        <f t="shared" si="57"/>
        <v>583639.32999999996</v>
      </c>
      <c r="I84" s="26">
        <f t="shared" si="57"/>
        <v>583639.32999999996</v>
      </c>
      <c r="J84" s="26">
        <f t="shared" si="57"/>
        <v>583639.32999999996</v>
      </c>
      <c r="K84" s="26">
        <f t="shared" si="57"/>
        <v>583639.32999999996</v>
      </c>
      <c r="L84" s="26">
        <f t="shared" si="57"/>
        <v>0</v>
      </c>
      <c r="M84" s="26">
        <f t="shared" si="57"/>
        <v>0</v>
      </c>
      <c r="N84" s="26">
        <f t="shared" si="57"/>
        <v>0</v>
      </c>
      <c r="O84" s="26">
        <f t="shared" si="57"/>
        <v>0</v>
      </c>
      <c r="P84" s="26">
        <f t="shared" si="54"/>
        <v>4669114.6399999997</v>
      </c>
    </row>
    <row r="85" spans="1:16" hidden="1" outlineLevel="3" x14ac:dyDescent="0.2">
      <c r="A85" s="54"/>
      <c r="B85" s="38" t="str">
        <f t="shared" si="53"/>
        <v>Декрет</v>
      </c>
      <c r="C85" s="49" t="str">
        <f t="shared" si="53"/>
        <v>Maternity leave</v>
      </c>
      <c r="D85" s="41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f t="shared" si="54"/>
        <v>0</v>
      </c>
    </row>
    <row r="86" spans="1:16" hidden="1" outlineLevel="3" x14ac:dyDescent="0.2">
      <c r="A86" s="54"/>
      <c r="B86" s="38" t="str">
        <f t="shared" si="53"/>
        <v>Страховые взносы декрет</v>
      </c>
      <c r="C86" s="49" t="str">
        <f t="shared" si="53"/>
        <v>Social Security on Maternity leave</v>
      </c>
      <c r="D86" s="41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f t="shared" si="54"/>
        <v>0</v>
      </c>
    </row>
    <row r="87" spans="1:16" s="6" customFormat="1" hidden="1" outlineLevel="2" x14ac:dyDescent="0.2">
      <c r="A87" s="30"/>
      <c r="B87" s="29" t="str">
        <f t="shared" si="53"/>
        <v>Итого декрет</v>
      </c>
      <c r="C87" s="52" t="str">
        <f t="shared" si="53"/>
        <v>Total Maternity leave</v>
      </c>
      <c r="D87" s="27">
        <f t="shared" ref="D87:O87" si="58">SUM(D85:D86)</f>
        <v>0</v>
      </c>
      <c r="E87" s="26">
        <f t="shared" si="58"/>
        <v>0</v>
      </c>
      <c r="F87" s="26">
        <f t="shared" si="58"/>
        <v>0</v>
      </c>
      <c r="G87" s="26">
        <f t="shared" si="58"/>
        <v>0</v>
      </c>
      <c r="H87" s="26">
        <f t="shared" si="58"/>
        <v>0</v>
      </c>
      <c r="I87" s="26">
        <f t="shared" si="58"/>
        <v>0</v>
      </c>
      <c r="J87" s="26">
        <f t="shared" si="58"/>
        <v>0</v>
      </c>
      <c r="K87" s="26">
        <f t="shared" si="58"/>
        <v>0</v>
      </c>
      <c r="L87" s="26">
        <f t="shared" si="58"/>
        <v>0</v>
      </c>
      <c r="M87" s="26">
        <f t="shared" si="58"/>
        <v>0</v>
      </c>
      <c r="N87" s="26">
        <f t="shared" si="58"/>
        <v>0</v>
      </c>
      <c r="O87" s="26">
        <f t="shared" si="58"/>
        <v>0</v>
      </c>
      <c r="P87" s="26">
        <f t="shared" si="54"/>
        <v>0</v>
      </c>
    </row>
    <row r="88" spans="1:16" s="6" customFormat="1" ht="13.5" outlineLevel="1" collapsed="1" thickTop="1" x14ac:dyDescent="0.2">
      <c r="A88" s="30"/>
      <c r="B88" s="48" t="str">
        <f t="shared" si="53"/>
        <v>Фиксированное вознаграждение</v>
      </c>
      <c r="C88" s="55" t="str">
        <f t="shared" si="53"/>
        <v>FIX compensation</v>
      </c>
      <c r="D88" s="46">
        <f t="shared" ref="D88:O88" si="59">D78+D81+D84+D87</f>
        <v>213643492.62</v>
      </c>
      <c r="E88" s="45">
        <f t="shared" si="59"/>
        <v>213643492.62</v>
      </c>
      <c r="F88" s="45">
        <f t="shared" si="59"/>
        <v>213643492.62</v>
      </c>
      <c r="G88" s="45">
        <f t="shared" si="59"/>
        <v>213643492.62</v>
      </c>
      <c r="H88" s="45">
        <f t="shared" si="59"/>
        <v>213643492.62</v>
      </c>
      <c r="I88" s="45">
        <f t="shared" si="59"/>
        <v>213643492.62</v>
      </c>
      <c r="J88" s="45">
        <f t="shared" si="59"/>
        <v>213643492.62</v>
      </c>
      <c r="K88" s="45">
        <f t="shared" si="59"/>
        <v>213643492.62</v>
      </c>
      <c r="L88" s="45">
        <f t="shared" si="59"/>
        <v>0</v>
      </c>
      <c r="M88" s="45">
        <f t="shared" si="59"/>
        <v>0</v>
      </c>
      <c r="N88" s="45">
        <f t="shared" si="59"/>
        <v>0</v>
      </c>
      <c r="O88" s="45">
        <f t="shared" si="59"/>
        <v>0</v>
      </c>
      <c r="P88" s="45">
        <f t="shared" si="54"/>
        <v>1709147940.96</v>
      </c>
    </row>
    <row r="89" spans="1:16" s="6" customFormat="1" hidden="1" outlineLevel="2" x14ac:dyDescent="0.2">
      <c r="B89" s="29" t="str">
        <f t="shared" si="53"/>
        <v>Расходы на страхование (ДМС, НС)</v>
      </c>
      <c r="C89" s="52" t="str">
        <f t="shared" si="53"/>
        <v>Health &amp; welfare</v>
      </c>
      <c r="D89" s="27">
        <v>4988341.6699999981</v>
      </c>
      <c r="E89" s="26">
        <v>4988341.6699999981</v>
      </c>
      <c r="F89" s="26">
        <v>4988341.6699999981</v>
      </c>
      <c r="G89" s="26">
        <v>4988341.6699999981</v>
      </c>
      <c r="H89" s="26">
        <v>4988341.6699999981</v>
      </c>
      <c r="I89" s="26">
        <v>4988341.6699999981</v>
      </c>
      <c r="J89" s="26">
        <v>4988341.6699999981</v>
      </c>
      <c r="K89" s="26">
        <v>4988341.6699999981</v>
      </c>
      <c r="L89" s="26">
        <v>0</v>
      </c>
      <c r="M89" s="26">
        <v>0</v>
      </c>
      <c r="N89" s="26">
        <v>0</v>
      </c>
      <c r="O89" s="26">
        <v>0</v>
      </c>
      <c r="P89" s="26">
        <f t="shared" si="54"/>
        <v>39906733.359999985</v>
      </c>
    </row>
    <row r="90" spans="1:16" s="6" customFormat="1" hidden="1" outlineLevel="2" x14ac:dyDescent="0.2">
      <c r="B90" s="29" t="str">
        <f t="shared" si="53"/>
        <v>Прочие бенефиты</v>
      </c>
      <c r="C90" s="52" t="str">
        <f t="shared" si="53"/>
        <v>Other benefits - Non-state mandated</v>
      </c>
      <c r="D90" s="27">
        <v>614311.89000000013</v>
      </c>
      <c r="E90" s="26">
        <v>614311.89000000013</v>
      </c>
      <c r="F90" s="26">
        <v>614311.89000000013</v>
      </c>
      <c r="G90" s="26">
        <v>614311.89000000013</v>
      </c>
      <c r="H90" s="26">
        <v>614311.89000000013</v>
      </c>
      <c r="I90" s="26">
        <v>614311.89000000013</v>
      </c>
      <c r="J90" s="26">
        <v>614311.89000000013</v>
      </c>
      <c r="K90" s="26">
        <v>614311.89000000013</v>
      </c>
      <c r="L90" s="26">
        <v>0</v>
      </c>
      <c r="M90" s="26">
        <v>0</v>
      </c>
      <c r="N90" s="26">
        <v>0</v>
      </c>
      <c r="O90" s="26">
        <v>0</v>
      </c>
      <c r="P90" s="26">
        <f t="shared" si="54"/>
        <v>4914495.120000001</v>
      </c>
    </row>
    <row r="91" spans="1:16" s="6" customFormat="1" outlineLevel="1" collapsed="1" x14ac:dyDescent="0.2">
      <c r="A91" s="30"/>
      <c r="B91" s="48" t="str">
        <f t="shared" si="53"/>
        <v>Бенефиты</v>
      </c>
      <c r="C91" s="55" t="str">
        <f t="shared" si="53"/>
        <v>Benefits</v>
      </c>
      <c r="D91" s="46">
        <f t="shared" ref="D91:O91" si="60">SUM(D89:D90)</f>
        <v>5602653.5599999987</v>
      </c>
      <c r="E91" s="45">
        <f t="shared" si="60"/>
        <v>5602653.5599999987</v>
      </c>
      <c r="F91" s="45">
        <f t="shared" si="60"/>
        <v>5602653.5599999987</v>
      </c>
      <c r="G91" s="45">
        <f t="shared" si="60"/>
        <v>5602653.5599999987</v>
      </c>
      <c r="H91" s="45">
        <f t="shared" si="60"/>
        <v>5602653.5599999987</v>
      </c>
      <c r="I91" s="45">
        <f t="shared" si="60"/>
        <v>5602653.5599999987</v>
      </c>
      <c r="J91" s="45">
        <f t="shared" si="60"/>
        <v>5602653.5599999987</v>
      </c>
      <c r="K91" s="45">
        <f t="shared" si="60"/>
        <v>5602653.5599999987</v>
      </c>
      <c r="L91" s="45">
        <f t="shared" si="60"/>
        <v>0</v>
      </c>
      <c r="M91" s="45">
        <f t="shared" si="60"/>
        <v>0</v>
      </c>
      <c r="N91" s="45">
        <f t="shared" si="60"/>
        <v>0</v>
      </c>
      <c r="O91" s="45">
        <f t="shared" si="60"/>
        <v>0</v>
      </c>
      <c r="P91" s="45">
        <f t="shared" si="54"/>
        <v>44821228.479999989</v>
      </c>
    </row>
    <row r="92" spans="1:16" hidden="1" outlineLevel="3" x14ac:dyDescent="0.2">
      <c r="A92" s="54"/>
      <c r="B92" s="38" t="str">
        <f t="shared" si="53"/>
        <v>Прочие выплаты</v>
      </c>
      <c r="C92" s="49" t="str">
        <f t="shared" si="53"/>
        <v>Remaining Other Compensation</v>
      </c>
      <c r="D92" s="41">
        <v>-120000</v>
      </c>
      <c r="E92" s="40">
        <v>-120000</v>
      </c>
      <c r="F92" s="40">
        <v>-120000</v>
      </c>
      <c r="G92" s="40">
        <v>-120000</v>
      </c>
      <c r="H92" s="40">
        <v>-120000</v>
      </c>
      <c r="I92" s="40">
        <v>-120000</v>
      </c>
      <c r="J92" s="40">
        <v>-120000</v>
      </c>
      <c r="K92" s="40">
        <v>-120000</v>
      </c>
      <c r="L92" s="40">
        <v>0</v>
      </c>
      <c r="M92" s="40">
        <v>0</v>
      </c>
      <c r="N92" s="40">
        <v>0</v>
      </c>
      <c r="O92" s="40">
        <v>0</v>
      </c>
      <c r="P92" s="40">
        <f t="shared" si="54"/>
        <v>-960000</v>
      </c>
    </row>
    <row r="93" spans="1:16" hidden="1" outlineLevel="3" x14ac:dyDescent="0.2">
      <c r="A93" s="54"/>
      <c r="B93" s="38" t="str">
        <f t="shared" si="53"/>
        <v>Страховые взносы прочие выплаты</v>
      </c>
      <c r="C93" s="49" t="str">
        <f t="shared" si="53"/>
        <v>Social Security on Remaining Other Compensation</v>
      </c>
      <c r="D93" s="41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0</v>
      </c>
      <c r="P93" s="40">
        <f t="shared" si="54"/>
        <v>0</v>
      </c>
    </row>
    <row r="94" spans="1:16" s="6" customFormat="1" hidden="1" outlineLevel="2" x14ac:dyDescent="0.2">
      <c r="A94" s="30"/>
      <c r="B94" s="29" t="str">
        <f t="shared" si="53"/>
        <v>Итого прочие выплаты</v>
      </c>
      <c r="C94" s="52" t="str">
        <f t="shared" si="53"/>
        <v>Total Remaining Other Compensation</v>
      </c>
      <c r="D94" s="27">
        <f t="shared" ref="D94:O94" si="61">SUM(D92:D93)</f>
        <v>-120000</v>
      </c>
      <c r="E94" s="26">
        <f t="shared" si="61"/>
        <v>-120000</v>
      </c>
      <c r="F94" s="26">
        <f t="shared" si="61"/>
        <v>-120000</v>
      </c>
      <c r="G94" s="26">
        <f t="shared" si="61"/>
        <v>-120000</v>
      </c>
      <c r="H94" s="26">
        <f t="shared" si="61"/>
        <v>-120000</v>
      </c>
      <c r="I94" s="26">
        <f t="shared" si="61"/>
        <v>-120000</v>
      </c>
      <c r="J94" s="26">
        <f t="shared" si="61"/>
        <v>-120000</v>
      </c>
      <c r="K94" s="26">
        <f t="shared" si="61"/>
        <v>-120000</v>
      </c>
      <c r="L94" s="26">
        <f t="shared" si="61"/>
        <v>0</v>
      </c>
      <c r="M94" s="26">
        <f t="shared" si="61"/>
        <v>0</v>
      </c>
      <c r="N94" s="26">
        <f t="shared" si="61"/>
        <v>0</v>
      </c>
      <c r="O94" s="26">
        <f t="shared" si="61"/>
        <v>0</v>
      </c>
      <c r="P94" s="26">
        <f t="shared" si="54"/>
        <v>-960000</v>
      </c>
    </row>
    <row r="95" spans="1:16" ht="12.75" hidden="1" customHeight="1" outlineLevel="3" x14ac:dyDescent="0.2">
      <c r="A95" s="54"/>
      <c r="B95" s="38" t="str">
        <f t="shared" si="53"/>
        <v>Премия разовая</v>
      </c>
      <c r="C95" s="49" t="str">
        <f t="shared" si="53"/>
        <v>Sign-ons - cash</v>
      </c>
      <c r="D95" s="41">
        <v>19000000</v>
      </c>
      <c r="E95" s="40">
        <v>19000000</v>
      </c>
      <c r="F95" s="40">
        <v>19000000</v>
      </c>
      <c r="G95" s="40">
        <v>19000000</v>
      </c>
      <c r="H95" s="40">
        <v>19000000</v>
      </c>
      <c r="I95" s="40">
        <v>19000000</v>
      </c>
      <c r="J95" s="40">
        <v>19000000</v>
      </c>
      <c r="K95" s="40">
        <v>19000000</v>
      </c>
      <c r="L95" s="40">
        <v>0</v>
      </c>
      <c r="M95" s="40">
        <v>0</v>
      </c>
      <c r="N95" s="40">
        <v>0</v>
      </c>
      <c r="O95" s="40">
        <v>0</v>
      </c>
      <c r="P95" s="40">
        <f t="shared" si="54"/>
        <v>152000000</v>
      </c>
    </row>
    <row r="96" spans="1:16" ht="12.75" hidden="1" customHeight="1" outlineLevel="3" x14ac:dyDescent="0.2">
      <c r="A96" s="54"/>
      <c r="B96" s="38" t="str">
        <f t="shared" ref="B96:C115" si="62">B33</f>
        <v>Страховые взносы премия разовая</v>
      </c>
      <c r="C96" s="49" t="str">
        <f t="shared" si="62"/>
        <v>Social Security on Sign-ons - cash</v>
      </c>
      <c r="D96" s="41">
        <v>3328677</v>
      </c>
      <c r="E96" s="40">
        <v>3328677</v>
      </c>
      <c r="F96" s="40">
        <v>3328677</v>
      </c>
      <c r="G96" s="40">
        <v>3328677</v>
      </c>
      <c r="H96" s="40">
        <v>3328677</v>
      </c>
      <c r="I96" s="40">
        <v>3328677</v>
      </c>
      <c r="J96" s="40">
        <v>3328677</v>
      </c>
      <c r="K96" s="40">
        <v>3328677</v>
      </c>
      <c r="L96" s="40">
        <v>0</v>
      </c>
      <c r="M96" s="40">
        <v>0</v>
      </c>
      <c r="N96" s="40">
        <v>0</v>
      </c>
      <c r="O96" s="40">
        <v>0</v>
      </c>
      <c r="P96" s="40">
        <f t="shared" si="54"/>
        <v>26629416</v>
      </c>
    </row>
    <row r="97" spans="1:16" s="6" customFormat="1" hidden="1" outlineLevel="2" x14ac:dyDescent="0.2">
      <c r="A97" s="30"/>
      <c r="B97" s="29" t="str">
        <f t="shared" si="62"/>
        <v>Итого премия разовая</v>
      </c>
      <c r="C97" s="52" t="str">
        <f t="shared" si="62"/>
        <v>Total Sign-ons - cash</v>
      </c>
      <c r="D97" s="27">
        <f t="shared" ref="D97:O97" si="63">SUM(D95:D96)</f>
        <v>22328677</v>
      </c>
      <c r="E97" s="26">
        <f t="shared" si="63"/>
        <v>22328677</v>
      </c>
      <c r="F97" s="26">
        <f t="shared" si="63"/>
        <v>22328677</v>
      </c>
      <c r="G97" s="26">
        <f t="shared" si="63"/>
        <v>22328677</v>
      </c>
      <c r="H97" s="26">
        <f t="shared" si="63"/>
        <v>22328677</v>
      </c>
      <c r="I97" s="26">
        <f t="shared" si="63"/>
        <v>22328677</v>
      </c>
      <c r="J97" s="26">
        <f t="shared" si="63"/>
        <v>22328677</v>
      </c>
      <c r="K97" s="26">
        <f t="shared" si="63"/>
        <v>22328677</v>
      </c>
      <c r="L97" s="26">
        <f t="shared" si="63"/>
        <v>0</v>
      </c>
      <c r="M97" s="26">
        <f t="shared" si="63"/>
        <v>0</v>
      </c>
      <c r="N97" s="26">
        <f t="shared" si="63"/>
        <v>0</v>
      </c>
      <c r="O97" s="26">
        <f t="shared" si="63"/>
        <v>0</v>
      </c>
      <c r="P97" s="26">
        <f t="shared" si="54"/>
        <v>178629416</v>
      </c>
    </row>
    <row r="98" spans="1:16" ht="12.75" hidden="1" customHeight="1" outlineLevel="3" x14ac:dyDescent="0.2">
      <c r="A98" s="54"/>
      <c r="B98" s="38" t="str">
        <f t="shared" si="62"/>
        <v>Выплаты при увольнении</v>
      </c>
      <c r="C98" s="49" t="str">
        <f t="shared" si="62"/>
        <v>Direct severance payments - cash</v>
      </c>
      <c r="D98" s="41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40">
        <f t="shared" si="54"/>
        <v>0</v>
      </c>
    </row>
    <row r="99" spans="1:16" ht="12.75" hidden="1" customHeight="1" outlineLevel="3" x14ac:dyDescent="0.2">
      <c r="A99" s="54"/>
      <c r="B99" s="38" t="str">
        <f t="shared" si="62"/>
        <v>Страховые взносы выплаты при увольнении</v>
      </c>
      <c r="C99" s="49" t="str">
        <f t="shared" si="62"/>
        <v>Social Security on Severance</v>
      </c>
      <c r="D99" s="41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0</v>
      </c>
      <c r="P99" s="40">
        <f t="shared" si="54"/>
        <v>0</v>
      </c>
    </row>
    <row r="100" spans="1:16" s="6" customFormat="1" hidden="1" outlineLevel="2" x14ac:dyDescent="0.2">
      <c r="A100" s="30"/>
      <c r="B100" s="29" t="str">
        <f t="shared" si="62"/>
        <v>Итого выплаты при увольнении</v>
      </c>
      <c r="C100" s="52" t="str">
        <f t="shared" si="62"/>
        <v>Total Direct severance payments - cash</v>
      </c>
      <c r="D100" s="27">
        <f t="shared" ref="D100:O100" si="64">SUM(D98:D99)</f>
        <v>0</v>
      </c>
      <c r="E100" s="26">
        <f t="shared" si="64"/>
        <v>0</v>
      </c>
      <c r="F100" s="26">
        <f t="shared" si="64"/>
        <v>0</v>
      </c>
      <c r="G100" s="26">
        <f t="shared" si="64"/>
        <v>0</v>
      </c>
      <c r="H100" s="26">
        <f t="shared" si="64"/>
        <v>0</v>
      </c>
      <c r="I100" s="26">
        <f t="shared" si="64"/>
        <v>0</v>
      </c>
      <c r="J100" s="26">
        <f t="shared" si="64"/>
        <v>0</v>
      </c>
      <c r="K100" s="26">
        <f t="shared" si="64"/>
        <v>0</v>
      </c>
      <c r="L100" s="26">
        <f t="shared" si="64"/>
        <v>0</v>
      </c>
      <c r="M100" s="26">
        <f t="shared" si="64"/>
        <v>0</v>
      </c>
      <c r="N100" s="26">
        <f t="shared" si="64"/>
        <v>0</v>
      </c>
      <c r="O100" s="26">
        <f t="shared" si="64"/>
        <v>0</v>
      </c>
      <c r="P100" s="26">
        <f t="shared" si="54"/>
        <v>0</v>
      </c>
    </row>
    <row r="101" spans="1:16" ht="12.75" hidden="1" customHeight="1" outlineLevel="3" x14ac:dyDescent="0.2">
      <c r="B101" s="38" t="str">
        <f t="shared" si="62"/>
        <v>Отложенное вознаграждение</v>
      </c>
      <c r="C101" s="49" t="str">
        <f t="shared" si="62"/>
        <v>Deferred Compensation</v>
      </c>
      <c r="D101" s="41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f t="shared" si="54"/>
        <v>0</v>
      </c>
    </row>
    <row r="102" spans="1:16" ht="12.75" hidden="1" customHeight="1" outlineLevel="3" x14ac:dyDescent="0.2">
      <c r="B102" s="38" t="str">
        <f t="shared" si="62"/>
        <v>Страховые взносы отложенное вознаграждение</v>
      </c>
      <c r="C102" s="49" t="str">
        <f t="shared" si="62"/>
        <v>Social Security on Deferrals</v>
      </c>
      <c r="D102" s="41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0</v>
      </c>
      <c r="P102" s="40">
        <f t="shared" si="54"/>
        <v>0</v>
      </c>
    </row>
    <row r="103" spans="1:16" s="6" customFormat="1" hidden="1" outlineLevel="2" x14ac:dyDescent="0.2">
      <c r="B103" s="29" t="str">
        <f t="shared" si="62"/>
        <v>Итого отложенное вознаграждение</v>
      </c>
      <c r="C103" s="52" t="str">
        <f t="shared" si="62"/>
        <v>Deferred Compensation</v>
      </c>
      <c r="D103" s="27">
        <f t="shared" ref="D103:O103" si="65">SUM(D101:D102)</f>
        <v>0</v>
      </c>
      <c r="E103" s="26">
        <f t="shared" si="65"/>
        <v>0</v>
      </c>
      <c r="F103" s="26">
        <f t="shared" si="65"/>
        <v>0</v>
      </c>
      <c r="G103" s="26">
        <f t="shared" si="65"/>
        <v>0</v>
      </c>
      <c r="H103" s="26">
        <f t="shared" si="65"/>
        <v>0</v>
      </c>
      <c r="I103" s="26">
        <f t="shared" si="65"/>
        <v>0</v>
      </c>
      <c r="J103" s="26">
        <f t="shared" si="65"/>
        <v>0</v>
      </c>
      <c r="K103" s="26">
        <f t="shared" si="65"/>
        <v>0</v>
      </c>
      <c r="L103" s="26">
        <f t="shared" si="65"/>
        <v>0</v>
      </c>
      <c r="M103" s="26">
        <f t="shared" si="65"/>
        <v>0</v>
      </c>
      <c r="N103" s="26">
        <f t="shared" si="65"/>
        <v>0</v>
      </c>
      <c r="O103" s="26">
        <f t="shared" si="65"/>
        <v>0</v>
      </c>
      <c r="P103" s="26">
        <f t="shared" si="54"/>
        <v>0</v>
      </c>
    </row>
    <row r="104" spans="1:16" s="6" customFormat="1" outlineLevel="1" collapsed="1" x14ac:dyDescent="0.2">
      <c r="A104" s="30"/>
      <c r="B104" s="51" t="str">
        <f t="shared" si="62"/>
        <v>Прочие компенсационные выплаты</v>
      </c>
      <c r="C104" s="50" t="str">
        <f t="shared" si="62"/>
        <v>Other Compensations</v>
      </c>
      <c r="D104" s="46">
        <f t="shared" ref="D104:O104" si="66">D94+D97+D100+D103</f>
        <v>22208677</v>
      </c>
      <c r="E104" s="45">
        <f t="shared" si="66"/>
        <v>22208677</v>
      </c>
      <c r="F104" s="45">
        <f t="shared" si="66"/>
        <v>22208677</v>
      </c>
      <c r="G104" s="45">
        <f t="shared" si="66"/>
        <v>22208677</v>
      </c>
      <c r="H104" s="45">
        <f t="shared" si="66"/>
        <v>22208677</v>
      </c>
      <c r="I104" s="45">
        <f t="shared" si="66"/>
        <v>22208677</v>
      </c>
      <c r="J104" s="45">
        <f t="shared" si="66"/>
        <v>22208677</v>
      </c>
      <c r="K104" s="45">
        <f t="shared" si="66"/>
        <v>22208677</v>
      </c>
      <c r="L104" s="45">
        <f t="shared" si="66"/>
        <v>0</v>
      </c>
      <c r="M104" s="45">
        <f t="shared" si="66"/>
        <v>0</v>
      </c>
      <c r="N104" s="45">
        <f t="shared" si="66"/>
        <v>0</v>
      </c>
      <c r="O104" s="45">
        <f t="shared" si="66"/>
        <v>0</v>
      </c>
      <c r="P104" s="45">
        <f t="shared" si="54"/>
        <v>177669416</v>
      </c>
    </row>
    <row r="105" spans="1:16" ht="12.75" hidden="1" customHeight="1" outlineLevel="3" x14ac:dyDescent="0.2">
      <c r="B105" s="38" t="str">
        <f t="shared" si="62"/>
        <v>Резерв квартальной премии</v>
      </c>
      <c r="C105" s="49" t="str">
        <f t="shared" si="62"/>
        <v>Accruals for Quarterly bonus</v>
      </c>
      <c r="D105" s="41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f t="shared" si="54"/>
        <v>0</v>
      </c>
    </row>
    <row r="106" spans="1:16" ht="12.75" hidden="1" customHeight="1" outlineLevel="3" x14ac:dyDescent="0.2">
      <c r="B106" s="38" t="str">
        <f t="shared" si="62"/>
        <v>Страховые взносы резерв квартальной премии</v>
      </c>
      <c r="C106" s="49" t="str">
        <f t="shared" si="62"/>
        <v>Social Security on Accruals for Quarterly bonus</v>
      </c>
      <c r="D106" s="41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0</v>
      </c>
      <c r="P106" s="40">
        <f t="shared" si="54"/>
        <v>0</v>
      </c>
    </row>
    <row r="107" spans="1:16" s="6" customFormat="1" hidden="1" outlineLevel="2" x14ac:dyDescent="0.2">
      <c r="A107" s="30"/>
      <c r="B107" s="29" t="str">
        <f t="shared" si="62"/>
        <v>Итого резерв квартальной премии</v>
      </c>
      <c r="C107" s="42" t="str">
        <f t="shared" si="62"/>
        <v>Total Accruals for Quarterly bonus</v>
      </c>
      <c r="D107" s="27">
        <f t="shared" ref="D107:O107" si="67">SUM(D105:D106)</f>
        <v>0</v>
      </c>
      <c r="E107" s="26">
        <f t="shared" si="67"/>
        <v>0</v>
      </c>
      <c r="F107" s="26">
        <f t="shared" si="67"/>
        <v>0</v>
      </c>
      <c r="G107" s="26">
        <f t="shared" si="67"/>
        <v>0</v>
      </c>
      <c r="H107" s="26">
        <f t="shared" si="67"/>
        <v>0</v>
      </c>
      <c r="I107" s="26">
        <f t="shared" si="67"/>
        <v>0</v>
      </c>
      <c r="J107" s="26">
        <f t="shared" si="67"/>
        <v>0</v>
      </c>
      <c r="K107" s="26">
        <f t="shared" si="67"/>
        <v>0</v>
      </c>
      <c r="L107" s="26">
        <f t="shared" si="67"/>
        <v>0</v>
      </c>
      <c r="M107" s="26">
        <f t="shared" si="67"/>
        <v>0</v>
      </c>
      <c r="N107" s="26">
        <f t="shared" si="67"/>
        <v>0</v>
      </c>
      <c r="O107" s="26">
        <f t="shared" si="67"/>
        <v>0</v>
      </c>
      <c r="P107" s="26">
        <f t="shared" si="54"/>
        <v>0</v>
      </c>
    </row>
    <row r="108" spans="1:16" ht="12.75" hidden="1" customHeight="1" outlineLevel="3" x14ac:dyDescent="0.2">
      <c r="B108" s="38" t="str">
        <f t="shared" si="62"/>
        <v>Сторно резерва квартальной премии</v>
      </c>
      <c r="C108" s="37" t="str">
        <f t="shared" si="62"/>
        <v>Reverse Accruals for Quarterly bonus</v>
      </c>
      <c r="D108" s="41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f t="shared" si="54"/>
        <v>0</v>
      </c>
    </row>
    <row r="109" spans="1:16" ht="12.75" hidden="1" customHeight="1" outlineLevel="3" x14ac:dyDescent="0.2">
      <c r="B109" s="38" t="str">
        <f t="shared" si="62"/>
        <v>Страховые взносы, сторно резерва квартальной премии</v>
      </c>
      <c r="C109" s="37" t="str">
        <f t="shared" si="62"/>
        <v>Social Security on Reverse Accruals for Quarterly bonus</v>
      </c>
      <c r="D109" s="41">
        <v>0</v>
      </c>
      <c r="E109" s="40">
        <v>0</v>
      </c>
      <c r="F109" s="40">
        <v>0</v>
      </c>
      <c r="G109" s="40">
        <v>0</v>
      </c>
      <c r="H109" s="40">
        <v>0</v>
      </c>
      <c r="I109" s="40">
        <v>0</v>
      </c>
      <c r="J109" s="40">
        <v>0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f t="shared" si="54"/>
        <v>0</v>
      </c>
    </row>
    <row r="110" spans="1:16" s="6" customFormat="1" hidden="1" outlineLevel="2" x14ac:dyDescent="0.2">
      <c r="A110" s="30"/>
      <c r="B110" s="29" t="str">
        <f t="shared" si="62"/>
        <v>Итого сторно резерва квартальной премии</v>
      </c>
      <c r="C110" s="42" t="str">
        <f t="shared" si="62"/>
        <v>Total Reverse Accruals for Quarterly bonus</v>
      </c>
      <c r="D110" s="27">
        <f t="shared" ref="D110:O110" si="68">SUM(D108:D109)</f>
        <v>0</v>
      </c>
      <c r="E110" s="26">
        <f t="shared" si="68"/>
        <v>0</v>
      </c>
      <c r="F110" s="26">
        <f t="shared" si="68"/>
        <v>0</v>
      </c>
      <c r="G110" s="26">
        <f t="shared" si="68"/>
        <v>0</v>
      </c>
      <c r="H110" s="26">
        <f t="shared" si="68"/>
        <v>0</v>
      </c>
      <c r="I110" s="26">
        <f t="shared" si="68"/>
        <v>0</v>
      </c>
      <c r="J110" s="26">
        <f t="shared" si="68"/>
        <v>0</v>
      </c>
      <c r="K110" s="26">
        <f t="shared" si="68"/>
        <v>0</v>
      </c>
      <c r="L110" s="26">
        <f t="shared" si="68"/>
        <v>0</v>
      </c>
      <c r="M110" s="26">
        <f t="shared" si="68"/>
        <v>0</v>
      </c>
      <c r="N110" s="26">
        <f t="shared" si="68"/>
        <v>0</v>
      </c>
      <c r="O110" s="26">
        <f t="shared" si="68"/>
        <v>0</v>
      </c>
      <c r="P110" s="26">
        <f t="shared" si="54"/>
        <v>0</v>
      </c>
    </row>
    <row r="111" spans="1:16" ht="12.75" hidden="1" customHeight="1" outlineLevel="3" x14ac:dyDescent="0.2">
      <c r="B111" s="38" t="str">
        <f t="shared" si="62"/>
        <v>Квартальная премия, выплата</v>
      </c>
      <c r="C111" s="37" t="str">
        <f t="shared" si="62"/>
        <v>Quarterly bonus cash</v>
      </c>
      <c r="D111" s="41">
        <v>10571699.000000002</v>
      </c>
      <c r="E111" s="40">
        <v>10571699.000000002</v>
      </c>
      <c r="F111" s="40">
        <v>10571699.000000002</v>
      </c>
      <c r="G111" s="40">
        <v>10571699.000000002</v>
      </c>
      <c r="H111" s="40">
        <v>10571699.000000002</v>
      </c>
      <c r="I111" s="40">
        <v>10571699.000000002</v>
      </c>
      <c r="J111" s="40">
        <v>10571699.000000002</v>
      </c>
      <c r="K111" s="40">
        <v>10571699.000000002</v>
      </c>
      <c r="L111" s="40">
        <v>0</v>
      </c>
      <c r="M111" s="40">
        <v>0</v>
      </c>
      <c r="N111" s="40">
        <v>0</v>
      </c>
      <c r="O111" s="40">
        <v>0</v>
      </c>
      <c r="P111" s="40">
        <f t="shared" si="54"/>
        <v>84573592.000000015</v>
      </c>
    </row>
    <row r="112" spans="1:16" ht="12.75" hidden="1" customHeight="1" outlineLevel="3" x14ac:dyDescent="0.2">
      <c r="B112" s="38" t="str">
        <f t="shared" si="62"/>
        <v>Страховые взносы, квартальная премия выплата</v>
      </c>
      <c r="C112" s="37" t="str">
        <f t="shared" si="62"/>
        <v>Social Security on quarterly cash</v>
      </c>
      <c r="D112" s="36">
        <v>268624.99999999907</v>
      </c>
      <c r="E112" s="35">
        <v>268624.99999999907</v>
      </c>
      <c r="F112" s="35">
        <v>268624.99999999907</v>
      </c>
      <c r="G112" s="35">
        <v>268624.99999999907</v>
      </c>
      <c r="H112" s="35">
        <v>268624.99999999907</v>
      </c>
      <c r="I112" s="35">
        <v>268624.99999999907</v>
      </c>
      <c r="J112" s="35">
        <v>268624.99999999907</v>
      </c>
      <c r="K112" s="35">
        <v>268624.99999999907</v>
      </c>
      <c r="L112" s="35">
        <v>0</v>
      </c>
      <c r="M112" s="35">
        <v>0</v>
      </c>
      <c r="N112" s="35">
        <v>0</v>
      </c>
      <c r="O112" s="35">
        <v>0</v>
      </c>
      <c r="P112" s="35">
        <f t="shared" si="54"/>
        <v>2148999.9999999925</v>
      </c>
    </row>
    <row r="113" spans="1:16" s="6" customFormat="1" hidden="1" outlineLevel="2" x14ac:dyDescent="0.2">
      <c r="A113" s="30"/>
      <c r="B113" s="29" t="str">
        <f t="shared" si="62"/>
        <v>Итого квртальная премия, выплата</v>
      </c>
      <c r="C113" s="42" t="str">
        <f t="shared" si="62"/>
        <v>Total Quarterly bonus cash</v>
      </c>
      <c r="D113" s="27">
        <f t="shared" ref="D113:O113" si="69">SUM(D111:D112)</f>
        <v>10840324</v>
      </c>
      <c r="E113" s="26">
        <f t="shared" si="69"/>
        <v>10840324</v>
      </c>
      <c r="F113" s="26">
        <f t="shared" si="69"/>
        <v>10840324</v>
      </c>
      <c r="G113" s="26">
        <f t="shared" si="69"/>
        <v>10840324</v>
      </c>
      <c r="H113" s="26">
        <f t="shared" si="69"/>
        <v>10840324</v>
      </c>
      <c r="I113" s="26">
        <f t="shared" si="69"/>
        <v>10840324</v>
      </c>
      <c r="J113" s="26">
        <f t="shared" si="69"/>
        <v>10840324</v>
      </c>
      <c r="K113" s="26">
        <f t="shared" si="69"/>
        <v>10840324</v>
      </c>
      <c r="L113" s="26">
        <f t="shared" si="69"/>
        <v>0</v>
      </c>
      <c r="M113" s="26">
        <f t="shared" si="69"/>
        <v>0</v>
      </c>
      <c r="N113" s="26">
        <f t="shared" si="69"/>
        <v>0</v>
      </c>
      <c r="O113" s="26">
        <f t="shared" si="69"/>
        <v>0</v>
      </c>
      <c r="P113" s="26">
        <f t="shared" si="54"/>
        <v>86722592</v>
      </c>
    </row>
    <row r="114" spans="1:16" s="6" customFormat="1" outlineLevel="1" collapsed="1" x14ac:dyDescent="0.2">
      <c r="A114" s="30"/>
      <c r="B114" s="48" t="str">
        <f t="shared" si="62"/>
        <v>Квартальная премия</v>
      </c>
      <c r="C114" s="47" t="str">
        <f t="shared" si="62"/>
        <v>Quarterly bonus</v>
      </c>
      <c r="D114" s="46">
        <f t="shared" ref="D114:O114" si="70">D113+D110+D107</f>
        <v>10840324</v>
      </c>
      <c r="E114" s="45">
        <f t="shared" si="70"/>
        <v>10840324</v>
      </c>
      <c r="F114" s="45">
        <f t="shared" si="70"/>
        <v>10840324</v>
      </c>
      <c r="G114" s="45">
        <f t="shared" si="70"/>
        <v>10840324</v>
      </c>
      <c r="H114" s="45">
        <f t="shared" si="70"/>
        <v>10840324</v>
      </c>
      <c r="I114" s="45">
        <f t="shared" si="70"/>
        <v>10840324</v>
      </c>
      <c r="J114" s="45">
        <f t="shared" si="70"/>
        <v>10840324</v>
      </c>
      <c r="K114" s="45">
        <f t="shared" si="70"/>
        <v>10840324</v>
      </c>
      <c r="L114" s="45">
        <f t="shared" si="70"/>
        <v>0</v>
      </c>
      <c r="M114" s="45">
        <f t="shared" si="70"/>
        <v>0</v>
      </c>
      <c r="N114" s="45">
        <f t="shared" si="70"/>
        <v>0</v>
      </c>
      <c r="O114" s="45">
        <f t="shared" si="70"/>
        <v>0</v>
      </c>
      <c r="P114" s="45">
        <f t="shared" si="54"/>
        <v>86722592</v>
      </c>
    </row>
    <row r="115" spans="1:16" s="6" customFormat="1" x14ac:dyDescent="0.2">
      <c r="B115" s="21" t="str">
        <f t="shared" si="62"/>
        <v>ФОТ до бонуса</v>
      </c>
      <c r="C115" s="20" t="str">
        <f t="shared" si="62"/>
        <v>FIX compensation before Bonus</v>
      </c>
      <c r="D115" s="19">
        <f t="shared" ref="D115:O115" si="71">D114+D104+D91+D88</f>
        <v>252295147.18000001</v>
      </c>
      <c r="E115" s="18">
        <f t="shared" si="71"/>
        <v>252295147.18000001</v>
      </c>
      <c r="F115" s="18">
        <f t="shared" si="71"/>
        <v>252295147.18000001</v>
      </c>
      <c r="G115" s="18">
        <f t="shared" si="71"/>
        <v>252295147.18000001</v>
      </c>
      <c r="H115" s="18">
        <f t="shared" si="71"/>
        <v>252295147.18000001</v>
      </c>
      <c r="I115" s="18">
        <f t="shared" si="71"/>
        <v>252295147.18000001</v>
      </c>
      <c r="J115" s="18">
        <f t="shared" si="71"/>
        <v>252295147.18000001</v>
      </c>
      <c r="K115" s="18">
        <f t="shared" si="71"/>
        <v>252295147.18000001</v>
      </c>
      <c r="L115" s="18">
        <f t="shared" si="71"/>
        <v>0</v>
      </c>
      <c r="M115" s="18">
        <f t="shared" si="71"/>
        <v>0</v>
      </c>
      <c r="N115" s="18">
        <f t="shared" si="71"/>
        <v>0</v>
      </c>
      <c r="O115" s="18">
        <f t="shared" si="71"/>
        <v>0</v>
      </c>
      <c r="P115" s="18">
        <f t="shared" si="54"/>
        <v>2018361177.4400003</v>
      </c>
    </row>
    <row r="116" spans="1:16" ht="12.75" hidden="1" customHeight="1" outlineLevel="3" x14ac:dyDescent="0.2">
      <c r="B116" s="38" t="str">
        <f t="shared" ref="B116:C130" si="72">B53</f>
        <v>Резерв бонуса прошлых лет</v>
      </c>
      <c r="C116" s="37" t="str">
        <f t="shared" si="72"/>
        <v>Under-/overaccruals - cash</v>
      </c>
      <c r="D116" s="36">
        <v>0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40">
        <f t="shared" si="54"/>
        <v>0</v>
      </c>
    </row>
    <row r="117" spans="1:16" ht="12.75" hidden="1" customHeight="1" outlineLevel="3" x14ac:dyDescent="0.2">
      <c r="B117" s="38" t="str">
        <f t="shared" si="72"/>
        <v>Страховые взносы, резерв бонуса прошлых лет</v>
      </c>
      <c r="C117" s="37" t="str">
        <f t="shared" si="72"/>
        <v>Under-/overaccruals - contribution to social secur</v>
      </c>
      <c r="D117" s="36">
        <v>0</v>
      </c>
      <c r="E117" s="40">
        <v>0</v>
      </c>
      <c r="F117" s="40">
        <v>0</v>
      </c>
      <c r="G117" s="40">
        <v>0</v>
      </c>
      <c r="H117" s="40">
        <v>0</v>
      </c>
      <c r="I117" s="40">
        <v>0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0">
        <f t="shared" si="54"/>
        <v>0</v>
      </c>
    </row>
    <row r="118" spans="1:16" s="6" customFormat="1" ht="14.45" customHeight="1" outlineLevel="1" collapsed="1" x14ac:dyDescent="0.2">
      <c r="A118" s="30"/>
      <c r="B118" s="48" t="str">
        <f t="shared" si="72"/>
        <v>Итого Резерв бонуса прошлых лет</v>
      </c>
      <c r="C118" s="47" t="str">
        <f t="shared" si="72"/>
        <v>Total Under-/overaccruals - cash</v>
      </c>
      <c r="D118" s="46">
        <f t="shared" ref="D118:O118" si="73">SUM(D116:D117)</f>
        <v>0</v>
      </c>
      <c r="E118" s="45">
        <f t="shared" si="73"/>
        <v>0</v>
      </c>
      <c r="F118" s="45">
        <f t="shared" si="73"/>
        <v>0</v>
      </c>
      <c r="G118" s="45">
        <f t="shared" si="73"/>
        <v>0</v>
      </c>
      <c r="H118" s="45">
        <f t="shared" si="73"/>
        <v>0</v>
      </c>
      <c r="I118" s="45">
        <f t="shared" si="73"/>
        <v>0</v>
      </c>
      <c r="J118" s="45">
        <f t="shared" si="73"/>
        <v>0</v>
      </c>
      <c r="K118" s="45">
        <f t="shared" si="73"/>
        <v>0</v>
      </c>
      <c r="L118" s="45">
        <f t="shared" si="73"/>
        <v>0</v>
      </c>
      <c r="M118" s="45">
        <f t="shared" si="73"/>
        <v>0</v>
      </c>
      <c r="N118" s="45">
        <f t="shared" si="73"/>
        <v>0</v>
      </c>
      <c r="O118" s="45">
        <f t="shared" si="73"/>
        <v>0</v>
      </c>
      <c r="P118" s="45">
        <f t="shared" si="54"/>
        <v>0</v>
      </c>
    </row>
    <row r="119" spans="1:16" s="6" customFormat="1" x14ac:dyDescent="0.2">
      <c r="B119" s="21" t="str">
        <f t="shared" si="72"/>
        <v>Резерв бонуса прошлых лет</v>
      </c>
      <c r="C119" s="20" t="str">
        <f t="shared" si="72"/>
        <v>Under-/overaccruals - cash</v>
      </c>
      <c r="D119" s="19">
        <f t="shared" ref="D119:O119" si="74">D118</f>
        <v>0</v>
      </c>
      <c r="E119" s="18">
        <f t="shared" si="74"/>
        <v>0</v>
      </c>
      <c r="F119" s="18">
        <f t="shared" si="74"/>
        <v>0</v>
      </c>
      <c r="G119" s="18">
        <f t="shared" si="74"/>
        <v>0</v>
      </c>
      <c r="H119" s="18">
        <f t="shared" si="74"/>
        <v>0</v>
      </c>
      <c r="I119" s="18">
        <f t="shared" si="74"/>
        <v>0</v>
      </c>
      <c r="J119" s="18">
        <f t="shared" si="74"/>
        <v>0</v>
      </c>
      <c r="K119" s="18">
        <f t="shared" si="74"/>
        <v>0</v>
      </c>
      <c r="L119" s="18">
        <f t="shared" si="74"/>
        <v>0</v>
      </c>
      <c r="M119" s="18">
        <f t="shared" si="74"/>
        <v>0</v>
      </c>
      <c r="N119" s="18">
        <f t="shared" si="74"/>
        <v>0</v>
      </c>
      <c r="O119" s="18">
        <f t="shared" si="74"/>
        <v>0</v>
      </c>
      <c r="P119" s="18">
        <f t="shared" si="54"/>
        <v>0</v>
      </c>
    </row>
    <row r="120" spans="1:16" ht="12.75" hidden="1" customHeight="1" outlineLevel="3" x14ac:dyDescent="0.2">
      <c r="B120" s="38" t="str">
        <f t="shared" si="72"/>
        <v>Резерв годового бонуса</v>
      </c>
      <c r="C120" s="37" t="str">
        <f t="shared" si="72"/>
        <v>Bonus discretionary Accrual</v>
      </c>
      <c r="D120" s="36"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0">
        <f t="shared" si="54"/>
        <v>0</v>
      </c>
    </row>
    <row r="121" spans="1:16" ht="12.75" hidden="1" customHeight="1" outlineLevel="3" x14ac:dyDescent="0.2">
      <c r="B121" s="38" t="str">
        <f t="shared" si="72"/>
        <v>Страховые взносы, резерв годового бонуса</v>
      </c>
      <c r="C121" s="37" t="str">
        <f t="shared" si="72"/>
        <v>Social Security on discretionary Bonus Accrual</v>
      </c>
      <c r="D121" s="41">
        <v>0</v>
      </c>
      <c r="E121" s="40">
        <v>0</v>
      </c>
      <c r="F121" s="40">
        <v>0</v>
      </c>
      <c r="G121" s="40">
        <v>0</v>
      </c>
      <c r="H121" s="40">
        <v>0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  <c r="P121" s="40">
        <f t="shared" si="54"/>
        <v>0</v>
      </c>
    </row>
    <row r="122" spans="1:16" s="6" customFormat="1" hidden="1" outlineLevel="2" x14ac:dyDescent="0.2">
      <c r="A122" s="30"/>
      <c r="B122" s="29" t="str">
        <f t="shared" si="72"/>
        <v>Итого резерв годового бонуса</v>
      </c>
      <c r="C122" s="42" t="str">
        <f t="shared" si="72"/>
        <v>Total Bonus discretionary Accrual</v>
      </c>
      <c r="D122" s="27">
        <f t="shared" ref="D122:O122" si="75">SUM(D120:D121)</f>
        <v>0</v>
      </c>
      <c r="E122" s="26">
        <f t="shared" si="75"/>
        <v>0</v>
      </c>
      <c r="F122" s="26">
        <f t="shared" si="75"/>
        <v>0</v>
      </c>
      <c r="G122" s="26">
        <f t="shared" si="75"/>
        <v>0</v>
      </c>
      <c r="H122" s="26">
        <f t="shared" si="75"/>
        <v>0</v>
      </c>
      <c r="I122" s="26">
        <f t="shared" si="75"/>
        <v>0</v>
      </c>
      <c r="J122" s="26">
        <f t="shared" si="75"/>
        <v>0</v>
      </c>
      <c r="K122" s="26">
        <f t="shared" si="75"/>
        <v>0</v>
      </c>
      <c r="L122" s="26">
        <f t="shared" si="75"/>
        <v>0</v>
      </c>
      <c r="M122" s="26">
        <f t="shared" si="75"/>
        <v>0</v>
      </c>
      <c r="N122" s="26">
        <f t="shared" si="75"/>
        <v>0</v>
      </c>
      <c r="O122" s="26">
        <f t="shared" si="75"/>
        <v>0</v>
      </c>
      <c r="P122" s="26">
        <f t="shared" si="54"/>
        <v>0</v>
      </c>
    </row>
    <row r="123" spans="1:16" ht="12.75" hidden="1" customHeight="1" outlineLevel="3" x14ac:dyDescent="0.2">
      <c r="B123" s="38" t="str">
        <f t="shared" si="72"/>
        <v>Сторно резерва годового бонуса бонуса</v>
      </c>
      <c r="C123" s="37" t="str">
        <f t="shared" si="72"/>
        <v>Reverse Bonus discretionary Accrual</v>
      </c>
      <c r="D123" s="41">
        <v>0</v>
      </c>
      <c r="E123" s="40">
        <v>0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40">
        <f t="shared" si="54"/>
        <v>0</v>
      </c>
    </row>
    <row r="124" spans="1:16" ht="12.75" hidden="1" customHeight="1" outlineLevel="3" x14ac:dyDescent="0.2">
      <c r="B124" s="38" t="str">
        <f t="shared" si="72"/>
        <v>Страховые взносы, сторно резерва годового бонуса</v>
      </c>
      <c r="C124" s="37" t="str">
        <f t="shared" si="72"/>
        <v>Social Security on Bonus discretionary Accrual</v>
      </c>
      <c r="D124" s="41">
        <v>0</v>
      </c>
      <c r="E124" s="40">
        <v>0</v>
      </c>
      <c r="F124" s="40">
        <v>0</v>
      </c>
      <c r="G124" s="40">
        <v>0</v>
      </c>
      <c r="H124" s="40">
        <v>0</v>
      </c>
      <c r="I124" s="40">
        <v>0</v>
      </c>
      <c r="J124" s="40">
        <v>0</v>
      </c>
      <c r="K124" s="40">
        <v>0</v>
      </c>
      <c r="L124" s="40">
        <v>0</v>
      </c>
      <c r="M124" s="40">
        <v>0</v>
      </c>
      <c r="N124" s="40">
        <v>0</v>
      </c>
      <c r="O124" s="40">
        <v>0</v>
      </c>
      <c r="P124" s="40">
        <f t="shared" si="54"/>
        <v>0</v>
      </c>
    </row>
    <row r="125" spans="1:16" s="6" customFormat="1" hidden="1" outlineLevel="2" x14ac:dyDescent="0.2">
      <c r="A125" s="30"/>
      <c r="B125" s="29" t="str">
        <f t="shared" si="72"/>
        <v>Итого сторно резерва годового бонуса</v>
      </c>
      <c r="C125" s="42" t="str">
        <f t="shared" si="72"/>
        <v>Total  Reverse Bonus discretionary Accrual</v>
      </c>
      <c r="D125" s="27">
        <f t="shared" ref="D125:O125" si="76">SUM(D123:D124)</f>
        <v>0</v>
      </c>
      <c r="E125" s="26">
        <f t="shared" si="76"/>
        <v>0</v>
      </c>
      <c r="F125" s="26">
        <f t="shared" si="76"/>
        <v>0</v>
      </c>
      <c r="G125" s="26">
        <f t="shared" si="76"/>
        <v>0</v>
      </c>
      <c r="H125" s="26">
        <f t="shared" si="76"/>
        <v>0</v>
      </c>
      <c r="I125" s="26">
        <f t="shared" si="76"/>
        <v>0</v>
      </c>
      <c r="J125" s="26">
        <f t="shared" si="76"/>
        <v>0</v>
      </c>
      <c r="K125" s="26">
        <f t="shared" si="76"/>
        <v>0</v>
      </c>
      <c r="L125" s="26">
        <f t="shared" si="76"/>
        <v>0</v>
      </c>
      <c r="M125" s="26">
        <f t="shared" si="76"/>
        <v>0</v>
      </c>
      <c r="N125" s="26">
        <f t="shared" si="76"/>
        <v>0</v>
      </c>
      <c r="O125" s="26">
        <f t="shared" si="76"/>
        <v>0</v>
      </c>
      <c r="P125" s="26">
        <f t="shared" si="54"/>
        <v>0</v>
      </c>
    </row>
    <row r="126" spans="1:16" ht="12.75" hidden="1" customHeight="1" outlineLevel="3" x14ac:dyDescent="0.2">
      <c r="B126" s="38" t="str">
        <f t="shared" si="72"/>
        <v>Годовой бонус</v>
      </c>
      <c r="C126" s="37" t="str">
        <f t="shared" si="72"/>
        <v>Bonus discretionary cash</v>
      </c>
      <c r="D126" s="41">
        <v>-603093921</v>
      </c>
      <c r="E126" s="40">
        <f t="shared" ref="E126:K126" si="77">3528170167.46521*1/12</f>
        <v>294014180.62210083</v>
      </c>
      <c r="F126" s="40">
        <f t="shared" si="77"/>
        <v>294014180.62210083</v>
      </c>
      <c r="G126" s="40">
        <f t="shared" si="77"/>
        <v>294014180.62210083</v>
      </c>
      <c r="H126" s="40">
        <f t="shared" si="77"/>
        <v>294014180.62210083</v>
      </c>
      <c r="I126" s="40">
        <f t="shared" si="77"/>
        <v>294014180.62210083</v>
      </c>
      <c r="J126" s="40">
        <f t="shared" si="77"/>
        <v>294014180.62210083</v>
      </c>
      <c r="K126" s="40">
        <f t="shared" si="77"/>
        <v>294014180.62210083</v>
      </c>
      <c r="L126" s="40">
        <v>0</v>
      </c>
      <c r="M126" s="40">
        <v>0</v>
      </c>
      <c r="N126" s="40">
        <v>0</v>
      </c>
      <c r="O126" s="40">
        <v>0</v>
      </c>
      <c r="P126" s="40">
        <f t="shared" si="54"/>
        <v>1455005343.3547058</v>
      </c>
    </row>
    <row r="127" spans="1:16" ht="12.75" hidden="1" customHeight="1" outlineLevel="3" x14ac:dyDescent="0.2">
      <c r="B127" s="38" t="str">
        <f t="shared" si="72"/>
        <v>Страховые взносы, годовой бонус</v>
      </c>
      <c r="C127" s="37" t="str">
        <f t="shared" si="72"/>
        <v>Social Security on discretionary Bonus cash</v>
      </c>
      <c r="D127" s="36">
        <v>-39499641</v>
      </c>
      <c r="E127" s="35">
        <f t="shared" ref="E127:K127" si="78">652711480.981065*1/12</f>
        <v>54392623.41508875</v>
      </c>
      <c r="F127" s="35">
        <f t="shared" si="78"/>
        <v>54392623.41508875</v>
      </c>
      <c r="G127" s="35">
        <f t="shared" si="78"/>
        <v>54392623.41508875</v>
      </c>
      <c r="H127" s="35">
        <f t="shared" si="78"/>
        <v>54392623.41508875</v>
      </c>
      <c r="I127" s="35">
        <f t="shared" si="78"/>
        <v>54392623.41508875</v>
      </c>
      <c r="J127" s="35">
        <f t="shared" si="78"/>
        <v>54392623.41508875</v>
      </c>
      <c r="K127" s="35">
        <f t="shared" si="78"/>
        <v>54392623.41508875</v>
      </c>
      <c r="L127" s="35">
        <v>0</v>
      </c>
      <c r="M127" s="35">
        <v>0</v>
      </c>
      <c r="N127" s="35">
        <v>0</v>
      </c>
      <c r="O127" s="35">
        <v>0</v>
      </c>
      <c r="P127" s="35">
        <f t="shared" si="54"/>
        <v>341248722.90562129</v>
      </c>
    </row>
    <row r="128" spans="1:16" s="6" customFormat="1" hidden="1" outlineLevel="2" x14ac:dyDescent="0.2">
      <c r="A128" s="30"/>
      <c r="B128" s="29" t="str">
        <f t="shared" si="72"/>
        <v>Итого годовой бонус</v>
      </c>
      <c r="C128" s="28" t="str">
        <f t="shared" si="72"/>
        <v>Total Bonus discretionary cash</v>
      </c>
      <c r="D128" s="27">
        <f>SUM(D120:D127)</f>
        <v>-642593562</v>
      </c>
      <c r="E128" s="26">
        <f t="shared" ref="E128:O128" si="79">SUM(E126:E127)</f>
        <v>348406804.0371896</v>
      </c>
      <c r="F128" s="26">
        <f t="shared" si="79"/>
        <v>348406804.0371896</v>
      </c>
      <c r="G128" s="26">
        <f t="shared" si="79"/>
        <v>348406804.0371896</v>
      </c>
      <c r="H128" s="26">
        <f t="shared" si="79"/>
        <v>348406804.0371896</v>
      </c>
      <c r="I128" s="26">
        <f t="shared" si="79"/>
        <v>348406804.0371896</v>
      </c>
      <c r="J128" s="26">
        <f t="shared" si="79"/>
        <v>348406804.0371896</v>
      </c>
      <c r="K128" s="26">
        <f t="shared" si="79"/>
        <v>348406804.0371896</v>
      </c>
      <c r="L128" s="26">
        <f t="shared" si="79"/>
        <v>0</v>
      </c>
      <c r="M128" s="26">
        <f t="shared" si="79"/>
        <v>0</v>
      </c>
      <c r="N128" s="26">
        <f t="shared" si="79"/>
        <v>0</v>
      </c>
      <c r="O128" s="26">
        <f t="shared" si="79"/>
        <v>0</v>
      </c>
      <c r="P128" s="26">
        <f t="shared" si="54"/>
        <v>1796254066.2603269</v>
      </c>
    </row>
    <row r="129" spans="1:16" ht="15.75" customHeight="1" collapsed="1" x14ac:dyDescent="0.2">
      <c r="B129" s="21" t="str">
        <f t="shared" si="72"/>
        <v>Годовой бонус</v>
      </c>
      <c r="C129" s="20" t="str">
        <f t="shared" si="72"/>
        <v>Bonus discretionary</v>
      </c>
      <c r="D129" s="19">
        <f t="shared" ref="D129:O129" si="80">D128+D125+D122</f>
        <v>-642593562</v>
      </c>
      <c r="E129" s="18">
        <f t="shared" si="80"/>
        <v>348406804.0371896</v>
      </c>
      <c r="F129" s="18">
        <f t="shared" si="80"/>
        <v>348406804.0371896</v>
      </c>
      <c r="G129" s="18">
        <f t="shared" si="80"/>
        <v>348406804.0371896</v>
      </c>
      <c r="H129" s="18">
        <f t="shared" si="80"/>
        <v>348406804.0371896</v>
      </c>
      <c r="I129" s="18">
        <f t="shared" si="80"/>
        <v>348406804.0371896</v>
      </c>
      <c r="J129" s="18">
        <f t="shared" si="80"/>
        <v>348406804.0371896</v>
      </c>
      <c r="K129" s="18">
        <f t="shared" si="80"/>
        <v>348406804.0371896</v>
      </c>
      <c r="L129" s="18">
        <f t="shared" si="80"/>
        <v>0</v>
      </c>
      <c r="M129" s="18">
        <f t="shared" si="80"/>
        <v>0</v>
      </c>
      <c r="N129" s="18">
        <f t="shared" si="80"/>
        <v>0</v>
      </c>
      <c r="O129" s="18">
        <f t="shared" si="80"/>
        <v>0</v>
      </c>
      <c r="P129" s="18">
        <f t="shared" si="54"/>
        <v>1796254066.2603269</v>
      </c>
    </row>
    <row r="130" spans="1:16" s="6" customFormat="1" ht="18.75" customHeight="1" x14ac:dyDescent="0.2">
      <c r="B130" s="13" t="str">
        <f t="shared" si="72"/>
        <v>Итого компенсации и льготы</v>
      </c>
      <c r="C130" s="12" t="str">
        <f t="shared" si="72"/>
        <v>Total Compencation &amp; Benefits</v>
      </c>
      <c r="D130" s="11">
        <f t="shared" ref="D130:O130" si="81">D115+D129+D119</f>
        <v>-390298414.81999999</v>
      </c>
      <c r="E130" s="11">
        <f t="shared" si="81"/>
        <v>600701951.21718955</v>
      </c>
      <c r="F130" s="11">
        <f t="shared" si="81"/>
        <v>600701951.21718955</v>
      </c>
      <c r="G130" s="11">
        <f t="shared" si="81"/>
        <v>600701951.21718955</v>
      </c>
      <c r="H130" s="11">
        <f t="shared" si="81"/>
        <v>600701951.21718955</v>
      </c>
      <c r="I130" s="11">
        <f t="shared" si="81"/>
        <v>600701951.21718955</v>
      </c>
      <c r="J130" s="11">
        <f t="shared" si="81"/>
        <v>600701951.21718955</v>
      </c>
      <c r="K130" s="11">
        <f t="shared" si="81"/>
        <v>600701951.21718955</v>
      </c>
      <c r="L130" s="11">
        <f t="shared" si="81"/>
        <v>0</v>
      </c>
      <c r="M130" s="11">
        <f t="shared" si="81"/>
        <v>0</v>
      </c>
      <c r="N130" s="11">
        <f t="shared" si="81"/>
        <v>0</v>
      </c>
      <c r="O130" s="11">
        <f t="shared" si="81"/>
        <v>0</v>
      </c>
      <c r="P130" s="11">
        <f t="shared" si="54"/>
        <v>3814615243.7003269</v>
      </c>
    </row>
    <row r="131" spans="1:16" x14ac:dyDescent="0.2">
      <c r="H131" s="1"/>
    </row>
    <row r="132" spans="1:16" ht="16.5" customHeight="1" thickBot="1" x14ac:dyDescent="0.25">
      <c r="A132" s="54"/>
      <c r="B132" s="70" t="s">
        <v>8</v>
      </c>
      <c r="C132" s="69" t="s">
        <v>7</v>
      </c>
      <c r="D132" s="67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</row>
    <row r="133" spans="1:16" ht="13.5" hidden="1" outlineLevel="3" thickTop="1" x14ac:dyDescent="0.2">
      <c r="A133" s="54"/>
      <c r="B133" s="38" t="str">
        <f t="shared" ref="B133:C152" si="82">B13</f>
        <v xml:space="preserve">Оклад </v>
      </c>
      <c r="C133" s="62" t="str">
        <f t="shared" si="82"/>
        <v>Salary</v>
      </c>
      <c r="D133" s="61">
        <f>D13-D76</f>
        <v>-67804.110000014305</v>
      </c>
      <c r="E133" s="60">
        <f>E13-E76</f>
        <v>10438359.099999994</v>
      </c>
      <c r="F133" s="60">
        <f t="shared" ref="F133:K133" si="83">F13-F76</f>
        <v>10438359.099999994</v>
      </c>
      <c r="G133" s="60">
        <f t="shared" si="83"/>
        <v>10438359.099999994</v>
      </c>
      <c r="H133" s="60">
        <f t="shared" si="83"/>
        <v>10438359.099999994</v>
      </c>
      <c r="I133" s="60">
        <f t="shared" si="83"/>
        <v>10438359.099999994</v>
      </c>
      <c r="J133" s="60">
        <f t="shared" si="83"/>
        <v>10438359.099999994</v>
      </c>
      <c r="K133" s="60">
        <f t="shared" si="83"/>
        <v>10438359.099999994</v>
      </c>
      <c r="L133" s="60">
        <f t="shared" ref="L133:P133" si="84">L13-L76</f>
        <v>0</v>
      </c>
      <c r="M133" s="60">
        <f t="shared" si="84"/>
        <v>0</v>
      </c>
      <c r="N133" s="60">
        <f t="shared" si="84"/>
        <v>0</v>
      </c>
      <c r="O133" s="60">
        <f t="shared" si="84"/>
        <v>0</v>
      </c>
      <c r="P133" s="60">
        <f t="shared" si="84"/>
        <v>73000709.589999914</v>
      </c>
    </row>
    <row r="134" spans="1:16" hidden="1" outlineLevel="3" x14ac:dyDescent="0.2">
      <c r="A134" s="54"/>
      <c r="B134" s="38" t="str">
        <f t="shared" si="82"/>
        <v>Страховые взносы оклад</v>
      </c>
      <c r="C134" s="49" t="str">
        <f t="shared" si="82"/>
        <v>Social securities on salaries</v>
      </c>
      <c r="D134" s="41">
        <f>D14-D77</f>
        <v>71460.629999995232</v>
      </c>
      <c r="E134" s="40">
        <f>E14-E77</f>
        <v>-343399.25000000373</v>
      </c>
      <c r="F134" s="40">
        <f t="shared" ref="F134:K134" si="85">F14-F77</f>
        <v>-343399.25000000373</v>
      </c>
      <c r="G134" s="40">
        <f t="shared" si="85"/>
        <v>-343399.25000000373</v>
      </c>
      <c r="H134" s="40">
        <f t="shared" si="85"/>
        <v>-343399.25000000373</v>
      </c>
      <c r="I134" s="40">
        <f t="shared" si="85"/>
        <v>-343399.25000000373</v>
      </c>
      <c r="J134" s="40">
        <f t="shared" si="85"/>
        <v>-343399.25000000373</v>
      </c>
      <c r="K134" s="40">
        <f t="shared" si="85"/>
        <v>-343399.25000000373</v>
      </c>
      <c r="L134" s="40">
        <f t="shared" ref="L134:P134" si="86">L14-L77</f>
        <v>0</v>
      </c>
      <c r="M134" s="40">
        <f t="shared" si="86"/>
        <v>0</v>
      </c>
      <c r="N134" s="40">
        <f t="shared" si="86"/>
        <v>0</v>
      </c>
      <c r="O134" s="40">
        <f t="shared" si="86"/>
        <v>0</v>
      </c>
      <c r="P134" s="40">
        <f t="shared" si="86"/>
        <v>-2332334.1200000346</v>
      </c>
    </row>
    <row r="135" spans="1:16" s="6" customFormat="1" hidden="1" outlineLevel="2" x14ac:dyDescent="0.2">
      <c r="A135" s="30"/>
      <c r="B135" s="29" t="str">
        <f t="shared" si="82"/>
        <v>Итого оклад</v>
      </c>
      <c r="C135" s="52" t="str">
        <f t="shared" si="82"/>
        <v>Total Salary</v>
      </c>
      <c r="D135" s="27">
        <f>SUM(D133:D134)</f>
        <v>3656.5199999809265</v>
      </c>
      <c r="E135" s="26">
        <f>SUM(E133:E134)</f>
        <v>10094959.84999999</v>
      </c>
      <c r="F135" s="26">
        <f t="shared" ref="F135:K135" si="87">SUM(F133:F134)</f>
        <v>10094959.84999999</v>
      </c>
      <c r="G135" s="26">
        <f t="shared" si="87"/>
        <v>10094959.84999999</v>
      </c>
      <c r="H135" s="26">
        <f t="shared" si="87"/>
        <v>10094959.84999999</v>
      </c>
      <c r="I135" s="26">
        <f t="shared" si="87"/>
        <v>10094959.84999999</v>
      </c>
      <c r="J135" s="26">
        <f t="shared" si="87"/>
        <v>10094959.84999999</v>
      </c>
      <c r="K135" s="26">
        <f t="shared" si="87"/>
        <v>10094959.84999999</v>
      </c>
      <c r="L135" s="26">
        <f t="shared" ref="L135" si="88">SUM(L133:L134)</f>
        <v>0</v>
      </c>
      <c r="M135" s="26">
        <f t="shared" ref="M135" si="89">SUM(M133:M134)</f>
        <v>0</v>
      </c>
      <c r="N135" s="26">
        <f t="shared" ref="N135" si="90">SUM(N133:N134)</f>
        <v>0</v>
      </c>
      <c r="O135" s="26">
        <f t="shared" ref="O135:P135" si="91">SUM(O133:O134)</f>
        <v>0</v>
      </c>
      <c r="P135" s="26">
        <f t="shared" si="91"/>
        <v>70668375.46999988</v>
      </c>
    </row>
    <row r="136" spans="1:16" hidden="1" outlineLevel="3" x14ac:dyDescent="0.2">
      <c r="A136" s="54"/>
      <c r="B136" s="57" t="str">
        <f t="shared" si="82"/>
        <v>Резерв на отпуск</v>
      </c>
      <c r="C136" s="56" t="str">
        <f t="shared" si="82"/>
        <v>Accruals for unused vacations</v>
      </c>
      <c r="D136" s="41">
        <f>D16-D79</f>
        <v>-3656.5199999809265</v>
      </c>
      <c r="E136" s="40">
        <f>E16-E79</f>
        <v>-2962826.2711463869</v>
      </c>
      <c r="F136" s="40">
        <f t="shared" ref="F136:K136" si="92">F16-F79</f>
        <v>-2962826.2711463869</v>
      </c>
      <c r="G136" s="40">
        <f t="shared" si="92"/>
        <v>-2962826.2711463869</v>
      </c>
      <c r="H136" s="40">
        <f t="shared" si="92"/>
        <v>-2962826.2711463869</v>
      </c>
      <c r="I136" s="40">
        <f t="shared" si="92"/>
        <v>-2962826.2711463869</v>
      </c>
      <c r="J136" s="40">
        <f t="shared" si="92"/>
        <v>-2962826.2711463869</v>
      </c>
      <c r="K136" s="40">
        <f t="shared" si="92"/>
        <v>-2962826.2711463869</v>
      </c>
      <c r="L136" s="40">
        <f t="shared" ref="L136:P136" si="93">L16-L79</f>
        <v>0</v>
      </c>
      <c r="M136" s="40">
        <f t="shared" si="93"/>
        <v>0</v>
      </c>
      <c r="N136" s="40">
        <f t="shared" si="93"/>
        <v>0</v>
      </c>
      <c r="O136" s="40">
        <f t="shared" si="93"/>
        <v>0</v>
      </c>
      <c r="P136" s="40">
        <f t="shared" si="93"/>
        <v>-20743440.4180246</v>
      </c>
    </row>
    <row r="137" spans="1:16" hidden="1" outlineLevel="3" x14ac:dyDescent="0.2">
      <c r="A137" s="54"/>
      <c r="B137" s="38" t="str">
        <f t="shared" si="82"/>
        <v>Страховые взносы резерв на отпуск</v>
      </c>
      <c r="C137" s="56" t="str">
        <f t="shared" si="82"/>
        <v>Social Security on accruals for unused vacations</v>
      </c>
      <c r="D137" s="41">
        <f>D17-D80</f>
        <v>0</v>
      </c>
      <c r="E137" s="40">
        <f>E17-E80</f>
        <v>1416079.7692879084</v>
      </c>
      <c r="F137" s="40">
        <f t="shared" ref="F137:K137" si="94">F17-F80</f>
        <v>1416079.7692879084</v>
      </c>
      <c r="G137" s="40">
        <f t="shared" si="94"/>
        <v>1416079.7692879084</v>
      </c>
      <c r="H137" s="40">
        <f t="shared" si="94"/>
        <v>1416079.7692879084</v>
      </c>
      <c r="I137" s="40">
        <f t="shared" si="94"/>
        <v>1416079.7692879084</v>
      </c>
      <c r="J137" s="40">
        <f t="shared" si="94"/>
        <v>1416079.7692879084</v>
      </c>
      <c r="K137" s="40">
        <f t="shared" si="94"/>
        <v>1416079.7692879084</v>
      </c>
      <c r="L137" s="40">
        <f t="shared" ref="L137:P137" si="95">L17-L80</f>
        <v>0</v>
      </c>
      <c r="M137" s="40">
        <f t="shared" si="95"/>
        <v>0</v>
      </c>
      <c r="N137" s="40">
        <f t="shared" si="95"/>
        <v>0</v>
      </c>
      <c r="O137" s="40">
        <f t="shared" si="95"/>
        <v>0</v>
      </c>
      <c r="P137" s="40">
        <f t="shared" si="95"/>
        <v>9912558.3850153461</v>
      </c>
    </row>
    <row r="138" spans="1:16" s="6" customFormat="1" hidden="1" outlineLevel="2" x14ac:dyDescent="0.2">
      <c r="A138" s="30"/>
      <c r="B138" s="29" t="str">
        <f t="shared" si="82"/>
        <v>Итого резерв на отпуск</v>
      </c>
      <c r="C138" s="52" t="str">
        <f t="shared" si="82"/>
        <v>Total Accruals for unused vacations</v>
      </c>
      <c r="D138" s="27">
        <f>SUM(D136:D137)</f>
        <v>-3656.5199999809265</v>
      </c>
      <c r="E138" s="26">
        <f>SUM(E136:E137)</f>
        <v>-1546746.5018584784</v>
      </c>
      <c r="F138" s="26">
        <f t="shared" ref="F138:K138" si="96">SUM(F136:F137)</f>
        <v>-1546746.5018584784</v>
      </c>
      <c r="G138" s="26">
        <f t="shared" si="96"/>
        <v>-1546746.5018584784</v>
      </c>
      <c r="H138" s="26">
        <f t="shared" si="96"/>
        <v>-1546746.5018584784</v>
      </c>
      <c r="I138" s="26">
        <f t="shared" si="96"/>
        <v>-1546746.5018584784</v>
      </c>
      <c r="J138" s="26">
        <f t="shared" si="96"/>
        <v>-1546746.5018584784</v>
      </c>
      <c r="K138" s="26">
        <f t="shared" si="96"/>
        <v>-1546746.5018584784</v>
      </c>
      <c r="L138" s="26">
        <f t="shared" ref="L138" si="97">SUM(L136:L137)</f>
        <v>0</v>
      </c>
      <c r="M138" s="26">
        <f t="shared" ref="M138" si="98">SUM(M136:M137)</f>
        <v>0</v>
      </c>
      <c r="N138" s="26">
        <f t="shared" ref="N138" si="99">SUM(N136:N137)</f>
        <v>0</v>
      </c>
      <c r="O138" s="26">
        <f t="shared" ref="O138:P138" si="100">SUM(O136:O137)</f>
        <v>0</v>
      </c>
      <c r="P138" s="26">
        <f t="shared" si="100"/>
        <v>-10830882.033009253</v>
      </c>
    </row>
    <row r="139" spans="1:16" hidden="1" outlineLevel="3" x14ac:dyDescent="0.2">
      <c r="A139" s="54"/>
      <c r="B139" s="38" t="str">
        <f t="shared" si="82"/>
        <v>Оплата больничных листов</v>
      </c>
      <c r="C139" s="49" t="str">
        <f t="shared" si="82"/>
        <v>Sick leave compensation</v>
      </c>
      <c r="D139" s="41">
        <f>D19-D82</f>
        <v>0</v>
      </c>
      <c r="E139" s="40">
        <f>E19-E82</f>
        <v>-502299.88</v>
      </c>
      <c r="F139" s="40">
        <f t="shared" ref="F139:K139" si="101">F19-F82</f>
        <v>-502299.88</v>
      </c>
      <c r="G139" s="40">
        <f t="shared" si="101"/>
        <v>-502299.88</v>
      </c>
      <c r="H139" s="40">
        <f t="shared" si="101"/>
        <v>-502299.88</v>
      </c>
      <c r="I139" s="40">
        <f t="shared" si="101"/>
        <v>-502299.88</v>
      </c>
      <c r="J139" s="40">
        <f t="shared" si="101"/>
        <v>-502299.88</v>
      </c>
      <c r="K139" s="40">
        <f t="shared" si="101"/>
        <v>-502299.88</v>
      </c>
      <c r="L139" s="40">
        <f t="shared" ref="L139:P139" si="102">L19-L82</f>
        <v>0</v>
      </c>
      <c r="M139" s="40">
        <f t="shared" si="102"/>
        <v>0</v>
      </c>
      <c r="N139" s="40">
        <f t="shared" si="102"/>
        <v>0</v>
      </c>
      <c r="O139" s="40">
        <f t="shared" si="102"/>
        <v>0</v>
      </c>
      <c r="P139" s="40">
        <f t="shared" si="102"/>
        <v>-3516099.1599999997</v>
      </c>
    </row>
    <row r="140" spans="1:16" hidden="1" outlineLevel="3" x14ac:dyDescent="0.2">
      <c r="A140" s="54"/>
      <c r="B140" s="38" t="str">
        <f t="shared" si="82"/>
        <v>Страховые взносы оплата больничных листов</v>
      </c>
      <c r="C140" s="49" t="str">
        <f t="shared" si="82"/>
        <v>Social Security on Sick leave compensation</v>
      </c>
      <c r="D140" s="41">
        <f>D20-D83</f>
        <v>0</v>
      </c>
      <c r="E140" s="40">
        <f>E20-E83</f>
        <v>-81339.45</v>
      </c>
      <c r="F140" s="40">
        <f t="shared" ref="F140:K140" si="103">F20-F83</f>
        <v>-81339.45</v>
      </c>
      <c r="G140" s="40">
        <f t="shared" si="103"/>
        <v>-81339.45</v>
      </c>
      <c r="H140" s="40">
        <f t="shared" si="103"/>
        <v>-81339.45</v>
      </c>
      <c r="I140" s="40">
        <f t="shared" si="103"/>
        <v>-81339.45</v>
      </c>
      <c r="J140" s="40">
        <f t="shared" si="103"/>
        <v>-81339.45</v>
      </c>
      <c r="K140" s="40">
        <f t="shared" si="103"/>
        <v>-81339.45</v>
      </c>
      <c r="L140" s="40">
        <f t="shared" ref="L140:P140" si="104">L20-L83</f>
        <v>0</v>
      </c>
      <c r="M140" s="40">
        <f t="shared" si="104"/>
        <v>0</v>
      </c>
      <c r="N140" s="40">
        <f t="shared" si="104"/>
        <v>0</v>
      </c>
      <c r="O140" s="40">
        <f t="shared" si="104"/>
        <v>0</v>
      </c>
      <c r="P140" s="40">
        <f t="shared" si="104"/>
        <v>-569376.15</v>
      </c>
    </row>
    <row r="141" spans="1:16" s="6" customFormat="1" hidden="1" outlineLevel="2" x14ac:dyDescent="0.2">
      <c r="A141" s="30"/>
      <c r="B141" s="29" t="str">
        <f t="shared" si="82"/>
        <v>Итого оплата больничных листов</v>
      </c>
      <c r="C141" s="52" t="str">
        <f t="shared" si="82"/>
        <v>Total Sick leave compensation</v>
      </c>
      <c r="D141" s="27">
        <f>SUM(D139:D140)</f>
        <v>0</v>
      </c>
      <c r="E141" s="26">
        <f>SUM(E139:E140)</f>
        <v>-583639.32999999996</v>
      </c>
      <c r="F141" s="26">
        <f t="shared" ref="F141:K141" si="105">SUM(F139:F140)</f>
        <v>-583639.32999999996</v>
      </c>
      <c r="G141" s="26">
        <f t="shared" si="105"/>
        <v>-583639.32999999996</v>
      </c>
      <c r="H141" s="26">
        <f t="shared" si="105"/>
        <v>-583639.32999999996</v>
      </c>
      <c r="I141" s="26">
        <f t="shared" si="105"/>
        <v>-583639.32999999996</v>
      </c>
      <c r="J141" s="26">
        <f t="shared" si="105"/>
        <v>-583639.32999999996</v>
      </c>
      <c r="K141" s="26">
        <f t="shared" si="105"/>
        <v>-583639.32999999996</v>
      </c>
      <c r="L141" s="26">
        <f t="shared" ref="L141" si="106">SUM(L139:L140)</f>
        <v>0</v>
      </c>
      <c r="M141" s="26">
        <f t="shared" ref="M141" si="107">SUM(M139:M140)</f>
        <v>0</v>
      </c>
      <c r="N141" s="26">
        <f t="shared" ref="N141" si="108">SUM(N139:N140)</f>
        <v>0</v>
      </c>
      <c r="O141" s="26">
        <f t="shared" ref="O141:P141" si="109">SUM(O139:O140)</f>
        <v>0</v>
      </c>
      <c r="P141" s="26">
        <f t="shared" si="109"/>
        <v>-4085475.3099999996</v>
      </c>
    </row>
    <row r="142" spans="1:16" hidden="1" outlineLevel="3" x14ac:dyDescent="0.2">
      <c r="A142" s="54"/>
      <c r="B142" s="38" t="str">
        <f t="shared" si="82"/>
        <v>Декрет</v>
      </c>
      <c r="C142" s="49" t="str">
        <f t="shared" si="82"/>
        <v>Maternity leave</v>
      </c>
      <c r="D142" s="41">
        <f>D22-D85</f>
        <v>0</v>
      </c>
      <c r="E142" s="40">
        <f>E22-E85</f>
        <v>0</v>
      </c>
      <c r="F142" s="40">
        <f t="shared" ref="F142:K142" si="110">F22-F85</f>
        <v>0</v>
      </c>
      <c r="G142" s="40">
        <f t="shared" si="110"/>
        <v>0</v>
      </c>
      <c r="H142" s="40">
        <f t="shared" si="110"/>
        <v>0</v>
      </c>
      <c r="I142" s="40">
        <f t="shared" si="110"/>
        <v>0</v>
      </c>
      <c r="J142" s="40">
        <f t="shared" si="110"/>
        <v>0</v>
      </c>
      <c r="K142" s="40">
        <f t="shared" si="110"/>
        <v>0</v>
      </c>
      <c r="L142" s="40">
        <f t="shared" ref="L142:P142" si="111">L22-L85</f>
        <v>0</v>
      </c>
      <c r="M142" s="40">
        <f t="shared" si="111"/>
        <v>0</v>
      </c>
      <c r="N142" s="40">
        <f t="shared" si="111"/>
        <v>0</v>
      </c>
      <c r="O142" s="40">
        <f t="shared" si="111"/>
        <v>0</v>
      </c>
      <c r="P142" s="40">
        <f t="shared" si="111"/>
        <v>0</v>
      </c>
    </row>
    <row r="143" spans="1:16" hidden="1" outlineLevel="3" x14ac:dyDescent="0.2">
      <c r="A143" s="54"/>
      <c r="B143" s="38" t="str">
        <f t="shared" si="82"/>
        <v>Страховые взносы декрет</v>
      </c>
      <c r="C143" s="49" t="str">
        <f t="shared" si="82"/>
        <v>Social Security on Maternity leave</v>
      </c>
      <c r="D143" s="41">
        <f>D23-D86</f>
        <v>0</v>
      </c>
      <c r="E143" s="40">
        <f>E23-E86</f>
        <v>0</v>
      </c>
      <c r="F143" s="40">
        <f t="shared" ref="F143:K143" si="112">F23-F86</f>
        <v>0</v>
      </c>
      <c r="G143" s="40">
        <f t="shared" si="112"/>
        <v>0</v>
      </c>
      <c r="H143" s="40">
        <f t="shared" si="112"/>
        <v>0</v>
      </c>
      <c r="I143" s="40">
        <f t="shared" si="112"/>
        <v>0</v>
      </c>
      <c r="J143" s="40">
        <f t="shared" si="112"/>
        <v>0</v>
      </c>
      <c r="K143" s="40">
        <f t="shared" si="112"/>
        <v>0</v>
      </c>
      <c r="L143" s="40">
        <f t="shared" ref="L143:P143" si="113">L23-L86</f>
        <v>0</v>
      </c>
      <c r="M143" s="40">
        <f t="shared" si="113"/>
        <v>0</v>
      </c>
      <c r="N143" s="40">
        <f t="shared" si="113"/>
        <v>0</v>
      </c>
      <c r="O143" s="40">
        <f t="shared" si="113"/>
        <v>0</v>
      </c>
      <c r="P143" s="40">
        <f t="shared" si="113"/>
        <v>0</v>
      </c>
    </row>
    <row r="144" spans="1:16" s="6" customFormat="1" hidden="1" outlineLevel="2" x14ac:dyDescent="0.2">
      <c r="A144" s="30"/>
      <c r="B144" s="29" t="str">
        <f t="shared" si="82"/>
        <v>Итого декрет</v>
      </c>
      <c r="C144" s="52" t="str">
        <f t="shared" si="82"/>
        <v>Total Maternity leave</v>
      </c>
      <c r="D144" s="27">
        <f>SUM(D142:D143)</f>
        <v>0</v>
      </c>
      <c r="E144" s="26">
        <f>SUM(E142:E143)</f>
        <v>0</v>
      </c>
      <c r="F144" s="26">
        <f t="shared" ref="F144:K144" si="114">SUM(F142:F143)</f>
        <v>0</v>
      </c>
      <c r="G144" s="26">
        <f t="shared" si="114"/>
        <v>0</v>
      </c>
      <c r="H144" s="26">
        <f t="shared" si="114"/>
        <v>0</v>
      </c>
      <c r="I144" s="26">
        <f t="shared" si="114"/>
        <v>0</v>
      </c>
      <c r="J144" s="26">
        <f t="shared" si="114"/>
        <v>0</v>
      </c>
      <c r="K144" s="26">
        <f t="shared" si="114"/>
        <v>0</v>
      </c>
      <c r="L144" s="26">
        <f t="shared" ref="L144" si="115">SUM(L142:L143)</f>
        <v>0</v>
      </c>
      <c r="M144" s="26">
        <f t="shared" ref="M144" si="116">SUM(M142:M143)</f>
        <v>0</v>
      </c>
      <c r="N144" s="26">
        <f t="shared" ref="N144" si="117">SUM(N142:N143)</f>
        <v>0</v>
      </c>
      <c r="O144" s="26">
        <f t="shared" ref="O144:P144" si="118">SUM(O142:O143)</f>
        <v>0</v>
      </c>
      <c r="P144" s="26">
        <f t="shared" si="118"/>
        <v>0</v>
      </c>
    </row>
    <row r="145" spans="1:16" s="6" customFormat="1" ht="13.5" outlineLevel="1" collapsed="1" thickTop="1" x14ac:dyDescent="0.2">
      <c r="A145" s="30"/>
      <c r="B145" s="48" t="str">
        <f t="shared" si="82"/>
        <v>Фиксированное вознаграждение</v>
      </c>
      <c r="C145" s="55" t="str">
        <f t="shared" si="82"/>
        <v>FIX compensation</v>
      </c>
      <c r="D145" s="46">
        <f>D135+D138+D141+D144</f>
        <v>0</v>
      </c>
      <c r="E145" s="45">
        <f>E135+E138+E141+E144</f>
        <v>7964574.0181415118</v>
      </c>
      <c r="F145" s="45">
        <f t="shared" ref="F145:K145" si="119">F135+F138+F141+F144</f>
        <v>7964574.0181415118</v>
      </c>
      <c r="G145" s="45">
        <f t="shared" si="119"/>
        <v>7964574.0181415118</v>
      </c>
      <c r="H145" s="45">
        <f t="shared" si="119"/>
        <v>7964574.0181415118</v>
      </c>
      <c r="I145" s="45">
        <f t="shared" si="119"/>
        <v>7964574.0181415118</v>
      </c>
      <c r="J145" s="45">
        <f t="shared" si="119"/>
        <v>7964574.0181415118</v>
      </c>
      <c r="K145" s="45">
        <f t="shared" si="119"/>
        <v>7964574.0181415118</v>
      </c>
      <c r="L145" s="45">
        <f t="shared" ref="L145" si="120">L135+L138+L141+L144</f>
        <v>0</v>
      </c>
      <c r="M145" s="45">
        <f t="shared" ref="M145" si="121">M135+M138+M141+M144</f>
        <v>0</v>
      </c>
      <c r="N145" s="45">
        <f t="shared" ref="N145" si="122">N135+N138+N141+N144</f>
        <v>0</v>
      </c>
      <c r="O145" s="45">
        <f t="shared" ref="O145:P145" si="123">O135+O138+O141+O144</f>
        <v>0</v>
      </c>
      <c r="P145" s="45">
        <f t="shared" si="123"/>
        <v>55752018.126990624</v>
      </c>
    </row>
    <row r="146" spans="1:16" s="6" customFormat="1" hidden="1" outlineLevel="2" x14ac:dyDescent="0.2">
      <c r="B146" s="29" t="str">
        <f t="shared" si="82"/>
        <v>Расходы на страхование (ДМС, НС)</v>
      </c>
      <c r="C146" s="52" t="str">
        <f t="shared" si="82"/>
        <v>Health &amp; welfare</v>
      </c>
      <c r="D146" s="27">
        <f>D26-D89</f>
        <v>11658.330000001937</v>
      </c>
      <c r="E146" s="26">
        <f>E26-E89</f>
        <v>765099.81878201105</v>
      </c>
      <c r="F146" s="26">
        <f t="shared" ref="F146:K146" si="124">F26-F89</f>
        <v>765099.81878201105</v>
      </c>
      <c r="G146" s="26">
        <f t="shared" si="124"/>
        <v>765099.81878201105</v>
      </c>
      <c r="H146" s="26">
        <f t="shared" si="124"/>
        <v>765099.81878201105</v>
      </c>
      <c r="I146" s="26">
        <f t="shared" si="124"/>
        <v>765099.81878201105</v>
      </c>
      <c r="J146" s="26">
        <f t="shared" si="124"/>
        <v>765099.81878201105</v>
      </c>
      <c r="K146" s="26">
        <f t="shared" si="124"/>
        <v>765099.81878201105</v>
      </c>
      <c r="L146" s="26">
        <f t="shared" ref="L146:P146" si="125">L26-L89</f>
        <v>0</v>
      </c>
      <c r="M146" s="26">
        <f t="shared" si="125"/>
        <v>0</v>
      </c>
      <c r="N146" s="26">
        <f t="shared" si="125"/>
        <v>0</v>
      </c>
      <c r="O146" s="26">
        <f t="shared" si="125"/>
        <v>0</v>
      </c>
      <c r="P146" s="26">
        <f t="shared" si="125"/>
        <v>5367357.0614740849</v>
      </c>
    </row>
    <row r="147" spans="1:16" s="6" customFormat="1" hidden="1" outlineLevel="2" x14ac:dyDescent="0.2">
      <c r="B147" s="29" t="str">
        <f t="shared" si="82"/>
        <v>Прочие бенефиты</v>
      </c>
      <c r="C147" s="52" t="str">
        <f t="shared" si="82"/>
        <v>Other benefits - Non-state mandated</v>
      </c>
      <c r="D147" s="27">
        <f>D27-D90</f>
        <v>-614311.89000000013</v>
      </c>
      <c r="E147" s="26">
        <f>E27-E90</f>
        <v>-614311.89000000013</v>
      </c>
      <c r="F147" s="26">
        <f t="shared" ref="F147:K147" si="126">F27-F90</f>
        <v>-614311.89000000013</v>
      </c>
      <c r="G147" s="26">
        <f t="shared" si="126"/>
        <v>-614311.89000000013</v>
      </c>
      <c r="H147" s="26">
        <f t="shared" si="126"/>
        <v>-614311.89000000013</v>
      </c>
      <c r="I147" s="26">
        <f t="shared" si="126"/>
        <v>-614311.89000000013</v>
      </c>
      <c r="J147" s="26">
        <f t="shared" si="126"/>
        <v>-614311.89000000013</v>
      </c>
      <c r="K147" s="26">
        <f t="shared" si="126"/>
        <v>-614311.89000000013</v>
      </c>
      <c r="L147" s="26">
        <f t="shared" ref="L147:P147" si="127">L27-L90</f>
        <v>0</v>
      </c>
      <c r="M147" s="26">
        <f t="shared" si="127"/>
        <v>0</v>
      </c>
      <c r="N147" s="26">
        <f t="shared" si="127"/>
        <v>0</v>
      </c>
      <c r="O147" s="26">
        <f t="shared" si="127"/>
        <v>0</v>
      </c>
      <c r="P147" s="26">
        <f t="shared" si="127"/>
        <v>-4914495.120000001</v>
      </c>
    </row>
    <row r="148" spans="1:16" s="6" customFormat="1" outlineLevel="1" collapsed="1" x14ac:dyDescent="0.2">
      <c r="A148" s="30"/>
      <c r="B148" s="48" t="str">
        <f t="shared" si="82"/>
        <v>Бенефиты</v>
      </c>
      <c r="C148" s="55" t="str">
        <f t="shared" si="82"/>
        <v>Benefits</v>
      </c>
      <c r="D148" s="46">
        <f>SUM(D146:D147)</f>
        <v>-602653.55999999819</v>
      </c>
      <c r="E148" s="45">
        <f>SUM(E146:E147)</f>
        <v>150787.92878201092</v>
      </c>
      <c r="F148" s="45">
        <f t="shared" ref="F148:K148" si="128">SUM(F146:F147)</f>
        <v>150787.92878201092</v>
      </c>
      <c r="G148" s="45">
        <f t="shared" si="128"/>
        <v>150787.92878201092</v>
      </c>
      <c r="H148" s="45">
        <f t="shared" si="128"/>
        <v>150787.92878201092</v>
      </c>
      <c r="I148" s="45">
        <f t="shared" si="128"/>
        <v>150787.92878201092</v>
      </c>
      <c r="J148" s="45">
        <f t="shared" si="128"/>
        <v>150787.92878201092</v>
      </c>
      <c r="K148" s="45">
        <f t="shared" si="128"/>
        <v>150787.92878201092</v>
      </c>
      <c r="L148" s="45">
        <f t="shared" ref="L148" si="129">SUM(L146:L147)</f>
        <v>0</v>
      </c>
      <c r="M148" s="45">
        <f t="shared" ref="M148" si="130">SUM(M146:M147)</f>
        <v>0</v>
      </c>
      <c r="N148" s="45">
        <f t="shared" ref="N148" si="131">SUM(N146:N147)</f>
        <v>0</v>
      </c>
      <c r="O148" s="45">
        <f t="shared" ref="O148:P148" si="132">SUM(O146:O147)</f>
        <v>0</v>
      </c>
      <c r="P148" s="45">
        <f t="shared" si="132"/>
        <v>452861.94147408381</v>
      </c>
    </row>
    <row r="149" spans="1:16" hidden="1" outlineLevel="3" x14ac:dyDescent="0.2">
      <c r="A149" s="54"/>
      <c r="B149" s="38" t="str">
        <f t="shared" si="82"/>
        <v>Прочие выплаты</v>
      </c>
      <c r="C149" s="49" t="str">
        <f t="shared" si="82"/>
        <v>Remaining Other Compensation</v>
      </c>
      <c r="D149" s="41">
        <f>D29-D92</f>
        <v>240000</v>
      </c>
      <c r="E149" s="40">
        <f>E29-E92</f>
        <v>120000</v>
      </c>
      <c r="F149" s="40">
        <f t="shared" ref="F149:K149" si="133">F29-F92</f>
        <v>120000</v>
      </c>
      <c r="G149" s="40">
        <f t="shared" si="133"/>
        <v>120000</v>
      </c>
      <c r="H149" s="40">
        <f t="shared" si="133"/>
        <v>120000</v>
      </c>
      <c r="I149" s="40">
        <f t="shared" si="133"/>
        <v>120000</v>
      </c>
      <c r="J149" s="40">
        <f t="shared" si="133"/>
        <v>120000</v>
      </c>
      <c r="K149" s="40">
        <f t="shared" si="133"/>
        <v>120000</v>
      </c>
      <c r="L149" s="40">
        <f t="shared" ref="L149:P149" si="134">L29-L92</f>
        <v>0</v>
      </c>
      <c r="M149" s="40">
        <f t="shared" si="134"/>
        <v>0</v>
      </c>
      <c r="N149" s="40">
        <f t="shared" si="134"/>
        <v>0</v>
      </c>
      <c r="O149" s="40">
        <f t="shared" si="134"/>
        <v>0</v>
      </c>
      <c r="P149" s="40">
        <f t="shared" si="134"/>
        <v>1080000</v>
      </c>
    </row>
    <row r="150" spans="1:16" hidden="1" outlineLevel="3" x14ac:dyDescent="0.2">
      <c r="A150" s="54"/>
      <c r="B150" s="38" t="str">
        <f t="shared" si="82"/>
        <v>Страховые взносы прочие выплаты</v>
      </c>
      <c r="C150" s="49" t="str">
        <f t="shared" si="82"/>
        <v>Social Security on Remaining Other Compensation</v>
      </c>
      <c r="D150" s="41">
        <f>D30-D93</f>
        <v>0</v>
      </c>
      <c r="E150" s="40">
        <f>E30-E93</f>
        <v>0</v>
      </c>
      <c r="F150" s="40">
        <f t="shared" ref="F150:K150" si="135">F30-F93</f>
        <v>0</v>
      </c>
      <c r="G150" s="40">
        <f t="shared" si="135"/>
        <v>0</v>
      </c>
      <c r="H150" s="40">
        <f t="shared" si="135"/>
        <v>0</v>
      </c>
      <c r="I150" s="40">
        <f t="shared" si="135"/>
        <v>0</v>
      </c>
      <c r="J150" s="40">
        <f t="shared" si="135"/>
        <v>0</v>
      </c>
      <c r="K150" s="40">
        <f t="shared" si="135"/>
        <v>0</v>
      </c>
      <c r="L150" s="40">
        <f t="shared" ref="L150:P150" si="136">L30-L93</f>
        <v>0</v>
      </c>
      <c r="M150" s="40">
        <f t="shared" si="136"/>
        <v>0</v>
      </c>
      <c r="N150" s="40">
        <f t="shared" si="136"/>
        <v>0</v>
      </c>
      <c r="O150" s="40">
        <f t="shared" si="136"/>
        <v>0</v>
      </c>
      <c r="P150" s="40">
        <f t="shared" si="136"/>
        <v>0</v>
      </c>
    </row>
    <row r="151" spans="1:16" s="6" customFormat="1" hidden="1" outlineLevel="2" x14ac:dyDescent="0.2">
      <c r="A151" s="30"/>
      <c r="B151" s="29" t="str">
        <f t="shared" si="82"/>
        <v>Итого прочие выплаты</v>
      </c>
      <c r="C151" s="52" t="str">
        <f t="shared" si="82"/>
        <v>Total Remaining Other Compensation</v>
      </c>
      <c r="D151" s="27">
        <f>SUM(D149:D150)</f>
        <v>240000</v>
      </c>
      <c r="E151" s="26">
        <f>SUM(E149:E150)</f>
        <v>120000</v>
      </c>
      <c r="F151" s="26">
        <f t="shared" ref="F151:K151" si="137">SUM(F149:F150)</f>
        <v>120000</v>
      </c>
      <c r="G151" s="26">
        <f t="shared" si="137"/>
        <v>120000</v>
      </c>
      <c r="H151" s="26">
        <f t="shared" si="137"/>
        <v>120000</v>
      </c>
      <c r="I151" s="26">
        <f t="shared" si="137"/>
        <v>120000</v>
      </c>
      <c r="J151" s="26">
        <f t="shared" si="137"/>
        <v>120000</v>
      </c>
      <c r="K151" s="26">
        <f t="shared" si="137"/>
        <v>120000</v>
      </c>
      <c r="L151" s="26">
        <f t="shared" ref="L151" si="138">SUM(L149:L150)</f>
        <v>0</v>
      </c>
      <c r="M151" s="26">
        <f t="shared" ref="M151" si="139">SUM(M149:M150)</f>
        <v>0</v>
      </c>
      <c r="N151" s="26">
        <f t="shared" ref="N151" si="140">SUM(N149:N150)</f>
        <v>0</v>
      </c>
      <c r="O151" s="26">
        <f t="shared" ref="O151:P151" si="141">SUM(O149:O150)</f>
        <v>0</v>
      </c>
      <c r="P151" s="26">
        <f t="shared" si="141"/>
        <v>1080000</v>
      </c>
    </row>
    <row r="152" spans="1:16" ht="12.75" hidden="1" customHeight="1" outlineLevel="3" x14ac:dyDescent="0.2">
      <c r="A152" s="54"/>
      <c r="B152" s="38" t="str">
        <f t="shared" si="82"/>
        <v>Премия разовая</v>
      </c>
      <c r="C152" s="49" t="str">
        <f t="shared" si="82"/>
        <v>Sign-ons - cash</v>
      </c>
      <c r="D152" s="41">
        <f>D32-D95</f>
        <v>0</v>
      </c>
      <c r="E152" s="40">
        <f>E32-E95</f>
        <v>-19000000</v>
      </c>
      <c r="F152" s="40">
        <f t="shared" ref="F152:K152" si="142">F32-F95</f>
        <v>-19000000</v>
      </c>
      <c r="G152" s="40">
        <f t="shared" si="142"/>
        <v>-19000000</v>
      </c>
      <c r="H152" s="40">
        <f t="shared" si="142"/>
        <v>-19000000</v>
      </c>
      <c r="I152" s="40">
        <f t="shared" si="142"/>
        <v>-19000000</v>
      </c>
      <c r="J152" s="40">
        <f t="shared" si="142"/>
        <v>-19000000</v>
      </c>
      <c r="K152" s="40">
        <f t="shared" si="142"/>
        <v>-19000000</v>
      </c>
      <c r="L152" s="40">
        <f t="shared" ref="L152:P152" si="143">L32-L95</f>
        <v>0</v>
      </c>
      <c r="M152" s="40">
        <f t="shared" si="143"/>
        <v>0</v>
      </c>
      <c r="N152" s="40">
        <f t="shared" si="143"/>
        <v>0</v>
      </c>
      <c r="O152" s="40">
        <f t="shared" si="143"/>
        <v>0</v>
      </c>
      <c r="P152" s="40">
        <f t="shared" si="143"/>
        <v>-133000000</v>
      </c>
    </row>
    <row r="153" spans="1:16" ht="12.75" hidden="1" customHeight="1" outlineLevel="3" x14ac:dyDescent="0.2">
      <c r="A153" s="54"/>
      <c r="B153" s="38" t="str">
        <f t="shared" ref="B153:C172" si="144">B33</f>
        <v>Страховые взносы премия разовая</v>
      </c>
      <c r="C153" s="49" t="str">
        <f t="shared" si="144"/>
        <v>Social Security on Sign-ons - cash</v>
      </c>
      <c r="D153" s="41">
        <f>D33-D96</f>
        <v>0</v>
      </c>
      <c r="E153" s="40">
        <f>E33-E96</f>
        <v>-3328677</v>
      </c>
      <c r="F153" s="40">
        <f t="shared" ref="F153:K153" si="145">F33-F96</f>
        <v>-3328677</v>
      </c>
      <c r="G153" s="40">
        <f t="shared" si="145"/>
        <v>-3328677</v>
      </c>
      <c r="H153" s="40">
        <f t="shared" si="145"/>
        <v>-3328677</v>
      </c>
      <c r="I153" s="40">
        <f t="shared" si="145"/>
        <v>-3328677</v>
      </c>
      <c r="J153" s="40">
        <f t="shared" si="145"/>
        <v>-3328677</v>
      </c>
      <c r="K153" s="40">
        <f t="shared" si="145"/>
        <v>-3328677</v>
      </c>
      <c r="L153" s="40">
        <f t="shared" ref="L153:P153" si="146">L33-L96</f>
        <v>0</v>
      </c>
      <c r="M153" s="40">
        <f t="shared" si="146"/>
        <v>0</v>
      </c>
      <c r="N153" s="40">
        <f t="shared" si="146"/>
        <v>0</v>
      </c>
      <c r="O153" s="40">
        <f t="shared" si="146"/>
        <v>0</v>
      </c>
      <c r="P153" s="40">
        <f t="shared" si="146"/>
        <v>-23300739</v>
      </c>
    </row>
    <row r="154" spans="1:16" s="6" customFormat="1" hidden="1" outlineLevel="2" x14ac:dyDescent="0.2">
      <c r="A154" s="30"/>
      <c r="B154" s="29" t="str">
        <f t="shared" si="144"/>
        <v>Итого премия разовая</v>
      </c>
      <c r="C154" s="52" t="str">
        <f t="shared" si="144"/>
        <v>Total Sign-ons - cash</v>
      </c>
      <c r="D154" s="27">
        <f>SUM(D152:D153)</f>
        <v>0</v>
      </c>
      <c r="E154" s="26">
        <f>SUM(E152:E153)</f>
        <v>-22328677</v>
      </c>
      <c r="F154" s="26">
        <f t="shared" ref="F154:K154" si="147">SUM(F152:F153)</f>
        <v>-22328677</v>
      </c>
      <c r="G154" s="26">
        <f t="shared" si="147"/>
        <v>-22328677</v>
      </c>
      <c r="H154" s="26">
        <f t="shared" si="147"/>
        <v>-22328677</v>
      </c>
      <c r="I154" s="26">
        <f t="shared" si="147"/>
        <v>-22328677</v>
      </c>
      <c r="J154" s="26">
        <f t="shared" si="147"/>
        <v>-22328677</v>
      </c>
      <c r="K154" s="26">
        <f t="shared" si="147"/>
        <v>-22328677</v>
      </c>
      <c r="L154" s="26">
        <f t="shared" ref="L154" si="148">SUM(L152:L153)</f>
        <v>0</v>
      </c>
      <c r="M154" s="26">
        <f t="shared" ref="M154" si="149">SUM(M152:M153)</f>
        <v>0</v>
      </c>
      <c r="N154" s="26">
        <f t="shared" ref="N154" si="150">SUM(N152:N153)</f>
        <v>0</v>
      </c>
      <c r="O154" s="26">
        <f t="shared" ref="O154:P154" si="151">SUM(O152:O153)</f>
        <v>0</v>
      </c>
      <c r="P154" s="26">
        <f t="shared" si="151"/>
        <v>-156300739</v>
      </c>
    </row>
    <row r="155" spans="1:16" ht="12.75" hidden="1" customHeight="1" outlineLevel="3" x14ac:dyDescent="0.2">
      <c r="A155" s="54"/>
      <c r="B155" s="38" t="str">
        <f t="shared" si="144"/>
        <v>Выплаты при увольнении</v>
      </c>
      <c r="C155" s="49" t="str">
        <f t="shared" si="144"/>
        <v>Direct severance payments - cash</v>
      </c>
      <c r="D155" s="41">
        <f>D35-D98</f>
        <v>0</v>
      </c>
      <c r="E155" s="40">
        <f>E35-E98</f>
        <v>0</v>
      </c>
      <c r="F155" s="40">
        <f t="shared" ref="F155:K155" si="152">F35-F98</f>
        <v>0</v>
      </c>
      <c r="G155" s="40">
        <f t="shared" si="152"/>
        <v>0</v>
      </c>
      <c r="H155" s="40">
        <f t="shared" si="152"/>
        <v>0</v>
      </c>
      <c r="I155" s="40">
        <f t="shared" si="152"/>
        <v>0</v>
      </c>
      <c r="J155" s="40">
        <f t="shared" si="152"/>
        <v>0</v>
      </c>
      <c r="K155" s="40">
        <f t="shared" si="152"/>
        <v>0</v>
      </c>
      <c r="L155" s="40">
        <f t="shared" ref="L155:P155" si="153">L35-L98</f>
        <v>0</v>
      </c>
      <c r="M155" s="40">
        <f t="shared" si="153"/>
        <v>0</v>
      </c>
      <c r="N155" s="40">
        <f t="shared" si="153"/>
        <v>0</v>
      </c>
      <c r="O155" s="40">
        <f t="shared" si="153"/>
        <v>0</v>
      </c>
      <c r="P155" s="40">
        <f t="shared" si="153"/>
        <v>0</v>
      </c>
    </row>
    <row r="156" spans="1:16" ht="12.75" hidden="1" customHeight="1" outlineLevel="3" x14ac:dyDescent="0.2">
      <c r="A156" s="54"/>
      <c r="B156" s="38" t="str">
        <f t="shared" si="144"/>
        <v>Страховые взносы выплаты при увольнении</v>
      </c>
      <c r="C156" s="49" t="str">
        <f t="shared" si="144"/>
        <v>Social Security on Severance</v>
      </c>
      <c r="D156" s="41">
        <f>D36-D99</f>
        <v>0</v>
      </c>
      <c r="E156" s="40">
        <f>E36-E99</f>
        <v>0</v>
      </c>
      <c r="F156" s="40">
        <f t="shared" ref="F156:K156" si="154">F36-F99</f>
        <v>0</v>
      </c>
      <c r="G156" s="40">
        <f t="shared" si="154"/>
        <v>0</v>
      </c>
      <c r="H156" s="40">
        <f t="shared" si="154"/>
        <v>0</v>
      </c>
      <c r="I156" s="40">
        <f t="shared" si="154"/>
        <v>0</v>
      </c>
      <c r="J156" s="40">
        <f t="shared" si="154"/>
        <v>0</v>
      </c>
      <c r="K156" s="40">
        <f t="shared" si="154"/>
        <v>0</v>
      </c>
      <c r="L156" s="40">
        <f t="shared" ref="L156:P156" si="155">L36-L99</f>
        <v>0</v>
      </c>
      <c r="M156" s="40">
        <f t="shared" si="155"/>
        <v>0</v>
      </c>
      <c r="N156" s="40">
        <f t="shared" si="155"/>
        <v>0</v>
      </c>
      <c r="O156" s="40">
        <f t="shared" si="155"/>
        <v>0</v>
      </c>
      <c r="P156" s="40">
        <f t="shared" si="155"/>
        <v>0</v>
      </c>
    </row>
    <row r="157" spans="1:16" s="6" customFormat="1" hidden="1" outlineLevel="2" x14ac:dyDescent="0.2">
      <c r="A157" s="30"/>
      <c r="B157" s="29" t="str">
        <f t="shared" si="144"/>
        <v>Итого выплаты при увольнении</v>
      </c>
      <c r="C157" s="52" t="str">
        <f t="shared" si="144"/>
        <v>Total Direct severance payments - cash</v>
      </c>
      <c r="D157" s="27">
        <f>SUM(D155:D156)</f>
        <v>0</v>
      </c>
      <c r="E157" s="26">
        <f>SUM(E155:E156)</f>
        <v>0</v>
      </c>
      <c r="F157" s="26">
        <f t="shared" ref="F157:K157" si="156">SUM(F155:F156)</f>
        <v>0</v>
      </c>
      <c r="G157" s="26">
        <f t="shared" si="156"/>
        <v>0</v>
      </c>
      <c r="H157" s="26">
        <f t="shared" si="156"/>
        <v>0</v>
      </c>
      <c r="I157" s="26">
        <f t="shared" si="156"/>
        <v>0</v>
      </c>
      <c r="J157" s="26">
        <f t="shared" si="156"/>
        <v>0</v>
      </c>
      <c r="K157" s="26">
        <f t="shared" si="156"/>
        <v>0</v>
      </c>
      <c r="L157" s="26">
        <f t="shared" ref="L157" si="157">SUM(L155:L156)</f>
        <v>0</v>
      </c>
      <c r="M157" s="26">
        <f t="shared" ref="M157" si="158">SUM(M155:M156)</f>
        <v>0</v>
      </c>
      <c r="N157" s="26">
        <f t="shared" ref="N157" si="159">SUM(N155:N156)</f>
        <v>0</v>
      </c>
      <c r="O157" s="26">
        <f t="shared" ref="O157:P157" si="160">SUM(O155:O156)</f>
        <v>0</v>
      </c>
      <c r="P157" s="26">
        <f t="shared" si="160"/>
        <v>0</v>
      </c>
    </row>
    <row r="158" spans="1:16" ht="12.75" hidden="1" customHeight="1" outlineLevel="3" x14ac:dyDescent="0.2">
      <c r="B158" s="38" t="str">
        <f t="shared" si="144"/>
        <v>Отложенное вознаграждение</v>
      </c>
      <c r="C158" s="49" t="str">
        <f t="shared" si="144"/>
        <v>Deferred Compensation</v>
      </c>
      <c r="D158" s="41">
        <f>D38-D101</f>
        <v>0</v>
      </c>
      <c r="E158" s="40">
        <f>E38-E101</f>
        <v>0</v>
      </c>
      <c r="F158" s="40">
        <f t="shared" ref="F158:K158" si="161">F38-F101</f>
        <v>0</v>
      </c>
      <c r="G158" s="40">
        <f t="shared" si="161"/>
        <v>0</v>
      </c>
      <c r="H158" s="40">
        <f t="shared" si="161"/>
        <v>0</v>
      </c>
      <c r="I158" s="40">
        <f t="shared" si="161"/>
        <v>0</v>
      </c>
      <c r="J158" s="40">
        <f t="shared" si="161"/>
        <v>0</v>
      </c>
      <c r="K158" s="40">
        <f t="shared" si="161"/>
        <v>0</v>
      </c>
      <c r="L158" s="40">
        <f t="shared" ref="L158:P158" si="162">L38-L101</f>
        <v>0</v>
      </c>
      <c r="M158" s="40">
        <f t="shared" si="162"/>
        <v>0</v>
      </c>
      <c r="N158" s="40">
        <f t="shared" si="162"/>
        <v>0</v>
      </c>
      <c r="O158" s="40">
        <f t="shared" si="162"/>
        <v>0</v>
      </c>
      <c r="P158" s="40">
        <f t="shared" si="162"/>
        <v>0</v>
      </c>
    </row>
    <row r="159" spans="1:16" ht="12.75" hidden="1" customHeight="1" outlineLevel="3" x14ac:dyDescent="0.2">
      <c r="B159" s="38" t="str">
        <f t="shared" si="144"/>
        <v>Страховые взносы отложенное вознаграждение</v>
      </c>
      <c r="C159" s="49" t="str">
        <f t="shared" si="144"/>
        <v>Social Security on Deferrals</v>
      </c>
      <c r="D159" s="41">
        <f>D39-D102</f>
        <v>0</v>
      </c>
      <c r="E159" s="40">
        <f>E39-E102</f>
        <v>0</v>
      </c>
      <c r="F159" s="40">
        <f t="shared" ref="F159:K159" si="163">F39-F102</f>
        <v>0</v>
      </c>
      <c r="G159" s="40">
        <f t="shared" si="163"/>
        <v>0</v>
      </c>
      <c r="H159" s="40">
        <f t="shared" si="163"/>
        <v>0</v>
      </c>
      <c r="I159" s="40">
        <f t="shared" si="163"/>
        <v>0</v>
      </c>
      <c r="J159" s="40">
        <f t="shared" si="163"/>
        <v>0</v>
      </c>
      <c r="K159" s="40">
        <f t="shared" si="163"/>
        <v>0</v>
      </c>
      <c r="L159" s="40">
        <f t="shared" ref="L159:P159" si="164">L39-L102</f>
        <v>0</v>
      </c>
      <c r="M159" s="40">
        <f t="shared" si="164"/>
        <v>0</v>
      </c>
      <c r="N159" s="40">
        <f t="shared" si="164"/>
        <v>0</v>
      </c>
      <c r="O159" s="40">
        <f t="shared" si="164"/>
        <v>0</v>
      </c>
      <c r="P159" s="40">
        <f t="shared" si="164"/>
        <v>0</v>
      </c>
    </row>
    <row r="160" spans="1:16" s="6" customFormat="1" hidden="1" outlineLevel="2" x14ac:dyDescent="0.2">
      <c r="B160" s="29" t="str">
        <f t="shared" si="144"/>
        <v>Итого отложенное вознаграждение</v>
      </c>
      <c r="C160" s="52" t="str">
        <f t="shared" si="144"/>
        <v>Deferred Compensation</v>
      </c>
      <c r="D160" s="27">
        <f>SUM(D158:D159)</f>
        <v>0</v>
      </c>
      <c r="E160" s="26">
        <f>SUM(E158:E159)</f>
        <v>0</v>
      </c>
      <c r="F160" s="26">
        <f t="shared" ref="F160:K160" si="165">SUM(F158:F159)</f>
        <v>0</v>
      </c>
      <c r="G160" s="26">
        <f t="shared" si="165"/>
        <v>0</v>
      </c>
      <c r="H160" s="26">
        <f t="shared" si="165"/>
        <v>0</v>
      </c>
      <c r="I160" s="26">
        <f t="shared" si="165"/>
        <v>0</v>
      </c>
      <c r="J160" s="26">
        <f t="shared" si="165"/>
        <v>0</v>
      </c>
      <c r="K160" s="26">
        <f t="shared" si="165"/>
        <v>0</v>
      </c>
      <c r="L160" s="26">
        <f t="shared" ref="L160" si="166">SUM(L158:L159)</f>
        <v>0</v>
      </c>
      <c r="M160" s="26">
        <f t="shared" ref="M160" si="167">SUM(M158:M159)</f>
        <v>0</v>
      </c>
      <c r="N160" s="26">
        <f t="shared" ref="N160" si="168">SUM(N158:N159)</f>
        <v>0</v>
      </c>
      <c r="O160" s="26">
        <f t="shared" ref="O160:P160" si="169">SUM(O158:O159)</f>
        <v>0</v>
      </c>
      <c r="P160" s="26">
        <f t="shared" si="169"/>
        <v>0</v>
      </c>
    </row>
    <row r="161" spans="1:16" s="6" customFormat="1" outlineLevel="1" collapsed="1" x14ac:dyDescent="0.2">
      <c r="A161" s="30"/>
      <c r="B161" s="51" t="str">
        <f t="shared" si="144"/>
        <v>Прочие компенсационные выплаты</v>
      </c>
      <c r="C161" s="50" t="str">
        <f t="shared" si="144"/>
        <v>Other Compensations</v>
      </c>
      <c r="D161" s="46">
        <f>D151+D154+D157+D160</f>
        <v>240000</v>
      </c>
      <c r="E161" s="45">
        <f>E151+E154+E157+E160</f>
        <v>-22208677</v>
      </c>
      <c r="F161" s="45">
        <f t="shared" ref="F161:K161" si="170">F151+F154+F157+F160</f>
        <v>-22208677</v>
      </c>
      <c r="G161" s="45">
        <f t="shared" si="170"/>
        <v>-22208677</v>
      </c>
      <c r="H161" s="45">
        <f t="shared" si="170"/>
        <v>-22208677</v>
      </c>
      <c r="I161" s="45">
        <f t="shared" si="170"/>
        <v>-22208677</v>
      </c>
      <c r="J161" s="45">
        <f t="shared" si="170"/>
        <v>-22208677</v>
      </c>
      <c r="K161" s="45">
        <f t="shared" si="170"/>
        <v>-22208677</v>
      </c>
      <c r="L161" s="45">
        <f t="shared" ref="L161" si="171">L151+L154+L157+L160</f>
        <v>0</v>
      </c>
      <c r="M161" s="45">
        <f t="shared" ref="M161" si="172">M151+M154+M157+M160</f>
        <v>0</v>
      </c>
      <c r="N161" s="45">
        <f t="shared" ref="N161" si="173">N151+N154+N157+N160</f>
        <v>0</v>
      </c>
      <c r="O161" s="45">
        <f t="shared" ref="O161:P161" si="174">O151+O154+O157+O160</f>
        <v>0</v>
      </c>
      <c r="P161" s="45">
        <f t="shared" si="174"/>
        <v>-155220739</v>
      </c>
    </row>
    <row r="162" spans="1:16" ht="12.75" hidden="1" customHeight="1" outlineLevel="3" x14ac:dyDescent="0.2">
      <c r="B162" s="38" t="str">
        <f t="shared" si="144"/>
        <v>Резерв квартальной премии</v>
      </c>
      <c r="C162" s="49" t="str">
        <f t="shared" si="144"/>
        <v>Accruals for Quarterly bonus</v>
      </c>
      <c r="D162" s="41">
        <f>D42-D105</f>
        <v>11215250</v>
      </c>
      <c r="E162" s="40">
        <f>E42-E105</f>
        <v>0</v>
      </c>
      <c r="F162" s="40">
        <f t="shared" ref="F162:K162" si="175">F42-F105</f>
        <v>0</v>
      </c>
      <c r="G162" s="40">
        <f t="shared" si="175"/>
        <v>0</v>
      </c>
      <c r="H162" s="40">
        <f t="shared" si="175"/>
        <v>0</v>
      </c>
      <c r="I162" s="40">
        <f t="shared" si="175"/>
        <v>0</v>
      </c>
      <c r="J162" s="40">
        <f t="shared" si="175"/>
        <v>0</v>
      </c>
      <c r="K162" s="40">
        <f t="shared" si="175"/>
        <v>0</v>
      </c>
      <c r="L162" s="40">
        <f t="shared" ref="L162:P162" si="176">L42-L105</f>
        <v>0</v>
      </c>
      <c r="M162" s="40">
        <f t="shared" si="176"/>
        <v>0</v>
      </c>
      <c r="N162" s="40">
        <f t="shared" si="176"/>
        <v>0</v>
      </c>
      <c r="O162" s="40">
        <f t="shared" si="176"/>
        <v>0</v>
      </c>
      <c r="P162" s="40">
        <f t="shared" si="176"/>
        <v>11215250</v>
      </c>
    </row>
    <row r="163" spans="1:16" ht="12.75" hidden="1" customHeight="1" outlineLevel="3" x14ac:dyDescent="0.2">
      <c r="B163" s="38" t="str">
        <f t="shared" si="144"/>
        <v>Страховые взносы резерв квартальной премии</v>
      </c>
      <c r="C163" s="49" t="str">
        <f t="shared" si="144"/>
        <v>Social Security on Accruals for Quarterly bonus</v>
      </c>
      <c r="D163" s="41">
        <f>D43-D106</f>
        <v>2074821.25</v>
      </c>
      <c r="E163" s="40">
        <f>E43-E106</f>
        <v>0</v>
      </c>
      <c r="F163" s="40">
        <f t="shared" ref="F163:K163" si="177">F43-F106</f>
        <v>0</v>
      </c>
      <c r="G163" s="40">
        <f t="shared" si="177"/>
        <v>0</v>
      </c>
      <c r="H163" s="40">
        <f t="shared" si="177"/>
        <v>0</v>
      </c>
      <c r="I163" s="40">
        <f t="shared" si="177"/>
        <v>0</v>
      </c>
      <c r="J163" s="40">
        <f t="shared" si="177"/>
        <v>0</v>
      </c>
      <c r="K163" s="40">
        <f t="shared" si="177"/>
        <v>0</v>
      </c>
      <c r="L163" s="40">
        <f t="shared" ref="L163:P163" si="178">L43-L106</f>
        <v>0</v>
      </c>
      <c r="M163" s="40">
        <f t="shared" si="178"/>
        <v>0</v>
      </c>
      <c r="N163" s="40">
        <f t="shared" si="178"/>
        <v>0</v>
      </c>
      <c r="O163" s="40">
        <f t="shared" si="178"/>
        <v>0</v>
      </c>
      <c r="P163" s="40">
        <f t="shared" si="178"/>
        <v>2074821.25</v>
      </c>
    </row>
    <row r="164" spans="1:16" s="6" customFormat="1" hidden="1" outlineLevel="2" x14ac:dyDescent="0.2">
      <c r="A164" s="30"/>
      <c r="B164" s="29" t="str">
        <f t="shared" si="144"/>
        <v>Итого резерв квартальной премии</v>
      </c>
      <c r="C164" s="42" t="str">
        <f t="shared" si="144"/>
        <v>Total Accruals for Quarterly bonus</v>
      </c>
      <c r="D164" s="27">
        <f>SUM(D162:D163)</f>
        <v>13290071.25</v>
      </c>
      <c r="E164" s="26">
        <f>SUM(E162:E163)</f>
        <v>0</v>
      </c>
      <c r="F164" s="26">
        <f t="shared" ref="F164:K164" si="179">SUM(F162:F163)</f>
        <v>0</v>
      </c>
      <c r="G164" s="26">
        <f t="shared" si="179"/>
        <v>0</v>
      </c>
      <c r="H164" s="26">
        <f t="shared" si="179"/>
        <v>0</v>
      </c>
      <c r="I164" s="26">
        <f t="shared" si="179"/>
        <v>0</v>
      </c>
      <c r="J164" s="26">
        <f t="shared" si="179"/>
        <v>0</v>
      </c>
      <c r="K164" s="26">
        <f t="shared" si="179"/>
        <v>0</v>
      </c>
      <c r="L164" s="26">
        <f t="shared" ref="L164" si="180">SUM(L162:L163)</f>
        <v>0</v>
      </c>
      <c r="M164" s="26">
        <f t="shared" ref="M164" si="181">SUM(M162:M163)</f>
        <v>0</v>
      </c>
      <c r="N164" s="26">
        <f t="shared" ref="N164" si="182">SUM(N162:N163)</f>
        <v>0</v>
      </c>
      <c r="O164" s="26">
        <f t="shared" ref="O164:P164" si="183">SUM(O162:O163)</f>
        <v>0</v>
      </c>
      <c r="P164" s="26">
        <f t="shared" si="183"/>
        <v>13290071.25</v>
      </c>
    </row>
    <row r="165" spans="1:16" ht="12.75" hidden="1" customHeight="1" outlineLevel="3" x14ac:dyDescent="0.2">
      <c r="B165" s="38" t="str">
        <f t="shared" si="144"/>
        <v>Сторно резерва квартальной премии</v>
      </c>
      <c r="C165" s="37" t="str">
        <f t="shared" si="144"/>
        <v>Reverse Accruals for Quarterly bonus</v>
      </c>
      <c r="D165" s="41">
        <f>D45-D108</f>
        <v>0</v>
      </c>
      <c r="E165" s="40">
        <f>E45-E108</f>
        <v>0</v>
      </c>
      <c r="F165" s="40">
        <f t="shared" ref="F165:K165" si="184">F45-F108</f>
        <v>0</v>
      </c>
      <c r="G165" s="40">
        <f t="shared" si="184"/>
        <v>0</v>
      </c>
      <c r="H165" s="40">
        <f t="shared" si="184"/>
        <v>0</v>
      </c>
      <c r="I165" s="40">
        <f t="shared" si="184"/>
        <v>0</v>
      </c>
      <c r="J165" s="40">
        <f t="shared" si="184"/>
        <v>0</v>
      </c>
      <c r="K165" s="40">
        <f t="shared" si="184"/>
        <v>0</v>
      </c>
      <c r="L165" s="40">
        <f t="shared" ref="L165:P165" si="185">L45-L108</f>
        <v>0</v>
      </c>
      <c r="M165" s="40">
        <f t="shared" si="185"/>
        <v>0</v>
      </c>
      <c r="N165" s="40">
        <f t="shared" si="185"/>
        <v>0</v>
      </c>
      <c r="O165" s="40">
        <f t="shared" si="185"/>
        <v>0</v>
      </c>
      <c r="P165" s="40">
        <f t="shared" si="185"/>
        <v>0</v>
      </c>
    </row>
    <row r="166" spans="1:16" ht="12.75" hidden="1" customHeight="1" outlineLevel="3" x14ac:dyDescent="0.2">
      <c r="B166" s="38" t="str">
        <f t="shared" si="144"/>
        <v>Страховые взносы, сторно резерва квартальной премии</v>
      </c>
      <c r="C166" s="37" t="str">
        <f t="shared" si="144"/>
        <v>Social Security on Reverse Accruals for Quarterly bonus</v>
      </c>
      <c r="D166" s="41">
        <f>D46-D109</f>
        <v>0</v>
      </c>
      <c r="E166" s="40">
        <f>E46-E109</f>
        <v>0</v>
      </c>
      <c r="F166" s="40">
        <f t="shared" ref="F166:K166" si="186">F46-F109</f>
        <v>0</v>
      </c>
      <c r="G166" s="40">
        <f t="shared" si="186"/>
        <v>0</v>
      </c>
      <c r="H166" s="40">
        <f t="shared" si="186"/>
        <v>0</v>
      </c>
      <c r="I166" s="40">
        <f t="shared" si="186"/>
        <v>0</v>
      </c>
      <c r="J166" s="40">
        <f t="shared" si="186"/>
        <v>0</v>
      </c>
      <c r="K166" s="40">
        <f t="shared" si="186"/>
        <v>0</v>
      </c>
      <c r="L166" s="40">
        <f t="shared" ref="L166:P166" si="187">L46-L109</f>
        <v>0</v>
      </c>
      <c r="M166" s="40">
        <f t="shared" si="187"/>
        <v>0</v>
      </c>
      <c r="N166" s="40">
        <f t="shared" si="187"/>
        <v>0</v>
      </c>
      <c r="O166" s="40">
        <f t="shared" si="187"/>
        <v>0</v>
      </c>
      <c r="P166" s="40">
        <f t="shared" si="187"/>
        <v>0</v>
      </c>
    </row>
    <row r="167" spans="1:16" s="6" customFormat="1" hidden="1" outlineLevel="2" x14ac:dyDescent="0.2">
      <c r="A167" s="30"/>
      <c r="B167" s="29" t="str">
        <f t="shared" si="144"/>
        <v>Итого сторно резерва квартальной премии</v>
      </c>
      <c r="C167" s="42" t="str">
        <f t="shared" si="144"/>
        <v>Total Reverse Accruals for Quarterly bonus</v>
      </c>
      <c r="D167" s="27">
        <f>SUM(D165:D166)</f>
        <v>0</v>
      </c>
      <c r="E167" s="26">
        <f>SUM(E165:E166)</f>
        <v>0</v>
      </c>
      <c r="F167" s="26">
        <f t="shared" ref="F167:K167" si="188">SUM(F165:F166)</f>
        <v>0</v>
      </c>
      <c r="G167" s="26">
        <f t="shared" si="188"/>
        <v>0</v>
      </c>
      <c r="H167" s="26">
        <f t="shared" si="188"/>
        <v>0</v>
      </c>
      <c r="I167" s="26">
        <f t="shared" si="188"/>
        <v>0</v>
      </c>
      <c r="J167" s="26">
        <f t="shared" si="188"/>
        <v>0</v>
      </c>
      <c r="K167" s="26">
        <f t="shared" si="188"/>
        <v>0</v>
      </c>
      <c r="L167" s="26">
        <f t="shared" ref="L167" si="189">SUM(L165:L166)</f>
        <v>0</v>
      </c>
      <c r="M167" s="26">
        <f t="shared" ref="M167" si="190">SUM(M165:M166)</f>
        <v>0</v>
      </c>
      <c r="N167" s="26">
        <f t="shared" ref="N167" si="191">SUM(N165:N166)</f>
        <v>0</v>
      </c>
      <c r="O167" s="26">
        <f t="shared" ref="O167:P167" si="192">SUM(O165:O166)</f>
        <v>0</v>
      </c>
      <c r="P167" s="26">
        <f t="shared" si="192"/>
        <v>0</v>
      </c>
    </row>
    <row r="168" spans="1:16" ht="12.75" hidden="1" customHeight="1" outlineLevel="3" x14ac:dyDescent="0.2">
      <c r="B168" s="38" t="str">
        <f t="shared" si="144"/>
        <v>Квартальная премия, выплата</v>
      </c>
      <c r="C168" s="37" t="str">
        <f t="shared" si="144"/>
        <v>Quarterly bonus cash</v>
      </c>
      <c r="D168" s="41">
        <f>D48-D111</f>
        <v>-10571699.000000002</v>
      </c>
      <c r="E168" s="40">
        <f>E48-E111</f>
        <v>643550.99999999814</v>
      </c>
      <c r="F168" s="40">
        <f t="shared" ref="F168:K168" si="193">F48-F111</f>
        <v>643550.99999999814</v>
      </c>
      <c r="G168" s="40">
        <f t="shared" si="193"/>
        <v>643550.99999999814</v>
      </c>
      <c r="H168" s="40">
        <f t="shared" si="193"/>
        <v>643550.99999999814</v>
      </c>
      <c r="I168" s="40">
        <f t="shared" si="193"/>
        <v>643550.99999999814</v>
      </c>
      <c r="J168" s="40">
        <f t="shared" si="193"/>
        <v>643550.99999999814</v>
      </c>
      <c r="K168" s="40">
        <f t="shared" si="193"/>
        <v>643550.99999999814</v>
      </c>
      <c r="L168" s="40">
        <f t="shared" ref="L168:P168" si="194">L48-L111</f>
        <v>0</v>
      </c>
      <c r="M168" s="40">
        <f t="shared" si="194"/>
        <v>0</v>
      </c>
      <c r="N168" s="40">
        <f t="shared" si="194"/>
        <v>0</v>
      </c>
      <c r="O168" s="40">
        <f t="shared" si="194"/>
        <v>0</v>
      </c>
      <c r="P168" s="40">
        <f t="shared" si="194"/>
        <v>-6066842.0000000149</v>
      </c>
    </row>
    <row r="169" spans="1:16" ht="12.75" hidden="1" customHeight="1" outlineLevel="3" x14ac:dyDescent="0.2">
      <c r="B169" s="38" t="str">
        <f t="shared" si="144"/>
        <v>Страховые взносы, квартальная премия выплата</v>
      </c>
      <c r="C169" s="37" t="str">
        <f t="shared" si="144"/>
        <v>Social Security on quarterly cash</v>
      </c>
      <c r="D169" s="36">
        <f>D49-D112</f>
        <v>-268624.99999999907</v>
      </c>
      <c r="E169" s="35">
        <f>E49-E112</f>
        <v>1806196.2500000009</v>
      </c>
      <c r="F169" s="35">
        <f t="shared" ref="F169:K169" si="195">F49-F112</f>
        <v>1806196.2500000009</v>
      </c>
      <c r="G169" s="35">
        <f t="shared" si="195"/>
        <v>1806196.2500000009</v>
      </c>
      <c r="H169" s="35">
        <f t="shared" si="195"/>
        <v>1806196.2500000009</v>
      </c>
      <c r="I169" s="35">
        <f t="shared" si="195"/>
        <v>1806196.2500000009</v>
      </c>
      <c r="J169" s="35">
        <f t="shared" si="195"/>
        <v>1806196.2500000009</v>
      </c>
      <c r="K169" s="35">
        <f t="shared" si="195"/>
        <v>1806196.2500000009</v>
      </c>
      <c r="L169" s="35">
        <f t="shared" ref="L169:P169" si="196">L49-L112</f>
        <v>0</v>
      </c>
      <c r="M169" s="35">
        <f t="shared" si="196"/>
        <v>0</v>
      </c>
      <c r="N169" s="35">
        <f t="shared" si="196"/>
        <v>0</v>
      </c>
      <c r="O169" s="35">
        <f t="shared" si="196"/>
        <v>0</v>
      </c>
      <c r="P169" s="35">
        <f t="shared" si="196"/>
        <v>12374748.750000007</v>
      </c>
    </row>
    <row r="170" spans="1:16" s="6" customFormat="1" hidden="1" outlineLevel="2" x14ac:dyDescent="0.2">
      <c r="A170" s="30"/>
      <c r="B170" s="29" t="str">
        <f t="shared" si="144"/>
        <v>Итого квртальная премия, выплата</v>
      </c>
      <c r="C170" s="42" t="str">
        <f t="shared" si="144"/>
        <v>Total Quarterly bonus cash</v>
      </c>
      <c r="D170" s="27">
        <f>SUM(D168:D169)</f>
        <v>-10840324</v>
      </c>
      <c r="E170" s="26">
        <f>SUM(E168:E169)</f>
        <v>2449747.2499999991</v>
      </c>
      <c r="F170" s="26">
        <f t="shared" ref="F170:K170" si="197">SUM(F168:F169)</f>
        <v>2449747.2499999991</v>
      </c>
      <c r="G170" s="26">
        <f t="shared" si="197"/>
        <v>2449747.2499999991</v>
      </c>
      <c r="H170" s="26">
        <f t="shared" si="197"/>
        <v>2449747.2499999991</v>
      </c>
      <c r="I170" s="26">
        <f t="shared" si="197"/>
        <v>2449747.2499999991</v>
      </c>
      <c r="J170" s="26">
        <f t="shared" si="197"/>
        <v>2449747.2499999991</v>
      </c>
      <c r="K170" s="26">
        <f t="shared" si="197"/>
        <v>2449747.2499999991</v>
      </c>
      <c r="L170" s="26">
        <f t="shared" ref="L170" si="198">SUM(L168:L169)</f>
        <v>0</v>
      </c>
      <c r="M170" s="26">
        <f t="shared" ref="M170" si="199">SUM(M168:M169)</f>
        <v>0</v>
      </c>
      <c r="N170" s="26">
        <f t="shared" ref="N170" si="200">SUM(N168:N169)</f>
        <v>0</v>
      </c>
      <c r="O170" s="26">
        <f t="shared" ref="O170:P170" si="201">SUM(O168:O169)</f>
        <v>0</v>
      </c>
      <c r="P170" s="26">
        <f t="shared" si="201"/>
        <v>6307906.7499999925</v>
      </c>
    </row>
    <row r="171" spans="1:16" s="6" customFormat="1" outlineLevel="1" collapsed="1" x14ac:dyDescent="0.2">
      <c r="A171" s="30"/>
      <c r="B171" s="48" t="str">
        <f t="shared" si="144"/>
        <v>Квартальная премия</v>
      </c>
      <c r="C171" s="47" t="str">
        <f t="shared" si="144"/>
        <v>Quarterly bonus</v>
      </c>
      <c r="D171" s="46">
        <f>D170+D167+D164</f>
        <v>2449747.25</v>
      </c>
      <c r="E171" s="45">
        <f>E170+E167+E164</f>
        <v>2449747.2499999991</v>
      </c>
      <c r="F171" s="45">
        <f t="shared" ref="F171:K171" si="202">F170+F167+F164</f>
        <v>2449747.2499999991</v>
      </c>
      <c r="G171" s="45">
        <f t="shared" si="202"/>
        <v>2449747.2499999991</v>
      </c>
      <c r="H171" s="45">
        <f t="shared" si="202"/>
        <v>2449747.2499999991</v>
      </c>
      <c r="I171" s="45">
        <f t="shared" si="202"/>
        <v>2449747.2499999991</v>
      </c>
      <c r="J171" s="45">
        <f t="shared" si="202"/>
        <v>2449747.2499999991</v>
      </c>
      <c r="K171" s="45">
        <f t="shared" si="202"/>
        <v>2449747.2499999991</v>
      </c>
      <c r="L171" s="45">
        <f t="shared" ref="L171" si="203">L170+L167+L164</f>
        <v>0</v>
      </c>
      <c r="M171" s="45">
        <f t="shared" ref="M171" si="204">M170+M167+M164</f>
        <v>0</v>
      </c>
      <c r="N171" s="45">
        <f t="shared" ref="N171" si="205">N170+N167+N164</f>
        <v>0</v>
      </c>
      <c r="O171" s="45">
        <f t="shared" ref="O171:P171" si="206">O170+O167+O164</f>
        <v>0</v>
      </c>
      <c r="P171" s="45">
        <f t="shared" si="206"/>
        <v>19597977.999999993</v>
      </c>
    </row>
    <row r="172" spans="1:16" s="6" customFormat="1" x14ac:dyDescent="0.2">
      <c r="B172" s="21" t="str">
        <f t="shared" si="144"/>
        <v>ФОТ до бонуса</v>
      </c>
      <c r="C172" s="20" t="str">
        <f t="shared" si="144"/>
        <v>FIX compensation before Bonus</v>
      </c>
      <c r="D172" s="19">
        <f>D171+D161+D148+D145</f>
        <v>2087093.6900000018</v>
      </c>
      <c r="E172" s="18">
        <f>E171+E161+E148+E145</f>
        <v>-11643567.803076476</v>
      </c>
      <c r="F172" s="18">
        <f t="shared" ref="F172:K172" si="207">F171+F161+F148+F145</f>
        <v>-11643567.803076476</v>
      </c>
      <c r="G172" s="18">
        <f t="shared" si="207"/>
        <v>-11643567.803076476</v>
      </c>
      <c r="H172" s="18">
        <f t="shared" si="207"/>
        <v>-11643567.803076476</v>
      </c>
      <c r="I172" s="18">
        <f t="shared" si="207"/>
        <v>-11643567.803076476</v>
      </c>
      <c r="J172" s="18">
        <f t="shared" si="207"/>
        <v>-11643567.803076476</v>
      </c>
      <c r="K172" s="18">
        <f t="shared" si="207"/>
        <v>-11643567.803076476</v>
      </c>
      <c r="L172" s="18">
        <f t="shared" ref="L172" si="208">L171+L161+L148+L145</f>
        <v>0</v>
      </c>
      <c r="M172" s="18">
        <f t="shared" ref="M172" si="209">M171+M161+M148+M145</f>
        <v>0</v>
      </c>
      <c r="N172" s="18">
        <f t="shared" ref="N172" si="210">N171+N161+N148+N145</f>
        <v>0</v>
      </c>
      <c r="O172" s="18">
        <f t="shared" ref="O172:P172" si="211">O171+O161+O148+O145</f>
        <v>0</v>
      </c>
      <c r="P172" s="18">
        <f t="shared" si="211"/>
        <v>-79417880.931535304</v>
      </c>
    </row>
    <row r="173" spans="1:16" ht="12.75" hidden="1" customHeight="1" outlineLevel="3" x14ac:dyDescent="0.2">
      <c r="B173" s="38" t="str">
        <f t="shared" ref="B173:C187" si="212">B53</f>
        <v>Резерв бонуса прошлых лет</v>
      </c>
      <c r="C173" s="37" t="str">
        <f t="shared" si="212"/>
        <v>Under-/overaccruals - cash</v>
      </c>
      <c r="D173" s="36">
        <f>D53-D116</f>
        <v>0</v>
      </c>
      <c r="E173" s="40">
        <f>E53-E116</f>
        <v>0</v>
      </c>
      <c r="F173" s="40">
        <f t="shared" ref="F173:K173" si="213">F53-F116</f>
        <v>0</v>
      </c>
      <c r="G173" s="40">
        <f t="shared" si="213"/>
        <v>0</v>
      </c>
      <c r="H173" s="40">
        <f t="shared" si="213"/>
        <v>0</v>
      </c>
      <c r="I173" s="40">
        <f t="shared" si="213"/>
        <v>0</v>
      </c>
      <c r="J173" s="40">
        <f t="shared" si="213"/>
        <v>0</v>
      </c>
      <c r="K173" s="40">
        <f t="shared" si="213"/>
        <v>0</v>
      </c>
      <c r="L173" s="40">
        <f t="shared" ref="L173:P173" si="214">L53-L116</f>
        <v>0</v>
      </c>
      <c r="M173" s="40">
        <f t="shared" si="214"/>
        <v>0</v>
      </c>
      <c r="N173" s="40">
        <f t="shared" si="214"/>
        <v>0</v>
      </c>
      <c r="O173" s="40">
        <f t="shared" si="214"/>
        <v>0</v>
      </c>
      <c r="P173" s="40">
        <f t="shared" si="214"/>
        <v>0</v>
      </c>
    </row>
    <row r="174" spans="1:16" ht="12.75" hidden="1" customHeight="1" outlineLevel="3" x14ac:dyDescent="0.2">
      <c r="B174" s="38" t="str">
        <f t="shared" si="212"/>
        <v>Страховые взносы, резерв бонуса прошлых лет</v>
      </c>
      <c r="C174" s="37" t="str">
        <f t="shared" si="212"/>
        <v>Under-/overaccruals - contribution to social secur</v>
      </c>
      <c r="D174" s="36">
        <f>D54-D117</f>
        <v>0</v>
      </c>
      <c r="E174" s="40">
        <f>E54-E117</f>
        <v>0</v>
      </c>
      <c r="F174" s="40">
        <f t="shared" ref="F174:K174" si="215">F54-F117</f>
        <v>0</v>
      </c>
      <c r="G174" s="40">
        <f t="shared" si="215"/>
        <v>0</v>
      </c>
      <c r="H174" s="40">
        <f t="shared" si="215"/>
        <v>0</v>
      </c>
      <c r="I174" s="40">
        <f t="shared" si="215"/>
        <v>0</v>
      </c>
      <c r="J174" s="40">
        <f t="shared" si="215"/>
        <v>0</v>
      </c>
      <c r="K174" s="40">
        <f t="shared" si="215"/>
        <v>0</v>
      </c>
      <c r="L174" s="40">
        <f t="shared" ref="L174:P174" si="216">L54-L117</f>
        <v>0</v>
      </c>
      <c r="M174" s="40">
        <f t="shared" si="216"/>
        <v>0</v>
      </c>
      <c r="N174" s="40">
        <f t="shared" si="216"/>
        <v>0</v>
      </c>
      <c r="O174" s="40">
        <f t="shared" si="216"/>
        <v>0</v>
      </c>
      <c r="P174" s="40">
        <f t="shared" si="216"/>
        <v>0</v>
      </c>
    </row>
    <row r="175" spans="1:16" s="6" customFormat="1" hidden="1" outlineLevel="1" collapsed="1" x14ac:dyDescent="0.2">
      <c r="A175" s="30"/>
      <c r="B175" s="48" t="str">
        <f t="shared" si="212"/>
        <v>Итого Резерв бонуса прошлых лет</v>
      </c>
      <c r="C175" s="47" t="str">
        <f t="shared" si="212"/>
        <v>Total Under-/overaccruals - cash</v>
      </c>
      <c r="D175" s="46">
        <f>SUM(D173:D174)</f>
        <v>0</v>
      </c>
      <c r="E175" s="45">
        <f>SUM(E173:E174)</f>
        <v>0</v>
      </c>
      <c r="F175" s="45">
        <f t="shared" ref="F175:K175" si="217">SUM(F173:F174)</f>
        <v>0</v>
      </c>
      <c r="G175" s="45">
        <f t="shared" si="217"/>
        <v>0</v>
      </c>
      <c r="H175" s="45">
        <f t="shared" si="217"/>
        <v>0</v>
      </c>
      <c r="I175" s="45">
        <f t="shared" si="217"/>
        <v>0</v>
      </c>
      <c r="J175" s="45">
        <f t="shared" si="217"/>
        <v>0</v>
      </c>
      <c r="K175" s="45">
        <f t="shared" si="217"/>
        <v>0</v>
      </c>
      <c r="L175" s="45">
        <f t="shared" ref="L175" si="218">SUM(L173:L174)</f>
        <v>0</v>
      </c>
      <c r="M175" s="45">
        <f t="shared" ref="M175" si="219">SUM(M173:M174)</f>
        <v>0</v>
      </c>
      <c r="N175" s="45">
        <f t="shared" ref="N175" si="220">SUM(N173:N174)</f>
        <v>0</v>
      </c>
      <c r="O175" s="45">
        <f t="shared" ref="O175:P175" si="221">SUM(O173:O174)</f>
        <v>0</v>
      </c>
      <c r="P175" s="45">
        <f t="shared" si="221"/>
        <v>0</v>
      </c>
    </row>
    <row r="176" spans="1:16" s="6" customFormat="1" collapsed="1" x14ac:dyDescent="0.2">
      <c r="B176" s="21" t="str">
        <f t="shared" si="212"/>
        <v>Резерв бонуса прошлых лет</v>
      </c>
      <c r="C176" s="20" t="str">
        <f t="shared" si="212"/>
        <v>Under-/overaccruals - cash</v>
      </c>
      <c r="D176" s="19">
        <f>D175</f>
        <v>0</v>
      </c>
      <c r="E176" s="18">
        <f>E175</f>
        <v>0</v>
      </c>
      <c r="F176" s="18">
        <f t="shared" ref="F176:K176" si="222">F175</f>
        <v>0</v>
      </c>
      <c r="G176" s="18">
        <f t="shared" si="222"/>
        <v>0</v>
      </c>
      <c r="H176" s="18">
        <f t="shared" si="222"/>
        <v>0</v>
      </c>
      <c r="I176" s="18">
        <f t="shared" si="222"/>
        <v>0</v>
      </c>
      <c r="J176" s="18">
        <f t="shared" si="222"/>
        <v>0</v>
      </c>
      <c r="K176" s="18">
        <f t="shared" si="222"/>
        <v>0</v>
      </c>
      <c r="L176" s="18">
        <f t="shared" ref="L176" si="223">L175</f>
        <v>0</v>
      </c>
      <c r="M176" s="18">
        <f t="shared" ref="M176" si="224">M175</f>
        <v>0</v>
      </c>
      <c r="N176" s="18">
        <f t="shared" ref="N176" si="225">N175</f>
        <v>0</v>
      </c>
      <c r="O176" s="18">
        <f t="shared" ref="O176:P176" si="226">O175</f>
        <v>0</v>
      </c>
      <c r="P176" s="18">
        <f t="shared" si="226"/>
        <v>0</v>
      </c>
    </row>
    <row r="177" spans="1:16" ht="12.75" hidden="1" customHeight="1" outlineLevel="3" x14ac:dyDescent="0.2">
      <c r="B177" s="38" t="str">
        <f t="shared" si="212"/>
        <v>Резерв годового бонуса</v>
      </c>
      <c r="C177" s="37" t="str">
        <f t="shared" si="212"/>
        <v>Bonus discretionary Accrual</v>
      </c>
      <c r="D177" s="41">
        <f>D57-D120</f>
        <v>294014180.62210083</v>
      </c>
      <c r="E177" s="40">
        <f>E57-E120</f>
        <v>0</v>
      </c>
      <c r="F177" s="40">
        <f t="shared" ref="F177:K177" si="227">F57-F120</f>
        <v>0</v>
      </c>
      <c r="G177" s="40">
        <f t="shared" si="227"/>
        <v>0</v>
      </c>
      <c r="H177" s="40">
        <f t="shared" si="227"/>
        <v>0</v>
      </c>
      <c r="I177" s="40">
        <f t="shared" si="227"/>
        <v>0</v>
      </c>
      <c r="J177" s="40">
        <f t="shared" si="227"/>
        <v>0</v>
      </c>
      <c r="K177" s="40">
        <f t="shared" si="227"/>
        <v>0</v>
      </c>
      <c r="L177" s="40">
        <f t="shared" ref="L177:P177" si="228">L57-L120</f>
        <v>0</v>
      </c>
      <c r="M177" s="40">
        <f t="shared" si="228"/>
        <v>0</v>
      </c>
      <c r="N177" s="40">
        <f t="shared" si="228"/>
        <v>0</v>
      </c>
      <c r="O177" s="40">
        <f t="shared" si="228"/>
        <v>0</v>
      </c>
      <c r="P177" s="40">
        <f t="shared" si="228"/>
        <v>294014180.62210083</v>
      </c>
    </row>
    <row r="178" spans="1:16" ht="12.75" hidden="1" customHeight="1" outlineLevel="3" x14ac:dyDescent="0.2">
      <c r="B178" s="38" t="str">
        <f t="shared" si="212"/>
        <v>Страховые взносы, резерв годового бонуса</v>
      </c>
      <c r="C178" s="37" t="str">
        <f t="shared" si="212"/>
        <v>Social Security on discretionary Bonus Accrual</v>
      </c>
      <c r="D178" s="41">
        <f>D58-D121</f>
        <v>54392623.41508875</v>
      </c>
      <c r="E178" s="40">
        <f>E58-E121</f>
        <v>0</v>
      </c>
      <c r="F178" s="40">
        <f t="shared" ref="F178:K178" si="229">F58-F121</f>
        <v>0</v>
      </c>
      <c r="G178" s="40">
        <f t="shared" si="229"/>
        <v>0</v>
      </c>
      <c r="H178" s="40">
        <f t="shared" si="229"/>
        <v>0</v>
      </c>
      <c r="I178" s="40">
        <f t="shared" si="229"/>
        <v>0</v>
      </c>
      <c r="J178" s="40">
        <f t="shared" si="229"/>
        <v>0</v>
      </c>
      <c r="K178" s="40">
        <f t="shared" si="229"/>
        <v>0</v>
      </c>
      <c r="L178" s="40">
        <f t="shared" ref="L178:P178" si="230">L58-L121</f>
        <v>0</v>
      </c>
      <c r="M178" s="40">
        <f t="shared" si="230"/>
        <v>0</v>
      </c>
      <c r="N178" s="40">
        <f t="shared" si="230"/>
        <v>0</v>
      </c>
      <c r="O178" s="40">
        <f t="shared" si="230"/>
        <v>0</v>
      </c>
      <c r="P178" s="40">
        <f t="shared" si="230"/>
        <v>54392623.41508875</v>
      </c>
    </row>
    <row r="179" spans="1:16" s="6" customFormat="1" hidden="1" outlineLevel="2" x14ac:dyDescent="0.2">
      <c r="A179" s="30"/>
      <c r="B179" s="29" t="str">
        <f t="shared" si="212"/>
        <v>Итого резерв годового бонуса</v>
      </c>
      <c r="C179" s="42" t="str">
        <f t="shared" si="212"/>
        <v>Total Bonus discretionary Accrual</v>
      </c>
      <c r="D179" s="27">
        <f>SUM(D177:D178)</f>
        <v>348406804.0371896</v>
      </c>
      <c r="E179" s="26">
        <f>SUM(E177:E178)</f>
        <v>0</v>
      </c>
      <c r="F179" s="26">
        <f t="shared" ref="F179:K179" si="231">SUM(F177:F178)</f>
        <v>0</v>
      </c>
      <c r="G179" s="26">
        <f t="shared" si="231"/>
        <v>0</v>
      </c>
      <c r="H179" s="26">
        <f t="shared" si="231"/>
        <v>0</v>
      </c>
      <c r="I179" s="26">
        <f t="shared" si="231"/>
        <v>0</v>
      </c>
      <c r="J179" s="26">
        <f t="shared" si="231"/>
        <v>0</v>
      </c>
      <c r="K179" s="26">
        <f t="shared" si="231"/>
        <v>0</v>
      </c>
      <c r="L179" s="26">
        <f t="shared" ref="L179" si="232">SUM(L177:L178)</f>
        <v>0</v>
      </c>
      <c r="M179" s="26">
        <f t="shared" ref="M179" si="233">SUM(M177:M178)</f>
        <v>0</v>
      </c>
      <c r="N179" s="26">
        <f t="shared" ref="N179" si="234">SUM(N177:N178)</f>
        <v>0</v>
      </c>
      <c r="O179" s="26">
        <f t="shared" ref="O179:P179" si="235">SUM(O177:O178)</f>
        <v>0</v>
      </c>
      <c r="P179" s="26">
        <f t="shared" si="235"/>
        <v>348406804.0371896</v>
      </c>
    </row>
    <row r="180" spans="1:16" ht="12.75" hidden="1" customHeight="1" outlineLevel="3" x14ac:dyDescent="0.2">
      <c r="B180" s="38" t="str">
        <f t="shared" si="212"/>
        <v>Сторно резерва годового бонуса бонуса</v>
      </c>
      <c r="C180" s="37" t="str">
        <f t="shared" si="212"/>
        <v>Reverse Bonus discretionary Accrual</v>
      </c>
      <c r="D180" s="41">
        <f>D60-D123</f>
        <v>0</v>
      </c>
      <c r="E180" s="40">
        <f>E60-E123</f>
        <v>0</v>
      </c>
      <c r="F180" s="40">
        <f t="shared" ref="F180:K180" si="236">F60-F123</f>
        <v>0</v>
      </c>
      <c r="G180" s="40">
        <f t="shared" si="236"/>
        <v>0</v>
      </c>
      <c r="H180" s="40">
        <f t="shared" si="236"/>
        <v>0</v>
      </c>
      <c r="I180" s="40">
        <f t="shared" si="236"/>
        <v>0</v>
      </c>
      <c r="J180" s="40">
        <f t="shared" si="236"/>
        <v>0</v>
      </c>
      <c r="K180" s="40">
        <f t="shared" si="236"/>
        <v>0</v>
      </c>
      <c r="L180" s="40">
        <f t="shared" ref="L180:P180" si="237">L60-L123</f>
        <v>0</v>
      </c>
      <c r="M180" s="40">
        <f t="shared" si="237"/>
        <v>0</v>
      </c>
      <c r="N180" s="40">
        <f t="shared" si="237"/>
        <v>0</v>
      </c>
      <c r="O180" s="40">
        <f t="shared" si="237"/>
        <v>0</v>
      </c>
      <c r="P180" s="40">
        <f t="shared" si="237"/>
        <v>0</v>
      </c>
    </row>
    <row r="181" spans="1:16" ht="12.75" hidden="1" customHeight="1" outlineLevel="3" x14ac:dyDescent="0.2">
      <c r="B181" s="38" t="str">
        <f t="shared" si="212"/>
        <v>Страховые взносы, сторно резерва годового бонуса</v>
      </c>
      <c r="C181" s="37" t="str">
        <f t="shared" si="212"/>
        <v>Social Security on Bonus discretionary Accrual</v>
      </c>
      <c r="D181" s="41">
        <f>D61-D124</f>
        <v>0</v>
      </c>
      <c r="E181" s="40">
        <f>E61-E124</f>
        <v>0</v>
      </c>
      <c r="F181" s="40">
        <f t="shared" ref="F181:K181" si="238">F61-F124</f>
        <v>0</v>
      </c>
      <c r="G181" s="40">
        <f t="shared" si="238"/>
        <v>0</v>
      </c>
      <c r="H181" s="40">
        <f t="shared" si="238"/>
        <v>0</v>
      </c>
      <c r="I181" s="40">
        <f t="shared" si="238"/>
        <v>0</v>
      </c>
      <c r="J181" s="40">
        <f t="shared" si="238"/>
        <v>0</v>
      </c>
      <c r="K181" s="40">
        <f t="shared" si="238"/>
        <v>0</v>
      </c>
      <c r="L181" s="40">
        <f t="shared" ref="L181:P181" si="239">L61-L124</f>
        <v>0</v>
      </c>
      <c r="M181" s="40">
        <f t="shared" si="239"/>
        <v>0</v>
      </c>
      <c r="N181" s="40">
        <f t="shared" si="239"/>
        <v>0</v>
      </c>
      <c r="O181" s="40">
        <f t="shared" si="239"/>
        <v>0</v>
      </c>
      <c r="P181" s="40">
        <f t="shared" si="239"/>
        <v>0</v>
      </c>
    </row>
    <row r="182" spans="1:16" s="6" customFormat="1" hidden="1" outlineLevel="2" x14ac:dyDescent="0.2">
      <c r="A182" s="30"/>
      <c r="B182" s="29" t="str">
        <f t="shared" si="212"/>
        <v>Итого сторно резерва годового бонуса</v>
      </c>
      <c r="C182" s="42" t="str">
        <f t="shared" si="212"/>
        <v>Total  Reverse Bonus discretionary Accrual</v>
      </c>
      <c r="D182" s="27">
        <f>SUM(D180:D181)</f>
        <v>0</v>
      </c>
      <c r="E182" s="26">
        <f>SUM(E180:E181)</f>
        <v>0</v>
      </c>
      <c r="F182" s="26">
        <f t="shared" ref="F182:K182" si="240">SUM(F180:F181)</f>
        <v>0</v>
      </c>
      <c r="G182" s="26">
        <f t="shared" si="240"/>
        <v>0</v>
      </c>
      <c r="H182" s="26">
        <f t="shared" si="240"/>
        <v>0</v>
      </c>
      <c r="I182" s="26">
        <f t="shared" si="240"/>
        <v>0</v>
      </c>
      <c r="J182" s="26">
        <f t="shared" si="240"/>
        <v>0</v>
      </c>
      <c r="K182" s="26">
        <f t="shared" si="240"/>
        <v>0</v>
      </c>
      <c r="L182" s="26">
        <f t="shared" ref="L182" si="241">SUM(L180:L181)</f>
        <v>0</v>
      </c>
      <c r="M182" s="26">
        <f t="shared" ref="M182" si="242">SUM(M180:M181)</f>
        <v>0</v>
      </c>
      <c r="N182" s="26">
        <f t="shared" ref="N182" si="243">SUM(N180:N181)</f>
        <v>0</v>
      </c>
      <c r="O182" s="26">
        <f t="shared" ref="O182:P182" si="244">SUM(O180:O181)</f>
        <v>0</v>
      </c>
      <c r="P182" s="26">
        <f t="shared" si="244"/>
        <v>0</v>
      </c>
    </row>
    <row r="183" spans="1:16" ht="12.75" hidden="1" customHeight="1" outlineLevel="3" x14ac:dyDescent="0.2">
      <c r="B183" s="38" t="str">
        <f t="shared" si="212"/>
        <v>Годовой бонус</v>
      </c>
      <c r="C183" s="37" t="str">
        <f t="shared" si="212"/>
        <v>Bonus discretionary cash</v>
      </c>
      <c r="D183" s="41">
        <f>D63-D126</f>
        <v>701098647.87403357</v>
      </c>
      <c r="E183" s="40">
        <f>E63-E126</f>
        <v>0</v>
      </c>
      <c r="F183" s="40">
        <f t="shared" ref="F183:K183" si="245">F63-F126</f>
        <v>0</v>
      </c>
      <c r="G183" s="40">
        <f t="shared" si="245"/>
        <v>0</v>
      </c>
      <c r="H183" s="40">
        <f t="shared" si="245"/>
        <v>0</v>
      </c>
      <c r="I183" s="40">
        <f t="shared" si="245"/>
        <v>0</v>
      </c>
      <c r="J183" s="40">
        <f t="shared" si="245"/>
        <v>0</v>
      </c>
      <c r="K183" s="40">
        <f t="shared" si="245"/>
        <v>0</v>
      </c>
      <c r="L183" s="40">
        <f t="shared" ref="L183:P183" si="246">L63-L126</f>
        <v>0</v>
      </c>
      <c r="M183" s="40">
        <f t="shared" si="246"/>
        <v>0</v>
      </c>
      <c r="N183" s="40">
        <f t="shared" si="246"/>
        <v>0</v>
      </c>
      <c r="O183" s="40">
        <f t="shared" si="246"/>
        <v>0</v>
      </c>
      <c r="P183" s="40">
        <f t="shared" si="246"/>
        <v>701098647.87403393</v>
      </c>
    </row>
    <row r="184" spans="1:16" ht="12.75" hidden="1" customHeight="1" outlineLevel="3" x14ac:dyDescent="0.2">
      <c r="B184" s="38" t="str">
        <f t="shared" si="212"/>
        <v>Страховые взносы, годовой бонус</v>
      </c>
      <c r="C184" s="37" t="str">
        <f t="shared" si="212"/>
        <v>Social Security on discretionary Bonus cash</v>
      </c>
      <c r="D184" s="36">
        <f>D64-D127</f>
        <v>57630515.471696198</v>
      </c>
      <c r="E184" s="35">
        <f>E64-E127</f>
        <v>-1.6391277313232422E-7</v>
      </c>
      <c r="F184" s="35">
        <f t="shared" ref="F184:K184" si="247">F64-F127</f>
        <v>-1.6391277313232422E-7</v>
      </c>
      <c r="G184" s="35">
        <f t="shared" si="247"/>
        <v>-1.6391277313232422E-7</v>
      </c>
      <c r="H184" s="35">
        <f t="shared" si="247"/>
        <v>-1.6391277313232422E-7</v>
      </c>
      <c r="I184" s="35">
        <f t="shared" si="247"/>
        <v>-1.6391277313232422E-7</v>
      </c>
      <c r="J184" s="35">
        <f t="shared" si="247"/>
        <v>-1.6391277313232422E-7</v>
      </c>
      <c r="K184" s="35">
        <f t="shared" si="247"/>
        <v>-1.6391277313232422E-7</v>
      </c>
      <c r="L184" s="35">
        <f t="shared" ref="L184:P184" si="248">L64-L127</f>
        <v>0</v>
      </c>
      <c r="M184" s="35">
        <f t="shared" si="248"/>
        <v>0</v>
      </c>
      <c r="N184" s="35">
        <f t="shared" si="248"/>
        <v>0</v>
      </c>
      <c r="O184" s="35">
        <f t="shared" si="248"/>
        <v>0</v>
      </c>
      <c r="P184" s="35">
        <f t="shared" si="248"/>
        <v>57630515.471695006</v>
      </c>
    </row>
    <row r="185" spans="1:16" s="6" customFormat="1" hidden="1" outlineLevel="2" x14ac:dyDescent="0.2">
      <c r="A185" s="30"/>
      <c r="B185" s="29" t="str">
        <f t="shared" si="212"/>
        <v>Итого годовой бонус</v>
      </c>
      <c r="C185" s="28" t="str">
        <f t="shared" si="212"/>
        <v>Total Bonus discretionary cash</v>
      </c>
      <c r="D185" s="27">
        <f>SUM(D183:D184)</f>
        <v>758729163.34572983</v>
      </c>
      <c r="E185" s="26">
        <f>SUM(E183:E184)</f>
        <v>-1.6391277313232422E-7</v>
      </c>
      <c r="F185" s="26">
        <f t="shared" ref="F185:K185" si="249">SUM(F183:F184)</f>
        <v>-1.6391277313232422E-7</v>
      </c>
      <c r="G185" s="26">
        <f t="shared" si="249"/>
        <v>-1.6391277313232422E-7</v>
      </c>
      <c r="H185" s="26">
        <f t="shared" si="249"/>
        <v>-1.6391277313232422E-7</v>
      </c>
      <c r="I185" s="26">
        <f t="shared" si="249"/>
        <v>-1.6391277313232422E-7</v>
      </c>
      <c r="J185" s="26">
        <f t="shared" si="249"/>
        <v>-1.6391277313232422E-7</v>
      </c>
      <c r="K185" s="26">
        <f t="shared" si="249"/>
        <v>-1.6391277313232422E-7</v>
      </c>
      <c r="L185" s="26">
        <f t="shared" ref="L185" si="250">SUM(L183:L184)</f>
        <v>0</v>
      </c>
      <c r="M185" s="26">
        <f t="shared" ref="M185" si="251">SUM(M183:M184)</f>
        <v>0</v>
      </c>
      <c r="N185" s="26">
        <f t="shared" ref="N185" si="252">SUM(N183:N184)</f>
        <v>0</v>
      </c>
      <c r="O185" s="26">
        <f t="shared" ref="O185:P185" si="253">SUM(O183:O184)</f>
        <v>0</v>
      </c>
      <c r="P185" s="26">
        <f t="shared" si="253"/>
        <v>758729163.34572887</v>
      </c>
    </row>
    <row r="186" spans="1:16" ht="15.75" customHeight="1" collapsed="1" x14ac:dyDescent="0.2">
      <c r="B186" s="21" t="str">
        <f t="shared" si="212"/>
        <v>Годовой бонус</v>
      </c>
      <c r="C186" s="20" t="str">
        <f t="shared" si="212"/>
        <v>Bonus discretionary</v>
      </c>
      <c r="D186" s="19">
        <f>D185+D182+D179</f>
        <v>1107135967.3829193</v>
      </c>
      <c r="E186" s="18">
        <f>E185+E182+E179</f>
        <v>-1.6391277313232422E-7</v>
      </c>
      <c r="F186" s="18">
        <f t="shared" ref="F186:K186" si="254">F185+F182+F179</f>
        <v>-1.6391277313232422E-7</v>
      </c>
      <c r="G186" s="18">
        <f t="shared" si="254"/>
        <v>-1.6391277313232422E-7</v>
      </c>
      <c r="H186" s="18">
        <f t="shared" si="254"/>
        <v>-1.6391277313232422E-7</v>
      </c>
      <c r="I186" s="18">
        <f t="shared" si="254"/>
        <v>-1.6391277313232422E-7</v>
      </c>
      <c r="J186" s="18">
        <f t="shared" si="254"/>
        <v>-1.6391277313232422E-7</v>
      </c>
      <c r="K186" s="18">
        <f t="shared" si="254"/>
        <v>-1.6391277313232422E-7</v>
      </c>
      <c r="L186" s="18">
        <f t="shared" ref="L186" si="255">L185+L182+L179</f>
        <v>0</v>
      </c>
      <c r="M186" s="18">
        <f t="shared" ref="M186" si="256">M185+M182+M179</f>
        <v>0</v>
      </c>
      <c r="N186" s="18">
        <f t="shared" ref="N186" si="257">N185+N182+N179</f>
        <v>0</v>
      </c>
      <c r="O186" s="18">
        <f t="shared" ref="O186:P186" si="258">O185+O182+O179</f>
        <v>0</v>
      </c>
      <c r="P186" s="18">
        <f t="shared" si="258"/>
        <v>1107135967.3829184</v>
      </c>
    </row>
    <row r="187" spans="1:16" s="6" customFormat="1" ht="18.75" customHeight="1" x14ac:dyDescent="0.2">
      <c r="B187" s="13" t="str">
        <f t="shared" si="212"/>
        <v>Итого компенсации и льготы</v>
      </c>
      <c r="C187" s="12" t="str">
        <f t="shared" si="212"/>
        <v>Total Compencation &amp; Benefits</v>
      </c>
      <c r="D187" s="9">
        <f>D172+D186+D176</f>
        <v>1109223061.0729194</v>
      </c>
      <c r="E187" s="11">
        <f>E172+E186+E176</f>
        <v>-11643567.80307664</v>
      </c>
      <c r="F187" s="11">
        <f t="shared" ref="F187:K187" si="259">F172+F186+F176</f>
        <v>-11643567.80307664</v>
      </c>
      <c r="G187" s="11">
        <f t="shared" si="259"/>
        <v>-11643567.80307664</v>
      </c>
      <c r="H187" s="11">
        <f t="shared" si="259"/>
        <v>-11643567.80307664</v>
      </c>
      <c r="I187" s="11">
        <f t="shared" si="259"/>
        <v>-11643567.80307664</v>
      </c>
      <c r="J187" s="11">
        <f t="shared" si="259"/>
        <v>-11643567.80307664</v>
      </c>
      <c r="K187" s="11">
        <f t="shared" si="259"/>
        <v>-11643567.80307664</v>
      </c>
      <c r="L187" s="11">
        <f t="shared" ref="L187" si="260">L172+L186+L176</f>
        <v>0</v>
      </c>
      <c r="M187" s="11">
        <f t="shared" ref="M187" si="261">M172+M186+M176</f>
        <v>0</v>
      </c>
      <c r="N187" s="11">
        <f t="shared" ref="N187" si="262">N172+N186+N176</f>
        <v>0</v>
      </c>
      <c r="O187" s="11">
        <f t="shared" ref="O187:P187" si="263">O172+O186+O176</f>
        <v>0</v>
      </c>
      <c r="P187" s="11">
        <f t="shared" si="263"/>
        <v>1027718086.4513831</v>
      </c>
    </row>
    <row r="188" spans="1:16" x14ac:dyDescent="0.2">
      <c r="N188" s="3"/>
    </row>
    <row r="189" spans="1:16" x14ac:dyDescent="0.2">
      <c r="N189" s="3"/>
    </row>
    <row r="190" spans="1:16" x14ac:dyDescent="0.2">
      <c r="A190" s="5">
        <v>1</v>
      </c>
      <c r="B190" s="136" t="s">
        <v>180</v>
      </c>
      <c r="N190" s="3"/>
    </row>
    <row r="191" spans="1:16" x14ac:dyDescent="0.2">
      <c r="A191" s="5">
        <v>2</v>
      </c>
      <c r="B191" s="5" t="s">
        <v>5</v>
      </c>
      <c r="N191" s="3"/>
    </row>
    <row r="192" spans="1:16" x14ac:dyDescent="0.2">
      <c r="A192" s="5">
        <v>3</v>
      </c>
      <c r="B192" s="5" t="s">
        <v>4</v>
      </c>
      <c r="N192" s="3"/>
    </row>
    <row r="193" spans="1:14" x14ac:dyDescent="0.2">
      <c r="A193" s="5">
        <v>4</v>
      </c>
      <c r="B193" s="5" t="s">
        <v>3</v>
      </c>
      <c r="N193" s="3"/>
    </row>
    <row r="194" spans="1:14" x14ac:dyDescent="0.2">
      <c r="A194" s="5">
        <v>5</v>
      </c>
      <c r="B194" s="5" t="s">
        <v>2</v>
      </c>
      <c r="N194" s="3"/>
    </row>
    <row r="195" spans="1:14" x14ac:dyDescent="0.2">
      <c r="A195" s="5">
        <v>6</v>
      </c>
      <c r="B195" s="5" t="s">
        <v>1</v>
      </c>
      <c r="N195" s="3"/>
    </row>
    <row r="196" spans="1:14" x14ac:dyDescent="0.2">
      <c r="A196" s="5">
        <v>7</v>
      </c>
      <c r="B196" s="5" t="s">
        <v>0</v>
      </c>
      <c r="N196" s="3"/>
    </row>
    <row r="197" spans="1:14" x14ac:dyDescent="0.2">
      <c r="A197" s="4"/>
      <c r="B197" s="4"/>
      <c r="N197" s="3"/>
    </row>
    <row r="198" spans="1:14" x14ac:dyDescent="0.2">
      <c r="N198" s="3"/>
    </row>
    <row r="199" spans="1:14" x14ac:dyDescent="0.2">
      <c r="N199" s="3"/>
    </row>
    <row r="200" spans="1:14" x14ac:dyDescent="0.2">
      <c r="N200" s="3"/>
    </row>
    <row r="201" spans="1:14" x14ac:dyDescent="0.2">
      <c r="N201" s="3"/>
    </row>
    <row r="202" spans="1:14" x14ac:dyDescent="0.2">
      <c r="N202" s="3"/>
    </row>
    <row r="203" spans="1:14" x14ac:dyDescent="0.2">
      <c r="N203" s="3"/>
    </row>
    <row r="204" spans="1:14" x14ac:dyDescent="0.2">
      <c r="N204" s="3"/>
    </row>
    <row r="205" spans="1:14" x14ac:dyDescent="0.2">
      <c r="N205" s="3"/>
    </row>
    <row r="206" spans="1:14" x14ac:dyDescent="0.2">
      <c r="N206" s="3"/>
    </row>
    <row r="207" spans="1:14" x14ac:dyDescent="0.2">
      <c r="N207" s="3"/>
    </row>
    <row r="208" spans="1:14" x14ac:dyDescent="0.2">
      <c r="N208" s="3"/>
    </row>
    <row r="209" spans="14:14" x14ac:dyDescent="0.2">
      <c r="N209" s="3"/>
    </row>
    <row r="210" spans="14:14" x14ac:dyDescent="0.2">
      <c r="N210" s="3"/>
    </row>
    <row r="211" spans="14:14" x14ac:dyDescent="0.2">
      <c r="N211" s="3"/>
    </row>
    <row r="212" spans="14:14" x14ac:dyDescent="0.2">
      <c r="N212" s="3"/>
    </row>
    <row r="213" spans="14:14" x14ac:dyDescent="0.2">
      <c r="N213" s="3"/>
    </row>
    <row r="214" spans="14:14" x14ac:dyDescent="0.2">
      <c r="N214" s="3"/>
    </row>
    <row r="215" spans="14:14" x14ac:dyDescent="0.2">
      <c r="N215" s="3"/>
    </row>
    <row r="216" spans="14:14" x14ac:dyDescent="0.2">
      <c r="N216" s="3"/>
    </row>
    <row r="217" spans="14:14" x14ac:dyDescent="0.2">
      <c r="N217" s="3"/>
    </row>
    <row r="218" spans="14:14" x14ac:dyDescent="0.2">
      <c r="N218" s="3"/>
    </row>
    <row r="219" spans="14:14" x14ac:dyDescent="0.2">
      <c r="N219" s="3"/>
    </row>
    <row r="220" spans="14:14" x14ac:dyDescent="0.2">
      <c r="N220" s="3"/>
    </row>
    <row r="221" spans="14:14" x14ac:dyDescent="0.2">
      <c r="N221" s="3"/>
    </row>
    <row r="222" spans="14:14" x14ac:dyDescent="0.2">
      <c r="N222" s="3"/>
    </row>
    <row r="223" spans="14:14" x14ac:dyDescent="0.2">
      <c r="N223" s="3"/>
    </row>
    <row r="224" spans="14:14" x14ac:dyDescent="0.2">
      <c r="N224" s="3"/>
    </row>
    <row r="225" spans="14:14" x14ac:dyDescent="0.2">
      <c r="N225" s="3"/>
    </row>
    <row r="226" spans="14:14" x14ac:dyDescent="0.2">
      <c r="N226" s="3"/>
    </row>
    <row r="227" spans="14:14" x14ac:dyDescent="0.2">
      <c r="N227" s="3"/>
    </row>
    <row r="228" spans="14:14" x14ac:dyDescent="0.2">
      <c r="N228" s="3"/>
    </row>
    <row r="229" spans="14:14" x14ac:dyDescent="0.2">
      <c r="N229" s="3"/>
    </row>
    <row r="230" spans="14:14" x14ac:dyDescent="0.2">
      <c r="N230" s="3"/>
    </row>
    <row r="231" spans="14:14" x14ac:dyDescent="0.2">
      <c r="N231" s="3"/>
    </row>
    <row r="232" spans="14:14" x14ac:dyDescent="0.2">
      <c r="N232" s="3"/>
    </row>
    <row r="233" spans="14:14" x14ac:dyDescent="0.2">
      <c r="N233" s="3"/>
    </row>
    <row r="234" spans="14:14" x14ac:dyDescent="0.2">
      <c r="N234" s="3"/>
    </row>
    <row r="235" spans="14:14" x14ac:dyDescent="0.2">
      <c r="N235" s="3"/>
    </row>
    <row r="236" spans="14:14" x14ac:dyDescent="0.2">
      <c r="N236" s="3"/>
    </row>
    <row r="237" spans="14:14" x14ac:dyDescent="0.2">
      <c r="N237" s="3"/>
    </row>
    <row r="238" spans="14:14" x14ac:dyDescent="0.2">
      <c r="N238" s="3"/>
    </row>
    <row r="239" spans="14:14" x14ac:dyDescent="0.2">
      <c r="N239" s="3"/>
    </row>
    <row r="240" spans="14:14" x14ac:dyDescent="0.2">
      <c r="N240" s="3"/>
    </row>
    <row r="241" spans="14:14" x14ac:dyDescent="0.2">
      <c r="N241" s="3"/>
    </row>
    <row r="242" spans="14:14" x14ac:dyDescent="0.2">
      <c r="N242" s="3"/>
    </row>
    <row r="243" spans="14:14" x14ac:dyDescent="0.2">
      <c r="N243" s="3"/>
    </row>
    <row r="244" spans="14:14" x14ac:dyDescent="0.2">
      <c r="N244" s="3"/>
    </row>
    <row r="245" spans="14:14" x14ac:dyDescent="0.2">
      <c r="N245" s="3"/>
    </row>
    <row r="246" spans="14:14" x14ac:dyDescent="0.2">
      <c r="N246" s="3"/>
    </row>
    <row r="247" spans="14:14" x14ac:dyDescent="0.2">
      <c r="N247" s="3"/>
    </row>
    <row r="248" spans="14:14" x14ac:dyDescent="0.2">
      <c r="N248" s="3"/>
    </row>
    <row r="249" spans="14:14" x14ac:dyDescent="0.2">
      <c r="N249" s="3"/>
    </row>
    <row r="250" spans="14:14" x14ac:dyDescent="0.2">
      <c r="N250" s="3"/>
    </row>
    <row r="251" spans="14:14" x14ac:dyDescent="0.2">
      <c r="N251" s="3"/>
    </row>
    <row r="252" spans="14:14" x14ac:dyDescent="0.2">
      <c r="N252" s="3"/>
    </row>
    <row r="253" spans="14:14" x14ac:dyDescent="0.2">
      <c r="N253" s="3"/>
    </row>
    <row r="254" spans="14:14" x14ac:dyDescent="0.2">
      <c r="N254" s="3"/>
    </row>
    <row r="255" spans="14:14" x14ac:dyDescent="0.2">
      <c r="N255" s="3"/>
    </row>
    <row r="256" spans="14:14" x14ac:dyDescent="0.2">
      <c r="N256" s="3"/>
    </row>
    <row r="257" spans="14:14" x14ac:dyDescent="0.2">
      <c r="N257" s="3"/>
    </row>
    <row r="258" spans="14:14" x14ac:dyDescent="0.2">
      <c r="N258" s="3"/>
    </row>
    <row r="259" spans="14:14" x14ac:dyDescent="0.2">
      <c r="N259" s="3"/>
    </row>
    <row r="260" spans="14:14" x14ac:dyDescent="0.2">
      <c r="N260" s="3"/>
    </row>
    <row r="261" spans="14:14" x14ac:dyDescent="0.2">
      <c r="N261" s="3"/>
    </row>
    <row r="262" spans="14:14" x14ac:dyDescent="0.2">
      <c r="N262" s="3"/>
    </row>
    <row r="263" spans="14:14" x14ac:dyDescent="0.2">
      <c r="N263" s="3"/>
    </row>
    <row r="264" spans="14:14" x14ac:dyDescent="0.2">
      <c r="N264" s="3"/>
    </row>
    <row r="265" spans="14:14" x14ac:dyDescent="0.2">
      <c r="N265" s="3"/>
    </row>
    <row r="266" spans="14:14" x14ac:dyDescent="0.2">
      <c r="N266" s="3"/>
    </row>
    <row r="267" spans="14:14" x14ac:dyDescent="0.2">
      <c r="N267" s="3"/>
    </row>
    <row r="268" spans="14:14" x14ac:dyDescent="0.2">
      <c r="N268" s="3"/>
    </row>
    <row r="269" spans="14:14" x14ac:dyDescent="0.2">
      <c r="N269" s="3"/>
    </row>
    <row r="270" spans="14:14" x14ac:dyDescent="0.2">
      <c r="N270" s="3"/>
    </row>
    <row r="271" spans="14:14" x14ac:dyDescent="0.2">
      <c r="N271" s="3"/>
    </row>
    <row r="272" spans="14:14" x14ac:dyDescent="0.2">
      <c r="N272" s="3"/>
    </row>
    <row r="273" spans="14:14" x14ac:dyDescent="0.2">
      <c r="N273" s="3"/>
    </row>
    <row r="274" spans="14:14" x14ac:dyDescent="0.2">
      <c r="N274" s="3"/>
    </row>
    <row r="275" spans="14:14" x14ac:dyDescent="0.2">
      <c r="N275" s="3"/>
    </row>
    <row r="276" spans="14:14" x14ac:dyDescent="0.2">
      <c r="N276" s="3"/>
    </row>
    <row r="277" spans="14:14" x14ac:dyDescent="0.2">
      <c r="N277" s="3"/>
    </row>
    <row r="278" spans="14:14" x14ac:dyDescent="0.2">
      <c r="N278" s="3"/>
    </row>
    <row r="279" spans="14:14" x14ac:dyDescent="0.2">
      <c r="N279" s="3"/>
    </row>
    <row r="280" spans="14:14" x14ac:dyDescent="0.2">
      <c r="N280" s="3"/>
    </row>
    <row r="281" spans="14:14" x14ac:dyDescent="0.2">
      <c r="N281" s="3"/>
    </row>
    <row r="282" spans="14:14" x14ac:dyDescent="0.2">
      <c r="N282" s="3"/>
    </row>
    <row r="283" spans="14:14" x14ac:dyDescent="0.2">
      <c r="N283" s="3"/>
    </row>
    <row r="284" spans="14:14" x14ac:dyDescent="0.2">
      <c r="N284" s="3"/>
    </row>
    <row r="285" spans="14:14" x14ac:dyDescent="0.2">
      <c r="N285" s="3"/>
    </row>
    <row r="286" spans="14:14" x14ac:dyDescent="0.2">
      <c r="N286" s="3"/>
    </row>
    <row r="287" spans="14:14" x14ac:dyDescent="0.2">
      <c r="N287" s="3"/>
    </row>
    <row r="288" spans="14:14" x14ac:dyDescent="0.2">
      <c r="N288" s="3"/>
    </row>
    <row r="289" spans="14:14" x14ac:dyDescent="0.2">
      <c r="N289" s="3"/>
    </row>
    <row r="290" spans="14:14" x14ac:dyDescent="0.2">
      <c r="N290" s="3"/>
    </row>
    <row r="291" spans="14:14" x14ac:dyDescent="0.2">
      <c r="N291" s="3"/>
    </row>
    <row r="292" spans="14:14" x14ac:dyDescent="0.2">
      <c r="N292" s="3"/>
    </row>
    <row r="293" spans="14:14" x14ac:dyDescent="0.2">
      <c r="N293" s="3"/>
    </row>
    <row r="294" spans="14:14" x14ac:dyDescent="0.2">
      <c r="N294" s="3"/>
    </row>
    <row r="295" spans="14:14" x14ac:dyDescent="0.2">
      <c r="N295" s="3"/>
    </row>
    <row r="296" spans="14:14" x14ac:dyDescent="0.2">
      <c r="N296" s="3"/>
    </row>
    <row r="297" spans="14:14" x14ac:dyDescent="0.2">
      <c r="N297" s="3"/>
    </row>
    <row r="298" spans="14:14" x14ac:dyDescent="0.2">
      <c r="N298" s="3"/>
    </row>
    <row r="299" spans="14:14" x14ac:dyDescent="0.2">
      <c r="N299" s="3"/>
    </row>
    <row r="300" spans="14:14" x14ac:dyDescent="0.2">
      <c r="N300" s="3"/>
    </row>
    <row r="301" spans="14:14" x14ac:dyDescent="0.2">
      <c r="N301" s="3"/>
    </row>
    <row r="302" spans="14:14" x14ac:dyDescent="0.2">
      <c r="N302" s="3"/>
    </row>
    <row r="303" spans="14:14" x14ac:dyDescent="0.2">
      <c r="N303" s="3"/>
    </row>
    <row r="304" spans="14:14" x14ac:dyDescent="0.2">
      <c r="N304" s="3"/>
    </row>
    <row r="305" spans="14:14" x14ac:dyDescent="0.2">
      <c r="N305" s="3"/>
    </row>
    <row r="306" spans="14:14" x14ac:dyDescent="0.2">
      <c r="N306" s="3"/>
    </row>
    <row r="307" spans="14:14" x14ac:dyDescent="0.2">
      <c r="N307" s="3"/>
    </row>
    <row r="308" spans="14:14" x14ac:dyDescent="0.2">
      <c r="N308" s="3"/>
    </row>
    <row r="309" spans="14:14" x14ac:dyDescent="0.2">
      <c r="N309" s="3"/>
    </row>
    <row r="310" spans="14:14" x14ac:dyDescent="0.2">
      <c r="N310" s="3"/>
    </row>
    <row r="311" spans="14:14" x14ac:dyDescent="0.2">
      <c r="N311" s="3"/>
    </row>
    <row r="312" spans="14:14" x14ac:dyDescent="0.2">
      <c r="N312" s="3"/>
    </row>
    <row r="313" spans="14:14" x14ac:dyDescent="0.2">
      <c r="N313" s="3"/>
    </row>
    <row r="314" spans="14:14" x14ac:dyDescent="0.2">
      <c r="N314" s="3"/>
    </row>
    <row r="315" spans="14:14" x14ac:dyDescent="0.2">
      <c r="N315" s="3"/>
    </row>
    <row r="316" spans="14:14" x14ac:dyDescent="0.2">
      <c r="N316" s="3"/>
    </row>
    <row r="317" spans="14:14" x14ac:dyDescent="0.2">
      <c r="N317" s="3"/>
    </row>
    <row r="318" spans="14:14" x14ac:dyDescent="0.2">
      <c r="N318" s="3"/>
    </row>
    <row r="319" spans="14:14" x14ac:dyDescent="0.2">
      <c r="N319" s="3"/>
    </row>
    <row r="320" spans="14:14" x14ac:dyDescent="0.2">
      <c r="N320" s="3"/>
    </row>
    <row r="321" spans="14:14" x14ac:dyDescent="0.2">
      <c r="N321" s="3"/>
    </row>
    <row r="322" spans="14:14" x14ac:dyDescent="0.2">
      <c r="N322" s="3"/>
    </row>
    <row r="323" spans="14:14" x14ac:dyDescent="0.2">
      <c r="N323" s="3"/>
    </row>
    <row r="324" spans="14:14" x14ac:dyDescent="0.2">
      <c r="N324" s="3"/>
    </row>
    <row r="325" spans="14:14" x14ac:dyDescent="0.2">
      <c r="N325" s="3"/>
    </row>
    <row r="326" spans="14:14" x14ac:dyDescent="0.2">
      <c r="N326" s="3"/>
    </row>
    <row r="327" spans="14:14" x14ac:dyDescent="0.2">
      <c r="N327" s="3"/>
    </row>
    <row r="328" spans="14:14" x14ac:dyDescent="0.2">
      <c r="N328" s="3"/>
    </row>
    <row r="329" spans="14:14" x14ac:dyDescent="0.2">
      <c r="N329" s="3"/>
    </row>
    <row r="330" spans="14:14" x14ac:dyDescent="0.2">
      <c r="N330" s="3"/>
    </row>
    <row r="331" spans="14:14" x14ac:dyDescent="0.2">
      <c r="N331" s="3"/>
    </row>
    <row r="332" spans="14:14" x14ac:dyDescent="0.2">
      <c r="N332" s="3"/>
    </row>
    <row r="333" spans="14:14" x14ac:dyDescent="0.2">
      <c r="N333" s="3"/>
    </row>
    <row r="334" spans="14:14" x14ac:dyDescent="0.2">
      <c r="N334" s="3"/>
    </row>
    <row r="335" spans="14:14" x14ac:dyDescent="0.2">
      <c r="N335" s="3"/>
    </row>
    <row r="336" spans="14:14" x14ac:dyDescent="0.2">
      <c r="N336" s="3"/>
    </row>
    <row r="337" spans="14:14" x14ac:dyDescent="0.2">
      <c r="N337" s="3"/>
    </row>
    <row r="338" spans="14:14" x14ac:dyDescent="0.2">
      <c r="N338" s="3"/>
    </row>
    <row r="339" spans="14:14" x14ac:dyDescent="0.2">
      <c r="N339" s="3"/>
    </row>
    <row r="340" spans="14:14" x14ac:dyDescent="0.2">
      <c r="N340" s="3"/>
    </row>
    <row r="341" spans="14:14" x14ac:dyDescent="0.2">
      <c r="N341" s="3"/>
    </row>
    <row r="342" spans="14:14" x14ac:dyDescent="0.2">
      <c r="N342" s="3"/>
    </row>
    <row r="343" spans="14:14" x14ac:dyDescent="0.2">
      <c r="N343" s="3"/>
    </row>
    <row r="344" spans="14:14" x14ac:dyDescent="0.2">
      <c r="N344" s="3"/>
    </row>
    <row r="345" spans="14:14" x14ac:dyDescent="0.2">
      <c r="N345" s="3"/>
    </row>
    <row r="346" spans="14:14" x14ac:dyDescent="0.2">
      <c r="N346" s="3"/>
    </row>
    <row r="347" spans="14:14" x14ac:dyDescent="0.2">
      <c r="N347" s="3"/>
    </row>
    <row r="348" spans="14:14" x14ac:dyDescent="0.2">
      <c r="N348" s="3"/>
    </row>
    <row r="349" spans="14:14" x14ac:dyDescent="0.2">
      <c r="N349" s="3"/>
    </row>
    <row r="350" spans="14:14" x14ac:dyDescent="0.2">
      <c r="N350" s="3"/>
    </row>
    <row r="351" spans="14:14" x14ac:dyDescent="0.2">
      <c r="N351" s="3"/>
    </row>
    <row r="352" spans="14:14" x14ac:dyDescent="0.2">
      <c r="N352" s="3"/>
    </row>
    <row r="353" spans="14:14" x14ac:dyDescent="0.2">
      <c r="N353" s="3"/>
    </row>
    <row r="354" spans="14:14" x14ac:dyDescent="0.2">
      <c r="N354" s="3"/>
    </row>
    <row r="355" spans="14:14" x14ac:dyDescent="0.2">
      <c r="N355" s="3"/>
    </row>
    <row r="356" spans="14:14" x14ac:dyDescent="0.2">
      <c r="N356" s="3"/>
    </row>
    <row r="357" spans="14:14" x14ac:dyDescent="0.2">
      <c r="N357" s="3"/>
    </row>
    <row r="358" spans="14:14" x14ac:dyDescent="0.2">
      <c r="N358" s="3"/>
    </row>
    <row r="359" spans="14:14" x14ac:dyDescent="0.2">
      <c r="N359" s="3"/>
    </row>
    <row r="360" spans="14:14" x14ac:dyDescent="0.2">
      <c r="N360" s="3"/>
    </row>
    <row r="361" spans="14:14" x14ac:dyDescent="0.2">
      <c r="N361" s="3"/>
    </row>
    <row r="362" spans="14:14" x14ac:dyDescent="0.2">
      <c r="N362" s="3"/>
    </row>
    <row r="363" spans="14:14" x14ac:dyDescent="0.2">
      <c r="N363" s="3"/>
    </row>
    <row r="364" spans="14:14" x14ac:dyDescent="0.2">
      <c r="N364" s="3"/>
    </row>
    <row r="365" spans="14:14" x14ac:dyDescent="0.2">
      <c r="N365" s="3"/>
    </row>
    <row r="366" spans="14:14" x14ac:dyDescent="0.2">
      <c r="N366" s="3"/>
    </row>
    <row r="367" spans="14:14" x14ac:dyDescent="0.2">
      <c r="N367" s="3"/>
    </row>
  </sheetData>
  <mergeCells count="1">
    <mergeCell ref="D10:P10"/>
  </mergeCells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AA190"/>
  <sheetViews>
    <sheetView showGridLines="0" zoomScale="80" zoomScaleNormal="80" workbookViewId="0">
      <pane ySplit="11" topLeftCell="A12" activePane="bottomLeft" state="frozen"/>
      <selection pane="bottomLeft" activeCell="G37" sqref="G37"/>
    </sheetView>
  </sheetViews>
  <sheetFormatPr defaultColWidth="9.140625" defaultRowHeight="12.75" x14ac:dyDescent="0.2"/>
  <cols>
    <col min="1" max="1" width="5" style="1" customWidth="1"/>
    <col min="2" max="2" width="21.7109375" style="1" customWidth="1"/>
    <col min="3" max="3" width="23.28515625" style="1" customWidth="1"/>
    <col min="4" max="7" width="18.85546875" style="1" customWidth="1"/>
    <col min="8" max="14" width="14.5703125" style="1" customWidth="1"/>
    <col min="15" max="15" width="13" style="1" bestFit="1" customWidth="1"/>
    <col min="16" max="18" width="12.42578125" style="1" customWidth="1"/>
    <col min="19" max="19" width="12.42578125" style="2" customWidth="1"/>
    <col min="20" max="26" width="12.42578125" style="1" customWidth="1"/>
    <col min="27" max="27" width="13.28515625" style="1" customWidth="1"/>
    <col min="28" max="16384" width="9.140625" style="1"/>
  </cols>
  <sheetData>
    <row r="1" spans="1:27" ht="31.5" x14ac:dyDescent="0.2">
      <c r="B1" s="139" t="s">
        <v>147</v>
      </c>
    </row>
    <row r="2" spans="1:27" x14ac:dyDescent="0.2">
      <c r="B2" s="135" t="s">
        <v>146</v>
      </c>
      <c r="C2" s="138" t="s">
        <v>145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</row>
    <row r="3" spans="1:27" x14ac:dyDescent="0.2">
      <c r="B3" s="135" t="s">
        <v>144</v>
      </c>
      <c r="C3" s="138" t="s">
        <v>150</v>
      </c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</row>
    <row r="4" spans="1:27" x14ac:dyDescent="0.2">
      <c r="B4" s="135" t="s">
        <v>151</v>
      </c>
      <c r="C4" s="138" t="s">
        <v>150</v>
      </c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</row>
    <row r="5" spans="1:27" ht="13.5" customHeight="1" x14ac:dyDescent="0.2">
      <c r="B5" s="135" t="s">
        <v>162</v>
      </c>
      <c r="C5" s="138" t="s">
        <v>163</v>
      </c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</row>
    <row r="6" spans="1:27" x14ac:dyDescent="0.2">
      <c r="B6" s="135" t="s">
        <v>143</v>
      </c>
      <c r="C6" s="138" t="s">
        <v>142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X6" s="136"/>
    </row>
    <row r="7" spans="1:27" x14ac:dyDescent="0.2">
      <c r="B7" s="135" t="s">
        <v>141</v>
      </c>
      <c r="C7" s="141">
        <v>46023</v>
      </c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P7" s="2"/>
      <c r="Q7" s="54"/>
      <c r="R7" s="54"/>
      <c r="X7" s="136"/>
      <c r="AA7" s="2"/>
    </row>
    <row r="8" spans="1:27" x14ac:dyDescent="0.2">
      <c r="B8" s="135" t="s">
        <v>140</v>
      </c>
      <c r="C8" s="141" t="s">
        <v>139</v>
      </c>
      <c r="D8" s="130"/>
      <c r="E8" s="130"/>
      <c r="F8" s="130"/>
      <c r="G8" s="130"/>
      <c r="H8" s="130"/>
      <c r="I8" s="130"/>
      <c r="J8" s="54"/>
      <c r="K8" s="54"/>
      <c r="L8" s="54"/>
      <c r="M8" s="54"/>
      <c r="N8" s="54"/>
      <c r="O8" s="54"/>
      <c r="P8" s="128"/>
      <c r="Q8" s="128"/>
      <c r="R8" s="129"/>
      <c r="S8" s="128"/>
      <c r="T8" s="128"/>
      <c r="U8" s="128"/>
      <c r="V8" s="128"/>
      <c r="W8" s="128"/>
      <c r="X8" s="128"/>
      <c r="Y8" s="128"/>
      <c r="Z8" s="128"/>
      <c r="AA8" s="128"/>
    </row>
    <row r="9" spans="1:27" ht="13.5" thickBot="1" x14ac:dyDescent="0.25">
      <c r="B9" s="131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28"/>
      <c r="P9" s="128"/>
      <c r="Q9" s="128"/>
      <c r="R9" s="129"/>
      <c r="S9" s="128"/>
      <c r="T9" s="128"/>
      <c r="U9" s="128"/>
      <c r="V9" s="128"/>
      <c r="W9" s="128"/>
      <c r="X9" s="128"/>
      <c r="Y9" s="128"/>
      <c r="Z9" s="128"/>
      <c r="AA9" s="128"/>
    </row>
    <row r="10" spans="1:27" ht="21.75" customHeight="1" thickTop="1" x14ac:dyDescent="0.2"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246" t="s">
        <v>134</v>
      </c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</row>
    <row r="11" spans="1:27" ht="34.5" customHeight="1" thickBot="1" x14ac:dyDescent="0.25">
      <c r="B11" s="220" t="s">
        <v>144</v>
      </c>
      <c r="C11" s="220" t="s">
        <v>173</v>
      </c>
      <c r="D11" s="220" t="s">
        <v>174</v>
      </c>
      <c r="E11" s="220" t="s">
        <v>175</v>
      </c>
      <c r="F11" s="220" t="s">
        <v>177</v>
      </c>
      <c r="G11" s="220" t="s">
        <v>176</v>
      </c>
      <c r="H11" s="220" t="s">
        <v>178</v>
      </c>
      <c r="I11" s="220"/>
      <c r="J11" s="220"/>
      <c r="K11" s="220"/>
      <c r="L11" s="220"/>
      <c r="M11" s="220"/>
      <c r="N11" s="126"/>
      <c r="O11" s="140">
        <v>46023</v>
      </c>
      <c r="P11" s="140">
        <v>46054</v>
      </c>
      <c r="Q11" s="140">
        <v>46082</v>
      </c>
      <c r="R11" s="140">
        <v>46113</v>
      </c>
      <c r="S11" s="140">
        <v>46143</v>
      </c>
      <c r="T11" s="140">
        <v>46174</v>
      </c>
      <c r="U11" s="140">
        <v>46204</v>
      </c>
      <c r="V11" s="140">
        <v>46235</v>
      </c>
      <c r="W11" s="140">
        <v>46266</v>
      </c>
      <c r="X11" s="140">
        <v>46296</v>
      </c>
      <c r="Y11" s="140">
        <v>46327</v>
      </c>
      <c r="Z11" s="140">
        <v>46357</v>
      </c>
      <c r="AA11" s="140" t="s">
        <v>161</v>
      </c>
    </row>
    <row r="12" spans="1:27" ht="13.5" thickTop="1" x14ac:dyDescent="0.2">
      <c r="A12" s="54"/>
      <c r="B12" s="62" t="s">
        <v>128</v>
      </c>
      <c r="C12" s="145" t="s">
        <v>127</v>
      </c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61">
        <v>135195586.78999999</v>
      </c>
      <c r="P12" s="60">
        <v>145701750</v>
      </c>
      <c r="Q12" s="60">
        <v>145701750</v>
      </c>
      <c r="R12" s="60">
        <v>145701750</v>
      </c>
      <c r="S12" s="60">
        <v>145701750</v>
      </c>
      <c r="T12" s="60">
        <v>145701750</v>
      </c>
      <c r="U12" s="60">
        <v>145701750</v>
      </c>
      <c r="V12" s="60">
        <v>145701750</v>
      </c>
      <c r="W12" s="60">
        <v>0</v>
      </c>
      <c r="X12" s="60">
        <v>0</v>
      </c>
      <c r="Y12" s="60">
        <v>0</v>
      </c>
      <c r="Z12" s="60">
        <v>0</v>
      </c>
      <c r="AA12" s="60">
        <f>SUM(O12:Z12)</f>
        <v>1155107836.79</v>
      </c>
    </row>
    <row r="13" spans="1:27" x14ac:dyDescent="0.2">
      <c r="A13" s="54"/>
      <c r="B13" s="49" t="s">
        <v>126</v>
      </c>
      <c r="C13" s="146" t="s">
        <v>125</v>
      </c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41">
        <v>27369683.629999999</v>
      </c>
      <c r="P13" s="40">
        <v>26954823.75</v>
      </c>
      <c r="Q13" s="40">
        <v>26954823.75</v>
      </c>
      <c r="R13" s="40">
        <v>26954823.75</v>
      </c>
      <c r="S13" s="40">
        <v>26954823.75</v>
      </c>
      <c r="T13" s="40">
        <v>26954823.75</v>
      </c>
      <c r="U13" s="40">
        <v>26954823.75</v>
      </c>
      <c r="V13" s="40">
        <v>26954823.75</v>
      </c>
      <c r="W13" s="40">
        <v>0</v>
      </c>
      <c r="X13" s="40">
        <v>0</v>
      </c>
      <c r="Y13" s="40">
        <v>0</v>
      </c>
      <c r="Z13" s="40">
        <v>0</v>
      </c>
      <c r="AA13" s="40">
        <f t="shared" ref="AA13" si="0">SUM(O13:Z13)</f>
        <v>216053449.88</v>
      </c>
    </row>
    <row r="14" spans="1:27" s="80" customFormat="1" x14ac:dyDescent="0.2"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2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 spans="1:27" x14ac:dyDescent="0.2">
      <c r="S15" s="1"/>
    </row>
    <row r="16" spans="1:27" x14ac:dyDescent="0.2">
      <c r="A16" s="5">
        <v>4</v>
      </c>
      <c r="B16" s="5" t="s">
        <v>3</v>
      </c>
      <c r="Y16" s="3"/>
    </row>
    <row r="17" spans="1:25" x14ac:dyDescent="0.2">
      <c r="A17" s="5">
        <v>5</v>
      </c>
      <c r="B17" s="5" t="s">
        <v>2</v>
      </c>
      <c r="Y17" s="3"/>
    </row>
    <row r="18" spans="1:25" x14ac:dyDescent="0.2">
      <c r="A18" s="5">
        <v>6</v>
      </c>
      <c r="B18" s="5" t="s">
        <v>1</v>
      </c>
      <c r="Y18" s="3"/>
    </row>
    <row r="19" spans="1:25" x14ac:dyDescent="0.2">
      <c r="A19" s="5">
        <v>7</v>
      </c>
      <c r="B19" s="5" t="s">
        <v>0</v>
      </c>
      <c r="Y19" s="3"/>
    </row>
    <row r="20" spans="1:25" x14ac:dyDescent="0.2">
      <c r="A20" s="4"/>
      <c r="B20" s="4"/>
      <c r="Y20" s="3"/>
    </row>
    <row r="21" spans="1:25" x14ac:dyDescent="0.2">
      <c r="Y21" s="3"/>
    </row>
    <row r="22" spans="1:25" x14ac:dyDescent="0.2">
      <c r="Y22" s="3"/>
    </row>
    <row r="23" spans="1:25" x14ac:dyDescent="0.2">
      <c r="Y23" s="3"/>
    </row>
    <row r="24" spans="1:25" x14ac:dyDescent="0.2">
      <c r="Y24" s="3"/>
    </row>
    <row r="25" spans="1:25" x14ac:dyDescent="0.2">
      <c r="Y25" s="3"/>
    </row>
    <row r="26" spans="1:25" x14ac:dyDescent="0.2">
      <c r="Y26" s="3"/>
    </row>
    <row r="27" spans="1:25" x14ac:dyDescent="0.2">
      <c r="Y27" s="3"/>
    </row>
    <row r="28" spans="1:25" x14ac:dyDescent="0.2">
      <c r="Y28" s="3"/>
    </row>
    <row r="29" spans="1:25" x14ac:dyDescent="0.2">
      <c r="Y29" s="3"/>
    </row>
    <row r="30" spans="1:25" x14ac:dyDescent="0.2">
      <c r="Y30" s="3"/>
    </row>
    <row r="31" spans="1:25" x14ac:dyDescent="0.2">
      <c r="Y31" s="3"/>
    </row>
    <row r="32" spans="1:25" x14ac:dyDescent="0.2">
      <c r="Y32" s="3"/>
    </row>
    <row r="33" spans="25:25" x14ac:dyDescent="0.2">
      <c r="Y33" s="3"/>
    </row>
    <row r="34" spans="25:25" x14ac:dyDescent="0.2">
      <c r="Y34" s="3"/>
    </row>
    <row r="35" spans="25:25" x14ac:dyDescent="0.2">
      <c r="Y35" s="3"/>
    </row>
    <row r="36" spans="25:25" x14ac:dyDescent="0.2">
      <c r="Y36" s="3"/>
    </row>
    <row r="37" spans="25:25" x14ac:dyDescent="0.2">
      <c r="Y37" s="3"/>
    </row>
    <row r="38" spans="25:25" x14ac:dyDescent="0.2">
      <c r="Y38" s="3"/>
    </row>
    <row r="39" spans="25:25" x14ac:dyDescent="0.2">
      <c r="Y39" s="3"/>
    </row>
    <row r="40" spans="25:25" x14ac:dyDescent="0.2">
      <c r="Y40" s="3"/>
    </row>
    <row r="41" spans="25:25" x14ac:dyDescent="0.2">
      <c r="Y41" s="3"/>
    </row>
    <row r="42" spans="25:25" x14ac:dyDescent="0.2">
      <c r="Y42" s="3"/>
    </row>
    <row r="43" spans="25:25" x14ac:dyDescent="0.2">
      <c r="Y43" s="3"/>
    </row>
    <row r="44" spans="25:25" x14ac:dyDescent="0.2">
      <c r="Y44" s="3"/>
    </row>
    <row r="45" spans="25:25" x14ac:dyDescent="0.2">
      <c r="Y45" s="3"/>
    </row>
    <row r="46" spans="25:25" x14ac:dyDescent="0.2">
      <c r="Y46" s="3"/>
    </row>
    <row r="47" spans="25:25" x14ac:dyDescent="0.2">
      <c r="Y47" s="3"/>
    </row>
    <row r="48" spans="25:25" x14ac:dyDescent="0.2">
      <c r="Y48" s="3"/>
    </row>
    <row r="49" spans="25:25" x14ac:dyDescent="0.2">
      <c r="Y49" s="3"/>
    </row>
    <row r="50" spans="25:25" x14ac:dyDescent="0.2">
      <c r="Y50" s="3"/>
    </row>
    <row r="51" spans="25:25" x14ac:dyDescent="0.2">
      <c r="Y51" s="3"/>
    </row>
    <row r="52" spans="25:25" x14ac:dyDescent="0.2">
      <c r="Y52" s="3"/>
    </row>
    <row r="53" spans="25:25" x14ac:dyDescent="0.2">
      <c r="Y53" s="3"/>
    </row>
    <row r="54" spans="25:25" x14ac:dyDescent="0.2">
      <c r="Y54" s="3"/>
    </row>
    <row r="55" spans="25:25" x14ac:dyDescent="0.2">
      <c r="Y55" s="3"/>
    </row>
    <row r="56" spans="25:25" x14ac:dyDescent="0.2">
      <c r="Y56" s="3"/>
    </row>
    <row r="57" spans="25:25" x14ac:dyDescent="0.2">
      <c r="Y57" s="3"/>
    </row>
    <row r="58" spans="25:25" x14ac:dyDescent="0.2">
      <c r="Y58" s="3"/>
    </row>
    <row r="59" spans="25:25" x14ac:dyDescent="0.2">
      <c r="Y59" s="3"/>
    </row>
    <row r="60" spans="25:25" x14ac:dyDescent="0.2">
      <c r="Y60" s="3"/>
    </row>
    <row r="61" spans="25:25" x14ac:dyDescent="0.2">
      <c r="Y61" s="3"/>
    </row>
    <row r="62" spans="25:25" x14ac:dyDescent="0.2">
      <c r="Y62" s="3"/>
    </row>
    <row r="63" spans="25:25" x14ac:dyDescent="0.2">
      <c r="Y63" s="3"/>
    </row>
    <row r="64" spans="25:25" x14ac:dyDescent="0.2">
      <c r="Y64" s="3"/>
    </row>
    <row r="65" spans="25:25" x14ac:dyDescent="0.2">
      <c r="Y65" s="3"/>
    </row>
    <row r="66" spans="25:25" x14ac:dyDescent="0.2">
      <c r="Y66" s="3"/>
    </row>
    <row r="67" spans="25:25" x14ac:dyDescent="0.2">
      <c r="Y67" s="3"/>
    </row>
    <row r="68" spans="25:25" x14ac:dyDescent="0.2">
      <c r="Y68" s="3"/>
    </row>
    <row r="69" spans="25:25" x14ac:dyDescent="0.2">
      <c r="Y69" s="3"/>
    </row>
    <row r="70" spans="25:25" x14ac:dyDescent="0.2">
      <c r="Y70" s="3"/>
    </row>
    <row r="71" spans="25:25" x14ac:dyDescent="0.2">
      <c r="Y71" s="3"/>
    </row>
    <row r="72" spans="25:25" x14ac:dyDescent="0.2">
      <c r="Y72" s="3"/>
    </row>
    <row r="73" spans="25:25" x14ac:dyDescent="0.2">
      <c r="Y73" s="3"/>
    </row>
    <row r="74" spans="25:25" x14ac:dyDescent="0.2">
      <c r="Y74" s="3"/>
    </row>
    <row r="75" spans="25:25" x14ac:dyDescent="0.2">
      <c r="Y75" s="3"/>
    </row>
    <row r="76" spans="25:25" x14ac:dyDescent="0.2">
      <c r="Y76" s="3"/>
    </row>
    <row r="77" spans="25:25" x14ac:dyDescent="0.2">
      <c r="Y77" s="3"/>
    </row>
    <row r="78" spans="25:25" x14ac:dyDescent="0.2">
      <c r="Y78" s="3"/>
    </row>
    <row r="79" spans="25:25" x14ac:dyDescent="0.2">
      <c r="Y79" s="3"/>
    </row>
    <row r="80" spans="25:25" x14ac:dyDescent="0.2">
      <c r="Y80" s="3"/>
    </row>
    <row r="81" spans="25:25" x14ac:dyDescent="0.2">
      <c r="Y81" s="3"/>
    </row>
    <row r="82" spans="25:25" x14ac:dyDescent="0.2">
      <c r="Y82" s="3"/>
    </row>
    <row r="83" spans="25:25" x14ac:dyDescent="0.2">
      <c r="Y83" s="3"/>
    </row>
    <row r="84" spans="25:25" x14ac:dyDescent="0.2">
      <c r="Y84" s="3"/>
    </row>
    <row r="85" spans="25:25" x14ac:dyDescent="0.2">
      <c r="Y85" s="3"/>
    </row>
    <row r="86" spans="25:25" x14ac:dyDescent="0.2">
      <c r="Y86" s="3"/>
    </row>
    <row r="87" spans="25:25" x14ac:dyDescent="0.2">
      <c r="Y87" s="3"/>
    </row>
    <row r="88" spans="25:25" x14ac:dyDescent="0.2">
      <c r="Y88" s="3"/>
    </row>
    <row r="89" spans="25:25" x14ac:dyDescent="0.2">
      <c r="Y89" s="3"/>
    </row>
    <row r="90" spans="25:25" x14ac:dyDescent="0.2">
      <c r="Y90" s="3"/>
    </row>
    <row r="91" spans="25:25" x14ac:dyDescent="0.2">
      <c r="Y91" s="3"/>
    </row>
    <row r="92" spans="25:25" x14ac:dyDescent="0.2">
      <c r="Y92" s="3"/>
    </row>
    <row r="93" spans="25:25" x14ac:dyDescent="0.2">
      <c r="Y93" s="3"/>
    </row>
    <row r="94" spans="25:25" x14ac:dyDescent="0.2">
      <c r="Y94" s="3"/>
    </row>
    <row r="95" spans="25:25" x14ac:dyDescent="0.2">
      <c r="Y95" s="3"/>
    </row>
    <row r="96" spans="25:25" x14ac:dyDescent="0.2">
      <c r="Y96" s="3"/>
    </row>
    <row r="97" spans="25:25" x14ac:dyDescent="0.2">
      <c r="Y97" s="3"/>
    </row>
    <row r="98" spans="25:25" x14ac:dyDescent="0.2">
      <c r="Y98" s="3"/>
    </row>
    <row r="99" spans="25:25" x14ac:dyDescent="0.2">
      <c r="Y99" s="3"/>
    </row>
    <row r="100" spans="25:25" x14ac:dyDescent="0.2">
      <c r="Y100" s="3"/>
    </row>
    <row r="101" spans="25:25" x14ac:dyDescent="0.2">
      <c r="Y101" s="3"/>
    </row>
    <row r="102" spans="25:25" x14ac:dyDescent="0.2">
      <c r="Y102" s="3"/>
    </row>
    <row r="103" spans="25:25" x14ac:dyDescent="0.2">
      <c r="Y103" s="3"/>
    </row>
    <row r="104" spans="25:25" x14ac:dyDescent="0.2">
      <c r="Y104" s="3"/>
    </row>
    <row r="105" spans="25:25" x14ac:dyDescent="0.2">
      <c r="Y105" s="3"/>
    </row>
    <row r="106" spans="25:25" x14ac:dyDescent="0.2">
      <c r="Y106" s="3"/>
    </row>
    <row r="107" spans="25:25" x14ac:dyDescent="0.2">
      <c r="Y107" s="3"/>
    </row>
    <row r="108" spans="25:25" x14ac:dyDescent="0.2">
      <c r="Y108" s="3"/>
    </row>
    <row r="109" spans="25:25" x14ac:dyDescent="0.2">
      <c r="Y109" s="3"/>
    </row>
    <row r="110" spans="25:25" x14ac:dyDescent="0.2">
      <c r="Y110" s="3"/>
    </row>
    <row r="111" spans="25:25" x14ac:dyDescent="0.2">
      <c r="Y111" s="3"/>
    </row>
    <row r="112" spans="25:25" x14ac:dyDescent="0.2">
      <c r="Y112" s="3"/>
    </row>
    <row r="113" spans="25:25" x14ac:dyDescent="0.2">
      <c r="Y113" s="3"/>
    </row>
    <row r="114" spans="25:25" x14ac:dyDescent="0.2">
      <c r="Y114" s="3"/>
    </row>
    <row r="115" spans="25:25" x14ac:dyDescent="0.2">
      <c r="Y115" s="3"/>
    </row>
    <row r="116" spans="25:25" x14ac:dyDescent="0.2">
      <c r="Y116" s="3"/>
    </row>
    <row r="117" spans="25:25" x14ac:dyDescent="0.2">
      <c r="Y117" s="3"/>
    </row>
    <row r="118" spans="25:25" x14ac:dyDescent="0.2">
      <c r="Y118" s="3"/>
    </row>
    <row r="119" spans="25:25" x14ac:dyDescent="0.2">
      <c r="Y119" s="3"/>
    </row>
    <row r="120" spans="25:25" x14ac:dyDescent="0.2">
      <c r="Y120" s="3"/>
    </row>
    <row r="121" spans="25:25" x14ac:dyDescent="0.2">
      <c r="Y121" s="3"/>
    </row>
    <row r="122" spans="25:25" x14ac:dyDescent="0.2">
      <c r="Y122" s="3"/>
    </row>
    <row r="123" spans="25:25" x14ac:dyDescent="0.2">
      <c r="Y123" s="3"/>
    </row>
    <row r="124" spans="25:25" x14ac:dyDescent="0.2">
      <c r="Y124" s="3"/>
    </row>
    <row r="125" spans="25:25" x14ac:dyDescent="0.2">
      <c r="Y125" s="3"/>
    </row>
    <row r="126" spans="25:25" x14ac:dyDescent="0.2">
      <c r="Y126" s="3"/>
    </row>
    <row r="127" spans="25:25" x14ac:dyDescent="0.2">
      <c r="Y127" s="3"/>
    </row>
    <row r="128" spans="25:25" x14ac:dyDescent="0.2">
      <c r="Y128" s="3"/>
    </row>
    <row r="129" spans="25:25" x14ac:dyDescent="0.2">
      <c r="Y129" s="3"/>
    </row>
    <row r="130" spans="25:25" x14ac:dyDescent="0.2">
      <c r="Y130" s="3"/>
    </row>
    <row r="131" spans="25:25" x14ac:dyDescent="0.2">
      <c r="Y131" s="3"/>
    </row>
    <row r="132" spans="25:25" x14ac:dyDescent="0.2">
      <c r="Y132" s="3"/>
    </row>
    <row r="133" spans="25:25" x14ac:dyDescent="0.2">
      <c r="Y133" s="3"/>
    </row>
    <row r="134" spans="25:25" x14ac:dyDescent="0.2">
      <c r="Y134" s="3"/>
    </row>
    <row r="135" spans="25:25" x14ac:dyDescent="0.2">
      <c r="Y135" s="3"/>
    </row>
    <row r="136" spans="25:25" x14ac:dyDescent="0.2">
      <c r="Y136" s="3"/>
    </row>
    <row r="137" spans="25:25" x14ac:dyDescent="0.2">
      <c r="Y137" s="3"/>
    </row>
    <row r="138" spans="25:25" x14ac:dyDescent="0.2">
      <c r="Y138" s="3"/>
    </row>
    <row r="139" spans="25:25" x14ac:dyDescent="0.2">
      <c r="Y139" s="3"/>
    </row>
    <row r="140" spans="25:25" x14ac:dyDescent="0.2">
      <c r="Y140" s="3"/>
    </row>
    <row r="141" spans="25:25" x14ac:dyDescent="0.2">
      <c r="Y141" s="3"/>
    </row>
    <row r="142" spans="25:25" x14ac:dyDescent="0.2">
      <c r="Y142" s="3"/>
    </row>
    <row r="143" spans="25:25" x14ac:dyDescent="0.2">
      <c r="Y143" s="3"/>
    </row>
    <row r="144" spans="25:25" x14ac:dyDescent="0.2">
      <c r="Y144" s="3"/>
    </row>
    <row r="145" spans="25:25" x14ac:dyDescent="0.2">
      <c r="Y145" s="3"/>
    </row>
    <row r="146" spans="25:25" x14ac:dyDescent="0.2">
      <c r="Y146" s="3"/>
    </row>
    <row r="147" spans="25:25" x14ac:dyDescent="0.2">
      <c r="Y147" s="3"/>
    </row>
    <row r="148" spans="25:25" x14ac:dyDescent="0.2">
      <c r="Y148" s="3"/>
    </row>
    <row r="149" spans="25:25" x14ac:dyDescent="0.2">
      <c r="Y149" s="3"/>
    </row>
    <row r="150" spans="25:25" x14ac:dyDescent="0.2">
      <c r="Y150" s="3"/>
    </row>
    <row r="151" spans="25:25" x14ac:dyDescent="0.2">
      <c r="Y151" s="3"/>
    </row>
    <row r="152" spans="25:25" x14ac:dyDescent="0.2">
      <c r="Y152" s="3"/>
    </row>
    <row r="153" spans="25:25" x14ac:dyDescent="0.2">
      <c r="Y153" s="3"/>
    </row>
    <row r="154" spans="25:25" x14ac:dyDescent="0.2">
      <c r="Y154" s="3"/>
    </row>
    <row r="155" spans="25:25" x14ac:dyDescent="0.2">
      <c r="Y155" s="3"/>
    </row>
    <row r="156" spans="25:25" x14ac:dyDescent="0.2">
      <c r="Y156" s="3"/>
    </row>
    <row r="157" spans="25:25" x14ac:dyDescent="0.2">
      <c r="Y157" s="3"/>
    </row>
    <row r="158" spans="25:25" x14ac:dyDescent="0.2">
      <c r="Y158" s="3"/>
    </row>
    <row r="159" spans="25:25" x14ac:dyDescent="0.2">
      <c r="Y159" s="3"/>
    </row>
    <row r="160" spans="25:25" x14ac:dyDescent="0.2">
      <c r="Y160" s="3"/>
    </row>
    <row r="161" spans="25:25" x14ac:dyDescent="0.2">
      <c r="Y161" s="3"/>
    </row>
    <row r="162" spans="25:25" x14ac:dyDescent="0.2">
      <c r="Y162" s="3"/>
    </row>
    <row r="163" spans="25:25" x14ac:dyDescent="0.2">
      <c r="Y163" s="3"/>
    </row>
    <row r="164" spans="25:25" x14ac:dyDescent="0.2">
      <c r="Y164" s="3"/>
    </row>
    <row r="165" spans="25:25" x14ac:dyDescent="0.2">
      <c r="Y165" s="3"/>
    </row>
    <row r="166" spans="25:25" x14ac:dyDescent="0.2">
      <c r="Y166" s="3"/>
    </row>
    <row r="167" spans="25:25" x14ac:dyDescent="0.2">
      <c r="Y167" s="3"/>
    </row>
    <row r="168" spans="25:25" x14ac:dyDescent="0.2">
      <c r="Y168" s="3"/>
    </row>
    <row r="169" spans="25:25" x14ac:dyDescent="0.2">
      <c r="Y169" s="3"/>
    </row>
    <row r="170" spans="25:25" x14ac:dyDescent="0.2">
      <c r="Y170" s="3"/>
    </row>
    <row r="171" spans="25:25" x14ac:dyDescent="0.2">
      <c r="Y171" s="3"/>
    </row>
    <row r="172" spans="25:25" x14ac:dyDescent="0.2">
      <c r="Y172" s="3"/>
    </row>
    <row r="173" spans="25:25" x14ac:dyDescent="0.2">
      <c r="Y173" s="3"/>
    </row>
    <row r="174" spans="25:25" x14ac:dyDescent="0.2">
      <c r="Y174" s="3"/>
    </row>
    <row r="175" spans="25:25" x14ac:dyDescent="0.2">
      <c r="Y175" s="3"/>
    </row>
    <row r="176" spans="25:25" x14ac:dyDescent="0.2">
      <c r="Y176" s="3"/>
    </row>
    <row r="177" spans="25:25" x14ac:dyDescent="0.2">
      <c r="Y177" s="3"/>
    </row>
    <row r="178" spans="25:25" x14ac:dyDescent="0.2">
      <c r="Y178" s="3"/>
    </row>
    <row r="179" spans="25:25" x14ac:dyDescent="0.2">
      <c r="Y179" s="3"/>
    </row>
    <row r="180" spans="25:25" x14ac:dyDescent="0.2">
      <c r="Y180" s="3"/>
    </row>
    <row r="181" spans="25:25" x14ac:dyDescent="0.2">
      <c r="Y181" s="3"/>
    </row>
    <row r="182" spans="25:25" x14ac:dyDescent="0.2">
      <c r="Y182" s="3"/>
    </row>
    <row r="183" spans="25:25" x14ac:dyDescent="0.2">
      <c r="Y183" s="3"/>
    </row>
    <row r="184" spans="25:25" x14ac:dyDescent="0.2">
      <c r="Y184" s="3"/>
    </row>
    <row r="185" spans="25:25" x14ac:dyDescent="0.2">
      <c r="Y185" s="3"/>
    </row>
    <row r="186" spans="25:25" x14ac:dyDescent="0.2">
      <c r="Y186" s="3"/>
    </row>
    <row r="187" spans="25:25" x14ac:dyDescent="0.2">
      <c r="Y187" s="3"/>
    </row>
    <row r="188" spans="25:25" x14ac:dyDescent="0.2">
      <c r="Y188" s="3"/>
    </row>
    <row r="189" spans="25:25" x14ac:dyDescent="0.2">
      <c r="Y189" s="3"/>
    </row>
    <row r="190" spans="25:25" x14ac:dyDescent="0.2">
      <c r="Y190" s="3"/>
    </row>
  </sheetData>
  <mergeCells count="1">
    <mergeCell ref="O10:AA10"/>
  </mergeCells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P250"/>
  <sheetViews>
    <sheetView showGridLines="0" zoomScale="80" zoomScaleNormal="80" workbookViewId="0">
      <pane ySplit="11" topLeftCell="A12" activePane="bottomLeft" state="frozen"/>
      <selection pane="bottomLeft" activeCell="S71" sqref="S71"/>
    </sheetView>
  </sheetViews>
  <sheetFormatPr defaultColWidth="9.140625" defaultRowHeight="12.75" outlineLevelRow="3" x14ac:dyDescent="0.2"/>
  <cols>
    <col min="1" max="1" width="5" style="1" customWidth="1"/>
    <col min="2" max="3" width="38.85546875" style="1" customWidth="1"/>
    <col min="4" max="4" width="13" style="1" bestFit="1" customWidth="1"/>
    <col min="5" max="7" width="12.42578125" style="1" customWidth="1"/>
    <col min="8" max="8" width="12.42578125" style="2" customWidth="1"/>
    <col min="9" max="15" width="12.42578125" style="1" customWidth="1"/>
    <col min="16" max="16" width="13.28515625" style="1" customWidth="1"/>
    <col min="17" max="16384" width="9.140625" style="1"/>
  </cols>
  <sheetData>
    <row r="1" spans="1:16" ht="31.5" x14ac:dyDescent="0.2">
      <c r="B1" s="139" t="s">
        <v>147</v>
      </c>
    </row>
    <row r="2" spans="1:16" x14ac:dyDescent="0.2">
      <c r="B2" s="135" t="s">
        <v>146</v>
      </c>
      <c r="C2" s="138" t="s">
        <v>145</v>
      </c>
    </row>
    <row r="3" spans="1:16" x14ac:dyDescent="0.2">
      <c r="B3" s="135" t="s">
        <v>144</v>
      </c>
      <c r="C3" s="138" t="s">
        <v>150</v>
      </c>
    </row>
    <row r="4" spans="1:16" x14ac:dyDescent="0.2">
      <c r="B4" s="135" t="s">
        <v>191</v>
      </c>
      <c r="C4" s="138" t="s">
        <v>150</v>
      </c>
    </row>
    <row r="5" spans="1:16" ht="13.5" customHeight="1" x14ac:dyDescent="0.2">
      <c r="B5" s="135" t="s">
        <v>162</v>
      </c>
      <c r="C5" s="138" t="s">
        <v>163</v>
      </c>
    </row>
    <row r="6" spans="1:16" x14ac:dyDescent="0.2">
      <c r="B6" s="135" t="s">
        <v>143</v>
      </c>
      <c r="C6" s="138" t="s">
        <v>142</v>
      </c>
      <c r="M6" s="136"/>
    </row>
    <row r="7" spans="1:16" x14ac:dyDescent="0.2">
      <c r="B7" s="135" t="s">
        <v>141</v>
      </c>
      <c r="C7" s="141" t="s">
        <v>164</v>
      </c>
      <c r="E7" s="2"/>
      <c r="F7" s="54"/>
      <c r="G7" s="54"/>
      <c r="M7" s="136"/>
      <c r="P7" s="2"/>
    </row>
    <row r="8" spans="1:16" x14ac:dyDescent="0.2">
      <c r="B8" s="135" t="s">
        <v>140</v>
      </c>
      <c r="C8" s="134" t="s">
        <v>139</v>
      </c>
      <c r="D8" s="133"/>
      <c r="E8" s="128"/>
      <c r="F8" s="128"/>
      <c r="G8" s="129"/>
      <c r="H8" s="128"/>
      <c r="I8" s="128"/>
      <c r="J8" s="128"/>
      <c r="K8" s="128"/>
      <c r="L8" s="128"/>
      <c r="M8" s="128"/>
      <c r="N8" s="128"/>
      <c r="O8" s="128"/>
      <c r="P8" s="128"/>
    </row>
    <row r="9" spans="1:16" ht="13.5" thickBot="1" x14ac:dyDescent="0.25">
      <c r="B9" s="131"/>
      <c r="C9" s="130"/>
      <c r="D9" s="128"/>
      <c r="E9" s="128"/>
      <c r="F9" s="128"/>
      <c r="G9" s="129"/>
      <c r="H9" s="128"/>
      <c r="I9" s="128"/>
      <c r="J9" s="128"/>
      <c r="K9" s="128"/>
      <c r="L9" s="128"/>
      <c r="M9" s="128"/>
      <c r="N9" s="128"/>
      <c r="O9" s="128"/>
      <c r="P9" s="128"/>
    </row>
    <row r="10" spans="1:16" ht="21.75" customHeight="1" thickTop="1" x14ac:dyDescent="0.2">
      <c r="B10" s="127"/>
      <c r="C10" s="127"/>
      <c r="D10" s="246" t="s">
        <v>134</v>
      </c>
      <c r="E10" s="247"/>
      <c r="F10" s="247"/>
      <c r="G10" s="247"/>
      <c r="H10" s="247"/>
      <c r="I10" s="247"/>
      <c r="J10" s="247"/>
      <c r="K10" s="247"/>
      <c r="L10" s="247"/>
      <c r="M10" s="247"/>
      <c r="N10" s="247"/>
      <c r="O10" s="247"/>
      <c r="P10" s="247"/>
    </row>
    <row r="11" spans="1:16" ht="34.5" customHeight="1" x14ac:dyDescent="0.2">
      <c r="B11" s="127"/>
      <c r="C11" s="126"/>
      <c r="D11" s="140">
        <v>46023</v>
      </c>
      <c r="E11" s="140">
        <v>46054</v>
      </c>
      <c r="F11" s="140">
        <v>46082</v>
      </c>
      <c r="G11" s="140">
        <v>46113</v>
      </c>
      <c r="H11" s="140">
        <v>46143</v>
      </c>
      <c r="I11" s="140">
        <v>46174</v>
      </c>
      <c r="J11" s="140">
        <v>46204</v>
      </c>
      <c r="K11" s="140">
        <v>46235</v>
      </c>
      <c r="L11" s="140">
        <v>46266</v>
      </c>
      <c r="M11" s="140">
        <v>46296</v>
      </c>
      <c r="N11" s="140">
        <v>46327</v>
      </c>
      <c r="O11" s="140">
        <v>46357</v>
      </c>
      <c r="P11" s="140" t="s">
        <v>161</v>
      </c>
    </row>
    <row r="12" spans="1:16" ht="16.5" customHeight="1" thickBot="1" x14ac:dyDescent="0.25">
      <c r="A12" s="54"/>
      <c r="B12" s="70" t="s">
        <v>130</v>
      </c>
      <c r="C12" s="69" t="s">
        <v>129</v>
      </c>
      <c r="D12" s="120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</row>
    <row r="13" spans="1:16" ht="13.5" hidden="1" outlineLevel="3" thickTop="1" x14ac:dyDescent="0.2">
      <c r="A13" s="54"/>
      <c r="B13" s="38" t="s">
        <v>128</v>
      </c>
      <c r="C13" s="62" t="s">
        <v>127</v>
      </c>
      <c r="D13" s="61">
        <v>135195586.78999999</v>
      </c>
      <c r="E13" s="60">
        <v>145701750</v>
      </c>
      <c r="F13" s="60">
        <v>145701750</v>
      </c>
      <c r="G13" s="60">
        <v>145701750</v>
      </c>
      <c r="H13" s="60">
        <v>145701750</v>
      </c>
      <c r="I13" s="60">
        <v>145701750</v>
      </c>
      <c r="J13" s="60">
        <v>145701750</v>
      </c>
      <c r="K13" s="60">
        <v>145701750</v>
      </c>
      <c r="L13" s="60">
        <v>0</v>
      </c>
      <c r="M13" s="60">
        <v>0</v>
      </c>
      <c r="N13" s="60">
        <v>0</v>
      </c>
      <c r="O13" s="60">
        <v>0</v>
      </c>
      <c r="P13" s="60">
        <f>SUM(D13:O13)</f>
        <v>1155107836.79</v>
      </c>
    </row>
    <row r="14" spans="1:16" ht="13.5" hidden="1" outlineLevel="3" thickTop="1" x14ac:dyDescent="0.2">
      <c r="A14" s="54"/>
      <c r="B14" s="38" t="s">
        <v>126</v>
      </c>
      <c r="C14" s="49" t="s">
        <v>125</v>
      </c>
      <c r="D14" s="41">
        <v>27369683.629999999</v>
      </c>
      <c r="E14" s="40">
        <v>26954823.75</v>
      </c>
      <c r="F14" s="40">
        <v>26954823.75</v>
      </c>
      <c r="G14" s="40">
        <v>26954823.75</v>
      </c>
      <c r="H14" s="40">
        <v>26954823.75</v>
      </c>
      <c r="I14" s="40">
        <v>26954823.75</v>
      </c>
      <c r="J14" s="40">
        <v>26954823.75</v>
      </c>
      <c r="K14" s="40">
        <v>26954823.75</v>
      </c>
      <c r="L14" s="40">
        <v>0</v>
      </c>
      <c r="M14" s="40">
        <v>0</v>
      </c>
      <c r="N14" s="40">
        <v>0</v>
      </c>
      <c r="O14" s="40">
        <v>0</v>
      </c>
      <c r="P14" s="40">
        <f t="shared" ref="P14:P67" si="0">SUM(D14:O14)</f>
        <v>216053449.88</v>
      </c>
    </row>
    <row r="15" spans="1:16" s="6" customFormat="1" ht="13.5" hidden="1" outlineLevel="2" thickTop="1" x14ac:dyDescent="0.2">
      <c r="A15" s="30"/>
      <c r="B15" s="29" t="s">
        <v>124</v>
      </c>
      <c r="C15" s="52" t="s">
        <v>123</v>
      </c>
      <c r="D15" s="27">
        <f>SUM(D13:D14)</f>
        <v>162565270.41999999</v>
      </c>
      <c r="E15" s="26">
        <f>SUM(E13:E14)</f>
        <v>172656573.75</v>
      </c>
      <c r="F15" s="26">
        <f t="shared" ref="F15:K15" si="1">SUM(F13:F14)</f>
        <v>172656573.75</v>
      </c>
      <c r="G15" s="26">
        <f t="shared" si="1"/>
        <v>172656573.75</v>
      </c>
      <c r="H15" s="26">
        <f t="shared" si="1"/>
        <v>172656573.75</v>
      </c>
      <c r="I15" s="26">
        <f t="shared" si="1"/>
        <v>172656573.75</v>
      </c>
      <c r="J15" s="26">
        <f t="shared" si="1"/>
        <v>172656573.75</v>
      </c>
      <c r="K15" s="26">
        <f t="shared" si="1"/>
        <v>172656573.75</v>
      </c>
      <c r="L15" s="26">
        <f>SUM(L13:L14)</f>
        <v>0</v>
      </c>
      <c r="M15" s="26">
        <f t="shared" ref="M15:O15" si="2">SUM(M13:M14)</f>
        <v>0</v>
      </c>
      <c r="N15" s="26">
        <f t="shared" si="2"/>
        <v>0</v>
      </c>
      <c r="O15" s="26">
        <f t="shared" si="2"/>
        <v>0</v>
      </c>
      <c r="P15" s="26">
        <f t="shared" si="0"/>
        <v>1371161286.6700001</v>
      </c>
    </row>
    <row r="16" spans="1:16" ht="13.5" hidden="1" outlineLevel="3" thickTop="1" x14ac:dyDescent="0.2">
      <c r="A16" s="54"/>
      <c r="B16" s="57" t="s">
        <v>122</v>
      </c>
      <c r="C16" s="56" t="s">
        <v>121</v>
      </c>
      <c r="D16" s="41">
        <v>44268446.450000003</v>
      </c>
      <c r="E16" s="40">
        <v>41309276.698853597</v>
      </c>
      <c r="F16" s="40">
        <v>41309276.698853597</v>
      </c>
      <c r="G16" s="40">
        <v>41309276.698853597</v>
      </c>
      <c r="H16" s="40">
        <v>41309276.698853597</v>
      </c>
      <c r="I16" s="40">
        <v>41309276.698853597</v>
      </c>
      <c r="J16" s="40">
        <v>41309276.698853597</v>
      </c>
      <c r="K16" s="40">
        <v>41309276.698853597</v>
      </c>
      <c r="L16" s="40">
        <v>0</v>
      </c>
      <c r="M16" s="40">
        <v>0</v>
      </c>
      <c r="N16" s="40">
        <v>0</v>
      </c>
      <c r="O16" s="40">
        <v>0</v>
      </c>
      <c r="P16" s="40">
        <f t="shared" si="0"/>
        <v>333433383.34197521</v>
      </c>
    </row>
    <row r="17" spans="1:16" ht="13.5" hidden="1" outlineLevel="3" thickTop="1" x14ac:dyDescent="0.2">
      <c r="A17" s="54"/>
      <c r="B17" s="38" t="s">
        <v>120</v>
      </c>
      <c r="C17" s="56" t="s">
        <v>119</v>
      </c>
      <c r="D17" s="41">
        <v>6226136.4199999999</v>
      </c>
      <c r="E17" s="40">
        <v>7642216.1892879102</v>
      </c>
      <c r="F17" s="40">
        <v>7642216.1892879102</v>
      </c>
      <c r="G17" s="40">
        <v>7642216.1892879102</v>
      </c>
      <c r="H17" s="40">
        <v>7642216.1892879102</v>
      </c>
      <c r="I17" s="40">
        <v>7642216.1892879102</v>
      </c>
      <c r="J17" s="40">
        <v>7642216.1892879102</v>
      </c>
      <c r="K17" s="40">
        <v>7642216.1892879102</v>
      </c>
      <c r="L17" s="40">
        <v>0</v>
      </c>
      <c r="M17" s="40">
        <v>0</v>
      </c>
      <c r="N17" s="40">
        <v>0</v>
      </c>
      <c r="O17" s="40">
        <v>0</v>
      </c>
      <c r="P17" s="40">
        <f t="shared" si="0"/>
        <v>59721649.74501536</v>
      </c>
    </row>
    <row r="18" spans="1:16" s="6" customFormat="1" ht="13.5" hidden="1" outlineLevel="2" thickTop="1" x14ac:dyDescent="0.2">
      <c r="A18" s="30"/>
      <c r="B18" s="29" t="s">
        <v>118</v>
      </c>
      <c r="C18" s="52" t="s">
        <v>117</v>
      </c>
      <c r="D18" s="27">
        <f>SUM(D16:D17)</f>
        <v>50494582.870000005</v>
      </c>
      <c r="E18" s="26">
        <f>SUM(E16:E17)</f>
        <v>48951492.888141505</v>
      </c>
      <c r="F18" s="26">
        <f t="shared" ref="F18:K18" si="3">SUM(F16:F17)</f>
        <v>48951492.888141505</v>
      </c>
      <c r="G18" s="26">
        <f t="shared" si="3"/>
        <v>48951492.888141505</v>
      </c>
      <c r="H18" s="26">
        <f t="shared" si="3"/>
        <v>48951492.888141505</v>
      </c>
      <c r="I18" s="26">
        <f t="shared" si="3"/>
        <v>48951492.888141505</v>
      </c>
      <c r="J18" s="26">
        <f t="shared" si="3"/>
        <v>48951492.888141505</v>
      </c>
      <c r="K18" s="26">
        <f t="shared" si="3"/>
        <v>48951492.888141505</v>
      </c>
      <c r="L18" s="26">
        <f>SUM(L16:L17)</f>
        <v>0</v>
      </c>
      <c r="M18" s="26">
        <f t="shared" ref="M18:O18" si="4">SUM(M16:M17)</f>
        <v>0</v>
      </c>
      <c r="N18" s="26">
        <f t="shared" si="4"/>
        <v>0</v>
      </c>
      <c r="O18" s="26">
        <f t="shared" si="4"/>
        <v>0</v>
      </c>
      <c r="P18" s="26">
        <f t="shared" si="0"/>
        <v>393155033.08699059</v>
      </c>
    </row>
    <row r="19" spans="1:16" ht="13.5" hidden="1" outlineLevel="3" thickTop="1" x14ac:dyDescent="0.2">
      <c r="A19" s="54"/>
      <c r="B19" s="38" t="s">
        <v>116</v>
      </c>
      <c r="C19" s="49" t="s">
        <v>115</v>
      </c>
      <c r="D19" s="41">
        <v>502299.88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f t="shared" si="0"/>
        <v>502299.88</v>
      </c>
    </row>
    <row r="20" spans="1:16" ht="13.5" hidden="1" outlineLevel="3" thickTop="1" x14ac:dyDescent="0.2">
      <c r="A20" s="54"/>
      <c r="B20" s="38" t="s">
        <v>114</v>
      </c>
      <c r="C20" s="49" t="s">
        <v>113</v>
      </c>
      <c r="D20" s="41">
        <v>81339.45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f t="shared" si="0"/>
        <v>81339.45</v>
      </c>
    </row>
    <row r="21" spans="1:16" s="6" customFormat="1" ht="13.5" hidden="1" outlineLevel="2" thickTop="1" x14ac:dyDescent="0.2">
      <c r="A21" s="30"/>
      <c r="B21" s="29" t="s">
        <v>112</v>
      </c>
      <c r="C21" s="52" t="s">
        <v>111</v>
      </c>
      <c r="D21" s="27">
        <f>SUM(D19:D20)</f>
        <v>583639.32999999996</v>
      </c>
      <c r="E21" s="26">
        <f>SUM(E19:E20)</f>
        <v>0</v>
      </c>
      <c r="F21" s="26">
        <f t="shared" ref="F21:K21" si="5">SUM(F19:F20)</f>
        <v>0</v>
      </c>
      <c r="G21" s="26">
        <f t="shared" si="5"/>
        <v>0</v>
      </c>
      <c r="H21" s="26">
        <f t="shared" si="5"/>
        <v>0</v>
      </c>
      <c r="I21" s="26">
        <f t="shared" si="5"/>
        <v>0</v>
      </c>
      <c r="J21" s="26">
        <f t="shared" si="5"/>
        <v>0</v>
      </c>
      <c r="K21" s="26">
        <f t="shared" si="5"/>
        <v>0</v>
      </c>
      <c r="L21" s="26">
        <f>SUM(L19:L20)</f>
        <v>0</v>
      </c>
      <c r="M21" s="26">
        <f t="shared" ref="M21:O21" si="6">SUM(M19:M20)</f>
        <v>0</v>
      </c>
      <c r="N21" s="26">
        <f t="shared" si="6"/>
        <v>0</v>
      </c>
      <c r="O21" s="26">
        <f t="shared" si="6"/>
        <v>0</v>
      </c>
      <c r="P21" s="26">
        <f t="shared" si="0"/>
        <v>583639.32999999996</v>
      </c>
    </row>
    <row r="22" spans="1:16" ht="13.5" hidden="1" outlineLevel="3" thickTop="1" x14ac:dyDescent="0.2">
      <c r="A22" s="54"/>
      <c r="B22" s="38" t="s">
        <v>110</v>
      </c>
      <c r="C22" s="49" t="s">
        <v>109</v>
      </c>
      <c r="D22" s="41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f t="shared" si="0"/>
        <v>0</v>
      </c>
    </row>
    <row r="23" spans="1:16" ht="13.5" hidden="1" outlineLevel="3" thickTop="1" x14ac:dyDescent="0.2">
      <c r="A23" s="54"/>
      <c r="B23" s="38" t="s">
        <v>108</v>
      </c>
      <c r="C23" s="49" t="s">
        <v>107</v>
      </c>
      <c r="D23" s="41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f t="shared" si="0"/>
        <v>0</v>
      </c>
    </row>
    <row r="24" spans="1:16" s="6" customFormat="1" ht="13.5" hidden="1" outlineLevel="2" thickTop="1" x14ac:dyDescent="0.2">
      <c r="A24" s="30"/>
      <c r="B24" s="29" t="s">
        <v>106</v>
      </c>
      <c r="C24" s="52" t="s">
        <v>105</v>
      </c>
      <c r="D24" s="27">
        <f>SUM(D22:D23)</f>
        <v>0</v>
      </c>
      <c r="E24" s="26">
        <f>SUM(E22:E23)</f>
        <v>0</v>
      </c>
      <c r="F24" s="26">
        <f t="shared" ref="F24:K24" si="7">SUM(F22:F23)</f>
        <v>0</v>
      </c>
      <c r="G24" s="26">
        <f t="shared" si="7"/>
        <v>0</v>
      </c>
      <c r="H24" s="26">
        <f t="shared" si="7"/>
        <v>0</v>
      </c>
      <c r="I24" s="26">
        <f t="shared" si="7"/>
        <v>0</v>
      </c>
      <c r="J24" s="26">
        <f t="shared" si="7"/>
        <v>0</v>
      </c>
      <c r="K24" s="26">
        <f t="shared" si="7"/>
        <v>0</v>
      </c>
      <c r="L24" s="26">
        <f>SUM(L22:L23)</f>
        <v>0</v>
      </c>
      <c r="M24" s="26">
        <f t="shared" ref="M24:O24" si="8">SUM(M22:M23)</f>
        <v>0</v>
      </c>
      <c r="N24" s="26">
        <f t="shared" si="8"/>
        <v>0</v>
      </c>
      <c r="O24" s="26">
        <f t="shared" si="8"/>
        <v>0</v>
      </c>
      <c r="P24" s="26">
        <f t="shared" si="0"/>
        <v>0</v>
      </c>
    </row>
    <row r="25" spans="1:16" s="6" customFormat="1" ht="13.5" outlineLevel="1" collapsed="1" thickTop="1" x14ac:dyDescent="0.2">
      <c r="A25" s="30"/>
      <c r="B25" s="48" t="s">
        <v>104</v>
      </c>
      <c r="C25" s="55" t="s">
        <v>103</v>
      </c>
      <c r="D25" s="46">
        <f>D15+D18+D21+D24</f>
        <v>213643492.62</v>
      </c>
      <c r="E25" s="45">
        <f>E15+E18+E21+E24</f>
        <v>221608066.63814151</v>
      </c>
      <c r="F25" s="45">
        <f t="shared" ref="F25:K25" si="9">F15+F18+F21+F24</f>
        <v>221608066.63814151</v>
      </c>
      <c r="G25" s="45">
        <f t="shared" si="9"/>
        <v>221608066.63814151</v>
      </c>
      <c r="H25" s="45">
        <f t="shared" si="9"/>
        <v>221608066.63814151</v>
      </c>
      <c r="I25" s="45">
        <f t="shared" si="9"/>
        <v>221608066.63814151</v>
      </c>
      <c r="J25" s="45">
        <f t="shared" si="9"/>
        <v>221608066.63814151</v>
      </c>
      <c r="K25" s="45">
        <f t="shared" si="9"/>
        <v>221608066.63814151</v>
      </c>
      <c r="L25" s="45">
        <f>L15+L18+L21+L24</f>
        <v>0</v>
      </c>
      <c r="M25" s="45">
        <f t="shared" ref="M25:O25" si="10">M15+M18+M21+M24</f>
        <v>0</v>
      </c>
      <c r="N25" s="45">
        <f t="shared" si="10"/>
        <v>0</v>
      </c>
      <c r="O25" s="45">
        <f t="shared" si="10"/>
        <v>0</v>
      </c>
      <c r="P25" s="45">
        <f t="shared" si="0"/>
        <v>1764899959.0869908</v>
      </c>
    </row>
    <row r="26" spans="1:16" s="6" customFormat="1" hidden="1" outlineLevel="2" x14ac:dyDescent="0.2">
      <c r="B26" s="29" t="s">
        <v>102</v>
      </c>
      <c r="C26" s="52" t="s">
        <v>101</v>
      </c>
      <c r="D26" s="27">
        <v>5000000</v>
      </c>
      <c r="E26" s="26">
        <v>5753441.4887820091</v>
      </c>
      <c r="F26" s="26">
        <v>5753441.4887820091</v>
      </c>
      <c r="G26" s="26">
        <v>5753441.4887820091</v>
      </c>
      <c r="H26" s="26">
        <v>5753441.4887820091</v>
      </c>
      <c r="I26" s="26">
        <v>5753441.4887820091</v>
      </c>
      <c r="J26" s="26">
        <v>5753441.4887820091</v>
      </c>
      <c r="K26" s="26">
        <v>5753441.4887820091</v>
      </c>
      <c r="L26" s="26">
        <v>0</v>
      </c>
      <c r="M26" s="26">
        <v>0</v>
      </c>
      <c r="N26" s="26">
        <v>0</v>
      </c>
      <c r="O26" s="26">
        <v>0</v>
      </c>
      <c r="P26" s="26">
        <f t="shared" si="0"/>
        <v>45274090.421474069</v>
      </c>
    </row>
    <row r="27" spans="1:16" s="6" customFormat="1" hidden="1" outlineLevel="2" x14ac:dyDescent="0.2">
      <c r="B27" s="29" t="s">
        <v>100</v>
      </c>
      <c r="C27" s="52" t="s">
        <v>99</v>
      </c>
      <c r="D27" s="27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f t="shared" si="0"/>
        <v>0</v>
      </c>
    </row>
    <row r="28" spans="1:16" s="6" customFormat="1" outlineLevel="1" collapsed="1" x14ac:dyDescent="0.2">
      <c r="A28" s="30"/>
      <c r="B28" s="48" t="s">
        <v>98</v>
      </c>
      <c r="C28" s="55" t="s">
        <v>97</v>
      </c>
      <c r="D28" s="46">
        <f>SUM(D26:D27)</f>
        <v>5000000</v>
      </c>
      <c r="E28" s="45">
        <f>SUM(E26:E27)</f>
        <v>5753441.4887820091</v>
      </c>
      <c r="F28" s="45">
        <f t="shared" ref="F28:K28" si="11">SUM(F26:F27)</f>
        <v>5753441.4887820091</v>
      </c>
      <c r="G28" s="45">
        <f t="shared" si="11"/>
        <v>5753441.4887820091</v>
      </c>
      <c r="H28" s="45">
        <f t="shared" si="11"/>
        <v>5753441.4887820091</v>
      </c>
      <c r="I28" s="45">
        <f t="shared" si="11"/>
        <v>5753441.4887820091</v>
      </c>
      <c r="J28" s="45">
        <f t="shared" si="11"/>
        <v>5753441.4887820091</v>
      </c>
      <c r="K28" s="45">
        <f t="shared" si="11"/>
        <v>5753441.4887820091</v>
      </c>
      <c r="L28" s="45">
        <f>SUM(L26:L27)</f>
        <v>0</v>
      </c>
      <c r="M28" s="45">
        <f t="shared" ref="M28:O28" si="12">SUM(M26:M27)</f>
        <v>0</v>
      </c>
      <c r="N28" s="45">
        <f t="shared" si="12"/>
        <v>0</v>
      </c>
      <c r="O28" s="45">
        <f t="shared" si="12"/>
        <v>0</v>
      </c>
      <c r="P28" s="45">
        <f t="shared" si="0"/>
        <v>45274090.421474069</v>
      </c>
    </row>
    <row r="29" spans="1:16" hidden="1" outlineLevel="3" x14ac:dyDescent="0.2">
      <c r="A29" s="54"/>
      <c r="B29" s="38" t="s">
        <v>96</v>
      </c>
      <c r="C29" s="49" t="s">
        <v>95</v>
      </c>
      <c r="D29" s="41">
        <v>120000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f t="shared" si="0"/>
        <v>120000</v>
      </c>
    </row>
    <row r="30" spans="1:16" hidden="1" outlineLevel="3" x14ac:dyDescent="0.2">
      <c r="A30" s="54"/>
      <c r="B30" s="38" t="s">
        <v>94</v>
      </c>
      <c r="C30" s="49" t="s">
        <v>93</v>
      </c>
      <c r="D30" s="41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f t="shared" si="0"/>
        <v>0</v>
      </c>
    </row>
    <row r="31" spans="1:16" s="6" customFormat="1" hidden="1" outlineLevel="2" x14ac:dyDescent="0.2">
      <c r="A31" s="30"/>
      <c r="B31" s="29" t="s">
        <v>92</v>
      </c>
      <c r="C31" s="52" t="s">
        <v>91</v>
      </c>
      <c r="D31" s="27">
        <f>SUM(D29:D30)</f>
        <v>120000</v>
      </c>
      <c r="E31" s="26">
        <f>SUM(E29:E30)</f>
        <v>0</v>
      </c>
      <c r="F31" s="26">
        <f t="shared" ref="F31:K31" si="13">SUM(F29:F30)</f>
        <v>0</v>
      </c>
      <c r="G31" s="26">
        <f t="shared" si="13"/>
        <v>0</v>
      </c>
      <c r="H31" s="26">
        <f t="shared" si="13"/>
        <v>0</v>
      </c>
      <c r="I31" s="26">
        <f t="shared" si="13"/>
        <v>0</v>
      </c>
      <c r="J31" s="26">
        <f t="shared" si="13"/>
        <v>0</v>
      </c>
      <c r="K31" s="26">
        <f t="shared" si="13"/>
        <v>0</v>
      </c>
      <c r="L31" s="26">
        <f>SUM(L29:L30)</f>
        <v>0</v>
      </c>
      <c r="M31" s="26">
        <f t="shared" ref="M31:O31" si="14">SUM(M29:M30)</f>
        <v>0</v>
      </c>
      <c r="N31" s="26">
        <f t="shared" si="14"/>
        <v>0</v>
      </c>
      <c r="O31" s="26">
        <f t="shared" si="14"/>
        <v>0</v>
      </c>
      <c r="P31" s="26">
        <f t="shared" si="0"/>
        <v>120000</v>
      </c>
    </row>
    <row r="32" spans="1:16" ht="12.75" hidden="1" customHeight="1" outlineLevel="3" x14ac:dyDescent="0.2">
      <c r="A32" s="54"/>
      <c r="B32" s="38" t="s">
        <v>90</v>
      </c>
      <c r="C32" s="49" t="s">
        <v>89</v>
      </c>
      <c r="D32" s="41">
        <v>19000000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f t="shared" si="0"/>
        <v>19000000</v>
      </c>
    </row>
    <row r="33" spans="1:16" ht="12.75" hidden="1" customHeight="1" outlineLevel="3" x14ac:dyDescent="0.2">
      <c r="A33" s="54"/>
      <c r="B33" s="38" t="s">
        <v>88</v>
      </c>
      <c r="C33" s="49" t="s">
        <v>87</v>
      </c>
      <c r="D33" s="41">
        <v>3328677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f t="shared" si="0"/>
        <v>3328677</v>
      </c>
    </row>
    <row r="34" spans="1:16" s="6" customFormat="1" hidden="1" outlineLevel="2" x14ac:dyDescent="0.2">
      <c r="A34" s="30"/>
      <c r="B34" s="29" t="s">
        <v>86</v>
      </c>
      <c r="C34" s="52" t="s">
        <v>85</v>
      </c>
      <c r="D34" s="27">
        <f>SUM(D32:D33)</f>
        <v>22328677</v>
      </c>
      <c r="E34" s="26">
        <f>SUM(E32:E33)</f>
        <v>0</v>
      </c>
      <c r="F34" s="26">
        <f t="shared" ref="F34:K34" si="15">SUM(F32:F33)</f>
        <v>0</v>
      </c>
      <c r="G34" s="26">
        <f t="shared" si="15"/>
        <v>0</v>
      </c>
      <c r="H34" s="26">
        <f t="shared" si="15"/>
        <v>0</v>
      </c>
      <c r="I34" s="26">
        <f t="shared" si="15"/>
        <v>0</v>
      </c>
      <c r="J34" s="26">
        <f t="shared" si="15"/>
        <v>0</v>
      </c>
      <c r="K34" s="26">
        <f t="shared" si="15"/>
        <v>0</v>
      </c>
      <c r="L34" s="26">
        <f>SUM(L32:L33)</f>
        <v>0</v>
      </c>
      <c r="M34" s="26">
        <f t="shared" ref="M34:O34" si="16">SUM(M32:M33)</f>
        <v>0</v>
      </c>
      <c r="N34" s="26">
        <f t="shared" si="16"/>
        <v>0</v>
      </c>
      <c r="O34" s="26">
        <f t="shared" si="16"/>
        <v>0</v>
      </c>
      <c r="P34" s="26">
        <f t="shared" si="0"/>
        <v>22328677</v>
      </c>
    </row>
    <row r="35" spans="1:16" ht="12.75" hidden="1" customHeight="1" outlineLevel="3" x14ac:dyDescent="0.2">
      <c r="A35" s="54"/>
      <c r="B35" s="38" t="s">
        <v>84</v>
      </c>
      <c r="C35" s="49" t="s">
        <v>83</v>
      </c>
      <c r="D35" s="41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f t="shared" si="0"/>
        <v>0</v>
      </c>
    </row>
    <row r="36" spans="1:16" ht="12.75" hidden="1" customHeight="1" outlineLevel="3" x14ac:dyDescent="0.2">
      <c r="A36" s="54"/>
      <c r="B36" s="38" t="s">
        <v>82</v>
      </c>
      <c r="C36" s="49" t="s">
        <v>81</v>
      </c>
      <c r="D36" s="41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f t="shared" si="0"/>
        <v>0</v>
      </c>
    </row>
    <row r="37" spans="1:16" s="6" customFormat="1" hidden="1" outlineLevel="2" x14ac:dyDescent="0.2">
      <c r="A37" s="30"/>
      <c r="B37" s="29" t="s">
        <v>80</v>
      </c>
      <c r="C37" s="52" t="s">
        <v>79</v>
      </c>
      <c r="D37" s="27">
        <f>SUM(D35:D36)</f>
        <v>0</v>
      </c>
      <c r="E37" s="26">
        <f>SUM(E35:E36)</f>
        <v>0</v>
      </c>
      <c r="F37" s="26">
        <f t="shared" ref="F37:K37" si="17">SUM(F35:F36)</f>
        <v>0</v>
      </c>
      <c r="G37" s="26">
        <f t="shared" si="17"/>
        <v>0</v>
      </c>
      <c r="H37" s="26">
        <f t="shared" si="17"/>
        <v>0</v>
      </c>
      <c r="I37" s="26">
        <f t="shared" si="17"/>
        <v>0</v>
      </c>
      <c r="J37" s="26">
        <f t="shared" si="17"/>
        <v>0</v>
      </c>
      <c r="K37" s="26">
        <f t="shared" si="17"/>
        <v>0</v>
      </c>
      <c r="L37" s="26">
        <f>SUM(L35:L36)</f>
        <v>0</v>
      </c>
      <c r="M37" s="26">
        <f t="shared" ref="M37:O37" si="18">SUM(M35:M36)</f>
        <v>0</v>
      </c>
      <c r="N37" s="26">
        <f t="shared" si="18"/>
        <v>0</v>
      </c>
      <c r="O37" s="26">
        <f t="shared" si="18"/>
        <v>0</v>
      </c>
      <c r="P37" s="26">
        <f t="shared" si="0"/>
        <v>0</v>
      </c>
    </row>
    <row r="38" spans="1:16" ht="12.75" hidden="1" customHeight="1" outlineLevel="3" x14ac:dyDescent="0.2">
      <c r="B38" s="38" t="s">
        <v>78</v>
      </c>
      <c r="C38" s="49" t="s">
        <v>74</v>
      </c>
      <c r="D38" s="41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f t="shared" si="0"/>
        <v>0</v>
      </c>
    </row>
    <row r="39" spans="1:16" ht="12.75" hidden="1" customHeight="1" outlineLevel="3" x14ac:dyDescent="0.2">
      <c r="B39" s="38" t="s">
        <v>77</v>
      </c>
      <c r="C39" s="49" t="s">
        <v>76</v>
      </c>
      <c r="D39" s="41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f t="shared" si="0"/>
        <v>0</v>
      </c>
    </row>
    <row r="40" spans="1:16" s="6" customFormat="1" hidden="1" outlineLevel="2" x14ac:dyDescent="0.2">
      <c r="B40" s="29" t="s">
        <v>75</v>
      </c>
      <c r="C40" s="52" t="s">
        <v>74</v>
      </c>
      <c r="D40" s="27">
        <f>SUM(D38:D39)</f>
        <v>0</v>
      </c>
      <c r="E40" s="26">
        <f>SUM(E38:E39)</f>
        <v>0</v>
      </c>
      <c r="F40" s="26">
        <f t="shared" ref="F40:K40" si="19">SUM(F38:F39)</f>
        <v>0</v>
      </c>
      <c r="G40" s="26">
        <f t="shared" si="19"/>
        <v>0</v>
      </c>
      <c r="H40" s="26">
        <f t="shared" si="19"/>
        <v>0</v>
      </c>
      <c r="I40" s="26">
        <f t="shared" si="19"/>
        <v>0</v>
      </c>
      <c r="J40" s="26">
        <f t="shared" si="19"/>
        <v>0</v>
      </c>
      <c r="K40" s="26">
        <f t="shared" si="19"/>
        <v>0</v>
      </c>
      <c r="L40" s="26">
        <f>SUM(L38:L39)</f>
        <v>0</v>
      </c>
      <c r="M40" s="26">
        <f t="shared" ref="M40:O40" si="20">SUM(M38:M39)</f>
        <v>0</v>
      </c>
      <c r="N40" s="26">
        <f t="shared" si="20"/>
        <v>0</v>
      </c>
      <c r="O40" s="26">
        <f t="shared" si="20"/>
        <v>0</v>
      </c>
      <c r="P40" s="26">
        <f t="shared" si="0"/>
        <v>0</v>
      </c>
    </row>
    <row r="41" spans="1:16" s="6" customFormat="1" outlineLevel="1" collapsed="1" x14ac:dyDescent="0.2">
      <c r="A41" s="30"/>
      <c r="B41" s="51" t="s">
        <v>73</v>
      </c>
      <c r="C41" s="50" t="s">
        <v>72</v>
      </c>
      <c r="D41" s="46">
        <f>D31+D34+D37+D40</f>
        <v>22448677</v>
      </c>
      <c r="E41" s="45">
        <f>E31+E34+E37+E40</f>
        <v>0</v>
      </c>
      <c r="F41" s="45">
        <f t="shared" ref="F41:K41" si="21">F31+F34+F37+F40</f>
        <v>0</v>
      </c>
      <c r="G41" s="45">
        <f t="shared" si="21"/>
        <v>0</v>
      </c>
      <c r="H41" s="45">
        <f t="shared" si="21"/>
        <v>0</v>
      </c>
      <c r="I41" s="45">
        <f t="shared" si="21"/>
        <v>0</v>
      </c>
      <c r="J41" s="45">
        <f t="shared" si="21"/>
        <v>0</v>
      </c>
      <c r="K41" s="45">
        <f t="shared" si="21"/>
        <v>0</v>
      </c>
      <c r="L41" s="45">
        <f>L31+L34+L37+L40</f>
        <v>0</v>
      </c>
      <c r="M41" s="45">
        <f t="shared" ref="M41:O41" si="22">M31+M34+M37+M40</f>
        <v>0</v>
      </c>
      <c r="N41" s="45">
        <f t="shared" si="22"/>
        <v>0</v>
      </c>
      <c r="O41" s="45">
        <f t="shared" si="22"/>
        <v>0</v>
      </c>
      <c r="P41" s="45">
        <f t="shared" si="0"/>
        <v>22448677</v>
      </c>
    </row>
    <row r="42" spans="1:16" ht="12.75" hidden="1" customHeight="1" outlineLevel="3" x14ac:dyDescent="0.2">
      <c r="B42" s="38" t="s">
        <v>71</v>
      </c>
      <c r="C42" s="49" t="s">
        <v>70</v>
      </c>
      <c r="D42" s="27">
        <f>33645750/3</f>
        <v>11215250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f t="shared" si="0"/>
        <v>11215250</v>
      </c>
    </row>
    <row r="43" spans="1:16" ht="12.75" hidden="1" customHeight="1" outlineLevel="3" x14ac:dyDescent="0.2">
      <c r="B43" s="38" t="s">
        <v>69</v>
      </c>
      <c r="C43" s="49" t="s">
        <v>68</v>
      </c>
      <c r="D43" s="27">
        <f>6224463.75/3</f>
        <v>2074821.25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f t="shared" si="0"/>
        <v>2074821.25</v>
      </c>
    </row>
    <row r="44" spans="1:16" s="6" customFormat="1" hidden="1" outlineLevel="2" x14ac:dyDescent="0.2">
      <c r="A44" s="30"/>
      <c r="B44" s="29" t="s">
        <v>67</v>
      </c>
      <c r="C44" s="42" t="s">
        <v>66</v>
      </c>
      <c r="D44" s="27">
        <f>SUM(D42:D43)</f>
        <v>13290071.25</v>
      </c>
      <c r="E44" s="26">
        <f>SUM(E42:E43)</f>
        <v>0</v>
      </c>
      <c r="F44" s="26">
        <f t="shared" ref="F44:K44" si="23">SUM(F42:F43)</f>
        <v>0</v>
      </c>
      <c r="G44" s="26">
        <f t="shared" si="23"/>
        <v>0</v>
      </c>
      <c r="H44" s="26">
        <f t="shared" si="23"/>
        <v>0</v>
      </c>
      <c r="I44" s="26">
        <f t="shared" si="23"/>
        <v>0</v>
      </c>
      <c r="J44" s="26">
        <f t="shared" si="23"/>
        <v>0</v>
      </c>
      <c r="K44" s="26">
        <f t="shared" si="23"/>
        <v>0</v>
      </c>
      <c r="L44" s="26">
        <f>SUM(L42:L43)</f>
        <v>0</v>
      </c>
      <c r="M44" s="26">
        <f t="shared" ref="M44:O44" si="24">SUM(M42:M43)</f>
        <v>0</v>
      </c>
      <c r="N44" s="26">
        <f t="shared" si="24"/>
        <v>0</v>
      </c>
      <c r="O44" s="26">
        <f t="shared" si="24"/>
        <v>0</v>
      </c>
      <c r="P44" s="26">
        <f t="shared" si="0"/>
        <v>13290071.25</v>
      </c>
    </row>
    <row r="45" spans="1:16" ht="12.75" hidden="1" customHeight="1" outlineLevel="3" x14ac:dyDescent="0.2">
      <c r="B45" s="38" t="s">
        <v>65</v>
      </c>
      <c r="C45" s="37" t="s">
        <v>64</v>
      </c>
      <c r="D45" s="41"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f t="shared" si="0"/>
        <v>0</v>
      </c>
    </row>
    <row r="46" spans="1:16" ht="12.75" hidden="1" customHeight="1" outlineLevel="3" x14ac:dyDescent="0.2">
      <c r="B46" s="38" t="s">
        <v>63</v>
      </c>
      <c r="C46" s="37" t="s">
        <v>62</v>
      </c>
      <c r="D46" s="41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f t="shared" si="0"/>
        <v>0</v>
      </c>
    </row>
    <row r="47" spans="1:16" s="6" customFormat="1" hidden="1" outlineLevel="2" x14ac:dyDescent="0.2">
      <c r="A47" s="30"/>
      <c r="B47" s="29" t="s">
        <v>61</v>
      </c>
      <c r="C47" s="42" t="s">
        <v>60</v>
      </c>
      <c r="D47" s="27">
        <f>SUM(D45:D46)</f>
        <v>0</v>
      </c>
      <c r="E47" s="26">
        <f>SUM(E45:E46)</f>
        <v>0</v>
      </c>
      <c r="F47" s="26">
        <f t="shared" ref="F47:K47" si="25">SUM(F45:F46)</f>
        <v>0</v>
      </c>
      <c r="G47" s="26">
        <f t="shared" si="25"/>
        <v>0</v>
      </c>
      <c r="H47" s="26">
        <f t="shared" si="25"/>
        <v>0</v>
      </c>
      <c r="I47" s="26">
        <f t="shared" si="25"/>
        <v>0</v>
      </c>
      <c r="J47" s="26">
        <f t="shared" si="25"/>
        <v>0</v>
      </c>
      <c r="K47" s="26">
        <f t="shared" si="25"/>
        <v>0</v>
      </c>
      <c r="L47" s="26">
        <f>SUM(L45:L46)</f>
        <v>0</v>
      </c>
      <c r="M47" s="26">
        <f t="shared" ref="M47:O47" si="26">SUM(M45:M46)</f>
        <v>0</v>
      </c>
      <c r="N47" s="26">
        <f t="shared" si="26"/>
        <v>0</v>
      </c>
      <c r="O47" s="26">
        <f t="shared" si="26"/>
        <v>0</v>
      </c>
      <c r="P47" s="26">
        <f t="shared" si="0"/>
        <v>0</v>
      </c>
    </row>
    <row r="48" spans="1:16" ht="12.75" hidden="1" customHeight="1" outlineLevel="3" x14ac:dyDescent="0.2">
      <c r="B48" s="38" t="s">
        <v>59</v>
      </c>
      <c r="C48" s="37" t="s">
        <v>58</v>
      </c>
      <c r="D48" s="41">
        <v>0</v>
      </c>
      <c r="E48" s="40">
        <f>33645750/3</f>
        <v>11215250</v>
      </c>
      <c r="F48" s="40">
        <f t="shared" ref="F48:K48" si="27">33645750/3</f>
        <v>11215250</v>
      </c>
      <c r="G48" s="40">
        <f t="shared" si="27"/>
        <v>11215250</v>
      </c>
      <c r="H48" s="40">
        <f t="shared" si="27"/>
        <v>11215250</v>
      </c>
      <c r="I48" s="40">
        <f t="shared" si="27"/>
        <v>11215250</v>
      </c>
      <c r="J48" s="40">
        <f t="shared" si="27"/>
        <v>11215250</v>
      </c>
      <c r="K48" s="40">
        <f t="shared" si="27"/>
        <v>11215250</v>
      </c>
      <c r="L48" s="40">
        <v>0</v>
      </c>
      <c r="M48" s="40">
        <v>0</v>
      </c>
      <c r="N48" s="40">
        <v>0</v>
      </c>
      <c r="O48" s="40">
        <v>0</v>
      </c>
      <c r="P48" s="40">
        <f t="shared" si="0"/>
        <v>78506750</v>
      </c>
    </row>
    <row r="49" spans="1:16" ht="12.75" hidden="1" customHeight="1" outlineLevel="3" x14ac:dyDescent="0.2">
      <c r="B49" s="38" t="s">
        <v>57</v>
      </c>
      <c r="C49" s="37" t="s">
        <v>56</v>
      </c>
      <c r="D49" s="36">
        <v>0</v>
      </c>
      <c r="E49" s="35">
        <f>6224463.75/3</f>
        <v>2074821.25</v>
      </c>
      <c r="F49" s="35">
        <f t="shared" ref="F49:K49" si="28">6224463.75/3</f>
        <v>2074821.25</v>
      </c>
      <c r="G49" s="35">
        <f t="shared" si="28"/>
        <v>2074821.25</v>
      </c>
      <c r="H49" s="35">
        <f t="shared" si="28"/>
        <v>2074821.25</v>
      </c>
      <c r="I49" s="35">
        <f t="shared" si="28"/>
        <v>2074821.25</v>
      </c>
      <c r="J49" s="35">
        <f t="shared" si="28"/>
        <v>2074821.25</v>
      </c>
      <c r="K49" s="35">
        <f t="shared" si="28"/>
        <v>2074821.25</v>
      </c>
      <c r="L49" s="35">
        <v>0</v>
      </c>
      <c r="M49" s="35">
        <v>0</v>
      </c>
      <c r="N49" s="35">
        <v>0</v>
      </c>
      <c r="O49" s="35">
        <v>0</v>
      </c>
      <c r="P49" s="35">
        <f t="shared" si="0"/>
        <v>14523748.75</v>
      </c>
    </row>
    <row r="50" spans="1:16" s="6" customFormat="1" hidden="1" outlineLevel="2" x14ac:dyDescent="0.2">
      <c r="A50" s="30"/>
      <c r="B50" s="29" t="s">
        <v>55</v>
      </c>
      <c r="C50" s="42" t="s">
        <v>54</v>
      </c>
      <c r="D50" s="27">
        <f>SUM(D48:D49)</f>
        <v>0</v>
      </c>
      <c r="E50" s="26">
        <f>SUM(E48:E49)</f>
        <v>13290071.25</v>
      </c>
      <c r="F50" s="26">
        <f t="shared" ref="F50:K50" si="29">SUM(F48:F49)</f>
        <v>13290071.25</v>
      </c>
      <c r="G50" s="26">
        <f t="shared" si="29"/>
        <v>13290071.25</v>
      </c>
      <c r="H50" s="26">
        <f t="shared" si="29"/>
        <v>13290071.25</v>
      </c>
      <c r="I50" s="26">
        <f t="shared" si="29"/>
        <v>13290071.25</v>
      </c>
      <c r="J50" s="26">
        <f t="shared" si="29"/>
        <v>13290071.25</v>
      </c>
      <c r="K50" s="26">
        <f t="shared" si="29"/>
        <v>13290071.25</v>
      </c>
      <c r="L50" s="26">
        <f>SUM(L48:L49)</f>
        <v>0</v>
      </c>
      <c r="M50" s="26">
        <f t="shared" ref="M50:O50" si="30">SUM(M48:M49)</f>
        <v>0</v>
      </c>
      <c r="N50" s="26">
        <f t="shared" si="30"/>
        <v>0</v>
      </c>
      <c r="O50" s="26">
        <f t="shared" si="30"/>
        <v>0</v>
      </c>
      <c r="P50" s="26">
        <f t="shared" si="0"/>
        <v>93030498.75</v>
      </c>
    </row>
    <row r="51" spans="1:16" s="6" customFormat="1" ht="14.45" customHeight="1" outlineLevel="1" collapsed="1" x14ac:dyDescent="0.2">
      <c r="A51" s="30"/>
      <c r="B51" s="48" t="s">
        <v>53</v>
      </c>
      <c r="C51" s="47" t="s">
        <v>52</v>
      </c>
      <c r="D51" s="46">
        <f>D50+D47+D44</f>
        <v>13290071.25</v>
      </c>
      <c r="E51" s="45">
        <f>E50+E47+E44</f>
        <v>13290071.25</v>
      </c>
      <c r="F51" s="45">
        <f t="shared" ref="F51:K51" si="31">F50+F47+F44</f>
        <v>13290071.25</v>
      </c>
      <c r="G51" s="45">
        <f t="shared" si="31"/>
        <v>13290071.25</v>
      </c>
      <c r="H51" s="45">
        <f t="shared" si="31"/>
        <v>13290071.25</v>
      </c>
      <c r="I51" s="45">
        <f t="shared" si="31"/>
        <v>13290071.25</v>
      </c>
      <c r="J51" s="45">
        <f t="shared" si="31"/>
        <v>13290071.25</v>
      </c>
      <c r="K51" s="45">
        <f t="shared" si="31"/>
        <v>13290071.25</v>
      </c>
      <c r="L51" s="45">
        <f>L50+L47+L44</f>
        <v>0</v>
      </c>
      <c r="M51" s="45">
        <f t="shared" ref="M51:O51" si="32">M50+M47+M44</f>
        <v>0</v>
      </c>
      <c r="N51" s="45">
        <f t="shared" si="32"/>
        <v>0</v>
      </c>
      <c r="O51" s="45">
        <f t="shared" si="32"/>
        <v>0</v>
      </c>
      <c r="P51" s="45">
        <f t="shared" si="0"/>
        <v>106320570</v>
      </c>
    </row>
    <row r="52" spans="1:16" s="6" customFormat="1" ht="15.75" customHeight="1" x14ac:dyDescent="0.2">
      <c r="B52" s="21" t="s">
        <v>51</v>
      </c>
      <c r="C52" s="20" t="s">
        <v>50</v>
      </c>
      <c r="D52" s="19">
        <f>D51+D41+D28+D25</f>
        <v>254382240.87</v>
      </c>
      <c r="E52" s="18">
        <f>E51+E41+E28+E25</f>
        <v>240651579.37692353</v>
      </c>
      <c r="F52" s="18">
        <f t="shared" ref="F52:K52" si="33">F51+F41+F28+F25</f>
        <v>240651579.37692353</v>
      </c>
      <c r="G52" s="18">
        <f t="shared" si="33"/>
        <v>240651579.37692353</v>
      </c>
      <c r="H52" s="18">
        <f t="shared" si="33"/>
        <v>240651579.37692353</v>
      </c>
      <c r="I52" s="18">
        <f t="shared" si="33"/>
        <v>240651579.37692353</v>
      </c>
      <c r="J52" s="18">
        <f t="shared" si="33"/>
        <v>240651579.37692353</v>
      </c>
      <c r="K52" s="18">
        <f t="shared" si="33"/>
        <v>240651579.37692353</v>
      </c>
      <c r="L52" s="18">
        <f>L51+L41+L28+L25</f>
        <v>0</v>
      </c>
      <c r="M52" s="18">
        <f t="shared" ref="M52:O52" si="34">M51+M41+M28+M25</f>
        <v>0</v>
      </c>
      <c r="N52" s="18">
        <f t="shared" si="34"/>
        <v>0</v>
      </c>
      <c r="O52" s="18">
        <f t="shared" si="34"/>
        <v>0</v>
      </c>
      <c r="P52" s="18">
        <f t="shared" si="0"/>
        <v>1938943296.5084648</v>
      </c>
    </row>
    <row r="53" spans="1:16" ht="12.75" hidden="1" customHeight="1" outlineLevel="3" x14ac:dyDescent="0.2">
      <c r="B53" s="38" t="s">
        <v>45</v>
      </c>
      <c r="C53" s="37" t="s">
        <v>44</v>
      </c>
      <c r="D53" s="36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f t="shared" si="0"/>
        <v>0</v>
      </c>
    </row>
    <row r="54" spans="1:16" ht="12.75" hidden="1" customHeight="1" outlineLevel="3" x14ac:dyDescent="0.2">
      <c r="B54" s="38" t="s">
        <v>49</v>
      </c>
      <c r="C54" s="37" t="s">
        <v>48</v>
      </c>
      <c r="D54" s="36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f t="shared" si="0"/>
        <v>0</v>
      </c>
    </row>
    <row r="55" spans="1:16" s="6" customFormat="1" ht="14.45" customHeight="1" outlineLevel="1" collapsed="1" x14ac:dyDescent="0.2">
      <c r="A55" s="30"/>
      <c r="B55" s="48" t="s">
        <v>47</v>
      </c>
      <c r="C55" s="47" t="s">
        <v>46</v>
      </c>
      <c r="D55" s="46">
        <f>SUM(D53:D54)</f>
        <v>0</v>
      </c>
      <c r="E55" s="45">
        <f>SUM(E53:E54)</f>
        <v>0</v>
      </c>
      <c r="F55" s="45">
        <f t="shared" ref="F55:K55" si="35">SUM(F53:F54)</f>
        <v>0</v>
      </c>
      <c r="G55" s="45">
        <f t="shared" si="35"/>
        <v>0</v>
      </c>
      <c r="H55" s="45">
        <f t="shared" si="35"/>
        <v>0</v>
      </c>
      <c r="I55" s="45">
        <f t="shared" si="35"/>
        <v>0</v>
      </c>
      <c r="J55" s="45">
        <f t="shared" si="35"/>
        <v>0</v>
      </c>
      <c r="K55" s="45">
        <f t="shared" si="35"/>
        <v>0</v>
      </c>
      <c r="L55" s="45">
        <f>SUM(L53:L54)</f>
        <v>0</v>
      </c>
      <c r="M55" s="45">
        <f t="shared" ref="M55:O55" si="36">SUM(M53:M54)</f>
        <v>0</v>
      </c>
      <c r="N55" s="45">
        <f t="shared" si="36"/>
        <v>0</v>
      </c>
      <c r="O55" s="45">
        <f t="shared" si="36"/>
        <v>0</v>
      </c>
      <c r="P55" s="45">
        <f t="shared" si="0"/>
        <v>0</v>
      </c>
    </row>
    <row r="56" spans="1:16" s="6" customFormat="1" ht="15.75" customHeight="1" x14ac:dyDescent="0.2">
      <c r="B56" s="21" t="s">
        <v>45</v>
      </c>
      <c r="C56" s="20" t="s">
        <v>44</v>
      </c>
      <c r="D56" s="19">
        <f>D55</f>
        <v>0</v>
      </c>
      <c r="E56" s="18">
        <f>E55</f>
        <v>0</v>
      </c>
      <c r="F56" s="18">
        <f t="shared" ref="F56:K56" si="37">F55</f>
        <v>0</v>
      </c>
      <c r="G56" s="18">
        <f t="shared" si="37"/>
        <v>0</v>
      </c>
      <c r="H56" s="18">
        <f t="shared" si="37"/>
        <v>0</v>
      </c>
      <c r="I56" s="18">
        <f t="shared" si="37"/>
        <v>0</v>
      </c>
      <c r="J56" s="18">
        <f t="shared" si="37"/>
        <v>0</v>
      </c>
      <c r="K56" s="18">
        <f t="shared" si="37"/>
        <v>0</v>
      </c>
      <c r="L56" s="18">
        <f>L55</f>
        <v>0</v>
      </c>
      <c r="M56" s="18">
        <f t="shared" ref="M56:O56" si="38">M55</f>
        <v>0</v>
      </c>
      <c r="N56" s="18">
        <f t="shared" si="38"/>
        <v>0</v>
      </c>
      <c r="O56" s="18">
        <f t="shared" si="38"/>
        <v>0</v>
      </c>
      <c r="P56" s="18">
        <f t="shared" si="0"/>
        <v>0</v>
      </c>
    </row>
    <row r="57" spans="1:16" ht="12.75" hidden="1" customHeight="1" outlineLevel="3" x14ac:dyDescent="0.2">
      <c r="B57" s="38" t="s">
        <v>43</v>
      </c>
      <c r="C57" s="37" t="s">
        <v>42</v>
      </c>
      <c r="D57" s="41">
        <f>3528170167.46521*1/12</f>
        <v>294014180.62210083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f t="shared" si="0"/>
        <v>294014180.62210083</v>
      </c>
    </row>
    <row r="58" spans="1:16" ht="12.75" hidden="1" customHeight="1" outlineLevel="3" x14ac:dyDescent="0.2">
      <c r="B58" s="38" t="s">
        <v>41</v>
      </c>
      <c r="C58" s="37" t="s">
        <v>40</v>
      </c>
      <c r="D58" s="41">
        <f>652711480.981065*1/12</f>
        <v>54392623.41508875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0</v>
      </c>
      <c r="P58" s="40">
        <f t="shared" si="0"/>
        <v>54392623.41508875</v>
      </c>
    </row>
    <row r="59" spans="1:16" s="6" customFormat="1" hidden="1" outlineLevel="2" x14ac:dyDescent="0.2">
      <c r="A59" s="30"/>
      <c r="B59" s="29" t="s">
        <v>39</v>
      </c>
      <c r="C59" s="42" t="s">
        <v>38</v>
      </c>
      <c r="D59" s="27">
        <f>SUM(D57:D58)</f>
        <v>348406804.0371896</v>
      </c>
      <c r="E59" s="26">
        <f>SUM(E57:E58)</f>
        <v>0</v>
      </c>
      <c r="F59" s="26">
        <f t="shared" ref="F59:K59" si="39">SUM(F57:F58)</f>
        <v>0</v>
      </c>
      <c r="G59" s="26">
        <f t="shared" si="39"/>
        <v>0</v>
      </c>
      <c r="H59" s="26">
        <f t="shared" si="39"/>
        <v>0</v>
      </c>
      <c r="I59" s="26">
        <f t="shared" si="39"/>
        <v>0</v>
      </c>
      <c r="J59" s="26">
        <f t="shared" si="39"/>
        <v>0</v>
      </c>
      <c r="K59" s="26">
        <f t="shared" si="39"/>
        <v>0</v>
      </c>
      <c r="L59" s="26">
        <f>SUM(L57:L58)</f>
        <v>0</v>
      </c>
      <c r="M59" s="26">
        <f t="shared" ref="M59:O59" si="40">SUM(M57:M58)</f>
        <v>0</v>
      </c>
      <c r="N59" s="26">
        <f t="shared" si="40"/>
        <v>0</v>
      </c>
      <c r="O59" s="26">
        <f t="shared" si="40"/>
        <v>0</v>
      </c>
      <c r="P59" s="26">
        <f t="shared" si="0"/>
        <v>348406804.0371896</v>
      </c>
    </row>
    <row r="60" spans="1:16" ht="12.75" hidden="1" customHeight="1" outlineLevel="3" x14ac:dyDescent="0.2">
      <c r="B60" s="38" t="s">
        <v>37</v>
      </c>
      <c r="C60" s="37" t="s">
        <v>36</v>
      </c>
      <c r="D60" s="41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40">
        <f t="shared" si="0"/>
        <v>0</v>
      </c>
    </row>
    <row r="61" spans="1:16" ht="12.75" hidden="1" customHeight="1" outlineLevel="3" x14ac:dyDescent="0.2">
      <c r="B61" s="38" t="s">
        <v>35</v>
      </c>
      <c r="C61" s="37" t="s">
        <v>34</v>
      </c>
      <c r="D61" s="41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f t="shared" si="0"/>
        <v>0</v>
      </c>
    </row>
    <row r="62" spans="1:16" s="6" customFormat="1" hidden="1" outlineLevel="2" x14ac:dyDescent="0.2">
      <c r="A62" s="30"/>
      <c r="B62" s="29" t="s">
        <v>33</v>
      </c>
      <c r="C62" s="42" t="s">
        <v>32</v>
      </c>
      <c r="D62" s="27">
        <f>SUM(D60:D61)</f>
        <v>0</v>
      </c>
      <c r="E62" s="26">
        <f>SUM(E60:E61)</f>
        <v>0</v>
      </c>
      <c r="F62" s="26">
        <f t="shared" ref="F62:K62" si="41">SUM(F60:F61)</f>
        <v>0</v>
      </c>
      <c r="G62" s="26">
        <f t="shared" si="41"/>
        <v>0</v>
      </c>
      <c r="H62" s="26">
        <f t="shared" si="41"/>
        <v>0</v>
      </c>
      <c r="I62" s="26">
        <f t="shared" si="41"/>
        <v>0</v>
      </c>
      <c r="J62" s="26">
        <f t="shared" si="41"/>
        <v>0</v>
      </c>
      <c r="K62" s="26">
        <f t="shared" si="41"/>
        <v>0</v>
      </c>
      <c r="L62" s="26">
        <f>SUM(L60:L61)</f>
        <v>0</v>
      </c>
      <c r="M62" s="26">
        <f t="shared" ref="M62:O62" si="42">SUM(M60:M61)</f>
        <v>0</v>
      </c>
      <c r="N62" s="26">
        <f t="shared" si="42"/>
        <v>0</v>
      </c>
      <c r="O62" s="26">
        <f t="shared" si="42"/>
        <v>0</v>
      </c>
      <c r="P62" s="26">
        <f t="shared" si="0"/>
        <v>0</v>
      </c>
    </row>
    <row r="63" spans="1:16" ht="12.75" hidden="1" customHeight="1" outlineLevel="3" x14ac:dyDescent="0.2">
      <c r="B63" s="38" t="s">
        <v>26</v>
      </c>
      <c r="C63" s="37" t="s">
        <v>31</v>
      </c>
      <c r="D63" s="41">
        <f>H63/3</f>
        <v>98004726.874033615</v>
      </c>
      <c r="E63" s="40">
        <f>3528170167.46521/12</f>
        <v>294014180.62210083</v>
      </c>
      <c r="F63" s="40">
        <f t="shared" ref="F63:K63" si="43">3528170167.46521/12</f>
        <v>294014180.62210083</v>
      </c>
      <c r="G63" s="40">
        <f t="shared" si="43"/>
        <v>294014180.62210083</v>
      </c>
      <c r="H63" s="40">
        <f t="shared" si="43"/>
        <v>294014180.62210083</v>
      </c>
      <c r="I63" s="40">
        <f t="shared" si="43"/>
        <v>294014180.62210083</v>
      </c>
      <c r="J63" s="40">
        <f t="shared" si="43"/>
        <v>294014180.62210083</v>
      </c>
      <c r="K63" s="40">
        <f t="shared" si="43"/>
        <v>294014180.62210083</v>
      </c>
      <c r="L63" s="40">
        <v>0</v>
      </c>
      <c r="M63" s="40">
        <v>0</v>
      </c>
      <c r="N63" s="40">
        <v>0</v>
      </c>
      <c r="O63" s="40">
        <v>0</v>
      </c>
      <c r="P63" s="40">
        <f t="shared" si="0"/>
        <v>2156103991.2287397</v>
      </c>
    </row>
    <row r="64" spans="1:16" ht="12.75" hidden="1" customHeight="1" outlineLevel="3" x14ac:dyDescent="0.2">
      <c r="B64" s="38" t="s">
        <v>30</v>
      </c>
      <c r="C64" s="37" t="s">
        <v>29</v>
      </c>
      <c r="D64" s="36">
        <f>H64/3</f>
        <v>18130874.471696194</v>
      </c>
      <c r="E64" s="35">
        <f>652711480.981063/12</f>
        <v>54392623.415088587</v>
      </c>
      <c r="F64" s="35">
        <f t="shared" ref="F64:K64" si="44">652711480.981063/12</f>
        <v>54392623.415088587</v>
      </c>
      <c r="G64" s="35">
        <f t="shared" si="44"/>
        <v>54392623.415088587</v>
      </c>
      <c r="H64" s="35">
        <f t="shared" si="44"/>
        <v>54392623.415088587</v>
      </c>
      <c r="I64" s="35">
        <f t="shared" si="44"/>
        <v>54392623.415088587</v>
      </c>
      <c r="J64" s="35">
        <f t="shared" si="44"/>
        <v>54392623.415088587</v>
      </c>
      <c r="K64" s="35">
        <f t="shared" si="44"/>
        <v>54392623.415088587</v>
      </c>
      <c r="L64" s="35">
        <v>0</v>
      </c>
      <c r="M64" s="35">
        <v>0</v>
      </c>
      <c r="N64" s="35">
        <v>0</v>
      </c>
      <c r="O64" s="35">
        <v>0</v>
      </c>
      <c r="P64" s="35">
        <f t="shared" si="0"/>
        <v>398879238.3773163</v>
      </c>
    </row>
    <row r="65" spans="1:16" s="6" customFormat="1" hidden="1" outlineLevel="2" x14ac:dyDescent="0.2">
      <c r="A65" s="30"/>
      <c r="B65" s="29" t="s">
        <v>28</v>
      </c>
      <c r="C65" s="28" t="s">
        <v>27</v>
      </c>
      <c r="D65" s="27">
        <f>SUM(D63:D64)</f>
        <v>116135601.34572981</v>
      </c>
      <c r="E65" s="26">
        <f>SUM(E63:E64)</f>
        <v>348406804.03718942</v>
      </c>
      <c r="F65" s="26">
        <f t="shared" ref="F65:K65" si="45">SUM(F63:F64)</f>
        <v>348406804.03718942</v>
      </c>
      <c r="G65" s="26">
        <f t="shared" si="45"/>
        <v>348406804.03718942</v>
      </c>
      <c r="H65" s="26">
        <f t="shared" si="45"/>
        <v>348406804.03718942</v>
      </c>
      <c r="I65" s="26">
        <f t="shared" si="45"/>
        <v>348406804.03718942</v>
      </c>
      <c r="J65" s="26">
        <f t="shared" si="45"/>
        <v>348406804.03718942</v>
      </c>
      <c r="K65" s="26">
        <f t="shared" si="45"/>
        <v>348406804.03718942</v>
      </c>
      <c r="L65" s="26">
        <f>SUM(L63:L64)</f>
        <v>0</v>
      </c>
      <c r="M65" s="26">
        <f t="shared" ref="M65:O65" si="46">SUM(M63:M64)</f>
        <v>0</v>
      </c>
      <c r="N65" s="26">
        <f t="shared" si="46"/>
        <v>0</v>
      </c>
      <c r="O65" s="26">
        <f t="shared" si="46"/>
        <v>0</v>
      </c>
      <c r="P65" s="26">
        <f t="shared" si="0"/>
        <v>2554983229.6060557</v>
      </c>
    </row>
    <row r="66" spans="1:16" ht="15.75" customHeight="1" collapsed="1" x14ac:dyDescent="0.2">
      <c r="B66" s="21" t="s">
        <v>26</v>
      </c>
      <c r="C66" s="20" t="s">
        <v>25</v>
      </c>
      <c r="D66" s="19">
        <f>D65+D62+D59</f>
        <v>464542405.38291943</v>
      </c>
      <c r="E66" s="18">
        <f>E65+E62+E59</f>
        <v>348406804.03718942</v>
      </c>
      <c r="F66" s="18">
        <f t="shared" ref="F66:K66" si="47">F65+F62+F59</f>
        <v>348406804.03718942</v>
      </c>
      <c r="G66" s="18">
        <f t="shared" si="47"/>
        <v>348406804.03718942</v>
      </c>
      <c r="H66" s="18">
        <f t="shared" si="47"/>
        <v>348406804.03718942</v>
      </c>
      <c r="I66" s="18">
        <f t="shared" si="47"/>
        <v>348406804.03718942</v>
      </c>
      <c r="J66" s="18">
        <f t="shared" si="47"/>
        <v>348406804.03718942</v>
      </c>
      <c r="K66" s="18">
        <f t="shared" si="47"/>
        <v>348406804.03718942</v>
      </c>
      <c r="L66" s="18">
        <f>L65+L62+L59</f>
        <v>0</v>
      </c>
      <c r="M66" s="18">
        <f t="shared" ref="M66:O66" si="48">M65+M62+M59</f>
        <v>0</v>
      </c>
      <c r="N66" s="18">
        <f t="shared" si="48"/>
        <v>0</v>
      </c>
      <c r="O66" s="18">
        <f t="shared" si="48"/>
        <v>0</v>
      </c>
      <c r="P66" s="18">
        <f t="shared" si="0"/>
        <v>2903390033.6432457</v>
      </c>
    </row>
    <row r="67" spans="1:16" s="6" customFormat="1" ht="18.75" customHeight="1" x14ac:dyDescent="0.2">
      <c r="B67" s="13" t="s">
        <v>24</v>
      </c>
      <c r="C67" s="12" t="s">
        <v>23</v>
      </c>
      <c r="D67" s="119">
        <f>D52+D66+D56</f>
        <v>718924646.25291944</v>
      </c>
      <c r="E67" s="11">
        <f>E52+E66+E56</f>
        <v>589058383.41411293</v>
      </c>
      <c r="F67" s="11">
        <f t="shared" ref="F67:K67" si="49">F52+F66+F56</f>
        <v>589058383.41411293</v>
      </c>
      <c r="G67" s="11">
        <f t="shared" si="49"/>
        <v>589058383.41411293</v>
      </c>
      <c r="H67" s="11">
        <f t="shared" si="49"/>
        <v>589058383.41411293</v>
      </c>
      <c r="I67" s="11">
        <f t="shared" si="49"/>
        <v>589058383.41411293</v>
      </c>
      <c r="J67" s="11">
        <f t="shared" si="49"/>
        <v>589058383.41411293</v>
      </c>
      <c r="K67" s="11">
        <f t="shared" si="49"/>
        <v>589058383.41411293</v>
      </c>
      <c r="L67" s="11">
        <f>L52+L66+L56</f>
        <v>0</v>
      </c>
      <c r="M67" s="11">
        <f t="shared" ref="M67:O67" si="50">M52+M66+M56</f>
        <v>0</v>
      </c>
      <c r="N67" s="11">
        <f t="shared" si="50"/>
        <v>0</v>
      </c>
      <c r="O67" s="11">
        <f t="shared" si="50"/>
        <v>0</v>
      </c>
      <c r="P67" s="11">
        <f t="shared" si="0"/>
        <v>4842333330.1517105</v>
      </c>
    </row>
    <row r="68" spans="1:16" ht="16.5" customHeight="1" outlineLevel="1" x14ac:dyDescent="0.2">
      <c r="A68" s="54"/>
      <c r="B68" s="101" t="s">
        <v>22</v>
      </c>
      <c r="C68" s="100" t="s">
        <v>21</v>
      </c>
      <c r="D68" s="118">
        <f>(D14+D17+D20+D23+D30+D33+D36+D39)/(D13+D16+D19+D22+D29+D32+D35+D38)</f>
        <v>0.18587833690067815</v>
      </c>
      <c r="E68" s="117">
        <f>(E14+E17+E20+E23+E30+E33+E36+E39)/(E13+E16+E19+E22+E29+E32+E35+E38)</f>
        <v>0.18499999999999994</v>
      </c>
      <c r="F68" s="117">
        <f t="shared" ref="F68:K68" si="51">(F14+F17+F20+F23+F30+F33+F36+F39)/(F13+F16+F19+F22+F29+F32+F35+F38)</f>
        <v>0.18499999999999994</v>
      </c>
      <c r="G68" s="117">
        <f t="shared" si="51"/>
        <v>0.18499999999999994</v>
      </c>
      <c r="H68" s="117">
        <f t="shared" si="51"/>
        <v>0.18499999999999994</v>
      </c>
      <c r="I68" s="117">
        <f t="shared" si="51"/>
        <v>0.18499999999999994</v>
      </c>
      <c r="J68" s="117">
        <f t="shared" si="51"/>
        <v>0.18499999999999994</v>
      </c>
      <c r="K68" s="117">
        <f t="shared" si="51"/>
        <v>0.18499999999999994</v>
      </c>
      <c r="L68" s="117">
        <v>0</v>
      </c>
      <c r="M68" s="117">
        <v>0</v>
      </c>
      <c r="N68" s="117">
        <v>0</v>
      </c>
      <c r="O68" s="117">
        <v>0</v>
      </c>
      <c r="P68" s="117">
        <f>(P14+P17+P20+P23+P30+P33+P36+P39)/(P13+P16+P19+P22+P29+P32+P35+P38)</f>
        <v>0.18511594556590161</v>
      </c>
    </row>
    <row r="69" spans="1:16" s="103" customFormat="1" ht="16.5" customHeight="1" outlineLevel="1" x14ac:dyDescent="0.2">
      <c r="B69" s="111" t="s">
        <v>19</v>
      </c>
      <c r="C69" s="110" t="s">
        <v>18</v>
      </c>
      <c r="D69" s="109">
        <v>311</v>
      </c>
      <c r="E69" s="108">
        <v>331</v>
      </c>
      <c r="F69" s="108">
        <v>331</v>
      </c>
      <c r="G69" s="108">
        <v>331</v>
      </c>
      <c r="H69" s="108">
        <v>331</v>
      </c>
      <c r="I69" s="108">
        <v>331</v>
      </c>
      <c r="J69" s="108">
        <v>331</v>
      </c>
      <c r="K69" s="108">
        <v>331</v>
      </c>
      <c r="L69" s="108">
        <v>0</v>
      </c>
      <c r="M69" s="108">
        <v>0</v>
      </c>
      <c r="N69" s="108">
        <v>0</v>
      </c>
      <c r="O69" s="108">
        <v>0</v>
      </c>
      <c r="P69" s="108">
        <v>331</v>
      </c>
    </row>
    <row r="70" spans="1:16" s="103" customFormat="1" ht="16.5" customHeight="1" outlineLevel="1" x14ac:dyDescent="0.2">
      <c r="B70" s="111" t="s">
        <v>17</v>
      </c>
      <c r="C70" s="110" t="s">
        <v>16</v>
      </c>
      <c r="D70" s="109">
        <f>D71-D69</f>
        <v>110</v>
      </c>
      <c r="E70" s="108">
        <f>E71-E69</f>
        <v>113</v>
      </c>
      <c r="F70" s="108">
        <f t="shared" ref="F70:K70" si="52">F71-F69</f>
        <v>113</v>
      </c>
      <c r="G70" s="108">
        <f t="shared" si="52"/>
        <v>113</v>
      </c>
      <c r="H70" s="108">
        <f t="shared" si="52"/>
        <v>113</v>
      </c>
      <c r="I70" s="108">
        <f t="shared" si="52"/>
        <v>113</v>
      </c>
      <c r="J70" s="108">
        <f t="shared" si="52"/>
        <v>113</v>
      </c>
      <c r="K70" s="108">
        <f t="shared" si="52"/>
        <v>113</v>
      </c>
      <c r="L70" s="108">
        <v>0</v>
      </c>
      <c r="M70" s="108">
        <v>0</v>
      </c>
      <c r="N70" s="108">
        <v>0</v>
      </c>
      <c r="O70" s="108">
        <v>0</v>
      </c>
      <c r="P70" s="108">
        <f>P71-P69</f>
        <v>113</v>
      </c>
    </row>
    <row r="71" spans="1:16" ht="16.5" customHeight="1" outlineLevel="1" x14ac:dyDescent="0.2">
      <c r="B71" s="101" t="s">
        <v>15</v>
      </c>
      <c r="C71" s="100" t="s">
        <v>14</v>
      </c>
      <c r="D71" s="99">
        <v>421</v>
      </c>
      <c r="E71" s="102">
        <v>444</v>
      </c>
      <c r="F71" s="102">
        <v>444</v>
      </c>
      <c r="G71" s="102">
        <v>444</v>
      </c>
      <c r="H71" s="102">
        <v>444</v>
      </c>
      <c r="I71" s="102">
        <v>444</v>
      </c>
      <c r="J71" s="102">
        <v>444</v>
      </c>
      <c r="K71" s="102">
        <v>444</v>
      </c>
      <c r="L71" s="102">
        <v>0</v>
      </c>
      <c r="M71" s="102">
        <v>0</v>
      </c>
      <c r="N71" s="102">
        <v>0</v>
      </c>
      <c r="O71" s="102">
        <v>0</v>
      </c>
      <c r="P71" s="102">
        <v>444</v>
      </c>
    </row>
    <row r="72" spans="1:16" ht="16.5" customHeight="1" outlineLevel="1" x14ac:dyDescent="0.2">
      <c r="B72" s="101" t="s">
        <v>13</v>
      </c>
      <c r="C72" s="100" t="s">
        <v>12</v>
      </c>
      <c r="D72" s="99">
        <v>246</v>
      </c>
      <c r="E72" s="98">
        <v>265.68387212842742</v>
      </c>
      <c r="F72" s="98">
        <v>265.68387212842742</v>
      </c>
      <c r="G72" s="98">
        <v>265.68387212842742</v>
      </c>
      <c r="H72" s="98">
        <v>265.68387212842742</v>
      </c>
      <c r="I72" s="98">
        <v>265.68387212842742</v>
      </c>
      <c r="J72" s="98">
        <v>265.68387212842742</v>
      </c>
      <c r="K72" s="98">
        <v>265.68387212842742</v>
      </c>
      <c r="L72" s="98">
        <v>0</v>
      </c>
      <c r="M72" s="98">
        <v>0</v>
      </c>
      <c r="N72" s="98">
        <v>0</v>
      </c>
      <c r="O72" s="98">
        <v>0</v>
      </c>
      <c r="P72" s="98">
        <v>265.68387212842742</v>
      </c>
    </row>
    <row r="73" spans="1:16" ht="13.5" outlineLevel="1" thickBot="1" x14ac:dyDescent="0.25">
      <c r="A73" s="54"/>
      <c r="B73" s="92" t="s">
        <v>11</v>
      </c>
      <c r="C73" s="91" t="s">
        <v>11</v>
      </c>
      <c r="D73" s="90">
        <v>307.7</v>
      </c>
      <c r="E73" s="89">
        <v>310</v>
      </c>
      <c r="F73" s="89">
        <v>310</v>
      </c>
      <c r="G73" s="89">
        <v>310</v>
      </c>
      <c r="H73" s="89">
        <v>310</v>
      </c>
      <c r="I73" s="89">
        <v>310</v>
      </c>
      <c r="J73" s="89">
        <v>310</v>
      </c>
      <c r="K73" s="89">
        <v>310</v>
      </c>
      <c r="L73" s="89">
        <v>0</v>
      </c>
      <c r="M73" s="89">
        <v>0</v>
      </c>
      <c r="N73" s="89">
        <v>0</v>
      </c>
      <c r="O73" s="89">
        <v>0</v>
      </c>
      <c r="P73" s="89">
        <v>310</v>
      </c>
    </row>
    <row r="74" spans="1:16" s="80" customFormat="1" ht="13.5" thickTop="1" x14ac:dyDescent="0.2">
      <c r="B74" s="83"/>
      <c r="C74" s="83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</row>
    <row r="75" spans="1:16" x14ac:dyDescent="0.2">
      <c r="A75" s="5">
        <v>3</v>
      </c>
      <c r="B75" s="5" t="s">
        <v>4</v>
      </c>
      <c r="N75" s="3"/>
    </row>
    <row r="76" spans="1:16" x14ac:dyDescent="0.2">
      <c r="A76" s="5">
        <v>4</v>
      </c>
      <c r="B76" s="5" t="s">
        <v>3</v>
      </c>
      <c r="N76" s="3"/>
    </row>
    <row r="77" spans="1:16" x14ac:dyDescent="0.2">
      <c r="A77" s="5">
        <v>5</v>
      </c>
      <c r="B77" s="5" t="s">
        <v>2</v>
      </c>
      <c r="N77" s="3"/>
    </row>
    <row r="78" spans="1:16" x14ac:dyDescent="0.2">
      <c r="A78" s="5">
        <v>6</v>
      </c>
      <c r="B78" s="5" t="s">
        <v>1</v>
      </c>
      <c r="N78" s="3"/>
    </row>
    <row r="79" spans="1:16" x14ac:dyDescent="0.2">
      <c r="A79" s="5">
        <v>7</v>
      </c>
      <c r="B79" s="5" t="s">
        <v>0</v>
      </c>
      <c r="N79" s="3"/>
    </row>
    <row r="80" spans="1:16" x14ac:dyDescent="0.2">
      <c r="A80" s="4"/>
      <c r="B80" s="4"/>
      <c r="N80" s="3"/>
    </row>
    <row r="81" spans="14:14" x14ac:dyDescent="0.2">
      <c r="N81" s="3"/>
    </row>
    <row r="82" spans="14:14" x14ac:dyDescent="0.2">
      <c r="N82" s="3"/>
    </row>
    <row r="83" spans="14:14" x14ac:dyDescent="0.2">
      <c r="N83" s="3"/>
    </row>
    <row r="84" spans="14:14" x14ac:dyDescent="0.2">
      <c r="N84" s="3"/>
    </row>
    <row r="85" spans="14:14" x14ac:dyDescent="0.2">
      <c r="N85" s="3"/>
    </row>
    <row r="86" spans="14:14" x14ac:dyDescent="0.2">
      <c r="N86" s="3"/>
    </row>
    <row r="87" spans="14:14" x14ac:dyDescent="0.2">
      <c r="N87" s="3"/>
    </row>
    <row r="88" spans="14:14" x14ac:dyDescent="0.2">
      <c r="N88" s="3"/>
    </row>
    <row r="89" spans="14:14" x14ac:dyDescent="0.2">
      <c r="N89" s="3"/>
    </row>
    <row r="90" spans="14:14" x14ac:dyDescent="0.2">
      <c r="N90" s="3"/>
    </row>
    <row r="91" spans="14:14" x14ac:dyDescent="0.2">
      <c r="N91" s="3"/>
    </row>
    <row r="92" spans="14:14" x14ac:dyDescent="0.2">
      <c r="N92" s="3"/>
    </row>
    <row r="93" spans="14:14" x14ac:dyDescent="0.2">
      <c r="N93" s="3"/>
    </row>
    <row r="94" spans="14:14" x14ac:dyDescent="0.2">
      <c r="N94" s="3"/>
    </row>
    <row r="95" spans="14:14" x14ac:dyDescent="0.2">
      <c r="N95" s="3"/>
    </row>
    <row r="96" spans="14:14" x14ac:dyDescent="0.2">
      <c r="N96" s="3"/>
    </row>
    <row r="97" spans="14:14" x14ac:dyDescent="0.2">
      <c r="N97" s="3"/>
    </row>
    <row r="98" spans="14:14" x14ac:dyDescent="0.2">
      <c r="N98" s="3"/>
    </row>
    <row r="99" spans="14:14" x14ac:dyDescent="0.2">
      <c r="N99" s="3"/>
    </row>
    <row r="100" spans="14:14" x14ac:dyDescent="0.2">
      <c r="N100" s="3"/>
    </row>
    <row r="101" spans="14:14" x14ac:dyDescent="0.2">
      <c r="N101" s="3"/>
    </row>
    <row r="102" spans="14:14" x14ac:dyDescent="0.2">
      <c r="N102" s="3"/>
    </row>
    <row r="103" spans="14:14" x14ac:dyDescent="0.2">
      <c r="N103" s="3"/>
    </row>
    <row r="104" spans="14:14" x14ac:dyDescent="0.2">
      <c r="N104" s="3"/>
    </row>
    <row r="105" spans="14:14" x14ac:dyDescent="0.2">
      <c r="N105" s="3"/>
    </row>
    <row r="106" spans="14:14" x14ac:dyDescent="0.2">
      <c r="N106" s="3"/>
    </row>
    <row r="107" spans="14:14" x14ac:dyDescent="0.2">
      <c r="N107" s="3"/>
    </row>
    <row r="108" spans="14:14" x14ac:dyDescent="0.2">
      <c r="N108" s="3"/>
    </row>
    <row r="109" spans="14:14" x14ac:dyDescent="0.2">
      <c r="N109" s="3"/>
    </row>
    <row r="110" spans="14:14" x14ac:dyDescent="0.2">
      <c r="N110" s="3"/>
    </row>
    <row r="111" spans="14:14" x14ac:dyDescent="0.2">
      <c r="N111" s="3"/>
    </row>
    <row r="112" spans="14:14" x14ac:dyDescent="0.2">
      <c r="N112" s="3"/>
    </row>
    <row r="113" spans="14:14" x14ac:dyDescent="0.2">
      <c r="N113" s="3"/>
    </row>
    <row r="114" spans="14:14" x14ac:dyDescent="0.2">
      <c r="N114" s="3"/>
    </row>
    <row r="115" spans="14:14" x14ac:dyDescent="0.2">
      <c r="N115" s="3"/>
    </row>
    <row r="116" spans="14:14" x14ac:dyDescent="0.2">
      <c r="N116" s="3"/>
    </row>
    <row r="117" spans="14:14" x14ac:dyDescent="0.2">
      <c r="N117" s="3"/>
    </row>
    <row r="118" spans="14:14" x14ac:dyDescent="0.2">
      <c r="N118" s="3"/>
    </row>
    <row r="119" spans="14:14" x14ac:dyDescent="0.2">
      <c r="N119" s="3"/>
    </row>
    <row r="120" spans="14:14" x14ac:dyDescent="0.2">
      <c r="N120" s="3"/>
    </row>
    <row r="121" spans="14:14" x14ac:dyDescent="0.2">
      <c r="N121" s="3"/>
    </row>
    <row r="122" spans="14:14" x14ac:dyDescent="0.2">
      <c r="N122" s="3"/>
    </row>
    <row r="123" spans="14:14" x14ac:dyDescent="0.2">
      <c r="N123" s="3"/>
    </row>
    <row r="124" spans="14:14" x14ac:dyDescent="0.2">
      <c r="N124" s="3"/>
    </row>
    <row r="125" spans="14:14" x14ac:dyDescent="0.2">
      <c r="N125" s="3"/>
    </row>
    <row r="126" spans="14:14" x14ac:dyDescent="0.2">
      <c r="N126" s="3"/>
    </row>
    <row r="127" spans="14:14" x14ac:dyDescent="0.2">
      <c r="N127" s="3"/>
    </row>
    <row r="128" spans="14:14" x14ac:dyDescent="0.2">
      <c r="N128" s="3"/>
    </row>
    <row r="129" spans="14:14" x14ac:dyDescent="0.2">
      <c r="N129" s="3"/>
    </row>
    <row r="130" spans="14:14" x14ac:dyDescent="0.2">
      <c r="N130" s="3"/>
    </row>
    <row r="131" spans="14:14" x14ac:dyDescent="0.2">
      <c r="N131" s="3"/>
    </row>
    <row r="132" spans="14:14" x14ac:dyDescent="0.2">
      <c r="N132" s="3"/>
    </row>
    <row r="133" spans="14:14" x14ac:dyDescent="0.2">
      <c r="N133" s="3"/>
    </row>
    <row r="134" spans="14:14" x14ac:dyDescent="0.2">
      <c r="N134" s="3"/>
    </row>
    <row r="135" spans="14:14" x14ac:dyDescent="0.2">
      <c r="N135" s="3"/>
    </row>
    <row r="136" spans="14:14" x14ac:dyDescent="0.2">
      <c r="N136" s="3"/>
    </row>
    <row r="137" spans="14:14" x14ac:dyDescent="0.2">
      <c r="N137" s="3"/>
    </row>
    <row r="138" spans="14:14" x14ac:dyDescent="0.2">
      <c r="N138" s="3"/>
    </row>
    <row r="139" spans="14:14" x14ac:dyDescent="0.2">
      <c r="N139" s="3"/>
    </row>
    <row r="140" spans="14:14" x14ac:dyDescent="0.2">
      <c r="N140" s="3"/>
    </row>
    <row r="141" spans="14:14" x14ac:dyDescent="0.2">
      <c r="N141" s="3"/>
    </row>
    <row r="142" spans="14:14" x14ac:dyDescent="0.2">
      <c r="N142" s="3"/>
    </row>
    <row r="143" spans="14:14" x14ac:dyDescent="0.2">
      <c r="N143" s="3"/>
    </row>
    <row r="144" spans="14:14" x14ac:dyDescent="0.2">
      <c r="N144" s="3"/>
    </row>
    <row r="145" spans="14:14" x14ac:dyDescent="0.2">
      <c r="N145" s="3"/>
    </row>
    <row r="146" spans="14:14" x14ac:dyDescent="0.2">
      <c r="N146" s="3"/>
    </row>
    <row r="147" spans="14:14" x14ac:dyDescent="0.2">
      <c r="N147" s="3"/>
    </row>
    <row r="148" spans="14:14" x14ac:dyDescent="0.2">
      <c r="N148" s="3"/>
    </row>
    <row r="149" spans="14:14" x14ac:dyDescent="0.2">
      <c r="N149" s="3"/>
    </row>
    <row r="150" spans="14:14" x14ac:dyDescent="0.2">
      <c r="N150" s="3"/>
    </row>
    <row r="151" spans="14:14" x14ac:dyDescent="0.2">
      <c r="N151" s="3"/>
    </row>
    <row r="152" spans="14:14" x14ac:dyDescent="0.2">
      <c r="N152" s="3"/>
    </row>
    <row r="153" spans="14:14" x14ac:dyDescent="0.2">
      <c r="N153" s="3"/>
    </row>
    <row r="154" spans="14:14" x14ac:dyDescent="0.2">
      <c r="N154" s="3"/>
    </row>
    <row r="155" spans="14:14" x14ac:dyDescent="0.2">
      <c r="N155" s="3"/>
    </row>
    <row r="156" spans="14:14" x14ac:dyDescent="0.2">
      <c r="N156" s="3"/>
    </row>
    <row r="157" spans="14:14" x14ac:dyDescent="0.2">
      <c r="N157" s="3"/>
    </row>
    <row r="158" spans="14:14" x14ac:dyDescent="0.2">
      <c r="N158" s="3"/>
    </row>
    <row r="159" spans="14:14" x14ac:dyDescent="0.2">
      <c r="N159" s="3"/>
    </row>
    <row r="160" spans="14:14" x14ac:dyDescent="0.2">
      <c r="N160" s="3"/>
    </row>
    <row r="161" spans="14:14" x14ac:dyDescent="0.2">
      <c r="N161" s="3"/>
    </row>
    <row r="162" spans="14:14" x14ac:dyDescent="0.2">
      <c r="N162" s="3"/>
    </row>
    <row r="163" spans="14:14" x14ac:dyDescent="0.2">
      <c r="N163" s="3"/>
    </row>
    <row r="164" spans="14:14" x14ac:dyDescent="0.2">
      <c r="N164" s="3"/>
    </row>
    <row r="165" spans="14:14" x14ac:dyDescent="0.2">
      <c r="N165" s="3"/>
    </row>
    <row r="166" spans="14:14" x14ac:dyDescent="0.2">
      <c r="N166" s="3"/>
    </row>
    <row r="167" spans="14:14" x14ac:dyDescent="0.2">
      <c r="N167" s="3"/>
    </row>
    <row r="168" spans="14:14" x14ac:dyDescent="0.2">
      <c r="N168" s="3"/>
    </row>
    <row r="169" spans="14:14" x14ac:dyDescent="0.2">
      <c r="N169" s="3"/>
    </row>
    <row r="170" spans="14:14" x14ac:dyDescent="0.2">
      <c r="N170" s="3"/>
    </row>
    <row r="171" spans="14:14" x14ac:dyDescent="0.2">
      <c r="N171" s="3"/>
    </row>
    <row r="172" spans="14:14" x14ac:dyDescent="0.2">
      <c r="N172" s="3"/>
    </row>
    <row r="173" spans="14:14" x14ac:dyDescent="0.2">
      <c r="N173" s="3"/>
    </row>
    <row r="174" spans="14:14" x14ac:dyDescent="0.2">
      <c r="N174" s="3"/>
    </row>
    <row r="175" spans="14:14" x14ac:dyDescent="0.2">
      <c r="N175" s="3"/>
    </row>
    <row r="176" spans="14:14" x14ac:dyDescent="0.2">
      <c r="N176" s="3"/>
    </row>
    <row r="177" spans="14:14" x14ac:dyDescent="0.2">
      <c r="N177" s="3"/>
    </row>
    <row r="178" spans="14:14" x14ac:dyDescent="0.2">
      <c r="N178" s="3"/>
    </row>
    <row r="179" spans="14:14" x14ac:dyDescent="0.2">
      <c r="N179" s="3"/>
    </row>
    <row r="180" spans="14:14" x14ac:dyDescent="0.2">
      <c r="N180" s="3"/>
    </row>
    <row r="181" spans="14:14" x14ac:dyDescent="0.2">
      <c r="N181" s="3"/>
    </row>
    <row r="182" spans="14:14" x14ac:dyDescent="0.2">
      <c r="N182" s="3"/>
    </row>
    <row r="183" spans="14:14" x14ac:dyDescent="0.2">
      <c r="N183" s="3"/>
    </row>
    <row r="184" spans="14:14" x14ac:dyDescent="0.2">
      <c r="N184" s="3"/>
    </row>
    <row r="185" spans="14:14" x14ac:dyDescent="0.2">
      <c r="N185" s="3"/>
    </row>
    <row r="186" spans="14:14" x14ac:dyDescent="0.2">
      <c r="N186" s="3"/>
    </row>
    <row r="187" spans="14:14" x14ac:dyDescent="0.2">
      <c r="N187" s="3"/>
    </row>
    <row r="188" spans="14:14" x14ac:dyDescent="0.2">
      <c r="N188" s="3"/>
    </row>
    <row r="189" spans="14:14" x14ac:dyDescent="0.2">
      <c r="N189" s="3"/>
    </row>
    <row r="190" spans="14:14" x14ac:dyDescent="0.2">
      <c r="N190" s="3"/>
    </row>
    <row r="191" spans="14:14" x14ac:dyDescent="0.2">
      <c r="N191" s="3"/>
    </row>
    <row r="192" spans="14:14" x14ac:dyDescent="0.2">
      <c r="N192" s="3"/>
    </row>
    <row r="193" spans="14:14" x14ac:dyDescent="0.2">
      <c r="N193" s="3"/>
    </row>
    <row r="194" spans="14:14" x14ac:dyDescent="0.2">
      <c r="N194" s="3"/>
    </row>
    <row r="195" spans="14:14" x14ac:dyDescent="0.2">
      <c r="N195" s="3"/>
    </row>
    <row r="196" spans="14:14" x14ac:dyDescent="0.2">
      <c r="N196" s="3"/>
    </row>
    <row r="197" spans="14:14" x14ac:dyDescent="0.2">
      <c r="N197" s="3"/>
    </row>
    <row r="198" spans="14:14" x14ac:dyDescent="0.2">
      <c r="N198" s="3"/>
    </row>
    <row r="199" spans="14:14" x14ac:dyDescent="0.2">
      <c r="N199" s="3"/>
    </row>
    <row r="200" spans="14:14" x14ac:dyDescent="0.2">
      <c r="N200" s="3"/>
    </row>
    <row r="201" spans="14:14" x14ac:dyDescent="0.2">
      <c r="N201" s="3"/>
    </row>
    <row r="202" spans="14:14" x14ac:dyDescent="0.2">
      <c r="N202" s="3"/>
    </row>
    <row r="203" spans="14:14" x14ac:dyDescent="0.2">
      <c r="N203" s="3"/>
    </row>
    <row r="204" spans="14:14" x14ac:dyDescent="0.2">
      <c r="N204" s="3"/>
    </row>
    <row r="205" spans="14:14" x14ac:dyDescent="0.2">
      <c r="N205" s="3"/>
    </row>
    <row r="206" spans="14:14" x14ac:dyDescent="0.2">
      <c r="N206" s="3"/>
    </row>
    <row r="207" spans="14:14" x14ac:dyDescent="0.2">
      <c r="N207" s="3"/>
    </row>
    <row r="208" spans="14:14" x14ac:dyDescent="0.2">
      <c r="N208" s="3"/>
    </row>
    <row r="209" spans="14:14" x14ac:dyDescent="0.2">
      <c r="N209" s="3"/>
    </row>
    <row r="210" spans="14:14" x14ac:dyDescent="0.2">
      <c r="N210" s="3"/>
    </row>
    <row r="211" spans="14:14" x14ac:dyDescent="0.2">
      <c r="N211" s="3"/>
    </row>
    <row r="212" spans="14:14" x14ac:dyDescent="0.2">
      <c r="N212" s="3"/>
    </row>
    <row r="213" spans="14:14" x14ac:dyDescent="0.2">
      <c r="N213" s="3"/>
    </row>
    <row r="214" spans="14:14" x14ac:dyDescent="0.2">
      <c r="N214" s="3"/>
    </row>
    <row r="215" spans="14:14" x14ac:dyDescent="0.2">
      <c r="N215" s="3"/>
    </row>
    <row r="216" spans="14:14" x14ac:dyDescent="0.2">
      <c r="N216" s="3"/>
    </row>
    <row r="217" spans="14:14" x14ac:dyDescent="0.2">
      <c r="N217" s="3"/>
    </row>
    <row r="218" spans="14:14" x14ac:dyDescent="0.2">
      <c r="N218" s="3"/>
    </row>
    <row r="219" spans="14:14" x14ac:dyDescent="0.2">
      <c r="N219" s="3"/>
    </row>
    <row r="220" spans="14:14" x14ac:dyDescent="0.2">
      <c r="N220" s="3"/>
    </row>
    <row r="221" spans="14:14" x14ac:dyDescent="0.2">
      <c r="N221" s="3"/>
    </row>
    <row r="222" spans="14:14" x14ac:dyDescent="0.2">
      <c r="N222" s="3"/>
    </row>
    <row r="223" spans="14:14" x14ac:dyDescent="0.2">
      <c r="N223" s="3"/>
    </row>
    <row r="224" spans="14:14" x14ac:dyDescent="0.2">
      <c r="N224" s="3"/>
    </row>
    <row r="225" spans="14:14" x14ac:dyDescent="0.2">
      <c r="N225" s="3"/>
    </row>
    <row r="226" spans="14:14" x14ac:dyDescent="0.2">
      <c r="N226" s="3"/>
    </row>
    <row r="227" spans="14:14" x14ac:dyDescent="0.2">
      <c r="N227" s="3"/>
    </row>
    <row r="228" spans="14:14" x14ac:dyDescent="0.2">
      <c r="N228" s="3"/>
    </row>
    <row r="229" spans="14:14" x14ac:dyDescent="0.2">
      <c r="N229" s="3"/>
    </row>
    <row r="230" spans="14:14" x14ac:dyDescent="0.2">
      <c r="N230" s="3"/>
    </row>
    <row r="231" spans="14:14" x14ac:dyDescent="0.2">
      <c r="N231" s="3"/>
    </row>
    <row r="232" spans="14:14" x14ac:dyDescent="0.2">
      <c r="N232" s="3"/>
    </row>
    <row r="233" spans="14:14" x14ac:dyDescent="0.2">
      <c r="N233" s="3"/>
    </row>
    <row r="234" spans="14:14" x14ac:dyDescent="0.2">
      <c r="N234" s="3"/>
    </row>
    <row r="235" spans="14:14" x14ac:dyDescent="0.2">
      <c r="N235" s="3"/>
    </row>
    <row r="236" spans="14:14" x14ac:dyDescent="0.2">
      <c r="N236" s="3"/>
    </row>
    <row r="237" spans="14:14" x14ac:dyDescent="0.2">
      <c r="N237" s="3"/>
    </row>
    <row r="238" spans="14:14" x14ac:dyDescent="0.2">
      <c r="N238" s="3"/>
    </row>
    <row r="239" spans="14:14" x14ac:dyDescent="0.2">
      <c r="N239" s="3"/>
    </row>
    <row r="240" spans="14:14" x14ac:dyDescent="0.2">
      <c r="N240" s="3"/>
    </row>
    <row r="241" spans="14:14" x14ac:dyDescent="0.2">
      <c r="N241" s="3"/>
    </row>
    <row r="242" spans="14:14" x14ac:dyDescent="0.2">
      <c r="N242" s="3"/>
    </row>
    <row r="243" spans="14:14" x14ac:dyDescent="0.2">
      <c r="N243" s="3"/>
    </row>
    <row r="244" spans="14:14" x14ac:dyDescent="0.2">
      <c r="N244" s="3"/>
    </row>
    <row r="245" spans="14:14" x14ac:dyDescent="0.2">
      <c r="N245" s="3"/>
    </row>
    <row r="246" spans="14:14" x14ac:dyDescent="0.2">
      <c r="N246" s="3"/>
    </row>
    <row r="247" spans="14:14" x14ac:dyDescent="0.2">
      <c r="N247" s="3"/>
    </row>
    <row r="248" spans="14:14" x14ac:dyDescent="0.2">
      <c r="N248" s="3"/>
    </row>
    <row r="249" spans="14:14" x14ac:dyDescent="0.2">
      <c r="N249" s="3"/>
    </row>
    <row r="250" spans="14:14" x14ac:dyDescent="0.2">
      <c r="N250" s="3"/>
    </row>
  </sheetData>
  <mergeCells count="1">
    <mergeCell ref="D10:P10"/>
  </mergeCells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BS366"/>
  <sheetViews>
    <sheetView showGridLines="0" zoomScale="80" zoomScaleNormal="80" workbookViewId="0">
      <pane ySplit="10" topLeftCell="A11" activePane="bottomLeft" state="frozen"/>
      <selection pane="bottomLeft" activeCell="Q69" sqref="Q69"/>
    </sheetView>
  </sheetViews>
  <sheetFormatPr defaultColWidth="9.140625" defaultRowHeight="12.75" outlineLevelRow="3" outlineLevelCol="1" x14ac:dyDescent="0.2"/>
  <cols>
    <col min="1" max="1" width="5" style="1" customWidth="1"/>
    <col min="2" max="3" width="38.85546875" style="1" customWidth="1"/>
    <col min="4" max="4" width="21.140625" style="1" customWidth="1"/>
    <col min="5" max="5" width="13" style="1" hidden="1" customWidth="1" outlineLevel="1"/>
    <col min="6" max="8" width="12.42578125" style="1" hidden="1" customWidth="1" outlineLevel="1"/>
    <col min="9" max="9" width="12.42578125" style="2" hidden="1" customWidth="1" outlineLevel="1"/>
    <col min="10" max="16" width="12.42578125" style="1" hidden="1" customWidth="1" outlineLevel="1"/>
    <col min="17" max="17" width="21.140625" style="1" customWidth="1" collapsed="1"/>
    <col min="18" max="18" width="13" style="1" hidden="1" customWidth="1" outlineLevel="1"/>
    <col min="19" max="21" width="12.42578125" style="1" hidden="1" customWidth="1" outlineLevel="1"/>
    <col min="22" max="22" width="12.42578125" style="2" hidden="1" customWidth="1" outlineLevel="1"/>
    <col min="23" max="29" width="12.42578125" style="1" hidden="1" customWidth="1" outlineLevel="1"/>
    <col min="30" max="30" width="21.140625" style="1" customWidth="1" collapsed="1"/>
    <col min="31" max="31" width="13" style="1" hidden="1" customWidth="1" outlineLevel="1"/>
    <col min="32" max="34" width="12.42578125" style="1" hidden="1" customWidth="1" outlineLevel="1"/>
    <col min="35" max="35" width="12.42578125" style="2" hidden="1" customWidth="1" outlineLevel="1"/>
    <col min="36" max="42" width="12.42578125" style="1" hidden="1" customWidth="1" outlineLevel="1"/>
    <col min="43" max="43" width="21.140625" style="1" customWidth="1" collapsed="1"/>
    <col min="44" max="44" width="21.140625" style="1" customWidth="1"/>
    <col min="45" max="45" width="13" style="1" hidden="1" customWidth="1" outlineLevel="1"/>
    <col min="46" max="48" width="12.42578125" style="1" hidden="1" customWidth="1" outlineLevel="1"/>
    <col min="49" max="49" width="12.42578125" style="2" hidden="1" customWidth="1" outlineLevel="1"/>
    <col min="50" max="56" width="12.42578125" style="1" hidden="1" customWidth="1" outlineLevel="1"/>
    <col min="57" max="57" width="21.140625" style="1" customWidth="1" collapsed="1"/>
    <col min="58" max="58" width="21.140625" style="1" customWidth="1"/>
    <col min="59" max="59" width="13" style="1" hidden="1" customWidth="1" outlineLevel="1"/>
    <col min="60" max="62" width="12.42578125" style="1" hidden="1" customWidth="1" outlineLevel="1"/>
    <col min="63" max="63" width="12.42578125" style="2" hidden="1" customWidth="1" outlineLevel="1"/>
    <col min="64" max="70" width="12.42578125" style="1" hidden="1" customWidth="1" outlineLevel="1"/>
    <col min="71" max="71" width="9.140625" style="1" collapsed="1"/>
    <col min="72" max="16384" width="9.140625" style="1"/>
  </cols>
  <sheetData>
    <row r="1" spans="1:70" ht="31.5" x14ac:dyDescent="0.2">
      <c r="B1" s="139" t="s">
        <v>179</v>
      </c>
    </row>
    <row r="2" spans="1:70" x14ac:dyDescent="0.2">
      <c r="B2" s="135" t="s">
        <v>146</v>
      </c>
      <c r="C2" s="138" t="s">
        <v>145</v>
      </c>
    </row>
    <row r="3" spans="1:70" x14ac:dyDescent="0.2">
      <c r="B3" s="135" t="s">
        <v>144</v>
      </c>
      <c r="C3" s="138" t="s">
        <v>150</v>
      </c>
    </row>
    <row r="4" spans="1:70" x14ac:dyDescent="0.2">
      <c r="B4" s="135" t="s">
        <v>151</v>
      </c>
      <c r="C4" s="138" t="s">
        <v>150</v>
      </c>
    </row>
    <row r="5" spans="1:70" x14ac:dyDescent="0.2">
      <c r="B5" s="135" t="s">
        <v>143</v>
      </c>
      <c r="C5" s="138" t="s">
        <v>142</v>
      </c>
      <c r="N5" s="136"/>
      <c r="AA5" s="136"/>
      <c r="AN5" s="136"/>
      <c r="BB5" s="136"/>
      <c r="BP5" s="136"/>
    </row>
    <row r="6" spans="1:70" x14ac:dyDescent="0.2">
      <c r="B6" s="135" t="s">
        <v>141</v>
      </c>
      <c r="C6" s="141" t="s">
        <v>171</v>
      </c>
      <c r="D6" s="2"/>
      <c r="E6" s="2"/>
      <c r="F6" s="2"/>
      <c r="G6" s="54"/>
      <c r="H6" s="54"/>
      <c r="N6" s="136"/>
      <c r="Q6" s="2"/>
      <c r="R6" s="2"/>
      <c r="S6" s="2"/>
      <c r="T6" s="54"/>
      <c r="U6" s="54"/>
      <c r="AA6" s="136"/>
      <c r="AD6" s="2"/>
      <c r="AE6" s="2"/>
      <c r="AF6" s="2"/>
      <c r="AG6" s="54"/>
      <c r="AH6" s="54"/>
      <c r="AN6" s="136"/>
      <c r="AQ6" s="2"/>
      <c r="AR6" s="2"/>
      <c r="AS6" s="2"/>
      <c r="AT6" s="2"/>
      <c r="AU6" s="54"/>
      <c r="AV6" s="54"/>
      <c r="BB6" s="136"/>
      <c r="BE6" s="2"/>
      <c r="BF6" s="2"/>
      <c r="BG6" s="2"/>
      <c r="BH6" s="2"/>
      <c r="BI6" s="54"/>
      <c r="BJ6" s="54"/>
      <c r="BP6" s="136"/>
    </row>
    <row r="7" spans="1:70" x14ac:dyDescent="0.2">
      <c r="B7" s="135" t="s">
        <v>140</v>
      </c>
      <c r="C7" s="134" t="s">
        <v>139</v>
      </c>
      <c r="D7" s="128"/>
      <c r="E7" s="128"/>
      <c r="F7" s="128"/>
      <c r="G7" s="128"/>
      <c r="H7" s="129"/>
      <c r="I7" s="128"/>
      <c r="J7" s="128"/>
      <c r="K7" s="128"/>
      <c r="L7" s="128"/>
      <c r="M7" s="128"/>
      <c r="N7" s="128"/>
      <c r="O7" s="128"/>
      <c r="P7" s="128"/>
      <c r="Q7" s="222" t="s">
        <v>190</v>
      </c>
      <c r="R7" s="128"/>
      <c r="S7" s="128"/>
      <c r="T7" s="128"/>
      <c r="U7" s="129"/>
      <c r="V7" s="128"/>
      <c r="W7" s="128"/>
      <c r="X7" s="128"/>
      <c r="Y7" s="128"/>
      <c r="Z7" s="128"/>
      <c r="AA7" s="128"/>
      <c r="AB7" s="128"/>
      <c r="AC7" s="128"/>
      <c r="AD7" s="222" t="s">
        <v>189</v>
      </c>
      <c r="AE7" s="128"/>
      <c r="AF7" s="128"/>
      <c r="AG7" s="128"/>
      <c r="AH7" s="129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9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9"/>
      <c r="BK7" s="128"/>
      <c r="BL7" s="128"/>
      <c r="BM7" s="128"/>
      <c r="BN7" s="128"/>
      <c r="BO7" s="128"/>
      <c r="BP7" s="128"/>
      <c r="BQ7" s="128"/>
      <c r="BR7" s="128"/>
    </row>
    <row r="8" spans="1:70" ht="13.5" thickBot="1" x14ac:dyDescent="0.25">
      <c r="B8" s="131"/>
      <c r="C8" s="130"/>
      <c r="D8" s="128"/>
      <c r="E8" s="128"/>
      <c r="F8" s="128"/>
      <c r="G8" s="128"/>
      <c r="H8" s="129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9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9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9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9"/>
      <c r="BK8" s="128"/>
      <c r="BL8" s="128"/>
      <c r="BM8" s="128"/>
      <c r="BN8" s="128"/>
      <c r="BO8" s="128"/>
      <c r="BP8" s="128"/>
      <c r="BQ8" s="128"/>
      <c r="BR8" s="128"/>
    </row>
    <row r="9" spans="1:70" ht="33.75" customHeight="1" thickTop="1" x14ac:dyDescent="0.2">
      <c r="B9" s="127"/>
      <c r="C9" s="148"/>
      <c r="D9" s="250" t="s">
        <v>186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8" t="s">
        <v>182</v>
      </c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8" t="s">
        <v>183</v>
      </c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9"/>
      <c r="AQ9" s="250" t="s">
        <v>194</v>
      </c>
      <c r="AR9" s="251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8" t="s">
        <v>195</v>
      </c>
      <c r="BF9" s="251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</row>
    <row r="10" spans="1:70" ht="34.5" customHeight="1" x14ac:dyDescent="0.2">
      <c r="B10" s="127"/>
      <c r="C10" s="148"/>
      <c r="D10" s="147" t="s">
        <v>166</v>
      </c>
      <c r="E10" s="140">
        <v>46023</v>
      </c>
      <c r="F10" s="140">
        <v>46054</v>
      </c>
      <c r="G10" s="140">
        <v>46082</v>
      </c>
      <c r="H10" s="140">
        <v>46113</v>
      </c>
      <c r="I10" s="140">
        <v>46143</v>
      </c>
      <c r="J10" s="140">
        <v>46174</v>
      </c>
      <c r="K10" s="140">
        <v>46204</v>
      </c>
      <c r="L10" s="140">
        <v>46235</v>
      </c>
      <c r="M10" s="140">
        <v>46266</v>
      </c>
      <c r="N10" s="140">
        <v>46296</v>
      </c>
      <c r="O10" s="140">
        <v>46327</v>
      </c>
      <c r="P10" s="173">
        <v>46357</v>
      </c>
      <c r="Q10" s="188" t="s">
        <v>166</v>
      </c>
      <c r="R10" s="140">
        <v>46023</v>
      </c>
      <c r="S10" s="140">
        <v>46054</v>
      </c>
      <c r="T10" s="140">
        <v>46082</v>
      </c>
      <c r="U10" s="140">
        <v>46113</v>
      </c>
      <c r="V10" s="140">
        <v>46143</v>
      </c>
      <c r="W10" s="140">
        <v>46174</v>
      </c>
      <c r="X10" s="140">
        <v>46204</v>
      </c>
      <c r="Y10" s="140">
        <v>46235</v>
      </c>
      <c r="Z10" s="140">
        <v>46266</v>
      </c>
      <c r="AA10" s="140">
        <v>46296</v>
      </c>
      <c r="AB10" s="140">
        <v>46327</v>
      </c>
      <c r="AC10" s="173">
        <v>46357</v>
      </c>
      <c r="AD10" s="188" t="s">
        <v>166</v>
      </c>
      <c r="AE10" s="140">
        <v>46388</v>
      </c>
      <c r="AF10" s="140">
        <v>46419</v>
      </c>
      <c r="AG10" s="140">
        <v>46447</v>
      </c>
      <c r="AH10" s="140">
        <v>46478</v>
      </c>
      <c r="AI10" s="140">
        <v>46508</v>
      </c>
      <c r="AJ10" s="140">
        <v>46539</v>
      </c>
      <c r="AK10" s="140">
        <v>46569</v>
      </c>
      <c r="AL10" s="140">
        <v>46600</v>
      </c>
      <c r="AM10" s="140">
        <v>46631</v>
      </c>
      <c r="AN10" s="140">
        <v>46661</v>
      </c>
      <c r="AO10" s="140">
        <v>46692</v>
      </c>
      <c r="AP10" s="140">
        <v>46722</v>
      </c>
      <c r="AQ10" s="188" t="s">
        <v>167</v>
      </c>
      <c r="AR10" s="147" t="s">
        <v>168</v>
      </c>
      <c r="AS10" s="140">
        <v>46388</v>
      </c>
      <c r="AT10" s="140">
        <v>46419</v>
      </c>
      <c r="AU10" s="140">
        <v>46447</v>
      </c>
      <c r="AV10" s="140">
        <v>46478</v>
      </c>
      <c r="AW10" s="140">
        <v>46508</v>
      </c>
      <c r="AX10" s="140">
        <v>46539</v>
      </c>
      <c r="AY10" s="140">
        <v>46569</v>
      </c>
      <c r="AZ10" s="140">
        <v>46600</v>
      </c>
      <c r="BA10" s="140">
        <v>46631</v>
      </c>
      <c r="BB10" s="140">
        <v>46661</v>
      </c>
      <c r="BC10" s="140">
        <v>46692</v>
      </c>
      <c r="BD10" s="140">
        <v>46722</v>
      </c>
      <c r="BE10" s="188" t="s">
        <v>167</v>
      </c>
      <c r="BF10" s="147" t="s">
        <v>168</v>
      </c>
      <c r="BG10" s="140">
        <v>46388</v>
      </c>
      <c r="BH10" s="140">
        <v>46419</v>
      </c>
      <c r="BI10" s="140">
        <v>46447</v>
      </c>
      <c r="BJ10" s="140">
        <v>46478</v>
      </c>
      <c r="BK10" s="140">
        <v>46508</v>
      </c>
      <c r="BL10" s="140">
        <v>46539</v>
      </c>
      <c r="BM10" s="140">
        <v>46569</v>
      </c>
      <c r="BN10" s="140">
        <v>46600</v>
      </c>
      <c r="BO10" s="140">
        <v>46631</v>
      </c>
      <c r="BP10" s="140">
        <v>46661</v>
      </c>
      <c r="BQ10" s="140">
        <v>46692</v>
      </c>
      <c r="BR10" s="140">
        <v>46722</v>
      </c>
    </row>
    <row r="11" spans="1:70" ht="16.5" customHeight="1" thickBot="1" x14ac:dyDescent="0.25">
      <c r="A11" s="54"/>
      <c r="B11" s="70" t="s">
        <v>130</v>
      </c>
      <c r="C11" s="149" t="s">
        <v>129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189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189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206"/>
      <c r="AQ11" s="189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189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</row>
    <row r="12" spans="1:70" ht="13.5" hidden="1" outlineLevel="3" thickTop="1" x14ac:dyDescent="0.2">
      <c r="A12" s="54"/>
      <c r="B12" s="38" t="s">
        <v>128</v>
      </c>
      <c r="C12" s="150" t="s">
        <v>127</v>
      </c>
      <c r="D12" s="60">
        <f t="shared" ref="D12:D66" si="0">SUM(E12:P12)</f>
        <v>1737914836.79</v>
      </c>
      <c r="E12" s="60">
        <v>135195586.78999999</v>
      </c>
      <c r="F12" s="60">
        <v>145701750</v>
      </c>
      <c r="G12" s="60">
        <v>145701750</v>
      </c>
      <c r="H12" s="60">
        <v>145701750</v>
      </c>
      <c r="I12" s="60">
        <v>145701750</v>
      </c>
      <c r="J12" s="60">
        <v>145701750</v>
      </c>
      <c r="K12" s="60">
        <v>145701750</v>
      </c>
      <c r="L12" s="60">
        <v>145701750</v>
      </c>
      <c r="M12" s="60">
        <v>145701750</v>
      </c>
      <c r="N12" s="60">
        <v>145701750</v>
      </c>
      <c r="O12" s="60">
        <v>145701750</v>
      </c>
      <c r="P12" s="175">
        <v>145701750</v>
      </c>
      <c r="Q12" s="190">
        <f t="shared" ref="Q12:Q43" si="1">SUM(R12:AC12)</f>
        <v>1737914836.79</v>
      </c>
      <c r="R12" s="60">
        <v>135195586.78999999</v>
      </c>
      <c r="S12" s="60">
        <v>145701750</v>
      </c>
      <c r="T12" s="60">
        <v>145701750</v>
      </c>
      <c r="U12" s="60">
        <v>145701750</v>
      </c>
      <c r="V12" s="60">
        <v>145701750</v>
      </c>
      <c r="W12" s="60">
        <v>145701750</v>
      </c>
      <c r="X12" s="60">
        <v>145701750</v>
      </c>
      <c r="Y12" s="60">
        <v>145701750</v>
      </c>
      <c r="Z12" s="60">
        <v>145701750</v>
      </c>
      <c r="AA12" s="60">
        <v>145701750</v>
      </c>
      <c r="AB12" s="60">
        <v>145701750</v>
      </c>
      <c r="AC12" s="175">
        <v>145701750</v>
      </c>
      <c r="AD12" s="224">
        <f t="shared" ref="AD12:AD43" si="2">SUM(AE12:AP12)</f>
        <v>1737914836.79</v>
      </c>
      <c r="AE12" s="60">
        <v>135195586.78999999</v>
      </c>
      <c r="AF12" s="60">
        <v>145701750</v>
      </c>
      <c r="AG12" s="60">
        <v>145701750</v>
      </c>
      <c r="AH12" s="60">
        <v>145701750</v>
      </c>
      <c r="AI12" s="60">
        <v>145701750</v>
      </c>
      <c r="AJ12" s="60">
        <v>145701750</v>
      </c>
      <c r="AK12" s="60">
        <v>145701750</v>
      </c>
      <c r="AL12" s="60">
        <v>145701750</v>
      </c>
      <c r="AM12" s="60">
        <v>145701750</v>
      </c>
      <c r="AN12" s="60">
        <v>145701750</v>
      </c>
      <c r="AO12" s="60">
        <v>145701750</v>
      </c>
      <c r="AP12" s="207">
        <v>145701750</v>
      </c>
      <c r="AQ12" s="190">
        <f t="shared" ref="AQ12:AQ72" si="3">Q12-AD12</f>
        <v>0</v>
      </c>
      <c r="AR12" s="60"/>
      <c r="AS12" s="60">
        <v>135195586.78999999</v>
      </c>
      <c r="AT12" s="60">
        <v>145701750</v>
      </c>
      <c r="AU12" s="60">
        <v>145701750</v>
      </c>
      <c r="AV12" s="60">
        <v>145701750</v>
      </c>
      <c r="AW12" s="60">
        <v>145701750</v>
      </c>
      <c r="AX12" s="60">
        <v>145701750</v>
      </c>
      <c r="AY12" s="60">
        <v>145701750</v>
      </c>
      <c r="AZ12" s="60">
        <v>145701750</v>
      </c>
      <c r="BA12" s="60">
        <v>145701750</v>
      </c>
      <c r="BB12" s="60">
        <v>145701750</v>
      </c>
      <c r="BC12" s="60">
        <v>145701750</v>
      </c>
      <c r="BD12" s="60">
        <v>145701750</v>
      </c>
      <c r="BE12" s="190">
        <f t="shared" ref="BE12:BE23" si="4">Q12-AD12</f>
        <v>0</v>
      </c>
      <c r="BF12" s="60"/>
      <c r="BG12" s="60">
        <v>135195586.78999999</v>
      </c>
      <c r="BH12" s="60">
        <v>145701750</v>
      </c>
      <c r="BI12" s="60">
        <v>145701750</v>
      </c>
      <c r="BJ12" s="60">
        <v>145701750</v>
      </c>
      <c r="BK12" s="60">
        <v>145701750</v>
      </c>
      <c r="BL12" s="60">
        <v>145701750</v>
      </c>
      <c r="BM12" s="60">
        <v>145701750</v>
      </c>
      <c r="BN12" s="60">
        <v>145701750</v>
      </c>
      <c r="BO12" s="60">
        <v>145701750</v>
      </c>
      <c r="BP12" s="60">
        <v>145701750</v>
      </c>
      <c r="BQ12" s="60">
        <v>145701750</v>
      </c>
      <c r="BR12" s="60">
        <v>145701750</v>
      </c>
    </row>
    <row r="13" spans="1:70" hidden="1" outlineLevel="3" x14ac:dyDescent="0.2">
      <c r="A13" s="54"/>
      <c r="B13" s="38" t="s">
        <v>126</v>
      </c>
      <c r="C13" s="151" t="s">
        <v>125</v>
      </c>
      <c r="D13" s="40">
        <f t="shared" si="0"/>
        <v>323872744.88</v>
      </c>
      <c r="E13" s="40">
        <v>27369683.629999999</v>
      </c>
      <c r="F13" s="40">
        <v>26954823.75</v>
      </c>
      <c r="G13" s="40">
        <v>26954823.75</v>
      </c>
      <c r="H13" s="40">
        <v>26954823.75</v>
      </c>
      <c r="I13" s="40">
        <v>26954823.75</v>
      </c>
      <c r="J13" s="40">
        <v>26954823.75</v>
      </c>
      <c r="K13" s="40">
        <v>26954823.75</v>
      </c>
      <c r="L13" s="40">
        <v>26954823.75</v>
      </c>
      <c r="M13" s="40">
        <v>26954823.75</v>
      </c>
      <c r="N13" s="40">
        <v>26954823.75</v>
      </c>
      <c r="O13" s="40">
        <v>26954823.75</v>
      </c>
      <c r="P13" s="176">
        <v>26954823.75</v>
      </c>
      <c r="Q13" s="191">
        <f t="shared" si="1"/>
        <v>323872744.88</v>
      </c>
      <c r="R13" s="40">
        <v>27369683.629999999</v>
      </c>
      <c r="S13" s="40">
        <v>26954823.75</v>
      </c>
      <c r="T13" s="40">
        <v>26954823.75</v>
      </c>
      <c r="U13" s="40">
        <v>26954823.75</v>
      </c>
      <c r="V13" s="40">
        <v>26954823.75</v>
      </c>
      <c r="W13" s="40">
        <v>26954823.75</v>
      </c>
      <c r="X13" s="40">
        <v>26954823.75</v>
      </c>
      <c r="Y13" s="40">
        <v>26954823.75</v>
      </c>
      <c r="Z13" s="40">
        <v>26954823.75</v>
      </c>
      <c r="AA13" s="40">
        <v>26954823.75</v>
      </c>
      <c r="AB13" s="40">
        <v>26954823.75</v>
      </c>
      <c r="AC13" s="176">
        <v>26954823.75</v>
      </c>
      <c r="AD13" s="225">
        <f t="shared" si="2"/>
        <v>323872744.88</v>
      </c>
      <c r="AE13" s="40">
        <v>27369683.629999999</v>
      </c>
      <c r="AF13" s="40">
        <v>26954823.75</v>
      </c>
      <c r="AG13" s="40">
        <v>26954823.75</v>
      </c>
      <c r="AH13" s="40">
        <v>26954823.75</v>
      </c>
      <c r="AI13" s="40">
        <v>26954823.75</v>
      </c>
      <c r="AJ13" s="40">
        <v>26954823.75</v>
      </c>
      <c r="AK13" s="40">
        <v>26954823.75</v>
      </c>
      <c r="AL13" s="40">
        <v>26954823.75</v>
      </c>
      <c r="AM13" s="40">
        <v>26954823.75</v>
      </c>
      <c r="AN13" s="40">
        <v>26954823.75</v>
      </c>
      <c r="AO13" s="40">
        <v>26954823.75</v>
      </c>
      <c r="AP13" s="208">
        <v>26954823.75</v>
      </c>
      <c r="AQ13" s="191">
        <f t="shared" si="3"/>
        <v>0</v>
      </c>
      <c r="AR13" s="40"/>
      <c r="AS13" s="40">
        <v>27369683.629999999</v>
      </c>
      <c r="AT13" s="40">
        <v>26954823.75</v>
      </c>
      <c r="AU13" s="40">
        <v>26954823.75</v>
      </c>
      <c r="AV13" s="40">
        <v>26954823.75</v>
      </c>
      <c r="AW13" s="40">
        <v>26954823.75</v>
      </c>
      <c r="AX13" s="40">
        <v>26954823.75</v>
      </c>
      <c r="AY13" s="40">
        <v>26954823.75</v>
      </c>
      <c r="AZ13" s="40">
        <v>26954823.75</v>
      </c>
      <c r="BA13" s="40">
        <v>26954823.75</v>
      </c>
      <c r="BB13" s="40">
        <v>26954823.75</v>
      </c>
      <c r="BC13" s="40">
        <v>26954823.75</v>
      </c>
      <c r="BD13" s="40">
        <v>26954823.75</v>
      </c>
      <c r="BE13" s="191">
        <f t="shared" si="4"/>
        <v>0</v>
      </c>
      <c r="BF13" s="40"/>
      <c r="BG13" s="40">
        <v>27369683.629999999</v>
      </c>
      <c r="BH13" s="40">
        <v>26954823.75</v>
      </c>
      <c r="BI13" s="40">
        <v>26954823.75</v>
      </c>
      <c r="BJ13" s="40">
        <v>26954823.75</v>
      </c>
      <c r="BK13" s="40">
        <v>26954823.75</v>
      </c>
      <c r="BL13" s="40">
        <v>26954823.75</v>
      </c>
      <c r="BM13" s="40">
        <v>26954823.75</v>
      </c>
      <c r="BN13" s="40">
        <v>26954823.75</v>
      </c>
      <c r="BO13" s="40">
        <v>26954823.75</v>
      </c>
      <c r="BP13" s="40">
        <v>26954823.75</v>
      </c>
      <c r="BQ13" s="40">
        <v>26954823.75</v>
      </c>
      <c r="BR13" s="40">
        <v>26954823.75</v>
      </c>
    </row>
    <row r="14" spans="1:70" s="6" customFormat="1" hidden="1" outlineLevel="2" x14ac:dyDescent="0.2">
      <c r="A14" s="30"/>
      <c r="B14" s="29" t="s">
        <v>124</v>
      </c>
      <c r="C14" s="152" t="s">
        <v>123</v>
      </c>
      <c r="D14" s="26">
        <f t="shared" si="0"/>
        <v>2061787581.6700001</v>
      </c>
      <c r="E14" s="26">
        <f>SUM(E12:E13)</f>
        <v>162565270.41999999</v>
      </c>
      <c r="F14" s="26">
        <f>SUM(F12:F13)</f>
        <v>172656573.75</v>
      </c>
      <c r="G14" s="26">
        <f t="shared" ref="G14:P14" si="5">SUM(G12:G13)</f>
        <v>172656573.75</v>
      </c>
      <c r="H14" s="26">
        <f t="shared" si="5"/>
        <v>172656573.75</v>
      </c>
      <c r="I14" s="26">
        <f t="shared" si="5"/>
        <v>172656573.75</v>
      </c>
      <c r="J14" s="26">
        <f t="shared" si="5"/>
        <v>172656573.75</v>
      </c>
      <c r="K14" s="26">
        <f t="shared" si="5"/>
        <v>172656573.75</v>
      </c>
      <c r="L14" s="26">
        <f t="shared" si="5"/>
        <v>172656573.75</v>
      </c>
      <c r="M14" s="26">
        <f t="shared" si="5"/>
        <v>172656573.75</v>
      </c>
      <c r="N14" s="26">
        <f t="shared" si="5"/>
        <v>172656573.75</v>
      </c>
      <c r="O14" s="26">
        <f t="shared" si="5"/>
        <v>172656573.75</v>
      </c>
      <c r="P14" s="177">
        <f t="shared" si="5"/>
        <v>172656573.75</v>
      </c>
      <c r="Q14" s="192">
        <f t="shared" si="1"/>
        <v>2061787581.6700001</v>
      </c>
      <c r="R14" s="26">
        <f>SUM(R12:R13)</f>
        <v>162565270.41999999</v>
      </c>
      <c r="S14" s="26">
        <f>SUM(S12:S13)</f>
        <v>172656573.75</v>
      </c>
      <c r="T14" s="26">
        <f t="shared" ref="T14:AC14" si="6">SUM(T12:T13)</f>
        <v>172656573.75</v>
      </c>
      <c r="U14" s="26">
        <f t="shared" si="6"/>
        <v>172656573.75</v>
      </c>
      <c r="V14" s="26">
        <f t="shared" si="6"/>
        <v>172656573.75</v>
      </c>
      <c r="W14" s="26">
        <f t="shared" si="6"/>
        <v>172656573.75</v>
      </c>
      <c r="X14" s="26">
        <f t="shared" si="6"/>
        <v>172656573.75</v>
      </c>
      <c r="Y14" s="26">
        <f t="shared" si="6"/>
        <v>172656573.75</v>
      </c>
      <c r="Z14" s="26">
        <f t="shared" si="6"/>
        <v>172656573.75</v>
      </c>
      <c r="AA14" s="26">
        <f t="shared" si="6"/>
        <v>172656573.75</v>
      </c>
      <c r="AB14" s="26">
        <f t="shared" si="6"/>
        <v>172656573.75</v>
      </c>
      <c r="AC14" s="177">
        <f t="shared" si="6"/>
        <v>172656573.75</v>
      </c>
      <c r="AD14" s="226">
        <f t="shared" si="2"/>
        <v>2061787581.6700001</v>
      </c>
      <c r="AE14" s="26">
        <f>SUM(AE12:AE13)</f>
        <v>162565270.41999999</v>
      </c>
      <c r="AF14" s="26">
        <f>SUM(AF12:AF13)</f>
        <v>172656573.75</v>
      </c>
      <c r="AG14" s="26">
        <f t="shared" ref="AG14:AP14" si="7">SUM(AG12:AG13)</f>
        <v>172656573.75</v>
      </c>
      <c r="AH14" s="26">
        <f t="shared" si="7"/>
        <v>172656573.75</v>
      </c>
      <c r="AI14" s="26">
        <f t="shared" si="7"/>
        <v>172656573.75</v>
      </c>
      <c r="AJ14" s="26">
        <f t="shared" si="7"/>
        <v>172656573.75</v>
      </c>
      <c r="AK14" s="26">
        <f t="shared" si="7"/>
        <v>172656573.75</v>
      </c>
      <c r="AL14" s="26">
        <f t="shared" si="7"/>
        <v>172656573.75</v>
      </c>
      <c r="AM14" s="26">
        <f t="shared" si="7"/>
        <v>172656573.75</v>
      </c>
      <c r="AN14" s="26">
        <f t="shared" si="7"/>
        <v>172656573.75</v>
      </c>
      <c r="AO14" s="26">
        <f t="shared" si="7"/>
        <v>172656573.75</v>
      </c>
      <c r="AP14" s="209">
        <f t="shared" si="7"/>
        <v>172656573.75</v>
      </c>
      <c r="AQ14" s="192">
        <f t="shared" si="3"/>
        <v>0</v>
      </c>
      <c r="AR14" s="26"/>
      <c r="AS14" s="26">
        <f>SUM(AS12:AS13)</f>
        <v>162565270.41999999</v>
      </c>
      <c r="AT14" s="26">
        <f>SUM(AT12:AT13)</f>
        <v>172656573.75</v>
      </c>
      <c r="AU14" s="26">
        <f t="shared" ref="AU14:BD14" si="8">SUM(AU12:AU13)</f>
        <v>172656573.75</v>
      </c>
      <c r="AV14" s="26">
        <f t="shared" si="8"/>
        <v>172656573.75</v>
      </c>
      <c r="AW14" s="26">
        <f t="shared" si="8"/>
        <v>172656573.75</v>
      </c>
      <c r="AX14" s="26">
        <f t="shared" si="8"/>
        <v>172656573.75</v>
      </c>
      <c r="AY14" s="26">
        <f t="shared" si="8"/>
        <v>172656573.75</v>
      </c>
      <c r="AZ14" s="26">
        <f t="shared" si="8"/>
        <v>172656573.75</v>
      </c>
      <c r="BA14" s="26">
        <f t="shared" si="8"/>
        <v>172656573.75</v>
      </c>
      <c r="BB14" s="26">
        <f t="shared" si="8"/>
        <v>172656573.75</v>
      </c>
      <c r="BC14" s="26">
        <f t="shared" si="8"/>
        <v>172656573.75</v>
      </c>
      <c r="BD14" s="26">
        <f t="shared" si="8"/>
        <v>172656573.75</v>
      </c>
      <c r="BE14" s="192">
        <f t="shared" si="4"/>
        <v>0</v>
      </c>
      <c r="BF14" s="26"/>
      <c r="BG14" s="26">
        <f>SUM(BG12:BG13)</f>
        <v>162565270.41999999</v>
      </c>
      <c r="BH14" s="26">
        <f>SUM(BH12:BH13)</f>
        <v>172656573.75</v>
      </c>
      <c r="BI14" s="26">
        <f t="shared" ref="BI14:BR14" si="9">SUM(BI12:BI13)</f>
        <v>172656573.75</v>
      </c>
      <c r="BJ14" s="26">
        <f t="shared" si="9"/>
        <v>172656573.75</v>
      </c>
      <c r="BK14" s="26">
        <f t="shared" si="9"/>
        <v>172656573.75</v>
      </c>
      <c r="BL14" s="26">
        <f t="shared" si="9"/>
        <v>172656573.75</v>
      </c>
      <c r="BM14" s="26">
        <f t="shared" si="9"/>
        <v>172656573.75</v>
      </c>
      <c r="BN14" s="26">
        <f t="shared" si="9"/>
        <v>172656573.75</v>
      </c>
      <c r="BO14" s="26">
        <f t="shared" si="9"/>
        <v>172656573.75</v>
      </c>
      <c r="BP14" s="26">
        <f t="shared" si="9"/>
        <v>172656573.75</v>
      </c>
      <c r="BQ14" s="26">
        <f t="shared" si="9"/>
        <v>172656573.75</v>
      </c>
      <c r="BR14" s="26">
        <f t="shared" si="9"/>
        <v>172656573.75</v>
      </c>
    </row>
    <row r="15" spans="1:70" hidden="1" outlineLevel="3" x14ac:dyDescent="0.2">
      <c r="A15" s="54"/>
      <c r="B15" s="57" t="s">
        <v>122</v>
      </c>
      <c r="C15" s="153" t="s">
        <v>121</v>
      </c>
      <c r="D15" s="40">
        <f t="shared" si="0"/>
        <v>498670490.13738966</v>
      </c>
      <c r="E15" s="40">
        <v>44268446.450000003</v>
      </c>
      <c r="F15" s="40">
        <v>41309276.698853597</v>
      </c>
      <c r="G15" s="40">
        <v>41309276.698853597</v>
      </c>
      <c r="H15" s="40">
        <v>41309276.698853597</v>
      </c>
      <c r="I15" s="40">
        <v>41309276.698853597</v>
      </c>
      <c r="J15" s="40">
        <v>41309276.698853597</v>
      </c>
      <c r="K15" s="40">
        <v>41309276.698853597</v>
      </c>
      <c r="L15" s="40">
        <v>41309276.698853597</v>
      </c>
      <c r="M15" s="40">
        <v>41309276.698853597</v>
      </c>
      <c r="N15" s="40">
        <v>41309276.698853597</v>
      </c>
      <c r="O15" s="40">
        <v>41309276.698853597</v>
      </c>
      <c r="P15" s="176">
        <v>41309276.698853597</v>
      </c>
      <c r="Q15" s="191">
        <f t="shared" si="1"/>
        <v>498670490.13738966</v>
      </c>
      <c r="R15" s="40">
        <v>44268446.450000003</v>
      </c>
      <c r="S15" s="40">
        <v>41309276.698853597</v>
      </c>
      <c r="T15" s="40">
        <v>41309276.698853597</v>
      </c>
      <c r="U15" s="40">
        <v>41309276.698853597</v>
      </c>
      <c r="V15" s="40">
        <v>41309276.698853597</v>
      </c>
      <c r="W15" s="40">
        <v>41309276.698853597</v>
      </c>
      <c r="X15" s="40">
        <v>41309276.698853597</v>
      </c>
      <c r="Y15" s="40">
        <v>41309276.698853597</v>
      </c>
      <c r="Z15" s="40">
        <v>41309276.698853597</v>
      </c>
      <c r="AA15" s="40">
        <v>41309276.698853597</v>
      </c>
      <c r="AB15" s="40">
        <v>41309276.698853597</v>
      </c>
      <c r="AC15" s="176">
        <v>41309276.698853597</v>
      </c>
      <c r="AD15" s="225">
        <f t="shared" si="2"/>
        <v>498670490.13738966</v>
      </c>
      <c r="AE15" s="40">
        <v>44268446.450000003</v>
      </c>
      <c r="AF15" s="40">
        <v>41309276.698853597</v>
      </c>
      <c r="AG15" s="40">
        <v>41309276.698853597</v>
      </c>
      <c r="AH15" s="40">
        <v>41309276.698853597</v>
      </c>
      <c r="AI15" s="40">
        <v>41309276.698853597</v>
      </c>
      <c r="AJ15" s="40">
        <v>41309276.698853597</v>
      </c>
      <c r="AK15" s="40">
        <v>41309276.698853597</v>
      </c>
      <c r="AL15" s="40">
        <v>41309276.698853597</v>
      </c>
      <c r="AM15" s="40">
        <v>41309276.698853597</v>
      </c>
      <c r="AN15" s="40">
        <v>41309276.698853597</v>
      </c>
      <c r="AO15" s="40">
        <v>41309276.698853597</v>
      </c>
      <c r="AP15" s="208">
        <v>41309276.698853597</v>
      </c>
      <c r="AQ15" s="191">
        <f t="shared" si="3"/>
        <v>0</v>
      </c>
      <c r="AR15" s="40"/>
      <c r="AS15" s="40">
        <v>44268446.450000003</v>
      </c>
      <c r="AT15" s="40">
        <v>41309276.698853597</v>
      </c>
      <c r="AU15" s="40">
        <v>41309276.698853597</v>
      </c>
      <c r="AV15" s="40">
        <v>41309276.698853597</v>
      </c>
      <c r="AW15" s="40">
        <v>41309276.698853597</v>
      </c>
      <c r="AX15" s="40">
        <v>41309276.698853597</v>
      </c>
      <c r="AY15" s="40">
        <v>41309276.698853597</v>
      </c>
      <c r="AZ15" s="40">
        <v>41309276.698853597</v>
      </c>
      <c r="BA15" s="40">
        <v>41309276.698853597</v>
      </c>
      <c r="BB15" s="40">
        <v>41309276.698853597</v>
      </c>
      <c r="BC15" s="40">
        <v>41309276.698853597</v>
      </c>
      <c r="BD15" s="40">
        <v>41309276.698853597</v>
      </c>
      <c r="BE15" s="191">
        <f t="shared" si="4"/>
        <v>0</v>
      </c>
      <c r="BF15" s="40"/>
      <c r="BG15" s="40">
        <v>44268446.450000003</v>
      </c>
      <c r="BH15" s="40">
        <v>41309276.698853597</v>
      </c>
      <c r="BI15" s="40">
        <v>41309276.698853597</v>
      </c>
      <c r="BJ15" s="40">
        <v>41309276.698853597</v>
      </c>
      <c r="BK15" s="40">
        <v>41309276.698853597</v>
      </c>
      <c r="BL15" s="40">
        <v>41309276.698853597</v>
      </c>
      <c r="BM15" s="40">
        <v>41309276.698853597</v>
      </c>
      <c r="BN15" s="40">
        <v>41309276.698853597</v>
      </c>
      <c r="BO15" s="40">
        <v>41309276.698853597</v>
      </c>
      <c r="BP15" s="40">
        <v>41309276.698853597</v>
      </c>
      <c r="BQ15" s="40">
        <v>41309276.698853597</v>
      </c>
      <c r="BR15" s="40">
        <v>41309276.698853597</v>
      </c>
    </row>
    <row r="16" spans="1:70" hidden="1" outlineLevel="3" x14ac:dyDescent="0.2">
      <c r="A16" s="54"/>
      <c r="B16" s="38" t="s">
        <v>120</v>
      </c>
      <c r="C16" s="153" t="s">
        <v>119</v>
      </c>
      <c r="D16" s="40">
        <f t="shared" si="0"/>
        <v>90290514.502167016</v>
      </c>
      <c r="E16" s="40">
        <v>6226136.4199999999</v>
      </c>
      <c r="F16" s="40">
        <v>7642216.1892879102</v>
      </c>
      <c r="G16" s="40">
        <v>7642216.1892879102</v>
      </c>
      <c r="H16" s="40">
        <v>7642216.1892879102</v>
      </c>
      <c r="I16" s="40">
        <v>7642216.1892879102</v>
      </c>
      <c r="J16" s="40">
        <v>7642216.1892879102</v>
      </c>
      <c r="K16" s="40">
        <v>7642216.1892879102</v>
      </c>
      <c r="L16" s="40">
        <v>7642216.1892879102</v>
      </c>
      <c r="M16" s="40">
        <v>7642216.1892879102</v>
      </c>
      <c r="N16" s="40">
        <v>7642216.1892879102</v>
      </c>
      <c r="O16" s="40">
        <v>7642216.1892879102</v>
      </c>
      <c r="P16" s="176">
        <v>7642216.1892879102</v>
      </c>
      <c r="Q16" s="191">
        <f t="shared" si="1"/>
        <v>90290514.502167016</v>
      </c>
      <c r="R16" s="40">
        <v>6226136.4199999999</v>
      </c>
      <c r="S16" s="40">
        <v>7642216.1892879102</v>
      </c>
      <c r="T16" s="40">
        <v>7642216.1892879102</v>
      </c>
      <c r="U16" s="40">
        <v>7642216.1892879102</v>
      </c>
      <c r="V16" s="40">
        <v>7642216.1892879102</v>
      </c>
      <c r="W16" s="40">
        <v>7642216.1892879102</v>
      </c>
      <c r="X16" s="40">
        <v>7642216.1892879102</v>
      </c>
      <c r="Y16" s="40">
        <v>7642216.1892879102</v>
      </c>
      <c r="Z16" s="40">
        <v>7642216.1892879102</v>
      </c>
      <c r="AA16" s="40">
        <v>7642216.1892879102</v>
      </c>
      <c r="AB16" s="40">
        <v>7642216.1892879102</v>
      </c>
      <c r="AC16" s="176">
        <v>7642216.1892879102</v>
      </c>
      <c r="AD16" s="225">
        <f t="shared" si="2"/>
        <v>90290514.502167016</v>
      </c>
      <c r="AE16" s="40">
        <v>6226136.4199999999</v>
      </c>
      <c r="AF16" s="40">
        <v>7642216.1892879102</v>
      </c>
      <c r="AG16" s="40">
        <v>7642216.1892879102</v>
      </c>
      <c r="AH16" s="40">
        <v>7642216.1892879102</v>
      </c>
      <c r="AI16" s="40">
        <v>7642216.1892879102</v>
      </c>
      <c r="AJ16" s="40">
        <v>7642216.1892879102</v>
      </c>
      <c r="AK16" s="40">
        <v>7642216.1892879102</v>
      </c>
      <c r="AL16" s="40">
        <v>7642216.1892879102</v>
      </c>
      <c r="AM16" s="40">
        <v>7642216.1892879102</v>
      </c>
      <c r="AN16" s="40">
        <v>7642216.1892879102</v>
      </c>
      <c r="AO16" s="40">
        <v>7642216.1892879102</v>
      </c>
      <c r="AP16" s="208">
        <v>7642216.1892879102</v>
      </c>
      <c r="AQ16" s="191">
        <f t="shared" si="3"/>
        <v>0</v>
      </c>
      <c r="AR16" s="40"/>
      <c r="AS16" s="40">
        <v>6226136.4199999999</v>
      </c>
      <c r="AT16" s="40">
        <v>7642216.1892879102</v>
      </c>
      <c r="AU16" s="40">
        <v>7642216.1892879102</v>
      </c>
      <c r="AV16" s="40">
        <v>7642216.1892879102</v>
      </c>
      <c r="AW16" s="40">
        <v>7642216.1892879102</v>
      </c>
      <c r="AX16" s="40">
        <v>7642216.1892879102</v>
      </c>
      <c r="AY16" s="40">
        <v>7642216.1892879102</v>
      </c>
      <c r="AZ16" s="40">
        <v>7642216.1892879102</v>
      </c>
      <c r="BA16" s="40">
        <v>7642216.1892879102</v>
      </c>
      <c r="BB16" s="40">
        <v>7642216.1892879102</v>
      </c>
      <c r="BC16" s="40">
        <v>7642216.1892879102</v>
      </c>
      <c r="BD16" s="40">
        <v>7642216.1892879102</v>
      </c>
      <c r="BE16" s="191">
        <f t="shared" si="4"/>
        <v>0</v>
      </c>
      <c r="BF16" s="40"/>
      <c r="BG16" s="40">
        <v>6226136.4199999999</v>
      </c>
      <c r="BH16" s="40">
        <v>7642216.1892879102</v>
      </c>
      <c r="BI16" s="40">
        <v>7642216.1892879102</v>
      </c>
      <c r="BJ16" s="40">
        <v>7642216.1892879102</v>
      </c>
      <c r="BK16" s="40">
        <v>7642216.1892879102</v>
      </c>
      <c r="BL16" s="40">
        <v>7642216.1892879102</v>
      </c>
      <c r="BM16" s="40">
        <v>7642216.1892879102</v>
      </c>
      <c r="BN16" s="40">
        <v>7642216.1892879102</v>
      </c>
      <c r="BO16" s="40">
        <v>7642216.1892879102</v>
      </c>
      <c r="BP16" s="40">
        <v>7642216.1892879102</v>
      </c>
      <c r="BQ16" s="40">
        <v>7642216.1892879102</v>
      </c>
      <c r="BR16" s="40">
        <v>7642216.1892879102</v>
      </c>
    </row>
    <row r="17" spans="1:70" s="6" customFormat="1" hidden="1" outlineLevel="2" x14ac:dyDescent="0.2">
      <c r="A17" s="30"/>
      <c r="B17" s="29" t="s">
        <v>118</v>
      </c>
      <c r="C17" s="152" t="s">
        <v>117</v>
      </c>
      <c r="D17" s="26">
        <f t="shared" si="0"/>
        <v>588961004.63955665</v>
      </c>
      <c r="E17" s="26">
        <f>SUM(E15:E16)</f>
        <v>50494582.870000005</v>
      </c>
      <c r="F17" s="26">
        <f>SUM(F15:F16)</f>
        <v>48951492.888141505</v>
      </c>
      <c r="G17" s="26">
        <f t="shared" ref="G17:P17" si="10">SUM(G15:G16)</f>
        <v>48951492.888141505</v>
      </c>
      <c r="H17" s="26">
        <f t="shared" si="10"/>
        <v>48951492.888141505</v>
      </c>
      <c r="I17" s="26">
        <f t="shared" si="10"/>
        <v>48951492.888141505</v>
      </c>
      <c r="J17" s="26">
        <f t="shared" si="10"/>
        <v>48951492.888141505</v>
      </c>
      <c r="K17" s="26">
        <f t="shared" si="10"/>
        <v>48951492.888141505</v>
      </c>
      <c r="L17" s="26">
        <f t="shared" si="10"/>
        <v>48951492.888141505</v>
      </c>
      <c r="M17" s="26">
        <f t="shared" si="10"/>
        <v>48951492.888141505</v>
      </c>
      <c r="N17" s="26">
        <f t="shared" si="10"/>
        <v>48951492.888141505</v>
      </c>
      <c r="O17" s="26">
        <f t="shared" si="10"/>
        <v>48951492.888141505</v>
      </c>
      <c r="P17" s="177">
        <f t="shared" si="10"/>
        <v>48951492.888141505</v>
      </c>
      <c r="Q17" s="192">
        <f t="shared" si="1"/>
        <v>588961004.63955665</v>
      </c>
      <c r="R17" s="26">
        <f>SUM(R15:R16)</f>
        <v>50494582.870000005</v>
      </c>
      <c r="S17" s="26">
        <f>SUM(S15:S16)</f>
        <v>48951492.888141505</v>
      </c>
      <c r="T17" s="26">
        <f t="shared" ref="T17:AC17" si="11">SUM(T15:T16)</f>
        <v>48951492.888141505</v>
      </c>
      <c r="U17" s="26">
        <f t="shared" si="11"/>
        <v>48951492.888141505</v>
      </c>
      <c r="V17" s="26">
        <f t="shared" si="11"/>
        <v>48951492.888141505</v>
      </c>
      <c r="W17" s="26">
        <f t="shared" si="11"/>
        <v>48951492.888141505</v>
      </c>
      <c r="X17" s="26">
        <f t="shared" si="11"/>
        <v>48951492.888141505</v>
      </c>
      <c r="Y17" s="26">
        <f t="shared" si="11"/>
        <v>48951492.888141505</v>
      </c>
      <c r="Z17" s="26">
        <f t="shared" si="11"/>
        <v>48951492.888141505</v>
      </c>
      <c r="AA17" s="26">
        <f t="shared" si="11"/>
        <v>48951492.888141505</v>
      </c>
      <c r="AB17" s="26">
        <f t="shared" si="11"/>
        <v>48951492.888141505</v>
      </c>
      <c r="AC17" s="177">
        <f t="shared" si="11"/>
        <v>48951492.888141505</v>
      </c>
      <c r="AD17" s="226">
        <f t="shared" si="2"/>
        <v>588961004.63955665</v>
      </c>
      <c r="AE17" s="26">
        <f>SUM(AE15:AE16)</f>
        <v>50494582.870000005</v>
      </c>
      <c r="AF17" s="26">
        <f>SUM(AF15:AF16)</f>
        <v>48951492.888141505</v>
      </c>
      <c r="AG17" s="26">
        <f t="shared" ref="AG17:AP17" si="12">SUM(AG15:AG16)</f>
        <v>48951492.888141505</v>
      </c>
      <c r="AH17" s="26">
        <f t="shared" si="12"/>
        <v>48951492.888141505</v>
      </c>
      <c r="AI17" s="26">
        <f t="shared" si="12"/>
        <v>48951492.888141505</v>
      </c>
      <c r="AJ17" s="26">
        <f t="shared" si="12"/>
        <v>48951492.888141505</v>
      </c>
      <c r="AK17" s="26">
        <f t="shared" si="12"/>
        <v>48951492.888141505</v>
      </c>
      <c r="AL17" s="26">
        <f t="shared" si="12"/>
        <v>48951492.888141505</v>
      </c>
      <c r="AM17" s="26">
        <f t="shared" si="12"/>
        <v>48951492.888141505</v>
      </c>
      <c r="AN17" s="26">
        <f t="shared" si="12"/>
        <v>48951492.888141505</v>
      </c>
      <c r="AO17" s="26">
        <f t="shared" si="12"/>
        <v>48951492.888141505</v>
      </c>
      <c r="AP17" s="209">
        <f t="shared" si="12"/>
        <v>48951492.888141505</v>
      </c>
      <c r="AQ17" s="192">
        <f t="shared" si="3"/>
        <v>0</v>
      </c>
      <c r="AR17" s="26"/>
      <c r="AS17" s="26">
        <f>SUM(AS15:AS16)</f>
        <v>50494582.870000005</v>
      </c>
      <c r="AT17" s="26">
        <f>SUM(AT15:AT16)</f>
        <v>48951492.888141505</v>
      </c>
      <c r="AU17" s="26">
        <f t="shared" ref="AU17:BD17" si="13">SUM(AU15:AU16)</f>
        <v>48951492.888141505</v>
      </c>
      <c r="AV17" s="26">
        <f t="shared" si="13"/>
        <v>48951492.888141505</v>
      </c>
      <c r="AW17" s="26">
        <f t="shared" si="13"/>
        <v>48951492.888141505</v>
      </c>
      <c r="AX17" s="26">
        <f t="shared" si="13"/>
        <v>48951492.888141505</v>
      </c>
      <c r="AY17" s="26">
        <f t="shared" si="13"/>
        <v>48951492.888141505</v>
      </c>
      <c r="AZ17" s="26">
        <f t="shared" si="13"/>
        <v>48951492.888141505</v>
      </c>
      <c r="BA17" s="26">
        <f t="shared" si="13"/>
        <v>48951492.888141505</v>
      </c>
      <c r="BB17" s="26">
        <f t="shared" si="13"/>
        <v>48951492.888141505</v>
      </c>
      <c r="BC17" s="26">
        <f t="shared" si="13"/>
        <v>48951492.888141505</v>
      </c>
      <c r="BD17" s="26">
        <f t="shared" si="13"/>
        <v>48951492.888141505</v>
      </c>
      <c r="BE17" s="192">
        <f t="shared" si="4"/>
        <v>0</v>
      </c>
      <c r="BF17" s="26"/>
      <c r="BG17" s="26">
        <f>SUM(BG15:BG16)</f>
        <v>50494582.870000005</v>
      </c>
      <c r="BH17" s="26">
        <f>SUM(BH15:BH16)</f>
        <v>48951492.888141505</v>
      </c>
      <c r="BI17" s="26">
        <f t="shared" ref="BI17:BR17" si="14">SUM(BI15:BI16)</f>
        <v>48951492.888141505</v>
      </c>
      <c r="BJ17" s="26">
        <f t="shared" si="14"/>
        <v>48951492.888141505</v>
      </c>
      <c r="BK17" s="26">
        <f t="shared" si="14"/>
        <v>48951492.888141505</v>
      </c>
      <c r="BL17" s="26">
        <f t="shared" si="14"/>
        <v>48951492.888141505</v>
      </c>
      <c r="BM17" s="26">
        <f t="shared" si="14"/>
        <v>48951492.888141505</v>
      </c>
      <c r="BN17" s="26">
        <f t="shared" si="14"/>
        <v>48951492.888141505</v>
      </c>
      <c r="BO17" s="26">
        <f t="shared" si="14"/>
        <v>48951492.888141505</v>
      </c>
      <c r="BP17" s="26">
        <f t="shared" si="14"/>
        <v>48951492.888141505</v>
      </c>
      <c r="BQ17" s="26">
        <f t="shared" si="14"/>
        <v>48951492.888141505</v>
      </c>
      <c r="BR17" s="26">
        <f t="shared" si="14"/>
        <v>48951492.888141505</v>
      </c>
    </row>
    <row r="18" spans="1:70" hidden="1" outlineLevel="3" x14ac:dyDescent="0.2">
      <c r="A18" s="54"/>
      <c r="B18" s="38" t="s">
        <v>116</v>
      </c>
      <c r="C18" s="151" t="s">
        <v>115</v>
      </c>
      <c r="D18" s="40">
        <f t="shared" si="0"/>
        <v>502299.88</v>
      </c>
      <c r="E18" s="40">
        <v>502299.88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176">
        <v>0</v>
      </c>
      <c r="Q18" s="191">
        <f t="shared" si="1"/>
        <v>502299.88</v>
      </c>
      <c r="R18" s="40">
        <v>502299.88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176">
        <v>0</v>
      </c>
      <c r="AD18" s="225">
        <f t="shared" si="2"/>
        <v>502299.88</v>
      </c>
      <c r="AE18" s="40">
        <v>502299.88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208">
        <v>0</v>
      </c>
      <c r="AQ18" s="191">
        <f t="shared" si="3"/>
        <v>0</v>
      </c>
      <c r="AR18" s="40"/>
      <c r="AS18" s="40">
        <v>502299.88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191">
        <f t="shared" si="4"/>
        <v>0</v>
      </c>
      <c r="BF18" s="40"/>
      <c r="BG18" s="40">
        <v>502299.88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</row>
    <row r="19" spans="1:70" hidden="1" outlineLevel="3" x14ac:dyDescent="0.2">
      <c r="A19" s="54"/>
      <c r="B19" s="38" t="s">
        <v>114</v>
      </c>
      <c r="C19" s="151" t="s">
        <v>113</v>
      </c>
      <c r="D19" s="40">
        <f t="shared" si="0"/>
        <v>81339.45</v>
      </c>
      <c r="E19" s="40">
        <v>81339.45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176">
        <v>0</v>
      </c>
      <c r="Q19" s="191">
        <f t="shared" si="1"/>
        <v>81339.45</v>
      </c>
      <c r="R19" s="40">
        <v>81339.45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176">
        <v>0</v>
      </c>
      <c r="AD19" s="225">
        <f t="shared" si="2"/>
        <v>81339.45</v>
      </c>
      <c r="AE19" s="40">
        <v>81339.45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208">
        <v>0</v>
      </c>
      <c r="AQ19" s="191">
        <f t="shared" si="3"/>
        <v>0</v>
      </c>
      <c r="AR19" s="40"/>
      <c r="AS19" s="40">
        <v>81339.45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191">
        <f t="shared" si="4"/>
        <v>0</v>
      </c>
      <c r="BF19" s="40"/>
      <c r="BG19" s="40">
        <v>81339.45</v>
      </c>
      <c r="BH19" s="40">
        <v>0</v>
      </c>
      <c r="BI19" s="40">
        <v>0</v>
      </c>
      <c r="BJ19" s="40">
        <v>0</v>
      </c>
      <c r="BK19" s="40">
        <v>0</v>
      </c>
      <c r="BL19" s="40">
        <v>0</v>
      </c>
      <c r="BM19" s="40">
        <v>0</v>
      </c>
      <c r="BN19" s="40">
        <v>0</v>
      </c>
      <c r="BO19" s="40">
        <v>0</v>
      </c>
      <c r="BP19" s="40">
        <v>0</v>
      </c>
      <c r="BQ19" s="40">
        <v>0</v>
      </c>
      <c r="BR19" s="40">
        <v>0</v>
      </c>
    </row>
    <row r="20" spans="1:70" s="6" customFormat="1" hidden="1" outlineLevel="2" x14ac:dyDescent="0.2">
      <c r="A20" s="30"/>
      <c r="B20" s="29" t="s">
        <v>112</v>
      </c>
      <c r="C20" s="152" t="s">
        <v>111</v>
      </c>
      <c r="D20" s="26">
        <f t="shared" si="0"/>
        <v>583639.32999999996</v>
      </c>
      <c r="E20" s="26">
        <f>SUM(E18:E19)</f>
        <v>583639.32999999996</v>
      </c>
      <c r="F20" s="26">
        <f>SUM(F18:F19)</f>
        <v>0</v>
      </c>
      <c r="G20" s="26">
        <f t="shared" ref="G20:P20" si="15">SUM(G18:G19)</f>
        <v>0</v>
      </c>
      <c r="H20" s="26">
        <f t="shared" si="15"/>
        <v>0</v>
      </c>
      <c r="I20" s="26">
        <f t="shared" si="15"/>
        <v>0</v>
      </c>
      <c r="J20" s="26">
        <f t="shared" si="15"/>
        <v>0</v>
      </c>
      <c r="K20" s="26">
        <f t="shared" si="15"/>
        <v>0</v>
      </c>
      <c r="L20" s="26">
        <f t="shared" si="15"/>
        <v>0</v>
      </c>
      <c r="M20" s="26">
        <f t="shared" si="15"/>
        <v>0</v>
      </c>
      <c r="N20" s="26">
        <f t="shared" si="15"/>
        <v>0</v>
      </c>
      <c r="O20" s="26">
        <f t="shared" si="15"/>
        <v>0</v>
      </c>
      <c r="P20" s="177">
        <f t="shared" si="15"/>
        <v>0</v>
      </c>
      <c r="Q20" s="192">
        <f t="shared" si="1"/>
        <v>583639.32999999996</v>
      </c>
      <c r="R20" s="26">
        <f>SUM(R18:R19)</f>
        <v>583639.32999999996</v>
      </c>
      <c r="S20" s="26">
        <f>SUM(S18:S19)</f>
        <v>0</v>
      </c>
      <c r="T20" s="26">
        <f t="shared" ref="T20:AC20" si="16">SUM(T18:T19)</f>
        <v>0</v>
      </c>
      <c r="U20" s="26">
        <f t="shared" si="16"/>
        <v>0</v>
      </c>
      <c r="V20" s="26">
        <f t="shared" si="16"/>
        <v>0</v>
      </c>
      <c r="W20" s="26">
        <f t="shared" si="16"/>
        <v>0</v>
      </c>
      <c r="X20" s="26">
        <f t="shared" si="16"/>
        <v>0</v>
      </c>
      <c r="Y20" s="26">
        <f t="shared" si="16"/>
        <v>0</v>
      </c>
      <c r="Z20" s="26">
        <f t="shared" si="16"/>
        <v>0</v>
      </c>
      <c r="AA20" s="26">
        <f t="shared" si="16"/>
        <v>0</v>
      </c>
      <c r="AB20" s="26">
        <f t="shared" si="16"/>
        <v>0</v>
      </c>
      <c r="AC20" s="177">
        <f t="shared" si="16"/>
        <v>0</v>
      </c>
      <c r="AD20" s="226">
        <f t="shared" si="2"/>
        <v>583639.32999999996</v>
      </c>
      <c r="AE20" s="26">
        <f>SUM(AE18:AE19)</f>
        <v>583639.32999999996</v>
      </c>
      <c r="AF20" s="26">
        <f>SUM(AF18:AF19)</f>
        <v>0</v>
      </c>
      <c r="AG20" s="26">
        <f t="shared" ref="AG20:AP20" si="17">SUM(AG18:AG19)</f>
        <v>0</v>
      </c>
      <c r="AH20" s="26">
        <f t="shared" si="17"/>
        <v>0</v>
      </c>
      <c r="AI20" s="26">
        <f t="shared" si="17"/>
        <v>0</v>
      </c>
      <c r="AJ20" s="26">
        <f t="shared" si="17"/>
        <v>0</v>
      </c>
      <c r="AK20" s="26">
        <f t="shared" si="17"/>
        <v>0</v>
      </c>
      <c r="AL20" s="26">
        <f t="shared" si="17"/>
        <v>0</v>
      </c>
      <c r="AM20" s="26">
        <f t="shared" si="17"/>
        <v>0</v>
      </c>
      <c r="AN20" s="26">
        <f t="shared" si="17"/>
        <v>0</v>
      </c>
      <c r="AO20" s="26">
        <f t="shared" si="17"/>
        <v>0</v>
      </c>
      <c r="AP20" s="209">
        <f t="shared" si="17"/>
        <v>0</v>
      </c>
      <c r="AQ20" s="192">
        <f t="shared" si="3"/>
        <v>0</v>
      </c>
      <c r="AR20" s="26"/>
      <c r="AS20" s="26">
        <f>SUM(AS18:AS19)</f>
        <v>583639.32999999996</v>
      </c>
      <c r="AT20" s="26">
        <f>SUM(AT18:AT19)</f>
        <v>0</v>
      </c>
      <c r="AU20" s="26">
        <f t="shared" ref="AU20:BD20" si="18">SUM(AU18:AU19)</f>
        <v>0</v>
      </c>
      <c r="AV20" s="26">
        <f t="shared" si="18"/>
        <v>0</v>
      </c>
      <c r="AW20" s="26">
        <f t="shared" si="18"/>
        <v>0</v>
      </c>
      <c r="AX20" s="26">
        <f t="shared" si="18"/>
        <v>0</v>
      </c>
      <c r="AY20" s="26">
        <f t="shared" si="18"/>
        <v>0</v>
      </c>
      <c r="AZ20" s="26">
        <f t="shared" si="18"/>
        <v>0</v>
      </c>
      <c r="BA20" s="26">
        <f t="shared" si="18"/>
        <v>0</v>
      </c>
      <c r="BB20" s="26">
        <f t="shared" si="18"/>
        <v>0</v>
      </c>
      <c r="BC20" s="26">
        <f t="shared" si="18"/>
        <v>0</v>
      </c>
      <c r="BD20" s="26">
        <f t="shared" si="18"/>
        <v>0</v>
      </c>
      <c r="BE20" s="192">
        <f t="shared" si="4"/>
        <v>0</v>
      </c>
      <c r="BF20" s="26"/>
      <c r="BG20" s="26">
        <f>SUM(BG18:BG19)</f>
        <v>583639.32999999996</v>
      </c>
      <c r="BH20" s="26">
        <f>SUM(BH18:BH19)</f>
        <v>0</v>
      </c>
      <c r="BI20" s="26">
        <f t="shared" ref="BI20:BR20" si="19">SUM(BI18:BI19)</f>
        <v>0</v>
      </c>
      <c r="BJ20" s="26">
        <f t="shared" si="19"/>
        <v>0</v>
      </c>
      <c r="BK20" s="26">
        <f t="shared" si="19"/>
        <v>0</v>
      </c>
      <c r="BL20" s="26">
        <f t="shared" si="19"/>
        <v>0</v>
      </c>
      <c r="BM20" s="26">
        <f t="shared" si="19"/>
        <v>0</v>
      </c>
      <c r="BN20" s="26">
        <f t="shared" si="19"/>
        <v>0</v>
      </c>
      <c r="BO20" s="26">
        <f t="shared" si="19"/>
        <v>0</v>
      </c>
      <c r="BP20" s="26">
        <f t="shared" si="19"/>
        <v>0</v>
      </c>
      <c r="BQ20" s="26">
        <f t="shared" si="19"/>
        <v>0</v>
      </c>
      <c r="BR20" s="26">
        <f t="shared" si="19"/>
        <v>0</v>
      </c>
    </row>
    <row r="21" spans="1:70" hidden="1" outlineLevel="3" x14ac:dyDescent="0.2">
      <c r="A21" s="54"/>
      <c r="B21" s="38" t="s">
        <v>110</v>
      </c>
      <c r="C21" s="151" t="s">
        <v>109</v>
      </c>
      <c r="D21" s="40">
        <f t="shared" si="0"/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176">
        <v>0</v>
      </c>
      <c r="Q21" s="191">
        <f t="shared" si="1"/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176">
        <v>0</v>
      </c>
      <c r="AD21" s="225">
        <f t="shared" si="2"/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208">
        <v>0</v>
      </c>
      <c r="AQ21" s="191">
        <f t="shared" si="3"/>
        <v>0</v>
      </c>
      <c r="AR21" s="40"/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191">
        <f t="shared" si="4"/>
        <v>0</v>
      </c>
      <c r="BF21" s="40"/>
      <c r="BG21" s="40">
        <v>0</v>
      </c>
      <c r="BH21" s="40">
        <v>0</v>
      </c>
      <c r="BI21" s="40">
        <v>0</v>
      </c>
      <c r="BJ21" s="40">
        <v>0</v>
      </c>
      <c r="BK21" s="40">
        <v>0</v>
      </c>
      <c r="BL21" s="40">
        <v>0</v>
      </c>
      <c r="BM21" s="40">
        <v>0</v>
      </c>
      <c r="BN21" s="40">
        <v>0</v>
      </c>
      <c r="BO21" s="40">
        <v>0</v>
      </c>
      <c r="BP21" s="40">
        <v>0</v>
      </c>
      <c r="BQ21" s="40">
        <v>0</v>
      </c>
      <c r="BR21" s="40">
        <v>0</v>
      </c>
    </row>
    <row r="22" spans="1:70" hidden="1" outlineLevel="3" x14ac:dyDescent="0.2">
      <c r="A22" s="54"/>
      <c r="B22" s="38" t="s">
        <v>108</v>
      </c>
      <c r="C22" s="151" t="s">
        <v>107</v>
      </c>
      <c r="D22" s="40">
        <f t="shared" si="0"/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176">
        <v>0</v>
      </c>
      <c r="Q22" s="191">
        <f t="shared" si="1"/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176">
        <v>0</v>
      </c>
      <c r="AD22" s="225">
        <f t="shared" si="2"/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208">
        <v>0</v>
      </c>
      <c r="AQ22" s="191">
        <f t="shared" si="3"/>
        <v>0</v>
      </c>
      <c r="AR22" s="40"/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40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191">
        <f t="shared" si="4"/>
        <v>0</v>
      </c>
      <c r="BF22" s="40"/>
      <c r="BG22" s="40">
        <v>0</v>
      </c>
      <c r="BH22" s="40">
        <v>0</v>
      </c>
      <c r="BI22" s="40">
        <v>0</v>
      </c>
      <c r="BJ22" s="40">
        <v>0</v>
      </c>
      <c r="BK22" s="40">
        <v>0</v>
      </c>
      <c r="BL22" s="40">
        <v>0</v>
      </c>
      <c r="BM22" s="40">
        <v>0</v>
      </c>
      <c r="BN22" s="40">
        <v>0</v>
      </c>
      <c r="BO22" s="40">
        <v>0</v>
      </c>
      <c r="BP22" s="40">
        <v>0</v>
      </c>
      <c r="BQ22" s="40">
        <v>0</v>
      </c>
      <c r="BR22" s="40">
        <v>0</v>
      </c>
    </row>
    <row r="23" spans="1:70" s="6" customFormat="1" hidden="1" outlineLevel="2" x14ac:dyDescent="0.2">
      <c r="A23" s="30"/>
      <c r="B23" s="29" t="s">
        <v>106</v>
      </c>
      <c r="C23" s="152" t="s">
        <v>105</v>
      </c>
      <c r="D23" s="26">
        <f t="shared" si="0"/>
        <v>0</v>
      </c>
      <c r="E23" s="26">
        <f>SUM(E21:E22)</f>
        <v>0</v>
      </c>
      <c r="F23" s="26">
        <f>SUM(F21:F22)</f>
        <v>0</v>
      </c>
      <c r="G23" s="26">
        <f t="shared" ref="G23:P23" si="20">SUM(G21:G22)</f>
        <v>0</v>
      </c>
      <c r="H23" s="26">
        <f t="shared" si="20"/>
        <v>0</v>
      </c>
      <c r="I23" s="26">
        <f t="shared" si="20"/>
        <v>0</v>
      </c>
      <c r="J23" s="26">
        <f t="shared" si="20"/>
        <v>0</v>
      </c>
      <c r="K23" s="26">
        <f t="shared" si="20"/>
        <v>0</v>
      </c>
      <c r="L23" s="26">
        <f t="shared" si="20"/>
        <v>0</v>
      </c>
      <c r="M23" s="26">
        <f t="shared" si="20"/>
        <v>0</v>
      </c>
      <c r="N23" s="26">
        <f t="shared" si="20"/>
        <v>0</v>
      </c>
      <c r="O23" s="26">
        <f t="shared" si="20"/>
        <v>0</v>
      </c>
      <c r="P23" s="177">
        <f t="shared" si="20"/>
        <v>0</v>
      </c>
      <c r="Q23" s="192">
        <f t="shared" si="1"/>
        <v>0</v>
      </c>
      <c r="R23" s="26">
        <f>SUM(R21:R22)</f>
        <v>0</v>
      </c>
      <c r="S23" s="26">
        <f>SUM(S21:S22)</f>
        <v>0</v>
      </c>
      <c r="T23" s="26">
        <f t="shared" ref="T23:AC23" si="21">SUM(T21:T22)</f>
        <v>0</v>
      </c>
      <c r="U23" s="26">
        <f t="shared" si="21"/>
        <v>0</v>
      </c>
      <c r="V23" s="26">
        <f t="shared" si="21"/>
        <v>0</v>
      </c>
      <c r="W23" s="26">
        <f t="shared" si="21"/>
        <v>0</v>
      </c>
      <c r="X23" s="26">
        <f t="shared" si="21"/>
        <v>0</v>
      </c>
      <c r="Y23" s="26">
        <f t="shared" si="21"/>
        <v>0</v>
      </c>
      <c r="Z23" s="26">
        <f t="shared" si="21"/>
        <v>0</v>
      </c>
      <c r="AA23" s="26">
        <f t="shared" si="21"/>
        <v>0</v>
      </c>
      <c r="AB23" s="26">
        <f t="shared" si="21"/>
        <v>0</v>
      </c>
      <c r="AC23" s="177">
        <f t="shared" si="21"/>
        <v>0</v>
      </c>
      <c r="AD23" s="226">
        <f t="shared" si="2"/>
        <v>0</v>
      </c>
      <c r="AE23" s="26">
        <f>SUM(AE21:AE22)</f>
        <v>0</v>
      </c>
      <c r="AF23" s="26">
        <f>SUM(AF21:AF22)</f>
        <v>0</v>
      </c>
      <c r="AG23" s="26">
        <f t="shared" ref="AG23:AP23" si="22">SUM(AG21:AG22)</f>
        <v>0</v>
      </c>
      <c r="AH23" s="26">
        <f t="shared" si="22"/>
        <v>0</v>
      </c>
      <c r="AI23" s="26">
        <f t="shared" si="22"/>
        <v>0</v>
      </c>
      <c r="AJ23" s="26">
        <f t="shared" si="22"/>
        <v>0</v>
      </c>
      <c r="AK23" s="26">
        <f t="shared" si="22"/>
        <v>0</v>
      </c>
      <c r="AL23" s="26">
        <f t="shared" si="22"/>
        <v>0</v>
      </c>
      <c r="AM23" s="26">
        <f t="shared" si="22"/>
        <v>0</v>
      </c>
      <c r="AN23" s="26">
        <f t="shared" si="22"/>
        <v>0</v>
      </c>
      <c r="AO23" s="26">
        <f t="shared" si="22"/>
        <v>0</v>
      </c>
      <c r="AP23" s="209">
        <f t="shared" si="22"/>
        <v>0</v>
      </c>
      <c r="AQ23" s="192">
        <f t="shared" si="3"/>
        <v>0</v>
      </c>
      <c r="AR23" s="26"/>
      <c r="AS23" s="26">
        <f>SUM(AS21:AS22)</f>
        <v>0</v>
      </c>
      <c r="AT23" s="26">
        <f>SUM(AT21:AT22)</f>
        <v>0</v>
      </c>
      <c r="AU23" s="26">
        <f t="shared" ref="AU23:BD23" si="23">SUM(AU21:AU22)</f>
        <v>0</v>
      </c>
      <c r="AV23" s="26">
        <f t="shared" si="23"/>
        <v>0</v>
      </c>
      <c r="AW23" s="26">
        <f t="shared" si="23"/>
        <v>0</v>
      </c>
      <c r="AX23" s="26">
        <f t="shared" si="23"/>
        <v>0</v>
      </c>
      <c r="AY23" s="26">
        <f t="shared" si="23"/>
        <v>0</v>
      </c>
      <c r="AZ23" s="26">
        <f t="shared" si="23"/>
        <v>0</v>
      </c>
      <c r="BA23" s="26">
        <f t="shared" si="23"/>
        <v>0</v>
      </c>
      <c r="BB23" s="26">
        <f t="shared" si="23"/>
        <v>0</v>
      </c>
      <c r="BC23" s="26">
        <f t="shared" si="23"/>
        <v>0</v>
      </c>
      <c r="BD23" s="26">
        <f t="shared" si="23"/>
        <v>0</v>
      </c>
      <c r="BE23" s="192">
        <f t="shared" si="4"/>
        <v>0</v>
      </c>
      <c r="BF23" s="26"/>
      <c r="BG23" s="26">
        <f>SUM(BG21:BG22)</f>
        <v>0</v>
      </c>
      <c r="BH23" s="26">
        <f>SUM(BH21:BH22)</f>
        <v>0</v>
      </c>
      <c r="BI23" s="26">
        <f t="shared" ref="BI23:BR23" si="24">SUM(BI21:BI22)</f>
        <v>0</v>
      </c>
      <c r="BJ23" s="26">
        <f t="shared" si="24"/>
        <v>0</v>
      </c>
      <c r="BK23" s="26">
        <f t="shared" si="24"/>
        <v>0</v>
      </c>
      <c r="BL23" s="26">
        <f t="shared" si="24"/>
        <v>0</v>
      </c>
      <c r="BM23" s="26">
        <f t="shared" si="24"/>
        <v>0</v>
      </c>
      <c r="BN23" s="26">
        <f t="shared" si="24"/>
        <v>0</v>
      </c>
      <c r="BO23" s="26">
        <f t="shared" si="24"/>
        <v>0</v>
      </c>
      <c r="BP23" s="26">
        <f t="shared" si="24"/>
        <v>0</v>
      </c>
      <c r="BQ23" s="26">
        <f t="shared" si="24"/>
        <v>0</v>
      </c>
      <c r="BR23" s="26">
        <f t="shared" si="24"/>
        <v>0</v>
      </c>
    </row>
    <row r="24" spans="1:70" s="6" customFormat="1" ht="13.5" outlineLevel="1" collapsed="1" thickTop="1" x14ac:dyDescent="0.2">
      <c r="A24" s="30"/>
      <c r="B24" s="48" t="s">
        <v>104</v>
      </c>
      <c r="C24" s="154" t="s">
        <v>103</v>
      </c>
      <c r="D24" s="45">
        <f t="shared" si="0"/>
        <v>2651332225.6395574</v>
      </c>
      <c r="E24" s="45">
        <f>E14+E17+E20+E23</f>
        <v>213643492.62</v>
      </c>
      <c r="F24" s="45">
        <f>F14+F17+F20+F23</f>
        <v>221608066.63814151</v>
      </c>
      <c r="G24" s="45">
        <f t="shared" ref="G24:P24" si="25">G14+G17+G20+G23</f>
        <v>221608066.63814151</v>
      </c>
      <c r="H24" s="45">
        <f t="shared" si="25"/>
        <v>221608066.63814151</v>
      </c>
      <c r="I24" s="45">
        <f t="shared" si="25"/>
        <v>221608066.63814151</v>
      </c>
      <c r="J24" s="45">
        <f t="shared" si="25"/>
        <v>221608066.63814151</v>
      </c>
      <c r="K24" s="45">
        <f t="shared" si="25"/>
        <v>221608066.63814151</v>
      </c>
      <c r="L24" s="45">
        <f t="shared" si="25"/>
        <v>221608066.63814151</v>
      </c>
      <c r="M24" s="45">
        <f t="shared" si="25"/>
        <v>221608066.63814151</v>
      </c>
      <c r="N24" s="45">
        <f t="shared" si="25"/>
        <v>221608066.63814151</v>
      </c>
      <c r="O24" s="45">
        <f t="shared" si="25"/>
        <v>221608066.63814151</v>
      </c>
      <c r="P24" s="178">
        <f t="shared" si="25"/>
        <v>221608066.63814151</v>
      </c>
      <c r="Q24" s="193">
        <f t="shared" si="1"/>
        <v>2651332225.6395574</v>
      </c>
      <c r="R24" s="45">
        <f>R14+R17+R20+R23</f>
        <v>213643492.62</v>
      </c>
      <c r="S24" s="45">
        <f>S14+S17+S20+S23</f>
        <v>221608066.63814151</v>
      </c>
      <c r="T24" s="45">
        <f t="shared" ref="T24:AC24" si="26">T14+T17+T20+T23</f>
        <v>221608066.63814151</v>
      </c>
      <c r="U24" s="45">
        <f t="shared" si="26"/>
        <v>221608066.63814151</v>
      </c>
      <c r="V24" s="45">
        <f t="shared" si="26"/>
        <v>221608066.63814151</v>
      </c>
      <c r="W24" s="45">
        <f t="shared" si="26"/>
        <v>221608066.63814151</v>
      </c>
      <c r="X24" s="45">
        <f t="shared" si="26"/>
        <v>221608066.63814151</v>
      </c>
      <c r="Y24" s="45">
        <f t="shared" si="26"/>
        <v>221608066.63814151</v>
      </c>
      <c r="Z24" s="45">
        <f t="shared" si="26"/>
        <v>221608066.63814151</v>
      </c>
      <c r="AA24" s="45">
        <f t="shared" si="26"/>
        <v>221608066.63814151</v>
      </c>
      <c r="AB24" s="45">
        <f t="shared" si="26"/>
        <v>221608066.63814151</v>
      </c>
      <c r="AC24" s="178">
        <f t="shared" si="26"/>
        <v>221608066.63814151</v>
      </c>
      <c r="AD24" s="227">
        <f t="shared" si="2"/>
        <v>2651332225.6395574</v>
      </c>
      <c r="AE24" s="45">
        <f>AE14+AE17+AE20+AE23</f>
        <v>213643492.62</v>
      </c>
      <c r="AF24" s="45">
        <f>AF14+AF17+AF20+AF23</f>
        <v>221608066.63814151</v>
      </c>
      <c r="AG24" s="45">
        <f t="shared" ref="AG24:AP24" si="27">AG14+AG17+AG20+AG23</f>
        <v>221608066.63814151</v>
      </c>
      <c r="AH24" s="45">
        <f t="shared" si="27"/>
        <v>221608066.63814151</v>
      </c>
      <c r="AI24" s="45">
        <f t="shared" si="27"/>
        <v>221608066.63814151</v>
      </c>
      <c r="AJ24" s="45">
        <f t="shared" si="27"/>
        <v>221608066.63814151</v>
      </c>
      <c r="AK24" s="45">
        <f t="shared" si="27"/>
        <v>221608066.63814151</v>
      </c>
      <c r="AL24" s="45">
        <f t="shared" si="27"/>
        <v>221608066.63814151</v>
      </c>
      <c r="AM24" s="45">
        <f t="shared" si="27"/>
        <v>221608066.63814151</v>
      </c>
      <c r="AN24" s="45">
        <f t="shared" si="27"/>
        <v>221608066.63814151</v>
      </c>
      <c r="AO24" s="45">
        <f t="shared" si="27"/>
        <v>221608066.63814151</v>
      </c>
      <c r="AP24" s="210">
        <f t="shared" si="27"/>
        <v>221608066.63814151</v>
      </c>
      <c r="AQ24" s="193">
        <f t="shared" si="3"/>
        <v>0</v>
      </c>
      <c r="AR24" s="45"/>
      <c r="AS24" s="45">
        <f>AS14+AS17+AS20+AS23</f>
        <v>213643492.62</v>
      </c>
      <c r="AT24" s="45">
        <f>AT14+AT17+AT20+AT23</f>
        <v>221608066.63814151</v>
      </c>
      <c r="AU24" s="45">
        <f t="shared" ref="AU24:BD24" si="28">AU14+AU17+AU20+AU23</f>
        <v>221608066.63814151</v>
      </c>
      <c r="AV24" s="45">
        <f t="shared" si="28"/>
        <v>221608066.63814151</v>
      </c>
      <c r="AW24" s="45">
        <f t="shared" si="28"/>
        <v>221608066.63814151</v>
      </c>
      <c r="AX24" s="45">
        <f t="shared" si="28"/>
        <v>221608066.63814151</v>
      </c>
      <c r="AY24" s="45">
        <f t="shared" si="28"/>
        <v>221608066.63814151</v>
      </c>
      <c r="AZ24" s="45">
        <f t="shared" si="28"/>
        <v>221608066.63814151</v>
      </c>
      <c r="BA24" s="45">
        <f t="shared" si="28"/>
        <v>221608066.63814151</v>
      </c>
      <c r="BB24" s="45">
        <f t="shared" si="28"/>
        <v>221608066.63814151</v>
      </c>
      <c r="BC24" s="45">
        <f t="shared" si="28"/>
        <v>221608066.63814151</v>
      </c>
      <c r="BD24" s="45">
        <f t="shared" si="28"/>
        <v>221608066.63814151</v>
      </c>
      <c r="BE24" s="193">
        <f>Q24-AD24</f>
        <v>0</v>
      </c>
      <c r="BF24" s="45"/>
      <c r="BG24" s="45">
        <f>BG14+BG17+BG20+BG23</f>
        <v>213643492.62</v>
      </c>
      <c r="BH24" s="45">
        <f>BH14+BH17+BH20+BH23</f>
        <v>221608066.63814151</v>
      </c>
      <c r="BI24" s="45">
        <f t="shared" ref="BI24:BR24" si="29">BI14+BI17+BI20+BI23</f>
        <v>221608066.63814151</v>
      </c>
      <c r="BJ24" s="45">
        <f t="shared" si="29"/>
        <v>221608066.63814151</v>
      </c>
      <c r="BK24" s="45">
        <f t="shared" si="29"/>
        <v>221608066.63814151</v>
      </c>
      <c r="BL24" s="45">
        <f t="shared" si="29"/>
        <v>221608066.63814151</v>
      </c>
      <c r="BM24" s="45">
        <f t="shared" si="29"/>
        <v>221608066.63814151</v>
      </c>
      <c r="BN24" s="45">
        <f t="shared" si="29"/>
        <v>221608066.63814151</v>
      </c>
      <c r="BO24" s="45">
        <f t="shared" si="29"/>
        <v>221608066.63814151</v>
      </c>
      <c r="BP24" s="45">
        <f t="shared" si="29"/>
        <v>221608066.63814151</v>
      </c>
      <c r="BQ24" s="45">
        <f t="shared" si="29"/>
        <v>221608066.63814151</v>
      </c>
      <c r="BR24" s="45">
        <f t="shared" si="29"/>
        <v>221608066.63814151</v>
      </c>
    </row>
    <row r="25" spans="1:70" s="6" customFormat="1" hidden="1" outlineLevel="2" x14ac:dyDescent="0.2">
      <c r="B25" s="29" t="s">
        <v>102</v>
      </c>
      <c r="C25" s="152" t="s">
        <v>101</v>
      </c>
      <c r="D25" s="26">
        <f t="shared" si="0"/>
        <v>68287856.376602113</v>
      </c>
      <c r="E25" s="26">
        <v>5000000</v>
      </c>
      <c r="F25" s="26">
        <v>5753441.4887820091</v>
      </c>
      <c r="G25" s="26">
        <v>5753441.4887820091</v>
      </c>
      <c r="H25" s="26">
        <v>5753441.4887820091</v>
      </c>
      <c r="I25" s="26">
        <v>5753441.4887820091</v>
      </c>
      <c r="J25" s="26">
        <v>5753441.4887820091</v>
      </c>
      <c r="K25" s="26">
        <v>5753441.4887820091</v>
      </c>
      <c r="L25" s="26">
        <v>5753441.4887820091</v>
      </c>
      <c r="M25" s="26">
        <v>5753441.4887820091</v>
      </c>
      <c r="N25" s="26">
        <v>5753441.4887820091</v>
      </c>
      <c r="O25" s="26">
        <v>5753441.4887820091</v>
      </c>
      <c r="P25" s="177">
        <v>5753441.4887820091</v>
      </c>
      <c r="Q25" s="192">
        <f t="shared" si="1"/>
        <v>68287856.376602113</v>
      </c>
      <c r="R25" s="26">
        <v>5000000</v>
      </c>
      <c r="S25" s="26">
        <v>5753441.4887820091</v>
      </c>
      <c r="T25" s="26">
        <v>5753441.4887820091</v>
      </c>
      <c r="U25" s="26">
        <v>5753441.4887820091</v>
      </c>
      <c r="V25" s="26">
        <v>5753441.4887820091</v>
      </c>
      <c r="W25" s="26">
        <v>5753441.4887820091</v>
      </c>
      <c r="X25" s="26">
        <v>5753441.4887820091</v>
      </c>
      <c r="Y25" s="26">
        <v>5753441.4887820091</v>
      </c>
      <c r="Z25" s="26">
        <v>5753441.4887820091</v>
      </c>
      <c r="AA25" s="26">
        <v>5753441.4887820091</v>
      </c>
      <c r="AB25" s="26">
        <v>5753441.4887820091</v>
      </c>
      <c r="AC25" s="177">
        <v>5753441.4887820091</v>
      </c>
      <c r="AD25" s="226">
        <f t="shared" si="2"/>
        <v>68287856.376602113</v>
      </c>
      <c r="AE25" s="26">
        <v>5000000</v>
      </c>
      <c r="AF25" s="26">
        <v>5753441.4887820091</v>
      </c>
      <c r="AG25" s="26">
        <v>5753441.4887820091</v>
      </c>
      <c r="AH25" s="26">
        <v>5753441.4887820091</v>
      </c>
      <c r="AI25" s="26">
        <v>5753441.4887820091</v>
      </c>
      <c r="AJ25" s="26">
        <v>5753441.4887820091</v>
      </c>
      <c r="AK25" s="26">
        <v>5753441.4887820091</v>
      </c>
      <c r="AL25" s="26">
        <v>5753441.4887820091</v>
      </c>
      <c r="AM25" s="26">
        <v>5753441.4887820091</v>
      </c>
      <c r="AN25" s="26">
        <v>5753441.4887820091</v>
      </c>
      <c r="AO25" s="26">
        <v>5753441.4887820091</v>
      </c>
      <c r="AP25" s="209">
        <v>5753441.4887820091</v>
      </c>
      <c r="AQ25" s="192">
        <f t="shared" si="3"/>
        <v>0</v>
      </c>
      <c r="AR25" s="26"/>
      <c r="AS25" s="26">
        <v>5000000</v>
      </c>
      <c r="AT25" s="26">
        <v>5753441.4887820091</v>
      </c>
      <c r="AU25" s="26">
        <v>5753441.4887820091</v>
      </c>
      <c r="AV25" s="26">
        <v>5753441.4887820091</v>
      </c>
      <c r="AW25" s="26">
        <v>5753441.4887820091</v>
      </c>
      <c r="AX25" s="26">
        <v>5753441.4887820091</v>
      </c>
      <c r="AY25" s="26">
        <v>5753441.4887820091</v>
      </c>
      <c r="AZ25" s="26">
        <v>5753441.4887820091</v>
      </c>
      <c r="BA25" s="26">
        <v>5753441.4887820091</v>
      </c>
      <c r="BB25" s="26">
        <v>5753441.4887820091</v>
      </c>
      <c r="BC25" s="26">
        <v>5753441.4887820091</v>
      </c>
      <c r="BD25" s="26">
        <v>5753441.4887820091</v>
      </c>
      <c r="BE25" s="192">
        <f t="shared" ref="BE25:BE72" si="30">Q25-AD25</f>
        <v>0</v>
      </c>
      <c r="BF25" s="26"/>
      <c r="BG25" s="26">
        <v>5000000</v>
      </c>
      <c r="BH25" s="26">
        <v>5753441.4887820091</v>
      </c>
      <c r="BI25" s="26">
        <v>5753441.4887820091</v>
      </c>
      <c r="BJ25" s="26">
        <v>5753441.4887820091</v>
      </c>
      <c r="BK25" s="26">
        <v>5753441.4887820091</v>
      </c>
      <c r="BL25" s="26">
        <v>5753441.4887820091</v>
      </c>
      <c r="BM25" s="26">
        <v>5753441.4887820091</v>
      </c>
      <c r="BN25" s="26">
        <v>5753441.4887820091</v>
      </c>
      <c r="BO25" s="26">
        <v>5753441.4887820091</v>
      </c>
      <c r="BP25" s="26">
        <v>5753441.4887820091</v>
      </c>
      <c r="BQ25" s="26">
        <v>5753441.4887820091</v>
      </c>
      <c r="BR25" s="26">
        <v>5753441.4887820091</v>
      </c>
    </row>
    <row r="26" spans="1:70" s="6" customFormat="1" hidden="1" outlineLevel="2" x14ac:dyDescent="0.2">
      <c r="B26" s="29" t="s">
        <v>100</v>
      </c>
      <c r="C26" s="152" t="s">
        <v>99</v>
      </c>
      <c r="D26" s="26">
        <f t="shared" si="0"/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177">
        <v>0</v>
      </c>
      <c r="Q26" s="192">
        <f t="shared" si="1"/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177">
        <v>0</v>
      </c>
      <c r="AD26" s="226">
        <f t="shared" si="2"/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09">
        <v>0</v>
      </c>
      <c r="AQ26" s="192">
        <f t="shared" si="3"/>
        <v>0</v>
      </c>
      <c r="AR26" s="26"/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192">
        <f t="shared" si="30"/>
        <v>0</v>
      </c>
      <c r="BF26" s="26"/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  <c r="BQ26" s="26">
        <v>0</v>
      </c>
      <c r="BR26" s="26">
        <v>0</v>
      </c>
    </row>
    <row r="27" spans="1:70" s="6" customFormat="1" outlineLevel="1" collapsed="1" x14ac:dyDescent="0.2">
      <c r="A27" s="30"/>
      <c r="B27" s="48" t="s">
        <v>98</v>
      </c>
      <c r="C27" s="154" t="s">
        <v>97</v>
      </c>
      <c r="D27" s="45">
        <f t="shared" si="0"/>
        <v>68287856.376602113</v>
      </c>
      <c r="E27" s="45">
        <f>SUM(E25:E26)</f>
        <v>5000000</v>
      </c>
      <c r="F27" s="45">
        <f>SUM(F25:F26)</f>
        <v>5753441.4887820091</v>
      </c>
      <c r="G27" s="45">
        <f t="shared" ref="G27:P27" si="31">SUM(G25:G26)</f>
        <v>5753441.4887820091</v>
      </c>
      <c r="H27" s="45">
        <f t="shared" si="31"/>
        <v>5753441.4887820091</v>
      </c>
      <c r="I27" s="45">
        <f t="shared" si="31"/>
        <v>5753441.4887820091</v>
      </c>
      <c r="J27" s="45">
        <f t="shared" si="31"/>
        <v>5753441.4887820091</v>
      </c>
      <c r="K27" s="45">
        <f t="shared" si="31"/>
        <v>5753441.4887820091</v>
      </c>
      <c r="L27" s="45">
        <f t="shared" si="31"/>
        <v>5753441.4887820091</v>
      </c>
      <c r="M27" s="45">
        <f t="shared" si="31"/>
        <v>5753441.4887820091</v>
      </c>
      <c r="N27" s="45">
        <f t="shared" si="31"/>
        <v>5753441.4887820091</v>
      </c>
      <c r="O27" s="45">
        <f t="shared" si="31"/>
        <v>5753441.4887820091</v>
      </c>
      <c r="P27" s="178">
        <f t="shared" si="31"/>
        <v>5753441.4887820091</v>
      </c>
      <c r="Q27" s="193">
        <f t="shared" si="1"/>
        <v>68287856.376602113</v>
      </c>
      <c r="R27" s="45">
        <f>SUM(R25:R26)</f>
        <v>5000000</v>
      </c>
      <c r="S27" s="45">
        <f>SUM(S25:S26)</f>
        <v>5753441.4887820091</v>
      </c>
      <c r="T27" s="45">
        <f t="shared" ref="T27:AC27" si="32">SUM(T25:T26)</f>
        <v>5753441.4887820091</v>
      </c>
      <c r="U27" s="45">
        <f t="shared" si="32"/>
        <v>5753441.4887820091</v>
      </c>
      <c r="V27" s="45">
        <f t="shared" si="32"/>
        <v>5753441.4887820091</v>
      </c>
      <c r="W27" s="45">
        <f t="shared" si="32"/>
        <v>5753441.4887820091</v>
      </c>
      <c r="X27" s="45">
        <f t="shared" si="32"/>
        <v>5753441.4887820091</v>
      </c>
      <c r="Y27" s="45">
        <f t="shared" si="32"/>
        <v>5753441.4887820091</v>
      </c>
      <c r="Z27" s="45">
        <f t="shared" si="32"/>
        <v>5753441.4887820091</v>
      </c>
      <c r="AA27" s="45">
        <f t="shared" si="32"/>
        <v>5753441.4887820091</v>
      </c>
      <c r="AB27" s="45">
        <f t="shared" si="32"/>
        <v>5753441.4887820091</v>
      </c>
      <c r="AC27" s="178">
        <f t="shared" si="32"/>
        <v>5753441.4887820091</v>
      </c>
      <c r="AD27" s="227">
        <f t="shared" si="2"/>
        <v>68287856.376602113</v>
      </c>
      <c r="AE27" s="45">
        <f>SUM(AE25:AE26)</f>
        <v>5000000</v>
      </c>
      <c r="AF27" s="45">
        <f>SUM(AF25:AF26)</f>
        <v>5753441.4887820091</v>
      </c>
      <c r="AG27" s="45">
        <f t="shared" ref="AG27:AP27" si="33">SUM(AG25:AG26)</f>
        <v>5753441.4887820091</v>
      </c>
      <c r="AH27" s="45">
        <f t="shared" si="33"/>
        <v>5753441.4887820091</v>
      </c>
      <c r="AI27" s="45">
        <f t="shared" si="33"/>
        <v>5753441.4887820091</v>
      </c>
      <c r="AJ27" s="45">
        <f t="shared" si="33"/>
        <v>5753441.4887820091</v>
      </c>
      <c r="AK27" s="45">
        <f t="shared" si="33"/>
        <v>5753441.4887820091</v>
      </c>
      <c r="AL27" s="45">
        <f t="shared" si="33"/>
        <v>5753441.4887820091</v>
      </c>
      <c r="AM27" s="45">
        <f t="shared" si="33"/>
        <v>5753441.4887820091</v>
      </c>
      <c r="AN27" s="45">
        <f t="shared" si="33"/>
        <v>5753441.4887820091</v>
      </c>
      <c r="AO27" s="45">
        <f t="shared" si="33"/>
        <v>5753441.4887820091</v>
      </c>
      <c r="AP27" s="210">
        <f t="shared" si="33"/>
        <v>5753441.4887820091</v>
      </c>
      <c r="AQ27" s="193">
        <f t="shared" si="3"/>
        <v>0</v>
      </c>
      <c r="AR27" s="45"/>
      <c r="AS27" s="45">
        <f>SUM(AS25:AS26)</f>
        <v>5000000</v>
      </c>
      <c r="AT27" s="45">
        <f>SUM(AT25:AT26)</f>
        <v>5753441.4887820091</v>
      </c>
      <c r="AU27" s="45">
        <f t="shared" ref="AU27:BD27" si="34">SUM(AU25:AU26)</f>
        <v>5753441.4887820091</v>
      </c>
      <c r="AV27" s="45">
        <f t="shared" si="34"/>
        <v>5753441.4887820091</v>
      </c>
      <c r="AW27" s="45">
        <f t="shared" si="34"/>
        <v>5753441.4887820091</v>
      </c>
      <c r="AX27" s="45">
        <f t="shared" si="34"/>
        <v>5753441.4887820091</v>
      </c>
      <c r="AY27" s="45">
        <f t="shared" si="34"/>
        <v>5753441.4887820091</v>
      </c>
      <c r="AZ27" s="45">
        <f t="shared" si="34"/>
        <v>5753441.4887820091</v>
      </c>
      <c r="BA27" s="45">
        <f t="shared" si="34"/>
        <v>5753441.4887820091</v>
      </c>
      <c r="BB27" s="45">
        <f t="shared" si="34"/>
        <v>5753441.4887820091</v>
      </c>
      <c r="BC27" s="45">
        <f t="shared" si="34"/>
        <v>5753441.4887820091</v>
      </c>
      <c r="BD27" s="45">
        <f t="shared" si="34"/>
        <v>5753441.4887820091</v>
      </c>
      <c r="BE27" s="193">
        <f t="shared" si="30"/>
        <v>0</v>
      </c>
      <c r="BF27" s="45"/>
      <c r="BG27" s="45">
        <f>SUM(BG25:BG26)</f>
        <v>5000000</v>
      </c>
      <c r="BH27" s="45">
        <f>SUM(BH25:BH26)</f>
        <v>5753441.4887820091</v>
      </c>
      <c r="BI27" s="45">
        <f t="shared" ref="BI27:BR27" si="35">SUM(BI25:BI26)</f>
        <v>5753441.4887820091</v>
      </c>
      <c r="BJ27" s="45">
        <f t="shared" si="35"/>
        <v>5753441.4887820091</v>
      </c>
      <c r="BK27" s="45">
        <f t="shared" si="35"/>
        <v>5753441.4887820091</v>
      </c>
      <c r="BL27" s="45">
        <f t="shared" si="35"/>
        <v>5753441.4887820091</v>
      </c>
      <c r="BM27" s="45">
        <f t="shared" si="35"/>
        <v>5753441.4887820091</v>
      </c>
      <c r="BN27" s="45">
        <f t="shared" si="35"/>
        <v>5753441.4887820091</v>
      </c>
      <c r="BO27" s="45">
        <f t="shared" si="35"/>
        <v>5753441.4887820091</v>
      </c>
      <c r="BP27" s="45">
        <f t="shared" si="35"/>
        <v>5753441.4887820091</v>
      </c>
      <c r="BQ27" s="45">
        <f t="shared" si="35"/>
        <v>5753441.4887820091</v>
      </c>
      <c r="BR27" s="45">
        <f t="shared" si="35"/>
        <v>5753441.4887820091</v>
      </c>
    </row>
    <row r="28" spans="1:70" hidden="1" outlineLevel="3" x14ac:dyDescent="0.2">
      <c r="A28" s="54"/>
      <c r="B28" s="38" t="s">
        <v>96</v>
      </c>
      <c r="C28" s="151" t="s">
        <v>95</v>
      </c>
      <c r="D28" s="40">
        <f t="shared" si="0"/>
        <v>120000</v>
      </c>
      <c r="E28" s="40">
        <v>120000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176">
        <v>0</v>
      </c>
      <c r="Q28" s="191">
        <f t="shared" si="1"/>
        <v>120000</v>
      </c>
      <c r="R28" s="40">
        <v>120000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176">
        <v>0</v>
      </c>
      <c r="AD28" s="225">
        <f t="shared" si="2"/>
        <v>120000</v>
      </c>
      <c r="AE28" s="40">
        <v>120000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208">
        <v>0</v>
      </c>
      <c r="AQ28" s="191">
        <f t="shared" si="3"/>
        <v>0</v>
      </c>
      <c r="AR28" s="40"/>
      <c r="AS28" s="40">
        <v>120000</v>
      </c>
      <c r="AT28" s="40">
        <v>0</v>
      </c>
      <c r="AU28" s="40">
        <v>0</v>
      </c>
      <c r="AV28" s="40">
        <v>0</v>
      </c>
      <c r="AW28" s="40">
        <v>0</v>
      </c>
      <c r="AX28" s="40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191">
        <f t="shared" si="30"/>
        <v>0</v>
      </c>
      <c r="BF28" s="40"/>
      <c r="BG28" s="40">
        <v>120000</v>
      </c>
      <c r="BH28" s="40">
        <v>0</v>
      </c>
      <c r="BI28" s="40">
        <v>0</v>
      </c>
      <c r="BJ28" s="40">
        <v>0</v>
      </c>
      <c r="BK28" s="40">
        <v>0</v>
      </c>
      <c r="BL28" s="40">
        <v>0</v>
      </c>
      <c r="BM28" s="40">
        <v>0</v>
      </c>
      <c r="BN28" s="40">
        <v>0</v>
      </c>
      <c r="BO28" s="40">
        <v>0</v>
      </c>
      <c r="BP28" s="40">
        <v>0</v>
      </c>
      <c r="BQ28" s="40">
        <v>0</v>
      </c>
      <c r="BR28" s="40">
        <v>0</v>
      </c>
    </row>
    <row r="29" spans="1:70" hidden="1" outlineLevel="3" x14ac:dyDescent="0.2">
      <c r="A29" s="54"/>
      <c r="B29" s="38" t="s">
        <v>94</v>
      </c>
      <c r="C29" s="151" t="s">
        <v>93</v>
      </c>
      <c r="D29" s="40">
        <f t="shared" si="0"/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176">
        <v>0</v>
      </c>
      <c r="Q29" s="191">
        <f t="shared" si="1"/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176">
        <v>0</v>
      </c>
      <c r="AD29" s="225">
        <f t="shared" si="2"/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208">
        <v>0</v>
      </c>
      <c r="AQ29" s="191">
        <f t="shared" si="3"/>
        <v>0</v>
      </c>
      <c r="AR29" s="40"/>
      <c r="AS29" s="40">
        <v>0</v>
      </c>
      <c r="AT29" s="40">
        <v>0</v>
      </c>
      <c r="AU29" s="40">
        <v>0</v>
      </c>
      <c r="AV29" s="40">
        <v>0</v>
      </c>
      <c r="AW29" s="40">
        <v>0</v>
      </c>
      <c r="AX29" s="40">
        <v>0</v>
      </c>
      <c r="AY29" s="40">
        <v>0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191">
        <f t="shared" si="30"/>
        <v>0</v>
      </c>
      <c r="BF29" s="40"/>
      <c r="BG29" s="40">
        <v>0</v>
      </c>
      <c r="BH29" s="40">
        <v>0</v>
      </c>
      <c r="BI29" s="40">
        <v>0</v>
      </c>
      <c r="BJ29" s="40">
        <v>0</v>
      </c>
      <c r="BK29" s="40">
        <v>0</v>
      </c>
      <c r="BL29" s="40">
        <v>0</v>
      </c>
      <c r="BM29" s="40">
        <v>0</v>
      </c>
      <c r="BN29" s="40">
        <v>0</v>
      </c>
      <c r="BO29" s="40">
        <v>0</v>
      </c>
      <c r="BP29" s="40">
        <v>0</v>
      </c>
      <c r="BQ29" s="40">
        <v>0</v>
      </c>
      <c r="BR29" s="40">
        <v>0</v>
      </c>
    </row>
    <row r="30" spans="1:70" s="6" customFormat="1" hidden="1" outlineLevel="2" x14ac:dyDescent="0.2">
      <c r="A30" s="30"/>
      <c r="B30" s="29" t="s">
        <v>92</v>
      </c>
      <c r="C30" s="152" t="s">
        <v>91</v>
      </c>
      <c r="D30" s="26">
        <f t="shared" si="0"/>
        <v>120000</v>
      </c>
      <c r="E30" s="26">
        <f>SUM(E28:E29)</f>
        <v>120000</v>
      </c>
      <c r="F30" s="26">
        <f>SUM(F28:F29)</f>
        <v>0</v>
      </c>
      <c r="G30" s="26">
        <f t="shared" ref="G30:P30" si="36">SUM(G28:G29)</f>
        <v>0</v>
      </c>
      <c r="H30" s="26">
        <f t="shared" si="36"/>
        <v>0</v>
      </c>
      <c r="I30" s="26">
        <f t="shared" si="36"/>
        <v>0</v>
      </c>
      <c r="J30" s="26">
        <f t="shared" si="36"/>
        <v>0</v>
      </c>
      <c r="K30" s="26">
        <f t="shared" si="36"/>
        <v>0</v>
      </c>
      <c r="L30" s="26">
        <f t="shared" si="36"/>
        <v>0</v>
      </c>
      <c r="M30" s="26">
        <f t="shared" si="36"/>
        <v>0</v>
      </c>
      <c r="N30" s="26">
        <f t="shared" si="36"/>
        <v>0</v>
      </c>
      <c r="O30" s="26">
        <f t="shared" si="36"/>
        <v>0</v>
      </c>
      <c r="P30" s="177">
        <f t="shared" si="36"/>
        <v>0</v>
      </c>
      <c r="Q30" s="192">
        <f t="shared" si="1"/>
        <v>120000</v>
      </c>
      <c r="R30" s="26">
        <f>SUM(R28:R29)</f>
        <v>120000</v>
      </c>
      <c r="S30" s="26">
        <f>SUM(S28:S29)</f>
        <v>0</v>
      </c>
      <c r="T30" s="26">
        <f t="shared" ref="T30:AC30" si="37">SUM(T28:T29)</f>
        <v>0</v>
      </c>
      <c r="U30" s="26">
        <f t="shared" si="37"/>
        <v>0</v>
      </c>
      <c r="V30" s="26">
        <f t="shared" si="37"/>
        <v>0</v>
      </c>
      <c r="W30" s="26">
        <f t="shared" si="37"/>
        <v>0</v>
      </c>
      <c r="X30" s="26">
        <f t="shared" si="37"/>
        <v>0</v>
      </c>
      <c r="Y30" s="26">
        <f t="shared" si="37"/>
        <v>0</v>
      </c>
      <c r="Z30" s="26">
        <f t="shared" si="37"/>
        <v>0</v>
      </c>
      <c r="AA30" s="26">
        <f t="shared" si="37"/>
        <v>0</v>
      </c>
      <c r="AB30" s="26">
        <f t="shared" si="37"/>
        <v>0</v>
      </c>
      <c r="AC30" s="177">
        <f t="shared" si="37"/>
        <v>0</v>
      </c>
      <c r="AD30" s="226">
        <f t="shared" si="2"/>
        <v>120000</v>
      </c>
      <c r="AE30" s="26">
        <f>SUM(AE28:AE29)</f>
        <v>120000</v>
      </c>
      <c r="AF30" s="26">
        <f>SUM(AF28:AF29)</f>
        <v>0</v>
      </c>
      <c r="AG30" s="26">
        <f t="shared" ref="AG30:AP30" si="38">SUM(AG28:AG29)</f>
        <v>0</v>
      </c>
      <c r="AH30" s="26">
        <f t="shared" si="38"/>
        <v>0</v>
      </c>
      <c r="AI30" s="26">
        <f t="shared" si="38"/>
        <v>0</v>
      </c>
      <c r="AJ30" s="26">
        <f t="shared" si="38"/>
        <v>0</v>
      </c>
      <c r="AK30" s="26">
        <f t="shared" si="38"/>
        <v>0</v>
      </c>
      <c r="AL30" s="26">
        <f t="shared" si="38"/>
        <v>0</v>
      </c>
      <c r="AM30" s="26">
        <f t="shared" si="38"/>
        <v>0</v>
      </c>
      <c r="AN30" s="26">
        <f t="shared" si="38"/>
        <v>0</v>
      </c>
      <c r="AO30" s="26">
        <f t="shared" si="38"/>
        <v>0</v>
      </c>
      <c r="AP30" s="209">
        <f t="shared" si="38"/>
        <v>0</v>
      </c>
      <c r="AQ30" s="192">
        <f t="shared" si="3"/>
        <v>0</v>
      </c>
      <c r="AR30" s="26"/>
      <c r="AS30" s="26">
        <f>SUM(AS28:AS29)</f>
        <v>120000</v>
      </c>
      <c r="AT30" s="26">
        <f>SUM(AT28:AT29)</f>
        <v>0</v>
      </c>
      <c r="AU30" s="26">
        <f t="shared" ref="AU30:BD30" si="39">SUM(AU28:AU29)</f>
        <v>0</v>
      </c>
      <c r="AV30" s="26">
        <f t="shared" si="39"/>
        <v>0</v>
      </c>
      <c r="AW30" s="26">
        <f t="shared" si="39"/>
        <v>0</v>
      </c>
      <c r="AX30" s="26">
        <f t="shared" si="39"/>
        <v>0</v>
      </c>
      <c r="AY30" s="26">
        <f t="shared" si="39"/>
        <v>0</v>
      </c>
      <c r="AZ30" s="26">
        <f t="shared" si="39"/>
        <v>0</v>
      </c>
      <c r="BA30" s="26">
        <f t="shared" si="39"/>
        <v>0</v>
      </c>
      <c r="BB30" s="26">
        <f t="shared" si="39"/>
        <v>0</v>
      </c>
      <c r="BC30" s="26">
        <f t="shared" si="39"/>
        <v>0</v>
      </c>
      <c r="BD30" s="26">
        <f t="shared" si="39"/>
        <v>0</v>
      </c>
      <c r="BE30" s="192">
        <f t="shared" si="30"/>
        <v>0</v>
      </c>
      <c r="BF30" s="26"/>
      <c r="BG30" s="26">
        <f>SUM(BG28:BG29)</f>
        <v>120000</v>
      </c>
      <c r="BH30" s="26">
        <f>SUM(BH28:BH29)</f>
        <v>0</v>
      </c>
      <c r="BI30" s="26">
        <f t="shared" ref="BI30:BR30" si="40">SUM(BI28:BI29)</f>
        <v>0</v>
      </c>
      <c r="BJ30" s="26">
        <f t="shared" si="40"/>
        <v>0</v>
      </c>
      <c r="BK30" s="26">
        <f t="shared" si="40"/>
        <v>0</v>
      </c>
      <c r="BL30" s="26">
        <f t="shared" si="40"/>
        <v>0</v>
      </c>
      <c r="BM30" s="26">
        <f t="shared" si="40"/>
        <v>0</v>
      </c>
      <c r="BN30" s="26">
        <f t="shared" si="40"/>
        <v>0</v>
      </c>
      <c r="BO30" s="26">
        <f t="shared" si="40"/>
        <v>0</v>
      </c>
      <c r="BP30" s="26">
        <f t="shared" si="40"/>
        <v>0</v>
      </c>
      <c r="BQ30" s="26">
        <f t="shared" si="40"/>
        <v>0</v>
      </c>
      <c r="BR30" s="26">
        <f t="shared" si="40"/>
        <v>0</v>
      </c>
    </row>
    <row r="31" spans="1:70" ht="12.75" hidden="1" customHeight="1" outlineLevel="3" x14ac:dyDescent="0.2">
      <c r="A31" s="54"/>
      <c r="B31" s="38" t="s">
        <v>90</v>
      </c>
      <c r="C31" s="151" t="s">
        <v>89</v>
      </c>
      <c r="D31" s="40">
        <f t="shared" si="0"/>
        <v>19000000</v>
      </c>
      <c r="E31" s="40">
        <v>19000000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176">
        <v>0</v>
      </c>
      <c r="Q31" s="191">
        <f t="shared" si="1"/>
        <v>19000000</v>
      </c>
      <c r="R31" s="40">
        <v>19000000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176">
        <v>0</v>
      </c>
      <c r="AD31" s="225">
        <f t="shared" si="2"/>
        <v>19000000</v>
      </c>
      <c r="AE31" s="40">
        <v>19000000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0</v>
      </c>
      <c r="AP31" s="208">
        <v>0</v>
      </c>
      <c r="AQ31" s="191">
        <f t="shared" si="3"/>
        <v>0</v>
      </c>
      <c r="AR31" s="40"/>
      <c r="AS31" s="40">
        <v>19000000</v>
      </c>
      <c r="AT31" s="40">
        <v>0</v>
      </c>
      <c r="AU31" s="40">
        <v>0</v>
      </c>
      <c r="AV31" s="40">
        <v>0</v>
      </c>
      <c r="AW31" s="40">
        <v>0</v>
      </c>
      <c r="AX31" s="40">
        <v>0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191">
        <f t="shared" si="30"/>
        <v>0</v>
      </c>
      <c r="BF31" s="40"/>
      <c r="BG31" s="40">
        <v>19000000</v>
      </c>
      <c r="BH31" s="40">
        <v>0</v>
      </c>
      <c r="BI31" s="40">
        <v>0</v>
      </c>
      <c r="BJ31" s="40">
        <v>0</v>
      </c>
      <c r="BK31" s="40">
        <v>0</v>
      </c>
      <c r="BL31" s="40">
        <v>0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</row>
    <row r="32" spans="1:70" ht="12.75" hidden="1" customHeight="1" outlineLevel="3" x14ac:dyDescent="0.2">
      <c r="A32" s="54"/>
      <c r="B32" s="38" t="s">
        <v>88</v>
      </c>
      <c r="C32" s="151" t="s">
        <v>87</v>
      </c>
      <c r="D32" s="40">
        <f t="shared" si="0"/>
        <v>3328677</v>
      </c>
      <c r="E32" s="40">
        <v>3328677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176">
        <v>0</v>
      </c>
      <c r="Q32" s="191">
        <f t="shared" si="1"/>
        <v>3328677</v>
      </c>
      <c r="R32" s="40">
        <v>3328677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176">
        <v>0</v>
      </c>
      <c r="AD32" s="225">
        <f t="shared" si="2"/>
        <v>3328677</v>
      </c>
      <c r="AE32" s="40">
        <v>3328677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208">
        <v>0</v>
      </c>
      <c r="AQ32" s="191">
        <f t="shared" si="3"/>
        <v>0</v>
      </c>
      <c r="AR32" s="40"/>
      <c r="AS32" s="40">
        <v>3328677</v>
      </c>
      <c r="AT32" s="40">
        <v>0</v>
      </c>
      <c r="AU32" s="40">
        <v>0</v>
      </c>
      <c r="AV32" s="40">
        <v>0</v>
      </c>
      <c r="AW32" s="40">
        <v>0</v>
      </c>
      <c r="AX32" s="40">
        <v>0</v>
      </c>
      <c r="AY32" s="40">
        <v>0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191">
        <f t="shared" si="30"/>
        <v>0</v>
      </c>
      <c r="BF32" s="40"/>
      <c r="BG32" s="40">
        <v>3328677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40">
        <v>0</v>
      </c>
      <c r="BP32" s="40">
        <v>0</v>
      </c>
      <c r="BQ32" s="40">
        <v>0</v>
      </c>
      <c r="BR32" s="40">
        <v>0</v>
      </c>
    </row>
    <row r="33" spans="1:70" s="6" customFormat="1" hidden="1" outlineLevel="2" x14ac:dyDescent="0.2">
      <c r="A33" s="30"/>
      <c r="B33" s="29" t="s">
        <v>86</v>
      </c>
      <c r="C33" s="152" t="s">
        <v>85</v>
      </c>
      <c r="D33" s="26">
        <f t="shared" si="0"/>
        <v>22328677</v>
      </c>
      <c r="E33" s="26">
        <f>SUM(E31:E32)</f>
        <v>22328677</v>
      </c>
      <c r="F33" s="26">
        <f>SUM(F31:F32)</f>
        <v>0</v>
      </c>
      <c r="G33" s="26">
        <f t="shared" ref="G33:P33" si="41">SUM(G31:G32)</f>
        <v>0</v>
      </c>
      <c r="H33" s="26">
        <f t="shared" si="41"/>
        <v>0</v>
      </c>
      <c r="I33" s="26">
        <f t="shared" si="41"/>
        <v>0</v>
      </c>
      <c r="J33" s="26">
        <f t="shared" si="41"/>
        <v>0</v>
      </c>
      <c r="K33" s="26">
        <f t="shared" si="41"/>
        <v>0</v>
      </c>
      <c r="L33" s="26">
        <f t="shared" si="41"/>
        <v>0</v>
      </c>
      <c r="M33" s="26">
        <f t="shared" si="41"/>
        <v>0</v>
      </c>
      <c r="N33" s="26">
        <f t="shared" si="41"/>
        <v>0</v>
      </c>
      <c r="O33" s="26">
        <f t="shared" si="41"/>
        <v>0</v>
      </c>
      <c r="P33" s="177">
        <f t="shared" si="41"/>
        <v>0</v>
      </c>
      <c r="Q33" s="192">
        <f t="shared" si="1"/>
        <v>22328677</v>
      </c>
      <c r="R33" s="26">
        <f>SUM(R31:R32)</f>
        <v>22328677</v>
      </c>
      <c r="S33" s="26">
        <f>SUM(S31:S32)</f>
        <v>0</v>
      </c>
      <c r="T33" s="26">
        <f t="shared" ref="T33:AC33" si="42">SUM(T31:T32)</f>
        <v>0</v>
      </c>
      <c r="U33" s="26">
        <f t="shared" si="42"/>
        <v>0</v>
      </c>
      <c r="V33" s="26">
        <f t="shared" si="42"/>
        <v>0</v>
      </c>
      <c r="W33" s="26">
        <f t="shared" si="42"/>
        <v>0</v>
      </c>
      <c r="X33" s="26">
        <f t="shared" si="42"/>
        <v>0</v>
      </c>
      <c r="Y33" s="26">
        <f t="shared" si="42"/>
        <v>0</v>
      </c>
      <c r="Z33" s="26">
        <f t="shared" si="42"/>
        <v>0</v>
      </c>
      <c r="AA33" s="26">
        <f t="shared" si="42"/>
        <v>0</v>
      </c>
      <c r="AB33" s="26">
        <f t="shared" si="42"/>
        <v>0</v>
      </c>
      <c r="AC33" s="177">
        <f t="shared" si="42"/>
        <v>0</v>
      </c>
      <c r="AD33" s="226">
        <f t="shared" si="2"/>
        <v>22328677</v>
      </c>
      <c r="AE33" s="26">
        <f>SUM(AE31:AE32)</f>
        <v>22328677</v>
      </c>
      <c r="AF33" s="26">
        <f>SUM(AF31:AF32)</f>
        <v>0</v>
      </c>
      <c r="AG33" s="26">
        <f t="shared" ref="AG33:AP33" si="43">SUM(AG31:AG32)</f>
        <v>0</v>
      </c>
      <c r="AH33" s="26">
        <f t="shared" si="43"/>
        <v>0</v>
      </c>
      <c r="AI33" s="26">
        <f t="shared" si="43"/>
        <v>0</v>
      </c>
      <c r="AJ33" s="26">
        <f t="shared" si="43"/>
        <v>0</v>
      </c>
      <c r="AK33" s="26">
        <f t="shared" si="43"/>
        <v>0</v>
      </c>
      <c r="AL33" s="26">
        <f t="shared" si="43"/>
        <v>0</v>
      </c>
      <c r="AM33" s="26">
        <f t="shared" si="43"/>
        <v>0</v>
      </c>
      <c r="AN33" s="26">
        <f t="shared" si="43"/>
        <v>0</v>
      </c>
      <c r="AO33" s="26">
        <f t="shared" si="43"/>
        <v>0</v>
      </c>
      <c r="AP33" s="209">
        <f t="shared" si="43"/>
        <v>0</v>
      </c>
      <c r="AQ33" s="192">
        <f t="shared" si="3"/>
        <v>0</v>
      </c>
      <c r="AR33" s="26"/>
      <c r="AS33" s="26">
        <f>SUM(AS31:AS32)</f>
        <v>22328677</v>
      </c>
      <c r="AT33" s="26">
        <f>SUM(AT31:AT32)</f>
        <v>0</v>
      </c>
      <c r="AU33" s="26">
        <f t="shared" ref="AU33:BD33" si="44">SUM(AU31:AU32)</f>
        <v>0</v>
      </c>
      <c r="AV33" s="26">
        <f t="shared" si="44"/>
        <v>0</v>
      </c>
      <c r="AW33" s="26">
        <f t="shared" si="44"/>
        <v>0</v>
      </c>
      <c r="AX33" s="26">
        <f t="shared" si="44"/>
        <v>0</v>
      </c>
      <c r="AY33" s="26">
        <f t="shared" si="44"/>
        <v>0</v>
      </c>
      <c r="AZ33" s="26">
        <f t="shared" si="44"/>
        <v>0</v>
      </c>
      <c r="BA33" s="26">
        <f t="shared" si="44"/>
        <v>0</v>
      </c>
      <c r="BB33" s="26">
        <f t="shared" si="44"/>
        <v>0</v>
      </c>
      <c r="BC33" s="26">
        <f t="shared" si="44"/>
        <v>0</v>
      </c>
      <c r="BD33" s="26">
        <f t="shared" si="44"/>
        <v>0</v>
      </c>
      <c r="BE33" s="192">
        <f t="shared" si="30"/>
        <v>0</v>
      </c>
      <c r="BF33" s="26"/>
      <c r="BG33" s="26">
        <f>SUM(BG31:BG32)</f>
        <v>22328677</v>
      </c>
      <c r="BH33" s="26">
        <f>SUM(BH31:BH32)</f>
        <v>0</v>
      </c>
      <c r="BI33" s="26">
        <f t="shared" ref="BI33:BR33" si="45">SUM(BI31:BI32)</f>
        <v>0</v>
      </c>
      <c r="BJ33" s="26">
        <f t="shared" si="45"/>
        <v>0</v>
      </c>
      <c r="BK33" s="26">
        <f t="shared" si="45"/>
        <v>0</v>
      </c>
      <c r="BL33" s="26">
        <f t="shared" si="45"/>
        <v>0</v>
      </c>
      <c r="BM33" s="26">
        <f t="shared" si="45"/>
        <v>0</v>
      </c>
      <c r="BN33" s="26">
        <f t="shared" si="45"/>
        <v>0</v>
      </c>
      <c r="BO33" s="26">
        <f t="shared" si="45"/>
        <v>0</v>
      </c>
      <c r="BP33" s="26">
        <f t="shared" si="45"/>
        <v>0</v>
      </c>
      <c r="BQ33" s="26">
        <f t="shared" si="45"/>
        <v>0</v>
      </c>
      <c r="BR33" s="26">
        <f t="shared" si="45"/>
        <v>0</v>
      </c>
    </row>
    <row r="34" spans="1:70" ht="12.75" hidden="1" customHeight="1" outlineLevel="3" x14ac:dyDescent="0.2">
      <c r="A34" s="54"/>
      <c r="B34" s="38" t="s">
        <v>84</v>
      </c>
      <c r="C34" s="151" t="s">
        <v>83</v>
      </c>
      <c r="D34" s="40">
        <f t="shared" si="0"/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176">
        <v>0</v>
      </c>
      <c r="Q34" s="191">
        <f t="shared" si="1"/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176">
        <v>0</v>
      </c>
      <c r="AD34" s="225">
        <f t="shared" si="2"/>
        <v>0</v>
      </c>
      <c r="AE34" s="40">
        <v>0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0</v>
      </c>
      <c r="AP34" s="208">
        <v>0</v>
      </c>
      <c r="AQ34" s="191">
        <f t="shared" si="3"/>
        <v>0</v>
      </c>
      <c r="AR34" s="40"/>
      <c r="AS34" s="40">
        <v>0</v>
      </c>
      <c r="AT34" s="40">
        <v>0</v>
      </c>
      <c r="AU34" s="40">
        <v>0</v>
      </c>
      <c r="AV34" s="40">
        <v>0</v>
      </c>
      <c r="AW34" s="40">
        <v>0</v>
      </c>
      <c r="AX34" s="40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0</v>
      </c>
      <c r="BE34" s="191">
        <f t="shared" si="30"/>
        <v>0</v>
      </c>
      <c r="BF34" s="40"/>
      <c r="BG34" s="40">
        <v>0</v>
      </c>
      <c r="BH34" s="40">
        <v>0</v>
      </c>
      <c r="BI34" s="40">
        <v>0</v>
      </c>
      <c r="BJ34" s="40">
        <v>0</v>
      </c>
      <c r="BK34" s="40">
        <v>0</v>
      </c>
      <c r="BL34" s="40">
        <v>0</v>
      </c>
      <c r="BM34" s="40">
        <v>0</v>
      </c>
      <c r="BN34" s="40">
        <v>0</v>
      </c>
      <c r="BO34" s="40">
        <v>0</v>
      </c>
      <c r="BP34" s="40">
        <v>0</v>
      </c>
      <c r="BQ34" s="40">
        <v>0</v>
      </c>
      <c r="BR34" s="40">
        <v>0</v>
      </c>
    </row>
    <row r="35" spans="1:70" ht="12.75" hidden="1" customHeight="1" outlineLevel="3" x14ac:dyDescent="0.2">
      <c r="A35" s="54"/>
      <c r="B35" s="38" t="s">
        <v>82</v>
      </c>
      <c r="C35" s="151" t="s">
        <v>81</v>
      </c>
      <c r="D35" s="40">
        <f t="shared" si="0"/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176">
        <v>0</v>
      </c>
      <c r="Q35" s="191">
        <f t="shared" si="1"/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176">
        <v>0</v>
      </c>
      <c r="AD35" s="225">
        <f t="shared" si="2"/>
        <v>0</v>
      </c>
      <c r="AE35" s="40">
        <v>0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208">
        <v>0</v>
      </c>
      <c r="AQ35" s="191">
        <f t="shared" si="3"/>
        <v>0</v>
      </c>
      <c r="AR35" s="40"/>
      <c r="AS35" s="40">
        <v>0</v>
      </c>
      <c r="AT35" s="40">
        <v>0</v>
      </c>
      <c r="AU35" s="40">
        <v>0</v>
      </c>
      <c r="AV35" s="40">
        <v>0</v>
      </c>
      <c r="AW35" s="40">
        <v>0</v>
      </c>
      <c r="AX35" s="40">
        <v>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191">
        <f t="shared" si="30"/>
        <v>0</v>
      </c>
      <c r="BF35" s="40"/>
      <c r="BG35" s="40">
        <v>0</v>
      </c>
      <c r="BH35" s="40">
        <v>0</v>
      </c>
      <c r="BI35" s="40">
        <v>0</v>
      </c>
      <c r="BJ35" s="40">
        <v>0</v>
      </c>
      <c r="BK35" s="40">
        <v>0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</row>
    <row r="36" spans="1:70" s="6" customFormat="1" hidden="1" outlineLevel="2" x14ac:dyDescent="0.2">
      <c r="A36" s="30"/>
      <c r="B36" s="29" t="s">
        <v>80</v>
      </c>
      <c r="C36" s="152" t="s">
        <v>79</v>
      </c>
      <c r="D36" s="26">
        <f t="shared" si="0"/>
        <v>0</v>
      </c>
      <c r="E36" s="26">
        <f>SUM(E34:E35)</f>
        <v>0</v>
      </c>
      <c r="F36" s="26">
        <f>SUM(F34:F35)</f>
        <v>0</v>
      </c>
      <c r="G36" s="26">
        <f t="shared" ref="G36:P36" si="46">SUM(G34:G35)</f>
        <v>0</v>
      </c>
      <c r="H36" s="26">
        <f t="shared" si="46"/>
        <v>0</v>
      </c>
      <c r="I36" s="26">
        <f t="shared" si="46"/>
        <v>0</v>
      </c>
      <c r="J36" s="26">
        <f t="shared" si="46"/>
        <v>0</v>
      </c>
      <c r="K36" s="26">
        <f t="shared" si="46"/>
        <v>0</v>
      </c>
      <c r="L36" s="26">
        <f t="shared" si="46"/>
        <v>0</v>
      </c>
      <c r="M36" s="26">
        <f t="shared" si="46"/>
        <v>0</v>
      </c>
      <c r="N36" s="26">
        <f t="shared" si="46"/>
        <v>0</v>
      </c>
      <c r="O36" s="26">
        <f t="shared" si="46"/>
        <v>0</v>
      </c>
      <c r="P36" s="177">
        <f t="shared" si="46"/>
        <v>0</v>
      </c>
      <c r="Q36" s="192">
        <f t="shared" si="1"/>
        <v>0</v>
      </c>
      <c r="R36" s="26">
        <f>SUM(R34:R35)</f>
        <v>0</v>
      </c>
      <c r="S36" s="26">
        <f>SUM(S34:S35)</f>
        <v>0</v>
      </c>
      <c r="T36" s="26">
        <f t="shared" ref="T36:AC36" si="47">SUM(T34:T35)</f>
        <v>0</v>
      </c>
      <c r="U36" s="26">
        <f t="shared" si="47"/>
        <v>0</v>
      </c>
      <c r="V36" s="26">
        <f t="shared" si="47"/>
        <v>0</v>
      </c>
      <c r="W36" s="26">
        <f t="shared" si="47"/>
        <v>0</v>
      </c>
      <c r="X36" s="26">
        <f t="shared" si="47"/>
        <v>0</v>
      </c>
      <c r="Y36" s="26">
        <f t="shared" si="47"/>
        <v>0</v>
      </c>
      <c r="Z36" s="26">
        <f t="shared" si="47"/>
        <v>0</v>
      </c>
      <c r="AA36" s="26">
        <f t="shared" si="47"/>
        <v>0</v>
      </c>
      <c r="AB36" s="26">
        <f t="shared" si="47"/>
        <v>0</v>
      </c>
      <c r="AC36" s="177">
        <f t="shared" si="47"/>
        <v>0</v>
      </c>
      <c r="AD36" s="226">
        <f t="shared" si="2"/>
        <v>0</v>
      </c>
      <c r="AE36" s="26">
        <f>SUM(AE34:AE35)</f>
        <v>0</v>
      </c>
      <c r="AF36" s="26">
        <f>SUM(AF34:AF35)</f>
        <v>0</v>
      </c>
      <c r="AG36" s="26">
        <f t="shared" ref="AG36:AP36" si="48">SUM(AG34:AG35)</f>
        <v>0</v>
      </c>
      <c r="AH36" s="26">
        <f t="shared" si="48"/>
        <v>0</v>
      </c>
      <c r="AI36" s="26">
        <f t="shared" si="48"/>
        <v>0</v>
      </c>
      <c r="AJ36" s="26">
        <f t="shared" si="48"/>
        <v>0</v>
      </c>
      <c r="AK36" s="26">
        <f t="shared" si="48"/>
        <v>0</v>
      </c>
      <c r="AL36" s="26">
        <f t="shared" si="48"/>
        <v>0</v>
      </c>
      <c r="AM36" s="26">
        <f t="shared" si="48"/>
        <v>0</v>
      </c>
      <c r="AN36" s="26">
        <f t="shared" si="48"/>
        <v>0</v>
      </c>
      <c r="AO36" s="26">
        <f t="shared" si="48"/>
        <v>0</v>
      </c>
      <c r="AP36" s="209">
        <f t="shared" si="48"/>
        <v>0</v>
      </c>
      <c r="AQ36" s="192">
        <f t="shared" si="3"/>
        <v>0</v>
      </c>
      <c r="AR36" s="26"/>
      <c r="AS36" s="26">
        <f>SUM(AS34:AS35)</f>
        <v>0</v>
      </c>
      <c r="AT36" s="26">
        <f>SUM(AT34:AT35)</f>
        <v>0</v>
      </c>
      <c r="AU36" s="26">
        <f t="shared" ref="AU36:BD36" si="49">SUM(AU34:AU35)</f>
        <v>0</v>
      </c>
      <c r="AV36" s="26">
        <f t="shared" si="49"/>
        <v>0</v>
      </c>
      <c r="AW36" s="26">
        <f t="shared" si="49"/>
        <v>0</v>
      </c>
      <c r="AX36" s="26">
        <f t="shared" si="49"/>
        <v>0</v>
      </c>
      <c r="AY36" s="26">
        <f t="shared" si="49"/>
        <v>0</v>
      </c>
      <c r="AZ36" s="26">
        <f t="shared" si="49"/>
        <v>0</v>
      </c>
      <c r="BA36" s="26">
        <f t="shared" si="49"/>
        <v>0</v>
      </c>
      <c r="BB36" s="26">
        <f t="shared" si="49"/>
        <v>0</v>
      </c>
      <c r="BC36" s="26">
        <f t="shared" si="49"/>
        <v>0</v>
      </c>
      <c r="BD36" s="26">
        <f t="shared" si="49"/>
        <v>0</v>
      </c>
      <c r="BE36" s="192">
        <f t="shared" si="30"/>
        <v>0</v>
      </c>
      <c r="BF36" s="26"/>
      <c r="BG36" s="26">
        <f>SUM(BG34:BG35)</f>
        <v>0</v>
      </c>
      <c r="BH36" s="26">
        <f>SUM(BH34:BH35)</f>
        <v>0</v>
      </c>
      <c r="BI36" s="26">
        <f t="shared" ref="BI36:BR36" si="50">SUM(BI34:BI35)</f>
        <v>0</v>
      </c>
      <c r="BJ36" s="26">
        <f t="shared" si="50"/>
        <v>0</v>
      </c>
      <c r="BK36" s="26">
        <f t="shared" si="50"/>
        <v>0</v>
      </c>
      <c r="BL36" s="26">
        <f t="shared" si="50"/>
        <v>0</v>
      </c>
      <c r="BM36" s="26">
        <f t="shared" si="50"/>
        <v>0</v>
      </c>
      <c r="BN36" s="26">
        <f t="shared" si="50"/>
        <v>0</v>
      </c>
      <c r="BO36" s="26">
        <f t="shared" si="50"/>
        <v>0</v>
      </c>
      <c r="BP36" s="26">
        <f t="shared" si="50"/>
        <v>0</v>
      </c>
      <c r="BQ36" s="26">
        <f t="shared" si="50"/>
        <v>0</v>
      </c>
      <c r="BR36" s="26">
        <f t="shared" si="50"/>
        <v>0</v>
      </c>
    </row>
    <row r="37" spans="1:70" ht="12.75" hidden="1" customHeight="1" outlineLevel="3" x14ac:dyDescent="0.2">
      <c r="B37" s="38" t="s">
        <v>78</v>
      </c>
      <c r="C37" s="151" t="s">
        <v>74</v>
      </c>
      <c r="D37" s="40">
        <f t="shared" si="0"/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176">
        <v>0</v>
      </c>
      <c r="Q37" s="191">
        <f t="shared" si="1"/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176">
        <v>0</v>
      </c>
      <c r="AD37" s="225">
        <f t="shared" si="2"/>
        <v>0</v>
      </c>
      <c r="AE37" s="40">
        <v>0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208">
        <v>0</v>
      </c>
      <c r="AQ37" s="191">
        <f t="shared" si="3"/>
        <v>0</v>
      </c>
      <c r="AR37" s="40"/>
      <c r="AS37" s="40">
        <v>0</v>
      </c>
      <c r="AT37" s="40">
        <v>0</v>
      </c>
      <c r="AU37" s="40">
        <v>0</v>
      </c>
      <c r="AV37" s="40">
        <v>0</v>
      </c>
      <c r="AW37" s="40">
        <v>0</v>
      </c>
      <c r="AX37" s="40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191">
        <f t="shared" si="30"/>
        <v>0</v>
      </c>
      <c r="BF37" s="40"/>
      <c r="BG37" s="40">
        <v>0</v>
      </c>
      <c r="BH37" s="40">
        <v>0</v>
      </c>
      <c r="BI37" s="40">
        <v>0</v>
      </c>
      <c r="BJ37" s="40">
        <v>0</v>
      </c>
      <c r="BK37" s="40">
        <v>0</v>
      </c>
      <c r="BL37" s="40">
        <v>0</v>
      </c>
      <c r="BM37" s="40">
        <v>0</v>
      </c>
      <c r="BN37" s="40">
        <v>0</v>
      </c>
      <c r="BO37" s="40">
        <v>0</v>
      </c>
      <c r="BP37" s="40">
        <v>0</v>
      </c>
      <c r="BQ37" s="40">
        <v>0</v>
      </c>
      <c r="BR37" s="40">
        <v>0</v>
      </c>
    </row>
    <row r="38" spans="1:70" ht="12.75" hidden="1" customHeight="1" outlineLevel="3" x14ac:dyDescent="0.2">
      <c r="B38" s="38" t="s">
        <v>77</v>
      </c>
      <c r="C38" s="151" t="s">
        <v>76</v>
      </c>
      <c r="D38" s="40">
        <f t="shared" si="0"/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176">
        <v>0</v>
      </c>
      <c r="Q38" s="191">
        <f t="shared" si="1"/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176">
        <v>0</v>
      </c>
      <c r="AD38" s="225">
        <f t="shared" si="2"/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208">
        <v>0</v>
      </c>
      <c r="AQ38" s="191">
        <f t="shared" si="3"/>
        <v>0</v>
      </c>
      <c r="AR38" s="40"/>
      <c r="AS38" s="40">
        <v>0</v>
      </c>
      <c r="AT38" s="40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191">
        <f t="shared" si="30"/>
        <v>0</v>
      </c>
      <c r="BF38" s="40"/>
      <c r="BG38" s="40">
        <v>0</v>
      </c>
      <c r="BH38" s="40">
        <v>0</v>
      </c>
      <c r="BI38" s="40">
        <v>0</v>
      </c>
      <c r="BJ38" s="40">
        <v>0</v>
      </c>
      <c r="BK38" s="40">
        <v>0</v>
      </c>
      <c r="BL38" s="40">
        <v>0</v>
      </c>
      <c r="BM38" s="40">
        <v>0</v>
      </c>
      <c r="BN38" s="40">
        <v>0</v>
      </c>
      <c r="BO38" s="40">
        <v>0</v>
      </c>
      <c r="BP38" s="40">
        <v>0</v>
      </c>
      <c r="BQ38" s="40">
        <v>0</v>
      </c>
      <c r="BR38" s="40">
        <v>0</v>
      </c>
    </row>
    <row r="39" spans="1:70" s="6" customFormat="1" hidden="1" outlineLevel="2" x14ac:dyDescent="0.2">
      <c r="B39" s="29" t="s">
        <v>75</v>
      </c>
      <c r="C39" s="152" t="s">
        <v>74</v>
      </c>
      <c r="D39" s="26">
        <f t="shared" si="0"/>
        <v>0</v>
      </c>
      <c r="E39" s="26">
        <f>SUM(E37:E38)</f>
        <v>0</v>
      </c>
      <c r="F39" s="26">
        <f>SUM(F37:F38)</f>
        <v>0</v>
      </c>
      <c r="G39" s="26">
        <f t="shared" ref="G39:P39" si="51">SUM(G37:G38)</f>
        <v>0</v>
      </c>
      <c r="H39" s="26">
        <f t="shared" si="51"/>
        <v>0</v>
      </c>
      <c r="I39" s="26">
        <f t="shared" si="51"/>
        <v>0</v>
      </c>
      <c r="J39" s="26">
        <f t="shared" si="51"/>
        <v>0</v>
      </c>
      <c r="K39" s="26">
        <f t="shared" si="51"/>
        <v>0</v>
      </c>
      <c r="L39" s="26">
        <f t="shared" si="51"/>
        <v>0</v>
      </c>
      <c r="M39" s="26">
        <f t="shared" si="51"/>
        <v>0</v>
      </c>
      <c r="N39" s="26">
        <f t="shared" si="51"/>
        <v>0</v>
      </c>
      <c r="O39" s="26">
        <f t="shared" si="51"/>
        <v>0</v>
      </c>
      <c r="P39" s="177">
        <f t="shared" si="51"/>
        <v>0</v>
      </c>
      <c r="Q39" s="192">
        <f t="shared" si="1"/>
        <v>0</v>
      </c>
      <c r="R39" s="26">
        <f>SUM(R37:R38)</f>
        <v>0</v>
      </c>
      <c r="S39" s="26">
        <f>SUM(S37:S38)</f>
        <v>0</v>
      </c>
      <c r="T39" s="26">
        <f t="shared" ref="T39:AC39" si="52">SUM(T37:T38)</f>
        <v>0</v>
      </c>
      <c r="U39" s="26">
        <f t="shared" si="52"/>
        <v>0</v>
      </c>
      <c r="V39" s="26">
        <f t="shared" si="52"/>
        <v>0</v>
      </c>
      <c r="W39" s="26">
        <f t="shared" si="52"/>
        <v>0</v>
      </c>
      <c r="X39" s="26">
        <f t="shared" si="52"/>
        <v>0</v>
      </c>
      <c r="Y39" s="26">
        <f t="shared" si="52"/>
        <v>0</v>
      </c>
      <c r="Z39" s="26">
        <f t="shared" si="52"/>
        <v>0</v>
      </c>
      <c r="AA39" s="26">
        <f t="shared" si="52"/>
        <v>0</v>
      </c>
      <c r="AB39" s="26">
        <f t="shared" si="52"/>
        <v>0</v>
      </c>
      <c r="AC39" s="177">
        <f t="shared" si="52"/>
        <v>0</v>
      </c>
      <c r="AD39" s="226">
        <f t="shared" si="2"/>
        <v>0</v>
      </c>
      <c r="AE39" s="26">
        <f>SUM(AE37:AE38)</f>
        <v>0</v>
      </c>
      <c r="AF39" s="26">
        <f>SUM(AF37:AF38)</f>
        <v>0</v>
      </c>
      <c r="AG39" s="26">
        <f t="shared" ref="AG39:AP39" si="53">SUM(AG37:AG38)</f>
        <v>0</v>
      </c>
      <c r="AH39" s="26">
        <f t="shared" si="53"/>
        <v>0</v>
      </c>
      <c r="AI39" s="26">
        <f t="shared" si="53"/>
        <v>0</v>
      </c>
      <c r="AJ39" s="26">
        <f t="shared" si="53"/>
        <v>0</v>
      </c>
      <c r="AK39" s="26">
        <f t="shared" si="53"/>
        <v>0</v>
      </c>
      <c r="AL39" s="26">
        <f t="shared" si="53"/>
        <v>0</v>
      </c>
      <c r="AM39" s="26">
        <f t="shared" si="53"/>
        <v>0</v>
      </c>
      <c r="AN39" s="26">
        <f t="shared" si="53"/>
        <v>0</v>
      </c>
      <c r="AO39" s="26">
        <f t="shared" si="53"/>
        <v>0</v>
      </c>
      <c r="AP39" s="209">
        <f t="shared" si="53"/>
        <v>0</v>
      </c>
      <c r="AQ39" s="192">
        <f t="shared" si="3"/>
        <v>0</v>
      </c>
      <c r="AR39" s="26"/>
      <c r="AS39" s="26">
        <f>SUM(AS37:AS38)</f>
        <v>0</v>
      </c>
      <c r="AT39" s="26">
        <f>SUM(AT37:AT38)</f>
        <v>0</v>
      </c>
      <c r="AU39" s="26">
        <f t="shared" ref="AU39:BD39" si="54">SUM(AU37:AU38)</f>
        <v>0</v>
      </c>
      <c r="AV39" s="26">
        <f t="shared" si="54"/>
        <v>0</v>
      </c>
      <c r="AW39" s="26">
        <f t="shared" si="54"/>
        <v>0</v>
      </c>
      <c r="AX39" s="26">
        <f t="shared" si="54"/>
        <v>0</v>
      </c>
      <c r="AY39" s="26">
        <f t="shared" si="54"/>
        <v>0</v>
      </c>
      <c r="AZ39" s="26">
        <f t="shared" si="54"/>
        <v>0</v>
      </c>
      <c r="BA39" s="26">
        <f t="shared" si="54"/>
        <v>0</v>
      </c>
      <c r="BB39" s="26">
        <f t="shared" si="54"/>
        <v>0</v>
      </c>
      <c r="BC39" s="26">
        <f t="shared" si="54"/>
        <v>0</v>
      </c>
      <c r="BD39" s="26">
        <f t="shared" si="54"/>
        <v>0</v>
      </c>
      <c r="BE39" s="192">
        <f t="shared" si="30"/>
        <v>0</v>
      </c>
      <c r="BF39" s="26"/>
      <c r="BG39" s="26">
        <f>SUM(BG37:BG38)</f>
        <v>0</v>
      </c>
      <c r="BH39" s="26">
        <f>SUM(BH37:BH38)</f>
        <v>0</v>
      </c>
      <c r="BI39" s="26">
        <f t="shared" ref="BI39:BR39" si="55">SUM(BI37:BI38)</f>
        <v>0</v>
      </c>
      <c r="BJ39" s="26">
        <f t="shared" si="55"/>
        <v>0</v>
      </c>
      <c r="BK39" s="26">
        <f t="shared" si="55"/>
        <v>0</v>
      </c>
      <c r="BL39" s="26">
        <f t="shared" si="55"/>
        <v>0</v>
      </c>
      <c r="BM39" s="26">
        <f t="shared" si="55"/>
        <v>0</v>
      </c>
      <c r="BN39" s="26">
        <f t="shared" si="55"/>
        <v>0</v>
      </c>
      <c r="BO39" s="26">
        <f t="shared" si="55"/>
        <v>0</v>
      </c>
      <c r="BP39" s="26">
        <f t="shared" si="55"/>
        <v>0</v>
      </c>
      <c r="BQ39" s="26">
        <f t="shared" si="55"/>
        <v>0</v>
      </c>
      <c r="BR39" s="26">
        <f t="shared" si="55"/>
        <v>0</v>
      </c>
    </row>
    <row r="40" spans="1:70" s="6" customFormat="1" outlineLevel="1" collapsed="1" x14ac:dyDescent="0.2">
      <c r="A40" s="30"/>
      <c r="B40" s="51" t="s">
        <v>73</v>
      </c>
      <c r="C40" s="155" t="s">
        <v>72</v>
      </c>
      <c r="D40" s="45">
        <f t="shared" si="0"/>
        <v>22448677</v>
      </c>
      <c r="E40" s="45">
        <f>E30+E33+E36+E39</f>
        <v>22448677</v>
      </c>
      <c r="F40" s="45">
        <f>F30+F33+F36+F39</f>
        <v>0</v>
      </c>
      <c r="G40" s="45">
        <f t="shared" ref="G40:P40" si="56">G30+G33+G36+G39</f>
        <v>0</v>
      </c>
      <c r="H40" s="45">
        <f t="shared" si="56"/>
        <v>0</v>
      </c>
      <c r="I40" s="45">
        <f t="shared" si="56"/>
        <v>0</v>
      </c>
      <c r="J40" s="45">
        <f t="shared" si="56"/>
        <v>0</v>
      </c>
      <c r="K40" s="45">
        <f t="shared" si="56"/>
        <v>0</v>
      </c>
      <c r="L40" s="45">
        <f t="shared" si="56"/>
        <v>0</v>
      </c>
      <c r="M40" s="45">
        <f t="shared" si="56"/>
        <v>0</v>
      </c>
      <c r="N40" s="45">
        <f t="shared" si="56"/>
        <v>0</v>
      </c>
      <c r="O40" s="45">
        <f t="shared" si="56"/>
        <v>0</v>
      </c>
      <c r="P40" s="178">
        <f t="shared" si="56"/>
        <v>0</v>
      </c>
      <c r="Q40" s="193">
        <f t="shared" si="1"/>
        <v>22448677</v>
      </c>
      <c r="R40" s="45">
        <f>R30+R33+R36+R39</f>
        <v>22448677</v>
      </c>
      <c r="S40" s="45">
        <f>S30+S33+S36+S39</f>
        <v>0</v>
      </c>
      <c r="T40" s="45">
        <f t="shared" ref="T40:AC40" si="57">T30+T33+T36+T39</f>
        <v>0</v>
      </c>
      <c r="U40" s="45">
        <f t="shared" si="57"/>
        <v>0</v>
      </c>
      <c r="V40" s="45">
        <f t="shared" si="57"/>
        <v>0</v>
      </c>
      <c r="W40" s="45">
        <f t="shared" si="57"/>
        <v>0</v>
      </c>
      <c r="X40" s="45">
        <f t="shared" si="57"/>
        <v>0</v>
      </c>
      <c r="Y40" s="45">
        <f t="shared" si="57"/>
        <v>0</v>
      </c>
      <c r="Z40" s="45">
        <f t="shared" si="57"/>
        <v>0</v>
      </c>
      <c r="AA40" s="45">
        <f t="shared" si="57"/>
        <v>0</v>
      </c>
      <c r="AB40" s="45">
        <f t="shared" si="57"/>
        <v>0</v>
      </c>
      <c r="AC40" s="178">
        <f t="shared" si="57"/>
        <v>0</v>
      </c>
      <c r="AD40" s="227">
        <f t="shared" si="2"/>
        <v>22448677</v>
      </c>
      <c r="AE40" s="45">
        <f>AE30+AE33+AE36+AE39</f>
        <v>22448677</v>
      </c>
      <c r="AF40" s="45">
        <f>AF30+AF33+AF36+AF39</f>
        <v>0</v>
      </c>
      <c r="AG40" s="45">
        <f t="shared" ref="AG40:AP40" si="58">AG30+AG33+AG36+AG39</f>
        <v>0</v>
      </c>
      <c r="AH40" s="45">
        <f t="shared" si="58"/>
        <v>0</v>
      </c>
      <c r="AI40" s="45">
        <f t="shared" si="58"/>
        <v>0</v>
      </c>
      <c r="AJ40" s="45">
        <f t="shared" si="58"/>
        <v>0</v>
      </c>
      <c r="AK40" s="45">
        <f t="shared" si="58"/>
        <v>0</v>
      </c>
      <c r="AL40" s="45">
        <f t="shared" si="58"/>
        <v>0</v>
      </c>
      <c r="AM40" s="45">
        <f t="shared" si="58"/>
        <v>0</v>
      </c>
      <c r="AN40" s="45">
        <f t="shared" si="58"/>
        <v>0</v>
      </c>
      <c r="AO40" s="45">
        <f t="shared" si="58"/>
        <v>0</v>
      </c>
      <c r="AP40" s="210">
        <f t="shared" si="58"/>
        <v>0</v>
      </c>
      <c r="AQ40" s="193">
        <f t="shared" si="3"/>
        <v>0</v>
      </c>
      <c r="AR40" s="45"/>
      <c r="AS40" s="45">
        <f>AS30+AS33+AS36+AS39</f>
        <v>22448677</v>
      </c>
      <c r="AT40" s="45">
        <f>AT30+AT33+AT36+AT39</f>
        <v>0</v>
      </c>
      <c r="AU40" s="45">
        <f t="shared" ref="AU40:BD40" si="59">AU30+AU33+AU36+AU39</f>
        <v>0</v>
      </c>
      <c r="AV40" s="45">
        <f t="shared" si="59"/>
        <v>0</v>
      </c>
      <c r="AW40" s="45">
        <f t="shared" si="59"/>
        <v>0</v>
      </c>
      <c r="AX40" s="45">
        <f t="shared" si="59"/>
        <v>0</v>
      </c>
      <c r="AY40" s="45">
        <f t="shared" si="59"/>
        <v>0</v>
      </c>
      <c r="AZ40" s="45">
        <f t="shared" si="59"/>
        <v>0</v>
      </c>
      <c r="BA40" s="45">
        <f t="shared" si="59"/>
        <v>0</v>
      </c>
      <c r="BB40" s="45">
        <f t="shared" si="59"/>
        <v>0</v>
      </c>
      <c r="BC40" s="45">
        <f t="shared" si="59"/>
        <v>0</v>
      </c>
      <c r="BD40" s="45">
        <f t="shared" si="59"/>
        <v>0</v>
      </c>
      <c r="BE40" s="193">
        <f t="shared" si="30"/>
        <v>0</v>
      </c>
      <c r="BF40" s="45"/>
      <c r="BG40" s="45">
        <f>BG30+BG33+BG36+BG39</f>
        <v>22448677</v>
      </c>
      <c r="BH40" s="45">
        <f>BH30+BH33+BH36+BH39</f>
        <v>0</v>
      </c>
      <c r="BI40" s="45">
        <f t="shared" ref="BI40:BR40" si="60">BI30+BI33+BI36+BI39</f>
        <v>0</v>
      </c>
      <c r="BJ40" s="45">
        <f t="shared" si="60"/>
        <v>0</v>
      </c>
      <c r="BK40" s="45">
        <f t="shared" si="60"/>
        <v>0</v>
      </c>
      <c r="BL40" s="45">
        <f t="shared" si="60"/>
        <v>0</v>
      </c>
      <c r="BM40" s="45">
        <f t="shared" si="60"/>
        <v>0</v>
      </c>
      <c r="BN40" s="45">
        <f t="shared" si="60"/>
        <v>0</v>
      </c>
      <c r="BO40" s="45">
        <f t="shared" si="60"/>
        <v>0</v>
      </c>
      <c r="BP40" s="45">
        <f t="shared" si="60"/>
        <v>0</v>
      </c>
      <c r="BQ40" s="45">
        <f t="shared" si="60"/>
        <v>0</v>
      </c>
      <c r="BR40" s="45">
        <f t="shared" si="60"/>
        <v>0</v>
      </c>
    </row>
    <row r="41" spans="1:70" ht="12.75" hidden="1" customHeight="1" outlineLevel="3" x14ac:dyDescent="0.2">
      <c r="B41" s="38" t="s">
        <v>71</v>
      </c>
      <c r="C41" s="151" t="s">
        <v>70</v>
      </c>
      <c r="D41" s="40">
        <f t="shared" si="0"/>
        <v>11215250</v>
      </c>
      <c r="E41" s="40">
        <f>33645750/3</f>
        <v>11215250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176">
        <v>0</v>
      </c>
      <c r="Q41" s="191">
        <f t="shared" si="1"/>
        <v>11215250</v>
      </c>
      <c r="R41" s="40">
        <f>33645750/3</f>
        <v>11215250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176">
        <v>0</v>
      </c>
      <c r="AD41" s="225">
        <f t="shared" si="2"/>
        <v>11215250</v>
      </c>
      <c r="AE41" s="40">
        <f>33645750/3</f>
        <v>11215250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208">
        <v>0</v>
      </c>
      <c r="AQ41" s="191">
        <f t="shared" si="3"/>
        <v>0</v>
      </c>
      <c r="AR41" s="40"/>
      <c r="AS41" s="40">
        <f>33645750/3</f>
        <v>11215250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191">
        <f t="shared" si="30"/>
        <v>0</v>
      </c>
      <c r="BF41" s="40"/>
      <c r="BG41" s="40">
        <f>33645750/3</f>
        <v>11215250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</row>
    <row r="42" spans="1:70" ht="12.75" hidden="1" customHeight="1" outlineLevel="3" x14ac:dyDescent="0.2">
      <c r="B42" s="38" t="s">
        <v>69</v>
      </c>
      <c r="C42" s="151" t="s">
        <v>68</v>
      </c>
      <c r="D42" s="40">
        <f t="shared" si="0"/>
        <v>2074821.25</v>
      </c>
      <c r="E42" s="40">
        <f>6224463.75/3</f>
        <v>2074821.25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176">
        <v>0</v>
      </c>
      <c r="Q42" s="191">
        <f t="shared" si="1"/>
        <v>2074821.25</v>
      </c>
      <c r="R42" s="40">
        <f>6224463.75/3</f>
        <v>2074821.25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176">
        <v>0</v>
      </c>
      <c r="AD42" s="225">
        <f t="shared" si="2"/>
        <v>2074821.25</v>
      </c>
      <c r="AE42" s="40">
        <f>6224463.75/3</f>
        <v>2074821.25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208">
        <v>0</v>
      </c>
      <c r="AQ42" s="191">
        <f t="shared" si="3"/>
        <v>0</v>
      </c>
      <c r="AR42" s="40"/>
      <c r="AS42" s="40">
        <f>6224463.75/3</f>
        <v>2074821.25</v>
      </c>
      <c r="AT42" s="40">
        <v>0</v>
      </c>
      <c r="AU42" s="40">
        <v>0</v>
      </c>
      <c r="AV42" s="40">
        <v>0</v>
      </c>
      <c r="AW42" s="40">
        <v>0</v>
      </c>
      <c r="AX42" s="40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191">
        <f t="shared" si="30"/>
        <v>0</v>
      </c>
      <c r="BF42" s="40"/>
      <c r="BG42" s="40">
        <f>6224463.75/3</f>
        <v>2074821.25</v>
      </c>
      <c r="BH42" s="40">
        <v>0</v>
      </c>
      <c r="BI42" s="40">
        <v>0</v>
      </c>
      <c r="BJ42" s="40">
        <v>0</v>
      </c>
      <c r="BK42" s="40">
        <v>0</v>
      </c>
      <c r="BL42" s="40">
        <v>0</v>
      </c>
      <c r="BM42" s="40">
        <v>0</v>
      </c>
      <c r="BN42" s="40">
        <v>0</v>
      </c>
      <c r="BO42" s="40">
        <v>0</v>
      </c>
      <c r="BP42" s="40">
        <v>0</v>
      </c>
      <c r="BQ42" s="40">
        <v>0</v>
      </c>
      <c r="BR42" s="40">
        <v>0</v>
      </c>
    </row>
    <row r="43" spans="1:70" s="6" customFormat="1" hidden="1" outlineLevel="2" x14ac:dyDescent="0.2">
      <c r="A43" s="30"/>
      <c r="B43" s="29" t="s">
        <v>67</v>
      </c>
      <c r="C43" s="42" t="s">
        <v>66</v>
      </c>
      <c r="D43" s="26">
        <f t="shared" si="0"/>
        <v>13290071.25</v>
      </c>
      <c r="E43" s="26">
        <f>SUM(E41:E42)</f>
        <v>13290071.25</v>
      </c>
      <c r="F43" s="26">
        <f>SUM(F41:F42)</f>
        <v>0</v>
      </c>
      <c r="G43" s="26">
        <f t="shared" ref="G43:P43" si="61">SUM(G41:G42)</f>
        <v>0</v>
      </c>
      <c r="H43" s="26">
        <f t="shared" si="61"/>
        <v>0</v>
      </c>
      <c r="I43" s="26">
        <f t="shared" si="61"/>
        <v>0</v>
      </c>
      <c r="J43" s="26">
        <f t="shared" si="61"/>
        <v>0</v>
      </c>
      <c r="K43" s="26">
        <f t="shared" si="61"/>
        <v>0</v>
      </c>
      <c r="L43" s="26">
        <f t="shared" si="61"/>
        <v>0</v>
      </c>
      <c r="M43" s="26">
        <f t="shared" si="61"/>
        <v>0</v>
      </c>
      <c r="N43" s="26">
        <f t="shared" si="61"/>
        <v>0</v>
      </c>
      <c r="O43" s="26">
        <f t="shared" si="61"/>
        <v>0</v>
      </c>
      <c r="P43" s="177">
        <f t="shared" si="61"/>
        <v>0</v>
      </c>
      <c r="Q43" s="192">
        <f t="shared" si="1"/>
        <v>13290071.25</v>
      </c>
      <c r="R43" s="26">
        <f>SUM(R41:R42)</f>
        <v>13290071.25</v>
      </c>
      <c r="S43" s="26">
        <f>SUM(S41:S42)</f>
        <v>0</v>
      </c>
      <c r="T43" s="26">
        <f t="shared" ref="T43:AC43" si="62">SUM(T41:T42)</f>
        <v>0</v>
      </c>
      <c r="U43" s="26">
        <f t="shared" si="62"/>
        <v>0</v>
      </c>
      <c r="V43" s="26">
        <f t="shared" si="62"/>
        <v>0</v>
      </c>
      <c r="W43" s="26">
        <f t="shared" si="62"/>
        <v>0</v>
      </c>
      <c r="X43" s="26">
        <f t="shared" si="62"/>
        <v>0</v>
      </c>
      <c r="Y43" s="26">
        <f t="shared" si="62"/>
        <v>0</v>
      </c>
      <c r="Z43" s="26">
        <f t="shared" si="62"/>
        <v>0</v>
      </c>
      <c r="AA43" s="26">
        <f t="shared" si="62"/>
        <v>0</v>
      </c>
      <c r="AB43" s="26">
        <f t="shared" si="62"/>
        <v>0</v>
      </c>
      <c r="AC43" s="177">
        <f t="shared" si="62"/>
        <v>0</v>
      </c>
      <c r="AD43" s="226">
        <f t="shared" si="2"/>
        <v>13290071.25</v>
      </c>
      <c r="AE43" s="26">
        <f>SUM(AE41:AE42)</f>
        <v>13290071.25</v>
      </c>
      <c r="AF43" s="26">
        <f>SUM(AF41:AF42)</f>
        <v>0</v>
      </c>
      <c r="AG43" s="26">
        <f t="shared" ref="AG43:AP43" si="63">SUM(AG41:AG42)</f>
        <v>0</v>
      </c>
      <c r="AH43" s="26">
        <f t="shared" si="63"/>
        <v>0</v>
      </c>
      <c r="AI43" s="26">
        <f t="shared" si="63"/>
        <v>0</v>
      </c>
      <c r="AJ43" s="26">
        <f t="shared" si="63"/>
        <v>0</v>
      </c>
      <c r="AK43" s="26">
        <f t="shared" si="63"/>
        <v>0</v>
      </c>
      <c r="AL43" s="26">
        <f t="shared" si="63"/>
        <v>0</v>
      </c>
      <c r="AM43" s="26">
        <f t="shared" si="63"/>
        <v>0</v>
      </c>
      <c r="AN43" s="26">
        <f t="shared" si="63"/>
        <v>0</v>
      </c>
      <c r="AO43" s="26">
        <f t="shared" si="63"/>
        <v>0</v>
      </c>
      <c r="AP43" s="209">
        <f t="shared" si="63"/>
        <v>0</v>
      </c>
      <c r="AQ43" s="192">
        <f t="shared" si="3"/>
        <v>0</v>
      </c>
      <c r="AR43" s="26"/>
      <c r="AS43" s="26">
        <f>SUM(AS41:AS42)</f>
        <v>13290071.25</v>
      </c>
      <c r="AT43" s="26">
        <f>SUM(AT41:AT42)</f>
        <v>0</v>
      </c>
      <c r="AU43" s="26">
        <f t="shared" ref="AU43:BD43" si="64">SUM(AU41:AU42)</f>
        <v>0</v>
      </c>
      <c r="AV43" s="26">
        <f t="shared" si="64"/>
        <v>0</v>
      </c>
      <c r="AW43" s="26">
        <f t="shared" si="64"/>
        <v>0</v>
      </c>
      <c r="AX43" s="26">
        <f t="shared" si="64"/>
        <v>0</v>
      </c>
      <c r="AY43" s="26">
        <f t="shared" si="64"/>
        <v>0</v>
      </c>
      <c r="AZ43" s="26">
        <f t="shared" si="64"/>
        <v>0</v>
      </c>
      <c r="BA43" s="26">
        <f t="shared" si="64"/>
        <v>0</v>
      </c>
      <c r="BB43" s="26">
        <f t="shared" si="64"/>
        <v>0</v>
      </c>
      <c r="BC43" s="26">
        <f t="shared" si="64"/>
        <v>0</v>
      </c>
      <c r="BD43" s="26">
        <f t="shared" si="64"/>
        <v>0</v>
      </c>
      <c r="BE43" s="192">
        <f t="shared" si="30"/>
        <v>0</v>
      </c>
      <c r="BF43" s="26"/>
      <c r="BG43" s="26">
        <f>SUM(BG41:BG42)</f>
        <v>13290071.25</v>
      </c>
      <c r="BH43" s="26">
        <f>SUM(BH41:BH42)</f>
        <v>0</v>
      </c>
      <c r="BI43" s="26">
        <f t="shared" ref="BI43:BR43" si="65">SUM(BI41:BI42)</f>
        <v>0</v>
      </c>
      <c r="BJ43" s="26">
        <f t="shared" si="65"/>
        <v>0</v>
      </c>
      <c r="BK43" s="26">
        <f t="shared" si="65"/>
        <v>0</v>
      </c>
      <c r="BL43" s="26">
        <f t="shared" si="65"/>
        <v>0</v>
      </c>
      <c r="BM43" s="26">
        <f t="shared" si="65"/>
        <v>0</v>
      </c>
      <c r="BN43" s="26">
        <f t="shared" si="65"/>
        <v>0</v>
      </c>
      <c r="BO43" s="26">
        <f t="shared" si="65"/>
        <v>0</v>
      </c>
      <c r="BP43" s="26">
        <f t="shared" si="65"/>
        <v>0</v>
      </c>
      <c r="BQ43" s="26">
        <f t="shared" si="65"/>
        <v>0</v>
      </c>
      <c r="BR43" s="26">
        <f t="shared" si="65"/>
        <v>0</v>
      </c>
    </row>
    <row r="44" spans="1:70" ht="12.75" hidden="1" customHeight="1" outlineLevel="3" x14ac:dyDescent="0.2">
      <c r="B44" s="38" t="s">
        <v>65</v>
      </c>
      <c r="C44" s="37" t="s">
        <v>64</v>
      </c>
      <c r="D44" s="40">
        <f t="shared" si="0"/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176">
        <v>0</v>
      </c>
      <c r="Q44" s="191">
        <f t="shared" ref="Q44:Q66" si="66">SUM(R44:AC44)</f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176">
        <v>0</v>
      </c>
      <c r="AD44" s="225">
        <f t="shared" ref="AD44:AD66" si="67">SUM(AE44:AP44)</f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0</v>
      </c>
      <c r="AP44" s="208">
        <v>0</v>
      </c>
      <c r="AQ44" s="191">
        <f t="shared" si="3"/>
        <v>0</v>
      </c>
      <c r="AR44" s="40"/>
      <c r="AS44" s="40">
        <v>0</v>
      </c>
      <c r="AT44" s="40">
        <v>0</v>
      </c>
      <c r="AU44" s="40">
        <v>0</v>
      </c>
      <c r="AV44" s="40">
        <v>0</v>
      </c>
      <c r="AW44" s="40">
        <v>0</v>
      </c>
      <c r="AX44" s="40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40">
        <v>0</v>
      </c>
      <c r="BE44" s="191">
        <f t="shared" si="30"/>
        <v>0</v>
      </c>
      <c r="BF44" s="40"/>
      <c r="BG44" s="40">
        <v>0</v>
      </c>
      <c r="BH44" s="40">
        <v>0</v>
      </c>
      <c r="BI44" s="40">
        <v>0</v>
      </c>
      <c r="BJ44" s="40">
        <v>0</v>
      </c>
      <c r="BK44" s="40">
        <v>0</v>
      </c>
      <c r="BL44" s="40">
        <v>0</v>
      </c>
      <c r="BM44" s="40">
        <v>0</v>
      </c>
      <c r="BN44" s="40">
        <v>0</v>
      </c>
      <c r="BO44" s="40">
        <v>0</v>
      </c>
      <c r="BP44" s="40">
        <v>0</v>
      </c>
      <c r="BQ44" s="40">
        <v>0</v>
      </c>
      <c r="BR44" s="40">
        <v>0</v>
      </c>
    </row>
    <row r="45" spans="1:70" ht="12.75" hidden="1" customHeight="1" outlineLevel="3" x14ac:dyDescent="0.2">
      <c r="B45" s="38" t="s">
        <v>63</v>
      </c>
      <c r="C45" s="37" t="s">
        <v>62</v>
      </c>
      <c r="D45" s="40">
        <f t="shared" si="0"/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176">
        <v>0</v>
      </c>
      <c r="Q45" s="191">
        <f t="shared" si="66"/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176">
        <v>0</v>
      </c>
      <c r="AD45" s="225">
        <f t="shared" si="67"/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208">
        <v>0</v>
      </c>
      <c r="AQ45" s="191">
        <f t="shared" si="3"/>
        <v>0</v>
      </c>
      <c r="AR45" s="40"/>
      <c r="AS45" s="40">
        <v>0</v>
      </c>
      <c r="AT45" s="40">
        <v>0</v>
      </c>
      <c r="AU45" s="40">
        <v>0</v>
      </c>
      <c r="AV45" s="40">
        <v>0</v>
      </c>
      <c r="AW45" s="40">
        <v>0</v>
      </c>
      <c r="AX45" s="40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191">
        <f t="shared" si="30"/>
        <v>0</v>
      </c>
      <c r="BF45" s="40"/>
      <c r="BG45" s="40">
        <v>0</v>
      </c>
      <c r="BH45" s="40">
        <v>0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0">
        <v>0</v>
      </c>
      <c r="BP45" s="40">
        <v>0</v>
      </c>
      <c r="BQ45" s="40">
        <v>0</v>
      </c>
      <c r="BR45" s="40">
        <v>0</v>
      </c>
    </row>
    <row r="46" spans="1:70" s="6" customFormat="1" hidden="1" outlineLevel="2" x14ac:dyDescent="0.2">
      <c r="A46" s="30"/>
      <c r="B46" s="29" t="s">
        <v>61</v>
      </c>
      <c r="C46" s="42" t="s">
        <v>60</v>
      </c>
      <c r="D46" s="26">
        <f t="shared" si="0"/>
        <v>0</v>
      </c>
      <c r="E46" s="26">
        <f>SUM(E44:E45)</f>
        <v>0</v>
      </c>
      <c r="F46" s="26">
        <f>SUM(F44:F45)</f>
        <v>0</v>
      </c>
      <c r="G46" s="26">
        <f t="shared" ref="G46:P46" si="68">SUM(G44:G45)</f>
        <v>0</v>
      </c>
      <c r="H46" s="26">
        <f t="shared" si="68"/>
        <v>0</v>
      </c>
      <c r="I46" s="26">
        <f t="shared" si="68"/>
        <v>0</v>
      </c>
      <c r="J46" s="26">
        <f t="shared" si="68"/>
        <v>0</v>
      </c>
      <c r="K46" s="26">
        <f t="shared" si="68"/>
        <v>0</v>
      </c>
      <c r="L46" s="26">
        <f t="shared" si="68"/>
        <v>0</v>
      </c>
      <c r="M46" s="26">
        <f t="shared" si="68"/>
        <v>0</v>
      </c>
      <c r="N46" s="26">
        <f t="shared" si="68"/>
        <v>0</v>
      </c>
      <c r="O46" s="26">
        <f t="shared" si="68"/>
        <v>0</v>
      </c>
      <c r="P46" s="177">
        <f t="shared" si="68"/>
        <v>0</v>
      </c>
      <c r="Q46" s="192">
        <f t="shared" si="66"/>
        <v>0</v>
      </c>
      <c r="R46" s="26">
        <f>SUM(R44:R45)</f>
        <v>0</v>
      </c>
      <c r="S46" s="26">
        <f>SUM(S44:S45)</f>
        <v>0</v>
      </c>
      <c r="T46" s="26">
        <f t="shared" ref="T46:AC46" si="69">SUM(T44:T45)</f>
        <v>0</v>
      </c>
      <c r="U46" s="26">
        <f t="shared" si="69"/>
        <v>0</v>
      </c>
      <c r="V46" s="26">
        <f t="shared" si="69"/>
        <v>0</v>
      </c>
      <c r="W46" s="26">
        <f t="shared" si="69"/>
        <v>0</v>
      </c>
      <c r="X46" s="26">
        <f t="shared" si="69"/>
        <v>0</v>
      </c>
      <c r="Y46" s="26">
        <f t="shared" si="69"/>
        <v>0</v>
      </c>
      <c r="Z46" s="26">
        <f t="shared" si="69"/>
        <v>0</v>
      </c>
      <c r="AA46" s="26">
        <f t="shared" si="69"/>
        <v>0</v>
      </c>
      <c r="AB46" s="26">
        <f t="shared" si="69"/>
        <v>0</v>
      </c>
      <c r="AC46" s="177">
        <f t="shared" si="69"/>
        <v>0</v>
      </c>
      <c r="AD46" s="226">
        <f t="shared" si="67"/>
        <v>0</v>
      </c>
      <c r="AE46" s="26">
        <f>SUM(AE44:AE45)</f>
        <v>0</v>
      </c>
      <c r="AF46" s="26">
        <f>SUM(AF44:AF45)</f>
        <v>0</v>
      </c>
      <c r="AG46" s="26">
        <f t="shared" ref="AG46:AP46" si="70">SUM(AG44:AG45)</f>
        <v>0</v>
      </c>
      <c r="AH46" s="26">
        <f t="shared" si="70"/>
        <v>0</v>
      </c>
      <c r="AI46" s="26">
        <f t="shared" si="70"/>
        <v>0</v>
      </c>
      <c r="AJ46" s="26">
        <f t="shared" si="70"/>
        <v>0</v>
      </c>
      <c r="AK46" s="26">
        <f t="shared" si="70"/>
        <v>0</v>
      </c>
      <c r="AL46" s="26">
        <f t="shared" si="70"/>
        <v>0</v>
      </c>
      <c r="AM46" s="26">
        <f t="shared" si="70"/>
        <v>0</v>
      </c>
      <c r="AN46" s="26">
        <f t="shared" si="70"/>
        <v>0</v>
      </c>
      <c r="AO46" s="26">
        <f t="shared" si="70"/>
        <v>0</v>
      </c>
      <c r="AP46" s="209">
        <f t="shared" si="70"/>
        <v>0</v>
      </c>
      <c r="AQ46" s="192">
        <f t="shared" si="3"/>
        <v>0</v>
      </c>
      <c r="AR46" s="26"/>
      <c r="AS46" s="26">
        <f>SUM(AS44:AS45)</f>
        <v>0</v>
      </c>
      <c r="AT46" s="26">
        <f>SUM(AT44:AT45)</f>
        <v>0</v>
      </c>
      <c r="AU46" s="26">
        <f t="shared" ref="AU46:BD46" si="71">SUM(AU44:AU45)</f>
        <v>0</v>
      </c>
      <c r="AV46" s="26">
        <f t="shared" si="71"/>
        <v>0</v>
      </c>
      <c r="AW46" s="26">
        <f t="shared" si="71"/>
        <v>0</v>
      </c>
      <c r="AX46" s="26">
        <f t="shared" si="71"/>
        <v>0</v>
      </c>
      <c r="AY46" s="26">
        <f t="shared" si="71"/>
        <v>0</v>
      </c>
      <c r="AZ46" s="26">
        <f t="shared" si="71"/>
        <v>0</v>
      </c>
      <c r="BA46" s="26">
        <f t="shared" si="71"/>
        <v>0</v>
      </c>
      <c r="BB46" s="26">
        <f t="shared" si="71"/>
        <v>0</v>
      </c>
      <c r="BC46" s="26">
        <f t="shared" si="71"/>
        <v>0</v>
      </c>
      <c r="BD46" s="26">
        <f t="shared" si="71"/>
        <v>0</v>
      </c>
      <c r="BE46" s="192">
        <f t="shared" si="30"/>
        <v>0</v>
      </c>
      <c r="BF46" s="26"/>
      <c r="BG46" s="26">
        <f>SUM(BG44:BG45)</f>
        <v>0</v>
      </c>
      <c r="BH46" s="26">
        <f>SUM(BH44:BH45)</f>
        <v>0</v>
      </c>
      <c r="BI46" s="26">
        <f t="shared" ref="BI46:BR46" si="72">SUM(BI44:BI45)</f>
        <v>0</v>
      </c>
      <c r="BJ46" s="26">
        <f t="shared" si="72"/>
        <v>0</v>
      </c>
      <c r="BK46" s="26">
        <f t="shared" si="72"/>
        <v>0</v>
      </c>
      <c r="BL46" s="26">
        <f t="shared" si="72"/>
        <v>0</v>
      </c>
      <c r="BM46" s="26">
        <f t="shared" si="72"/>
        <v>0</v>
      </c>
      <c r="BN46" s="26">
        <f t="shared" si="72"/>
        <v>0</v>
      </c>
      <c r="BO46" s="26">
        <f t="shared" si="72"/>
        <v>0</v>
      </c>
      <c r="BP46" s="26">
        <f t="shared" si="72"/>
        <v>0</v>
      </c>
      <c r="BQ46" s="26">
        <f t="shared" si="72"/>
        <v>0</v>
      </c>
      <c r="BR46" s="26">
        <f t="shared" si="72"/>
        <v>0</v>
      </c>
    </row>
    <row r="47" spans="1:70" ht="12.75" hidden="1" customHeight="1" outlineLevel="3" x14ac:dyDescent="0.2">
      <c r="B47" s="38" t="s">
        <v>59</v>
      </c>
      <c r="C47" s="37" t="s">
        <v>58</v>
      </c>
      <c r="D47" s="40">
        <f t="shared" si="0"/>
        <v>123367750</v>
      </c>
      <c r="E47" s="40">
        <v>0</v>
      </c>
      <c r="F47" s="40">
        <f>33645750/3</f>
        <v>11215250</v>
      </c>
      <c r="G47" s="40">
        <f t="shared" ref="G47:P47" si="73">33645750/3</f>
        <v>11215250</v>
      </c>
      <c r="H47" s="40">
        <f t="shared" si="73"/>
        <v>11215250</v>
      </c>
      <c r="I47" s="40">
        <f t="shared" si="73"/>
        <v>11215250</v>
      </c>
      <c r="J47" s="40">
        <f t="shared" si="73"/>
        <v>11215250</v>
      </c>
      <c r="K47" s="40">
        <f t="shared" si="73"/>
        <v>11215250</v>
      </c>
      <c r="L47" s="40">
        <f t="shared" si="73"/>
        <v>11215250</v>
      </c>
      <c r="M47" s="40">
        <f t="shared" si="73"/>
        <v>11215250</v>
      </c>
      <c r="N47" s="40">
        <f t="shared" si="73"/>
        <v>11215250</v>
      </c>
      <c r="O47" s="40">
        <f t="shared" si="73"/>
        <v>11215250</v>
      </c>
      <c r="P47" s="176">
        <f t="shared" si="73"/>
        <v>11215250</v>
      </c>
      <c r="Q47" s="191">
        <f t="shared" si="66"/>
        <v>123367750</v>
      </c>
      <c r="R47" s="40">
        <v>0</v>
      </c>
      <c r="S47" s="40">
        <f>33645750/3</f>
        <v>11215250</v>
      </c>
      <c r="T47" s="40">
        <f t="shared" ref="T47:AC47" si="74">33645750/3</f>
        <v>11215250</v>
      </c>
      <c r="U47" s="40">
        <f t="shared" si="74"/>
        <v>11215250</v>
      </c>
      <c r="V47" s="40">
        <f t="shared" si="74"/>
        <v>11215250</v>
      </c>
      <c r="W47" s="40">
        <f t="shared" si="74"/>
        <v>11215250</v>
      </c>
      <c r="X47" s="40">
        <f t="shared" si="74"/>
        <v>11215250</v>
      </c>
      <c r="Y47" s="40">
        <f t="shared" si="74"/>
        <v>11215250</v>
      </c>
      <c r="Z47" s="40">
        <f t="shared" si="74"/>
        <v>11215250</v>
      </c>
      <c r="AA47" s="40">
        <f t="shared" si="74"/>
        <v>11215250</v>
      </c>
      <c r="AB47" s="40">
        <f t="shared" si="74"/>
        <v>11215250</v>
      </c>
      <c r="AC47" s="176">
        <f t="shared" si="74"/>
        <v>11215250</v>
      </c>
      <c r="AD47" s="225">
        <f t="shared" si="67"/>
        <v>123367750</v>
      </c>
      <c r="AE47" s="40">
        <v>0</v>
      </c>
      <c r="AF47" s="40">
        <f>33645750/3</f>
        <v>11215250</v>
      </c>
      <c r="AG47" s="40">
        <f t="shared" ref="AG47:AP47" si="75">33645750/3</f>
        <v>11215250</v>
      </c>
      <c r="AH47" s="40">
        <f t="shared" si="75"/>
        <v>11215250</v>
      </c>
      <c r="AI47" s="40">
        <f t="shared" si="75"/>
        <v>11215250</v>
      </c>
      <c r="AJ47" s="40">
        <f t="shared" si="75"/>
        <v>11215250</v>
      </c>
      <c r="AK47" s="40">
        <f t="shared" si="75"/>
        <v>11215250</v>
      </c>
      <c r="AL47" s="40">
        <f t="shared" si="75"/>
        <v>11215250</v>
      </c>
      <c r="AM47" s="40">
        <f t="shared" si="75"/>
        <v>11215250</v>
      </c>
      <c r="AN47" s="40">
        <f t="shared" si="75"/>
        <v>11215250</v>
      </c>
      <c r="AO47" s="40">
        <f t="shared" si="75"/>
        <v>11215250</v>
      </c>
      <c r="AP47" s="208">
        <f t="shared" si="75"/>
        <v>11215250</v>
      </c>
      <c r="AQ47" s="191">
        <f t="shared" si="3"/>
        <v>0</v>
      </c>
      <c r="AR47" s="40"/>
      <c r="AS47" s="40">
        <v>0</v>
      </c>
      <c r="AT47" s="40">
        <f>33645750/3</f>
        <v>11215250</v>
      </c>
      <c r="AU47" s="40">
        <f t="shared" ref="AU47:BD47" si="76">33645750/3</f>
        <v>11215250</v>
      </c>
      <c r="AV47" s="40">
        <f t="shared" si="76"/>
        <v>11215250</v>
      </c>
      <c r="AW47" s="40">
        <f t="shared" si="76"/>
        <v>11215250</v>
      </c>
      <c r="AX47" s="40">
        <f t="shared" si="76"/>
        <v>11215250</v>
      </c>
      <c r="AY47" s="40">
        <f t="shared" si="76"/>
        <v>11215250</v>
      </c>
      <c r="AZ47" s="40">
        <f t="shared" si="76"/>
        <v>11215250</v>
      </c>
      <c r="BA47" s="40">
        <f t="shared" si="76"/>
        <v>11215250</v>
      </c>
      <c r="BB47" s="40">
        <f t="shared" si="76"/>
        <v>11215250</v>
      </c>
      <c r="BC47" s="40">
        <f t="shared" si="76"/>
        <v>11215250</v>
      </c>
      <c r="BD47" s="40">
        <f t="shared" si="76"/>
        <v>11215250</v>
      </c>
      <c r="BE47" s="191">
        <f t="shared" si="30"/>
        <v>0</v>
      </c>
      <c r="BF47" s="40"/>
      <c r="BG47" s="40">
        <v>0</v>
      </c>
      <c r="BH47" s="40">
        <f>33645750/3</f>
        <v>11215250</v>
      </c>
      <c r="BI47" s="40">
        <f t="shared" ref="BI47:BR47" si="77">33645750/3</f>
        <v>11215250</v>
      </c>
      <c r="BJ47" s="40">
        <f t="shared" si="77"/>
        <v>11215250</v>
      </c>
      <c r="BK47" s="40">
        <f t="shared" si="77"/>
        <v>11215250</v>
      </c>
      <c r="BL47" s="40">
        <f t="shared" si="77"/>
        <v>11215250</v>
      </c>
      <c r="BM47" s="40">
        <f t="shared" si="77"/>
        <v>11215250</v>
      </c>
      <c r="BN47" s="40">
        <f t="shared" si="77"/>
        <v>11215250</v>
      </c>
      <c r="BO47" s="40">
        <f t="shared" si="77"/>
        <v>11215250</v>
      </c>
      <c r="BP47" s="40">
        <f t="shared" si="77"/>
        <v>11215250</v>
      </c>
      <c r="BQ47" s="40">
        <f t="shared" si="77"/>
        <v>11215250</v>
      </c>
      <c r="BR47" s="40">
        <f t="shared" si="77"/>
        <v>11215250</v>
      </c>
    </row>
    <row r="48" spans="1:70" ht="12.75" hidden="1" customHeight="1" outlineLevel="3" x14ac:dyDescent="0.2">
      <c r="B48" s="38" t="s">
        <v>57</v>
      </c>
      <c r="C48" s="37" t="s">
        <v>56</v>
      </c>
      <c r="D48" s="35">
        <f t="shared" si="0"/>
        <v>22823033.75</v>
      </c>
      <c r="E48" s="35">
        <v>0</v>
      </c>
      <c r="F48" s="35">
        <f>6224463.75/3</f>
        <v>2074821.25</v>
      </c>
      <c r="G48" s="35">
        <f t="shared" ref="G48:P48" si="78">6224463.75/3</f>
        <v>2074821.25</v>
      </c>
      <c r="H48" s="35">
        <f t="shared" si="78"/>
        <v>2074821.25</v>
      </c>
      <c r="I48" s="35">
        <f t="shared" si="78"/>
        <v>2074821.25</v>
      </c>
      <c r="J48" s="35">
        <f t="shared" si="78"/>
        <v>2074821.25</v>
      </c>
      <c r="K48" s="35">
        <f t="shared" si="78"/>
        <v>2074821.25</v>
      </c>
      <c r="L48" s="35">
        <f t="shared" si="78"/>
        <v>2074821.25</v>
      </c>
      <c r="M48" s="35">
        <f t="shared" si="78"/>
        <v>2074821.25</v>
      </c>
      <c r="N48" s="35">
        <f t="shared" si="78"/>
        <v>2074821.25</v>
      </c>
      <c r="O48" s="35">
        <f t="shared" si="78"/>
        <v>2074821.25</v>
      </c>
      <c r="P48" s="179">
        <f t="shared" si="78"/>
        <v>2074821.25</v>
      </c>
      <c r="Q48" s="194">
        <f t="shared" si="66"/>
        <v>22823033.75</v>
      </c>
      <c r="R48" s="35">
        <v>0</v>
      </c>
      <c r="S48" s="35">
        <f>6224463.75/3</f>
        <v>2074821.25</v>
      </c>
      <c r="T48" s="35">
        <f t="shared" ref="T48:AC48" si="79">6224463.75/3</f>
        <v>2074821.25</v>
      </c>
      <c r="U48" s="35">
        <f t="shared" si="79"/>
        <v>2074821.25</v>
      </c>
      <c r="V48" s="35">
        <f t="shared" si="79"/>
        <v>2074821.25</v>
      </c>
      <c r="W48" s="35">
        <f t="shared" si="79"/>
        <v>2074821.25</v>
      </c>
      <c r="X48" s="35">
        <f t="shared" si="79"/>
        <v>2074821.25</v>
      </c>
      <c r="Y48" s="35">
        <f t="shared" si="79"/>
        <v>2074821.25</v>
      </c>
      <c r="Z48" s="35">
        <f t="shared" si="79"/>
        <v>2074821.25</v>
      </c>
      <c r="AA48" s="35">
        <f t="shared" si="79"/>
        <v>2074821.25</v>
      </c>
      <c r="AB48" s="35">
        <f t="shared" si="79"/>
        <v>2074821.25</v>
      </c>
      <c r="AC48" s="179">
        <f t="shared" si="79"/>
        <v>2074821.25</v>
      </c>
      <c r="AD48" s="225">
        <f t="shared" si="67"/>
        <v>22823033.75</v>
      </c>
      <c r="AE48" s="35">
        <v>0</v>
      </c>
      <c r="AF48" s="35">
        <f>6224463.75/3</f>
        <v>2074821.25</v>
      </c>
      <c r="AG48" s="35">
        <f t="shared" ref="AG48:AP48" si="80">6224463.75/3</f>
        <v>2074821.25</v>
      </c>
      <c r="AH48" s="35">
        <f t="shared" si="80"/>
        <v>2074821.25</v>
      </c>
      <c r="AI48" s="35">
        <f t="shared" si="80"/>
        <v>2074821.25</v>
      </c>
      <c r="AJ48" s="35">
        <f t="shared" si="80"/>
        <v>2074821.25</v>
      </c>
      <c r="AK48" s="35">
        <f t="shared" si="80"/>
        <v>2074821.25</v>
      </c>
      <c r="AL48" s="35">
        <f t="shared" si="80"/>
        <v>2074821.25</v>
      </c>
      <c r="AM48" s="35">
        <f t="shared" si="80"/>
        <v>2074821.25</v>
      </c>
      <c r="AN48" s="35">
        <f t="shared" si="80"/>
        <v>2074821.25</v>
      </c>
      <c r="AO48" s="35">
        <f t="shared" si="80"/>
        <v>2074821.25</v>
      </c>
      <c r="AP48" s="211">
        <f t="shared" si="80"/>
        <v>2074821.25</v>
      </c>
      <c r="AQ48" s="194">
        <f t="shared" si="3"/>
        <v>0</v>
      </c>
      <c r="AR48" s="35"/>
      <c r="AS48" s="35">
        <v>0</v>
      </c>
      <c r="AT48" s="35">
        <f>6224463.75/3</f>
        <v>2074821.25</v>
      </c>
      <c r="AU48" s="35">
        <f t="shared" ref="AU48:BD48" si="81">6224463.75/3</f>
        <v>2074821.25</v>
      </c>
      <c r="AV48" s="35">
        <f t="shared" si="81"/>
        <v>2074821.25</v>
      </c>
      <c r="AW48" s="35">
        <f t="shared" si="81"/>
        <v>2074821.25</v>
      </c>
      <c r="AX48" s="35">
        <f t="shared" si="81"/>
        <v>2074821.25</v>
      </c>
      <c r="AY48" s="35">
        <f t="shared" si="81"/>
        <v>2074821.25</v>
      </c>
      <c r="AZ48" s="35">
        <f t="shared" si="81"/>
        <v>2074821.25</v>
      </c>
      <c r="BA48" s="35">
        <f t="shared" si="81"/>
        <v>2074821.25</v>
      </c>
      <c r="BB48" s="35">
        <f t="shared" si="81"/>
        <v>2074821.25</v>
      </c>
      <c r="BC48" s="35">
        <f t="shared" si="81"/>
        <v>2074821.25</v>
      </c>
      <c r="BD48" s="35">
        <f t="shared" si="81"/>
        <v>2074821.25</v>
      </c>
      <c r="BE48" s="194">
        <f t="shared" si="30"/>
        <v>0</v>
      </c>
      <c r="BF48" s="35"/>
      <c r="BG48" s="35">
        <v>0</v>
      </c>
      <c r="BH48" s="35">
        <f>6224463.75/3</f>
        <v>2074821.25</v>
      </c>
      <c r="BI48" s="35">
        <f t="shared" ref="BI48:BR48" si="82">6224463.75/3</f>
        <v>2074821.25</v>
      </c>
      <c r="BJ48" s="35">
        <f t="shared" si="82"/>
        <v>2074821.25</v>
      </c>
      <c r="BK48" s="35">
        <f t="shared" si="82"/>
        <v>2074821.25</v>
      </c>
      <c r="BL48" s="35">
        <f t="shared" si="82"/>
        <v>2074821.25</v>
      </c>
      <c r="BM48" s="35">
        <f t="shared" si="82"/>
        <v>2074821.25</v>
      </c>
      <c r="BN48" s="35">
        <f t="shared" si="82"/>
        <v>2074821.25</v>
      </c>
      <c r="BO48" s="35">
        <f t="shared" si="82"/>
        <v>2074821.25</v>
      </c>
      <c r="BP48" s="35">
        <f t="shared" si="82"/>
        <v>2074821.25</v>
      </c>
      <c r="BQ48" s="35">
        <f t="shared" si="82"/>
        <v>2074821.25</v>
      </c>
      <c r="BR48" s="35">
        <f t="shared" si="82"/>
        <v>2074821.25</v>
      </c>
    </row>
    <row r="49" spans="1:70" s="6" customFormat="1" hidden="1" outlineLevel="2" x14ac:dyDescent="0.2">
      <c r="A49" s="30"/>
      <c r="B49" s="29" t="s">
        <v>55</v>
      </c>
      <c r="C49" s="42" t="s">
        <v>54</v>
      </c>
      <c r="D49" s="26">
        <f t="shared" si="0"/>
        <v>146190783.75</v>
      </c>
      <c r="E49" s="26">
        <f>SUM(E47:E48)</f>
        <v>0</v>
      </c>
      <c r="F49" s="26">
        <f>SUM(F47:F48)</f>
        <v>13290071.25</v>
      </c>
      <c r="G49" s="26">
        <f t="shared" ref="G49:P49" si="83">SUM(G47:G48)</f>
        <v>13290071.25</v>
      </c>
      <c r="H49" s="26">
        <f t="shared" si="83"/>
        <v>13290071.25</v>
      </c>
      <c r="I49" s="26">
        <f t="shared" si="83"/>
        <v>13290071.25</v>
      </c>
      <c r="J49" s="26">
        <f t="shared" si="83"/>
        <v>13290071.25</v>
      </c>
      <c r="K49" s="26">
        <f t="shared" si="83"/>
        <v>13290071.25</v>
      </c>
      <c r="L49" s="26">
        <f t="shared" si="83"/>
        <v>13290071.25</v>
      </c>
      <c r="M49" s="26">
        <f t="shared" si="83"/>
        <v>13290071.25</v>
      </c>
      <c r="N49" s="26">
        <f t="shared" si="83"/>
        <v>13290071.25</v>
      </c>
      <c r="O49" s="26">
        <f t="shared" si="83"/>
        <v>13290071.25</v>
      </c>
      <c r="P49" s="177">
        <f t="shared" si="83"/>
        <v>13290071.25</v>
      </c>
      <c r="Q49" s="192">
        <f t="shared" si="66"/>
        <v>146190783.75</v>
      </c>
      <c r="R49" s="26">
        <f>SUM(R47:R48)</f>
        <v>0</v>
      </c>
      <c r="S49" s="26">
        <f>SUM(S47:S48)</f>
        <v>13290071.25</v>
      </c>
      <c r="T49" s="26">
        <f t="shared" ref="T49:AC49" si="84">SUM(T47:T48)</f>
        <v>13290071.25</v>
      </c>
      <c r="U49" s="26">
        <f t="shared" si="84"/>
        <v>13290071.25</v>
      </c>
      <c r="V49" s="26">
        <f t="shared" si="84"/>
        <v>13290071.25</v>
      </c>
      <c r="W49" s="26">
        <f t="shared" si="84"/>
        <v>13290071.25</v>
      </c>
      <c r="X49" s="26">
        <f t="shared" si="84"/>
        <v>13290071.25</v>
      </c>
      <c r="Y49" s="26">
        <f t="shared" si="84"/>
        <v>13290071.25</v>
      </c>
      <c r="Z49" s="26">
        <f t="shared" si="84"/>
        <v>13290071.25</v>
      </c>
      <c r="AA49" s="26">
        <f t="shared" si="84"/>
        <v>13290071.25</v>
      </c>
      <c r="AB49" s="26">
        <f t="shared" si="84"/>
        <v>13290071.25</v>
      </c>
      <c r="AC49" s="177">
        <f t="shared" si="84"/>
        <v>13290071.25</v>
      </c>
      <c r="AD49" s="226">
        <f t="shared" si="67"/>
        <v>146190783.75</v>
      </c>
      <c r="AE49" s="26">
        <f>SUM(AE47:AE48)</f>
        <v>0</v>
      </c>
      <c r="AF49" s="26">
        <f>SUM(AF47:AF48)</f>
        <v>13290071.25</v>
      </c>
      <c r="AG49" s="26">
        <f t="shared" ref="AG49:AP49" si="85">SUM(AG47:AG48)</f>
        <v>13290071.25</v>
      </c>
      <c r="AH49" s="26">
        <f t="shared" si="85"/>
        <v>13290071.25</v>
      </c>
      <c r="AI49" s="26">
        <f t="shared" si="85"/>
        <v>13290071.25</v>
      </c>
      <c r="AJ49" s="26">
        <f t="shared" si="85"/>
        <v>13290071.25</v>
      </c>
      <c r="AK49" s="26">
        <f t="shared" si="85"/>
        <v>13290071.25</v>
      </c>
      <c r="AL49" s="26">
        <f t="shared" si="85"/>
        <v>13290071.25</v>
      </c>
      <c r="AM49" s="26">
        <f t="shared" si="85"/>
        <v>13290071.25</v>
      </c>
      <c r="AN49" s="26">
        <f t="shared" si="85"/>
        <v>13290071.25</v>
      </c>
      <c r="AO49" s="26">
        <f t="shared" si="85"/>
        <v>13290071.25</v>
      </c>
      <c r="AP49" s="209">
        <f t="shared" si="85"/>
        <v>13290071.25</v>
      </c>
      <c r="AQ49" s="192">
        <f t="shared" si="3"/>
        <v>0</v>
      </c>
      <c r="AR49" s="26"/>
      <c r="AS49" s="26">
        <f>SUM(AS47:AS48)</f>
        <v>0</v>
      </c>
      <c r="AT49" s="26">
        <f>SUM(AT47:AT48)</f>
        <v>13290071.25</v>
      </c>
      <c r="AU49" s="26">
        <f t="shared" ref="AU49:BD49" si="86">SUM(AU47:AU48)</f>
        <v>13290071.25</v>
      </c>
      <c r="AV49" s="26">
        <f t="shared" si="86"/>
        <v>13290071.25</v>
      </c>
      <c r="AW49" s="26">
        <f t="shared" si="86"/>
        <v>13290071.25</v>
      </c>
      <c r="AX49" s="26">
        <f t="shared" si="86"/>
        <v>13290071.25</v>
      </c>
      <c r="AY49" s="26">
        <f t="shared" si="86"/>
        <v>13290071.25</v>
      </c>
      <c r="AZ49" s="26">
        <f t="shared" si="86"/>
        <v>13290071.25</v>
      </c>
      <c r="BA49" s="26">
        <f t="shared" si="86"/>
        <v>13290071.25</v>
      </c>
      <c r="BB49" s="26">
        <f t="shared" si="86"/>
        <v>13290071.25</v>
      </c>
      <c r="BC49" s="26">
        <f t="shared" si="86"/>
        <v>13290071.25</v>
      </c>
      <c r="BD49" s="26">
        <f t="shared" si="86"/>
        <v>13290071.25</v>
      </c>
      <c r="BE49" s="192">
        <f t="shared" si="30"/>
        <v>0</v>
      </c>
      <c r="BF49" s="26"/>
      <c r="BG49" s="26">
        <f>SUM(BG47:BG48)</f>
        <v>0</v>
      </c>
      <c r="BH49" s="26">
        <f>SUM(BH47:BH48)</f>
        <v>13290071.25</v>
      </c>
      <c r="BI49" s="26">
        <f t="shared" ref="BI49:BR49" si="87">SUM(BI47:BI48)</f>
        <v>13290071.25</v>
      </c>
      <c r="BJ49" s="26">
        <f t="shared" si="87"/>
        <v>13290071.25</v>
      </c>
      <c r="BK49" s="26">
        <f t="shared" si="87"/>
        <v>13290071.25</v>
      </c>
      <c r="BL49" s="26">
        <f t="shared" si="87"/>
        <v>13290071.25</v>
      </c>
      <c r="BM49" s="26">
        <f t="shared" si="87"/>
        <v>13290071.25</v>
      </c>
      <c r="BN49" s="26">
        <f t="shared" si="87"/>
        <v>13290071.25</v>
      </c>
      <c r="BO49" s="26">
        <f t="shared" si="87"/>
        <v>13290071.25</v>
      </c>
      <c r="BP49" s="26">
        <f t="shared" si="87"/>
        <v>13290071.25</v>
      </c>
      <c r="BQ49" s="26">
        <f t="shared" si="87"/>
        <v>13290071.25</v>
      </c>
      <c r="BR49" s="26">
        <f t="shared" si="87"/>
        <v>13290071.25</v>
      </c>
    </row>
    <row r="50" spans="1:70" s="6" customFormat="1" ht="14.45" customHeight="1" outlineLevel="1" collapsed="1" x14ac:dyDescent="0.2">
      <c r="A50" s="30"/>
      <c r="B50" s="48" t="s">
        <v>53</v>
      </c>
      <c r="C50" s="47" t="s">
        <v>52</v>
      </c>
      <c r="D50" s="45">
        <f t="shared" si="0"/>
        <v>159480855</v>
      </c>
      <c r="E50" s="45">
        <f>E49+E46+E43</f>
        <v>13290071.25</v>
      </c>
      <c r="F50" s="45">
        <f>F49+F46+F43</f>
        <v>13290071.25</v>
      </c>
      <c r="G50" s="45">
        <f t="shared" ref="G50:P50" si="88">G49+G46+G43</f>
        <v>13290071.25</v>
      </c>
      <c r="H50" s="45">
        <f t="shared" si="88"/>
        <v>13290071.25</v>
      </c>
      <c r="I50" s="45">
        <f t="shared" si="88"/>
        <v>13290071.25</v>
      </c>
      <c r="J50" s="45">
        <f t="shared" si="88"/>
        <v>13290071.25</v>
      </c>
      <c r="K50" s="45">
        <f t="shared" si="88"/>
        <v>13290071.25</v>
      </c>
      <c r="L50" s="45">
        <f t="shared" si="88"/>
        <v>13290071.25</v>
      </c>
      <c r="M50" s="45">
        <f t="shared" si="88"/>
        <v>13290071.25</v>
      </c>
      <c r="N50" s="45">
        <f t="shared" si="88"/>
        <v>13290071.25</v>
      </c>
      <c r="O50" s="45">
        <f t="shared" si="88"/>
        <v>13290071.25</v>
      </c>
      <c r="P50" s="178">
        <f t="shared" si="88"/>
        <v>13290071.25</v>
      </c>
      <c r="Q50" s="193">
        <f t="shared" si="66"/>
        <v>159480855</v>
      </c>
      <c r="R50" s="45">
        <f>R49+R46+R43</f>
        <v>13290071.25</v>
      </c>
      <c r="S50" s="45">
        <f>S49+S46+S43</f>
        <v>13290071.25</v>
      </c>
      <c r="T50" s="45">
        <f t="shared" ref="T50:AC50" si="89">T49+T46+T43</f>
        <v>13290071.25</v>
      </c>
      <c r="U50" s="45">
        <f t="shared" si="89"/>
        <v>13290071.25</v>
      </c>
      <c r="V50" s="45">
        <f t="shared" si="89"/>
        <v>13290071.25</v>
      </c>
      <c r="W50" s="45">
        <f t="shared" si="89"/>
        <v>13290071.25</v>
      </c>
      <c r="X50" s="45">
        <f t="shared" si="89"/>
        <v>13290071.25</v>
      </c>
      <c r="Y50" s="45">
        <f t="shared" si="89"/>
        <v>13290071.25</v>
      </c>
      <c r="Z50" s="45">
        <f t="shared" si="89"/>
        <v>13290071.25</v>
      </c>
      <c r="AA50" s="45">
        <f t="shared" si="89"/>
        <v>13290071.25</v>
      </c>
      <c r="AB50" s="45">
        <f t="shared" si="89"/>
        <v>13290071.25</v>
      </c>
      <c r="AC50" s="178">
        <f t="shared" si="89"/>
        <v>13290071.25</v>
      </c>
      <c r="AD50" s="227">
        <f t="shared" si="67"/>
        <v>159480855</v>
      </c>
      <c r="AE50" s="45">
        <f>AE49+AE46+AE43</f>
        <v>13290071.25</v>
      </c>
      <c r="AF50" s="45">
        <f>AF49+AF46+AF43</f>
        <v>13290071.25</v>
      </c>
      <c r="AG50" s="45">
        <f t="shared" ref="AG50:AP50" si="90">AG49+AG46+AG43</f>
        <v>13290071.25</v>
      </c>
      <c r="AH50" s="45">
        <f t="shared" si="90"/>
        <v>13290071.25</v>
      </c>
      <c r="AI50" s="45">
        <f t="shared" si="90"/>
        <v>13290071.25</v>
      </c>
      <c r="AJ50" s="45">
        <f t="shared" si="90"/>
        <v>13290071.25</v>
      </c>
      <c r="AK50" s="45">
        <f t="shared" si="90"/>
        <v>13290071.25</v>
      </c>
      <c r="AL50" s="45">
        <f t="shared" si="90"/>
        <v>13290071.25</v>
      </c>
      <c r="AM50" s="45">
        <f t="shared" si="90"/>
        <v>13290071.25</v>
      </c>
      <c r="AN50" s="45">
        <f t="shared" si="90"/>
        <v>13290071.25</v>
      </c>
      <c r="AO50" s="45">
        <f t="shared" si="90"/>
        <v>13290071.25</v>
      </c>
      <c r="AP50" s="210">
        <f t="shared" si="90"/>
        <v>13290071.25</v>
      </c>
      <c r="AQ50" s="193">
        <f t="shared" si="3"/>
        <v>0</v>
      </c>
      <c r="AR50" s="45"/>
      <c r="AS50" s="45">
        <f>AS49+AS46+AS43</f>
        <v>13290071.25</v>
      </c>
      <c r="AT50" s="45">
        <f>AT49+AT46+AT43</f>
        <v>13290071.25</v>
      </c>
      <c r="AU50" s="45">
        <f t="shared" ref="AU50:BD50" si="91">AU49+AU46+AU43</f>
        <v>13290071.25</v>
      </c>
      <c r="AV50" s="45">
        <f t="shared" si="91"/>
        <v>13290071.25</v>
      </c>
      <c r="AW50" s="45">
        <f t="shared" si="91"/>
        <v>13290071.25</v>
      </c>
      <c r="AX50" s="45">
        <f t="shared" si="91"/>
        <v>13290071.25</v>
      </c>
      <c r="AY50" s="45">
        <f t="shared" si="91"/>
        <v>13290071.25</v>
      </c>
      <c r="AZ50" s="45">
        <f t="shared" si="91"/>
        <v>13290071.25</v>
      </c>
      <c r="BA50" s="45">
        <f t="shared" si="91"/>
        <v>13290071.25</v>
      </c>
      <c r="BB50" s="45">
        <f t="shared" si="91"/>
        <v>13290071.25</v>
      </c>
      <c r="BC50" s="45">
        <f t="shared" si="91"/>
        <v>13290071.25</v>
      </c>
      <c r="BD50" s="45">
        <f t="shared" si="91"/>
        <v>13290071.25</v>
      </c>
      <c r="BE50" s="193">
        <f t="shared" si="30"/>
        <v>0</v>
      </c>
      <c r="BF50" s="45"/>
      <c r="BG50" s="45">
        <f>BG49+BG46+BG43</f>
        <v>13290071.25</v>
      </c>
      <c r="BH50" s="45">
        <f>BH49+BH46+BH43</f>
        <v>13290071.25</v>
      </c>
      <c r="BI50" s="45">
        <f t="shared" ref="BI50:BR50" si="92">BI49+BI46+BI43</f>
        <v>13290071.25</v>
      </c>
      <c r="BJ50" s="45">
        <f t="shared" si="92"/>
        <v>13290071.25</v>
      </c>
      <c r="BK50" s="45">
        <f t="shared" si="92"/>
        <v>13290071.25</v>
      </c>
      <c r="BL50" s="45">
        <f t="shared" si="92"/>
        <v>13290071.25</v>
      </c>
      <c r="BM50" s="45">
        <f t="shared" si="92"/>
        <v>13290071.25</v>
      </c>
      <c r="BN50" s="45">
        <f t="shared" si="92"/>
        <v>13290071.25</v>
      </c>
      <c r="BO50" s="45">
        <f t="shared" si="92"/>
        <v>13290071.25</v>
      </c>
      <c r="BP50" s="45">
        <f t="shared" si="92"/>
        <v>13290071.25</v>
      </c>
      <c r="BQ50" s="45">
        <f t="shared" si="92"/>
        <v>13290071.25</v>
      </c>
      <c r="BR50" s="45">
        <f t="shared" si="92"/>
        <v>13290071.25</v>
      </c>
    </row>
    <row r="51" spans="1:70" s="6" customFormat="1" ht="15.75" customHeight="1" x14ac:dyDescent="0.2">
      <c r="B51" s="21" t="s">
        <v>51</v>
      </c>
      <c r="C51" s="20" t="s">
        <v>50</v>
      </c>
      <c r="D51" s="18">
        <f t="shared" si="0"/>
        <v>2901549614.0161591</v>
      </c>
      <c r="E51" s="18">
        <f>E50+E40+E27+E24</f>
        <v>254382240.87</v>
      </c>
      <c r="F51" s="18">
        <f>F50+F40+F27+F24</f>
        <v>240651579.37692353</v>
      </c>
      <c r="G51" s="18">
        <f t="shared" ref="G51:P51" si="93">G50+G40+G27+G24</f>
        <v>240651579.37692353</v>
      </c>
      <c r="H51" s="18">
        <f t="shared" si="93"/>
        <v>240651579.37692353</v>
      </c>
      <c r="I51" s="18">
        <f t="shared" si="93"/>
        <v>240651579.37692353</v>
      </c>
      <c r="J51" s="18">
        <f t="shared" si="93"/>
        <v>240651579.37692353</v>
      </c>
      <c r="K51" s="18">
        <f t="shared" si="93"/>
        <v>240651579.37692353</v>
      </c>
      <c r="L51" s="18">
        <f t="shared" si="93"/>
        <v>240651579.37692353</v>
      </c>
      <c r="M51" s="18">
        <f t="shared" si="93"/>
        <v>240651579.37692353</v>
      </c>
      <c r="N51" s="18">
        <f t="shared" si="93"/>
        <v>240651579.37692353</v>
      </c>
      <c r="O51" s="18">
        <f t="shared" si="93"/>
        <v>240651579.37692353</v>
      </c>
      <c r="P51" s="180">
        <f t="shared" si="93"/>
        <v>240651579.37692353</v>
      </c>
      <c r="Q51" s="195">
        <f t="shared" si="66"/>
        <v>2901549614.0161591</v>
      </c>
      <c r="R51" s="18">
        <f>R50+R40+R27+R24</f>
        <v>254382240.87</v>
      </c>
      <c r="S51" s="18">
        <f>S50+S40+S27+S24</f>
        <v>240651579.37692353</v>
      </c>
      <c r="T51" s="18">
        <f t="shared" ref="T51:AC51" si="94">T50+T40+T27+T24</f>
        <v>240651579.37692353</v>
      </c>
      <c r="U51" s="18">
        <f t="shared" si="94"/>
        <v>240651579.37692353</v>
      </c>
      <c r="V51" s="18">
        <f t="shared" si="94"/>
        <v>240651579.37692353</v>
      </c>
      <c r="W51" s="18">
        <f t="shared" si="94"/>
        <v>240651579.37692353</v>
      </c>
      <c r="X51" s="18">
        <f t="shared" si="94"/>
        <v>240651579.37692353</v>
      </c>
      <c r="Y51" s="18">
        <f t="shared" si="94"/>
        <v>240651579.37692353</v>
      </c>
      <c r="Z51" s="18">
        <f t="shared" si="94"/>
        <v>240651579.37692353</v>
      </c>
      <c r="AA51" s="18">
        <f t="shared" si="94"/>
        <v>240651579.37692353</v>
      </c>
      <c r="AB51" s="18">
        <f t="shared" si="94"/>
        <v>240651579.37692353</v>
      </c>
      <c r="AC51" s="180">
        <f t="shared" si="94"/>
        <v>240651579.37692353</v>
      </c>
      <c r="AD51" s="228">
        <f t="shared" si="67"/>
        <v>2901549614.0161591</v>
      </c>
      <c r="AE51" s="18">
        <f>AE50+AE40+AE27+AE24</f>
        <v>254382240.87</v>
      </c>
      <c r="AF51" s="18">
        <f>AF50+AF40+AF27+AF24</f>
        <v>240651579.37692353</v>
      </c>
      <c r="AG51" s="18">
        <f t="shared" ref="AG51:AP51" si="95">AG50+AG40+AG27+AG24</f>
        <v>240651579.37692353</v>
      </c>
      <c r="AH51" s="18">
        <f t="shared" si="95"/>
        <v>240651579.37692353</v>
      </c>
      <c r="AI51" s="18">
        <f t="shared" si="95"/>
        <v>240651579.37692353</v>
      </c>
      <c r="AJ51" s="18">
        <f t="shared" si="95"/>
        <v>240651579.37692353</v>
      </c>
      <c r="AK51" s="18">
        <f t="shared" si="95"/>
        <v>240651579.37692353</v>
      </c>
      <c r="AL51" s="18">
        <f t="shared" si="95"/>
        <v>240651579.37692353</v>
      </c>
      <c r="AM51" s="18">
        <f t="shared" si="95"/>
        <v>240651579.37692353</v>
      </c>
      <c r="AN51" s="18">
        <f t="shared" si="95"/>
        <v>240651579.37692353</v>
      </c>
      <c r="AO51" s="18">
        <f t="shared" si="95"/>
        <v>240651579.37692353</v>
      </c>
      <c r="AP51" s="212">
        <f t="shared" si="95"/>
        <v>240651579.37692353</v>
      </c>
      <c r="AQ51" s="195">
        <f t="shared" si="3"/>
        <v>0</v>
      </c>
      <c r="AR51" s="18"/>
      <c r="AS51" s="18">
        <f>AS50+AS40+AS27+AS24</f>
        <v>254382240.87</v>
      </c>
      <c r="AT51" s="18">
        <f>AT50+AT40+AT27+AT24</f>
        <v>240651579.37692353</v>
      </c>
      <c r="AU51" s="18">
        <f t="shared" ref="AU51:BD51" si="96">AU50+AU40+AU27+AU24</f>
        <v>240651579.37692353</v>
      </c>
      <c r="AV51" s="18">
        <f t="shared" si="96"/>
        <v>240651579.37692353</v>
      </c>
      <c r="AW51" s="18">
        <f t="shared" si="96"/>
        <v>240651579.37692353</v>
      </c>
      <c r="AX51" s="18">
        <f t="shared" si="96"/>
        <v>240651579.37692353</v>
      </c>
      <c r="AY51" s="18">
        <f t="shared" si="96"/>
        <v>240651579.37692353</v>
      </c>
      <c r="AZ51" s="18">
        <f t="shared" si="96"/>
        <v>240651579.37692353</v>
      </c>
      <c r="BA51" s="18">
        <f t="shared" si="96"/>
        <v>240651579.37692353</v>
      </c>
      <c r="BB51" s="18">
        <f t="shared" si="96"/>
        <v>240651579.37692353</v>
      </c>
      <c r="BC51" s="18">
        <f t="shared" si="96"/>
        <v>240651579.37692353</v>
      </c>
      <c r="BD51" s="18">
        <f t="shared" si="96"/>
        <v>240651579.37692353</v>
      </c>
      <c r="BE51" s="195">
        <f t="shared" si="30"/>
        <v>0</v>
      </c>
      <c r="BF51" s="18"/>
      <c r="BG51" s="18">
        <f>BG50+BG40+BG27+BG24</f>
        <v>254382240.87</v>
      </c>
      <c r="BH51" s="18">
        <f>BH50+BH40+BH27+BH24</f>
        <v>240651579.37692353</v>
      </c>
      <c r="BI51" s="18">
        <f t="shared" ref="BI51:BR51" si="97">BI50+BI40+BI27+BI24</f>
        <v>240651579.37692353</v>
      </c>
      <c r="BJ51" s="18">
        <f t="shared" si="97"/>
        <v>240651579.37692353</v>
      </c>
      <c r="BK51" s="18">
        <f t="shared" si="97"/>
        <v>240651579.37692353</v>
      </c>
      <c r="BL51" s="18">
        <f t="shared" si="97"/>
        <v>240651579.37692353</v>
      </c>
      <c r="BM51" s="18">
        <f t="shared" si="97"/>
        <v>240651579.37692353</v>
      </c>
      <c r="BN51" s="18">
        <f t="shared" si="97"/>
        <v>240651579.37692353</v>
      </c>
      <c r="BO51" s="18">
        <f t="shared" si="97"/>
        <v>240651579.37692353</v>
      </c>
      <c r="BP51" s="18">
        <f t="shared" si="97"/>
        <v>240651579.37692353</v>
      </c>
      <c r="BQ51" s="18">
        <f t="shared" si="97"/>
        <v>240651579.37692353</v>
      </c>
      <c r="BR51" s="18">
        <f t="shared" si="97"/>
        <v>240651579.37692353</v>
      </c>
    </row>
    <row r="52" spans="1:70" ht="12.75" hidden="1" customHeight="1" outlineLevel="3" x14ac:dyDescent="0.2">
      <c r="B52" s="38" t="s">
        <v>45</v>
      </c>
      <c r="C52" s="37" t="s">
        <v>44</v>
      </c>
      <c r="D52" s="40">
        <f t="shared" si="0"/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176">
        <v>0</v>
      </c>
      <c r="Q52" s="191">
        <f t="shared" si="66"/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176">
        <v>0</v>
      </c>
      <c r="AD52" s="225">
        <f t="shared" si="67"/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208">
        <v>0</v>
      </c>
      <c r="AQ52" s="191">
        <f t="shared" si="3"/>
        <v>0</v>
      </c>
      <c r="AR52" s="40"/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191">
        <f t="shared" si="30"/>
        <v>0</v>
      </c>
      <c r="BF52" s="40"/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</row>
    <row r="53" spans="1:70" ht="12.75" hidden="1" customHeight="1" outlineLevel="3" x14ac:dyDescent="0.2">
      <c r="B53" s="38" t="s">
        <v>49</v>
      </c>
      <c r="C53" s="37" t="s">
        <v>48</v>
      </c>
      <c r="D53" s="40">
        <f t="shared" si="0"/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176">
        <v>0</v>
      </c>
      <c r="Q53" s="191">
        <f t="shared" si="66"/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176">
        <v>0</v>
      </c>
      <c r="AD53" s="225">
        <f t="shared" si="67"/>
        <v>0</v>
      </c>
      <c r="AE53" s="40">
        <v>0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0</v>
      </c>
      <c r="AP53" s="208">
        <v>0</v>
      </c>
      <c r="AQ53" s="191">
        <f t="shared" si="3"/>
        <v>0</v>
      </c>
      <c r="AR53" s="40"/>
      <c r="AS53" s="40">
        <v>0</v>
      </c>
      <c r="AT53" s="40">
        <v>0</v>
      </c>
      <c r="AU53" s="40">
        <v>0</v>
      </c>
      <c r="AV53" s="40">
        <v>0</v>
      </c>
      <c r="AW53" s="40">
        <v>0</v>
      </c>
      <c r="AX53" s="40">
        <v>0</v>
      </c>
      <c r="AY53" s="40">
        <v>0</v>
      </c>
      <c r="AZ53" s="40">
        <v>0</v>
      </c>
      <c r="BA53" s="40">
        <v>0</v>
      </c>
      <c r="BB53" s="40">
        <v>0</v>
      </c>
      <c r="BC53" s="40">
        <v>0</v>
      </c>
      <c r="BD53" s="40">
        <v>0</v>
      </c>
      <c r="BE53" s="191">
        <f t="shared" si="30"/>
        <v>0</v>
      </c>
      <c r="BF53" s="40"/>
      <c r="BG53" s="40">
        <v>0</v>
      </c>
      <c r="BH53" s="40">
        <v>0</v>
      </c>
      <c r="BI53" s="40">
        <v>0</v>
      </c>
      <c r="BJ53" s="40">
        <v>0</v>
      </c>
      <c r="BK53" s="40">
        <v>0</v>
      </c>
      <c r="BL53" s="40">
        <v>0</v>
      </c>
      <c r="BM53" s="40">
        <v>0</v>
      </c>
      <c r="BN53" s="40">
        <v>0</v>
      </c>
      <c r="BO53" s="40">
        <v>0</v>
      </c>
      <c r="BP53" s="40">
        <v>0</v>
      </c>
      <c r="BQ53" s="40">
        <v>0</v>
      </c>
      <c r="BR53" s="40">
        <v>0</v>
      </c>
    </row>
    <row r="54" spans="1:70" s="6" customFormat="1" ht="14.45" customHeight="1" outlineLevel="1" collapsed="1" x14ac:dyDescent="0.2">
      <c r="A54" s="30"/>
      <c r="B54" s="48" t="s">
        <v>47</v>
      </c>
      <c r="C54" s="47" t="s">
        <v>46</v>
      </c>
      <c r="D54" s="45">
        <f t="shared" si="0"/>
        <v>0</v>
      </c>
      <c r="E54" s="45">
        <f>SUM(E52:E53)</f>
        <v>0</v>
      </c>
      <c r="F54" s="45">
        <f>SUM(F52:F53)</f>
        <v>0</v>
      </c>
      <c r="G54" s="45">
        <f t="shared" ref="G54:P54" si="98">SUM(G52:G53)</f>
        <v>0</v>
      </c>
      <c r="H54" s="45">
        <f t="shared" si="98"/>
        <v>0</v>
      </c>
      <c r="I54" s="45">
        <f t="shared" si="98"/>
        <v>0</v>
      </c>
      <c r="J54" s="45">
        <f t="shared" si="98"/>
        <v>0</v>
      </c>
      <c r="K54" s="45">
        <f t="shared" si="98"/>
        <v>0</v>
      </c>
      <c r="L54" s="45">
        <f t="shared" si="98"/>
        <v>0</v>
      </c>
      <c r="M54" s="45">
        <f t="shared" si="98"/>
        <v>0</v>
      </c>
      <c r="N54" s="45">
        <f t="shared" si="98"/>
        <v>0</v>
      </c>
      <c r="O54" s="45">
        <f t="shared" si="98"/>
        <v>0</v>
      </c>
      <c r="P54" s="178">
        <f t="shared" si="98"/>
        <v>0</v>
      </c>
      <c r="Q54" s="193">
        <f t="shared" si="66"/>
        <v>0</v>
      </c>
      <c r="R54" s="45">
        <f>SUM(R52:R53)</f>
        <v>0</v>
      </c>
      <c r="S54" s="45">
        <f>SUM(S52:S53)</f>
        <v>0</v>
      </c>
      <c r="T54" s="45">
        <f t="shared" ref="T54:AC54" si="99">SUM(T52:T53)</f>
        <v>0</v>
      </c>
      <c r="U54" s="45">
        <f t="shared" si="99"/>
        <v>0</v>
      </c>
      <c r="V54" s="45">
        <f t="shared" si="99"/>
        <v>0</v>
      </c>
      <c r="W54" s="45">
        <f t="shared" si="99"/>
        <v>0</v>
      </c>
      <c r="X54" s="45">
        <f t="shared" si="99"/>
        <v>0</v>
      </c>
      <c r="Y54" s="45">
        <f t="shared" si="99"/>
        <v>0</v>
      </c>
      <c r="Z54" s="45">
        <f t="shared" si="99"/>
        <v>0</v>
      </c>
      <c r="AA54" s="45">
        <f t="shared" si="99"/>
        <v>0</v>
      </c>
      <c r="AB54" s="45">
        <f t="shared" si="99"/>
        <v>0</v>
      </c>
      <c r="AC54" s="178">
        <f t="shared" si="99"/>
        <v>0</v>
      </c>
      <c r="AD54" s="227">
        <f t="shared" si="67"/>
        <v>0</v>
      </c>
      <c r="AE54" s="45">
        <f>SUM(AE52:AE53)</f>
        <v>0</v>
      </c>
      <c r="AF54" s="45">
        <f>SUM(AF52:AF53)</f>
        <v>0</v>
      </c>
      <c r="AG54" s="45">
        <f t="shared" ref="AG54:AP54" si="100">SUM(AG52:AG53)</f>
        <v>0</v>
      </c>
      <c r="AH54" s="45">
        <f t="shared" si="100"/>
        <v>0</v>
      </c>
      <c r="AI54" s="45">
        <f t="shared" si="100"/>
        <v>0</v>
      </c>
      <c r="AJ54" s="45">
        <f t="shared" si="100"/>
        <v>0</v>
      </c>
      <c r="AK54" s="45">
        <f t="shared" si="100"/>
        <v>0</v>
      </c>
      <c r="AL54" s="45">
        <f t="shared" si="100"/>
        <v>0</v>
      </c>
      <c r="AM54" s="45">
        <f t="shared" si="100"/>
        <v>0</v>
      </c>
      <c r="AN54" s="45">
        <f t="shared" si="100"/>
        <v>0</v>
      </c>
      <c r="AO54" s="45">
        <f t="shared" si="100"/>
        <v>0</v>
      </c>
      <c r="AP54" s="210">
        <f t="shared" si="100"/>
        <v>0</v>
      </c>
      <c r="AQ54" s="193">
        <f t="shared" si="3"/>
        <v>0</v>
      </c>
      <c r="AR54" s="45"/>
      <c r="AS54" s="45">
        <f>SUM(AS52:AS53)</f>
        <v>0</v>
      </c>
      <c r="AT54" s="45">
        <f>SUM(AT52:AT53)</f>
        <v>0</v>
      </c>
      <c r="AU54" s="45">
        <f t="shared" ref="AU54:BD54" si="101">SUM(AU52:AU53)</f>
        <v>0</v>
      </c>
      <c r="AV54" s="45">
        <f t="shared" si="101"/>
        <v>0</v>
      </c>
      <c r="AW54" s="45">
        <f t="shared" si="101"/>
        <v>0</v>
      </c>
      <c r="AX54" s="45">
        <f t="shared" si="101"/>
        <v>0</v>
      </c>
      <c r="AY54" s="45">
        <f t="shared" si="101"/>
        <v>0</v>
      </c>
      <c r="AZ54" s="45">
        <f t="shared" si="101"/>
        <v>0</v>
      </c>
      <c r="BA54" s="45">
        <f t="shared" si="101"/>
        <v>0</v>
      </c>
      <c r="BB54" s="45">
        <f t="shared" si="101"/>
        <v>0</v>
      </c>
      <c r="BC54" s="45">
        <f t="shared" si="101"/>
        <v>0</v>
      </c>
      <c r="BD54" s="45">
        <f t="shared" si="101"/>
        <v>0</v>
      </c>
      <c r="BE54" s="193">
        <f t="shared" si="30"/>
        <v>0</v>
      </c>
      <c r="BF54" s="45"/>
      <c r="BG54" s="45">
        <f>SUM(BG52:BG53)</f>
        <v>0</v>
      </c>
      <c r="BH54" s="45">
        <f>SUM(BH52:BH53)</f>
        <v>0</v>
      </c>
      <c r="BI54" s="45">
        <f t="shared" ref="BI54:BR54" si="102">SUM(BI52:BI53)</f>
        <v>0</v>
      </c>
      <c r="BJ54" s="45">
        <f t="shared" si="102"/>
        <v>0</v>
      </c>
      <c r="BK54" s="45">
        <f t="shared" si="102"/>
        <v>0</v>
      </c>
      <c r="BL54" s="45">
        <f t="shared" si="102"/>
        <v>0</v>
      </c>
      <c r="BM54" s="45">
        <f t="shared" si="102"/>
        <v>0</v>
      </c>
      <c r="BN54" s="45">
        <f t="shared" si="102"/>
        <v>0</v>
      </c>
      <c r="BO54" s="45">
        <f t="shared" si="102"/>
        <v>0</v>
      </c>
      <c r="BP54" s="45">
        <f t="shared" si="102"/>
        <v>0</v>
      </c>
      <c r="BQ54" s="45">
        <f t="shared" si="102"/>
        <v>0</v>
      </c>
      <c r="BR54" s="45">
        <f t="shared" si="102"/>
        <v>0</v>
      </c>
    </row>
    <row r="55" spans="1:70" s="6" customFormat="1" ht="15.75" customHeight="1" x14ac:dyDescent="0.2">
      <c r="B55" s="21" t="s">
        <v>45</v>
      </c>
      <c r="C55" s="20" t="s">
        <v>44</v>
      </c>
      <c r="D55" s="18">
        <f t="shared" si="0"/>
        <v>0</v>
      </c>
      <c r="E55" s="18">
        <f>E54</f>
        <v>0</v>
      </c>
      <c r="F55" s="18">
        <f>F54</f>
        <v>0</v>
      </c>
      <c r="G55" s="18">
        <f t="shared" ref="G55:P55" si="103">G54</f>
        <v>0</v>
      </c>
      <c r="H55" s="18">
        <f t="shared" si="103"/>
        <v>0</v>
      </c>
      <c r="I55" s="18">
        <f t="shared" si="103"/>
        <v>0</v>
      </c>
      <c r="J55" s="18">
        <f t="shared" si="103"/>
        <v>0</v>
      </c>
      <c r="K55" s="18">
        <f t="shared" si="103"/>
        <v>0</v>
      </c>
      <c r="L55" s="18">
        <f t="shared" si="103"/>
        <v>0</v>
      </c>
      <c r="M55" s="18">
        <f t="shared" si="103"/>
        <v>0</v>
      </c>
      <c r="N55" s="18">
        <f t="shared" si="103"/>
        <v>0</v>
      </c>
      <c r="O55" s="18">
        <f t="shared" si="103"/>
        <v>0</v>
      </c>
      <c r="P55" s="180">
        <f t="shared" si="103"/>
        <v>0</v>
      </c>
      <c r="Q55" s="195">
        <f t="shared" si="66"/>
        <v>0</v>
      </c>
      <c r="R55" s="18">
        <f>R54</f>
        <v>0</v>
      </c>
      <c r="S55" s="18">
        <f>S54</f>
        <v>0</v>
      </c>
      <c r="T55" s="18">
        <f t="shared" ref="T55:AC55" si="104">T54</f>
        <v>0</v>
      </c>
      <c r="U55" s="18">
        <f t="shared" si="104"/>
        <v>0</v>
      </c>
      <c r="V55" s="18">
        <f t="shared" si="104"/>
        <v>0</v>
      </c>
      <c r="W55" s="18">
        <f t="shared" si="104"/>
        <v>0</v>
      </c>
      <c r="X55" s="18">
        <f t="shared" si="104"/>
        <v>0</v>
      </c>
      <c r="Y55" s="18">
        <f t="shared" si="104"/>
        <v>0</v>
      </c>
      <c r="Z55" s="18">
        <f t="shared" si="104"/>
        <v>0</v>
      </c>
      <c r="AA55" s="18">
        <f t="shared" si="104"/>
        <v>0</v>
      </c>
      <c r="AB55" s="18">
        <f t="shared" si="104"/>
        <v>0</v>
      </c>
      <c r="AC55" s="180">
        <f t="shared" si="104"/>
        <v>0</v>
      </c>
      <c r="AD55" s="228">
        <f t="shared" si="67"/>
        <v>0</v>
      </c>
      <c r="AE55" s="18">
        <f>AE54</f>
        <v>0</v>
      </c>
      <c r="AF55" s="18">
        <f>AF54</f>
        <v>0</v>
      </c>
      <c r="AG55" s="18">
        <f t="shared" ref="AG55:AP55" si="105">AG54</f>
        <v>0</v>
      </c>
      <c r="AH55" s="18">
        <f t="shared" si="105"/>
        <v>0</v>
      </c>
      <c r="AI55" s="18">
        <f t="shared" si="105"/>
        <v>0</v>
      </c>
      <c r="AJ55" s="18">
        <f t="shared" si="105"/>
        <v>0</v>
      </c>
      <c r="AK55" s="18">
        <f t="shared" si="105"/>
        <v>0</v>
      </c>
      <c r="AL55" s="18">
        <f t="shared" si="105"/>
        <v>0</v>
      </c>
      <c r="AM55" s="18">
        <f t="shared" si="105"/>
        <v>0</v>
      </c>
      <c r="AN55" s="18">
        <f t="shared" si="105"/>
        <v>0</v>
      </c>
      <c r="AO55" s="18">
        <f t="shared" si="105"/>
        <v>0</v>
      </c>
      <c r="AP55" s="212">
        <f t="shared" si="105"/>
        <v>0</v>
      </c>
      <c r="AQ55" s="195">
        <f t="shared" si="3"/>
        <v>0</v>
      </c>
      <c r="AR55" s="18"/>
      <c r="AS55" s="18">
        <f>AS54</f>
        <v>0</v>
      </c>
      <c r="AT55" s="18">
        <f>AT54</f>
        <v>0</v>
      </c>
      <c r="AU55" s="18">
        <f t="shared" ref="AU55:BD55" si="106">AU54</f>
        <v>0</v>
      </c>
      <c r="AV55" s="18">
        <f t="shared" si="106"/>
        <v>0</v>
      </c>
      <c r="AW55" s="18">
        <f t="shared" si="106"/>
        <v>0</v>
      </c>
      <c r="AX55" s="18">
        <f t="shared" si="106"/>
        <v>0</v>
      </c>
      <c r="AY55" s="18">
        <f t="shared" si="106"/>
        <v>0</v>
      </c>
      <c r="AZ55" s="18">
        <f t="shared" si="106"/>
        <v>0</v>
      </c>
      <c r="BA55" s="18">
        <f t="shared" si="106"/>
        <v>0</v>
      </c>
      <c r="BB55" s="18">
        <f t="shared" si="106"/>
        <v>0</v>
      </c>
      <c r="BC55" s="18">
        <f t="shared" si="106"/>
        <v>0</v>
      </c>
      <c r="BD55" s="18">
        <f t="shared" si="106"/>
        <v>0</v>
      </c>
      <c r="BE55" s="195">
        <f t="shared" si="30"/>
        <v>0</v>
      </c>
      <c r="BF55" s="18"/>
      <c r="BG55" s="18">
        <f>BG54</f>
        <v>0</v>
      </c>
      <c r="BH55" s="18">
        <f>BH54</f>
        <v>0</v>
      </c>
      <c r="BI55" s="18">
        <f t="shared" ref="BI55:BR55" si="107">BI54</f>
        <v>0</v>
      </c>
      <c r="BJ55" s="18">
        <f t="shared" si="107"/>
        <v>0</v>
      </c>
      <c r="BK55" s="18">
        <f t="shared" si="107"/>
        <v>0</v>
      </c>
      <c r="BL55" s="18">
        <f t="shared" si="107"/>
        <v>0</v>
      </c>
      <c r="BM55" s="18">
        <f t="shared" si="107"/>
        <v>0</v>
      </c>
      <c r="BN55" s="18">
        <f t="shared" si="107"/>
        <v>0</v>
      </c>
      <c r="BO55" s="18">
        <f t="shared" si="107"/>
        <v>0</v>
      </c>
      <c r="BP55" s="18">
        <f t="shared" si="107"/>
        <v>0</v>
      </c>
      <c r="BQ55" s="18">
        <f t="shared" si="107"/>
        <v>0</v>
      </c>
      <c r="BR55" s="18">
        <f t="shared" si="107"/>
        <v>0</v>
      </c>
    </row>
    <row r="56" spans="1:70" ht="12.75" hidden="1" customHeight="1" outlineLevel="3" x14ac:dyDescent="0.2">
      <c r="B56" s="38" t="s">
        <v>43</v>
      </c>
      <c r="C56" s="37" t="s">
        <v>42</v>
      </c>
      <c r="D56" s="40">
        <f t="shared" si="0"/>
        <v>294014180.62210083</v>
      </c>
      <c r="E56" s="40">
        <f>3528170167.46521*1/12</f>
        <v>294014180.62210083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176">
        <v>0</v>
      </c>
      <c r="Q56" s="191">
        <f t="shared" si="66"/>
        <v>294014180.62210083</v>
      </c>
      <c r="R56" s="40">
        <f>3528170167.46521*1/12</f>
        <v>294014180.62210083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176">
        <v>0</v>
      </c>
      <c r="AD56" s="225">
        <f t="shared" si="67"/>
        <v>294014180.62210083</v>
      </c>
      <c r="AE56" s="40">
        <f>3528170167.46521*1/12</f>
        <v>294014180.62210083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208">
        <v>0</v>
      </c>
      <c r="AQ56" s="191">
        <f t="shared" si="3"/>
        <v>0</v>
      </c>
      <c r="AR56" s="40"/>
      <c r="AS56" s="40">
        <f>3528170167.46521*1/12</f>
        <v>294014180.62210083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0</v>
      </c>
      <c r="BE56" s="191">
        <f t="shared" si="30"/>
        <v>0</v>
      </c>
      <c r="BF56" s="40"/>
      <c r="BG56" s="40">
        <f>3528170167.46521*1/12</f>
        <v>294014180.62210083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</row>
    <row r="57" spans="1:70" ht="12.75" hidden="1" customHeight="1" outlineLevel="3" x14ac:dyDescent="0.2">
      <c r="B57" s="38" t="s">
        <v>41</v>
      </c>
      <c r="C57" s="37" t="s">
        <v>40</v>
      </c>
      <c r="D57" s="40">
        <f t="shared" si="0"/>
        <v>54392623.41508875</v>
      </c>
      <c r="E57" s="40">
        <f>652711480.981065*1/12</f>
        <v>54392623.41508875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176">
        <v>0</v>
      </c>
      <c r="Q57" s="191">
        <f t="shared" si="66"/>
        <v>54392623.41508875</v>
      </c>
      <c r="R57" s="40">
        <f>652711480.981065*1/12</f>
        <v>54392623.41508875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176">
        <v>0</v>
      </c>
      <c r="AD57" s="225">
        <f t="shared" si="67"/>
        <v>54392623.41508875</v>
      </c>
      <c r="AE57" s="40">
        <f>652711480.981065*1/12</f>
        <v>54392623.41508875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208">
        <v>0</v>
      </c>
      <c r="AQ57" s="191">
        <f t="shared" si="3"/>
        <v>0</v>
      </c>
      <c r="AR57" s="40"/>
      <c r="AS57" s="40">
        <f>652711480.981065*1/12</f>
        <v>54392623.41508875</v>
      </c>
      <c r="AT57" s="40">
        <v>0</v>
      </c>
      <c r="AU57" s="40">
        <v>0</v>
      </c>
      <c r="AV57" s="40">
        <v>0</v>
      </c>
      <c r="AW57" s="40">
        <v>0</v>
      </c>
      <c r="AX57" s="40">
        <v>0</v>
      </c>
      <c r="AY57" s="40">
        <v>0</v>
      </c>
      <c r="AZ57" s="40">
        <v>0</v>
      </c>
      <c r="BA57" s="40">
        <v>0</v>
      </c>
      <c r="BB57" s="40">
        <v>0</v>
      </c>
      <c r="BC57" s="40">
        <v>0</v>
      </c>
      <c r="BD57" s="40">
        <v>0</v>
      </c>
      <c r="BE57" s="191">
        <f t="shared" si="30"/>
        <v>0</v>
      </c>
      <c r="BF57" s="40"/>
      <c r="BG57" s="40">
        <f>652711480.981065*1/12</f>
        <v>54392623.41508875</v>
      </c>
      <c r="BH57" s="40">
        <v>0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0</v>
      </c>
      <c r="BR57" s="40">
        <v>0</v>
      </c>
    </row>
    <row r="58" spans="1:70" s="6" customFormat="1" hidden="1" outlineLevel="2" x14ac:dyDescent="0.2">
      <c r="A58" s="30"/>
      <c r="B58" s="29" t="s">
        <v>39</v>
      </c>
      <c r="C58" s="42" t="s">
        <v>38</v>
      </c>
      <c r="D58" s="26">
        <f t="shared" si="0"/>
        <v>348406804.0371896</v>
      </c>
      <c r="E58" s="26">
        <f>SUM(E56:E57)</f>
        <v>348406804.0371896</v>
      </c>
      <c r="F58" s="26">
        <f>SUM(F56:F57)</f>
        <v>0</v>
      </c>
      <c r="G58" s="26">
        <f t="shared" ref="G58:P58" si="108">SUM(G56:G57)</f>
        <v>0</v>
      </c>
      <c r="H58" s="26">
        <f t="shared" si="108"/>
        <v>0</v>
      </c>
      <c r="I58" s="26">
        <f t="shared" si="108"/>
        <v>0</v>
      </c>
      <c r="J58" s="26">
        <f t="shared" si="108"/>
        <v>0</v>
      </c>
      <c r="K58" s="26">
        <f t="shared" si="108"/>
        <v>0</v>
      </c>
      <c r="L58" s="26">
        <f t="shared" si="108"/>
        <v>0</v>
      </c>
      <c r="M58" s="26">
        <f t="shared" si="108"/>
        <v>0</v>
      </c>
      <c r="N58" s="26">
        <f t="shared" si="108"/>
        <v>0</v>
      </c>
      <c r="O58" s="26">
        <f t="shared" si="108"/>
        <v>0</v>
      </c>
      <c r="P58" s="177">
        <f t="shared" si="108"/>
        <v>0</v>
      </c>
      <c r="Q58" s="192">
        <f t="shared" si="66"/>
        <v>348406804.0371896</v>
      </c>
      <c r="R58" s="26">
        <f>SUM(R56:R57)</f>
        <v>348406804.0371896</v>
      </c>
      <c r="S58" s="26">
        <f>SUM(S56:S57)</f>
        <v>0</v>
      </c>
      <c r="T58" s="26">
        <f t="shared" ref="T58:AC58" si="109">SUM(T56:T57)</f>
        <v>0</v>
      </c>
      <c r="U58" s="26">
        <f t="shared" si="109"/>
        <v>0</v>
      </c>
      <c r="V58" s="26">
        <f t="shared" si="109"/>
        <v>0</v>
      </c>
      <c r="W58" s="26">
        <f t="shared" si="109"/>
        <v>0</v>
      </c>
      <c r="X58" s="26">
        <f t="shared" si="109"/>
        <v>0</v>
      </c>
      <c r="Y58" s="26">
        <f t="shared" si="109"/>
        <v>0</v>
      </c>
      <c r="Z58" s="26">
        <f t="shared" si="109"/>
        <v>0</v>
      </c>
      <c r="AA58" s="26">
        <f t="shared" si="109"/>
        <v>0</v>
      </c>
      <c r="AB58" s="26">
        <f t="shared" si="109"/>
        <v>0</v>
      </c>
      <c r="AC58" s="177">
        <f t="shared" si="109"/>
        <v>0</v>
      </c>
      <c r="AD58" s="226">
        <f t="shared" si="67"/>
        <v>348406804.0371896</v>
      </c>
      <c r="AE58" s="26">
        <f>SUM(AE56:AE57)</f>
        <v>348406804.0371896</v>
      </c>
      <c r="AF58" s="26">
        <f>SUM(AF56:AF57)</f>
        <v>0</v>
      </c>
      <c r="AG58" s="26">
        <f t="shared" ref="AG58:AP58" si="110">SUM(AG56:AG57)</f>
        <v>0</v>
      </c>
      <c r="AH58" s="26">
        <f t="shared" si="110"/>
        <v>0</v>
      </c>
      <c r="AI58" s="26">
        <f t="shared" si="110"/>
        <v>0</v>
      </c>
      <c r="AJ58" s="26">
        <f t="shared" si="110"/>
        <v>0</v>
      </c>
      <c r="AK58" s="26">
        <f t="shared" si="110"/>
        <v>0</v>
      </c>
      <c r="AL58" s="26">
        <f t="shared" si="110"/>
        <v>0</v>
      </c>
      <c r="AM58" s="26">
        <f t="shared" si="110"/>
        <v>0</v>
      </c>
      <c r="AN58" s="26">
        <f t="shared" si="110"/>
        <v>0</v>
      </c>
      <c r="AO58" s="26">
        <f t="shared" si="110"/>
        <v>0</v>
      </c>
      <c r="AP58" s="209">
        <f t="shared" si="110"/>
        <v>0</v>
      </c>
      <c r="AQ58" s="192">
        <f t="shared" si="3"/>
        <v>0</v>
      </c>
      <c r="AR58" s="26"/>
      <c r="AS58" s="26">
        <f>SUM(AS56:AS57)</f>
        <v>348406804.0371896</v>
      </c>
      <c r="AT58" s="26">
        <f>SUM(AT56:AT57)</f>
        <v>0</v>
      </c>
      <c r="AU58" s="26">
        <f t="shared" ref="AU58:BD58" si="111">SUM(AU56:AU57)</f>
        <v>0</v>
      </c>
      <c r="AV58" s="26">
        <f t="shared" si="111"/>
        <v>0</v>
      </c>
      <c r="AW58" s="26">
        <f t="shared" si="111"/>
        <v>0</v>
      </c>
      <c r="AX58" s="26">
        <f t="shared" si="111"/>
        <v>0</v>
      </c>
      <c r="AY58" s="26">
        <f t="shared" si="111"/>
        <v>0</v>
      </c>
      <c r="AZ58" s="26">
        <f t="shared" si="111"/>
        <v>0</v>
      </c>
      <c r="BA58" s="26">
        <f t="shared" si="111"/>
        <v>0</v>
      </c>
      <c r="BB58" s="26">
        <f t="shared" si="111"/>
        <v>0</v>
      </c>
      <c r="BC58" s="26">
        <f t="shared" si="111"/>
        <v>0</v>
      </c>
      <c r="BD58" s="26">
        <f t="shared" si="111"/>
        <v>0</v>
      </c>
      <c r="BE58" s="192">
        <f t="shared" si="30"/>
        <v>0</v>
      </c>
      <c r="BF58" s="26"/>
      <c r="BG58" s="26">
        <f>SUM(BG56:BG57)</f>
        <v>348406804.0371896</v>
      </c>
      <c r="BH58" s="26">
        <f>SUM(BH56:BH57)</f>
        <v>0</v>
      </c>
      <c r="BI58" s="26">
        <f t="shared" ref="BI58:BR58" si="112">SUM(BI56:BI57)</f>
        <v>0</v>
      </c>
      <c r="BJ58" s="26">
        <f t="shared" si="112"/>
        <v>0</v>
      </c>
      <c r="BK58" s="26">
        <f t="shared" si="112"/>
        <v>0</v>
      </c>
      <c r="BL58" s="26">
        <f t="shared" si="112"/>
        <v>0</v>
      </c>
      <c r="BM58" s="26">
        <f t="shared" si="112"/>
        <v>0</v>
      </c>
      <c r="BN58" s="26">
        <f t="shared" si="112"/>
        <v>0</v>
      </c>
      <c r="BO58" s="26">
        <f t="shared" si="112"/>
        <v>0</v>
      </c>
      <c r="BP58" s="26">
        <f t="shared" si="112"/>
        <v>0</v>
      </c>
      <c r="BQ58" s="26">
        <f t="shared" si="112"/>
        <v>0</v>
      </c>
      <c r="BR58" s="26">
        <f t="shared" si="112"/>
        <v>0</v>
      </c>
    </row>
    <row r="59" spans="1:70" ht="12.75" hidden="1" customHeight="1" outlineLevel="3" x14ac:dyDescent="0.2">
      <c r="B59" s="38" t="s">
        <v>37</v>
      </c>
      <c r="C59" s="37" t="s">
        <v>36</v>
      </c>
      <c r="D59" s="40">
        <f t="shared" si="0"/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176">
        <v>0</v>
      </c>
      <c r="Q59" s="191">
        <f t="shared" si="66"/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176">
        <v>0</v>
      </c>
      <c r="AD59" s="225">
        <f t="shared" si="67"/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208">
        <v>0</v>
      </c>
      <c r="AQ59" s="191">
        <f t="shared" si="3"/>
        <v>0</v>
      </c>
      <c r="AR59" s="40"/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0</v>
      </c>
      <c r="BE59" s="191">
        <f t="shared" si="30"/>
        <v>0</v>
      </c>
      <c r="BF59" s="40"/>
      <c r="BG59" s="40">
        <v>0</v>
      </c>
      <c r="BH59" s="40">
        <v>0</v>
      </c>
      <c r="BI59" s="40">
        <v>0</v>
      </c>
      <c r="BJ59" s="40">
        <v>0</v>
      </c>
      <c r="BK59" s="40">
        <v>0</v>
      </c>
      <c r="BL59" s="40">
        <v>0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</row>
    <row r="60" spans="1:70" ht="12.75" hidden="1" customHeight="1" outlineLevel="3" x14ac:dyDescent="0.2">
      <c r="B60" s="38" t="s">
        <v>35</v>
      </c>
      <c r="C60" s="37" t="s">
        <v>34</v>
      </c>
      <c r="D60" s="40">
        <f t="shared" si="0"/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176">
        <v>0</v>
      </c>
      <c r="Q60" s="191">
        <f t="shared" si="66"/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176">
        <v>0</v>
      </c>
      <c r="AD60" s="225">
        <f t="shared" si="67"/>
        <v>0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0</v>
      </c>
      <c r="AP60" s="208">
        <v>0</v>
      </c>
      <c r="AQ60" s="191">
        <f t="shared" si="3"/>
        <v>0</v>
      </c>
      <c r="AR60" s="40"/>
      <c r="AS60" s="40">
        <v>0</v>
      </c>
      <c r="AT60" s="40">
        <v>0</v>
      </c>
      <c r="AU60" s="40">
        <v>0</v>
      </c>
      <c r="AV60" s="40">
        <v>0</v>
      </c>
      <c r="AW60" s="40">
        <v>0</v>
      </c>
      <c r="AX60" s="40">
        <v>0</v>
      </c>
      <c r="AY60" s="40">
        <v>0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191">
        <f t="shared" si="30"/>
        <v>0</v>
      </c>
      <c r="BF60" s="40"/>
      <c r="BG60" s="40">
        <v>0</v>
      </c>
      <c r="BH60" s="40">
        <v>0</v>
      </c>
      <c r="BI60" s="40">
        <v>0</v>
      </c>
      <c r="BJ60" s="40">
        <v>0</v>
      </c>
      <c r="BK60" s="40">
        <v>0</v>
      </c>
      <c r="BL60" s="40">
        <v>0</v>
      </c>
      <c r="BM60" s="40">
        <v>0</v>
      </c>
      <c r="BN60" s="40">
        <v>0</v>
      </c>
      <c r="BO60" s="40">
        <v>0</v>
      </c>
      <c r="BP60" s="40">
        <v>0</v>
      </c>
      <c r="BQ60" s="40">
        <v>0</v>
      </c>
      <c r="BR60" s="40">
        <v>0</v>
      </c>
    </row>
    <row r="61" spans="1:70" s="6" customFormat="1" hidden="1" outlineLevel="2" x14ac:dyDescent="0.2">
      <c r="A61" s="30"/>
      <c r="B61" s="29" t="s">
        <v>33</v>
      </c>
      <c r="C61" s="42" t="s">
        <v>32</v>
      </c>
      <c r="D61" s="26">
        <f t="shared" si="0"/>
        <v>0</v>
      </c>
      <c r="E61" s="26">
        <f>SUM(E59:E60)</f>
        <v>0</v>
      </c>
      <c r="F61" s="26">
        <f>SUM(F59:F60)</f>
        <v>0</v>
      </c>
      <c r="G61" s="26">
        <f t="shared" ref="G61:P61" si="113">SUM(G59:G60)</f>
        <v>0</v>
      </c>
      <c r="H61" s="26">
        <f t="shared" si="113"/>
        <v>0</v>
      </c>
      <c r="I61" s="26">
        <f t="shared" si="113"/>
        <v>0</v>
      </c>
      <c r="J61" s="26">
        <f t="shared" si="113"/>
        <v>0</v>
      </c>
      <c r="K61" s="26">
        <f t="shared" si="113"/>
        <v>0</v>
      </c>
      <c r="L61" s="26">
        <f t="shared" si="113"/>
        <v>0</v>
      </c>
      <c r="M61" s="26">
        <f t="shared" si="113"/>
        <v>0</v>
      </c>
      <c r="N61" s="26">
        <f t="shared" si="113"/>
        <v>0</v>
      </c>
      <c r="O61" s="26">
        <f t="shared" si="113"/>
        <v>0</v>
      </c>
      <c r="P61" s="177">
        <f t="shared" si="113"/>
        <v>0</v>
      </c>
      <c r="Q61" s="192">
        <f t="shared" si="66"/>
        <v>0</v>
      </c>
      <c r="R61" s="26">
        <f>SUM(R59:R60)</f>
        <v>0</v>
      </c>
      <c r="S61" s="26">
        <f>SUM(S59:S60)</f>
        <v>0</v>
      </c>
      <c r="T61" s="26">
        <f t="shared" ref="T61:AC61" si="114">SUM(T59:T60)</f>
        <v>0</v>
      </c>
      <c r="U61" s="26">
        <f t="shared" si="114"/>
        <v>0</v>
      </c>
      <c r="V61" s="26">
        <f t="shared" si="114"/>
        <v>0</v>
      </c>
      <c r="W61" s="26">
        <f t="shared" si="114"/>
        <v>0</v>
      </c>
      <c r="X61" s="26">
        <f t="shared" si="114"/>
        <v>0</v>
      </c>
      <c r="Y61" s="26">
        <f t="shared" si="114"/>
        <v>0</v>
      </c>
      <c r="Z61" s="26">
        <f t="shared" si="114"/>
        <v>0</v>
      </c>
      <c r="AA61" s="26">
        <f t="shared" si="114"/>
        <v>0</v>
      </c>
      <c r="AB61" s="26">
        <f t="shared" si="114"/>
        <v>0</v>
      </c>
      <c r="AC61" s="177">
        <f t="shared" si="114"/>
        <v>0</v>
      </c>
      <c r="AD61" s="226">
        <f t="shared" si="67"/>
        <v>0</v>
      </c>
      <c r="AE61" s="26">
        <f>SUM(AE59:AE60)</f>
        <v>0</v>
      </c>
      <c r="AF61" s="26">
        <f>SUM(AF59:AF60)</f>
        <v>0</v>
      </c>
      <c r="AG61" s="26">
        <f t="shared" ref="AG61:AP61" si="115">SUM(AG59:AG60)</f>
        <v>0</v>
      </c>
      <c r="AH61" s="26">
        <f t="shared" si="115"/>
        <v>0</v>
      </c>
      <c r="AI61" s="26">
        <f t="shared" si="115"/>
        <v>0</v>
      </c>
      <c r="AJ61" s="26">
        <f t="shared" si="115"/>
        <v>0</v>
      </c>
      <c r="AK61" s="26">
        <f t="shared" si="115"/>
        <v>0</v>
      </c>
      <c r="AL61" s="26">
        <f t="shared" si="115"/>
        <v>0</v>
      </c>
      <c r="AM61" s="26">
        <f t="shared" si="115"/>
        <v>0</v>
      </c>
      <c r="AN61" s="26">
        <f t="shared" si="115"/>
        <v>0</v>
      </c>
      <c r="AO61" s="26">
        <f t="shared" si="115"/>
        <v>0</v>
      </c>
      <c r="AP61" s="209">
        <f t="shared" si="115"/>
        <v>0</v>
      </c>
      <c r="AQ61" s="192">
        <f t="shared" si="3"/>
        <v>0</v>
      </c>
      <c r="AR61" s="26"/>
      <c r="AS61" s="26">
        <f>SUM(AS59:AS60)</f>
        <v>0</v>
      </c>
      <c r="AT61" s="26">
        <f>SUM(AT59:AT60)</f>
        <v>0</v>
      </c>
      <c r="AU61" s="26">
        <f t="shared" ref="AU61:BD61" si="116">SUM(AU59:AU60)</f>
        <v>0</v>
      </c>
      <c r="AV61" s="26">
        <f t="shared" si="116"/>
        <v>0</v>
      </c>
      <c r="AW61" s="26">
        <f t="shared" si="116"/>
        <v>0</v>
      </c>
      <c r="AX61" s="26">
        <f t="shared" si="116"/>
        <v>0</v>
      </c>
      <c r="AY61" s="26">
        <f t="shared" si="116"/>
        <v>0</v>
      </c>
      <c r="AZ61" s="26">
        <f t="shared" si="116"/>
        <v>0</v>
      </c>
      <c r="BA61" s="26">
        <f t="shared" si="116"/>
        <v>0</v>
      </c>
      <c r="BB61" s="26">
        <f t="shared" si="116"/>
        <v>0</v>
      </c>
      <c r="BC61" s="26">
        <f t="shared" si="116"/>
        <v>0</v>
      </c>
      <c r="BD61" s="26">
        <f t="shared" si="116"/>
        <v>0</v>
      </c>
      <c r="BE61" s="192">
        <f t="shared" si="30"/>
        <v>0</v>
      </c>
      <c r="BF61" s="26"/>
      <c r="BG61" s="26">
        <f>SUM(BG59:BG60)</f>
        <v>0</v>
      </c>
      <c r="BH61" s="26">
        <f>SUM(BH59:BH60)</f>
        <v>0</v>
      </c>
      <c r="BI61" s="26">
        <f t="shared" ref="BI61:BR61" si="117">SUM(BI59:BI60)</f>
        <v>0</v>
      </c>
      <c r="BJ61" s="26">
        <f t="shared" si="117"/>
        <v>0</v>
      </c>
      <c r="BK61" s="26">
        <f t="shared" si="117"/>
        <v>0</v>
      </c>
      <c r="BL61" s="26">
        <f t="shared" si="117"/>
        <v>0</v>
      </c>
      <c r="BM61" s="26">
        <f t="shared" si="117"/>
        <v>0</v>
      </c>
      <c r="BN61" s="26">
        <f t="shared" si="117"/>
        <v>0</v>
      </c>
      <c r="BO61" s="26">
        <f t="shared" si="117"/>
        <v>0</v>
      </c>
      <c r="BP61" s="26">
        <f t="shared" si="117"/>
        <v>0</v>
      </c>
      <c r="BQ61" s="26">
        <f t="shared" si="117"/>
        <v>0</v>
      </c>
      <c r="BR61" s="26">
        <f t="shared" si="117"/>
        <v>0</v>
      </c>
    </row>
    <row r="62" spans="1:70" ht="12.75" hidden="1" customHeight="1" outlineLevel="3" x14ac:dyDescent="0.2">
      <c r="B62" s="38" t="s">
        <v>26</v>
      </c>
      <c r="C62" s="37" t="s">
        <v>31</v>
      </c>
      <c r="D62" s="40">
        <f t="shared" si="0"/>
        <v>3332160713.7171431</v>
      </c>
      <c r="E62" s="40">
        <f>I62/3</f>
        <v>98004726.874033615</v>
      </c>
      <c r="F62" s="40">
        <f>3528170167.46521/12</f>
        <v>294014180.62210083</v>
      </c>
      <c r="G62" s="40">
        <f t="shared" ref="G62:P62" si="118">3528170167.46521/12</f>
        <v>294014180.62210083</v>
      </c>
      <c r="H62" s="40">
        <f t="shared" si="118"/>
        <v>294014180.62210083</v>
      </c>
      <c r="I62" s="40">
        <f t="shared" si="118"/>
        <v>294014180.62210083</v>
      </c>
      <c r="J62" s="40">
        <f t="shared" si="118"/>
        <v>294014180.62210083</v>
      </c>
      <c r="K62" s="40">
        <f t="shared" si="118"/>
        <v>294014180.62210083</v>
      </c>
      <c r="L62" s="40">
        <f t="shared" si="118"/>
        <v>294014180.62210083</v>
      </c>
      <c r="M62" s="40">
        <f t="shared" si="118"/>
        <v>294014180.62210083</v>
      </c>
      <c r="N62" s="40">
        <f t="shared" si="118"/>
        <v>294014180.62210083</v>
      </c>
      <c r="O62" s="40">
        <f t="shared" si="118"/>
        <v>294014180.62210083</v>
      </c>
      <c r="P62" s="176">
        <f t="shared" si="118"/>
        <v>294014180.62210083</v>
      </c>
      <c r="Q62" s="191">
        <f t="shared" si="66"/>
        <v>3332160713.7171431</v>
      </c>
      <c r="R62" s="40">
        <f>V62/3</f>
        <v>98004726.874033615</v>
      </c>
      <c r="S62" s="40">
        <f>3528170167.46521/12</f>
        <v>294014180.62210083</v>
      </c>
      <c r="T62" s="40">
        <f t="shared" ref="T62:AC62" si="119">3528170167.46521/12</f>
        <v>294014180.62210083</v>
      </c>
      <c r="U62" s="40">
        <f t="shared" si="119"/>
        <v>294014180.62210083</v>
      </c>
      <c r="V62" s="40">
        <f t="shared" si="119"/>
        <v>294014180.62210083</v>
      </c>
      <c r="W62" s="40">
        <f t="shared" si="119"/>
        <v>294014180.62210083</v>
      </c>
      <c r="X62" s="40">
        <f t="shared" si="119"/>
        <v>294014180.62210083</v>
      </c>
      <c r="Y62" s="40">
        <f t="shared" si="119"/>
        <v>294014180.62210083</v>
      </c>
      <c r="Z62" s="40">
        <f t="shared" si="119"/>
        <v>294014180.62210083</v>
      </c>
      <c r="AA62" s="40">
        <f t="shared" si="119"/>
        <v>294014180.62210083</v>
      </c>
      <c r="AB62" s="40">
        <f t="shared" si="119"/>
        <v>294014180.62210083</v>
      </c>
      <c r="AC62" s="176">
        <f t="shared" si="119"/>
        <v>294014180.62210083</v>
      </c>
      <c r="AD62" s="225">
        <f t="shared" si="67"/>
        <v>3332160713.7171431</v>
      </c>
      <c r="AE62" s="40">
        <f>AI62/3</f>
        <v>98004726.874033615</v>
      </c>
      <c r="AF62" s="40">
        <f>3528170167.46521/12</f>
        <v>294014180.62210083</v>
      </c>
      <c r="AG62" s="40">
        <f t="shared" ref="AG62:AP62" si="120">3528170167.46521/12</f>
        <v>294014180.62210083</v>
      </c>
      <c r="AH62" s="40">
        <f t="shared" si="120"/>
        <v>294014180.62210083</v>
      </c>
      <c r="AI62" s="40">
        <f t="shared" si="120"/>
        <v>294014180.62210083</v>
      </c>
      <c r="AJ62" s="40">
        <f t="shared" si="120"/>
        <v>294014180.62210083</v>
      </c>
      <c r="AK62" s="40">
        <f t="shared" si="120"/>
        <v>294014180.62210083</v>
      </c>
      <c r="AL62" s="40">
        <f t="shared" si="120"/>
        <v>294014180.62210083</v>
      </c>
      <c r="AM62" s="40">
        <f t="shared" si="120"/>
        <v>294014180.62210083</v>
      </c>
      <c r="AN62" s="40">
        <f t="shared" si="120"/>
        <v>294014180.62210083</v>
      </c>
      <c r="AO62" s="40">
        <f t="shared" si="120"/>
        <v>294014180.62210083</v>
      </c>
      <c r="AP62" s="208">
        <f t="shared" si="120"/>
        <v>294014180.62210083</v>
      </c>
      <c r="AQ62" s="191">
        <f t="shared" si="3"/>
        <v>0</v>
      </c>
      <c r="AR62" s="40"/>
      <c r="AS62" s="40">
        <f>AW62/3</f>
        <v>98004726.874033615</v>
      </c>
      <c r="AT62" s="40">
        <f>3528170167.46521/12</f>
        <v>294014180.62210083</v>
      </c>
      <c r="AU62" s="40">
        <f t="shared" ref="AU62:BD62" si="121">3528170167.46521/12</f>
        <v>294014180.62210083</v>
      </c>
      <c r="AV62" s="40">
        <f t="shared" si="121"/>
        <v>294014180.62210083</v>
      </c>
      <c r="AW62" s="40">
        <f t="shared" si="121"/>
        <v>294014180.62210083</v>
      </c>
      <c r="AX62" s="40">
        <f t="shared" si="121"/>
        <v>294014180.62210083</v>
      </c>
      <c r="AY62" s="40">
        <f t="shared" si="121"/>
        <v>294014180.62210083</v>
      </c>
      <c r="AZ62" s="40">
        <f t="shared" si="121"/>
        <v>294014180.62210083</v>
      </c>
      <c r="BA62" s="40">
        <f t="shared" si="121"/>
        <v>294014180.62210083</v>
      </c>
      <c r="BB62" s="40">
        <f t="shared" si="121"/>
        <v>294014180.62210083</v>
      </c>
      <c r="BC62" s="40">
        <f t="shared" si="121"/>
        <v>294014180.62210083</v>
      </c>
      <c r="BD62" s="40">
        <f t="shared" si="121"/>
        <v>294014180.62210083</v>
      </c>
      <c r="BE62" s="191">
        <f t="shared" si="30"/>
        <v>0</v>
      </c>
      <c r="BF62" s="40"/>
      <c r="BG62" s="40">
        <f>BK62/3</f>
        <v>98004726.874033615</v>
      </c>
      <c r="BH62" s="40">
        <f>3528170167.46521/12</f>
        <v>294014180.62210083</v>
      </c>
      <c r="BI62" s="40">
        <f t="shared" ref="BI62:BR62" si="122">3528170167.46521/12</f>
        <v>294014180.62210083</v>
      </c>
      <c r="BJ62" s="40">
        <f t="shared" si="122"/>
        <v>294014180.62210083</v>
      </c>
      <c r="BK62" s="40">
        <f t="shared" si="122"/>
        <v>294014180.62210083</v>
      </c>
      <c r="BL62" s="40">
        <f t="shared" si="122"/>
        <v>294014180.62210083</v>
      </c>
      <c r="BM62" s="40">
        <f t="shared" si="122"/>
        <v>294014180.62210083</v>
      </c>
      <c r="BN62" s="40">
        <f t="shared" si="122"/>
        <v>294014180.62210083</v>
      </c>
      <c r="BO62" s="40">
        <f t="shared" si="122"/>
        <v>294014180.62210083</v>
      </c>
      <c r="BP62" s="40">
        <f t="shared" si="122"/>
        <v>294014180.62210083</v>
      </c>
      <c r="BQ62" s="40">
        <f t="shared" si="122"/>
        <v>294014180.62210083</v>
      </c>
      <c r="BR62" s="40">
        <f t="shared" si="122"/>
        <v>294014180.62210083</v>
      </c>
    </row>
    <row r="63" spans="1:70" ht="12.75" hidden="1" customHeight="1" outlineLevel="3" x14ac:dyDescent="0.2">
      <c r="B63" s="38" t="s">
        <v>30</v>
      </c>
      <c r="C63" s="37" t="s">
        <v>29</v>
      </c>
      <c r="D63" s="35">
        <f t="shared" si="0"/>
        <v>616449732.03767061</v>
      </c>
      <c r="E63" s="35">
        <f>I63/3</f>
        <v>18130874.471696194</v>
      </c>
      <c r="F63" s="35">
        <f>652711480.981063/12</f>
        <v>54392623.415088587</v>
      </c>
      <c r="G63" s="35">
        <f t="shared" ref="G63:P63" si="123">652711480.981063/12</f>
        <v>54392623.415088587</v>
      </c>
      <c r="H63" s="35">
        <f t="shared" si="123"/>
        <v>54392623.415088587</v>
      </c>
      <c r="I63" s="35">
        <f t="shared" si="123"/>
        <v>54392623.415088587</v>
      </c>
      <c r="J63" s="35">
        <f t="shared" si="123"/>
        <v>54392623.415088587</v>
      </c>
      <c r="K63" s="35">
        <f t="shared" si="123"/>
        <v>54392623.415088587</v>
      </c>
      <c r="L63" s="35">
        <f t="shared" si="123"/>
        <v>54392623.415088587</v>
      </c>
      <c r="M63" s="35">
        <f t="shared" si="123"/>
        <v>54392623.415088587</v>
      </c>
      <c r="N63" s="35">
        <f t="shared" si="123"/>
        <v>54392623.415088587</v>
      </c>
      <c r="O63" s="35">
        <f t="shared" si="123"/>
        <v>54392623.415088587</v>
      </c>
      <c r="P63" s="179">
        <f t="shared" si="123"/>
        <v>54392623.415088587</v>
      </c>
      <c r="Q63" s="194">
        <f t="shared" si="66"/>
        <v>616449732.03767061</v>
      </c>
      <c r="R63" s="35">
        <f>V63/3</f>
        <v>18130874.471696194</v>
      </c>
      <c r="S63" s="35">
        <f>652711480.981063/12</f>
        <v>54392623.415088587</v>
      </c>
      <c r="T63" s="35">
        <f t="shared" ref="T63:AC63" si="124">652711480.981063/12</f>
        <v>54392623.415088587</v>
      </c>
      <c r="U63" s="35">
        <f t="shared" si="124"/>
        <v>54392623.415088587</v>
      </c>
      <c r="V63" s="35">
        <f t="shared" si="124"/>
        <v>54392623.415088587</v>
      </c>
      <c r="W63" s="35">
        <f t="shared" si="124"/>
        <v>54392623.415088587</v>
      </c>
      <c r="X63" s="35">
        <f t="shared" si="124"/>
        <v>54392623.415088587</v>
      </c>
      <c r="Y63" s="35">
        <f t="shared" si="124"/>
        <v>54392623.415088587</v>
      </c>
      <c r="Z63" s="35">
        <f t="shared" si="124"/>
        <v>54392623.415088587</v>
      </c>
      <c r="AA63" s="35">
        <f t="shared" si="124"/>
        <v>54392623.415088587</v>
      </c>
      <c r="AB63" s="35">
        <f t="shared" si="124"/>
        <v>54392623.415088587</v>
      </c>
      <c r="AC63" s="179">
        <f t="shared" si="124"/>
        <v>54392623.415088587</v>
      </c>
      <c r="AD63" s="225">
        <f t="shared" si="67"/>
        <v>616449732.03767061</v>
      </c>
      <c r="AE63" s="35">
        <f>AI63/3</f>
        <v>18130874.471696194</v>
      </c>
      <c r="AF63" s="35">
        <f>652711480.981063/12</f>
        <v>54392623.415088587</v>
      </c>
      <c r="AG63" s="35">
        <f t="shared" ref="AG63:AP63" si="125">652711480.981063/12</f>
        <v>54392623.415088587</v>
      </c>
      <c r="AH63" s="35">
        <f t="shared" si="125"/>
        <v>54392623.415088587</v>
      </c>
      <c r="AI63" s="35">
        <f t="shared" si="125"/>
        <v>54392623.415088587</v>
      </c>
      <c r="AJ63" s="35">
        <f t="shared" si="125"/>
        <v>54392623.415088587</v>
      </c>
      <c r="AK63" s="35">
        <f t="shared" si="125"/>
        <v>54392623.415088587</v>
      </c>
      <c r="AL63" s="35">
        <f t="shared" si="125"/>
        <v>54392623.415088587</v>
      </c>
      <c r="AM63" s="35">
        <f t="shared" si="125"/>
        <v>54392623.415088587</v>
      </c>
      <c r="AN63" s="35">
        <f t="shared" si="125"/>
        <v>54392623.415088587</v>
      </c>
      <c r="AO63" s="35">
        <f t="shared" si="125"/>
        <v>54392623.415088587</v>
      </c>
      <c r="AP63" s="211">
        <f t="shared" si="125"/>
        <v>54392623.415088587</v>
      </c>
      <c r="AQ63" s="194">
        <f t="shared" si="3"/>
        <v>0</v>
      </c>
      <c r="AR63" s="35"/>
      <c r="AS63" s="35">
        <f>AW63/3</f>
        <v>18130874.471696194</v>
      </c>
      <c r="AT63" s="35">
        <f>652711480.981063/12</f>
        <v>54392623.415088587</v>
      </c>
      <c r="AU63" s="35">
        <f t="shared" ref="AU63:BD63" si="126">652711480.981063/12</f>
        <v>54392623.415088587</v>
      </c>
      <c r="AV63" s="35">
        <f t="shared" si="126"/>
        <v>54392623.415088587</v>
      </c>
      <c r="AW63" s="35">
        <f t="shared" si="126"/>
        <v>54392623.415088587</v>
      </c>
      <c r="AX63" s="35">
        <f t="shared" si="126"/>
        <v>54392623.415088587</v>
      </c>
      <c r="AY63" s="35">
        <f t="shared" si="126"/>
        <v>54392623.415088587</v>
      </c>
      <c r="AZ63" s="35">
        <f t="shared" si="126"/>
        <v>54392623.415088587</v>
      </c>
      <c r="BA63" s="35">
        <f t="shared" si="126"/>
        <v>54392623.415088587</v>
      </c>
      <c r="BB63" s="35">
        <f t="shared" si="126"/>
        <v>54392623.415088587</v>
      </c>
      <c r="BC63" s="35">
        <f t="shared" si="126"/>
        <v>54392623.415088587</v>
      </c>
      <c r="BD63" s="35">
        <f t="shared" si="126"/>
        <v>54392623.415088587</v>
      </c>
      <c r="BE63" s="194">
        <f t="shared" si="30"/>
        <v>0</v>
      </c>
      <c r="BF63" s="35"/>
      <c r="BG63" s="35">
        <f>BK63/3</f>
        <v>18130874.471696194</v>
      </c>
      <c r="BH63" s="35">
        <f>652711480.981063/12</f>
        <v>54392623.415088587</v>
      </c>
      <c r="BI63" s="35">
        <f t="shared" ref="BI63:BR63" si="127">652711480.981063/12</f>
        <v>54392623.415088587</v>
      </c>
      <c r="BJ63" s="35">
        <f t="shared" si="127"/>
        <v>54392623.415088587</v>
      </c>
      <c r="BK63" s="35">
        <f t="shared" si="127"/>
        <v>54392623.415088587</v>
      </c>
      <c r="BL63" s="35">
        <f t="shared" si="127"/>
        <v>54392623.415088587</v>
      </c>
      <c r="BM63" s="35">
        <f t="shared" si="127"/>
        <v>54392623.415088587</v>
      </c>
      <c r="BN63" s="35">
        <f t="shared" si="127"/>
        <v>54392623.415088587</v>
      </c>
      <c r="BO63" s="35">
        <f t="shared" si="127"/>
        <v>54392623.415088587</v>
      </c>
      <c r="BP63" s="35">
        <f t="shared" si="127"/>
        <v>54392623.415088587</v>
      </c>
      <c r="BQ63" s="35">
        <f t="shared" si="127"/>
        <v>54392623.415088587</v>
      </c>
      <c r="BR63" s="35">
        <f t="shared" si="127"/>
        <v>54392623.415088587</v>
      </c>
    </row>
    <row r="64" spans="1:70" s="6" customFormat="1" hidden="1" outlineLevel="2" x14ac:dyDescent="0.2">
      <c r="A64" s="30"/>
      <c r="B64" s="29" t="s">
        <v>28</v>
      </c>
      <c r="C64" s="28" t="s">
        <v>27</v>
      </c>
      <c r="D64" s="26">
        <f t="shared" si="0"/>
        <v>3948610445.7548137</v>
      </c>
      <c r="E64" s="26">
        <f>SUM(E62:E63)</f>
        <v>116135601.34572981</v>
      </c>
      <c r="F64" s="26">
        <f>SUM(F62:F63)</f>
        <v>348406804.03718942</v>
      </c>
      <c r="G64" s="26">
        <f t="shared" ref="G64:P64" si="128">SUM(G62:G63)</f>
        <v>348406804.03718942</v>
      </c>
      <c r="H64" s="26">
        <f t="shared" si="128"/>
        <v>348406804.03718942</v>
      </c>
      <c r="I64" s="26">
        <f t="shared" si="128"/>
        <v>348406804.03718942</v>
      </c>
      <c r="J64" s="26">
        <f t="shared" si="128"/>
        <v>348406804.03718942</v>
      </c>
      <c r="K64" s="26">
        <f t="shared" si="128"/>
        <v>348406804.03718942</v>
      </c>
      <c r="L64" s="26">
        <f t="shared" si="128"/>
        <v>348406804.03718942</v>
      </c>
      <c r="M64" s="26">
        <f t="shared" si="128"/>
        <v>348406804.03718942</v>
      </c>
      <c r="N64" s="26">
        <f t="shared" si="128"/>
        <v>348406804.03718942</v>
      </c>
      <c r="O64" s="26">
        <f t="shared" si="128"/>
        <v>348406804.03718942</v>
      </c>
      <c r="P64" s="177">
        <f t="shared" si="128"/>
        <v>348406804.03718942</v>
      </c>
      <c r="Q64" s="192">
        <f t="shared" si="66"/>
        <v>3948610445.7548137</v>
      </c>
      <c r="R64" s="26">
        <f>SUM(R62:R63)</f>
        <v>116135601.34572981</v>
      </c>
      <c r="S64" s="26">
        <f>SUM(S62:S63)</f>
        <v>348406804.03718942</v>
      </c>
      <c r="T64" s="26">
        <f t="shared" ref="T64:AC64" si="129">SUM(T62:T63)</f>
        <v>348406804.03718942</v>
      </c>
      <c r="U64" s="26">
        <f t="shared" si="129"/>
        <v>348406804.03718942</v>
      </c>
      <c r="V64" s="26">
        <f t="shared" si="129"/>
        <v>348406804.03718942</v>
      </c>
      <c r="W64" s="26">
        <f t="shared" si="129"/>
        <v>348406804.03718942</v>
      </c>
      <c r="X64" s="26">
        <f t="shared" si="129"/>
        <v>348406804.03718942</v>
      </c>
      <c r="Y64" s="26">
        <f t="shared" si="129"/>
        <v>348406804.03718942</v>
      </c>
      <c r="Z64" s="26">
        <f t="shared" si="129"/>
        <v>348406804.03718942</v>
      </c>
      <c r="AA64" s="26">
        <f t="shared" si="129"/>
        <v>348406804.03718942</v>
      </c>
      <c r="AB64" s="26">
        <f t="shared" si="129"/>
        <v>348406804.03718942</v>
      </c>
      <c r="AC64" s="177">
        <f t="shared" si="129"/>
        <v>348406804.03718942</v>
      </c>
      <c r="AD64" s="226">
        <f t="shared" si="67"/>
        <v>3948610445.7548137</v>
      </c>
      <c r="AE64" s="26">
        <f>SUM(AE62:AE63)</f>
        <v>116135601.34572981</v>
      </c>
      <c r="AF64" s="26">
        <f>SUM(AF62:AF63)</f>
        <v>348406804.03718942</v>
      </c>
      <c r="AG64" s="26">
        <f t="shared" ref="AG64:AP64" si="130">SUM(AG62:AG63)</f>
        <v>348406804.03718942</v>
      </c>
      <c r="AH64" s="26">
        <f t="shared" si="130"/>
        <v>348406804.03718942</v>
      </c>
      <c r="AI64" s="26">
        <f t="shared" si="130"/>
        <v>348406804.03718942</v>
      </c>
      <c r="AJ64" s="26">
        <f t="shared" si="130"/>
        <v>348406804.03718942</v>
      </c>
      <c r="AK64" s="26">
        <f t="shared" si="130"/>
        <v>348406804.03718942</v>
      </c>
      <c r="AL64" s="26">
        <f t="shared" si="130"/>
        <v>348406804.03718942</v>
      </c>
      <c r="AM64" s="26">
        <f t="shared" si="130"/>
        <v>348406804.03718942</v>
      </c>
      <c r="AN64" s="26">
        <f t="shared" si="130"/>
        <v>348406804.03718942</v>
      </c>
      <c r="AO64" s="26">
        <f t="shared" si="130"/>
        <v>348406804.03718942</v>
      </c>
      <c r="AP64" s="209">
        <f t="shared" si="130"/>
        <v>348406804.03718942</v>
      </c>
      <c r="AQ64" s="192">
        <f t="shared" si="3"/>
        <v>0</v>
      </c>
      <c r="AR64" s="26"/>
      <c r="AS64" s="26">
        <f>SUM(AS62:AS63)</f>
        <v>116135601.34572981</v>
      </c>
      <c r="AT64" s="26">
        <f>SUM(AT62:AT63)</f>
        <v>348406804.03718942</v>
      </c>
      <c r="AU64" s="26">
        <f t="shared" ref="AU64:BD64" si="131">SUM(AU62:AU63)</f>
        <v>348406804.03718942</v>
      </c>
      <c r="AV64" s="26">
        <f t="shared" si="131"/>
        <v>348406804.03718942</v>
      </c>
      <c r="AW64" s="26">
        <f t="shared" si="131"/>
        <v>348406804.03718942</v>
      </c>
      <c r="AX64" s="26">
        <f t="shared" si="131"/>
        <v>348406804.03718942</v>
      </c>
      <c r="AY64" s="26">
        <f t="shared" si="131"/>
        <v>348406804.03718942</v>
      </c>
      <c r="AZ64" s="26">
        <f t="shared" si="131"/>
        <v>348406804.03718942</v>
      </c>
      <c r="BA64" s="26">
        <f t="shared" si="131"/>
        <v>348406804.03718942</v>
      </c>
      <c r="BB64" s="26">
        <f t="shared" si="131"/>
        <v>348406804.03718942</v>
      </c>
      <c r="BC64" s="26">
        <f t="shared" si="131"/>
        <v>348406804.03718942</v>
      </c>
      <c r="BD64" s="26">
        <f t="shared" si="131"/>
        <v>348406804.03718942</v>
      </c>
      <c r="BE64" s="192">
        <f t="shared" si="30"/>
        <v>0</v>
      </c>
      <c r="BF64" s="26"/>
      <c r="BG64" s="26">
        <f>SUM(BG62:BG63)</f>
        <v>116135601.34572981</v>
      </c>
      <c r="BH64" s="26">
        <f>SUM(BH62:BH63)</f>
        <v>348406804.03718942</v>
      </c>
      <c r="BI64" s="26">
        <f t="shared" ref="BI64:BR64" si="132">SUM(BI62:BI63)</f>
        <v>348406804.03718942</v>
      </c>
      <c r="BJ64" s="26">
        <f t="shared" si="132"/>
        <v>348406804.03718942</v>
      </c>
      <c r="BK64" s="26">
        <f t="shared" si="132"/>
        <v>348406804.03718942</v>
      </c>
      <c r="BL64" s="26">
        <f t="shared" si="132"/>
        <v>348406804.03718942</v>
      </c>
      <c r="BM64" s="26">
        <f t="shared" si="132"/>
        <v>348406804.03718942</v>
      </c>
      <c r="BN64" s="26">
        <f t="shared" si="132"/>
        <v>348406804.03718942</v>
      </c>
      <c r="BO64" s="26">
        <f t="shared" si="132"/>
        <v>348406804.03718942</v>
      </c>
      <c r="BP64" s="26">
        <f t="shared" si="132"/>
        <v>348406804.03718942</v>
      </c>
      <c r="BQ64" s="26">
        <f t="shared" si="132"/>
        <v>348406804.03718942</v>
      </c>
      <c r="BR64" s="26">
        <f t="shared" si="132"/>
        <v>348406804.03718942</v>
      </c>
    </row>
    <row r="65" spans="1:70" ht="15.75" customHeight="1" collapsed="1" x14ac:dyDescent="0.2">
      <c r="B65" s="21" t="s">
        <v>26</v>
      </c>
      <c r="C65" s="20" t="s">
        <v>25</v>
      </c>
      <c r="D65" s="18">
        <f t="shared" si="0"/>
        <v>4297017249.7920036</v>
      </c>
      <c r="E65" s="18">
        <f>E64+E61+E58</f>
        <v>464542405.38291943</v>
      </c>
      <c r="F65" s="18">
        <f>F64+F61+F58</f>
        <v>348406804.03718942</v>
      </c>
      <c r="G65" s="18">
        <f t="shared" ref="G65:P65" si="133">G64+G61+G58</f>
        <v>348406804.03718942</v>
      </c>
      <c r="H65" s="18">
        <f t="shared" si="133"/>
        <v>348406804.03718942</v>
      </c>
      <c r="I65" s="18">
        <f t="shared" si="133"/>
        <v>348406804.03718942</v>
      </c>
      <c r="J65" s="18">
        <f t="shared" si="133"/>
        <v>348406804.03718942</v>
      </c>
      <c r="K65" s="18">
        <f t="shared" si="133"/>
        <v>348406804.03718942</v>
      </c>
      <c r="L65" s="18">
        <f t="shared" si="133"/>
        <v>348406804.03718942</v>
      </c>
      <c r="M65" s="18">
        <f t="shared" si="133"/>
        <v>348406804.03718942</v>
      </c>
      <c r="N65" s="18">
        <f t="shared" si="133"/>
        <v>348406804.03718942</v>
      </c>
      <c r="O65" s="18">
        <f t="shared" si="133"/>
        <v>348406804.03718942</v>
      </c>
      <c r="P65" s="180">
        <f t="shared" si="133"/>
        <v>348406804.03718942</v>
      </c>
      <c r="Q65" s="195">
        <f t="shared" si="66"/>
        <v>4297017249.7920036</v>
      </c>
      <c r="R65" s="18">
        <f>R64+R61+R58</f>
        <v>464542405.38291943</v>
      </c>
      <c r="S65" s="18">
        <f>S64+S61+S58</f>
        <v>348406804.03718942</v>
      </c>
      <c r="T65" s="18">
        <f t="shared" ref="T65:AC65" si="134">T64+T61+T58</f>
        <v>348406804.03718942</v>
      </c>
      <c r="U65" s="18">
        <f t="shared" si="134"/>
        <v>348406804.03718942</v>
      </c>
      <c r="V65" s="18">
        <f t="shared" si="134"/>
        <v>348406804.03718942</v>
      </c>
      <c r="W65" s="18">
        <f t="shared" si="134"/>
        <v>348406804.03718942</v>
      </c>
      <c r="X65" s="18">
        <f t="shared" si="134"/>
        <v>348406804.03718942</v>
      </c>
      <c r="Y65" s="18">
        <f t="shared" si="134"/>
        <v>348406804.03718942</v>
      </c>
      <c r="Z65" s="18">
        <f t="shared" si="134"/>
        <v>348406804.03718942</v>
      </c>
      <c r="AA65" s="18">
        <f t="shared" si="134"/>
        <v>348406804.03718942</v>
      </c>
      <c r="AB65" s="18">
        <f t="shared" si="134"/>
        <v>348406804.03718942</v>
      </c>
      <c r="AC65" s="180">
        <f t="shared" si="134"/>
        <v>348406804.03718942</v>
      </c>
      <c r="AD65" s="228">
        <f t="shared" si="67"/>
        <v>4297017249.7920036</v>
      </c>
      <c r="AE65" s="18">
        <f>AE64+AE61+AE58</f>
        <v>464542405.38291943</v>
      </c>
      <c r="AF65" s="18">
        <f>AF64+AF61+AF58</f>
        <v>348406804.03718942</v>
      </c>
      <c r="AG65" s="18">
        <f t="shared" ref="AG65:AP65" si="135">AG64+AG61+AG58</f>
        <v>348406804.03718942</v>
      </c>
      <c r="AH65" s="18">
        <f t="shared" si="135"/>
        <v>348406804.03718942</v>
      </c>
      <c r="AI65" s="18">
        <f t="shared" si="135"/>
        <v>348406804.03718942</v>
      </c>
      <c r="AJ65" s="18">
        <f t="shared" si="135"/>
        <v>348406804.03718942</v>
      </c>
      <c r="AK65" s="18">
        <f t="shared" si="135"/>
        <v>348406804.03718942</v>
      </c>
      <c r="AL65" s="18">
        <f t="shared" si="135"/>
        <v>348406804.03718942</v>
      </c>
      <c r="AM65" s="18">
        <f t="shared" si="135"/>
        <v>348406804.03718942</v>
      </c>
      <c r="AN65" s="18">
        <f t="shared" si="135"/>
        <v>348406804.03718942</v>
      </c>
      <c r="AO65" s="18">
        <f t="shared" si="135"/>
        <v>348406804.03718942</v>
      </c>
      <c r="AP65" s="212">
        <f t="shared" si="135"/>
        <v>348406804.03718942</v>
      </c>
      <c r="AQ65" s="195">
        <f t="shared" si="3"/>
        <v>0</v>
      </c>
      <c r="AR65" s="18"/>
      <c r="AS65" s="18">
        <f>AS64+AS61+AS58</f>
        <v>464542405.38291943</v>
      </c>
      <c r="AT65" s="18">
        <f>AT64+AT61+AT58</f>
        <v>348406804.03718942</v>
      </c>
      <c r="AU65" s="18">
        <f t="shared" ref="AU65:BD65" si="136">AU64+AU61+AU58</f>
        <v>348406804.03718942</v>
      </c>
      <c r="AV65" s="18">
        <f t="shared" si="136"/>
        <v>348406804.03718942</v>
      </c>
      <c r="AW65" s="18">
        <f t="shared" si="136"/>
        <v>348406804.03718942</v>
      </c>
      <c r="AX65" s="18">
        <f t="shared" si="136"/>
        <v>348406804.03718942</v>
      </c>
      <c r="AY65" s="18">
        <f t="shared" si="136"/>
        <v>348406804.03718942</v>
      </c>
      <c r="AZ65" s="18">
        <f t="shared" si="136"/>
        <v>348406804.03718942</v>
      </c>
      <c r="BA65" s="18">
        <f t="shared" si="136"/>
        <v>348406804.03718942</v>
      </c>
      <c r="BB65" s="18">
        <f t="shared" si="136"/>
        <v>348406804.03718942</v>
      </c>
      <c r="BC65" s="18">
        <f t="shared" si="136"/>
        <v>348406804.03718942</v>
      </c>
      <c r="BD65" s="18">
        <f t="shared" si="136"/>
        <v>348406804.03718942</v>
      </c>
      <c r="BE65" s="195">
        <f t="shared" si="30"/>
        <v>0</v>
      </c>
      <c r="BF65" s="18"/>
      <c r="BG65" s="18">
        <f>BG64+BG61+BG58</f>
        <v>464542405.38291943</v>
      </c>
      <c r="BH65" s="18">
        <f>BH64+BH61+BH58</f>
        <v>348406804.03718942</v>
      </c>
      <c r="BI65" s="18">
        <f t="shared" ref="BI65:BR65" si="137">BI64+BI61+BI58</f>
        <v>348406804.03718942</v>
      </c>
      <c r="BJ65" s="18">
        <f t="shared" si="137"/>
        <v>348406804.03718942</v>
      </c>
      <c r="BK65" s="18">
        <f t="shared" si="137"/>
        <v>348406804.03718942</v>
      </c>
      <c r="BL65" s="18">
        <f t="shared" si="137"/>
        <v>348406804.03718942</v>
      </c>
      <c r="BM65" s="18">
        <f t="shared" si="137"/>
        <v>348406804.03718942</v>
      </c>
      <c r="BN65" s="18">
        <f t="shared" si="137"/>
        <v>348406804.03718942</v>
      </c>
      <c r="BO65" s="18">
        <f t="shared" si="137"/>
        <v>348406804.03718942</v>
      </c>
      <c r="BP65" s="18">
        <f t="shared" si="137"/>
        <v>348406804.03718942</v>
      </c>
      <c r="BQ65" s="18">
        <f t="shared" si="137"/>
        <v>348406804.03718942</v>
      </c>
      <c r="BR65" s="18">
        <f t="shared" si="137"/>
        <v>348406804.03718942</v>
      </c>
    </row>
    <row r="66" spans="1:70" s="6" customFormat="1" ht="18.75" customHeight="1" x14ac:dyDescent="0.2">
      <c r="B66" s="13" t="s">
        <v>24</v>
      </c>
      <c r="C66" s="156" t="s">
        <v>23</v>
      </c>
      <c r="D66" s="157">
        <f t="shared" si="0"/>
        <v>7198566863.8081627</v>
      </c>
      <c r="E66" s="11">
        <f>E51+E65+E55</f>
        <v>718924646.25291944</v>
      </c>
      <c r="F66" s="11">
        <f>F51+F65+F55</f>
        <v>589058383.41411293</v>
      </c>
      <c r="G66" s="11">
        <f t="shared" ref="G66:P66" si="138">G51+G65+G55</f>
        <v>589058383.41411293</v>
      </c>
      <c r="H66" s="11">
        <f t="shared" si="138"/>
        <v>589058383.41411293</v>
      </c>
      <c r="I66" s="11">
        <f t="shared" si="138"/>
        <v>589058383.41411293</v>
      </c>
      <c r="J66" s="11">
        <f t="shared" si="138"/>
        <v>589058383.41411293</v>
      </c>
      <c r="K66" s="11">
        <f t="shared" si="138"/>
        <v>589058383.41411293</v>
      </c>
      <c r="L66" s="11">
        <f t="shared" si="138"/>
        <v>589058383.41411293</v>
      </c>
      <c r="M66" s="11">
        <f t="shared" si="138"/>
        <v>589058383.41411293</v>
      </c>
      <c r="N66" s="11">
        <f t="shared" si="138"/>
        <v>589058383.41411293</v>
      </c>
      <c r="O66" s="11">
        <f t="shared" si="138"/>
        <v>589058383.41411293</v>
      </c>
      <c r="P66" s="181">
        <f t="shared" si="138"/>
        <v>589058383.41411293</v>
      </c>
      <c r="Q66" s="196">
        <f t="shared" si="66"/>
        <v>7198566863.8081627</v>
      </c>
      <c r="R66" s="11">
        <f>R51+R65+R55</f>
        <v>718924646.25291944</v>
      </c>
      <c r="S66" s="11">
        <f>S51+S65+S55</f>
        <v>589058383.41411293</v>
      </c>
      <c r="T66" s="11">
        <f t="shared" ref="T66:AC66" si="139">T51+T65+T55</f>
        <v>589058383.41411293</v>
      </c>
      <c r="U66" s="11">
        <f t="shared" si="139"/>
        <v>589058383.41411293</v>
      </c>
      <c r="V66" s="11">
        <f t="shared" si="139"/>
        <v>589058383.41411293</v>
      </c>
      <c r="W66" s="11">
        <f t="shared" si="139"/>
        <v>589058383.41411293</v>
      </c>
      <c r="X66" s="11">
        <f t="shared" si="139"/>
        <v>589058383.41411293</v>
      </c>
      <c r="Y66" s="11">
        <f t="shared" si="139"/>
        <v>589058383.41411293</v>
      </c>
      <c r="Z66" s="11">
        <f t="shared" si="139"/>
        <v>589058383.41411293</v>
      </c>
      <c r="AA66" s="11">
        <f t="shared" si="139"/>
        <v>589058383.41411293</v>
      </c>
      <c r="AB66" s="11">
        <f t="shared" si="139"/>
        <v>589058383.41411293</v>
      </c>
      <c r="AC66" s="181">
        <f t="shared" si="139"/>
        <v>589058383.41411293</v>
      </c>
      <c r="AD66" s="196">
        <f t="shared" si="67"/>
        <v>7198566863.8081627</v>
      </c>
      <c r="AE66" s="11">
        <f>AE51+AE65+AE55</f>
        <v>718924646.25291944</v>
      </c>
      <c r="AF66" s="11">
        <f>AF51+AF65+AF55</f>
        <v>589058383.41411293</v>
      </c>
      <c r="AG66" s="11">
        <f t="shared" ref="AG66:AP66" si="140">AG51+AG65+AG55</f>
        <v>589058383.41411293</v>
      </c>
      <c r="AH66" s="11">
        <f t="shared" si="140"/>
        <v>589058383.41411293</v>
      </c>
      <c r="AI66" s="11">
        <f t="shared" si="140"/>
        <v>589058383.41411293</v>
      </c>
      <c r="AJ66" s="11">
        <f t="shared" si="140"/>
        <v>589058383.41411293</v>
      </c>
      <c r="AK66" s="11">
        <f t="shared" si="140"/>
        <v>589058383.41411293</v>
      </c>
      <c r="AL66" s="11">
        <f t="shared" si="140"/>
        <v>589058383.41411293</v>
      </c>
      <c r="AM66" s="11">
        <f t="shared" si="140"/>
        <v>589058383.41411293</v>
      </c>
      <c r="AN66" s="11">
        <f t="shared" si="140"/>
        <v>589058383.41411293</v>
      </c>
      <c r="AO66" s="11">
        <f t="shared" si="140"/>
        <v>589058383.41411293</v>
      </c>
      <c r="AP66" s="213">
        <f t="shared" si="140"/>
        <v>589058383.41411293</v>
      </c>
      <c r="AQ66" s="196">
        <f t="shared" si="3"/>
        <v>0</v>
      </c>
      <c r="AR66" s="11"/>
      <c r="AS66" s="11">
        <f>AS51+AS65+AS55</f>
        <v>718924646.25291944</v>
      </c>
      <c r="AT66" s="11">
        <f>AT51+AT65+AT55</f>
        <v>589058383.41411293</v>
      </c>
      <c r="AU66" s="11">
        <f t="shared" ref="AU66:BD66" si="141">AU51+AU65+AU55</f>
        <v>589058383.41411293</v>
      </c>
      <c r="AV66" s="11">
        <f t="shared" si="141"/>
        <v>589058383.41411293</v>
      </c>
      <c r="AW66" s="11">
        <f t="shared" si="141"/>
        <v>589058383.41411293</v>
      </c>
      <c r="AX66" s="11">
        <f t="shared" si="141"/>
        <v>589058383.41411293</v>
      </c>
      <c r="AY66" s="11">
        <f t="shared" si="141"/>
        <v>589058383.41411293</v>
      </c>
      <c r="AZ66" s="11">
        <f t="shared" si="141"/>
        <v>589058383.41411293</v>
      </c>
      <c r="BA66" s="11">
        <f t="shared" si="141"/>
        <v>589058383.41411293</v>
      </c>
      <c r="BB66" s="11">
        <f t="shared" si="141"/>
        <v>589058383.41411293</v>
      </c>
      <c r="BC66" s="11">
        <f t="shared" si="141"/>
        <v>589058383.41411293</v>
      </c>
      <c r="BD66" s="11">
        <f t="shared" si="141"/>
        <v>589058383.41411293</v>
      </c>
      <c r="BE66" s="196">
        <f t="shared" si="30"/>
        <v>0</v>
      </c>
      <c r="BF66" s="11"/>
      <c r="BG66" s="11">
        <f>BG51+BG65+BG55</f>
        <v>718924646.25291944</v>
      </c>
      <c r="BH66" s="11">
        <f>BH51+BH65+BH55</f>
        <v>589058383.41411293</v>
      </c>
      <c r="BI66" s="11">
        <f t="shared" ref="BI66:BR66" si="142">BI51+BI65+BI55</f>
        <v>589058383.41411293</v>
      </c>
      <c r="BJ66" s="11">
        <f t="shared" si="142"/>
        <v>589058383.41411293</v>
      </c>
      <c r="BK66" s="11">
        <f t="shared" si="142"/>
        <v>589058383.41411293</v>
      </c>
      <c r="BL66" s="11">
        <f t="shared" si="142"/>
        <v>589058383.41411293</v>
      </c>
      <c r="BM66" s="11">
        <f t="shared" si="142"/>
        <v>589058383.41411293</v>
      </c>
      <c r="BN66" s="11">
        <f t="shared" si="142"/>
        <v>589058383.41411293</v>
      </c>
      <c r="BO66" s="11">
        <f t="shared" si="142"/>
        <v>589058383.41411293</v>
      </c>
      <c r="BP66" s="11">
        <f t="shared" si="142"/>
        <v>589058383.41411293</v>
      </c>
      <c r="BQ66" s="11">
        <f t="shared" si="142"/>
        <v>589058383.41411293</v>
      </c>
      <c r="BR66" s="11">
        <f t="shared" si="142"/>
        <v>589058383.41411293</v>
      </c>
    </row>
    <row r="67" spans="1:70" ht="16.5" customHeight="1" outlineLevel="1" x14ac:dyDescent="0.2">
      <c r="A67" s="54"/>
      <c r="B67" s="101" t="s">
        <v>22</v>
      </c>
      <c r="C67" s="100" t="s">
        <v>21</v>
      </c>
      <c r="D67" s="158">
        <f>(D13+D16+D19+D22+D29+D32+D35+D38)/(D12+D15+D18+D21+D28+D31+D34+D37)</f>
        <v>0.1850775038922492</v>
      </c>
      <c r="E67" s="117">
        <f>(E13+E16+E19+E22+E29+E32+E35+E38)/(E12+E15+E18+E21+E28+E31+E34+E37)</f>
        <v>0.18587833690067815</v>
      </c>
      <c r="F67" s="117">
        <f>(F13+F16+F19+F22+F29+F32+F35+F38)/(F12+F15+F18+F21+F28+F31+F34+F37)</f>
        <v>0.18499999999999994</v>
      </c>
      <c r="G67" s="117">
        <f t="shared" ref="G67:P67" si="143">(G13+G16+G19+G22+G29+G32+G35+G38)/(G12+G15+G18+G21+G28+G31+G34+G37)</f>
        <v>0.18499999999999994</v>
      </c>
      <c r="H67" s="117">
        <f t="shared" si="143"/>
        <v>0.18499999999999994</v>
      </c>
      <c r="I67" s="117">
        <f t="shared" si="143"/>
        <v>0.18499999999999994</v>
      </c>
      <c r="J67" s="117">
        <f t="shared" si="143"/>
        <v>0.18499999999999994</v>
      </c>
      <c r="K67" s="117">
        <f t="shared" si="143"/>
        <v>0.18499999999999994</v>
      </c>
      <c r="L67" s="117">
        <f t="shared" si="143"/>
        <v>0.18499999999999994</v>
      </c>
      <c r="M67" s="117">
        <f t="shared" si="143"/>
        <v>0.18499999999999994</v>
      </c>
      <c r="N67" s="117">
        <f t="shared" si="143"/>
        <v>0.18499999999999994</v>
      </c>
      <c r="O67" s="117">
        <f t="shared" si="143"/>
        <v>0.18499999999999994</v>
      </c>
      <c r="P67" s="182">
        <f t="shared" si="143"/>
        <v>0.18499999999999994</v>
      </c>
      <c r="Q67" s="197">
        <f>(Q13+Q16+Q19+Q22+Q29+Q32+Q35+Q38)/(Q12+Q15+Q18+Q21+Q28+Q31+Q34+Q37)</f>
        <v>0.1850775038922492</v>
      </c>
      <c r="R67" s="117">
        <f>(R13+R16+R19+R22+R29+R32+R35+R38)/(R12+R15+R18+R21+R28+R31+R34+R37)</f>
        <v>0.18587833690067815</v>
      </c>
      <c r="S67" s="117">
        <f>(S13+S16+S19+S22+S29+S32+S35+S38)/(S12+S15+S18+S21+S28+S31+S34+S37)</f>
        <v>0.18499999999999994</v>
      </c>
      <c r="T67" s="117">
        <f t="shared" ref="T67:AC67" si="144">(T13+T16+T19+T22+T29+T32+T35+T38)/(T12+T15+T18+T21+T28+T31+T34+T37)</f>
        <v>0.18499999999999994</v>
      </c>
      <c r="U67" s="117">
        <f t="shared" si="144"/>
        <v>0.18499999999999994</v>
      </c>
      <c r="V67" s="117">
        <f t="shared" si="144"/>
        <v>0.18499999999999994</v>
      </c>
      <c r="W67" s="117">
        <f t="shared" si="144"/>
        <v>0.18499999999999994</v>
      </c>
      <c r="X67" s="117">
        <f t="shared" si="144"/>
        <v>0.18499999999999994</v>
      </c>
      <c r="Y67" s="117">
        <f t="shared" si="144"/>
        <v>0.18499999999999994</v>
      </c>
      <c r="Z67" s="117">
        <f t="shared" si="144"/>
        <v>0.18499999999999994</v>
      </c>
      <c r="AA67" s="117">
        <f t="shared" si="144"/>
        <v>0.18499999999999994</v>
      </c>
      <c r="AB67" s="117">
        <f t="shared" si="144"/>
        <v>0.18499999999999994</v>
      </c>
      <c r="AC67" s="182">
        <f t="shared" si="144"/>
        <v>0.18499999999999994</v>
      </c>
      <c r="AD67" s="229">
        <f>(AD13+AD16+AD19+AD22+AD29+AD32+AD35+AD38)/(AD12+AD15+AD18+AD21+AD28+AD31+AD34+AD37)</f>
        <v>0.1850775038922492</v>
      </c>
      <c r="AE67" s="117">
        <f>(AE13+AE16+AE19+AE22+AE29+AE32+AE35+AE38)/(AE12+AE15+AE18+AE21+AE28+AE31+AE34+AE37)</f>
        <v>0.18587833690067815</v>
      </c>
      <c r="AF67" s="117">
        <f>(AF13+AF16+AF19+AF22+AF29+AF32+AF35+AF38)/(AF12+AF15+AF18+AF21+AF28+AF31+AF34+AF37)</f>
        <v>0.18499999999999994</v>
      </c>
      <c r="AG67" s="117">
        <f t="shared" ref="AG67:AP67" si="145">(AG13+AG16+AG19+AG22+AG29+AG32+AG35+AG38)/(AG12+AG15+AG18+AG21+AG28+AG31+AG34+AG37)</f>
        <v>0.18499999999999994</v>
      </c>
      <c r="AH67" s="117">
        <f t="shared" si="145"/>
        <v>0.18499999999999994</v>
      </c>
      <c r="AI67" s="117">
        <f t="shared" si="145"/>
        <v>0.18499999999999994</v>
      </c>
      <c r="AJ67" s="117">
        <f t="shared" si="145"/>
        <v>0.18499999999999994</v>
      </c>
      <c r="AK67" s="117">
        <f t="shared" si="145"/>
        <v>0.18499999999999994</v>
      </c>
      <c r="AL67" s="117">
        <f t="shared" si="145"/>
        <v>0.18499999999999994</v>
      </c>
      <c r="AM67" s="117">
        <f t="shared" si="145"/>
        <v>0.18499999999999994</v>
      </c>
      <c r="AN67" s="117">
        <f t="shared" si="145"/>
        <v>0.18499999999999994</v>
      </c>
      <c r="AO67" s="117">
        <f t="shared" si="145"/>
        <v>0.18499999999999994</v>
      </c>
      <c r="AP67" s="214">
        <f t="shared" si="145"/>
        <v>0.18499999999999994</v>
      </c>
      <c r="AQ67" s="197">
        <f t="shared" si="3"/>
        <v>0</v>
      </c>
      <c r="AR67" s="117"/>
      <c r="AS67" s="117">
        <f>(AS13+AS16+AS19+AS22+AS29+AS32+AS35+AS38)/(AS12+AS15+AS18+AS21+AS28+AS31+AS34+AS37)</f>
        <v>0.18587833690067815</v>
      </c>
      <c r="AT67" s="117">
        <f>(AT13+AT16+AT19+AT22+AT29+AT32+AT35+AT38)/(AT12+AT15+AT18+AT21+AT28+AT31+AT34+AT37)</f>
        <v>0.18499999999999994</v>
      </c>
      <c r="AU67" s="117">
        <f t="shared" ref="AU67:BD67" si="146">(AU13+AU16+AU19+AU22+AU29+AU32+AU35+AU38)/(AU12+AU15+AU18+AU21+AU28+AU31+AU34+AU37)</f>
        <v>0.18499999999999994</v>
      </c>
      <c r="AV67" s="117">
        <f t="shared" si="146"/>
        <v>0.18499999999999994</v>
      </c>
      <c r="AW67" s="117">
        <f t="shared" si="146"/>
        <v>0.18499999999999994</v>
      </c>
      <c r="AX67" s="117">
        <f t="shared" si="146"/>
        <v>0.18499999999999994</v>
      </c>
      <c r="AY67" s="117">
        <f t="shared" si="146"/>
        <v>0.18499999999999994</v>
      </c>
      <c r="AZ67" s="117">
        <f t="shared" si="146"/>
        <v>0.18499999999999994</v>
      </c>
      <c r="BA67" s="117">
        <f t="shared" si="146"/>
        <v>0.18499999999999994</v>
      </c>
      <c r="BB67" s="117">
        <f t="shared" si="146"/>
        <v>0.18499999999999994</v>
      </c>
      <c r="BC67" s="117">
        <f t="shared" si="146"/>
        <v>0.18499999999999994</v>
      </c>
      <c r="BD67" s="117">
        <f t="shared" si="146"/>
        <v>0.18499999999999994</v>
      </c>
      <c r="BE67" s="197">
        <f t="shared" si="30"/>
        <v>0</v>
      </c>
      <c r="BF67" s="117"/>
      <c r="BG67" s="117">
        <f>(BG13+BG16+BG19+BG22+BG29+BG32+BG35+BG38)/(BG12+BG15+BG18+BG21+BG28+BG31+BG34+BG37)</f>
        <v>0.18587833690067815</v>
      </c>
      <c r="BH67" s="117">
        <f>(BH13+BH16+BH19+BH22+BH29+BH32+BH35+BH38)/(BH12+BH15+BH18+BH21+BH28+BH31+BH34+BH37)</f>
        <v>0.18499999999999994</v>
      </c>
      <c r="BI67" s="117">
        <f t="shared" ref="BI67:BR67" si="147">(BI13+BI16+BI19+BI22+BI29+BI32+BI35+BI38)/(BI12+BI15+BI18+BI21+BI28+BI31+BI34+BI37)</f>
        <v>0.18499999999999994</v>
      </c>
      <c r="BJ67" s="117">
        <f t="shared" si="147"/>
        <v>0.18499999999999994</v>
      </c>
      <c r="BK67" s="117">
        <f t="shared" si="147"/>
        <v>0.18499999999999994</v>
      </c>
      <c r="BL67" s="117">
        <f t="shared" si="147"/>
        <v>0.18499999999999994</v>
      </c>
      <c r="BM67" s="117">
        <f t="shared" si="147"/>
        <v>0.18499999999999994</v>
      </c>
      <c r="BN67" s="117">
        <f t="shared" si="147"/>
        <v>0.18499999999999994</v>
      </c>
      <c r="BO67" s="117">
        <f t="shared" si="147"/>
        <v>0.18499999999999994</v>
      </c>
      <c r="BP67" s="117">
        <f t="shared" si="147"/>
        <v>0.18499999999999994</v>
      </c>
      <c r="BQ67" s="117">
        <f t="shared" si="147"/>
        <v>0.18499999999999994</v>
      </c>
      <c r="BR67" s="117">
        <f t="shared" si="147"/>
        <v>0.18499999999999994</v>
      </c>
    </row>
    <row r="68" spans="1:70" s="103" customFormat="1" ht="16.5" customHeight="1" outlineLevel="1" x14ac:dyDescent="0.2">
      <c r="B68" s="111" t="s">
        <v>19</v>
      </c>
      <c r="C68" s="110" t="s">
        <v>18</v>
      </c>
      <c r="D68" s="159">
        <v>331</v>
      </c>
      <c r="E68" s="108">
        <v>311</v>
      </c>
      <c r="F68" s="108">
        <v>331</v>
      </c>
      <c r="G68" s="108">
        <v>331</v>
      </c>
      <c r="H68" s="108">
        <v>331</v>
      </c>
      <c r="I68" s="108">
        <v>331</v>
      </c>
      <c r="J68" s="108">
        <v>331</v>
      </c>
      <c r="K68" s="108">
        <v>331</v>
      </c>
      <c r="L68" s="108">
        <v>331</v>
      </c>
      <c r="M68" s="108">
        <v>331</v>
      </c>
      <c r="N68" s="108">
        <v>331</v>
      </c>
      <c r="O68" s="108">
        <v>331</v>
      </c>
      <c r="P68" s="183">
        <v>331</v>
      </c>
      <c r="Q68" s="198">
        <v>331</v>
      </c>
      <c r="R68" s="108">
        <v>311</v>
      </c>
      <c r="S68" s="108">
        <v>331</v>
      </c>
      <c r="T68" s="108">
        <v>331</v>
      </c>
      <c r="U68" s="108">
        <v>331</v>
      </c>
      <c r="V68" s="108">
        <v>331</v>
      </c>
      <c r="W68" s="108">
        <v>331</v>
      </c>
      <c r="X68" s="108">
        <v>331</v>
      </c>
      <c r="Y68" s="108">
        <v>331</v>
      </c>
      <c r="Z68" s="108">
        <v>331</v>
      </c>
      <c r="AA68" s="108">
        <v>331</v>
      </c>
      <c r="AB68" s="108">
        <v>331</v>
      </c>
      <c r="AC68" s="183">
        <v>331</v>
      </c>
      <c r="AD68" s="230">
        <v>331</v>
      </c>
      <c r="AE68" s="108">
        <v>311</v>
      </c>
      <c r="AF68" s="108">
        <v>331</v>
      </c>
      <c r="AG68" s="108">
        <v>331</v>
      </c>
      <c r="AH68" s="108">
        <v>331</v>
      </c>
      <c r="AI68" s="108">
        <v>331</v>
      </c>
      <c r="AJ68" s="108">
        <v>331</v>
      </c>
      <c r="AK68" s="108">
        <v>331</v>
      </c>
      <c r="AL68" s="108">
        <v>331</v>
      </c>
      <c r="AM68" s="108">
        <v>331</v>
      </c>
      <c r="AN68" s="108">
        <v>331</v>
      </c>
      <c r="AO68" s="108">
        <v>331</v>
      </c>
      <c r="AP68" s="215">
        <v>331</v>
      </c>
      <c r="AQ68" s="198">
        <f t="shared" si="3"/>
        <v>0</v>
      </c>
      <c r="AR68" s="108"/>
      <c r="AS68" s="108">
        <v>311</v>
      </c>
      <c r="AT68" s="108">
        <v>331</v>
      </c>
      <c r="AU68" s="108">
        <v>331</v>
      </c>
      <c r="AV68" s="108">
        <v>331</v>
      </c>
      <c r="AW68" s="108">
        <v>331</v>
      </c>
      <c r="AX68" s="108">
        <v>331</v>
      </c>
      <c r="AY68" s="108">
        <v>331</v>
      </c>
      <c r="AZ68" s="108">
        <v>331</v>
      </c>
      <c r="BA68" s="108">
        <v>331</v>
      </c>
      <c r="BB68" s="108">
        <v>331</v>
      </c>
      <c r="BC68" s="108">
        <v>331</v>
      </c>
      <c r="BD68" s="108">
        <v>331</v>
      </c>
      <c r="BE68" s="198">
        <f t="shared" si="30"/>
        <v>0</v>
      </c>
      <c r="BF68" s="108"/>
      <c r="BG68" s="108">
        <v>311</v>
      </c>
      <c r="BH68" s="108">
        <v>331</v>
      </c>
      <c r="BI68" s="108">
        <v>331</v>
      </c>
      <c r="BJ68" s="108">
        <v>331</v>
      </c>
      <c r="BK68" s="108">
        <v>331</v>
      </c>
      <c r="BL68" s="108">
        <v>331</v>
      </c>
      <c r="BM68" s="108">
        <v>331</v>
      </c>
      <c r="BN68" s="108">
        <v>331</v>
      </c>
      <c r="BO68" s="108">
        <v>331</v>
      </c>
      <c r="BP68" s="108">
        <v>331</v>
      </c>
      <c r="BQ68" s="108">
        <v>331</v>
      </c>
      <c r="BR68" s="108">
        <v>331</v>
      </c>
    </row>
    <row r="69" spans="1:70" s="103" customFormat="1" ht="16.5" customHeight="1" outlineLevel="1" x14ac:dyDescent="0.2">
      <c r="B69" s="111" t="s">
        <v>17</v>
      </c>
      <c r="C69" s="110" t="s">
        <v>16</v>
      </c>
      <c r="D69" s="159">
        <f>D70-D68</f>
        <v>113</v>
      </c>
      <c r="E69" s="108">
        <f>E70-E68</f>
        <v>110</v>
      </c>
      <c r="F69" s="108">
        <f>F70-F68</f>
        <v>113</v>
      </c>
      <c r="G69" s="108">
        <f t="shared" ref="G69:P69" si="148">G70-G68</f>
        <v>113</v>
      </c>
      <c r="H69" s="108">
        <f t="shared" si="148"/>
        <v>113</v>
      </c>
      <c r="I69" s="108">
        <f t="shared" si="148"/>
        <v>113</v>
      </c>
      <c r="J69" s="108">
        <f t="shared" si="148"/>
        <v>113</v>
      </c>
      <c r="K69" s="108">
        <f t="shared" si="148"/>
        <v>113</v>
      </c>
      <c r="L69" s="108">
        <f t="shared" si="148"/>
        <v>113</v>
      </c>
      <c r="M69" s="108">
        <f t="shared" si="148"/>
        <v>113</v>
      </c>
      <c r="N69" s="108">
        <f t="shared" si="148"/>
        <v>113</v>
      </c>
      <c r="O69" s="108">
        <f t="shared" si="148"/>
        <v>113</v>
      </c>
      <c r="P69" s="183">
        <f t="shared" si="148"/>
        <v>113</v>
      </c>
      <c r="Q69" s="198">
        <f>Q70-Q68</f>
        <v>113</v>
      </c>
      <c r="R69" s="108">
        <f>R70-R68</f>
        <v>110</v>
      </c>
      <c r="S69" s="108">
        <f>S70-S68</f>
        <v>113</v>
      </c>
      <c r="T69" s="108">
        <f t="shared" ref="T69:AC69" si="149">T70-T68</f>
        <v>113</v>
      </c>
      <c r="U69" s="108">
        <f t="shared" si="149"/>
        <v>113</v>
      </c>
      <c r="V69" s="108">
        <f t="shared" si="149"/>
        <v>113</v>
      </c>
      <c r="W69" s="108">
        <f t="shared" si="149"/>
        <v>113</v>
      </c>
      <c r="X69" s="108">
        <f t="shared" si="149"/>
        <v>113</v>
      </c>
      <c r="Y69" s="108">
        <f t="shared" si="149"/>
        <v>113</v>
      </c>
      <c r="Z69" s="108">
        <f t="shared" si="149"/>
        <v>113</v>
      </c>
      <c r="AA69" s="108">
        <f t="shared" si="149"/>
        <v>113</v>
      </c>
      <c r="AB69" s="108">
        <f t="shared" si="149"/>
        <v>113</v>
      </c>
      <c r="AC69" s="183">
        <f t="shared" si="149"/>
        <v>113</v>
      </c>
      <c r="AD69" s="230">
        <f>AD70-AD68</f>
        <v>113</v>
      </c>
      <c r="AE69" s="108">
        <f>AE70-AE68</f>
        <v>110</v>
      </c>
      <c r="AF69" s="108">
        <f>AF70-AF68</f>
        <v>113</v>
      </c>
      <c r="AG69" s="108">
        <f t="shared" ref="AG69:AP69" si="150">AG70-AG68</f>
        <v>113</v>
      </c>
      <c r="AH69" s="108">
        <f t="shared" si="150"/>
        <v>113</v>
      </c>
      <c r="AI69" s="108">
        <f t="shared" si="150"/>
        <v>113</v>
      </c>
      <c r="AJ69" s="108">
        <f t="shared" si="150"/>
        <v>113</v>
      </c>
      <c r="AK69" s="108">
        <f t="shared" si="150"/>
        <v>113</v>
      </c>
      <c r="AL69" s="108">
        <f t="shared" si="150"/>
        <v>113</v>
      </c>
      <c r="AM69" s="108">
        <f t="shared" si="150"/>
        <v>113</v>
      </c>
      <c r="AN69" s="108">
        <f t="shared" si="150"/>
        <v>113</v>
      </c>
      <c r="AO69" s="108">
        <f t="shared" si="150"/>
        <v>113</v>
      </c>
      <c r="AP69" s="215">
        <f t="shared" si="150"/>
        <v>113</v>
      </c>
      <c r="AQ69" s="198">
        <f t="shared" si="3"/>
        <v>0</v>
      </c>
      <c r="AR69" s="108"/>
      <c r="AS69" s="108">
        <f>AS70-AS68</f>
        <v>110</v>
      </c>
      <c r="AT69" s="108">
        <f>AT70-AT68</f>
        <v>113</v>
      </c>
      <c r="AU69" s="108">
        <f t="shared" ref="AU69:BD69" si="151">AU70-AU68</f>
        <v>113</v>
      </c>
      <c r="AV69" s="108">
        <f t="shared" si="151"/>
        <v>113</v>
      </c>
      <c r="AW69" s="108">
        <f t="shared" si="151"/>
        <v>113</v>
      </c>
      <c r="AX69" s="108">
        <f t="shared" si="151"/>
        <v>113</v>
      </c>
      <c r="AY69" s="108">
        <f t="shared" si="151"/>
        <v>113</v>
      </c>
      <c r="AZ69" s="108">
        <f t="shared" si="151"/>
        <v>113</v>
      </c>
      <c r="BA69" s="108">
        <f t="shared" si="151"/>
        <v>113</v>
      </c>
      <c r="BB69" s="108">
        <f t="shared" si="151"/>
        <v>113</v>
      </c>
      <c r="BC69" s="108">
        <f t="shared" si="151"/>
        <v>113</v>
      </c>
      <c r="BD69" s="108">
        <f t="shared" si="151"/>
        <v>113</v>
      </c>
      <c r="BE69" s="198">
        <f t="shared" si="30"/>
        <v>0</v>
      </c>
      <c r="BF69" s="108"/>
      <c r="BG69" s="108">
        <f>BG70-BG68</f>
        <v>110</v>
      </c>
      <c r="BH69" s="108">
        <f>BH70-BH68</f>
        <v>113</v>
      </c>
      <c r="BI69" s="108">
        <f t="shared" ref="BI69:BR69" si="152">BI70-BI68</f>
        <v>113</v>
      </c>
      <c r="BJ69" s="108">
        <f t="shared" si="152"/>
        <v>113</v>
      </c>
      <c r="BK69" s="108">
        <f t="shared" si="152"/>
        <v>113</v>
      </c>
      <c r="BL69" s="108">
        <f t="shared" si="152"/>
        <v>113</v>
      </c>
      <c r="BM69" s="108">
        <f t="shared" si="152"/>
        <v>113</v>
      </c>
      <c r="BN69" s="108">
        <f t="shared" si="152"/>
        <v>113</v>
      </c>
      <c r="BO69" s="108">
        <f t="shared" si="152"/>
        <v>113</v>
      </c>
      <c r="BP69" s="108">
        <f t="shared" si="152"/>
        <v>113</v>
      </c>
      <c r="BQ69" s="108">
        <f t="shared" si="152"/>
        <v>113</v>
      </c>
      <c r="BR69" s="108">
        <f t="shared" si="152"/>
        <v>113</v>
      </c>
    </row>
    <row r="70" spans="1:70" ht="16.5" customHeight="1" outlineLevel="1" x14ac:dyDescent="0.2">
      <c r="B70" s="101" t="s">
        <v>15</v>
      </c>
      <c r="C70" s="100" t="s">
        <v>14</v>
      </c>
      <c r="D70" s="160">
        <v>444</v>
      </c>
      <c r="E70" s="102">
        <v>421</v>
      </c>
      <c r="F70" s="102">
        <v>444</v>
      </c>
      <c r="G70" s="102">
        <v>444</v>
      </c>
      <c r="H70" s="102">
        <v>444</v>
      </c>
      <c r="I70" s="102">
        <v>444</v>
      </c>
      <c r="J70" s="102">
        <v>444</v>
      </c>
      <c r="K70" s="102">
        <v>444</v>
      </c>
      <c r="L70" s="102">
        <v>444</v>
      </c>
      <c r="M70" s="102">
        <v>444</v>
      </c>
      <c r="N70" s="102">
        <v>444</v>
      </c>
      <c r="O70" s="102">
        <v>444</v>
      </c>
      <c r="P70" s="184">
        <v>444</v>
      </c>
      <c r="Q70" s="199">
        <v>444</v>
      </c>
      <c r="R70" s="102">
        <v>421</v>
      </c>
      <c r="S70" s="102">
        <v>444</v>
      </c>
      <c r="T70" s="102">
        <v>444</v>
      </c>
      <c r="U70" s="102">
        <v>444</v>
      </c>
      <c r="V70" s="102">
        <v>444</v>
      </c>
      <c r="W70" s="102">
        <v>444</v>
      </c>
      <c r="X70" s="102">
        <v>444</v>
      </c>
      <c r="Y70" s="102">
        <v>444</v>
      </c>
      <c r="Z70" s="102">
        <v>444</v>
      </c>
      <c r="AA70" s="102">
        <v>444</v>
      </c>
      <c r="AB70" s="102">
        <v>444</v>
      </c>
      <c r="AC70" s="184">
        <v>444</v>
      </c>
      <c r="AD70" s="231">
        <v>444</v>
      </c>
      <c r="AE70" s="102">
        <v>421</v>
      </c>
      <c r="AF70" s="102">
        <v>444</v>
      </c>
      <c r="AG70" s="102">
        <v>444</v>
      </c>
      <c r="AH70" s="102">
        <v>444</v>
      </c>
      <c r="AI70" s="102">
        <v>444</v>
      </c>
      <c r="AJ70" s="102">
        <v>444</v>
      </c>
      <c r="AK70" s="102">
        <v>444</v>
      </c>
      <c r="AL70" s="102">
        <v>444</v>
      </c>
      <c r="AM70" s="102">
        <v>444</v>
      </c>
      <c r="AN70" s="102">
        <v>444</v>
      </c>
      <c r="AO70" s="102">
        <v>444</v>
      </c>
      <c r="AP70" s="216">
        <v>444</v>
      </c>
      <c r="AQ70" s="199">
        <f t="shared" si="3"/>
        <v>0</v>
      </c>
      <c r="AR70" s="102"/>
      <c r="AS70" s="102">
        <v>421</v>
      </c>
      <c r="AT70" s="102">
        <v>444</v>
      </c>
      <c r="AU70" s="102">
        <v>444</v>
      </c>
      <c r="AV70" s="102">
        <v>444</v>
      </c>
      <c r="AW70" s="102">
        <v>444</v>
      </c>
      <c r="AX70" s="102">
        <v>444</v>
      </c>
      <c r="AY70" s="102">
        <v>444</v>
      </c>
      <c r="AZ70" s="102">
        <v>444</v>
      </c>
      <c r="BA70" s="102">
        <v>444</v>
      </c>
      <c r="BB70" s="102">
        <v>444</v>
      </c>
      <c r="BC70" s="102">
        <v>444</v>
      </c>
      <c r="BD70" s="102">
        <v>444</v>
      </c>
      <c r="BE70" s="199">
        <f t="shared" si="30"/>
        <v>0</v>
      </c>
      <c r="BF70" s="102"/>
      <c r="BG70" s="102">
        <v>421</v>
      </c>
      <c r="BH70" s="102">
        <v>444</v>
      </c>
      <c r="BI70" s="102">
        <v>444</v>
      </c>
      <c r="BJ70" s="102">
        <v>444</v>
      </c>
      <c r="BK70" s="102">
        <v>444</v>
      </c>
      <c r="BL70" s="102">
        <v>444</v>
      </c>
      <c r="BM70" s="102">
        <v>444</v>
      </c>
      <c r="BN70" s="102">
        <v>444</v>
      </c>
      <c r="BO70" s="102">
        <v>444</v>
      </c>
      <c r="BP70" s="102">
        <v>444</v>
      </c>
      <c r="BQ70" s="102">
        <v>444</v>
      </c>
      <c r="BR70" s="102">
        <v>444</v>
      </c>
    </row>
    <row r="71" spans="1:70" ht="16.5" customHeight="1" outlineLevel="1" x14ac:dyDescent="0.2">
      <c r="B71" s="101" t="s">
        <v>13</v>
      </c>
      <c r="C71" s="100" t="s">
        <v>12</v>
      </c>
      <c r="D71" s="161">
        <v>265.68387212842742</v>
      </c>
      <c r="E71" s="98">
        <v>246</v>
      </c>
      <c r="F71" s="98">
        <v>265.68387212842742</v>
      </c>
      <c r="G71" s="98">
        <v>265.68387212842742</v>
      </c>
      <c r="H71" s="98">
        <v>265.68387212842742</v>
      </c>
      <c r="I71" s="98">
        <v>265.68387212842742</v>
      </c>
      <c r="J71" s="98">
        <v>265.68387212842742</v>
      </c>
      <c r="K71" s="98">
        <v>265.68387212842742</v>
      </c>
      <c r="L71" s="98">
        <v>265.68387212842742</v>
      </c>
      <c r="M71" s="98">
        <v>265.68387212842742</v>
      </c>
      <c r="N71" s="98">
        <v>265.68387212842742</v>
      </c>
      <c r="O71" s="98">
        <v>265.68387212842742</v>
      </c>
      <c r="P71" s="185">
        <v>265.68387212842742</v>
      </c>
      <c r="Q71" s="200">
        <v>265.68387212842742</v>
      </c>
      <c r="R71" s="98">
        <v>246</v>
      </c>
      <c r="S71" s="98">
        <v>265.68387212842742</v>
      </c>
      <c r="T71" s="98">
        <v>265.68387212842742</v>
      </c>
      <c r="U71" s="98">
        <v>265.68387212842742</v>
      </c>
      <c r="V71" s="98">
        <v>265.68387212842742</v>
      </c>
      <c r="W71" s="98">
        <v>265.68387212842742</v>
      </c>
      <c r="X71" s="98">
        <v>265.68387212842742</v>
      </c>
      <c r="Y71" s="98">
        <v>265.68387212842742</v>
      </c>
      <c r="Z71" s="98">
        <v>265.68387212842742</v>
      </c>
      <c r="AA71" s="98">
        <v>265.68387212842742</v>
      </c>
      <c r="AB71" s="98">
        <v>265.68387212842742</v>
      </c>
      <c r="AC71" s="185">
        <v>265.68387212842742</v>
      </c>
      <c r="AD71" s="232">
        <v>265.68387212842742</v>
      </c>
      <c r="AE71" s="98">
        <v>246</v>
      </c>
      <c r="AF71" s="98">
        <v>265.68387212842742</v>
      </c>
      <c r="AG71" s="98">
        <v>265.68387212842742</v>
      </c>
      <c r="AH71" s="98">
        <v>265.68387212842742</v>
      </c>
      <c r="AI71" s="98">
        <v>265.68387212842742</v>
      </c>
      <c r="AJ71" s="98">
        <v>265.68387212842742</v>
      </c>
      <c r="AK71" s="98">
        <v>265.68387212842742</v>
      </c>
      <c r="AL71" s="98">
        <v>265.68387212842742</v>
      </c>
      <c r="AM71" s="98">
        <v>265.68387212842742</v>
      </c>
      <c r="AN71" s="98">
        <v>265.68387212842742</v>
      </c>
      <c r="AO71" s="98">
        <v>265.68387212842742</v>
      </c>
      <c r="AP71" s="217">
        <v>265.68387212842742</v>
      </c>
      <c r="AQ71" s="200">
        <f t="shared" si="3"/>
        <v>0</v>
      </c>
      <c r="AR71" s="98"/>
      <c r="AS71" s="98">
        <v>246</v>
      </c>
      <c r="AT71" s="98">
        <v>265.68387212842742</v>
      </c>
      <c r="AU71" s="98">
        <v>265.68387212842742</v>
      </c>
      <c r="AV71" s="98">
        <v>265.68387212842742</v>
      </c>
      <c r="AW71" s="98">
        <v>265.68387212842742</v>
      </c>
      <c r="AX71" s="98">
        <v>265.68387212842742</v>
      </c>
      <c r="AY71" s="98">
        <v>265.68387212842742</v>
      </c>
      <c r="AZ71" s="98">
        <v>265.68387212842742</v>
      </c>
      <c r="BA71" s="98">
        <v>265.68387212842742</v>
      </c>
      <c r="BB71" s="98">
        <v>265.68387212842742</v>
      </c>
      <c r="BC71" s="98">
        <v>265.68387212842742</v>
      </c>
      <c r="BD71" s="98">
        <v>265.68387212842742</v>
      </c>
      <c r="BE71" s="200">
        <f t="shared" si="30"/>
        <v>0</v>
      </c>
      <c r="BF71" s="98"/>
      <c r="BG71" s="98">
        <v>246</v>
      </c>
      <c r="BH71" s="98">
        <v>265.68387212842742</v>
      </c>
      <c r="BI71" s="98">
        <v>265.68387212842742</v>
      </c>
      <c r="BJ71" s="98">
        <v>265.68387212842742</v>
      </c>
      <c r="BK71" s="98">
        <v>265.68387212842742</v>
      </c>
      <c r="BL71" s="98">
        <v>265.68387212842742</v>
      </c>
      <c r="BM71" s="98">
        <v>265.68387212842742</v>
      </c>
      <c r="BN71" s="98">
        <v>265.68387212842742</v>
      </c>
      <c r="BO71" s="98">
        <v>265.68387212842742</v>
      </c>
      <c r="BP71" s="98">
        <v>265.68387212842742</v>
      </c>
      <c r="BQ71" s="98">
        <v>265.68387212842742</v>
      </c>
      <c r="BR71" s="98">
        <v>265.68387212842742</v>
      </c>
    </row>
    <row r="72" spans="1:70" ht="13.5" outlineLevel="1" thickBot="1" x14ac:dyDescent="0.25">
      <c r="A72" s="54"/>
      <c r="B72" s="92" t="s">
        <v>11</v>
      </c>
      <c r="C72" s="91" t="s">
        <v>11</v>
      </c>
      <c r="D72" s="162">
        <v>310</v>
      </c>
      <c r="E72" s="89">
        <v>307.7</v>
      </c>
      <c r="F72" s="89">
        <v>310</v>
      </c>
      <c r="G72" s="89">
        <v>310</v>
      </c>
      <c r="H72" s="89">
        <v>310</v>
      </c>
      <c r="I72" s="89">
        <v>310</v>
      </c>
      <c r="J72" s="89">
        <v>310</v>
      </c>
      <c r="K72" s="89">
        <v>310</v>
      </c>
      <c r="L72" s="89">
        <v>310</v>
      </c>
      <c r="M72" s="89">
        <v>310</v>
      </c>
      <c r="N72" s="89">
        <v>310</v>
      </c>
      <c r="O72" s="89">
        <v>310</v>
      </c>
      <c r="P72" s="186">
        <v>310</v>
      </c>
      <c r="Q72" s="201">
        <v>310</v>
      </c>
      <c r="R72" s="89">
        <v>307.7</v>
      </c>
      <c r="S72" s="89">
        <v>310</v>
      </c>
      <c r="T72" s="89">
        <v>310</v>
      </c>
      <c r="U72" s="89">
        <v>310</v>
      </c>
      <c r="V72" s="89">
        <v>310</v>
      </c>
      <c r="W72" s="89">
        <v>310</v>
      </c>
      <c r="X72" s="89">
        <v>310</v>
      </c>
      <c r="Y72" s="89">
        <v>310</v>
      </c>
      <c r="Z72" s="89">
        <v>310</v>
      </c>
      <c r="AA72" s="89">
        <v>310</v>
      </c>
      <c r="AB72" s="89">
        <v>310</v>
      </c>
      <c r="AC72" s="186">
        <v>310</v>
      </c>
      <c r="AD72" s="233">
        <v>310</v>
      </c>
      <c r="AE72" s="89">
        <v>307.7</v>
      </c>
      <c r="AF72" s="89">
        <v>310</v>
      </c>
      <c r="AG72" s="89">
        <v>310</v>
      </c>
      <c r="AH72" s="89">
        <v>310</v>
      </c>
      <c r="AI72" s="89">
        <v>310</v>
      </c>
      <c r="AJ72" s="89">
        <v>310</v>
      </c>
      <c r="AK72" s="89">
        <v>310</v>
      </c>
      <c r="AL72" s="89">
        <v>310</v>
      </c>
      <c r="AM72" s="89">
        <v>310</v>
      </c>
      <c r="AN72" s="89">
        <v>310</v>
      </c>
      <c r="AO72" s="89">
        <v>310</v>
      </c>
      <c r="AP72" s="218">
        <v>310</v>
      </c>
      <c r="AQ72" s="201">
        <f t="shared" si="3"/>
        <v>0</v>
      </c>
      <c r="AR72" s="187"/>
      <c r="AS72" s="89">
        <v>307.7</v>
      </c>
      <c r="AT72" s="89">
        <v>310</v>
      </c>
      <c r="AU72" s="89">
        <v>310</v>
      </c>
      <c r="AV72" s="89">
        <v>310</v>
      </c>
      <c r="AW72" s="89">
        <v>310</v>
      </c>
      <c r="AX72" s="89">
        <v>310</v>
      </c>
      <c r="AY72" s="89">
        <v>310</v>
      </c>
      <c r="AZ72" s="89">
        <v>310</v>
      </c>
      <c r="BA72" s="89">
        <v>310</v>
      </c>
      <c r="BB72" s="89">
        <v>310</v>
      </c>
      <c r="BC72" s="89">
        <v>310</v>
      </c>
      <c r="BD72" s="89">
        <v>310</v>
      </c>
      <c r="BE72" s="201">
        <f t="shared" si="30"/>
        <v>0</v>
      </c>
      <c r="BF72" s="187"/>
      <c r="BG72" s="89">
        <v>307.7</v>
      </c>
      <c r="BH72" s="89">
        <v>310</v>
      </c>
      <c r="BI72" s="89">
        <v>310</v>
      </c>
      <c r="BJ72" s="89">
        <v>310</v>
      </c>
      <c r="BK72" s="89">
        <v>310</v>
      </c>
      <c r="BL72" s="89">
        <v>310</v>
      </c>
      <c r="BM72" s="89">
        <v>310</v>
      </c>
      <c r="BN72" s="89">
        <v>310</v>
      </c>
      <c r="BO72" s="89">
        <v>310</v>
      </c>
      <c r="BP72" s="89">
        <v>310</v>
      </c>
      <c r="BQ72" s="89">
        <v>310</v>
      </c>
      <c r="BR72" s="89">
        <v>310</v>
      </c>
    </row>
    <row r="73" spans="1:70" s="80" customFormat="1" ht="13.5" thickTop="1" x14ac:dyDescent="0.2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20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</row>
    <row r="74" spans="1:70" ht="16.5" customHeight="1" thickBot="1" x14ac:dyDescent="0.25">
      <c r="A74" s="54"/>
      <c r="B74" s="70" t="s">
        <v>10</v>
      </c>
      <c r="C74" s="144" t="s">
        <v>9</v>
      </c>
      <c r="D74" s="166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202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189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189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189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</row>
    <row r="75" spans="1:70" ht="13.5" hidden="1" outlineLevel="3" thickTop="1" x14ac:dyDescent="0.2">
      <c r="A75" s="54"/>
      <c r="B75" s="38" t="str">
        <f t="shared" ref="B75:C94" si="153">B12</f>
        <v xml:space="preserve">Оклад </v>
      </c>
      <c r="C75" s="62" t="str">
        <f t="shared" si="153"/>
        <v>Salary</v>
      </c>
      <c r="D75" s="167">
        <f t="shared" ref="D75:D106" si="154">SUM(E75:P75)</f>
        <v>1623160690.8000004</v>
      </c>
      <c r="E75" s="60">
        <v>135263390.90000001</v>
      </c>
      <c r="F75" s="60">
        <v>135263390.90000001</v>
      </c>
      <c r="G75" s="60">
        <v>135263390.90000001</v>
      </c>
      <c r="H75" s="60">
        <v>135263390.90000001</v>
      </c>
      <c r="I75" s="60">
        <v>135263390.90000001</v>
      </c>
      <c r="J75" s="60">
        <v>135263390.90000001</v>
      </c>
      <c r="K75" s="60">
        <v>135263390.90000001</v>
      </c>
      <c r="L75" s="60">
        <v>135263390.90000001</v>
      </c>
      <c r="M75" s="60">
        <v>135263390.90000001</v>
      </c>
      <c r="N75" s="60">
        <v>135263390.90000001</v>
      </c>
      <c r="O75" s="60">
        <v>135263390.90000001</v>
      </c>
      <c r="P75" s="175">
        <v>135263390.90000001</v>
      </c>
      <c r="Q75" s="190">
        <f t="shared" ref="Q75:Q106" si="155">SUM(R75:AC75)</f>
        <v>1623160690.8000004</v>
      </c>
      <c r="R75" s="60">
        <v>135263390.90000001</v>
      </c>
      <c r="S75" s="60">
        <v>135263390.90000001</v>
      </c>
      <c r="T75" s="60">
        <v>135263390.90000001</v>
      </c>
      <c r="U75" s="60">
        <v>135263390.90000001</v>
      </c>
      <c r="V75" s="60">
        <v>135263390.90000001</v>
      </c>
      <c r="W75" s="60">
        <v>135263390.90000001</v>
      </c>
      <c r="X75" s="60">
        <v>135263390.90000001</v>
      </c>
      <c r="Y75" s="60">
        <v>135263390.90000001</v>
      </c>
      <c r="Z75" s="60">
        <v>135263390.90000001</v>
      </c>
      <c r="AA75" s="60">
        <v>135263390.90000001</v>
      </c>
      <c r="AB75" s="60">
        <v>135263390.90000001</v>
      </c>
      <c r="AC75" s="175">
        <v>135263390.90000001</v>
      </c>
      <c r="AD75" s="224">
        <f t="shared" ref="AD75:AD106" si="156">SUM(AE75:AP75)</f>
        <v>1623160690.8000004</v>
      </c>
      <c r="AE75" s="60">
        <v>135263390.90000001</v>
      </c>
      <c r="AF75" s="60">
        <v>135263390.90000001</v>
      </c>
      <c r="AG75" s="60">
        <v>135263390.90000001</v>
      </c>
      <c r="AH75" s="60">
        <v>135263390.90000001</v>
      </c>
      <c r="AI75" s="60">
        <v>135263390.90000001</v>
      </c>
      <c r="AJ75" s="60">
        <v>135263390.90000001</v>
      </c>
      <c r="AK75" s="60">
        <v>135263390.90000001</v>
      </c>
      <c r="AL75" s="60">
        <v>135263390.90000001</v>
      </c>
      <c r="AM75" s="60">
        <v>135263390.90000001</v>
      </c>
      <c r="AN75" s="60">
        <v>135263390.90000001</v>
      </c>
      <c r="AO75" s="60">
        <v>135263390.90000001</v>
      </c>
      <c r="AP75" s="60">
        <v>135263390.90000001</v>
      </c>
      <c r="AQ75" s="190">
        <f t="shared" ref="AQ75:AQ106" si="157">Q75-AD75</f>
        <v>0</v>
      </c>
      <c r="AR75" s="60"/>
      <c r="AS75" s="60">
        <v>135263390.90000001</v>
      </c>
      <c r="AT75" s="60">
        <v>135263390.90000001</v>
      </c>
      <c r="AU75" s="60">
        <v>135263390.90000001</v>
      </c>
      <c r="AV75" s="60">
        <v>135263390.90000001</v>
      </c>
      <c r="AW75" s="60">
        <v>135263390.90000001</v>
      </c>
      <c r="AX75" s="60">
        <v>135263390.90000001</v>
      </c>
      <c r="AY75" s="60">
        <v>135263390.90000001</v>
      </c>
      <c r="AZ75" s="60">
        <v>135263390.90000001</v>
      </c>
      <c r="BA75" s="60">
        <v>135263390.90000001</v>
      </c>
      <c r="BB75" s="60">
        <v>135263390.90000001</v>
      </c>
      <c r="BC75" s="60">
        <v>135263390.90000001</v>
      </c>
      <c r="BD75" s="60">
        <v>135263390.90000001</v>
      </c>
      <c r="BE75" s="190">
        <f t="shared" ref="BE75:BE129" si="158">AE75-AR75</f>
        <v>135263390.90000001</v>
      </c>
      <c r="BF75" s="60"/>
      <c r="BG75" s="60">
        <v>135263390.90000001</v>
      </c>
      <c r="BH75" s="60">
        <v>135263390.90000001</v>
      </c>
      <c r="BI75" s="60">
        <v>135263390.90000001</v>
      </c>
      <c r="BJ75" s="60">
        <v>135263390.90000001</v>
      </c>
      <c r="BK75" s="60">
        <v>135263390.90000001</v>
      </c>
      <c r="BL75" s="60">
        <v>135263390.90000001</v>
      </c>
      <c r="BM75" s="60">
        <v>135263390.90000001</v>
      </c>
      <c r="BN75" s="60">
        <v>135263390.90000001</v>
      </c>
      <c r="BO75" s="60">
        <v>135263390.90000001</v>
      </c>
      <c r="BP75" s="60">
        <v>135263390.90000001</v>
      </c>
      <c r="BQ75" s="60">
        <v>135263390.90000001</v>
      </c>
      <c r="BR75" s="60">
        <v>135263390.90000001</v>
      </c>
    </row>
    <row r="76" spans="1:70" hidden="1" outlineLevel="3" x14ac:dyDescent="0.2">
      <c r="A76" s="54"/>
      <c r="B76" s="38" t="str">
        <f t="shared" si="153"/>
        <v>Страховые взносы оклад</v>
      </c>
      <c r="C76" s="49" t="str">
        <f t="shared" si="153"/>
        <v>Social securities on salaries</v>
      </c>
      <c r="D76" s="168">
        <f t="shared" si="154"/>
        <v>327578676.00000006</v>
      </c>
      <c r="E76" s="40">
        <v>27298223.000000004</v>
      </c>
      <c r="F76" s="40">
        <v>27298223.000000004</v>
      </c>
      <c r="G76" s="40">
        <v>27298223.000000004</v>
      </c>
      <c r="H76" s="40">
        <v>27298223.000000004</v>
      </c>
      <c r="I76" s="40">
        <v>27298223.000000004</v>
      </c>
      <c r="J76" s="40">
        <v>27298223.000000004</v>
      </c>
      <c r="K76" s="40">
        <v>27298223.000000004</v>
      </c>
      <c r="L76" s="40">
        <v>27298223.000000004</v>
      </c>
      <c r="M76" s="40">
        <v>27298223.000000004</v>
      </c>
      <c r="N76" s="40">
        <v>27298223.000000004</v>
      </c>
      <c r="O76" s="40">
        <v>27298223.000000004</v>
      </c>
      <c r="P76" s="176">
        <v>27298223.000000004</v>
      </c>
      <c r="Q76" s="191">
        <f t="shared" si="155"/>
        <v>327578676.00000006</v>
      </c>
      <c r="R76" s="40">
        <v>27298223.000000004</v>
      </c>
      <c r="S76" s="40">
        <v>27298223.000000004</v>
      </c>
      <c r="T76" s="40">
        <v>27298223.000000004</v>
      </c>
      <c r="U76" s="40">
        <v>27298223.000000004</v>
      </c>
      <c r="V76" s="40">
        <v>27298223.000000004</v>
      </c>
      <c r="W76" s="40">
        <v>27298223.000000004</v>
      </c>
      <c r="X76" s="40">
        <v>27298223.000000004</v>
      </c>
      <c r="Y76" s="40">
        <v>27298223.000000004</v>
      </c>
      <c r="Z76" s="40">
        <v>27298223.000000004</v>
      </c>
      <c r="AA76" s="40">
        <v>27298223.000000004</v>
      </c>
      <c r="AB76" s="40">
        <v>27298223.000000004</v>
      </c>
      <c r="AC76" s="176">
        <v>27298223.000000004</v>
      </c>
      <c r="AD76" s="225">
        <f t="shared" si="156"/>
        <v>327578676.00000006</v>
      </c>
      <c r="AE76" s="40">
        <v>27298223.000000004</v>
      </c>
      <c r="AF76" s="40">
        <v>27298223.000000004</v>
      </c>
      <c r="AG76" s="40">
        <v>27298223.000000004</v>
      </c>
      <c r="AH76" s="40">
        <v>27298223.000000004</v>
      </c>
      <c r="AI76" s="40">
        <v>27298223.000000004</v>
      </c>
      <c r="AJ76" s="40">
        <v>27298223.000000004</v>
      </c>
      <c r="AK76" s="40">
        <v>27298223.000000004</v>
      </c>
      <c r="AL76" s="40">
        <v>27298223.000000004</v>
      </c>
      <c r="AM76" s="40">
        <v>27298223.000000004</v>
      </c>
      <c r="AN76" s="40">
        <v>27298223.000000004</v>
      </c>
      <c r="AO76" s="40">
        <v>27298223.000000004</v>
      </c>
      <c r="AP76" s="40">
        <v>27298223.000000004</v>
      </c>
      <c r="AQ76" s="191">
        <f t="shared" si="157"/>
        <v>0</v>
      </c>
      <c r="AR76" s="40"/>
      <c r="AS76" s="40">
        <v>27298223.000000004</v>
      </c>
      <c r="AT76" s="40">
        <v>27298223.000000004</v>
      </c>
      <c r="AU76" s="40">
        <v>27298223.000000004</v>
      </c>
      <c r="AV76" s="40">
        <v>27298223.000000004</v>
      </c>
      <c r="AW76" s="40">
        <v>27298223.000000004</v>
      </c>
      <c r="AX76" s="40">
        <v>27298223.000000004</v>
      </c>
      <c r="AY76" s="40">
        <v>27298223.000000004</v>
      </c>
      <c r="AZ76" s="40">
        <v>27298223.000000004</v>
      </c>
      <c r="BA76" s="40">
        <v>27298223.000000004</v>
      </c>
      <c r="BB76" s="40">
        <v>27298223.000000004</v>
      </c>
      <c r="BC76" s="40">
        <v>27298223.000000004</v>
      </c>
      <c r="BD76" s="40">
        <v>27298223.000000004</v>
      </c>
      <c r="BE76" s="191">
        <f t="shared" si="158"/>
        <v>27298223.000000004</v>
      </c>
      <c r="BF76" s="40"/>
      <c r="BG76" s="40">
        <v>27298223.000000004</v>
      </c>
      <c r="BH76" s="40">
        <v>27298223.000000004</v>
      </c>
      <c r="BI76" s="40">
        <v>27298223.000000004</v>
      </c>
      <c r="BJ76" s="40">
        <v>27298223.000000004</v>
      </c>
      <c r="BK76" s="40">
        <v>27298223.000000004</v>
      </c>
      <c r="BL76" s="40">
        <v>27298223.000000004</v>
      </c>
      <c r="BM76" s="40">
        <v>27298223.000000004</v>
      </c>
      <c r="BN76" s="40">
        <v>27298223.000000004</v>
      </c>
      <c r="BO76" s="40">
        <v>27298223.000000004</v>
      </c>
      <c r="BP76" s="40">
        <v>27298223.000000004</v>
      </c>
      <c r="BQ76" s="40">
        <v>27298223.000000004</v>
      </c>
      <c r="BR76" s="40">
        <v>27298223.000000004</v>
      </c>
    </row>
    <row r="77" spans="1:70" s="6" customFormat="1" hidden="1" outlineLevel="2" x14ac:dyDescent="0.2">
      <c r="A77" s="30"/>
      <c r="B77" s="29" t="str">
        <f t="shared" si="153"/>
        <v>Итого оклад</v>
      </c>
      <c r="C77" s="52" t="str">
        <f t="shared" si="153"/>
        <v>Total Salary</v>
      </c>
      <c r="D77" s="169">
        <f t="shared" si="154"/>
        <v>1950739366.8000004</v>
      </c>
      <c r="E77" s="26">
        <f t="shared" ref="E77:P77" si="159">SUM(E75:E76)</f>
        <v>162561613.90000001</v>
      </c>
      <c r="F77" s="26">
        <f t="shared" si="159"/>
        <v>162561613.90000001</v>
      </c>
      <c r="G77" s="26">
        <f t="shared" si="159"/>
        <v>162561613.90000001</v>
      </c>
      <c r="H77" s="26">
        <f t="shared" si="159"/>
        <v>162561613.90000001</v>
      </c>
      <c r="I77" s="26">
        <f t="shared" si="159"/>
        <v>162561613.90000001</v>
      </c>
      <c r="J77" s="26">
        <f t="shared" si="159"/>
        <v>162561613.90000001</v>
      </c>
      <c r="K77" s="26">
        <f t="shared" si="159"/>
        <v>162561613.90000001</v>
      </c>
      <c r="L77" s="26">
        <f t="shared" si="159"/>
        <v>162561613.90000001</v>
      </c>
      <c r="M77" s="26">
        <f t="shared" si="159"/>
        <v>162561613.90000001</v>
      </c>
      <c r="N77" s="26">
        <f t="shared" si="159"/>
        <v>162561613.90000001</v>
      </c>
      <c r="O77" s="26">
        <f t="shared" si="159"/>
        <v>162561613.90000001</v>
      </c>
      <c r="P77" s="177">
        <f t="shared" si="159"/>
        <v>162561613.90000001</v>
      </c>
      <c r="Q77" s="192">
        <f t="shared" si="155"/>
        <v>1950739366.8000004</v>
      </c>
      <c r="R77" s="26">
        <f t="shared" ref="R77:Y77" si="160">SUM(R75:R76)</f>
        <v>162561613.90000001</v>
      </c>
      <c r="S77" s="26">
        <f t="shared" si="160"/>
        <v>162561613.90000001</v>
      </c>
      <c r="T77" s="26">
        <f t="shared" si="160"/>
        <v>162561613.90000001</v>
      </c>
      <c r="U77" s="26">
        <f t="shared" si="160"/>
        <v>162561613.90000001</v>
      </c>
      <c r="V77" s="26">
        <f t="shared" si="160"/>
        <v>162561613.90000001</v>
      </c>
      <c r="W77" s="26">
        <f t="shared" si="160"/>
        <v>162561613.90000001</v>
      </c>
      <c r="X77" s="26">
        <f t="shared" si="160"/>
        <v>162561613.90000001</v>
      </c>
      <c r="Y77" s="26">
        <f t="shared" si="160"/>
        <v>162561613.90000001</v>
      </c>
      <c r="Z77" s="26">
        <f t="shared" ref="Z77:AC77" si="161">SUM(Z75:Z76)</f>
        <v>162561613.90000001</v>
      </c>
      <c r="AA77" s="26">
        <f t="shared" si="161"/>
        <v>162561613.90000001</v>
      </c>
      <c r="AB77" s="26">
        <f t="shared" si="161"/>
        <v>162561613.90000001</v>
      </c>
      <c r="AC77" s="177">
        <f t="shared" si="161"/>
        <v>162561613.90000001</v>
      </c>
      <c r="AD77" s="226">
        <f t="shared" si="156"/>
        <v>1950739366.8000004</v>
      </c>
      <c r="AE77" s="26">
        <f t="shared" ref="AE77:AL77" si="162">SUM(AE75:AE76)</f>
        <v>162561613.90000001</v>
      </c>
      <c r="AF77" s="26">
        <f t="shared" si="162"/>
        <v>162561613.90000001</v>
      </c>
      <c r="AG77" s="26">
        <f t="shared" si="162"/>
        <v>162561613.90000001</v>
      </c>
      <c r="AH77" s="26">
        <f t="shared" si="162"/>
        <v>162561613.90000001</v>
      </c>
      <c r="AI77" s="26">
        <f t="shared" si="162"/>
        <v>162561613.90000001</v>
      </c>
      <c r="AJ77" s="26">
        <f t="shared" si="162"/>
        <v>162561613.90000001</v>
      </c>
      <c r="AK77" s="26">
        <f t="shared" si="162"/>
        <v>162561613.90000001</v>
      </c>
      <c r="AL77" s="26">
        <f t="shared" si="162"/>
        <v>162561613.90000001</v>
      </c>
      <c r="AM77" s="26">
        <f t="shared" ref="AM77:AP77" si="163">SUM(AM75:AM76)</f>
        <v>162561613.90000001</v>
      </c>
      <c r="AN77" s="26">
        <f t="shared" si="163"/>
        <v>162561613.90000001</v>
      </c>
      <c r="AO77" s="26">
        <f t="shared" si="163"/>
        <v>162561613.90000001</v>
      </c>
      <c r="AP77" s="26">
        <f t="shared" si="163"/>
        <v>162561613.90000001</v>
      </c>
      <c r="AQ77" s="192">
        <f t="shared" si="157"/>
        <v>0</v>
      </c>
      <c r="AR77" s="26"/>
      <c r="AS77" s="26">
        <f t="shared" ref="AS77:AZ77" si="164">SUM(AS75:AS76)</f>
        <v>162561613.90000001</v>
      </c>
      <c r="AT77" s="26">
        <f t="shared" si="164"/>
        <v>162561613.90000001</v>
      </c>
      <c r="AU77" s="26">
        <f t="shared" si="164"/>
        <v>162561613.90000001</v>
      </c>
      <c r="AV77" s="26">
        <f t="shared" si="164"/>
        <v>162561613.90000001</v>
      </c>
      <c r="AW77" s="26">
        <f t="shared" si="164"/>
        <v>162561613.90000001</v>
      </c>
      <c r="AX77" s="26">
        <f t="shared" si="164"/>
        <v>162561613.90000001</v>
      </c>
      <c r="AY77" s="26">
        <f t="shared" si="164"/>
        <v>162561613.90000001</v>
      </c>
      <c r="AZ77" s="26">
        <f t="shared" si="164"/>
        <v>162561613.90000001</v>
      </c>
      <c r="BA77" s="26">
        <f t="shared" ref="BA77:BD77" si="165">SUM(BA75:BA76)</f>
        <v>162561613.90000001</v>
      </c>
      <c r="BB77" s="26">
        <f t="shared" si="165"/>
        <v>162561613.90000001</v>
      </c>
      <c r="BC77" s="26">
        <f t="shared" si="165"/>
        <v>162561613.90000001</v>
      </c>
      <c r="BD77" s="26">
        <f t="shared" si="165"/>
        <v>162561613.90000001</v>
      </c>
      <c r="BE77" s="192">
        <f t="shared" si="158"/>
        <v>162561613.90000001</v>
      </c>
      <c r="BF77" s="26"/>
      <c r="BG77" s="26">
        <f t="shared" ref="BG77:BR77" si="166">SUM(BG75:BG76)</f>
        <v>162561613.90000001</v>
      </c>
      <c r="BH77" s="26">
        <f t="shared" si="166"/>
        <v>162561613.90000001</v>
      </c>
      <c r="BI77" s="26">
        <f t="shared" si="166"/>
        <v>162561613.90000001</v>
      </c>
      <c r="BJ77" s="26">
        <f t="shared" si="166"/>
        <v>162561613.90000001</v>
      </c>
      <c r="BK77" s="26">
        <f t="shared" si="166"/>
        <v>162561613.90000001</v>
      </c>
      <c r="BL77" s="26">
        <f t="shared" si="166"/>
        <v>162561613.90000001</v>
      </c>
      <c r="BM77" s="26">
        <f t="shared" si="166"/>
        <v>162561613.90000001</v>
      </c>
      <c r="BN77" s="26">
        <f t="shared" si="166"/>
        <v>162561613.90000001</v>
      </c>
      <c r="BO77" s="26">
        <f t="shared" si="166"/>
        <v>162561613.90000001</v>
      </c>
      <c r="BP77" s="26">
        <f t="shared" si="166"/>
        <v>162561613.90000001</v>
      </c>
      <c r="BQ77" s="26">
        <f t="shared" si="166"/>
        <v>162561613.90000001</v>
      </c>
      <c r="BR77" s="26">
        <f t="shared" si="166"/>
        <v>162561613.90000001</v>
      </c>
    </row>
    <row r="78" spans="1:70" hidden="1" outlineLevel="3" x14ac:dyDescent="0.2">
      <c r="A78" s="54"/>
      <c r="B78" s="57" t="str">
        <f t="shared" si="153"/>
        <v>Резерв на отпуск</v>
      </c>
      <c r="C78" s="56" t="str">
        <f t="shared" si="153"/>
        <v>Accruals for unused vacations</v>
      </c>
      <c r="D78" s="168">
        <f t="shared" si="154"/>
        <v>531265235.63999969</v>
      </c>
      <c r="E78" s="40">
        <v>44272102.969999984</v>
      </c>
      <c r="F78" s="40">
        <v>44272102.969999984</v>
      </c>
      <c r="G78" s="40">
        <v>44272102.969999984</v>
      </c>
      <c r="H78" s="40">
        <v>44272102.969999984</v>
      </c>
      <c r="I78" s="40">
        <v>44272102.969999984</v>
      </c>
      <c r="J78" s="40">
        <v>44272102.969999984</v>
      </c>
      <c r="K78" s="40">
        <v>44272102.969999984</v>
      </c>
      <c r="L78" s="40">
        <v>44272102.969999984</v>
      </c>
      <c r="M78" s="40">
        <v>44272102.969999984</v>
      </c>
      <c r="N78" s="40">
        <v>44272102.969999984</v>
      </c>
      <c r="O78" s="40">
        <v>44272102.969999984</v>
      </c>
      <c r="P78" s="176">
        <v>44272102.969999984</v>
      </c>
      <c r="Q78" s="191">
        <f t="shared" si="155"/>
        <v>531265235.63999969</v>
      </c>
      <c r="R78" s="40">
        <v>44272102.969999984</v>
      </c>
      <c r="S78" s="40">
        <v>44272102.969999984</v>
      </c>
      <c r="T78" s="40">
        <v>44272102.969999984</v>
      </c>
      <c r="U78" s="40">
        <v>44272102.969999984</v>
      </c>
      <c r="V78" s="40">
        <v>44272102.969999984</v>
      </c>
      <c r="W78" s="40">
        <v>44272102.969999984</v>
      </c>
      <c r="X78" s="40">
        <v>44272102.969999984</v>
      </c>
      <c r="Y78" s="40">
        <v>44272102.969999984</v>
      </c>
      <c r="Z78" s="40">
        <v>44272102.969999984</v>
      </c>
      <c r="AA78" s="40">
        <v>44272102.969999984</v>
      </c>
      <c r="AB78" s="40">
        <v>44272102.969999984</v>
      </c>
      <c r="AC78" s="176">
        <v>44272102.969999984</v>
      </c>
      <c r="AD78" s="225">
        <f t="shared" si="156"/>
        <v>531265235.63999969</v>
      </c>
      <c r="AE78" s="40">
        <v>44272102.969999984</v>
      </c>
      <c r="AF78" s="40">
        <v>44272102.969999984</v>
      </c>
      <c r="AG78" s="40">
        <v>44272102.969999984</v>
      </c>
      <c r="AH78" s="40">
        <v>44272102.969999984</v>
      </c>
      <c r="AI78" s="40">
        <v>44272102.969999984</v>
      </c>
      <c r="AJ78" s="40">
        <v>44272102.969999984</v>
      </c>
      <c r="AK78" s="40">
        <v>44272102.969999984</v>
      </c>
      <c r="AL78" s="40">
        <v>44272102.969999984</v>
      </c>
      <c r="AM78" s="40">
        <v>44272102.969999984</v>
      </c>
      <c r="AN78" s="40">
        <v>44272102.969999984</v>
      </c>
      <c r="AO78" s="40">
        <v>44272102.969999984</v>
      </c>
      <c r="AP78" s="40">
        <v>44272102.969999984</v>
      </c>
      <c r="AQ78" s="191">
        <f t="shared" si="157"/>
        <v>0</v>
      </c>
      <c r="AR78" s="40"/>
      <c r="AS78" s="40">
        <v>44272102.969999984</v>
      </c>
      <c r="AT78" s="40">
        <v>44272102.969999984</v>
      </c>
      <c r="AU78" s="40">
        <v>44272102.969999984</v>
      </c>
      <c r="AV78" s="40">
        <v>44272102.969999984</v>
      </c>
      <c r="AW78" s="40">
        <v>44272102.969999984</v>
      </c>
      <c r="AX78" s="40">
        <v>44272102.969999984</v>
      </c>
      <c r="AY78" s="40">
        <v>44272102.969999984</v>
      </c>
      <c r="AZ78" s="40">
        <v>44272102.969999984</v>
      </c>
      <c r="BA78" s="40">
        <v>44272102.969999984</v>
      </c>
      <c r="BB78" s="40">
        <v>44272102.969999984</v>
      </c>
      <c r="BC78" s="40">
        <v>44272102.969999984</v>
      </c>
      <c r="BD78" s="40">
        <v>44272102.969999984</v>
      </c>
      <c r="BE78" s="191">
        <f t="shared" si="158"/>
        <v>44272102.969999984</v>
      </c>
      <c r="BF78" s="40"/>
      <c r="BG78" s="40">
        <v>44272102.969999984</v>
      </c>
      <c r="BH78" s="40">
        <v>44272102.969999984</v>
      </c>
      <c r="BI78" s="40">
        <v>44272102.969999984</v>
      </c>
      <c r="BJ78" s="40">
        <v>44272102.969999984</v>
      </c>
      <c r="BK78" s="40">
        <v>44272102.969999984</v>
      </c>
      <c r="BL78" s="40">
        <v>44272102.969999984</v>
      </c>
      <c r="BM78" s="40">
        <v>44272102.969999984</v>
      </c>
      <c r="BN78" s="40">
        <v>44272102.969999984</v>
      </c>
      <c r="BO78" s="40">
        <v>44272102.969999984</v>
      </c>
      <c r="BP78" s="40">
        <v>44272102.969999984</v>
      </c>
      <c r="BQ78" s="40">
        <v>44272102.969999984</v>
      </c>
      <c r="BR78" s="40">
        <v>44272102.969999984</v>
      </c>
    </row>
    <row r="79" spans="1:70" hidden="1" outlineLevel="3" x14ac:dyDescent="0.2">
      <c r="A79" s="54"/>
      <c r="B79" s="38" t="str">
        <f t="shared" si="153"/>
        <v>Страховые взносы резерв на отпуск</v>
      </c>
      <c r="C79" s="56" t="str">
        <f t="shared" si="153"/>
        <v>Social Security on accruals for unused vacations</v>
      </c>
      <c r="D79" s="168">
        <f t="shared" si="154"/>
        <v>74713637.040000021</v>
      </c>
      <c r="E79" s="40">
        <v>6226136.4200000018</v>
      </c>
      <c r="F79" s="40">
        <v>6226136.4200000018</v>
      </c>
      <c r="G79" s="40">
        <v>6226136.4200000018</v>
      </c>
      <c r="H79" s="40">
        <v>6226136.4200000018</v>
      </c>
      <c r="I79" s="40">
        <v>6226136.4200000018</v>
      </c>
      <c r="J79" s="40">
        <v>6226136.4200000018</v>
      </c>
      <c r="K79" s="40">
        <v>6226136.4200000018</v>
      </c>
      <c r="L79" s="40">
        <v>6226136.4200000018</v>
      </c>
      <c r="M79" s="40">
        <v>6226136.4200000018</v>
      </c>
      <c r="N79" s="40">
        <v>6226136.4200000018</v>
      </c>
      <c r="O79" s="40">
        <v>6226136.4200000018</v>
      </c>
      <c r="P79" s="176">
        <v>6226136.4200000018</v>
      </c>
      <c r="Q79" s="191">
        <f t="shared" si="155"/>
        <v>74713637.040000021</v>
      </c>
      <c r="R79" s="40">
        <v>6226136.4200000018</v>
      </c>
      <c r="S79" s="40">
        <v>6226136.4200000018</v>
      </c>
      <c r="T79" s="40">
        <v>6226136.4200000018</v>
      </c>
      <c r="U79" s="40">
        <v>6226136.4200000018</v>
      </c>
      <c r="V79" s="40">
        <v>6226136.4200000018</v>
      </c>
      <c r="W79" s="40">
        <v>6226136.4200000018</v>
      </c>
      <c r="X79" s="40">
        <v>6226136.4200000018</v>
      </c>
      <c r="Y79" s="40">
        <v>6226136.4200000018</v>
      </c>
      <c r="Z79" s="40">
        <v>6226136.4200000018</v>
      </c>
      <c r="AA79" s="40">
        <v>6226136.4200000018</v>
      </c>
      <c r="AB79" s="40">
        <v>6226136.4200000018</v>
      </c>
      <c r="AC79" s="176">
        <v>6226136.4200000018</v>
      </c>
      <c r="AD79" s="225">
        <f t="shared" si="156"/>
        <v>74713637.040000021</v>
      </c>
      <c r="AE79" s="40">
        <v>6226136.4200000018</v>
      </c>
      <c r="AF79" s="40">
        <v>6226136.4200000018</v>
      </c>
      <c r="AG79" s="40">
        <v>6226136.4200000018</v>
      </c>
      <c r="AH79" s="40">
        <v>6226136.4200000018</v>
      </c>
      <c r="AI79" s="40">
        <v>6226136.4200000018</v>
      </c>
      <c r="AJ79" s="40">
        <v>6226136.4200000018</v>
      </c>
      <c r="AK79" s="40">
        <v>6226136.4200000018</v>
      </c>
      <c r="AL79" s="40">
        <v>6226136.4200000018</v>
      </c>
      <c r="AM79" s="40">
        <v>6226136.4200000018</v>
      </c>
      <c r="AN79" s="40">
        <v>6226136.4200000018</v>
      </c>
      <c r="AO79" s="40">
        <v>6226136.4200000018</v>
      </c>
      <c r="AP79" s="40">
        <v>6226136.4200000018</v>
      </c>
      <c r="AQ79" s="191">
        <f t="shared" si="157"/>
        <v>0</v>
      </c>
      <c r="AR79" s="40"/>
      <c r="AS79" s="40">
        <v>6226136.4200000018</v>
      </c>
      <c r="AT79" s="40">
        <v>6226136.4200000018</v>
      </c>
      <c r="AU79" s="40">
        <v>6226136.4200000018</v>
      </c>
      <c r="AV79" s="40">
        <v>6226136.4200000018</v>
      </c>
      <c r="AW79" s="40">
        <v>6226136.4200000018</v>
      </c>
      <c r="AX79" s="40">
        <v>6226136.4200000018</v>
      </c>
      <c r="AY79" s="40">
        <v>6226136.4200000018</v>
      </c>
      <c r="AZ79" s="40">
        <v>6226136.4200000018</v>
      </c>
      <c r="BA79" s="40">
        <v>6226136.4200000018</v>
      </c>
      <c r="BB79" s="40">
        <v>6226136.4200000018</v>
      </c>
      <c r="BC79" s="40">
        <v>6226136.4200000018</v>
      </c>
      <c r="BD79" s="40">
        <v>6226136.4200000018</v>
      </c>
      <c r="BE79" s="191">
        <f t="shared" si="158"/>
        <v>6226136.4200000018</v>
      </c>
      <c r="BF79" s="40"/>
      <c r="BG79" s="40">
        <v>6226136.4200000018</v>
      </c>
      <c r="BH79" s="40">
        <v>6226136.4200000018</v>
      </c>
      <c r="BI79" s="40">
        <v>6226136.4200000018</v>
      </c>
      <c r="BJ79" s="40">
        <v>6226136.4200000018</v>
      </c>
      <c r="BK79" s="40">
        <v>6226136.4200000018</v>
      </c>
      <c r="BL79" s="40">
        <v>6226136.4200000018</v>
      </c>
      <c r="BM79" s="40">
        <v>6226136.4200000018</v>
      </c>
      <c r="BN79" s="40">
        <v>6226136.4200000018</v>
      </c>
      <c r="BO79" s="40">
        <v>6226136.4200000018</v>
      </c>
      <c r="BP79" s="40">
        <v>6226136.4200000018</v>
      </c>
      <c r="BQ79" s="40">
        <v>6226136.4200000018</v>
      </c>
      <c r="BR79" s="40">
        <v>6226136.4200000018</v>
      </c>
    </row>
    <row r="80" spans="1:70" s="6" customFormat="1" hidden="1" outlineLevel="2" x14ac:dyDescent="0.2">
      <c r="A80" s="30"/>
      <c r="B80" s="29" t="str">
        <f t="shared" si="153"/>
        <v>Итого резерв на отпуск</v>
      </c>
      <c r="C80" s="52" t="str">
        <f t="shared" si="153"/>
        <v>Total Accruals for unused vacations</v>
      </c>
      <c r="D80" s="169">
        <f t="shared" si="154"/>
        <v>605978872.67999983</v>
      </c>
      <c r="E80" s="26">
        <f t="shared" ref="E80:P80" si="167">SUM(E78:E79)</f>
        <v>50498239.389999986</v>
      </c>
      <c r="F80" s="26">
        <f t="shared" si="167"/>
        <v>50498239.389999986</v>
      </c>
      <c r="G80" s="26">
        <f t="shared" si="167"/>
        <v>50498239.389999986</v>
      </c>
      <c r="H80" s="26">
        <f t="shared" si="167"/>
        <v>50498239.389999986</v>
      </c>
      <c r="I80" s="26">
        <f t="shared" si="167"/>
        <v>50498239.389999986</v>
      </c>
      <c r="J80" s="26">
        <f t="shared" si="167"/>
        <v>50498239.389999986</v>
      </c>
      <c r="K80" s="26">
        <f t="shared" si="167"/>
        <v>50498239.389999986</v>
      </c>
      <c r="L80" s="26">
        <f t="shared" si="167"/>
        <v>50498239.389999986</v>
      </c>
      <c r="M80" s="26">
        <f t="shared" si="167"/>
        <v>50498239.389999986</v>
      </c>
      <c r="N80" s="26">
        <f t="shared" si="167"/>
        <v>50498239.389999986</v>
      </c>
      <c r="O80" s="26">
        <f t="shared" si="167"/>
        <v>50498239.389999986</v>
      </c>
      <c r="P80" s="177">
        <f t="shared" si="167"/>
        <v>50498239.389999986</v>
      </c>
      <c r="Q80" s="192">
        <f t="shared" si="155"/>
        <v>605978872.67999983</v>
      </c>
      <c r="R80" s="26">
        <f t="shared" ref="R80:Y80" si="168">SUM(R78:R79)</f>
        <v>50498239.389999986</v>
      </c>
      <c r="S80" s="26">
        <f t="shared" si="168"/>
        <v>50498239.389999986</v>
      </c>
      <c r="T80" s="26">
        <f t="shared" si="168"/>
        <v>50498239.389999986</v>
      </c>
      <c r="U80" s="26">
        <f t="shared" si="168"/>
        <v>50498239.389999986</v>
      </c>
      <c r="V80" s="26">
        <f t="shared" si="168"/>
        <v>50498239.389999986</v>
      </c>
      <c r="W80" s="26">
        <f t="shared" si="168"/>
        <v>50498239.389999986</v>
      </c>
      <c r="X80" s="26">
        <f t="shared" si="168"/>
        <v>50498239.389999986</v>
      </c>
      <c r="Y80" s="26">
        <f t="shared" si="168"/>
        <v>50498239.389999986</v>
      </c>
      <c r="Z80" s="26">
        <f t="shared" ref="Z80:AC80" si="169">SUM(Z78:Z79)</f>
        <v>50498239.389999986</v>
      </c>
      <c r="AA80" s="26">
        <f t="shared" si="169"/>
        <v>50498239.389999986</v>
      </c>
      <c r="AB80" s="26">
        <f t="shared" si="169"/>
        <v>50498239.389999986</v>
      </c>
      <c r="AC80" s="177">
        <f t="shared" si="169"/>
        <v>50498239.389999986</v>
      </c>
      <c r="AD80" s="226">
        <f t="shared" si="156"/>
        <v>605978872.67999983</v>
      </c>
      <c r="AE80" s="26">
        <f t="shared" ref="AE80:AL80" si="170">SUM(AE78:AE79)</f>
        <v>50498239.389999986</v>
      </c>
      <c r="AF80" s="26">
        <f t="shared" si="170"/>
        <v>50498239.389999986</v>
      </c>
      <c r="AG80" s="26">
        <f t="shared" si="170"/>
        <v>50498239.389999986</v>
      </c>
      <c r="AH80" s="26">
        <f t="shared" si="170"/>
        <v>50498239.389999986</v>
      </c>
      <c r="AI80" s="26">
        <f t="shared" si="170"/>
        <v>50498239.389999986</v>
      </c>
      <c r="AJ80" s="26">
        <f t="shared" si="170"/>
        <v>50498239.389999986</v>
      </c>
      <c r="AK80" s="26">
        <f t="shared" si="170"/>
        <v>50498239.389999986</v>
      </c>
      <c r="AL80" s="26">
        <f t="shared" si="170"/>
        <v>50498239.389999986</v>
      </c>
      <c r="AM80" s="26">
        <f t="shared" ref="AM80:AP80" si="171">SUM(AM78:AM79)</f>
        <v>50498239.389999986</v>
      </c>
      <c r="AN80" s="26">
        <f t="shared" si="171"/>
        <v>50498239.389999986</v>
      </c>
      <c r="AO80" s="26">
        <f t="shared" si="171"/>
        <v>50498239.389999986</v>
      </c>
      <c r="AP80" s="26">
        <f t="shared" si="171"/>
        <v>50498239.389999986</v>
      </c>
      <c r="AQ80" s="192">
        <f t="shared" si="157"/>
        <v>0</v>
      </c>
      <c r="AR80" s="26"/>
      <c r="AS80" s="26">
        <f t="shared" ref="AS80:AZ80" si="172">SUM(AS78:AS79)</f>
        <v>50498239.389999986</v>
      </c>
      <c r="AT80" s="26">
        <f t="shared" si="172"/>
        <v>50498239.389999986</v>
      </c>
      <c r="AU80" s="26">
        <f t="shared" si="172"/>
        <v>50498239.389999986</v>
      </c>
      <c r="AV80" s="26">
        <f t="shared" si="172"/>
        <v>50498239.389999986</v>
      </c>
      <c r="AW80" s="26">
        <f t="shared" si="172"/>
        <v>50498239.389999986</v>
      </c>
      <c r="AX80" s="26">
        <f t="shared" si="172"/>
        <v>50498239.389999986</v>
      </c>
      <c r="AY80" s="26">
        <f t="shared" si="172"/>
        <v>50498239.389999986</v>
      </c>
      <c r="AZ80" s="26">
        <f t="shared" si="172"/>
        <v>50498239.389999986</v>
      </c>
      <c r="BA80" s="26">
        <f t="shared" ref="BA80:BD80" si="173">SUM(BA78:BA79)</f>
        <v>50498239.389999986</v>
      </c>
      <c r="BB80" s="26">
        <f t="shared" si="173"/>
        <v>50498239.389999986</v>
      </c>
      <c r="BC80" s="26">
        <f t="shared" si="173"/>
        <v>50498239.389999986</v>
      </c>
      <c r="BD80" s="26">
        <f t="shared" si="173"/>
        <v>50498239.389999986</v>
      </c>
      <c r="BE80" s="192">
        <f t="shared" si="158"/>
        <v>50498239.389999986</v>
      </c>
      <c r="BF80" s="26"/>
      <c r="BG80" s="26">
        <f t="shared" ref="BG80:BR80" si="174">SUM(BG78:BG79)</f>
        <v>50498239.389999986</v>
      </c>
      <c r="BH80" s="26">
        <f t="shared" si="174"/>
        <v>50498239.389999986</v>
      </c>
      <c r="BI80" s="26">
        <f t="shared" si="174"/>
        <v>50498239.389999986</v>
      </c>
      <c r="BJ80" s="26">
        <f t="shared" si="174"/>
        <v>50498239.389999986</v>
      </c>
      <c r="BK80" s="26">
        <f t="shared" si="174"/>
        <v>50498239.389999986</v>
      </c>
      <c r="BL80" s="26">
        <f t="shared" si="174"/>
        <v>50498239.389999986</v>
      </c>
      <c r="BM80" s="26">
        <f t="shared" si="174"/>
        <v>50498239.389999986</v>
      </c>
      <c r="BN80" s="26">
        <f t="shared" si="174"/>
        <v>50498239.389999986</v>
      </c>
      <c r="BO80" s="26">
        <f t="shared" si="174"/>
        <v>50498239.389999986</v>
      </c>
      <c r="BP80" s="26">
        <f t="shared" si="174"/>
        <v>50498239.389999986</v>
      </c>
      <c r="BQ80" s="26">
        <f t="shared" si="174"/>
        <v>50498239.389999986</v>
      </c>
      <c r="BR80" s="26">
        <f t="shared" si="174"/>
        <v>50498239.389999986</v>
      </c>
    </row>
    <row r="81" spans="1:70" hidden="1" outlineLevel="3" x14ac:dyDescent="0.2">
      <c r="A81" s="54"/>
      <c r="B81" s="38" t="str">
        <f t="shared" si="153"/>
        <v>Оплата больничных листов</v>
      </c>
      <c r="C81" s="49" t="str">
        <f t="shared" si="153"/>
        <v>Sick leave compensation</v>
      </c>
      <c r="D81" s="168">
        <f t="shared" si="154"/>
        <v>6027598.5599999996</v>
      </c>
      <c r="E81" s="40">
        <v>502299.88</v>
      </c>
      <c r="F81" s="40">
        <v>502299.88</v>
      </c>
      <c r="G81" s="40">
        <v>502299.88</v>
      </c>
      <c r="H81" s="40">
        <v>502299.88</v>
      </c>
      <c r="I81" s="40">
        <v>502299.88</v>
      </c>
      <c r="J81" s="40">
        <v>502299.88</v>
      </c>
      <c r="K81" s="40">
        <v>502299.88</v>
      </c>
      <c r="L81" s="40">
        <v>502299.88</v>
      </c>
      <c r="M81" s="40">
        <v>502299.88</v>
      </c>
      <c r="N81" s="40">
        <v>502299.88</v>
      </c>
      <c r="O81" s="40">
        <v>502299.88</v>
      </c>
      <c r="P81" s="176">
        <v>502299.88</v>
      </c>
      <c r="Q81" s="191">
        <f t="shared" si="155"/>
        <v>6027598.5599999996</v>
      </c>
      <c r="R81" s="40">
        <v>502299.88</v>
      </c>
      <c r="S81" s="40">
        <v>502299.88</v>
      </c>
      <c r="T81" s="40">
        <v>502299.88</v>
      </c>
      <c r="U81" s="40">
        <v>502299.88</v>
      </c>
      <c r="V81" s="40">
        <v>502299.88</v>
      </c>
      <c r="W81" s="40">
        <v>502299.88</v>
      </c>
      <c r="X81" s="40">
        <v>502299.88</v>
      </c>
      <c r="Y81" s="40">
        <v>502299.88</v>
      </c>
      <c r="Z81" s="40">
        <v>502299.88</v>
      </c>
      <c r="AA81" s="40">
        <v>502299.88</v>
      </c>
      <c r="AB81" s="40">
        <v>502299.88</v>
      </c>
      <c r="AC81" s="176">
        <v>502299.88</v>
      </c>
      <c r="AD81" s="225">
        <f t="shared" si="156"/>
        <v>6027598.5599999996</v>
      </c>
      <c r="AE81" s="40">
        <v>502299.88</v>
      </c>
      <c r="AF81" s="40">
        <v>502299.88</v>
      </c>
      <c r="AG81" s="40">
        <v>502299.88</v>
      </c>
      <c r="AH81" s="40">
        <v>502299.88</v>
      </c>
      <c r="AI81" s="40">
        <v>502299.88</v>
      </c>
      <c r="AJ81" s="40">
        <v>502299.88</v>
      </c>
      <c r="AK81" s="40">
        <v>502299.88</v>
      </c>
      <c r="AL81" s="40">
        <v>502299.88</v>
      </c>
      <c r="AM81" s="40">
        <v>502299.88</v>
      </c>
      <c r="AN81" s="40">
        <v>502299.88</v>
      </c>
      <c r="AO81" s="40">
        <v>502299.88</v>
      </c>
      <c r="AP81" s="40">
        <v>502299.88</v>
      </c>
      <c r="AQ81" s="191">
        <f t="shared" si="157"/>
        <v>0</v>
      </c>
      <c r="AR81" s="40"/>
      <c r="AS81" s="40">
        <v>502299.88</v>
      </c>
      <c r="AT81" s="40">
        <v>502299.88</v>
      </c>
      <c r="AU81" s="40">
        <v>502299.88</v>
      </c>
      <c r="AV81" s="40">
        <v>502299.88</v>
      </c>
      <c r="AW81" s="40">
        <v>502299.88</v>
      </c>
      <c r="AX81" s="40">
        <v>502299.88</v>
      </c>
      <c r="AY81" s="40">
        <v>502299.88</v>
      </c>
      <c r="AZ81" s="40">
        <v>502299.88</v>
      </c>
      <c r="BA81" s="40">
        <v>502299.88</v>
      </c>
      <c r="BB81" s="40">
        <v>502299.88</v>
      </c>
      <c r="BC81" s="40">
        <v>502299.88</v>
      </c>
      <c r="BD81" s="40">
        <v>502299.88</v>
      </c>
      <c r="BE81" s="191">
        <f t="shared" si="158"/>
        <v>502299.88</v>
      </c>
      <c r="BF81" s="40"/>
      <c r="BG81" s="40">
        <v>502299.88</v>
      </c>
      <c r="BH81" s="40">
        <v>502299.88</v>
      </c>
      <c r="BI81" s="40">
        <v>502299.88</v>
      </c>
      <c r="BJ81" s="40">
        <v>502299.88</v>
      </c>
      <c r="BK81" s="40">
        <v>502299.88</v>
      </c>
      <c r="BL81" s="40">
        <v>502299.88</v>
      </c>
      <c r="BM81" s="40">
        <v>502299.88</v>
      </c>
      <c r="BN81" s="40">
        <v>502299.88</v>
      </c>
      <c r="BO81" s="40">
        <v>502299.88</v>
      </c>
      <c r="BP81" s="40">
        <v>502299.88</v>
      </c>
      <c r="BQ81" s="40">
        <v>502299.88</v>
      </c>
      <c r="BR81" s="40">
        <v>502299.88</v>
      </c>
    </row>
    <row r="82" spans="1:70" hidden="1" outlineLevel="3" x14ac:dyDescent="0.2">
      <c r="A82" s="54"/>
      <c r="B82" s="38" t="str">
        <f t="shared" si="153"/>
        <v>Страховые взносы оплата больничных листов</v>
      </c>
      <c r="C82" s="49" t="str">
        <f t="shared" si="153"/>
        <v>Social Security on Sick leave compensation</v>
      </c>
      <c r="D82" s="168">
        <f t="shared" si="154"/>
        <v>976073.39999999979</v>
      </c>
      <c r="E82" s="40">
        <v>81339.45</v>
      </c>
      <c r="F82" s="40">
        <v>81339.45</v>
      </c>
      <c r="G82" s="40">
        <v>81339.45</v>
      </c>
      <c r="H82" s="40">
        <v>81339.45</v>
      </c>
      <c r="I82" s="40">
        <v>81339.45</v>
      </c>
      <c r="J82" s="40">
        <v>81339.45</v>
      </c>
      <c r="K82" s="40">
        <v>81339.45</v>
      </c>
      <c r="L82" s="40">
        <v>81339.45</v>
      </c>
      <c r="M82" s="40">
        <v>81339.45</v>
      </c>
      <c r="N82" s="40">
        <v>81339.45</v>
      </c>
      <c r="O82" s="40">
        <v>81339.45</v>
      </c>
      <c r="P82" s="176">
        <v>81339.45</v>
      </c>
      <c r="Q82" s="191">
        <f t="shared" si="155"/>
        <v>976073.39999999979</v>
      </c>
      <c r="R82" s="40">
        <v>81339.45</v>
      </c>
      <c r="S82" s="40">
        <v>81339.45</v>
      </c>
      <c r="T82" s="40">
        <v>81339.45</v>
      </c>
      <c r="U82" s="40">
        <v>81339.45</v>
      </c>
      <c r="V82" s="40">
        <v>81339.45</v>
      </c>
      <c r="W82" s="40">
        <v>81339.45</v>
      </c>
      <c r="X82" s="40">
        <v>81339.45</v>
      </c>
      <c r="Y82" s="40">
        <v>81339.45</v>
      </c>
      <c r="Z82" s="40">
        <v>81339.45</v>
      </c>
      <c r="AA82" s="40">
        <v>81339.45</v>
      </c>
      <c r="AB82" s="40">
        <v>81339.45</v>
      </c>
      <c r="AC82" s="176">
        <v>81339.45</v>
      </c>
      <c r="AD82" s="225">
        <f t="shared" si="156"/>
        <v>976073.39999999979</v>
      </c>
      <c r="AE82" s="40">
        <v>81339.45</v>
      </c>
      <c r="AF82" s="40">
        <v>81339.45</v>
      </c>
      <c r="AG82" s="40">
        <v>81339.45</v>
      </c>
      <c r="AH82" s="40">
        <v>81339.45</v>
      </c>
      <c r="AI82" s="40">
        <v>81339.45</v>
      </c>
      <c r="AJ82" s="40">
        <v>81339.45</v>
      </c>
      <c r="AK82" s="40">
        <v>81339.45</v>
      </c>
      <c r="AL82" s="40">
        <v>81339.45</v>
      </c>
      <c r="AM82" s="40">
        <v>81339.45</v>
      </c>
      <c r="AN82" s="40">
        <v>81339.45</v>
      </c>
      <c r="AO82" s="40">
        <v>81339.45</v>
      </c>
      <c r="AP82" s="40">
        <v>81339.45</v>
      </c>
      <c r="AQ82" s="191">
        <f t="shared" si="157"/>
        <v>0</v>
      </c>
      <c r="AR82" s="40"/>
      <c r="AS82" s="40">
        <v>81339.45</v>
      </c>
      <c r="AT82" s="40">
        <v>81339.45</v>
      </c>
      <c r="AU82" s="40">
        <v>81339.45</v>
      </c>
      <c r="AV82" s="40">
        <v>81339.45</v>
      </c>
      <c r="AW82" s="40">
        <v>81339.45</v>
      </c>
      <c r="AX82" s="40">
        <v>81339.45</v>
      </c>
      <c r="AY82" s="40">
        <v>81339.45</v>
      </c>
      <c r="AZ82" s="40">
        <v>81339.45</v>
      </c>
      <c r="BA82" s="40">
        <v>81339.45</v>
      </c>
      <c r="BB82" s="40">
        <v>81339.45</v>
      </c>
      <c r="BC82" s="40">
        <v>81339.45</v>
      </c>
      <c r="BD82" s="40">
        <v>81339.45</v>
      </c>
      <c r="BE82" s="191">
        <f t="shared" si="158"/>
        <v>81339.45</v>
      </c>
      <c r="BF82" s="40"/>
      <c r="BG82" s="40">
        <v>81339.45</v>
      </c>
      <c r="BH82" s="40">
        <v>81339.45</v>
      </c>
      <c r="BI82" s="40">
        <v>81339.45</v>
      </c>
      <c r="BJ82" s="40">
        <v>81339.45</v>
      </c>
      <c r="BK82" s="40">
        <v>81339.45</v>
      </c>
      <c r="BL82" s="40">
        <v>81339.45</v>
      </c>
      <c r="BM82" s="40">
        <v>81339.45</v>
      </c>
      <c r="BN82" s="40">
        <v>81339.45</v>
      </c>
      <c r="BO82" s="40">
        <v>81339.45</v>
      </c>
      <c r="BP82" s="40">
        <v>81339.45</v>
      </c>
      <c r="BQ82" s="40">
        <v>81339.45</v>
      </c>
      <c r="BR82" s="40">
        <v>81339.45</v>
      </c>
    </row>
    <row r="83" spans="1:70" s="6" customFormat="1" hidden="1" outlineLevel="2" x14ac:dyDescent="0.2">
      <c r="A83" s="30"/>
      <c r="B83" s="29" t="str">
        <f t="shared" si="153"/>
        <v>Итого оплата больничных листов</v>
      </c>
      <c r="C83" s="52" t="str">
        <f t="shared" si="153"/>
        <v>Total Sick leave compensation</v>
      </c>
      <c r="D83" s="169">
        <f t="shared" si="154"/>
        <v>7003671.96</v>
      </c>
      <c r="E83" s="26">
        <f t="shared" ref="E83:P83" si="175">SUM(E81:E82)</f>
        <v>583639.32999999996</v>
      </c>
      <c r="F83" s="26">
        <f t="shared" si="175"/>
        <v>583639.32999999996</v>
      </c>
      <c r="G83" s="26">
        <f t="shared" si="175"/>
        <v>583639.32999999996</v>
      </c>
      <c r="H83" s="26">
        <f t="shared" si="175"/>
        <v>583639.32999999996</v>
      </c>
      <c r="I83" s="26">
        <f t="shared" si="175"/>
        <v>583639.32999999996</v>
      </c>
      <c r="J83" s="26">
        <f t="shared" si="175"/>
        <v>583639.32999999996</v>
      </c>
      <c r="K83" s="26">
        <f t="shared" si="175"/>
        <v>583639.32999999996</v>
      </c>
      <c r="L83" s="26">
        <f t="shared" si="175"/>
        <v>583639.32999999996</v>
      </c>
      <c r="M83" s="26">
        <f t="shared" si="175"/>
        <v>583639.32999999996</v>
      </c>
      <c r="N83" s="26">
        <f t="shared" si="175"/>
        <v>583639.32999999996</v>
      </c>
      <c r="O83" s="26">
        <f t="shared" si="175"/>
        <v>583639.32999999996</v>
      </c>
      <c r="P83" s="177">
        <f t="shared" si="175"/>
        <v>583639.32999999996</v>
      </c>
      <c r="Q83" s="192">
        <f t="shared" si="155"/>
        <v>7003671.96</v>
      </c>
      <c r="R83" s="26">
        <f t="shared" ref="R83:Y83" si="176">SUM(R81:R82)</f>
        <v>583639.32999999996</v>
      </c>
      <c r="S83" s="26">
        <f t="shared" si="176"/>
        <v>583639.32999999996</v>
      </c>
      <c r="T83" s="26">
        <f t="shared" si="176"/>
        <v>583639.32999999996</v>
      </c>
      <c r="U83" s="26">
        <f t="shared" si="176"/>
        <v>583639.32999999996</v>
      </c>
      <c r="V83" s="26">
        <f t="shared" si="176"/>
        <v>583639.32999999996</v>
      </c>
      <c r="W83" s="26">
        <f t="shared" si="176"/>
        <v>583639.32999999996</v>
      </c>
      <c r="X83" s="26">
        <f t="shared" si="176"/>
        <v>583639.32999999996</v>
      </c>
      <c r="Y83" s="26">
        <f t="shared" si="176"/>
        <v>583639.32999999996</v>
      </c>
      <c r="Z83" s="26">
        <f t="shared" ref="Z83:AC83" si="177">SUM(Z81:Z82)</f>
        <v>583639.32999999996</v>
      </c>
      <c r="AA83" s="26">
        <f t="shared" si="177"/>
        <v>583639.32999999996</v>
      </c>
      <c r="AB83" s="26">
        <f t="shared" si="177"/>
        <v>583639.32999999996</v>
      </c>
      <c r="AC83" s="177">
        <f t="shared" si="177"/>
        <v>583639.32999999996</v>
      </c>
      <c r="AD83" s="226">
        <f t="shared" si="156"/>
        <v>7003671.96</v>
      </c>
      <c r="AE83" s="26">
        <f t="shared" ref="AE83:AL83" si="178">SUM(AE81:AE82)</f>
        <v>583639.32999999996</v>
      </c>
      <c r="AF83" s="26">
        <f t="shared" si="178"/>
        <v>583639.32999999996</v>
      </c>
      <c r="AG83" s="26">
        <f t="shared" si="178"/>
        <v>583639.32999999996</v>
      </c>
      <c r="AH83" s="26">
        <f t="shared" si="178"/>
        <v>583639.32999999996</v>
      </c>
      <c r="AI83" s="26">
        <f t="shared" si="178"/>
        <v>583639.32999999996</v>
      </c>
      <c r="AJ83" s="26">
        <f t="shared" si="178"/>
        <v>583639.32999999996</v>
      </c>
      <c r="AK83" s="26">
        <f t="shared" si="178"/>
        <v>583639.32999999996</v>
      </c>
      <c r="AL83" s="26">
        <f t="shared" si="178"/>
        <v>583639.32999999996</v>
      </c>
      <c r="AM83" s="26">
        <f t="shared" ref="AM83:AP83" si="179">SUM(AM81:AM82)</f>
        <v>583639.32999999996</v>
      </c>
      <c r="AN83" s="26">
        <f t="shared" si="179"/>
        <v>583639.32999999996</v>
      </c>
      <c r="AO83" s="26">
        <f t="shared" si="179"/>
        <v>583639.32999999996</v>
      </c>
      <c r="AP83" s="26">
        <f t="shared" si="179"/>
        <v>583639.32999999996</v>
      </c>
      <c r="AQ83" s="192">
        <f t="shared" si="157"/>
        <v>0</v>
      </c>
      <c r="AR83" s="26"/>
      <c r="AS83" s="26">
        <f t="shared" ref="AS83:AZ83" si="180">SUM(AS81:AS82)</f>
        <v>583639.32999999996</v>
      </c>
      <c r="AT83" s="26">
        <f t="shared" si="180"/>
        <v>583639.32999999996</v>
      </c>
      <c r="AU83" s="26">
        <f t="shared" si="180"/>
        <v>583639.32999999996</v>
      </c>
      <c r="AV83" s="26">
        <f t="shared" si="180"/>
        <v>583639.32999999996</v>
      </c>
      <c r="AW83" s="26">
        <f t="shared" si="180"/>
        <v>583639.32999999996</v>
      </c>
      <c r="AX83" s="26">
        <f t="shared" si="180"/>
        <v>583639.32999999996</v>
      </c>
      <c r="AY83" s="26">
        <f t="shared" si="180"/>
        <v>583639.32999999996</v>
      </c>
      <c r="AZ83" s="26">
        <f t="shared" si="180"/>
        <v>583639.32999999996</v>
      </c>
      <c r="BA83" s="26">
        <f t="shared" ref="BA83:BD83" si="181">SUM(BA81:BA82)</f>
        <v>583639.32999999996</v>
      </c>
      <c r="BB83" s="26">
        <f t="shared" si="181"/>
        <v>583639.32999999996</v>
      </c>
      <c r="BC83" s="26">
        <f t="shared" si="181"/>
        <v>583639.32999999996</v>
      </c>
      <c r="BD83" s="26">
        <f t="shared" si="181"/>
        <v>583639.32999999996</v>
      </c>
      <c r="BE83" s="192">
        <f t="shared" si="158"/>
        <v>583639.32999999996</v>
      </c>
      <c r="BF83" s="26"/>
      <c r="BG83" s="26">
        <f t="shared" ref="BG83:BR83" si="182">SUM(BG81:BG82)</f>
        <v>583639.32999999996</v>
      </c>
      <c r="BH83" s="26">
        <f t="shared" si="182"/>
        <v>583639.32999999996</v>
      </c>
      <c r="BI83" s="26">
        <f t="shared" si="182"/>
        <v>583639.32999999996</v>
      </c>
      <c r="BJ83" s="26">
        <f t="shared" si="182"/>
        <v>583639.32999999996</v>
      </c>
      <c r="BK83" s="26">
        <f t="shared" si="182"/>
        <v>583639.32999999996</v>
      </c>
      <c r="BL83" s="26">
        <f t="shared" si="182"/>
        <v>583639.32999999996</v>
      </c>
      <c r="BM83" s="26">
        <f t="shared" si="182"/>
        <v>583639.32999999996</v>
      </c>
      <c r="BN83" s="26">
        <f t="shared" si="182"/>
        <v>583639.32999999996</v>
      </c>
      <c r="BO83" s="26">
        <f t="shared" si="182"/>
        <v>583639.32999999996</v>
      </c>
      <c r="BP83" s="26">
        <f t="shared" si="182"/>
        <v>583639.32999999996</v>
      </c>
      <c r="BQ83" s="26">
        <f t="shared" si="182"/>
        <v>583639.32999999996</v>
      </c>
      <c r="BR83" s="26">
        <f t="shared" si="182"/>
        <v>583639.32999999996</v>
      </c>
    </row>
    <row r="84" spans="1:70" hidden="1" outlineLevel="3" x14ac:dyDescent="0.2">
      <c r="A84" s="54"/>
      <c r="B84" s="38" t="str">
        <f t="shared" si="153"/>
        <v>Декрет</v>
      </c>
      <c r="C84" s="49" t="str">
        <f t="shared" si="153"/>
        <v>Maternity leave</v>
      </c>
      <c r="D84" s="168">
        <f t="shared" si="154"/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176">
        <v>0</v>
      </c>
      <c r="Q84" s="191">
        <f t="shared" si="155"/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176">
        <v>0</v>
      </c>
      <c r="AD84" s="225">
        <f t="shared" si="156"/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191">
        <f t="shared" si="157"/>
        <v>0</v>
      </c>
      <c r="AR84" s="40"/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191">
        <f t="shared" si="158"/>
        <v>0</v>
      </c>
      <c r="BF84" s="40"/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</row>
    <row r="85" spans="1:70" hidden="1" outlineLevel="3" x14ac:dyDescent="0.2">
      <c r="A85" s="54"/>
      <c r="B85" s="38" t="str">
        <f t="shared" si="153"/>
        <v>Страховые взносы декрет</v>
      </c>
      <c r="C85" s="49" t="str">
        <f t="shared" si="153"/>
        <v>Social Security on Maternity leave</v>
      </c>
      <c r="D85" s="168">
        <f t="shared" si="154"/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176">
        <v>0</v>
      </c>
      <c r="Q85" s="191">
        <f t="shared" si="155"/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176">
        <v>0</v>
      </c>
      <c r="AD85" s="225">
        <f t="shared" si="156"/>
        <v>0</v>
      </c>
      <c r="AE85" s="40">
        <v>0</v>
      </c>
      <c r="AF85" s="40">
        <v>0</v>
      </c>
      <c r="AG85" s="40">
        <v>0</v>
      </c>
      <c r="AH85" s="40">
        <v>0</v>
      </c>
      <c r="AI85" s="40">
        <v>0</v>
      </c>
      <c r="AJ85" s="40">
        <v>0</v>
      </c>
      <c r="AK85" s="40">
        <v>0</v>
      </c>
      <c r="AL85" s="40">
        <v>0</v>
      </c>
      <c r="AM85" s="40">
        <v>0</v>
      </c>
      <c r="AN85" s="40">
        <v>0</v>
      </c>
      <c r="AO85" s="40">
        <v>0</v>
      </c>
      <c r="AP85" s="40">
        <v>0</v>
      </c>
      <c r="AQ85" s="191">
        <f t="shared" si="157"/>
        <v>0</v>
      </c>
      <c r="AR85" s="40"/>
      <c r="AS85" s="40">
        <v>0</v>
      </c>
      <c r="AT85" s="40">
        <v>0</v>
      </c>
      <c r="AU85" s="40">
        <v>0</v>
      </c>
      <c r="AV85" s="40">
        <v>0</v>
      </c>
      <c r="AW85" s="40">
        <v>0</v>
      </c>
      <c r="AX85" s="40">
        <v>0</v>
      </c>
      <c r="AY85" s="40">
        <v>0</v>
      </c>
      <c r="AZ85" s="40">
        <v>0</v>
      </c>
      <c r="BA85" s="40">
        <v>0</v>
      </c>
      <c r="BB85" s="40">
        <v>0</v>
      </c>
      <c r="BC85" s="40">
        <v>0</v>
      </c>
      <c r="BD85" s="40">
        <v>0</v>
      </c>
      <c r="BE85" s="191">
        <f t="shared" si="158"/>
        <v>0</v>
      </c>
      <c r="BF85" s="40"/>
      <c r="BG85" s="40">
        <v>0</v>
      </c>
      <c r="BH85" s="40">
        <v>0</v>
      </c>
      <c r="BI85" s="40">
        <v>0</v>
      </c>
      <c r="BJ85" s="40">
        <v>0</v>
      </c>
      <c r="BK85" s="40">
        <v>0</v>
      </c>
      <c r="BL85" s="40">
        <v>0</v>
      </c>
      <c r="BM85" s="40">
        <v>0</v>
      </c>
      <c r="BN85" s="40">
        <v>0</v>
      </c>
      <c r="BO85" s="40">
        <v>0</v>
      </c>
      <c r="BP85" s="40">
        <v>0</v>
      </c>
      <c r="BQ85" s="40">
        <v>0</v>
      </c>
      <c r="BR85" s="40">
        <v>0</v>
      </c>
    </row>
    <row r="86" spans="1:70" s="6" customFormat="1" hidden="1" outlineLevel="2" x14ac:dyDescent="0.2">
      <c r="A86" s="30"/>
      <c r="B86" s="29" t="str">
        <f t="shared" si="153"/>
        <v>Итого декрет</v>
      </c>
      <c r="C86" s="52" t="str">
        <f t="shared" si="153"/>
        <v>Total Maternity leave</v>
      </c>
      <c r="D86" s="169">
        <f t="shared" si="154"/>
        <v>0</v>
      </c>
      <c r="E86" s="26">
        <f t="shared" ref="E86:P86" si="183">SUM(E84:E85)</f>
        <v>0</v>
      </c>
      <c r="F86" s="26">
        <f t="shared" si="183"/>
        <v>0</v>
      </c>
      <c r="G86" s="26">
        <f t="shared" si="183"/>
        <v>0</v>
      </c>
      <c r="H86" s="26">
        <f t="shared" si="183"/>
        <v>0</v>
      </c>
      <c r="I86" s="26">
        <f t="shared" si="183"/>
        <v>0</v>
      </c>
      <c r="J86" s="26">
        <f t="shared" si="183"/>
        <v>0</v>
      </c>
      <c r="K86" s="26">
        <f t="shared" si="183"/>
        <v>0</v>
      </c>
      <c r="L86" s="26">
        <f t="shared" si="183"/>
        <v>0</v>
      </c>
      <c r="M86" s="26">
        <f t="shared" si="183"/>
        <v>0</v>
      </c>
      <c r="N86" s="26">
        <f t="shared" si="183"/>
        <v>0</v>
      </c>
      <c r="O86" s="26">
        <f t="shared" si="183"/>
        <v>0</v>
      </c>
      <c r="P86" s="177">
        <f t="shared" si="183"/>
        <v>0</v>
      </c>
      <c r="Q86" s="192">
        <f t="shared" si="155"/>
        <v>0</v>
      </c>
      <c r="R86" s="26">
        <f t="shared" ref="R86:Y86" si="184">SUM(R84:R85)</f>
        <v>0</v>
      </c>
      <c r="S86" s="26">
        <f t="shared" si="184"/>
        <v>0</v>
      </c>
      <c r="T86" s="26">
        <f t="shared" si="184"/>
        <v>0</v>
      </c>
      <c r="U86" s="26">
        <f t="shared" si="184"/>
        <v>0</v>
      </c>
      <c r="V86" s="26">
        <f t="shared" si="184"/>
        <v>0</v>
      </c>
      <c r="W86" s="26">
        <f t="shared" si="184"/>
        <v>0</v>
      </c>
      <c r="X86" s="26">
        <f t="shared" si="184"/>
        <v>0</v>
      </c>
      <c r="Y86" s="26">
        <f t="shared" si="184"/>
        <v>0</v>
      </c>
      <c r="Z86" s="26">
        <f t="shared" ref="Z86:AC86" si="185">SUM(Z84:Z85)</f>
        <v>0</v>
      </c>
      <c r="AA86" s="26">
        <f t="shared" si="185"/>
        <v>0</v>
      </c>
      <c r="AB86" s="26">
        <f t="shared" si="185"/>
        <v>0</v>
      </c>
      <c r="AC86" s="177">
        <f t="shared" si="185"/>
        <v>0</v>
      </c>
      <c r="AD86" s="226">
        <f t="shared" si="156"/>
        <v>0</v>
      </c>
      <c r="AE86" s="26">
        <f t="shared" ref="AE86:AL86" si="186">SUM(AE84:AE85)</f>
        <v>0</v>
      </c>
      <c r="AF86" s="26">
        <f t="shared" si="186"/>
        <v>0</v>
      </c>
      <c r="AG86" s="26">
        <f t="shared" si="186"/>
        <v>0</v>
      </c>
      <c r="AH86" s="26">
        <f t="shared" si="186"/>
        <v>0</v>
      </c>
      <c r="AI86" s="26">
        <f t="shared" si="186"/>
        <v>0</v>
      </c>
      <c r="AJ86" s="26">
        <f t="shared" si="186"/>
        <v>0</v>
      </c>
      <c r="AK86" s="26">
        <f t="shared" si="186"/>
        <v>0</v>
      </c>
      <c r="AL86" s="26">
        <f t="shared" si="186"/>
        <v>0</v>
      </c>
      <c r="AM86" s="26">
        <f t="shared" ref="AM86:AP86" si="187">SUM(AM84:AM85)</f>
        <v>0</v>
      </c>
      <c r="AN86" s="26">
        <f t="shared" si="187"/>
        <v>0</v>
      </c>
      <c r="AO86" s="26">
        <f t="shared" si="187"/>
        <v>0</v>
      </c>
      <c r="AP86" s="26">
        <f t="shared" si="187"/>
        <v>0</v>
      </c>
      <c r="AQ86" s="192">
        <f t="shared" si="157"/>
        <v>0</v>
      </c>
      <c r="AR86" s="26"/>
      <c r="AS86" s="26">
        <f t="shared" ref="AS86:AZ86" si="188">SUM(AS84:AS85)</f>
        <v>0</v>
      </c>
      <c r="AT86" s="26">
        <f t="shared" si="188"/>
        <v>0</v>
      </c>
      <c r="AU86" s="26">
        <f t="shared" si="188"/>
        <v>0</v>
      </c>
      <c r="AV86" s="26">
        <f t="shared" si="188"/>
        <v>0</v>
      </c>
      <c r="AW86" s="26">
        <f t="shared" si="188"/>
        <v>0</v>
      </c>
      <c r="AX86" s="26">
        <f t="shared" si="188"/>
        <v>0</v>
      </c>
      <c r="AY86" s="26">
        <f t="shared" si="188"/>
        <v>0</v>
      </c>
      <c r="AZ86" s="26">
        <f t="shared" si="188"/>
        <v>0</v>
      </c>
      <c r="BA86" s="26">
        <f t="shared" ref="BA86:BD86" si="189">SUM(BA84:BA85)</f>
        <v>0</v>
      </c>
      <c r="BB86" s="26">
        <f t="shared" si="189"/>
        <v>0</v>
      </c>
      <c r="BC86" s="26">
        <f t="shared" si="189"/>
        <v>0</v>
      </c>
      <c r="BD86" s="26">
        <f t="shared" si="189"/>
        <v>0</v>
      </c>
      <c r="BE86" s="192">
        <f t="shared" si="158"/>
        <v>0</v>
      </c>
      <c r="BF86" s="26"/>
      <c r="BG86" s="26">
        <f t="shared" ref="BG86:BR86" si="190">SUM(BG84:BG85)</f>
        <v>0</v>
      </c>
      <c r="BH86" s="26">
        <f t="shared" si="190"/>
        <v>0</v>
      </c>
      <c r="BI86" s="26">
        <f t="shared" si="190"/>
        <v>0</v>
      </c>
      <c r="BJ86" s="26">
        <f t="shared" si="190"/>
        <v>0</v>
      </c>
      <c r="BK86" s="26">
        <f t="shared" si="190"/>
        <v>0</v>
      </c>
      <c r="BL86" s="26">
        <f t="shared" si="190"/>
        <v>0</v>
      </c>
      <c r="BM86" s="26">
        <f t="shared" si="190"/>
        <v>0</v>
      </c>
      <c r="BN86" s="26">
        <f t="shared" si="190"/>
        <v>0</v>
      </c>
      <c r="BO86" s="26">
        <f t="shared" si="190"/>
        <v>0</v>
      </c>
      <c r="BP86" s="26">
        <f t="shared" si="190"/>
        <v>0</v>
      </c>
      <c r="BQ86" s="26">
        <f t="shared" si="190"/>
        <v>0</v>
      </c>
      <c r="BR86" s="26">
        <f t="shared" si="190"/>
        <v>0</v>
      </c>
    </row>
    <row r="87" spans="1:70" s="6" customFormat="1" ht="13.5" outlineLevel="1" collapsed="1" thickTop="1" x14ac:dyDescent="0.2">
      <c r="A87" s="30"/>
      <c r="B87" s="48" t="str">
        <f t="shared" si="153"/>
        <v>Фиксированное вознаграждение</v>
      </c>
      <c r="C87" s="55" t="str">
        <f t="shared" si="153"/>
        <v>FIX compensation</v>
      </c>
      <c r="D87" s="170">
        <f t="shared" si="154"/>
        <v>2563721911.4399996</v>
      </c>
      <c r="E87" s="45">
        <f t="shared" ref="E87:P87" si="191">E77+E80+E83+E86</f>
        <v>213643492.62</v>
      </c>
      <c r="F87" s="45">
        <f t="shared" si="191"/>
        <v>213643492.62</v>
      </c>
      <c r="G87" s="45">
        <f t="shared" si="191"/>
        <v>213643492.62</v>
      </c>
      <c r="H87" s="45">
        <f t="shared" si="191"/>
        <v>213643492.62</v>
      </c>
      <c r="I87" s="45">
        <f t="shared" si="191"/>
        <v>213643492.62</v>
      </c>
      <c r="J87" s="45">
        <f t="shared" si="191"/>
        <v>213643492.62</v>
      </c>
      <c r="K87" s="45">
        <f t="shared" si="191"/>
        <v>213643492.62</v>
      </c>
      <c r="L87" s="45">
        <f t="shared" si="191"/>
        <v>213643492.62</v>
      </c>
      <c r="M87" s="45">
        <f t="shared" si="191"/>
        <v>213643492.62</v>
      </c>
      <c r="N87" s="45">
        <f t="shared" si="191"/>
        <v>213643492.62</v>
      </c>
      <c r="O87" s="45">
        <f t="shared" si="191"/>
        <v>213643492.62</v>
      </c>
      <c r="P87" s="178">
        <f t="shared" si="191"/>
        <v>213643492.62</v>
      </c>
      <c r="Q87" s="193">
        <f t="shared" si="155"/>
        <v>2563721911.4399996</v>
      </c>
      <c r="R87" s="45">
        <f t="shared" ref="R87:Y87" si="192">R77+R80+R83+R86</f>
        <v>213643492.62</v>
      </c>
      <c r="S87" s="45">
        <f t="shared" si="192"/>
        <v>213643492.62</v>
      </c>
      <c r="T87" s="45">
        <f t="shared" si="192"/>
        <v>213643492.62</v>
      </c>
      <c r="U87" s="45">
        <f t="shared" si="192"/>
        <v>213643492.62</v>
      </c>
      <c r="V87" s="45">
        <f t="shared" si="192"/>
        <v>213643492.62</v>
      </c>
      <c r="W87" s="45">
        <f t="shared" si="192"/>
        <v>213643492.62</v>
      </c>
      <c r="X87" s="45">
        <f t="shared" si="192"/>
        <v>213643492.62</v>
      </c>
      <c r="Y87" s="45">
        <f t="shared" si="192"/>
        <v>213643492.62</v>
      </c>
      <c r="Z87" s="45">
        <f t="shared" ref="Z87:AC87" si="193">Z77+Z80+Z83+Z86</f>
        <v>213643492.62</v>
      </c>
      <c r="AA87" s="45">
        <f t="shared" si="193"/>
        <v>213643492.62</v>
      </c>
      <c r="AB87" s="45">
        <f t="shared" si="193"/>
        <v>213643492.62</v>
      </c>
      <c r="AC87" s="178">
        <f t="shared" si="193"/>
        <v>213643492.62</v>
      </c>
      <c r="AD87" s="227">
        <f t="shared" si="156"/>
        <v>2563721911.4399996</v>
      </c>
      <c r="AE87" s="45">
        <f t="shared" ref="AE87:AL87" si="194">AE77+AE80+AE83+AE86</f>
        <v>213643492.62</v>
      </c>
      <c r="AF87" s="45">
        <f t="shared" si="194"/>
        <v>213643492.62</v>
      </c>
      <c r="AG87" s="45">
        <f t="shared" si="194"/>
        <v>213643492.62</v>
      </c>
      <c r="AH87" s="45">
        <f t="shared" si="194"/>
        <v>213643492.62</v>
      </c>
      <c r="AI87" s="45">
        <f t="shared" si="194"/>
        <v>213643492.62</v>
      </c>
      <c r="AJ87" s="45">
        <f t="shared" si="194"/>
        <v>213643492.62</v>
      </c>
      <c r="AK87" s="45">
        <f t="shared" si="194"/>
        <v>213643492.62</v>
      </c>
      <c r="AL87" s="45">
        <f t="shared" si="194"/>
        <v>213643492.62</v>
      </c>
      <c r="AM87" s="45">
        <f t="shared" ref="AM87:AP87" si="195">AM77+AM80+AM83+AM86</f>
        <v>213643492.62</v>
      </c>
      <c r="AN87" s="45">
        <f t="shared" si="195"/>
        <v>213643492.62</v>
      </c>
      <c r="AO87" s="45">
        <f t="shared" si="195"/>
        <v>213643492.62</v>
      </c>
      <c r="AP87" s="45">
        <f t="shared" si="195"/>
        <v>213643492.62</v>
      </c>
      <c r="AQ87" s="193">
        <f t="shared" si="157"/>
        <v>0</v>
      </c>
      <c r="AR87" s="45"/>
      <c r="AS87" s="45">
        <f t="shared" ref="AS87:AZ87" si="196">AS77+AS80+AS83+AS86</f>
        <v>213643492.62</v>
      </c>
      <c r="AT87" s="45">
        <f t="shared" si="196"/>
        <v>213643492.62</v>
      </c>
      <c r="AU87" s="45">
        <f t="shared" si="196"/>
        <v>213643492.62</v>
      </c>
      <c r="AV87" s="45">
        <f t="shared" si="196"/>
        <v>213643492.62</v>
      </c>
      <c r="AW87" s="45">
        <f t="shared" si="196"/>
        <v>213643492.62</v>
      </c>
      <c r="AX87" s="45">
        <f t="shared" si="196"/>
        <v>213643492.62</v>
      </c>
      <c r="AY87" s="45">
        <f t="shared" si="196"/>
        <v>213643492.62</v>
      </c>
      <c r="AZ87" s="45">
        <f t="shared" si="196"/>
        <v>213643492.62</v>
      </c>
      <c r="BA87" s="45">
        <f t="shared" ref="BA87:BD87" si="197">BA77+BA80+BA83+BA86</f>
        <v>213643492.62</v>
      </c>
      <c r="BB87" s="45">
        <f t="shared" si="197"/>
        <v>213643492.62</v>
      </c>
      <c r="BC87" s="45">
        <f t="shared" si="197"/>
        <v>213643492.62</v>
      </c>
      <c r="BD87" s="45">
        <f t="shared" si="197"/>
        <v>213643492.62</v>
      </c>
      <c r="BE87" s="193">
        <f t="shared" si="158"/>
        <v>213643492.62</v>
      </c>
      <c r="BF87" s="45"/>
      <c r="BG87" s="45">
        <f t="shared" ref="BG87:BR87" si="198">BG77+BG80+BG83+BG86</f>
        <v>213643492.62</v>
      </c>
      <c r="BH87" s="45">
        <f t="shared" si="198"/>
        <v>213643492.62</v>
      </c>
      <c r="BI87" s="45">
        <f t="shared" si="198"/>
        <v>213643492.62</v>
      </c>
      <c r="BJ87" s="45">
        <f t="shared" si="198"/>
        <v>213643492.62</v>
      </c>
      <c r="BK87" s="45">
        <f t="shared" si="198"/>
        <v>213643492.62</v>
      </c>
      <c r="BL87" s="45">
        <f t="shared" si="198"/>
        <v>213643492.62</v>
      </c>
      <c r="BM87" s="45">
        <f t="shared" si="198"/>
        <v>213643492.62</v>
      </c>
      <c r="BN87" s="45">
        <f t="shared" si="198"/>
        <v>213643492.62</v>
      </c>
      <c r="BO87" s="45">
        <f t="shared" si="198"/>
        <v>213643492.62</v>
      </c>
      <c r="BP87" s="45">
        <f t="shared" si="198"/>
        <v>213643492.62</v>
      </c>
      <c r="BQ87" s="45">
        <f t="shared" si="198"/>
        <v>213643492.62</v>
      </c>
      <c r="BR87" s="45">
        <f t="shared" si="198"/>
        <v>213643492.62</v>
      </c>
    </row>
    <row r="88" spans="1:70" s="6" customFormat="1" hidden="1" outlineLevel="2" x14ac:dyDescent="0.2">
      <c r="B88" s="29" t="str">
        <f t="shared" si="153"/>
        <v>Расходы на страхование (ДМС, НС)</v>
      </c>
      <c r="C88" s="52" t="str">
        <f t="shared" si="153"/>
        <v>Health &amp; welfare</v>
      </c>
      <c r="D88" s="169">
        <f t="shared" si="154"/>
        <v>59860100.039999992</v>
      </c>
      <c r="E88" s="26">
        <v>4988341.6699999981</v>
      </c>
      <c r="F88" s="26">
        <v>4988341.6699999981</v>
      </c>
      <c r="G88" s="26">
        <v>4988341.6699999981</v>
      </c>
      <c r="H88" s="26">
        <v>4988341.6699999981</v>
      </c>
      <c r="I88" s="26">
        <v>4988341.6699999981</v>
      </c>
      <c r="J88" s="26">
        <v>4988341.6699999981</v>
      </c>
      <c r="K88" s="26">
        <v>4988341.6699999981</v>
      </c>
      <c r="L88" s="26">
        <v>4988341.6699999981</v>
      </c>
      <c r="M88" s="26">
        <v>4988341.6699999981</v>
      </c>
      <c r="N88" s="26">
        <v>4988341.6699999981</v>
      </c>
      <c r="O88" s="26">
        <v>4988341.6699999981</v>
      </c>
      <c r="P88" s="177">
        <v>4988341.6699999981</v>
      </c>
      <c r="Q88" s="192">
        <f t="shared" si="155"/>
        <v>59860100.039999992</v>
      </c>
      <c r="R88" s="26">
        <v>4988341.6699999981</v>
      </c>
      <c r="S88" s="26">
        <v>4988341.6699999981</v>
      </c>
      <c r="T88" s="26">
        <v>4988341.6699999981</v>
      </c>
      <c r="U88" s="26">
        <v>4988341.6699999981</v>
      </c>
      <c r="V88" s="26">
        <v>4988341.6699999981</v>
      </c>
      <c r="W88" s="26">
        <v>4988341.6699999981</v>
      </c>
      <c r="X88" s="26">
        <v>4988341.6699999981</v>
      </c>
      <c r="Y88" s="26">
        <v>4988341.6699999981</v>
      </c>
      <c r="Z88" s="26">
        <v>4988341.6699999981</v>
      </c>
      <c r="AA88" s="26">
        <v>4988341.6699999981</v>
      </c>
      <c r="AB88" s="26">
        <v>4988341.6699999981</v>
      </c>
      <c r="AC88" s="177">
        <v>4988341.6699999981</v>
      </c>
      <c r="AD88" s="226">
        <f t="shared" si="156"/>
        <v>59860100.039999992</v>
      </c>
      <c r="AE88" s="26">
        <v>4988341.6699999981</v>
      </c>
      <c r="AF88" s="26">
        <v>4988341.6699999981</v>
      </c>
      <c r="AG88" s="26">
        <v>4988341.6699999981</v>
      </c>
      <c r="AH88" s="26">
        <v>4988341.6699999981</v>
      </c>
      <c r="AI88" s="26">
        <v>4988341.6699999981</v>
      </c>
      <c r="AJ88" s="26">
        <v>4988341.6699999981</v>
      </c>
      <c r="AK88" s="26">
        <v>4988341.6699999981</v>
      </c>
      <c r="AL88" s="26">
        <v>4988341.6699999981</v>
      </c>
      <c r="AM88" s="26">
        <v>4988341.6699999981</v>
      </c>
      <c r="AN88" s="26">
        <v>4988341.6699999981</v>
      </c>
      <c r="AO88" s="26">
        <v>4988341.6699999981</v>
      </c>
      <c r="AP88" s="26">
        <v>4988341.6699999981</v>
      </c>
      <c r="AQ88" s="192">
        <f t="shared" si="157"/>
        <v>0</v>
      </c>
      <c r="AR88" s="26"/>
      <c r="AS88" s="26">
        <v>4988341.6699999981</v>
      </c>
      <c r="AT88" s="26">
        <v>4988341.6699999981</v>
      </c>
      <c r="AU88" s="26">
        <v>4988341.6699999981</v>
      </c>
      <c r="AV88" s="26">
        <v>4988341.6699999981</v>
      </c>
      <c r="AW88" s="26">
        <v>4988341.6699999981</v>
      </c>
      <c r="AX88" s="26">
        <v>4988341.6699999981</v>
      </c>
      <c r="AY88" s="26">
        <v>4988341.6699999981</v>
      </c>
      <c r="AZ88" s="26">
        <v>4988341.6699999981</v>
      </c>
      <c r="BA88" s="26">
        <v>4988341.6699999981</v>
      </c>
      <c r="BB88" s="26">
        <v>4988341.6699999981</v>
      </c>
      <c r="BC88" s="26">
        <v>4988341.6699999981</v>
      </c>
      <c r="BD88" s="26">
        <v>4988341.6699999981</v>
      </c>
      <c r="BE88" s="192">
        <f t="shared" si="158"/>
        <v>4988341.6699999981</v>
      </c>
      <c r="BF88" s="26"/>
      <c r="BG88" s="26">
        <v>4988341.6699999981</v>
      </c>
      <c r="BH88" s="26">
        <v>4988341.6699999981</v>
      </c>
      <c r="BI88" s="26">
        <v>4988341.6699999981</v>
      </c>
      <c r="BJ88" s="26">
        <v>4988341.6699999981</v>
      </c>
      <c r="BK88" s="26">
        <v>4988341.6699999981</v>
      </c>
      <c r="BL88" s="26">
        <v>4988341.6699999981</v>
      </c>
      <c r="BM88" s="26">
        <v>4988341.6699999981</v>
      </c>
      <c r="BN88" s="26">
        <v>4988341.6699999981</v>
      </c>
      <c r="BO88" s="26">
        <v>4988341.6699999981</v>
      </c>
      <c r="BP88" s="26">
        <v>4988341.6699999981</v>
      </c>
      <c r="BQ88" s="26">
        <v>4988341.6699999981</v>
      </c>
      <c r="BR88" s="26">
        <v>4988341.6699999981</v>
      </c>
    </row>
    <row r="89" spans="1:70" s="6" customFormat="1" hidden="1" outlineLevel="2" x14ac:dyDescent="0.2">
      <c r="B89" s="29" t="str">
        <f t="shared" si="153"/>
        <v>Прочие бенефиты</v>
      </c>
      <c r="C89" s="52" t="str">
        <f t="shared" si="153"/>
        <v>Other benefits - Non-state mandated</v>
      </c>
      <c r="D89" s="169">
        <f t="shared" si="154"/>
        <v>7371742.6800000034</v>
      </c>
      <c r="E89" s="26">
        <v>614311.89000000013</v>
      </c>
      <c r="F89" s="26">
        <v>614311.89000000013</v>
      </c>
      <c r="G89" s="26">
        <v>614311.89000000013</v>
      </c>
      <c r="H89" s="26">
        <v>614311.89000000013</v>
      </c>
      <c r="I89" s="26">
        <v>614311.89000000013</v>
      </c>
      <c r="J89" s="26">
        <v>614311.89000000013</v>
      </c>
      <c r="K89" s="26">
        <v>614311.89000000013</v>
      </c>
      <c r="L89" s="26">
        <v>614311.89000000013</v>
      </c>
      <c r="M89" s="26">
        <v>614311.89000000013</v>
      </c>
      <c r="N89" s="26">
        <v>614311.89000000013</v>
      </c>
      <c r="O89" s="26">
        <v>614311.89000000013</v>
      </c>
      <c r="P89" s="177">
        <v>614311.89000000013</v>
      </c>
      <c r="Q89" s="192">
        <f t="shared" si="155"/>
        <v>7371742.6800000034</v>
      </c>
      <c r="R89" s="26">
        <v>614311.89000000013</v>
      </c>
      <c r="S89" s="26">
        <v>614311.89000000013</v>
      </c>
      <c r="T89" s="26">
        <v>614311.89000000013</v>
      </c>
      <c r="U89" s="26">
        <v>614311.89000000013</v>
      </c>
      <c r="V89" s="26">
        <v>614311.89000000013</v>
      </c>
      <c r="W89" s="26">
        <v>614311.89000000013</v>
      </c>
      <c r="X89" s="26">
        <v>614311.89000000013</v>
      </c>
      <c r="Y89" s="26">
        <v>614311.89000000013</v>
      </c>
      <c r="Z89" s="26">
        <v>614311.89000000013</v>
      </c>
      <c r="AA89" s="26">
        <v>614311.89000000013</v>
      </c>
      <c r="AB89" s="26">
        <v>614311.89000000013</v>
      </c>
      <c r="AC89" s="177">
        <v>614311.89000000013</v>
      </c>
      <c r="AD89" s="226">
        <f t="shared" si="156"/>
        <v>7371742.6800000034</v>
      </c>
      <c r="AE89" s="26">
        <v>614311.89000000013</v>
      </c>
      <c r="AF89" s="26">
        <v>614311.89000000013</v>
      </c>
      <c r="AG89" s="26">
        <v>614311.89000000013</v>
      </c>
      <c r="AH89" s="26">
        <v>614311.89000000013</v>
      </c>
      <c r="AI89" s="26">
        <v>614311.89000000013</v>
      </c>
      <c r="AJ89" s="26">
        <v>614311.89000000013</v>
      </c>
      <c r="AK89" s="26">
        <v>614311.89000000013</v>
      </c>
      <c r="AL89" s="26">
        <v>614311.89000000013</v>
      </c>
      <c r="AM89" s="26">
        <v>614311.89000000013</v>
      </c>
      <c r="AN89" s="26">
        <v>614311.89000000013</v>
      </c>
      <c r="AO89" s="26">
        <v>614311.89000000013</v>
      </c>
      <c r="AP89" s="26">
        <v>614311.89000000013</v>
      </c>
      <c r="AQ89" s="192">
        <f t="shared" si="157"/>
        <v>0</v>
      </c>
      <c r="AR89" s="26"/>
      <c r="AS89" s="26">
        <v>614311.89000000013</v>
      </c>
      <c r="AT89" s="26">
        <v>614311.89000000013</v>
      </c>
      <c r="AU89" s="26">
        <v>614311.89000000013</v>
      </c>
      <c r="AV89" s="26">
        <v>614311.89000000013</v>
      </c>
      <c r="AW89" s="26">
        <v>614311.89000000013</v>
      </c>
      <c r="AX89" s="26">
        <v>614311.89000000013</v>
      </c>
      <c r="AY89" s="26">
        <v>614311.89000000013</v>
      </c>
      <c r="AZ89" s="26">
        <v>614311.89000000013</v>
      </c>
      <c r="BA89" s="26">
        <v>614311.89000000013</v>
      </c>
      <c r="BB89" s="26">
        <v>614311.89000000013</v>
      </c>
      <c r="BC89" s="26">
        <v>614311.89000000013</v>
      </c>
      <c r="BD89" s="26">
        <v>614311.89000000013</v>
      </c>
      <c r="BE89" s="192">
        <f t="shared" si="158"/>
        <v>614311.89000000013</v>
      </c>
      <c r="BF89" s="26"/>
      <c r="BG89" s="26">
        <v>614311.89000000013</v>
      </c>
      <c r="BH89" s="26">
        <v>614311.89000000013</v>
      </c>
      <c r="BI89" s="26">
        <v>614311.89000000013</v>
      </c>
      <c r="BJ89" s="26">
        <v>614311.89000000013</v>
      </c>
      <c r="BK89" s="26">
        <v>614311.89000000013</v>
      </c>
      <c r="BL89" s="26">
        <v>614311.89000000013</v>
      </c>
      <c r="BM89" s="26">
        <v>614311.89000000013</v>
      </c>
      <c r="BN89" s="26">
        <v>614311.89000000013</v>
      </c>
      <c r="BO89" s="26">
        <v>614311.89000000013</v>
      </c>
      <c r="BP89" s="26">
        <v>614311.89000000013</v>
      </c>
      <c r="BQ89" s="26">
        <v>614311.89000000013</v>
      </c>
      <c r="BR89" s="26">
        <v>614311.89000000013</v>
      </c>
    </row>
    <row r="90" spans="1:70" s="6" customFormat="1" outlineLevel="1" collapsed="1" x14ac:dyDescent="0.2">
      <c r="A90" s="30"/>
      <c r="B90" s="48" t="str">
        <f t="shared" si="153"/>
        <v>Бенефиты</v>
      </c>
      <c r="C90" s="55" t="str">
        <f t="shared" si="153"/>
        <v>Benefits</v>
      </c>
      <c r="D90" s="170">
        <f t="shared" si="154"/>
        <v>67231842.719999999</v>
      </c>
      <c r="E90" s="45">
        <f t="shared" ref="E90:L90" si="199">SUM(E88:E89)</f>
        <v>5602653.5599999987</v>
      </c>
      <c r="F90" s="45">
        <f t="shared" si="199"/>
        <v>5602653.5599999987</v>
      </c>
      <c r="G90" s="45">
        <f t="shared" si="199"/>
        <v>5602653.5599999987</v>
      </c>
      <c r="H90" s="45">
        <f t="shared" si="199"/>
        <v>5602653.5599999987</v>
      </c>
      <c r="I90" s="45">
        <f t="shared" si="199"/>
        <v>5602653.5599999987</v>
      </c>
      <c r="J90" s="45">
        <f t="shared" si="199"/>
        <v>5602653.5599999987</v>
      </c>
      <c r="K90" s="45">
        <f t="shared" si="199"/>
        <v>5602653.5599999987</v>
      </c>
      <c r="L90" s="45">
        <f t="shared" si="199"/>
        <v>5602653.5599999987</v>
      </c>
      <c r="M90" s="45">
        <f t="shared" ref="M90:P90" si="200">SUM(M88:M89)</f>
        <v>5602653.5599999987</v>
      </c>
      <c r="N90" s="45">
        <f t="shared" si="200"/>
        <v>5602653.5599999987</v>
      </c>
      <c r="O90" s="45">
        <f t="shared" si="200"/>
        <v>5602653.5599999987</v>
      </c>
      <c r="P90" s="178">
        <f t="shared" si="200"/>
        <v>5602653.5599999987</v>
      </c>
      <c r="Q90" s="193">
        <f t="shared" si="155"/>
        <v>67231842.719999999</v>
      </c>
      <c r="R90" s="45">
        <f t="shared" ref="R90:Y90" si="201">SUM(R88:R89)</f>
        <v>5602653.5599999987</v>
      </c>
      <c r="S90" s="45">
        <f t="shared" si="201"/>
        <v>5602653.5599999987</v>
      </c>
      <c r="T90" s="45">
        <f t="shared" si="201"/>
        <v>5602653.5599999987</v>
      </c>
      <c r="U90" s="45">
        <f t="shared" si="201"/>
        <v>5602653.5599999987</v>
      </c>
      <c r="V90" s="45">
        <f t="shared" si="201"/>
        <v>5602653.5599999987</v>
      </c>
      <c r="W90" s="45">
        <f t="shared" si="201"/>
        <v>5602653.5599999987</v>
      </c>
      <c r="X90" s="45">
        <f t="shared" si="201"/>
        <v>5602653.5599999987</v>
      </c>
      <c r="Y90" s="45">
        <f t="shared" si="201"/>
        <v>5602653.5599999987</v>
      </c>
      <c r="Z90" s="45">
        <f t="shared" ref="Z90:AC90" si="202">SUM(Z88:Z89)</f>
        <v>5602653.5599999987</v>
      </c>
      <c r="AA90" s="45">
        <f t="shared" si="202"/>
        <v>5602653.5599999987</v>
      </c>
      <c r="AB90" s="45">
        <f t="shared" si="202"/>
        <v>5602653.5599999987</v>
      </c>
      <c r="AC90" s="178">
        <f t="shared" si="202"/>
        <v>5602653.5599999987</v>
      </c>
      <c r="AD90" s="227">
        <f t="shared" si="156"/>
        <v>67231842.719999999</v>
      </c>
      <c r="AE90" s="45">
        <f t="shared" ref="AE90:AL90" si="203">SUM(AE88:AE89)</f>
        <v>5602653.5599999987</v>
      </c>
      <c r="AF90" s="45">
        <f t="shared" si="203"/>
        <v>5602653.5599999987</v>
      </c>
      <c r="AG90" s="45">
        <f t="shared" si="203"/>
        <v>5602653.5599999987</v>
      </c>
      <c r="AH90" s="45">
        <f t="shared" si="203"/>
        <v>5602653.5599999987</v>
      </c>
      <c r="AI90" s="45">
        <f t="shared" si="203"/>
        <v>5602653.5599999987</v>
      </c>
      <c r="AJ90" s="45">
        <f t="shared" si="203"/>
        <v>5602653.5599999987</v>
      </c>
      <c r="AK90" s="45">
        <f t="shared" si="203"/>
        <v>5602653.5599999987</v>
      </c>
      <c r="AL90" s="45">
        <f t="shared" si="203"/>
        <v>5602653.5599999987</v>
      </c>
      <c r="AM90" s="45">
        <f t="shared" ref="AM90:AP90" si="204">SUM(AM88:AM89)</f>
        <v>5602653.5599999987</v>
      </c>
      <c r="AN90" s="45">
        <f t="shared" si="204"/>
        <v>5602653.5599999987</v>
      </c>
      <c r="AO90" s="45">
        <f t="shared" si="204"/>
        <v>5602653.5599999987</v>
      </c>
      <c r="AP90" s="45">
        <f t="shared" si="204"/>
        <v>5602653.5599999987</v>
      </c>
      <c r="AQ90" s="193">
        <f t="shared" si="157"/>
        <v>0</v>
      </c>
      <c r="AR90" s="45"/>
      <c r="AS90" s="45">
        <f t="shared" ref="AS90:AZ90" si="205">SUM(AS88:AS89)</f>
        <v>5602653.5599999987</v>
      </c>
      <c r="AT90" s="45">
        <f t="shared" si="205"/>
        <v>5602653.5599999987</v>
      </c>
      <c r="AU90" s="45">
        <f t="shared" si="205"/>
        <v>5602653.5599999987</v>
      </c>
      <c r="AV90" s="45">
        <f t="shared" si="205"/>
        <v>5602653.5599999987</v>
      </c>
      <c r="AW90" s="45">
        <f t="shared" si="205"/>
        <v>5602653.5599999987</v>
      </c>
      <c r="AX90" s="45">
        <f t="shared" si="205"/>
        <v>5602653.5599999987</v>
      </c>
      <c r="AY90" s="45">
        <f t="shared" si="205"/>
        <v>5602653.5599999987</v>
      </c>
      <c r="AZ90" s="45">
        <f t="shared" si="205"/>
        <v>5602653.5599999987</v>
      </c>
      <c r="BA90" s="45">
        <f t="shared" ref="BA90:BD90" si="206">SUM(BA88:BA89)</f>
        <v>5602653.5599999987</v>
      </c>
      <c r="BB90" s="45">
        <f t="shared" si="206"/>
        <v>5602653.5599999987</v>
      </c>
      <c r="BC90" s="45">
        <f t="shared" si="206"/>
        <v>5602653.5599999987</v>
      </c>
      <c r="BD90" s="45">
        <f t="shared" si="206"/>
        <v>5602653.5599999987</v>
      </c>
      <c r="BE90" s="193">
        <f t="shared" si="158"/>
        <v>5602653.5599999987</v>
      </c>
      <c r="BF90" s="45"/>
      <c r="BG90" s="45">
        <f t="shared" ref="BG90:BR90" si="207">SUM(BG88:BG89)</f>
        <v>5602653.5599999987</v>
      </c>
      <c r="BH90" s="45">
        <f t="shared" si="207"/>
        <v>5602653.5599999987</v>
      </c>
      <c r="BI90" s="45">
        <f t="shared" si="207"/>
        <v>5602653.5599999987</v>
      </c>
      <c r="BJ90" s="45">
        <f t="shared" si="207"/>
        <v>5602653.5599999987</v>
      </c>
      <c r="BK90" s="45">
        <f t="shared" si="207"/>
        <v>5602653.5599999987</v>
      </c>
      <c r="BL90" s="45">
        <f t="shared" si="207"/>
        <v>5602653.5599999987</v>
      </c>
      <c r="BM90" s="45">
        <f t="shared" si="207"/>
        <v>5602653.5599999987</v>
      </c>
      <c r="BN90" s="45">
        <f t="shared" si="207"/>
        <v>5602653.5599999987</v>
      </c>
      <c r="BO90" s="45">
        <f t="shared" si="207"/>
        <v>5602653.5599999987</v>
      </c>
      <c r="BP90" s="45">
        <f t="shared" si="207"/>
        <v>5602653.5599999987</v>
      </c>
      <c r="BQ90" s="45">
        <f t="shared" si="207"/>
        <v>5602653.5599999987</v>
      </c>
      <c r="BR90" s="45">
        <f t="shared" si="207"/>
        <v>5602653.5599999987</v>
      </c>
    </row>
    <row r="91" spans="1:70" hidden="1" outlineLevel="3" x14ac:dyDescent="0.2">
      <c r="A91" s="54"/>
      <c r="B91" s="38" t="str">
        <f t="shared" si="153"/>
        <v>Прочие выплаты</v>
      </c>
      <c r="C91" s="49" t="str">
        <f t="shared" si="153"/>
        <v>Remaining Other Compensation</v>
      </c>
      <c r="D91" s="168">
        <f t="shared" si="154"/>
        <v>-1440000</v>
      </c>
      <c r="E91" s="40">
        <v>-120000</v>
      </c>
      <c r="F91" s="40">
        <v>-120000</v>
      </c>
      <c r="G91" s="40">
        <v>-120000</v>
      </c>
      <c r="H91" s="40">
        <v>-120000</v>
      </c>
      <c r="I91" s="40">
        <v>-120000</v>
      </c>
      <c r="J91" s="40">
        <v>-120000</v>
      </c>
      <c r="K91" s="40">
        <v>-120000</v>
      </c>
      <c r="L91" s="40">
        <v>-120000</v>
      </c>
      <c r="M91" s="40">
        <v>-120000</v>
      </c>
      <c r="N91" s="40">
        <v>-120000</v>
      </c>
      <c r="O91" s="40">
        <v>-120000</v>
      </c>
      <c r="P91" s="176">
        <v>-120000</v>
      </c>
      <c r="Q91" s="191">
        <f t="shared" si="155"/>
        <v>-1440000</v>
      </c>
      <c r="R91" s="40">
        <v>-120000</v>
      </c>
      <c r="S91" s="40">
        <v>-120000</v>
      </c>
      <c r="T91" s="40">
        <v>-120000</v>
      </c>
      <c r="U91" s="40">
        <v>-120000</v>
      </c>
      <c r="V91" s="40">
        <v>-120000</v>
      </c>
      <c r="W91" s="40">
        <v>-120000</v>
      </c>
      <c r="X91" s="40">
        <v>-120000</v>
      </c>
      <c r="Y91" s="40">
        <v>-120000</v>
      </c>
      <c r="Z91" s="40">
        <v>-120000</v>
      </c>
      <c r="AA91" s="40">
        <v>-120000</v>
      </c>
      <c r="AB91" s="40">
        <v>-120000</v>
      </c>
      <c r="AC91" s="176">
        <v>-120000</v>
      </c>
      <c r="AD91" s="225">
        <f t="shared" si="156"/>
        <v>-1440000</v>
      </c>
      <c r="AE91" s="40">
        <v>-120000</v>
      </c>
      <c r="AF91" s="40">
        <v>-120000</v>
      </c>
      <c r="AG91" s="40">
        <v>-120000</v>
      </c>
      <c r="AH91" s="40">
        <v>-120000</v>
      </c>
      <c r="AI91" s="40">
        <v>-120000</v>
      </c>
      <c r="AJ91" s="40">
        <v>-120000</v>
      </c>
      <c r="AK91" s="40">
        <v>-120000</v>
      </c>
      <c r="AL91" s="40">
        <v>-120000</v>
      </c>
      <c r="AM91" s="40">
        <v>-120000</v>
      </c>
      <c r="AN91" s="40">
        <v>-120000</v>
      </c>
      <c r="AO91" s="40">
        <v>-120000</v>
      </c>
      <c r="AP91" s="40">
        <v>-120000</v>
      </c>
      <c r="AQ91" s="191">
        <f t="shared" si="157"/>
        <v>0</v>
      </c>
      <c r="AR91" s="40"/>
      <c r="AS91" s="40">
        <v>-120000</v>
      </c>
      <c r="AT91" s="40">
        <v>-120000</v>
      </c>
      <c r="AU91" s="40">
        <v>-120000</v>
      </c>
      <c r="AV91" s="40">
        <v>-120000</v>
      </c>
      <c r="AW91" s="40">
        <v>-120000</v>
      </c>
      <c r="AX91" s="40">
        <v>-120000</v>
      </c>
      <c r="AY91" s="40">
        <v>-120000</v>
      </c>
      <c r="AZ91" s="40">
        <v>-120000</v>
      </c>
      <c r="BA91" s="40">
        <v>-120000</v>
      </c>
      <c r="BB91" s="40">
        <v>-120000</v>
      </c>
      <c r="BC91" s="40">
        <v>-120000</v>
      </c>
      <c r="BD91" s="40">
        <v>-120000</v>
      </c>
      <c r="BE91" s="191">
        <f t="shared" si="158"/>
        <v>-120000</v>
      </c>
      <c r="BF91" s="40"/>
      <c r="BG91" s="40">
        <v>-120000</v>
      </c>
      <c r="BH91" s="40">
        <v>-120000</v>
      </c>
      <c r="BI91" s="40">
        <v>-120000</v>
      </c>
      <c r="BJ91" s="40">
        <v>-120000</v>
      </c>
      <c r="BK91" s="40">
        <v>-120000</v>
      </c>
      <c r="BL91" s="40">
        <v>-120000</v>
      </c>
      <c r="BM91" s="40">
        <v>-120000</v>
      </c>
      <c r="BN91" s="40">
        <v>-120000</v>
      </c>
      <c r="BO91" s="40">
        <v>-120000</v>
      </c>
      <c r="BP91" s="40">
        <v>-120000</v>
      </c>
      <c r="BQ91" s="40">
        <v>-120000</v>
      </c>
      <c r="BR91" s="40">
        <v>-120000</v>
      </c>
    </row>
    <row r="92" spans="1:70" hidden="1" outlineLevel="3" x14ac:dyDescent="0.2">
      <c r="A92" s="54"/>
      <c r="B92" s="38" t="str">
        <f t="shared" si="153"/>
        <v>Страховые взносы прочие выплаты</v>
      </c>
      <c r="C92" s="49" t="str">
        <f t="shared" si="153"/>
        <v>Social Security on Remaining Other Compensation</v>
      </c>
      <c r="D92" s="168">
        <f t="shared" si="154"/>
        <v>0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176">
        <v>0</v>
      </c>
      <c r="Q92" s="191">
        <f t="shared" si="155"/>
        <v>0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176">
        <v>0</v>
      </c>
      <c r="AD92" s="225">
        <f t="shared" si="156"/>
        <v>0</v>
      </c>
      <c r="AE92" s="40">
        <v>0</v>
      </c>
      <c r="AF92" s="40">
        <v>0</v>
      </c>
      <c r="AG92" s="40">
        <v>0</v>
      </c>
      <c r="AH92" s="40">
        <v>0</v>
      </c>
      <c r="AI92" s="40">
        <v>0</v>
      </c>
      <c r="AJ92" s="40">
        <v>0</v>
      </c>
      <c r="AK92" s="40">
        <v>0</v>
      </c>
      <c r="AL92" s="40">
        <v>0</v>
      </c>
      <c r="AM92" s="40">
        <v>0</v>
      </c>
      <c r="AN92" s="40">
        <v>0</v>
      </c>
      <c r="AO92" s="40">
        <v>0</v>
      </c>
      <c r="AP92" s="40">
        <v>0</v>
      </c>
      <c r="AQ92" s="191">
        <f t="shared" si="157"/>
        <v>0</v>
      </c>
      <c r="AR92" s="40"/>
      <c r="AS92" s="40">
        <v>0</v>
      </c>
      <c r="AT92" s="40">
        <v>0</v>
      </c>
      <c r="AU92" s="40">
        <v>0</v>
      </c>
      <c r="AV92" s="40">
        <v>0</v>
      </c>
      <c r="AW92" s="40">
        <v>0</v>
      </c>
      <c r="AX92" s="40">
        <v>0</v>
      </c>
      <c r="AY92" s="40">
        <v>0</v>
      </c>
      <c r="AZ92" s="40">
        <v>0</v>
      </c>
      <c r="BA92" s="40">
        <v>0</v>
      </c>
      <c r="BB92" s="40">
        <v>0</v>
      </c>
      <c r="BC92" s="40">
        <v>0</v>
      </c>
      <c r="BD92" s="40">
        <v>0</v>
      </c>
      <c r="BE92" s="191">
        <f t="shared" si="158"/>
        <v>0</v>
      </c>
      <c r="BF92" s="40"/>
      <c r="BG92" s="40">
        <v>0</v>
      </c>
      <c r="BH92" s="40">
        <v>0</v>
      </c>
      <c r="BI92" s="40">
        <v>0</v>
      </c>
      <c r="BJ92" s="40">
        <v>0</v>
      </c>
      <c r="BK92" s="40">
        <v>0</v>
      </c>
      <c r="BL92" s="40">
        <v>0</v>
      </c>
      <c r="BM92" s="40">
        <v>0</v>
      </c>
      <c r="BN92" s="40">
        <v>0</v>
      </c>
      <c r="BO92" s="40">
        <v>0</v>
      </c>
      <c r="BP92" s="40">
        <v>0</v>
      </c>
      <c r="BQ92" s="40">
        <v>0</v>
      </c>
      <c r="BR92" s="40">
        <v>0</v>
      </c>
    </row>
    <row r="93" spans="1:70" s="6" customFormat="1" hidden="1" outlineLevel="2" x14ac:dyDescent="0.2">
      <c r="A93" s="30"/>
      <c r="B93" s="29" t="str">
        <f t="shared" si="153"/>
        <v>Итого прочие выплаты</v>
      </c>
      <c r="C93" s="52" t="str">
        <f t="shared" si="153"/>
        <v>Total Remaining Other Compensation</v>
      </c>
      <c r="D93" s="169">
        <f t="shared" si="154"/>
        <v>-1440000</v>
      </c>
      <c r="E93" s="26">
        <f t="shared" ref="E93:P93" si="208">SUM(E91:E92)</f>
        <v>-120000</v>
      </c>
      <c r="F93" s="26">
        <f t="shared" si="208"/>
        <v>-120000</v>
      </c>
      <c r="G93" s="26">
        <f t="shared" si="208"/>
        <v>-120000</v>
      </c>
      <c r="H93" s="26">
        <f t="shared" si="208"/>
        <v>-120000</v>
      </c>
      <c r="I93" s="26">
        <f t="shared" si="208"/>
        <v>-120000</v>
      </c>
      <c r="J93" s="26">
        <f t="shared" si="208"/>
        <v>-120000</v>
      </c>
      <c r="K93" s="26">
        <f t="shared" si="208"/>
        <v>-120000</v>
      </c>
      <c r="L93" s="26">
        <f t="shared" si="208"/>
        <v>-120000</v>
      </c>
      <c r="M93" s="26">
        <f t="shared" si="208"/>
        <v>-120000</v>
      </c>
      <c r="N93" s="26">
        <f t="shared" si="208"/>
        <v>-120000</v>
      </c>
      <c r="O93" s="26">
        <f t="shared" si="208"/>
        <v>-120000</v>
      </c>
      <c r="P93" s="177">
        <f t="shared" si="208"/>
        <v>-120000</v>
      </c>
      <c r="Q93" s="192">
        <f t="shared" si="155"/>
        <v>-1440000</v>
      </c>
      <c r="R93" s="26">
        <f t="shared" ref="R93:Y93" si="209">SUM(R91:R92)</f>
        <v>-120000</v>
      </c>
      <c r="S93" s="26">
        <f t="shared" si="209"/>
        <v>-120000</v>
      </c>
      <c r="T93" s="26">
        <f t="shared" si="209"/>
        <v>-120000</v>
      </c>
      <c r="U93" s="26">
        <f t="shared" si="209"/>
        <v>-120000</v>
      </c>
      <c r="V93" s="26">
        <f t="shared" si="209"/>
        <v>-120000</v>
      </c>
      <c r="W93" s="26">
        <f t="shared" si="209"/>
        <v>-120000</v>
      </c>
      <c r="X93" s="26">
        <f t="shared" si="209"/>
        <v>-120000</v>
      </c>
      <c r="Y93" s="26">
        <f t="shared" si="209"/>
        <v>-120000</v>
      </c>
      <c r="Z93" s="26">
        <f t="shared" ref="Z93:AC93" si="210">SUM(Z91:Z92)</f>
        <v>-120000</v>
      </c>
      <c r="AA93" s="26">
        <f t="shared" si="210"/>
        <v>-120000</v>
      </c>
      <c r="AB93" s="26">
        <f t="shared" si="210"/>
        <v>-120000</v>
      </c>
      <c r="AC93" s="177">
        <f t="shared" si="210"/>
        <v>-120000</v>
      </c>
      <c r="AD93" s="226">
        <f t="shared" si="156"/>
        <v>-1440000</v>
      </c>
      <c r="AE93" s="26">
        <f t="shared" ref="AE93:AL93" si="211">SUM(AE91:AE92)</f>
        <v>-120000</v>
      </c>
      <c r="AF93" s="26">
        <f t="shared" si="211"/>
        <v>-120000</v>
      </c>
      <c r="AG93" s="26">
        <f t="shared" si="211"/>
        <v>-120000</v>
      </c>
      <c r="AH93" s="26">
        <f t="shared" si="211"/>
        <v>-120000</v>
      </c>
      <c r="AI93" s="26">
        <f t="shared" si="211"/>
        <v>-120000</v>
      </c>
      <c r="AJ93" s="26">
        <f t="shared" si="211"/>
        <v>-120000</v>
      </c>
      <c r="AK93" s="26">
        <f t="shared" si="211"/>
        <v>-120000</v>
      </c>
      <c r="AL93" s="26">
        <f t="shared" si="211"/>
        <v>-120000</v>
      </c>
      <c r="AM93" s="26">
        <f t="shared" ref="AM93:AP93" si="212">SUM(AM91:AM92)</f>
        <v>-120000</v>
      </c>
      <c r="AN93" s="26">
        <f t="shared" si="212"/>
        <v>-120000</v>
      </c>
      <c r="AO93" s="26">
        <f t="shared" si="212"/>
        <v>-120000</v>
      </c>
      <c r="AP93" s="26">
        <f t="shared" si="212"/>
        <v>-120000</v>
      </c>
      <c r="AQ93" s="192">
        <f t="shared" si="157"/>
        <v>0</v>
      </c>
      <c r="AR93" s="26"/>
      <c r="AS93" s="26">
        <f t="shared" ref="AS93:AZ93" si="213">SUM(AS91:AS92)</f>
        <v>-120000</v>
      </c>
      <c r="AT93" s="26">
        <f t="shared" si="213"/>
        <v>-120000</v>
      </c>
      <c r="AU93" s="26">
        <f t="shared" si="213"/>
        <v>-120000</v>
      </c>
      <c r="AV93" s="26">
        <f t="shared" si="213"/>
        <v>-120000</v>
      </c>
      <c r="AW93" s="26">
        <f t="shared" si="213"/>
        <v>-120000</v>
      </c>
      <c r="AX93" s="26">
        <f t="shared" si="213"/>
        <v>-120000</v>
      </c>
      <c r="AY93" s="26">
        <f t="shared" si="213"/>
        <v>-120000</v>
      </c>
      <c r="AZ93" s="26">
        <f t="shared" si="213"/>
        <v>-120000</v>
      </c>
      <c r="BA93" s="26">
        <f t="shared" ref="BA93:BD93" si="214">SUM(BA91:BA92)</f>
        <v>-120000</v>
      </c>
      <c r="BB93" s="26">
        <f t="shared" si="214"/>
        <v>-120000</v>
      </c>
      <c r="BC93" s="26">
        <f t="shared" si="214"/>
        <v>-120000</v>
      </c>
      <c r="BD93" s="26">
        <f t="shared" si="214"/>
        <v>-120000</v>
      </c>
      <c r="BE93" s="192">
        <f t="shared" si="158"/>
        <v>-120000</v>
      </c>
      <c r="BF93" s="26"/>
      <c r="BG93" s="26">
        <f t="shared" ref="BG93:BR93" si="215">SUM(BG91:BG92)</f>
        <v>-120000</v>
      </c>
      <c r="BH93" s="26">
        <f t="shared" si="215"/>
        <v>-120000</v>
      </c>
      <c r="BI93" s="26">
        <f t="shared" si="215"/>
        <v>-120000</v>
      </c>
      <c r="BJ93" s="26">
        <f t="shared" si="215"/>
        <v>-120000</v>
      </c>
      <c r="BK93" s="26">
        <f t="shared" si="215"/>
        <v>-120000</v>
      </c>
      <c r="BL93" s="26">
        <f t="shared" si="215"/>
        <v>-120000</v>
      </c>
      <c r="BM93" s="26">
        <f t="shared" si="215"/>
        <v>-120000</v>
      </c>
      <c r="BN93" s="26">
        <f t="shared" si="215"/>
        <v>-120000</v>
      </c>
      <c r="BO93" s="26">
        <f t="shared" si="215"/>
        <v>-120000</v>
      </c>
      <c r="BP93" s="26">
        <f t="shared" si="215"/>
        <v>-120000</v>
      </c>
      <c r="BQ93" s="26">
        <f t="shared" si="215"/>
        <v>-120000</v>
      </c>
      <c r="BR93" s="26">
        <f t="shared" si="215"/>
        <v>-120000</v>
      </c>
    </row>
    <row r="94" spans="1:70" ht="12.75" hidden="1" customHeight="1" outlineLevel="3" x14ac:dyDescent="0.2">
      <c r="A94" s="54"/>
      <c r="B94" s="38" t="str">
        <f t="shared" si="153"/>
        <v>Премия разовая</v>
      </c>
      <c r="C94" s="49" t="str">
        <f t="shared" si="153"/>
        <v>Sign-ons - cash</v>
      </c>
      <c r="D94" s="168">
        <f t="shared" si="154"/>
        <v>228000000</v>
      </c>
      <c r="E94" s="40">
        <v>19000000</v>
      </c>
      <c r="F94" s="40">
        <v>19000000</v>
      </c>
      <c r="G94" s="40">
        <v>19000000</v>
      </c>
      <c r="H94" s="40">
        <v>19000000</v>
      </c>
      <c r="I94" s="40">
        <v>19000000</v>
      </c>
      <c r="J94" s="40">
        <v>19000000</v>
      </c>
      <c r="K94" s="40">
        <v>19000000</v>
      </c>
      <c r="L94" s="40">
        <v>19000000</v>
      </c>
      <c r="M94" s="40">
        <v>19000000</v>
      </c>
      <c r="N94" s="40">
        <v>19000000</v>
      </c>
      <c r="O94" s="40">
        <v>19000000</v>
      </c>
      <c r="P94" s="176">
        <v>19000000</v>
      </c>
      <c r="Q94" s="191">
        <f t="shared" si="155"/>
        <v>228000000</v>
      </c>
      <c r="R94" s="40">
        <v>19000000</v>
      </c>
      <c r="S94" s="40">
        <v>19000000</v>
      </c>
      <c r="T94" s="40">
        <v>19000000</v>
      </c>
      <c r="U94" s="40">
        <v>19000000</v>
      </c>
      <c r="V94" s="40">
        <v>19000000</v>
      </c>
      <c r="W94" s="40">
        <v>19000000</v>
      </c>
      <c r="X94" s="40">
        <v>19000000</v>
      </c>
      <c r="Y94" s="40">
        <v>19000000</v>
      </c>
      <c r="Z94" s="40">
        <v>19000000</v>
      </c>
      <c r="AA94" s="40">
        <v>19000000</v>
      </c>
      <c r="AB94" s="40">
        <v>19000000</v>
      </c>
      <c r="AC94" s="176">
        <v>19000000</v>
      </c>
      <c r="AD94" s="225">
        <f t="shared" si="156"/>
        <v>228000000</v>
      </c>
      <c r="AE94" s="40">
        <v>19000000</v>
      </c>
      <c r="AF94" s="40">
        <v>19000000</v>
      </c>
      <c r="AG94" s="40">
        <v>19000000</v>
      </c>
      <c r="AH94" s="40">
        <v>19000000</v>
      </c>
      <c r="AI94" s="40">
        <v>19000000</v>
      </c>
      <c r="AJ94" s="40">
        <v>19000000</v>
      </c>
      <c r="AK94" s="40">
        <v>19000000</v>
      </c>
      <c r="AL94" s="40">
        <v>19000000</v>
      </c>
      <c r="AM94" s="40">
        <v>19000000</v>
      </c>
      <c r="AN94" s="40">
        <v>19000000</v>
      </c>
      <c r="AO94" s="40">
        <v>19000000</v>
      </c>
      <c r="AP94" s="40">
        <v>19000000</v>
      </c>
      <c r="AQ94" s="191">
        <f t="shared" si="157"/>
        <v>0</v>
      </c>
      <c r="AR94" s="40"/>
      <c r="AS94" s="40">
        <v>19000000</v>
      </c>
      <c r="AT94" s="40">
        <v>19000000</v>
      </c>
      <c r="AU94" s="40">
        <v>19000000</v>
      </c>
      <c r="AV94" s="40">
        <v>19000000</v>
      </c>
      <c r="AW94" s="40">
        <v>19000000</v>
      </c>
      <c r="AX94" s="40">
        <v>19000000</v>
      </c>
      <c r="AY94" s="40">
        <v>19000000</v>
      </c>
      <c r="AZ94" s="40">
        <v>19000000</v>
      </c>
      <c r="BA94" s="40">
        <v>19000000</v>
      </c>
      <c r="BB94" s="40">
        <v>19000000</v>
      </c>
      <c r="BC94" s="40">
        <v>19000000</v>
      </c>
      <c r="BD94" s="40">
        <v>19000000</v>
      </c>
      <c r="BE94" s="191">
        <f t="shared" si="158"/>
        <v>19000000</v>
      </c>
      <c r="BF94" s="40"/>
      <c r="BG94" s="40">
        <v>19000000</v>
      </c>
      <c r="BH94" s="40">
        <v>19000000</v>
      </c>
      <c r="BI94" s="40">
        <v>19000000</v>
      </c>
      <c r="BJ94" s="40">
        <v>19000000</v>
      </c>
      <c r="BK94" s="40">
        <v>19000000</v>
      </c>
      <c r="BL94" s="40">
        <v>19000000</v>
      </c>
      <c r="BM94" s="40">
        <v>19000000</v>
      </c>
      <c r="BN94" s="40">
        <v>19000000</v>
      </c>
      <c r="BO94" s="40">
        <v>19000000</v>
      </c>
      <c r="BP94" s="40">
        <v>19000000</v>
      </c>
      <c r="BQ94" s="40">
        <v>19000000</v>
      </c>
      <c r="BR94" s="40">
        <v>19000000</v>
      </c>
    </row>
    <row r="95" spans="1:70" ht="12.75" hidden="1" customHeight="1" outlineLevel="3" x14ac:dyDescent="0.2">
      <c r="A95" s="54"/>
      <c r="B95" s="38" t="str">
        <f t="shared" ref="B95:C114" si="216">B32</f>
        <v>Страховые взносы премия разовая</v>
      </c>
      <c r="C95" s="49" t="str">
        <f t="shared" si="216"/>
        <v>Social Security on Sign-ons - cash</v>
      </c>
      <c r="D95" s="168">
        <f t="shared" si="154"/>
        <v>39944124</v>
      </c>
      <c r="E95" s="40">
        <v>3328677</v>
      </c>
      <c r="F95" s="40">
        <v>3328677</v>
      </c>
      <c r="G95" s="40">
        <v>3328677</v>
      </c>
      <c r="H95" s="40">
        <v>3328677</v>
      </c>
      <c r="I95" s="40">
        <v>3328677</v>
      </c>
      <c r="J95" s="40">
        <v>3328677</v>
      </c>
      <c r="K95" s="40">
        <v>3328677</v>
      </c>
      <c r="L95" s="40">
        <v>3328677</v>
      </c>
      <c r="M95" s="40">
        <v>3328677</v>
      </c>
      <c r="N95" s="40">
        <v>3328677</v>
      </c>
      <c r="O95" s="40">
        <v>3328677</v>
      </c>
      <c r="P95" s="176">
        <v>3328677</v>
      </c>
      <c r="Q95" s="191">
        <f t="shared" si="155"/>
        <v>39944124</v>
      </c>
      <c r="R95" s="40">
        <v>3328677</v>
      </c>
      <c r="S95" s="40">
        <v>3328677</v>
      </c>
      <c r="T95" s="40">
        <v>3328677</v>
      </c>
      <c r="U95" s="40">
        <v>3328677</v>
      </c>
      <c r="V95" s="40">
        <v>3328677</v>
      </c>
      <c r="W95" s="40">
        <v>3328677</v>
      </c>
      <c r="X95" s="40">
        <v>3328677</v>
      </c>
      <c r="Y95" s="40">
        <v>3328677</v>
      </c>
      <c r="Z95" s="40">
        <v>3328677</v>
      </c>
      <c r="AA95" s="40">
        <v>3328677</v>
      </c>
      <c r="AB95" s="40">
        <v>3328677</v>
      </c>
      <c r="AC95" s="176">
        <v>3328677</v>
      </c>
      <c r="AD95" s="225">
        <f t="shared" si="156"/>
        <v>39944124</v>
      </c>
      <c r="AE95" s="40">
        <v>3328677</v>
      </c>
      <c r="AF95" s="40">
        <v>3328677</v>
      </c>
      <c r="AG95" s="40">
        <v>3328677</v>
      </c>
      <c r="AH95" s="40">
        <v>3328677</v>
      </c>
      <c r="AI95" s="40">
        <v>3328677</v>
      </c>
      <c r="AJ95" s="40">
        <v>3328677</v>
      </c>
      <c r="AK95" s="40">
        <v>3328677</v>
      </c>
      <c r="AL95" s="40">
        <v>3328677</v>
      </c>
      <c r="AM95" s="40">
        <v>3328677</v>
      </c>
      <c r="AN95" s="40">
        <v>3328677</v>
      </c>
      <c r="AO95" s="40">
        <v>3328677</v>
      </c>
      <c r="AP95" s="40">
        <v>3328677</v>
      </c>
      <c r="AQ95" s="191">
        <f t="shared" si="157"/>
        <v>0</v>
      </c>
      <c r="AR95" s="40"/>
      <c r="AS95" s="40">
        <v>3328677</v>
      </c>
      <c r="AT95" s="40">
        <v>3328677</v>
      </c>
      <c r="AU95" s="40">
        <v>3328677</v>
      </c>
      <c r="AV95" s="40">
        <v>3328677</v>
      </c>
      <c r="AW95" s="40">
        <v>3328677</v>
      </c>
      <c r="AX95" s="40">
        <v>3328677</v>
      </c>
      <c r="AY95" s="40">
        <v>3328677</v>
      </c>
      <c r="AZ95" s="40">
        <v>3328677</v>
      </c>
      <c r="BA95" s="40">
        <v>3328677</v>
      </c>
      <c r="BB95" s="40">
        <v>3328677</v>
      </c>
      <c r="BC95" s="40">
        <v>3328677</v>
      </c>
      <c r="BD95" s="40">
        <v>3328677</v>
      </c>
      <c r="BE95" s="191">
        <f t="shared" si="158"/>
        <v>3328677</v>
      </c>
      <c r="BF95" s="40"/>
      <c r="BG95" s="40">
        <v>3328677</v>
      </c>
      <c r="BH95" s="40">
        <v>3328677</v>
      </c>
      <c r="BI95" s="40">
        <v>3328677</v>
      </c>
      <c r="BJ95" s="40">
        <v>3328677</v>
      </c>
      <c r="BK95" s="40">
        <v>3328677</v>
      </c>
      <c r="BL95" s="40">
        <v>3328677</v>
      </c>
      <c r="BM95" s="40">
        <v>3328677</v>
      </c>
      <c r="BN95" s="40">
        <v>3328677</v>
      </c>
      <c r="BO95" s="40">
        <v>3328677</v>
      </c>
      <c r="BP95" s="40">
        <v>3328677</v>
      </c>
      <c r="BQ95" s="40">
        <v>3328677</v>
      </c>
      <c r="BR95" s="40">
        <v>3328677</v>
      </c>
    </row>
    <row r="96" spans="1:70" s="6" customFormat="1" hidden="1" outlineLevel="2" x14ac:dyDescent="0.2">
      <c r="A96" s="30"/>
      <c r="B96" s="29" t="str">
        <f t="shared" si="216"/>
        <v>Итого премия разовая</v>
      </c>
      <c r="C96" s="52" t="str">
        <f t="shared" si="216"/>
        <v>Total Sign-ons - cash</v>
      </c>
      <c r="D96" s="169">
        <f t="shared" si="154"/>
        <v>267944124</v>
      </c>
      <c r="E96" s="26">
        <f t="shared" ref="E96:P96" si="217">SUM(E94:E95)</f>
        <v>22328677</v>
      </c>
      <c r="F96" s="26">
        <f t="shared" si="217"/>
        <v>22328677</v>
      </c>
      <c r="G96" s="26">
        <f t="shared" si="217"/>
        <v>22328677</v>
      </c>
      <c r="H96" s="26">
        <f t="shared" si="217"/>
        <v>22328677</v>
      </c>
      <c r="I96" s="26">
        <f t="shared" si="217"/>
        <v>22328677</v>
      </c>
      <c r="J96" s="26">
        <f t="shared" si="217"/>
        <v>22328677</v>
      </c>
      <c r="K96" s="26">
        <f t="shared" si="217"/>
        <v>22328677</v>
      </c>
      <c r="L96" s="26">
        <f t="shared" si="217"/>
        <v>22328677</v>
      </c>
      <c r="M96" s="26">
        <f t="shared" si="217"/>
        <v>22328677</v>
      </c>
      <c r="N96" s="26">
        <f t="shared" si="217"/>
        <v>22328677</v>
      </c>
      <c r="O96" s="26">
        <f t="shared" si="217"/>
        <v>22328677</v>
      </c>
      <c r="P96" s="177">
        <f t="shared" si="217"/>
        <v>22328677</v>
      </c>
      <c r="Q96" s="192">
        <f t="shared" si="155"/>
        <v>267944124</v>
      </c>
      <c r="R96" s="26">
        <f t="shared" ref="R96:Y96" si="218">SUM(R94:R95)</f>
        <v>22328677</v>
      </c>
      <c r="S96" s="26">
        <f t="shared" si="218"/>
        <v>22328677</v>
      </c>
      <c r="T96" s="26">
        <f t="shared" si="218"/>
        <v>22328677</v>
      </c>
      <c r="U96" s="26">
        <f t="shared" si="218"/>
        <v>22328677</v>
      </c>
      <c r="V96" s="26">
        <f t="shared" si="218"/>
        <v>22328677</v>
      </c>
      <c r="W96" s="26">
        <f t="shared" si="218"/>
        <v>22328677</v>
      </c>
      <c r="X96" s="26">
        <f t="shared" si="218"/>
        <v>22328677</v>
      </c>
      <c r="Y96" s="26">
        <f t="shared" si="218"/>
        <v>22328677</v>
      </c>
      <c r="Z96" s="26">
        <f t="shared" ref="Z96:AC96" si="219">SUM(Z94:Z95)</f>
        <v>22328677</v>
      </c>
      <c r="AA96" s="26">
        <f t="shared" si="219"/>
        <v>22328677</v>
      </c>
      <c r="AB96" s="26">
        <f t="shared" si="219"/>
        <v>22328677</v>
      </c>
      <c r="AC96" s="177">
        <f t="shared" si="219"/>
        <v>22328677</v>
      </c>
      <c r="AD96" s="226">
        <f t="shared" si="156"/>
        <v>267944124</v>
      </c>
      <c r="AE96" s="26">
        <f t="shared" ref="AE96:AL96" si="220">SUM(AE94:AE95)</f>
        <v>22328677</v>
      </c>
      <c r="AF96" s="26">
        <f t="shared" si="220"/>
        <v>22328677</v>
      </c>
      <c r="AG96" s="26">
        <f t="shared" si="220"/>
        <v>22328677</v>
      </c>
      <c r="AH96" s="26">
        <f t="shared" si="220"/>
        <v>22328677</v>
      </c>
      <c r="AI96" s="26">
        <f t="shared" si="220"/>
        <v>22328677</v>
      </c>
      <c r="AJ96" s="26">
        <f t="shared" si="220"/>
        <v>22328677</v>
      </c>
      <c r="AK96" s="26">
        <f t="shared" si="220"/>
        <v>22328677</v>
      </c>
      <c r="AL96" s="26">
        <f t="shared" si="220"/>
        <v>22328677</v>
      </c>
      <c r="AM96" s="26">
        <f t="shared" ref="AM96:AP96" si="221">SUM(AM94:AM95)</f>
        <v>22328677</v>
      </c>
      <c r="AN96" s="26">
        <f t="shared" si="221"/>
        <v>22328677</v>
      </c>
      <c r="AO96" s="26">
        <f t="shared" si="221"/>
        <v>22328677</v>
      </c>
      <c r="AP96" s="26">
        <f t="shared" si="221"/>
        <v>22328677</v>
      </c>
      <c r="AQ96" s="192">
        <f t="shared" si="157"/>
        <v>0</v>
      </c>
      <c r="AR96" s="26"/>
      <c r="AS96" s="26">
        <f t="shared" ref="AS96:AZ96" si="222">SUM(AS94:AS95)</f>
        <v>22328677</v>
      </c>
      <c r="AT96" s="26">
        <f t="shared" si="222"/>
        <v>22328677</v>
      </c>
      <c r="AU96" s="26">
        <f t="shared" si="222"/>
        <v>22328677</v>
      </c>
      <c r="AV96" s="26">
        <f t="shared" si="222"/>
        <v>22328677</v>
      </c>
      <c r="AW96" s="26">
        <f t="shared" si="222"/>
        <v>22328677</v>
      </c>
      <c r="AX96" s="26">
        <f t="shared" si="222"/>
        <v>22328677</v>
      </c>
      <c r="AY96" s="26">
        <f t="shared" si="222"/>
        <v>22328677</v>
      </c>
      <c r="AZ96" s="26">
        <f t="shared" si="222"/>
        <v>22328677</v>
      </c>
      <c r="BA96" s="26">
        <f t="shared" ref="BA96:BD96" si="223">SUM(BA94:BA95)</f>
        <v>22328677</v>
      </c>
      <c r="BB96" s="26">
        <f t="shared" si="223"/>
        <v>22328677</v>
      </c>
      <c r="BC96" s="26">
        <f t="shared" si="223"/>
        <v>22328677</v>
      </c>
      <c r="BD96" s="26">
        <f t="shared" si="223"/>
        <v>22328677</v>
      </c>
      <c r="BE96" s="192">
        <f t="shared" si="158"/>
        <v>22328677</v>
      </c>
      <c r="BF96" s="26"/>
      <c r="BG96" s="26">
        <f t="shared" ref="BG96:BR96" si="224">SUM(BG94:BG95)</f>
        <v>22328677</v>
      </c>
      <c r="BH96" s="26">
        <f t="shared" si="224"/>
        <v>22328677</v>
      </c>
      <c r="BI96" s="26">
        <f t="shared" si="224"/>
        <v>22328677</v>
      </c>
      <c r="BJ96" s="26">
        <f t="shared" si="224"/>
        <v>22328677</v>
      </c>
      <c r="BK96" s="26">
        <f t="shared" si="224"/>
        <v>22328677</v>
      </c>
      <c r="BL96" s="26">
        <f t="shared" si="224"/>
        <v>22328677</v>
      </c>
      <c r="BM96" s="26">
        <f t="shared" si="224"/>
        <v>22328677</v>
      </c>
      <c r="BN96" s="26">
        <f t="shared" si="224"/>
        <v>22328677</v>
      </c>
      <c r="BO96" s="26">
        <f t="shared" si="224"/>
        <v>22328677</v>
      </c>
      <c r="BP96" s="26">
        <f t="shared" si="224"/>
        <v>22328677</v>
      </c>
      <c r="BQ96" s="26">
        <f t="shared" si="224"/>
        <v>22328677</v>
      </c>
      <c r="BR96" s="26">
        <f t="shared" si="224"/>
        <v>22328677</v>
      </c>
    </row>
    <row r="97" spans="1:70" ht="12.75" hidden="1" customHeight="1" outlineLevel="3" x14ac:dyDescent="0.2">
      <c r="A97" s="54"/>
      <c r="B97" s="38" t="str">
        <f t="shared" si="216"/>
        <v>Выплаты при увольнении</v>
      </c>
      <c r="C97" s="49" t="str">
        <f t="shared" si="216"/>
        <v>Direct severance payments - cash</v>
      </c>
      <c r="D97" s="168">
        <f t="shared" si="154"/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176">
        <v>0</v>
      </c>
      <c r="Q97" s="191">
        <f t="shared" si="155"/>
        <v>0</v>
      </c>
      <c r="R97" s="40">
        <v>0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176">
        <v>0</v>
      </c>
      <c r="AD97" s="225">
        <f t="shared" si="156"/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0</v>
      </c>
      <c r="AP97" s="40">
        <v>0</v>
      </c>
      <c r="AQ97" s="191">
        <f t="shared" si="157"/>
        <v>0</v>
      </c>
      <c r="AR97" s="40"/>
      <c r="AS97" s="40">
        <v>0</v>
      </c>
      <c r="AT97" s="40">
        <v>0</v>
      </c>
      <c r="AU97" s="40">
        <v>0</v>
      </c>
      <c r="AV97" s="40">
        <v>0</v>
      </c>
      <c r="AW97" s="40">
        <v>0</v>
      </c>
      <c r="AX97" s="40">
        <v>0</v>
      </c>
      <c r="AY97" s="40">
        <v>0</v>
      </c>
      <c r="AZ97" s="40">
        <v>0</v>
      </c>
      <c r="BA97" s="40">
        <v>0</v>
      </c>
      <c r="BB97" s="40">
        <v>0</v>
      </c>
      <c r="BC97" s="40">
        <v>0</v>
      </c>
      <c r="BD97" s="40">
        <v>0</v>
      </c>
      <c r="BE97" s="191">
        <f t="shared" si="158"/>
        <v>0</v>
      </c>
      <c r="BF97" s="40"/>
      <c r="BG97" s="40">
        <v>0</v>
      </c>
      <c r="BH97" s="40">
        <v>0</v>
      </c>
      <c r="BI97" s="40">
        <v>0</v>
      </c>
      <c r="BJ97" s="40">
        <v>0</v>
      </c>
      <c r="BK97" s="40">
        <v>0</v>
      </c>
      <c r="BL97" s="40">
        <v>0</v>
      </c>
      <c r="BM97" s="40">
        <v>0</v>
      </c>
      <c r="BN97" s="40">
        <v>0</v>
      </c>
      <c r="BO97" s="40">
        <v>0</v>
      </c>
      <c r="BP97" s="40">
        <v>0</v>
      </c>
      <c r="BQ97" s="40">
        <v>0</v>
      </c>
      <c r="BR97" s="40">
        <v>0</v>
      </c>
    </row>
    <row r="98" spans="1:70" ht="12.75" hidden="1" customHeight="1" outlineLevel="3" x14ac:dyDescent="0.2">
      <c r="A98" s="54"/>
      <c r="B98" s="38" t="str">
        <f t="shared" si="216"/>
        <v>Страховые взносы выплаты при увольнении</v>
      </c>
      <c r="C98" s="49" t="str">
        <f t="shared" si="216"/>
        <v>Social Security on Severance</v>
      </c>
      <c r="D98" s="168">
        <f t="shared" si="154"/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176">
        <v>0</v>
      </c>
      <c r="Q98" s="191">
        <f t="shared" si="155"/>
        <v>0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176">
        <v>0</v>
      </c>
      <c r="AD98" s="225">
        <f t="shared" si="156"/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191">
        <f t="shared" si="157"/>
        <v>0</v>
      </c>
      <c r="AR98" s="40"/>
      <c r="AS98" s="40">
        <v>0</v>
      </c>
      <c r="AT98" s="40">
        <v>0</v>
      </c>
      <c r="AU98" s="40">
        <v>0</v>
      </c>
      <c r="AV98" s="40">
        <v>0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>
        <v>0</v>
      </c>
      <c r="BE98" s="191">
        <f t="shared" si="158"/>
        <v>0</v>
      </c>
      <c r="BF98" s="40"/>
      <c r="BG98" s="40">
        <v>0</v>
      </c>
      <c r="BH98" s="40">
        <v>0</v>
      </c>
      <c r="BI98" s="40">
        <v>0</v>
      </c>
      <c r="BJ98" s="40">
        <v>0</v>
      </c>
      <c r="BK98" s="40">
        <v>0</v>
      </c>
      <c r="BL98" s="40">
        <v>0</v>
      </c>
      <c r="BM98" s="40">
        <v>0</v>
      </c>
      <c r="BN98" s="40">
        <v>0</v>
      </c>
      <c r="BO98" s="40">
        <v>0</v>
      </c>
      <c r="BP98" s="40">
        <v>0</v>
      </c>
      <c r="BQ98" s="40">
        <v>0</v>
      </c>
      <c r="BR98" s="40">
        <v>0</v>
      </c>
    </row>
    <row r="99" spans="1:70" s="6" customFormat="1" hidden="1" outlineLevel="2" x14ac:dyDescent="0.2">
      <c r="A99" s="30"/>
      <c r="B99" s="29" t="str">
        <f t="shared" si="216"/>
        <v>Итого выплаты при увольнении</v>
      </c>
      <c r="C99" s="52" t="str">
        <f t="shared" si="216"/>
        <v>Total Direct severance payments - cash</v>
      </c>
      <c r="D99" s="169">
        <f t="shared" si="154"/>
        <v>0</v>
      </c>
      <c r="E99" s="26">
        <f t="shared" ref="E99:P99" si="225">SUM(E97:E98)</f>
        <v>0</v>
      </c>
      <c r="F99" s="26">
        <f t="shared" si="225"/>
        <v>0</v>
      </c>
      <c r="G99" s="26">
        <f t="shared" si="225"/>
        <v>0</v>
      </c>
      <c r="H99" s="26">
        <f t="shared" si="225"/>
        <v>0</v>
      </c>
      <c r="I99" s="26">
        <f t="shared" si="225"/>
        <v>0</v>
      </c>
      <c r="J99" s="26">
        <f t="shared" si="225"/>
        <v>0</v>
      </c>
      <c r="K99" s="26">
        <f t="shared" si="225"/>
        <v>0</v>
      </c>
      <c r="L99" s="26">
        <f t="shared" si="225"/>
        <v>0</v>
      </c>
      <c r="M99" s="26">
        <f t="shared" si="225"/>
        <v>0</v>
      </c>
      <c r="N99" s="26">
        <f t="shared" si="225"/>
        <v>0</v>
      </c>
      <c r="O99" s="26">
        <f t="shared" si="225"/>
        <v>0</v>
      </c>
      <c r="P99" s="177">
        <f t="shared" si="225"/>
        <v>0</v>
      </c>
      <c r="Q99" s="192">
        <f t="shared" si="155"/>
        <v>0</v>
      </c>
      <c r="R99" s="26">
        <f t="shared" ref="R99:Y99" si="226">SUM(R97:R98)</f>
        <v>0</v>
      </c>
      <c r="S99" s="26">
        <f t="shared" si="226"/>
        <v>0</v>
      </c>
      <c r="T99" s="26">
        <f t="shared" si="226"/>
        <v>0</v>
      </c>
      <c r="U99" s="26">
        <f t="shared" si="226"/>
        <v>0</v>
      </c>
      <c r="V99" s="26">
        <f t="shared" si="226"/>
        <v>0</v>
      </c>
      <c r="W99" s="26">
        <f t="shared" si="226"/>
        <v>0</v>
      </c>
      <c r="X99" s="26">
        <f t="shared" si="226"/>
        <v>0</v>
      </c>
      <c r="Y99" s="26">
        <f t="shared" si="226"/>
        <v>0</v>
      </c>
      <c r="Z99" s="26">
        <f t="shared" ref="Z99:AC99" si="227">SUM(Z97:Z98)</f>
        <v>0</v>
      </c>
      <c r="AA99" s="26">
        <f t="shared" si="227"/>
        <v>0</v>
      </c>
      <c r="AB99" s="26">
        <f t="shared" si="227"/>
        <v>0</v>
      </c>
      <c r="AC99" s="177">
        <f t="shared" si="227"/>
        <v>0</v>
      </c>
      <c r="AD99" s="226">
        <f t="shared" si="156"/>
        <v>0</v>
      </c>
      <c r="AE99" s="26">
        <f t="shared" ref="AE99:AL99" si="228">SUM(AE97:AE98)</f>
        <v>0</v>
      </c>
      <c r="AF99" s="26">
        <f t="shared" si="228"/>
        <v>0</v>
      </c>
      <c r="AG99" s="26">
        <f t="shared" si="228"/>
        <v>0</v>
      </c>
      <c r="AH99" s="26">
        <f t="shared" si="228"/>
        <v>0</v>
      </c>
      <c r="AI99" s="26">
        <f t="shared" si="228"/>
        <v>0</v>
      </c>
      <c r="AJ99" s="26">
        <f t="shared" si="228"/>
        <v>0</v>
      </c>
      <c r="AK99" s="26">
        <f t="shared" si="228"/>
        <v>0</v>
      </c>
      <c r="AL99" s="26">
        <f t="shared" si="228"/>
        <v>0</v>
      </c>
      <c r="AM99" s="26">
        <f t="shared" ref="AM99:AP99" si="229">SUM(AM97:AM98)</f>
        <v>0</v>
      </c>
      <c r="AN99" s="26">
        <f t="shared" si="229"/>
        <v>0</v>
      </c>
      <c r="AO99" s="26">
        <f t="shared" si="229"/>
        <v>0</v>
      </c>
      <c r="AP99" s="26">
        <f t="shared" si="229"/>
        <v>0</v>
      </c>
      <c r="AQ99" s="192">
        <f t="shared" si="157"/>
        <v>0</v>
      </c>
      <c r="AR99" s="26"/>
      <c r="AS99" s="26">
        <f t="shared" ref="AS99:AZ99" si="230">SUM(AS97:AS98)</f>
        <v>0</v>
      </c>
      <c r="AT99" s="26">
        <f t="shared" si="230"/>
        <v>0</v>
      </c>
      <c r="AU99" s="26">
        <f t="shared" si="230"/>
        <v>0</v>
      </c>
      <c r="AV99" s="26">
        <f t="shared" si="230"/>
        <v>0</v>
      </c>
      <c r="AW99" s="26">
        <f t="shared" si="230"/>
        <v>0</v>
      </c>
      <c r="AX99" s="26">
        <f t="shared" si="230"/>
        <v>0</v>
      </c>
      <c r="AY99" s="26">
        <f t="shared" si="230"/>
        <v>0</v>
      </c>
      <c r="AZ99" s="26">
        <f t="shared" si="230"/>
        <v>0</v>
      </c>
      <c r="BA99" s="26">
        <f t="shared" ref="BA99:BD99" si="231">SUM(BA97:BA98)</f>
        <v>0</v>
      </c>
      <c r="BB99" s="26">
        <f t="shared" si="231"/>
        <v>0</v>
      </c>
      <c r="BC99" s="26">
        <f t="shared" si="231"/>
        <v>0</v>
      </c>
      <c r="BD99" s="26">
        <f t="shared" si="231"/>
        <v>0</v>
      </c>
      <c r="BE99" s="192">
        <f t="shared" si="158"/>
        <v>0</v>
      </c>
      <c r="BF99" s="26"/>
      <c r="BG99" s="26">
        <f t="shared" ref="BG99:BR99" si="232">SUM(BG97:BG98)</f>
        <v>0</v>
      </c>
      <c r="BH99" s="26">
        <f t="shared" si="232"/>
        <v>0</v>
      </c>
      <c r="BI99" s="26">
        <f t="shared" si="232"/>
        <v>0</v>
      </c>
      <c r="BJ99" s="26">
        <f t="shared" si="232"/>
        <v>0</v>
      </c>
      <c r="BK99" s="26">
        <f t="shared" si="232"/>
        <v>0</v>
      </c>
      <c r="BL99" s="26">
        <f t="shared" si="232"/>
        <v>0</v>
      </c>
      <c r="BM99" s="26">
        <f t="shared" si="232"/>
        <v>0</v>
      </c>
      <c r="BN99" s="26">
        <f t="shared" si="232"/>
        <v>0</v>
      </c>
      <c r="BO99" s="26">
        <f t="shared" si="232"/>
        <v>0</v>
      </c>
      <c r="BP99" s="26">
        <f t="shared" si="232"/>
        <v>0</v>
      </c>
      <c r="BQ99" s="26">
        <f t="shared" si="232"/>
        <v>0</v>
      </c>
      <c r="BR99" s="26">
        <f t="shared" si="232"/>
        <v>0</v>
      </c>
    </row>
    <row r="100" spans="1:70" ht="12.75" hidden="1" customHeight="1" outlineLevel="3" x14ac:dyDescent="0.2">
      <c r="B100" s="38" t="str">
        <f t="shared" si="216"/>
        <v>Отложенное вознаграждение</v>
      </c>
      <c r="C100" s="49" t="str">
        <f t="shared" si="216"/>
        <v>Deferred Compensation</v>
      </c>
      <c r="D100" s="168">
        <f t="shared" si="154"/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176">
        <v>0</v>
      </c>
      <c r="Q100" s="191">
        <f t="shared" si="155"/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176">
        <v>0</v>
      </c>
      <c r="AD100" s="225">
        <f t="shared" si="156"/>
        <v>0</v>
      </c>
      <c r="AE100" s="40">
        <v>0</v>
      </c>
      <c r="AF100" s="40">
        <v>0</v>
      </c>
      <c r="AG100" s="40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191">
        <f t="shared" si="157"/>
        <v>0</v>
      </c>
      <c r="AR100" s="40"/>
      <c r="AS100" s="40">
        <v>0</v>
      </c>
      <c r="AT100" s="40">
        <v>0</v>
      </c>
      <c r="AU100" s="40">
        <v>0</v>
      </c>
      <c r="AV100" s="40">
        <v>0</v>
      </c>
      <c r="AW100" s="40">
        <v>0</v>
      </c>
      <c r="AX100" s="40">
        <v>0</v>
      </c>
      <c r="AY100" s="40">
        <v>0</v>
      </c>
      <c r="AZ100" s="40">
        <v>0</v>
      </c>
      <c r="BA100" s="40">
        <v>0</v>
      </c>
      <c r="BB100" s="40">
        <v>0</v>
      </c>
      <c r="BC100" s="40">
        <v>0</v>
      </c>
      <c r="BD100" s="40">
        <v>0</v>
      </c>
      <c r="BE100" s="191">
        <f t="shared" si="158"/>
        <v>0</v>
      </c>
      <c r="BF100" s="40"/>
      <c r="BG100" s="40">
        <v>0</v>
      </c>
      <c r="BH100" s="40">
        <v>0</v>
      </c>
      <c r="BI100" s="40">
        <v>0</v>
      </c>
      <c r="BJ100" s="40">
        <v>0</v>
      </c>
      <c r="BK100" s="40">
        <v>0</v>
      </c>
      <c r="BL100" s="40">
        <v>0</v>
      </c>
      <c r="BM100" s="40">
        <v>0</v>
      </c>
      <c r="BN100" s="40">
        <v>0</v>
      </c>
      <c r="BO100" s="40">
        <v>0</v>
      </c>
      <c r="BP100" s="40">
        <v>0</v>
      </c>
      <c r="BQ100" s="40">
        <v>0</v>
      </c>
      <c r="BR100" s="40">
        <v>0</v>
      </c>
    </row>
    <row r="101" spans="1:70" ht="12.75" hidden="1" customHeight="1" outlineLevel="3" x14ac:dyDescent="0.2">
      <c r="B101" s="38" t="str">
        <f t="shared" si="216"/>
        <v>Страховые взносы отложенное вознаграждение</v>
      </c>
      <c r="C101" s="49" t="str">
        <f t="shared" si="216"/>
        <v>Social Security on Deferrals</v>
      </c>
      <c r="D101" s="168">
        <f t="shared" si="154"/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176">
        <v>0</v>
      </c>
      <c r="Q101" s="191">
        <f t="shared" si="155"/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176">
        <v>0</v>
      </c>
      <c r="AD101" s="225">
        <f t="shared" si="156"/>
        <v>0</v>
      </c>
      <c r="AE101" s="40">
        <v>0</v>
      </c>
      <c r="AF101" s="40">
        <v>0</v>
      </c>
      <c r="AG101" s="40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191">
        <f t="shared" si="157"/>
        <v>0</v>
      </c>
      <c r="AR101" s="40"/>
      <c r="AS101" s="40">
        <v>0</v>
      </c>
      <c r="AT101" s="40">
        <v>0</v>
      </c>
      <c r="AU101" s="40">
        <v>0</v>
      </c>
      <c r="AV101" s="40">
        <v>0</v>
      </c>
      <c r="AW101" s="40">
        <v>0</v>
      </c>
      <c r="AX101" s="40">
        <v>0</v>
      </c>
      <c r="AY101" s="40">
        <v>0</v>
      </c>
      <c r="AZ101" s="40">
        <v>0</v>
      </c>
      <c r="BA101" s="40">
        <v>0</v>
      </c>
      <c r="BB101" s="40">
        <v>0</v>
      </c>
      <c r="BC101" s="40">
        <v>0</v>
      </c>
      <c r="BD101" s="40">
        <v>0</v>
      </c>
      <c r="BE101" s="191">
        <f t="shared" si="158"/>
        <v>0</v>
      </c>
      <c r="BF101" s="40"/>
      <c r="BG101" s="40">
        <v>0</v>
      </c>
      <c r="BH101" s="40">
        <v>0</v>
      </c>
      <c r="BI101" s="40">
        <v>0</v>
      </c>
      <c r="BJ101" s="40">
        <v>0</v>
      </c>
      <c r="BK101" s="40">
        <v>0</v>
      </c>
      <c r="BL101" s="40">
        <v>0</v>
      </c>
      <c r="BM101" s="40">
        <v>0</v>
      </c>
      <c r="BN101" s="40">
        <v>0</v>
      </c>
      <c r="BO101" s="40">
        <v>0</v>
      </c>
      <c r="BP101" s="40">
        <v>0</v>
      </c>
      <c r="BQ101" s="40">
        <v>0</v>
      </c>
      <c r="BR101" s="40">
        <v>0</v>
      </c>
    </row>
    <row r="102" spans="1:70" s="6" customFormat="1" hidden="1" outlineLevel="2" x14ac:dyDescent="0.2">
      <c r="B102" s="29" t="str">
        <f t="shared" si="216"/>
        <v>Итого отложенное вознаграждение</v>
      </c>
      <c r="C102" s="52" t="str">
        <f t="shared" si="216"/>
        <v>Deferred Compensation</v>
      </c>
      <c r="D102" s="169">
        <f t="shared" si="154"/>
        <v>0</v>
      </c>
      <c r="E102" s="26">
        <f t="shared" ref="E102:P102" si="233">SUM(E100:E101)</f>
        <v>0</v>
      </c>
      <c r="F102" s="26">
        <f t="shared" si="233"/>
        <v>0</v>
      </c>
      <c r="G102" s="26">
        <f t="shared" si="233"/>
        <v>0</v>
      </c>
      <c r="H102" s="26">
        <f t="shared" si="233"/>
        <v>0</v>
      </c>
      <c r="I102" s="26">
        <f t="shared" si="233"/>
        <v>0</v>
      </c>
      <c r="J102" s="26">
        <f t="shared" si="233"/>
        <v>0</v>
      </c>
      <c r="K102" s="26">
        <f t="shared" si="233"/>
        <v>0</v>
      </c>
      <c r="L102" s="26">
        <f t="shared" si="233"/>
        <v>0</v>
      </c>
      <c r="M102" s="26">
        <f t="shared" si="233"/>
        <v>0</v>
      </c>
      <c r="N102" s="26">
        <f t="shared" si="233"/>
        <v>0</v>
      </c>
      <c r="O102" s="26">
        <f t="shared" si="233"/>
        <v>0</v>
      </c>
      <c r="P102" s="177">
        <f t="shared" si="233"/>
        <v>0</v>
      </c>
      <c r="Q102" s="192">
        <f t="shared" si="155"/>
        <v>0</v>
      </c>
      <c r="R102" s="26">
        <f t="shared" ref="R102:Y102" si="234">SUM(R100:R101)</f>
        <v>0</v>
      </c>
      <c r="S102" s="26">
        <f t="shared" si="234"/>
        <v>0</v>
      </c>
      <c r="T102" s="26">
        <f t="shared" si="234"/>
        <v>0</v>
      </c>
      <c r="U102" s="26">
        <f t="shared" si="234"/>
        <v>0</v>
      </c>
      <c r="V102" s="26">
        <f t="shared" si="234"/>
        <v>0</v>
      </c>
      <c r="W102" s="26">
        <f t="shared" si="234"/>
        <v>0</v>
      </c>
      <c r="X102" s="26">
        <f t="shared" si="234"/>
        <v>0</v>
      </c>
      <c r="Y102" s="26">
        <f t="shared" si="234"/>
        <v>0</v>
      </c>
      <c r="Z102" s="26">
        <f t="shared" ref="Z102:AC102" si="235">SUM(Z100:Z101)</f>
        <v>0</v>
      </c>
      <c r="AA102" s="26">
        <f t="shared" si="235"/>
        <v>0</v>
      </c>
      <c r="AB102" s="26">
        <f t="shared" si="235"/>
        <v>0</v>
      </c>
      <c r="AC102" s="177">
        <f t="shared" si="235"/>
        <v>0</v>
      </c>
      <c r="AD102" s="226">
        <f t="shared" si="156"/>
        <v>0</v>
      </c>
      <c r="AE102" s="26">
        <f t="shared" ref="AE102:AL102" si="236">SUM(AE100:AE101)</f>
        <v>0</v>
      </c>
      <c r="AF102" s="26">
        <f t="shared" si="236"/>
        <v>0</v>
      </c>
      <c r="AG102" s="26">
        <f t="shared" si="236"/>
        <v>0</v>
      </c>
      <c r="AH102" s="26">
        <f t="shared" si="236"/>
        <v>0</v>
      </c>
      <c r="AI102" s="26">
        <f t="shared" si="236"/>
        <v>0</v>
      </c>
      <c r="AJ102" s="26">
        <f t="shared" si="236"/>
        <v>0</v>
      </c>
      <c r="AK102" s="26">
        <f t="shared" si="236"/>
        <v>0</v>
      </c>
      <c r="AL102" s="26">
        <f t="shared" si="236"/>
        <v>0</v>
      </c>
      <c r="AM102" s="26">
        <f t="shared" ref="AM102:AP102" si="237">SUM(AM100:AM101)</f>
        <v>0</v>
      </c>
      <c r="AN102" s="26">
        <f t="shared" si="237"/>
        <v>0</v>
      </c>
      <c r="AO102" s="26">
        <f t="shared" si="237"/>
        <v>0</v>
      </c>
      <c r="AP102" s="26">
        <f t="shared" si="237"/>
        <v>0</v>
      </c>
      <c r="AQ102" s="192">
        <f t="shared" si="157"/>
        <v>0</v>
      </c>
      <c r="AR102" s="26"/>
      <c r="AS102" s="26">
        <f t="shared" ref="AS102:AZ102" si="238">SUM(AS100:AS101)</f>
        <v>0</v>
      </c>
      <c r="AT102" s="26">
        <f t="shared" si="238"/>
        <v>0</v>
      </c>
      <c r="AU102" s="26">
        <f t="shared" si="238"/>
        <v>0</v>
      </c>
      <c r="AV102" s="26">
        <f t="shared" si="238"/>
        <v>0</v>
      </c>
      <c r="AW102" s="26">
        <f t="shared" si="238"/>
        <v>0</v>
      </c>
      <c r="AX102" s="26">
        <f t="shared" si="238"/>
        <v>0</v>
      </c>
      <c r="AY102" s="26">
        <f t="shared" si="238"/>
        <v>0</v>
      </c>
      <c r="AZ102" s="26">
        <f t="shared" si="238"/>
        <v>0</v>
      </c>
      <c r="BA102" s="26">
        <f t="shared" ref="BA102:BD102" si="239">SUM(BA100:BA101)</f>
        <v>0</v>
      </c>
      <c r="BB102" s="26">
        <f t="shared" si="239"/>
        <v>0</v>
      </c>
      <c r="BC102" s="26">
        <f t="shared" si="239"/>
        <v>0</v>
      </c>
      <c r="BD102" s="26">
        <f t="shared" si="239"/>
        <v>0</v>
      </c>
      <c r="BE102" s="192">
        <f t="shared" si="158"/>
        <v>0</v>
      </c>
      <c r="BF102" s="26"/>
      <c r="BG102" s="26">
        <f t="shared" ref="BG102:BR102" si="240">SUM(BG100:BG101)</f>
        <v>0</v>
      </c>
      <c r="BH102" s="26">
        <f t="shared" si="240"/>
        <v>0</v>
      </c>
      <c r="BI102" s="26">
        <f t="shared" si="240"/>
        <v>0</v>
      </c>
      <c r="BJ102" s="26">
        <f t="shared" si="240"/>
        <v>0</v>
      </c>
      <c r="BK102" s="26">
        <f t="shared" si="240"/>
        <v>0</v>
      </c>
      <c r="BL102" s="26">
        <f t="shared" si="240"/>
        <v>0</v>
      </c>
      <c r="BM102" s="26">
        <f t="shared" si="240"/>
        <v>0</v>
      </c>
      <c r="BN102" s="26">
        <f t="shared" si="240"/>
        <v>0</v>
      </c>
      <c r="BO102" s="26">
        <f t="shared" si="240"/>
        <v>0</v>
      </c>
      <c r="BP102" s="26">
        <f t="shared" si="240"/>
        <v>0</v>
      </c>
      <c r="BQ102" s="26">
        <f t="shared" si="240"/>
        <v>0</v>
      </c>
      <c r="BR102" s="26">
        <f t="shared" si="240"/>
        <v>0</v>
      </c>
    </row>
    <row r="103" spans="1:70" s="6" customFormat="1" outlineLevel="1" collapsed="1" x14ac:dyDescent="0.2">
      <c r="A103" s="30"/>
      <c r="B103" s="51" t="str">
        <f t="shared" si="216"/>
        <v>Прочие компенсационные выплаты</v>
      </c>
      <c r="C103" s="50" t="str">
        <f t="shared" si="216"/>
        <v>Other Compensations</v>
      </c>
      <c r="D103" s="170">
        <f t="shared" si="154"/>
        <v>266504124</v>
      </c>
      <c r="E103" s="45">
        <f t="shared" ref="E103:P103" si="241">E93+E96+E99+E102</f>
        <v>22208677</v>
      </c>
      <c r="F103" s="45">
        <f t="shared" si="241"/>
        <v>22208677</v>
      </c>
      <c r="G103" s="45">
        <f t="shared" si="241"/>
        <v>22208677</v>
      </c>
      <c r="H103" s="45">
        <f t="shared" si="241"/>
        <v>22208677</v>
      </c>
      <c r="I103" s="45">
        <f t="shared" si="241"/>
        <v>22208677</v>
      </c>
      <c r="J103" s="45">
        <f t="shared" si="241"/>
        <v>22208677</v>
      </c>
      <c r="K103" s="45">
        <f t="shared" si="241"/>
        <v>22208677</v>
      </c>
      <c r="L103" s="45">
        <f t="shared" si="241"/>
        <v>22208677</v>
      </c>
      <c r="M103" s="45">
        <f t="shared" si="241"/>
        <v>22208677</v>
      </c>
      <c r="N103" s="45">
        <f t="shared" si="241"/>
        <v>22208677</v>
      </c>
      <c r="O103" s="45">
        <f t="shared" si="241"/>
        <v>22208677</v>
      </c>
      <c r="P103" s="178">
        <f t="shared" si="241"/>
        <v>22208677</v>
      </c>
      <c r="Q103" s="193">
        <f t="shared" si="155"/>
        <v>266504124</v>
      </c>
      <c r="R103" s="45">
        <f t="shared" ref="R103:Y103" si="242">R93+R96+R99+R102</f>
        <v>22208677</v>
      </c>
      <c r="S103" s="45">
        <f t="shared" si="242"/>
        <v>22208677</v>
      </c>
      <c r="T103" s="45">
        <f t="shared" si="242"/>
        <v>22208677</v>
      </c>
      <c r="U103" s="45">
        <f t="shared" si="242"/>
        <v>22208677</v>
      </c>
      <c r="V103" s="45">
        <f t="shared" si="242"/>
        <v>22208677</v>
      </c>
      <c r="W103" s="45">
        <f t="shared" si="242"/>
        <v>22208677</v>
      </c>
      <c r="X103" s="45">
        <f t="shared" si="242"/>
        <v>22208677</v>
      </c>
      <c r="Y103" s="45">
        <f t="shared" si="242"/>
        <v>22208677</v>
      </c>
      <c r="Z103" s="45">
        <f t="shared" ref="Z103:AC103" si="243">Z93+Z96+Z99+Z102</f>
        <v>22208677</v>
      </c>
      <c r="AA103" s="45">
        <f t="shared" si="243"/>
        <v>22208677</v>
      </c>
      <c r="AB103" s="45">
        <f t="shared" si="243"/>
        <v>22208677</v>
      </c>
      <c r="AC103" s="178">
        <f t="shared" si="243"/>
        <v>22208677</v>
      </c>
      <c r="AD103" s="227">
        <f t="shared" si="156"/>
        <v>266504124</v>
      </c>
      <c r="AE103" s="45">
        <f t="shared" ref="AE103:AL103" si="244">AE93+AE96+AE99+AE102</f>
        <v>22208677</v>
      </c>
      <c r="AF103" s="45">
        <f t="shared" si="244"/>
        <v>22208677</v>
      </c>
      <c r="AG103" s="45">
        <f t="shared" si="244"/>
        <v>22208677</v>
      </c>
      <c r="AH103" s="45">
        <f t="shared" si="244"/>
        <v>22208677</v>
      </c>
      <c r="AI103" s="45">
        <f t="shared" si="244"/>
        <v>22208677</v>
      </c>
      <c r="AJ103" s="45">
        <f t="shared" si="244"/>
        <v>22208677</v>
      </c>
      <c r="AK103" s="45">
        <f t="shared" si="244"/>
        <v>22208677</v>
      </c>
      <c r="AL103" s="45">
        <f t="shared" si="244"/>
        <v>22208677</v>
      </c>
      <c r="AM103" s="45">
        <f t="shared" ref="AM103:AP103" si="245">AM93+AM96+AM99+AM102</f>
        <v>22208677</v>
      </c>
      <c r="AN103" s="45">
        <f t="shared" si="245"/>
        <v>22208677</v>
      </c>
      <c r="AO103" s="45">
        <f t="shared" si="245"/>
        <v>22208677</v>
      </c>
      <c r="AP103" s="45">
        <f t="shared" si="245"/>
        <v>22208677</v>
      </c>
      <c r="AQ103" s="193">
        <f t="shared" si="157"/>
        <v>0</v>
      </c>
      <c r="AR103" s="45"/>
      <c r="AS103" s="45">
        <f t="shared" ref="AS103:AZ103" si="246">AS93+AS96+AS99+AS102</f>
        <v>22208677</v>
      </c>
      <c r="AT103" s="45">
        <f t="shared" si="246"/>
        <v>22208677</v>
      </c>
      <c r="AU103" s="45">
        <f t="shared" si="246"/>
        <v>22208677</v>
      </c>
      <c r="AV103" s="45">
        <f t="shared" si="246"/>
        <v>22208677</v>
      </c>
      <c r="AW103" s="45">
        <f t="shared" si="246"/>
        <v>22208677</v>
      </c>
      <c r="AX103" s="45">
        <f t="shared" si="246"/>
        <v>22208677</v>
      </c>
      <c r="AY103" s="45">
        <f t="shared" si="246"/>
        <v>22208677</v>
      </c>
      <c r="AZ103" s="45">
        <f t="shared" si="246"/>
        <v>22208677</v>
      </c>
      <c r="BA103" s="45">
        <f t="shared" ref="BA103:BD103" si="247">BA93+BA96+BA99+BA102</f>
        <v>22208677</v>
      </c>
      <c r="BB103" s="45">
        <f t="shared" si="247"/>
        <v>22208677</v>
      </c>
      <c r="BC103" s="45">
        <f t="shared" si="247"/>
        <v>22208677</v>
      </c>
      <c r="BD103" s="45">
        <f t="shared" si="247"/>
        <v>22208677</v>
      </c>
      <c r="BE103" s="193">
        <f t="shared" si="158"/>
        <v>22208677</v>
      </c>
      <c r="BF103" s="45"/>
      <c r="BG103" s="45">
        <f t="shared" ref="BG103:BR103" si="248">BG93+BG96+BG99+BG102</f>
        <v>22208677</v>
      </c>
      <c r="BH103" s="45">
        <f t="shared" si="248"/>
        <v>22208677</v>
      </c>
      <c r="BI103" s="45">
        <f t="shared" si="248"/>
        <v>22208677</v>
      </c>
      <c r="BJ103" s="45">
        <f t="shared" si="248"/>
        <v>22208677</v>
      </c>
      <c r="BK103" s="45">
        <f t="shared" si="248"/>
        <v>22208677</v>
      </c>
      <c r="BL103" s="45">
        <f t="shared" si="248"/>
        <v>22208677</v>
      </c>
      <c r="BM103" s="45">
        <f t="shared" si="248"/>
        <v>22208677</v>
      </c>
      <c r="BN103" s="45">
        <f t="shared" si="248"/>
        <v>22208677</v>
      </c>
      <c r="BO103" s="45">
        <f t="shared" si="248"/>
        <v>22208677</v>
      </c>
      <c r="BP103" s="45">
        <f t="shared" si="248"/>
        <v>22208677</v>
      </c>
      <c r="BQ103" s="45">
        <f t="shared" si="248"/>
        <v>22208677</v>
      </c>
      <c r="BR103" s="45">
        <f t="shared" si="248"/>
        <v>22208677</v>
      </c>
    </row>
    <row r="104" spans="1:70" ht="12.75" hidden="1" customHeight="1" outlineLevel="3" x14ac:dyDescent="0.2">
      <c r="B104" s="38" t="str">
        <f t="shared" si="216"/>
        <v>Резерв квартальной премии</v>
      </c>
      <c r="C104" s="49" t="str">
        <f t="shared" si="216"/>
        <v>Accruals for Quarterly bonus</v>
      </c>
      <c r="D104" s="168">
        <f t="shared" si="154"/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176">
        <v>0</v>
      </c>
      <c r="Q104" s="191">
        <f t="shared" si="155"/>
        <v>0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176">
        <v>0</v>
      </c>
      <c r="AD104" s="225">
        <f t="shared" si="156"/>
        <v>0</v>
      </c>
      <c r="AE104" s="40">
        <v>0</v>
      </c>
      <c r="AF104" s="40">
        <v>0</v>
      </c>
      <c r="AG104" s="40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191">
        <f t="shared" si="157"/>
        <v>0</v>
      </c>
      <c r="AR104" s="40"/>
      <c r="AS104" s="40">
        <v>0</v>
      </c>
      <c r="AT104" s="40">
        <v>0</v>
      </c>
      <c r="AU104" s="40">
        <v>0</v>
      </c>
      <c r="AV104" s="40">
        <v>0</v>
      </c>
      <c r="AW104" s="40">
        <v>0</v>
      </c>
      <c r="AX104" s="40">
        <v>0</v>
      </c>
      <c r="AY104" s="40">
        <v>0</v>
      </c>
      <c r="AZ104" s="40">
        <v>0</v>
      </c>
      <c r="BA104" s="40">
        <v>0</v>
      </c>
      <c r="BB104" s="40">
        <v>0</v>
      </c>
      <c r="BC104" s="40">
        <v>0</v>
      </c>
      <c r="BD104" s="40">
        <v>0</v>
      </c>
      <c r="BE104" s="191">
        <f t="shared" si="158"/>
        <v>0</v>
      </c>
      <c r="BF104" s="40"/>
      <c r="BG104" s="40">
        <v>0</v>
      </c>
      <c r="BH104" s="40">
        <v>0</v>
      </c>
      <c r="BI104" s="40">
        <v>0</v>
      </c>
      <c r="BJ104" s="40">
        <v>0</v>
      </c>
      <c r="BK104" s="40">
        <v>0</v>
      </c>
      <c r="BL104" s="40">
        <v>0</v>
      </c>
      <c r="BM104" s="40">
        <v>0</v>
      </c>
      <c r="BN104" s="40">
        <v>0</v>
      </c>
      <c r="BO104" s="40">
        <v>0</v>
      </c>
      <c r="BP104" s="40">
        <v>0</v>
      </c>
      <c r="BQ104" s="40">
        <v>0</v>
      </c>
      <c r="BR104" s="40">
        <v>0</v>
      </c>
    </row>
    <row r="105" spans="1:70" ht="12.75" hidden="1" customHeight="1" outlineLevel="3" x14ac:dyDescent="0.2">
      <c r="B105" s="38" t="str">
        <f t="shared" si="216"/>
        <v>Страховые взносы резерв квартальной премии</v>
      </c>
      <c r="C105" s="49" t="str">
        <f t="shared" si="216"/>
        <v>Social Security on Accruals for Quarterly bonus</v>
      </c>
      <c r="D105" s="168">
        <f t="shared" si="154"/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176">
        <v>0</v>
      </c>
      <c r="Q105" s="191">
        <f t="shared" si="155"/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176">
        <v>0</v>
      </c>
      <c r="AD105" s="225">
        <f t="shared" si="156"/>
        <v>0</v>
      </c>
      <c r="AE105" s="40">
        <v>0</v>
      </c>
      <c r="AF105" s="40">
        <v>0</v>
      </c>
      <c r="AG105" s="40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191">
        <f t="shared" si="157"/>
        <v>0</v>
      </c>
      <c r="AR105" s="40"/>
      <c r="AS105" s="40">
        <v>0</v>
      </c>
      <c r="AT105" s="40">
        <v>0</v>
      </c>
      <c r="AU105" s="40">
        <v>0</v>
      </c>
      <c r="AV105" s="40">
        <v>0</v>
      </c>
      <c r="AW105" s="40">
        <v>0</v>
      </c>
      <c r="AX105" s="40">
        <v>0</v>
      </c>
      <c r="AY105" s="40">
        <v>0</v>
      </c>
      <c r="AZ105" s="40">
        <v>0</v>
      </c>
      <c r="BA105" s="40">
        <v>0</v>
      </c>
      <c r="BB105" s="40">
        <v>0</v>
      </c>
      <c r="BC105" s="40">
        <v>0</v>
      </c>
      <c r="BD105" s="40">
        <v>0</v>
      </c>
      <c r="BE105" s="191">
        <f t="shared" si="158"/>
        <v>0</v>
      </c>
      <c r="BF105" s="40"/>
      <c r="BG105" s="40">
        <v>0</v>
      </c>
      <c r="BH105" s="40">
        <v>0</v>
      </c>
      <c r="BI105" s="40">
        <v>0</v>
      </c>
      <c r="BJ105" s="40">
        <v>0</v>
      </c>
      <c r="BK105" s="40">
        <v>0</v>
      </c>
      <c r="BL105" s="40">
        <v>0</v>
      </c>
      <c r="BM105" s="40">
        <v>0</v>
      </c>
      <c r="BN105" s="40">
        <v>0</v>
      </c>
      <c r="BO105" s="40">
        <v>0</v>
      </c>
      <c r="BP105" s="40">
        <v>0</v>
      </c>
      <c r="BQ105" s="40">
        <v>0</v>
      </c>
      <c r="BR105" s="40">
        <v>0</v>
      </c>
    </row>
    <row r="106" spans="1:70" s="6" customFormat="1" hidden="1" outlineLevel="2" x14ac:dyDescent="0.2">
      <c r="A106" s="30"/>
      <c r="B106" s="29" t="str">
        <f t="shared" si="216"/>
        <v>Итого резерв квартальной премии</v>
      </c>
      <c r="C106" s="52" t="str">
        <f t="shared" si="216"/>
        <v>Total Accruals for Quarterly bonus</v>
      </c>
      <c r="D106" s="169">
        <f t="shared" si="154"/>
        <v>0</v>
      </c>
      <c r="E106" s="26">
        <f t="shared" ref="E106:L106" si="249">SUM(E104:E105)</f>
        <v>0</v>
      </c>
      <c r="F106" s="26">
        <f t="shared" si="249"/>
        <v>0</v>
      </c>
      <c r="G106" s="26">
        <f t="shared" si="249"/>
        <v>0</v>
      </c>
      <c r="H106" s="26">
        <f t="shared" si="249"/>
        <v>0</v>
      </c>
      <c r="I106" s="26">
        <f t="shared" si="249"/>
        <v>0</v>
      </c>
      <c r="J106" s="26">
        <f t="shared" si="249"/>
        <v>0</v>
      </c>
      <c r="K106" s="26">
        <f t="shared" si="249"/>
        <v>0</v>
      </c>
      <c r="L106" s="26">
        <f t="shared" si="249"/>
        <v>0</v>
      </c>
      <c r="M106" s="26">
        <f t="shared" ref="M106:P106" si="250">SUM(M104:M105)</f>
        <v>0</v>
      </c>
      <c r="N106" s="26">
        <f t="shared" si="250"/>
        <v>0</v>
      </c>
      <c r="O106" s="26">
        <f t="shared" si="250"/>
        <v>0</v>
      </c>
      <c r="P106" s="177">
        <f t="shared" si="250"/>
        <v>0</v>
      </c>
      <c r="Q106" s="192">
        <f t="shared" si="155"/>
        <v>0</v>
      </c>
      <c r="R106" s="26">
        <f t="shared" ref="R106:Y106" si="251">SUM(R104:R105)</f>
        <v>0</v>
      </c>
      <c r="S106" s="26">
        <f t="shared" si="251"/>
        <v>0</v>
      </c>
      <c r="T106" s="26">
        <f t="shared" si="251"/>
        <v>0</v>
      </c>
      <c r="U106" s="26">
        <f t="shared" si="251"/>
        <v>0</v>
      </c>
      <c r="V106" s="26">
        <f t="shared" si="251"/>
        <v>0</v>
      </c>
      <c r="W106" s="26">
        <f t="shared" si="251"/>
        <v>0</v>
      </c>
      <c r="X106" s="26">
        <f t="shared" si="251"/>
        <v>0</v>
      </c>
      <c r="Y106" s="26">
        <f t="shared" si="251"/>
        <v>0</v>
      </c>
      <c r="Z106" s="26">
        <f t="shared" ref="Z106:AC106" si="252">SUM(Z104:Z105)</f>
        <v>0</v>
      </c>
      <c r="AA106" s="26">
        <f t="shared" si="252"/>
        <v>0</v>
      </c>
      <c r="AB106" s="26">
        <f t="shared" si="252"/>
        <v>0</v>
      </c>
      <c r="AC106" s="177">
        <f t="shared" si="252"/>
        <v>0</v>
      </c>
      <c r="AD106" s="226">
        <f t="shared" si="156"/>
        <v>0</v>
      </c>
      <c r="AE106" s="26">
        <f t="shared" ref="AE106:AL106" si="253">SUM(AE104:AE105)</f>
        <v>0</v>
      </c>
      <c r="AF106" s="26">
        <f t="shared" si="253"/>
        <v>0</v>
      </c>
      <c r="AG106" s="26">
        <f t="shared" si="253"/>
        <v>0</v>
      </c>
      <c r="AH106" s="26">
        <f t="shared" si="253"/>
        <v>0</v>
      </c>
      <c r="AI106" s="26">
        <f t="shared" si="253"/>
        <v>0</v>
      </c>
      <c r="AJ106" s="26">
        <f t="shared" si="253"/>
        <v>0</v>
      </c>
      <c r="AK106" s="26">
        <f t="shared" si="253"/>
        <v>0</v>
      </c>
      <c r="AL106" s="26">
        <f t="shared" si="253"/>
        <v>0</v>
      </c>
      <c r="AM106" s="26">
        <f t="shared" ref="AM106:AP106" si="254">SUM(AM104:AM105)</f>
        <v>0</v>
      </c>
      <c r="AN106" s="26">
        <f t="shared" si="254"/>
        <v>0</v>
      </c>
      <c r="AO106" s="26">
        <f t="shared" si="254"/>
        <v>0</v>
      </c>
      <c r="AP106" s="26">
        <f t="shared" si="254"/>
        <v>0</v>
      </c>
      <c r="AQ106" s="192">
        <f t="shared" si="157"/>
        <v>0</v>
      </c>
      <c r="AR106" s="26"/>
      <c r="AS106" s="26">
        <f t="shared" ref="AS106:AZ106" si="255">SUM(AS104:AS105)</f>
        <v>0</v>
      </c>
      <c r="AT106" s="26">
        <f t="shared" si="255"/>
        <v>0</v>
      </c>
      <c r="AU106" s="26">
        <f t="shared" si="255"/>
        <v>0</v>
      </c>
      <c r="AV106" s="26">
        <f t="shared" si="255"/>
        <v>0</v>
      </c>
      <c r="AW106" s="26">
        <f t="shared" si="255"/>
        <v>0</v>
      </c>
      <c r="AX106" s="26">
        <f t="shared" si="255"/>
        <v>0</v>
      </c>
      <c r="AY106" s="26">
        <f t="shared" si="255"/>
        <v>0</v>
      </c>
      <c r="AZ106" s="26">
        <f t="shared" si="255"/>
        <v>0</v>
      </c>
      <c r="BA106" s="26">
        <f t="shared" ref="BA106:BD106" si="256">SUM(BA104:BA105)</f>
        <v>0</v>
      </c>
      <c r="BB106" s="26">
        <f t="shared" si="256"/>
        <v>0</v>
      </c>
      <c r="BC106" s="26">
        <f t="shared" si="256"/>
        <v>0</v>
      </c>
      <c r="BD106" s="26">
        <f t="shared" si="256"/>
        <v>0</v>
      </c>
      <c r="BE106" s="192">
        <f t="shared" si="158"/>
        <v>0</v>
      </c>
      <c r="BF106" s="26"/>
      <c r="BG106" s="26">
        <f t="shared" ref="BG106:BR106" si="257">SUM(BG104:BG105)</f>
        <v>0</v>
      </c>
      <c r="BH106" s="26">
        <f t="shared" si="257"/>
        <v>0</v>
      </c>
      <c r="BI106" s="26">
        <f t="shared" si="257"/>
        <v>0</v>
      </c>
      <c r="BJ106" s="26">
        <f t="shared" si="257"/>
        <v>0</v>
      </c>
      <c r="BK106" s="26">
        <f t="shared" si="257"/>
        <v>0</v>
      </c>
      <c r="BL106" s="26">
        <f t="shared" si="257"/>
        <v>0</v>
      </c>
      <c r="BM106" s="26">
        <f t="shared" si="257"/>
        <v>0</v>
      </c>
      <c r="BN106" s="26">
        <f t="shared" si="257"/>
        <v>0</v>
      </c>
      <c r="BO106" s="26">
        <f t="shared" si="257"/>
        <v>0</v>
      </c>
      <c r="BP106" s="26">
        <f t="shared" si="257"/>
        <v>0</v>
      </c>
      <c r="BQ106" s="26">
        <f t="shared" si="257"/>
        <v>0</v>
      </c>
      <c r="BR106" s="26">
        <f t="shared" si="257"/>
        <v>0</v>
      </c>
    </row>
    <row r="107" spans="1:70" ht="12.75" hidden="1" customHeight="1" outlineLevel="3" x14ac:dyDescent="0.2">
      <c r="B107" s="38" t="str">
        <f t="shared" si="216"/>
        <v>Сторно резерва квартальной премии</v>
      </c>
      <c r="C107" s="49" t="str">
        <f t="shared" si="216"/>
        <v>Reverse Accruals for Quarterly bonus</v>
      </c>
      <c r="D107" s="168">
        <f t="shared" ref="D107:D129" si="258">SUM(E107:P107)</f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176">
        <v>0</v>
      </c>
      <c r="Q107" s="191">
        <f t="shared" ref="Q107:Q129" si="259">SUM(R107:AC107)</f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176">
        <v>0</v>
      </c>
      <c r="AD107" s="225">
        <f t="shared" ref="AD107:AD129" si="260">SUM(AE107:AP107)</f>
        <v>0</v>
      </c>
      <c r="AE107" s="40">
        <v>0</v>
      </c>
      <c r="AF107" s="40">
        <v>0</v>
      </c>
      <c r="AG107" s="40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191">
        <f t="shared" ref="AQ107:AQ129" si="261">Q107-AD107</f>
        <v>0</v>
      </c>
      <c r="AR107" s="40"/>
      <c r="AS107" s="40">
        <v>0</v>
      </c>
      <c r="AT107" s="40">
        <v>0</v>
      </c>
      <c r="AU107" s="40">
        <v>0</v>
      </c>
      <c r="AV107" s="40">
        <v>0</v>
      </c>
      <c r="AW107" s="40">
        <v>0</v>
      </c>
      <c r="AX107" s="40">
        <v>0</v>
      </c>
      <c r="AY107" s="40">
        <v>0</v>
      </c>
      <c r="AZ107" s="40">
        <v>0</v>
      </c>
      <c r="BA107" s="40">
        <v>0</v>
      </c>
      <c r="BB107" s="40">
        <v>0</v>
      </c>
      <c r="BC107" s="40">
        <v>0</v>
      </c>
      <c r="BD107" s="40">
        <v>0</v>
      </c>
      <c r="BE107" s="191">
        <f t="shared" si="158"/>
        <v>0</v>
      </c>
      <c r="BF107" s="40"/>
      <c r="BG107" s="40">
        <v>0</v>
      </c>
      <c r="BH107" s="40">
        <v>0</v>
      </c>
      <c r="BI107" s="40">
        <v>0</v>
      </c>
      <c r="BJ107" s="40">
        <v>0</v>
      </c>
      <c r="BK107" s="40">
        <v>0</v>
      </c>
      <c r="BL107" s="40">
        <v>0</v>
      </c>
      <c r="BM107" s="40">
        <v>0</v>
      </c>
      <c r="BN107" s="40">
        <v>0</v>
      </c>
      <c r="BO107" s="40">
        <v>0</v>
      </c>
      <c r="BP107" s="40">
        <v>0</v>
      </c>
      <c r="BQ107" s="40">
        <v>0</v>
      </c>
      <c r="BR107" s="40">
        <v>0</v>
      </c>
    </row>
    <row r="108" spans="1:70" ht="12.75" hidden="1" customHeight="1" outlineLevel="3" x14ac:dyDescent="0.2">
      <c r="B108" s="38" t="str">
        <f t="shared" si="216"/>
        <v>Страховые взносы, сторно резерва квартальной премии</v>
      </c>
      <c r="C108" s="49" t="str">
        <f t="shared" si="216"/>
        <v>Social Security on Reverse Accruals for Quarterly bonus</v>
      </c>
      <c r="D108" s="168">
        <f t="shared" si="258"/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176">
        <v>0</v>
      </c>
      <c r="Q108" s="191">
        <f t="shared" si="259"/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176">
        <v>0</v>
      </c>
      <c r="AD108" s="225">
        <f t="shared" si="260"/>
        <v>0</v>
      </c>
      <c r="AE108" s="40">
        <v>0</v>
      </c>
      <c r="AF108" s="40">
        <v>0</v>
      </c>
      <c r="AG108" s="40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191">
        <f t="shared" si="261"/>
        <v>0</v>
      </c>
      <c r="AR108" s="40"/>
      <c r="AS108" s="40">
        <v>0</v>
      </c>
      <c r="AT108" s="40">
        <v>0</v>
      </c>
      <c r="AU108" s="40">
        <v>0</v>
      </c>
      <c r="AV108" s="40">
        <v>0</v>
      </c>
      <c r="AW108" s="40">
        <v>0</v>
      </c>
      <c r="AX108" s="40">
        <v>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40">
        <v>0</v>
      </c>
      <c r="BE108" s="191">
        <f t="shared" si="158"/>
        <v>0</v>
      </c>
      <c r="BF108" s="40"/>
      <c r="BG108" s="40">
        <v>0</v>
      </c>
      <c r="BH108" s="40">
        <v>0</v>
      </c>
      <c r="BI108" s="40">
        <v>0</v>
      </c>
      <c r="BJ108" s="40">
        <v>0</v>
      </c>
      <c r="BK108" s="40">
        <v>0</v>
      </c>
      <c r="BL108" s="40">
        <v>0</v>
      </c>
      <c r="BM108" s="40">
        <v>0</v>
      </c>
      <c r="BN108" s="40">
        <v>0</v>
      </c>
      <c r="BO108" s="40">
        <v>0</v>
      </c>
      <c r="BP108" s="40">
        <v>0</v>
      </c>
      <c r="BQ108" s="40">
        <v>0</v>
      </c>
      <c r="BR108" s="40">
        <v>0</v>
      </c>
    </row>
    <row r="109" spans="1:70" s="6" customFormat="1" hidden="1" outlineLevel="2" x14ac:dyDescent="0.2">
      <c r="A109" s="30"/>
      <c r="B109" s="29" t="str">
        <f t="shared" si="216"/>
        <v>Итого сторно резерва квартальной премии</v>
      </c>
      <c r="C109" s="52" t="str">
        <f t="shared" si="216"/>
        <v>Total Reverse Accruals for Quarterly bonus</v>
      </c>
      <c r="D109" s="169">
        <f t="shared" si="258"/>
        <v>0</v>
      </c>
      <c r="E109" s="26">
        <f t="shared" ref="E109:P109" si="262">SUM(E107:E108)</f>
        <v>0</v>
      </c>
      <c r="F109" s="26">
        <f t="shared" si="262"/>
        <v>0</v>
      </c>
      <c r="G109" s="26">
        <f t="shared" si="262"/>
        <v>0</v>
      </c>
      <c r="H109" s="26">
        <f t="shared" si="262"/>
        <v>0</v>
      </c>
      <c r="I109" s="26">
        <f t="shared" si="262"/>
        <v>0</v>
      </c>
      <c r="J109" s="26">
        <f t="shared" si="262"/>
        <v>0</v>
      </c>
      <c r="K109" s="26">
        <f t="shared" si="262"/>
        <v>0</v>
      </c>
      <c r="L109" s="26">
        <f t="shared" si="262"/>
        <v>0</v>
      </c>
      <c r="M109" s="26">
        <f t="shared" si="262"/>
        <v>0</v>
      </c>
      <c r="N109" s="26">
        <f t="shared" si="262"/>
        <v>0</v>
      </c>
      <c r="O109" s="26">
        <f t="shared" si="262"/>
        <v>0</v>
      </c>
      <c r="P109" s="177">
        <f t="shared" si="262"/>
        <v>0</v>
      </c>
      <c r="Q109" s="192">
        <f t="shared" si="259"/>
        <v>0</v>
      </c>
      <c r="R109" s="26">
        <f t="shared" ref="R109:Y109" si="263">SUM(R107:R108)</f>
        <v>0</v>
      </c>
      <c r="S109" s="26">
        <f t="shared" si="263"/>
        <v>0</v>
      </c>
      <c r="T109" s="26">
        <f t="shared" si="263"/>
        <v>0</v>
      </c>
      <c r="U109" s="26">
        <f t="shared" si="263"/>
        <v>0</v>
      </c>
      <c r="V109" s="26">
        <f t="shared" si="263"/>
        <v>0</v>
      </c>
      <c r="W109" s="26">
        <f t="shared" si="263"/>
        <v>0</v>
      </c>
      <c r="X109" s="26">
        <f t="shared" si="263"/>
        <v>0</v>
      </c>
      <c r="Y109" s="26">
        <f t="shared" si="263"/>
        <v>0</v>
      </c>
      <c r="Z109" s="26">
        <f t="shared" ref="Z109:AC109" si="264">SUM(Z107:Z108)</f>
        <v>0</v>
      </c>
      <c r="AA109" s="26">
        <f t="shared" si="264"/>
        <v>0</v>
      </c>
      <c r="AB109" s="26">
        <f t="shared" si="264"/>
        <v>0</v>
      </c>
      <c r="AC109" s="177">
        <f t="shared" si="264"/>
        <v>0</v>
      </c>
      <c r="AD109" s="226">
        <f t="shared" si="260"/>
        <v>0</v>
      </c>
      <c r="AE109" s="26">
        <f t="shared" ref="AE109:AL109" si="265">SUM(AE107:AE108)</f>
        <v>0</v>
      </c>
      <c r="AF109" s="26">
        <f t="shared" si="265"/>
        <v>0</v>
      </c>
      <c r="AG109" s="26">
        <f t="shared" si="265"/>
        <v>0</v>
      </c>
      <c r="AH109" s="26">
        <f t="shared" si="265"/>
        <v>0</v>
      </c>
      <c r="AI109" s="26">
        <f t="shared" si="265"/>
        <v>0</v>
      </c>
      <c r="AJ109" s="26">
        <f t="shared" si="265"/>
        <v>0</v>
      </c>
      <c r="AK109" s="26">
        <f t="shared" si="265"/>
        <v>0</v>
      </c>
      <c r="AL109" s="26">
        <f t="shared" si="265"/>
        <v>0</v>
      </c>
      <c r="AM109" s="26">
        <f t="shared" ref="AM109:AP109" si="266">SUM(AM107:AM108)</f>
        <v>0</v>
      </c>
      <c r="AN109" s="26">
        <f t="shared" si="266"/>
        <v>0</v>
      </c>
      <c r="AO109" s="26">
        <f t="shared" si="266"/>
        <v>0</v>
      </c>
      <c r="AP109" s="26">
        <f t="shared" si="266"/>
        <v>0</v>
      </c>
      <c r="AQ109" s="192">
        <f t="shared" si="261"/>
        <v>0</v>
      </c>
      <c r="AR109" s="26"/>
      <c r="AS109" s="26">
        <f t="shared" ref="AS109:AZ109" si="267">SUM(AS107:AS108)</f>
        <v>0</v>
      </c>
      <c r="AT109" s="26">
        <f t="shared" si="267"/>
        <v>0</v>
      </c>
      <c r="AU109" s="26">
        <f t="shared" si="267"/>
        <v>0</v>
      </c>
      <c r="AV109" s="26">
        <f t="shared" si="267"/>
        <v>0</v>
      </c>
      <c r="AW109" s="26">
        <f t="shared" si="267"/>
        <v>0</v>
      </c>
      <c r="AX109" s="26">
        <f t="shared" si="267"/>
        <v>0</v>
      </c>
      <c r="AY109" s="26">
        <f t="shared" si="267"/>
        <v>0</v>
      </c>
      <c r="AZ109" s="26">
        <f t="shared" si="267"/>
        <v>0</v>
      </c>
      <c r="BA109" s="26">
        <f t="shared" ref="BA109:BD109" si="268">SUM(BA107:BA108)</f>
        <v>0</v>
      </c>
      <c r="BB109" s="26">
        <f t="shared" si="268"/>
        <v>0</v>
      </c>
      <c r="BC109" s="26">
        <f t="shared" si="268"/>
        <v>0</v>
      </c>
      <c r="BD109" s="26">
        <f t="shared" si="268"/>
        <v>0</v>
      </c>
      <c r="BE109" s="192">
        <f t="shared" si="158"/>
        <v>0</v>
      </c>
      <c r="BF109" s="26"/>
      <c r="BG109" s="26">
        <f t="shared" ref="BG109:BR109" si="269">SUM(BG107:BG108)</f>
        <v>0</v>
      </c>
      <c r="BH109" s="26">
        <f t="shared" si="269"/>
        <v>0</v>
      </c>
      <c r="BI109" s="26">
        <f t="shared" si="269"/>
        <v>0</v>
      </c>
      <c r="BJ109" s="26">
        <f t="shared" si="269"/>
        <v>0</v>
      </c>
      <c r="BK109" s="26">
        <f t="shared" si="269"/>
        <v>0</v>
      </c>
      <c r="BL109" s="26">
        <f t="shared" si="269"/>
        <v>0</v>
      </c>
      <c r="BM109" s="26">
        <f t="shared" si="269"/>
        <v>0</v>
      </c>
      <c r="BN109" s="26">
        <f t="shared" si="269"/>
        <v>0</v>
      </c>
      <c r="BO109" s="26">
        <f t="shared" si="269"/>
        <v>0</v>
      </c>
      <c r="BP109" s="26">
        <f t="shared" si="269"/>
        <v>0</v>
      </c>
      <c r="BQ109" s="26">
        <f t="shared" si="269"/>
        <v>0</v>
      </c>
      <c r="BR109" s="26">
        <f t="shared" si="269"/>
        <v>0</v>
      </c>
    </row>
    <row r="110" spans="1:70" ht="12.75" hidden="1" customHeight="1" outlineLevel="3" x14ac:dyDescent="0.2">
      <c r="B110" s="38" t="str">
        <f t="shared" si="216"/>
        <v>Квартальная премия, выплата</v>
      </c>
      <c r="C110" s="49" t="str">
        <f t="shared" si="216"/>
        <v>Quarterly bonus cash</v>
      </c>
      <c r="D110" s="168">
        <f t="shared" si="258"/>
        <v>126860388.00000001</v>
      </c>
      <c r="E110" s="40">
        <v>10571699.000000002</v>
      </c>
      <c r="F110" s="40">
        <v>10571699.000000002</v>
      </c>
      <c r="G110" s="40">
        <v>10571699.000000002</v>
      </c>
      <c r="H110" s="40">
        <v>10571699.000000002</v>
      </c>
      <c r="I110" s="40">
        <v>10571699.000000002</v>
      </c>
      <c r="J110" s="40">
        <v>10571699.000000002</v>
      </c>
      <c r="K110" s="40">
        <v>10571699.000000002</v>
      </c>
      <c r="L110" s="40">
        <v>10571699.000000002</v>
      </c>
      <c r="M110" s="40">
        <v>10571699.000000002</v>
      </c>
      <c r="N110" s="40">
        <v>10571699.000000002</v>
      </c>
      <c r="O110" s="40">
        <v>10571699.000000002</v>
      </c>
      <c r="P110" s="176">
        <v>10571699.000000002</v>
      </c>
      <c r="Q110" s="191">
        <f t="shared" si="259"/>
        <v>126860388.00000001</v>
      </c>
      <c r="R110" s="40">
        <v>10571699.000000002</v>
      </c>
      <c r="S110" s="40">
        <v>10571699.000000002</v>
      </c>
      <c r="T110" s="40">
        <v>10571699.000000002</v>
      </c>
      <c r="U110" s="40">
        <v>10571699.000000002</v>
      </c>
      <c r="V110" s="40">
        <v>10571699.000000002</v>
      </c>
      <c r="W110" s="40">
        <v>10571699.000000002</v>
      </c>
      <c r="X110" s="40">
        <v>10571699.000000002</v>
      </c>
      <c r="Y110" s="40">
        <v>10571699.000000002</v>
      </c>
      <c r="Z110" s="40">
        <v>10571699.000000002</v>
      </c>
      <c r="AA110" s="40">
        <v>10571699.000000002</v>
      </c>
      <c r="AB110" s="40">
        <v>10571699.000000002</v>
      </c>
      <c r="AC110" s="176">
        <v>10571699.000000002</v>
      </c>
      <c r="AD110" s="225">
        <f t="shared" si="260"/>
        <v>126860388.00000001</v>
      </c>
      <c r="AE110" s="40">
        <v>10571699.000000002</v>
      </c>
      <c r="AF110" s="40">
        <v>10571699.000000002</v>
      </c>
      <c r="AG110" s="40">
        <v>10571699.000000002</v>
      </c>
      <c r="AH110" s="40">
        <v>10571699.000000002</v>
      </c>
      <c r="AI110" s="40">
        <v>10571699.000000002</v>
      </c>
      <c r="AJ110" s="40">
        <v>10571699.000000002</v>
      </c>
      <c r="AK110" s="40">
        <v>10571699.000000002</v>
      </c>
      <c r="AL110" s="40">
        <v>10571699.000000002</v>
      </c>
      <c r="AM110" s="40">
        <v>10571699.000000002</v>
      </c>
      <c r="AN110" s="40">
        <v>10571699.000000002</v>
      </c>
      <c r="AO110" s="40">
        <v>10571699.000000002</v>
      </c>
      <c r="AP110" s="40">
        <v>10571699.000000002</v>
      </c>
      <c r="AQ110" s="191">
        <f t="shared" si="261"/>
        <v>0</v>
      </c>
      <c r="AR110" s="40"/>
      <c r="AS110" s="40">
        <v>10571699.000000002</v>
      </c>
      <c r="AT110" s="40">
        <v>10571699.000000002</v>
      </c>
      <c r="AU110" s="40">
        <v>10571699.000000002</v>
      </c>
      <c r="AV110" s="40">
        <v>10571699.000000002</v>
      </c>
      <c r="AW110" s="40">
        <v>10571699.000000002</v>
      </c>
      <c r="AX110" s="40">
        <v>10571699.000000002</v>
      </c>
      <c r="AY110" s="40">
        <v>10571699.000000002</v>
      </c>
      <c r="AZ110" s="40">
        <v>10571699.000000002</v>
      </c>
      <c r="BA110" s="40">
        <v>10571699.000000002</v>
      </c>
      <c r="BB110" s="40">
        <v>10571699.000000002</v>
      </c>
      <c r="BC110" s="40">
        <v>10571699.000000002</v>
      </c>
      <c r="BD110" s="40">
        <v>10571699.000000002</v>
      </c>
      <c r="BE110" s="191">
        <f t="shared" si="158"/>
        <v>10571699.000000002</v>
      </c>
      <c r="BF110" s="40"/>
      <c r="BG110" s="40">
        <v>10571699.000000002</v>
      </c>
      <c r="BH110" s="40">
        <v>10571699.000000002</v>
      </c>
      <c r="BI110" s="40">
        <v>10571699.000000002</v>
      </c>
      <c r="BJ110" s="40">
        <v>10571699.000000002</v>
      </c>
      <c r="BK110" s="40">
        <v>10571699.000000002</v>
      </c>
      <c r="BL110" s="40">
        <v>10571699.000000002</v>
      </c>
      <c r="BM110" s="40">
        <v>10571699.000000002</v>
      </c>
      <c r="BN110" s="40">
        <v>10571699.000000002</v>
      </c>
      <c r="BO110" s="40">
        <v>10571699.000000002</v>
      </c>
      <c r="BP110" s="40">
        <v>10571699.000000002</v>
      </c>
      <c r="BQ110" s="40">
        <v>10571699.000000002</v>
      </c>
      <c r="BR110" s="40">
        <v>10571699.000000002</v>
      </c>
    </row>
    <row r="111" spans="1:70" ht="12.75" hidden="1" customHeight="1" outlineLevel="3" x14ac:dyDescent="0.2">
      <c r="B111" s="38" t="str">
        <f t="shared" si="216"/>
        <v>Страховые взносы, квартальная премия выплата</v>
      </c>
      <c r="C111" s="49" t="str">
        <f t="shared" si="216"/>
        <v>Social Security on quarterly cash</v>
      </c>
      <c r="D111" s="171">
        <f t="shared" si="258"/>
        <v>3223499.9999999888</v>
      </c>
      <c r="E111" s="35">
        <v>268624.99999999907</v>
      </c>
      <c r="F111" s="35">
        <v>268624.99999999907</v>
      </c>
      <c r="G111" s="35">
        <v>268624.99999999907</v>
      </c>
      <c r="H111" s="35">
        <v>268624.99999999907</v>
      </c>
      <c r="I111" s="35">
        <v>268624.99999999907</v>
      </c>
      <c r="J111" s="35">
        <v>268624.99999999907</v>
      </c>
      <c r="K111" s="35">
        <v>268624.99999999907</v>
      </c>
      <c r="L111" s="35">
        <v>268624.99999999907</v>
      </c>
      <c r="M111" s="35">
        <v>268624.99999999907</v>
      </c>
      <c r="N111" s="35">
        <v>268624.99999999907</v>
      </c>
      <c r="O111" s="35">
        <v>268624.99999999907</v>
      </c>
      <c r="P111" s="179">
        <v>268624.99999999907</v>
      </c>
      <c r="Q111" s="194">
        <f t="shared" si="259"/>
        <v>3223499.9999999888</v>
      </c>
      <c r="R111" s="35">
        <v>268624.99999999907</v>
      </c>
      <c r="S111" s="35">
        <v>268624.99999999907</v>
      </c>
      <c r="T111" s="35">
        <v>268624.99999999907</v>
      </c>
      <c r="U111" s="35">
        <v>268624.99999999907</v>
      </c>
      <c r="V111" s="35">
        <v>268624.99999999907</v>
      </c>
      <c r="W111" s="35">
        <v>268624.99999999907</v>
      </c>
      <c r="X111" s="35">
        <v>268624.99999999907</v>
      </c>
      <c r="Y111" s="35">
        <v>268624.99999999907</v>
      </c>
      <c r="Z111" s="35">
        <v>268624.99999999907</v>
      </c>
      <c r="AA111" s="35">
        <v>268624.99999999907</v>
      </c>
      <c r="AB111" s="35">
        <v>268624.99999999907</v>
      </c>
      <c r="AC111" s="179">
        <v>268624.99999999907</v>
      </c>
      <c r="AD111" s="225">
        <f t="shared" si="260"/>
        <v>3223499.9999999888</v>
      </c>
      <c r="AE111" s="35">
        <v>268624.99999999907</v>
      </c>
      <c r="AF111" s="35">
        <v>268624.99999999907</v>
      </c>
      <c r="AG111" s="35">
        <v>268624.99999999907</v>
      </c>
      <c r="AH111" s="35">
        <v>268624.99999999907</v>
      </c>
      <c r="AI111" s="35">
        <v>268624.99999999907</v>
      </c>
      <c r="AJ111" s="35">
        <v>268624.99999999907</v>
      </c>
      <c r="AK111" s="35">
        <v>268624.99999999907</v>
      </c>
      <c r="AL111" s="35">
        <v>268624.99999999907</v>
      </c>
      <c r="AM111" s="35">
        <v>268624.99999999907</v>
      </c>
      <c r="AN111" s="35">
        <v>268624.99999999907</v>
      </c>
      <c r="AO111" s="35">
        <v>268624.99999999907</v>
      </c>
      <c r="AP111" s="35">
        <v>268624.99999999907</v>
      </c>
      <c r="AQ111" s="194">
        <f t="shared" si="261"/>
        <v>0</v>
      </c>
      <c r="AR111" s="35"/>
      <c r="AS111" s="35">
        <v>268624.99999999907</v>
      </c>
      <c r="AT111" s="35">
        <v>268624.99999999907</v>
      </c>
      <c r="AU111" s="35">
        <v>268624.99999999907</v>
      </c>
      <c r="AV111" s="35">
        <v>268624.99999999907</v>
      </c>
      <c r="AW111" s="35">
        <v>268624.99999999907</v>
      </c>
      <c r="AX111" s="35">
        <v>268624.99999999907</v>
      </c>
      <c r="AY111" s="35">
        <v>268624.99999999907</v>
      </c>
      <c r="AZ111" s="35">
        <v>268624.99999999907</v>
      </c>
      <c r="BA111" s="35">
        <v>268624.99999999907</v>
      </c>
      <c r="BB111" s="35">
        <v>268624.99999999907</v>
      </c>
      <c r="BC111" s="35">
        <v>268624.99999999907</v>
      </c>
      <c r="BD111" s="35">
        <v>268624.99999999907</v>
      </c>
      <c r="BE111" s="194">
        <f t="shared" si="158"/>
        <v>268624.99999999907</v>
      </c>
      <c r="BF111" s="35"/>
      <c r="BG111" s="35">
        <v>268624.99999999907</v>
      </c>
      <c r="BH111" s="35">
        <v>268624.99999999907</v>
      </c>
      <c r="BI111" s="35">
        <v>268624.99999999907</v>
      </c>
      <c r="BJ111" s="35">
        <v>268624.99999999907</v>
      </c>
      <c r="BK111" s="35">
        <v>268624.99999999907</v>
      </c>
      <c r="BL111" s="35">
        <v>268624.99999999907</v>
      </c>
      <c r="BM111" s="35">
        <v>268624.99999999907</v>
      </c>
      <c r="BN111" s="35">
        <v>268624.99999999907</v>
      </c>
      <c r="BO111" s="35">
        <v>268624.99999999907</v>
      </c>
      <c r="BP111" s="35">
        <v>268624.99999999907</v>
      </c>
      <c r="BQ111" s="35">
        <v>268624.99999999907</v>
      </c>
      <c r="BR111" s="35">
        <v>268624.99999999907</v>
      </c>
    </row>
    <row r="112" spans="1:70" s="6" customFormat="1" hidden="1" outlineLevel="2" x14ac:dyDescent="0.2">
      <c r="A112" s="30"/>
      <c r="B112" s="29" t="str">
        <f t="shared" si="216"/>
        <v>Итого квртальная премия, выплата</v>
      </c>
      <c r="C112" s="52" t="str">
        <f t="shared" si="216"/>
        <v>Total Quarterly bonus cash</v>
      </c>
      <c r="D112" s="169">
        <f t="shared" si="258"/>
        <v>130083888</v>
      </c>
      <c r="E112" s="26">
        <f t="shared" ref="E112:P112" si="270">SUM(E110:E111)</f>
        <v>10840324</v>
      </c>
      <c r="F112" s="26">
        <f t="shared" si="270"/>
        <v>10840324</v>
      </c>
      <c r="G112" s="26">
        <f t="shared" si="270"/>
        <v>10840324</v>
      </c>
      <c r="H112" s="26">
        <f t="shared" si="270"/>
        <v>10840324</v>
      </c>
      <c r="I112" s="26">
        <f t="shared" si="270"/>
        <v>10840324</v>
      </c>
      <c r="J112" s="26">
        <f t="shared" si="270"/>
        <v>10840324</v>
      </c>
      <c r="K112" s="26">
        <f t="shared" si="270"/>
        <v>10840324</v>
      </c>
      <c r="L112" s="26">
        <f t="shared" si="270"/>
        <v>10840324</v>
      </c>
      <c r="M112" s="26">
        <f t="shared" si="270"/>
        <v>10840324</v>
      </c>
      <c r="N112" s="26">
        <f t="shared" si="270"/>
        <v>10840324</v>
      </c>
      <c r="O112" s="26">
        <f t="shared" si="270"/>
        <v>10840324</v>
      </c>
      <c r="P112" s="177">
        <f t="shared" si="270"/>
        <v>10840324</v>
      </c>
      <c r="Q112" s="192">
        <f t="shared" si="259"/>
        <v>130083888</v>
      </c>
      <c r="R112" s="26">
        <f t="shared" ref="R112:Y112" si="271">SUM(R110:R111)</f>
        <v>10840324</v>
      </c>
      <c r="S112" s="26">
        <f t="shared" si="271"/>
        <v>10840324</v>
      </c>
      <c r="T112" s="26">
        <f t="shared" si="271"/>
        <v>10840324</v>
      </c>
      <c r="U112" s="26">
        <f t="shared" si="271"/>
        <v>10840324</v>
      </c>
      <c r="V112" s="26">
        <f t="shared" si="271"/>
        <v>10840324</v>
      </c>
      <c r="W112" s="26">
        <f t="shared" si="271"/>
        <v>10840324</v>
      </c>
      <c r="X112" s="26">
        <f t="shared" si="271"/>
        <v>10840324</v>
      </c>
      <c r="Y112" s="26">
        <f t="shared" si="271"/>
        <v>10840324</v>
      </c>
      <c r="Z112" s="26">
        <f t="shared" ref="Z112:AC112" si="272">SUM(Z110:Z111)</f>
        <v>10840324</v>
      </c>
      <c r="AA112" s="26">
        <f t="shared" si="272"/>
        <v>10840324</v>
      </c>
      <c r="AB112" s="26">
        <f t="shared" si="272"/>
        <v>10840324</v>
      </c>
      <c r="AC112" s="177">
        <f t="shared" si="272"/>
        <v>10840324</v>
      </c>
      <c r="AD112" s="226">
        <f t="shared" si="260"/>
        <v>130083888</v>
      </c>
      <c r="AE112" s="26">
        <f t="shared" ref="AE112:AL112" si="273">SUM(AE110:AE111)</f>
        <v>10840324</v>
      </c>
      <c r="AF112" s="26">
        <f t="shared" si="273"/>
        <v>10840324</v>
      </c>
      <c r="AG112" s="26">
        <f t="shared" si="273"/>
        <v>10840324</v>
      </c>
      <c r="AH112" s="26">
        <f t="shared" si="273"/>
        <v>10840324</v>
      </c>
      <c r="AI112" s="26">
        <f t="shared" si="273"/>
        <v>10840324</v>
      </c>
      <c r="AJ112" s="26">
        <f t="shared" si="273"/>
        <v>10840324</v>
      </c>
      <c r="AK112" s="26">
        <f t="shared" si="273"/>
        <v>10840324</v>
      </c>
      <c r="AL112" s="26">
        <f t="shared" si="273"/>
        <v>10840324</v>
      </c>
      <c r="AM112" s="26">
        <f t="shared" ref="AM112:AP112" si="274">SUM(AM110:AM111)</f>
        <v>10840324</v>
      </c>
      <c r="AN112" s="26">
        <f t="shared" si="274"/>
        <v>10840324</v>
      </c>
      <c r="AO112" s="26">
        <f t="shared" si="274"/>
        <v>10840324</v>
      </c>
      <c r="AP112" s="26">
        <f t="shared" si="274"/>
        <v>10840324</v>
      </c>
      <c r="AQ112" s="192">
        <f t="shared" si="261"/>
        <v>0</v>
      </c>
      <c r="AR112" s="26"/>
      <c r="AS112" s="26">
        <f t="shared" ref="AS112:AZ112" si="275">SUM(AS110:AS111)</f>
        <v>10840324</v>
      </c>
      <c r="AT112" s="26">
        <f t="shared" si="275"/>
        <v>10840324</v>
      </c>
      <c r="AU112" s="26">
        <f t="shared" si="275"/>
        <v>10840324</v>
      </c>
      <c r="AV112" s="26">
        <f t="shared" si="275"/>
        <v>10840324</v>
      </c>
      <c r="AW112" s="26">
        <f t="shared" si="275"/>
        <v>10840324</v>
      </c>
      <c r="AX112" s="26">
        <f t="shared" si="275"/>
        <v>10840324</v>
      </c>
      <c r="AY112" s="26">
        <f t="shared" si="275"/>
        <v>10840324</v>
      </c>
      <c r="AZ112" s="26">
        <f t="shared" si="275"/>
        <v>10840324</v>
      </c>
      <c r="BA112" s="26">
        <f t="shared" ref="BA112:BD112" si="276">SUM(BA110:BA111)</f>
        <v>10840324</v>
      </c>
      <c r="BB112" s="26">
        <f t="shared" si="276"/>
        <v>10840324</v>
      </c>
      <c r="BC112" s="26">
        <f t="shared" si="276"/>
        <v>10840324</v>
      </c>
      <c r="BD112" s="26">
        <f t="shared" si="276"/>
        <v>10840324</v>
      </c>
      <c r="BE112" s="192">
        <f t="shared" si="158"/>
        <v>10840324</v>
      </c>
      <c r="BF112" s="26"/>
      <c r="BG112" s="26">
        <f t="shared" ref="BG112:BR112" si="277">SUM(BG110:BG111)</f>
        <v>10840324</v>
      </c>
      <c r="BH112" s="26">
        <f t="shared" si="277"/>
        <v>10840324</v>
      </c>
      <c r="BI112" s="26">
        <f t="shared" si="277"/>
        <v>10840324</v>
      </c>
      <c r="BJ112" s="26">
        <f t="shared" si="277"/>
        <v>10840324</v>
      </c>
      <c r="BK112" s="26">
        <f t="shared" si="277"/>
        <v>10840324</v>
      </c>
      <c r="BL112" s="26">
        <f t="shared" si="277"/>
        <v>10840324</v>
      </c>
      <c r="BM112" s="26">
        <f t="shared" si="277"/>
        <v>10840324</v>
      </c>
      <c r="BN112" s="26">
        <f t="shared" si="277"/>
        <v>10840324</v>
      </c>
      <c r="BO112" s="26">
        <f t="shared" si="277"/>
        <v>10840324</v>
      </c>
      <c r="BP112" s="26">
        <f t="shared" si="277"/>
        <v>10840324</v>
      </c>
      <c r="BQ112" s="26">
        <f t="shared" si="277"/>
        <v>10840324</v>
      </c>
      <c r="BR112" s="26">
        <f t="shared" si="277"/>
        <v>10840324</v>
      </c>
    </row>
    <row r="113" spans="1:70" s="6" customFormat="1" outlineLevel="1" collapsed="1" x14ac:dyDescent="0.2">
      <c r="A113" s="30"/>
      <c r="B113" s="48" t="str">
        <f t="shared" si="216"/>
        <v>Квартальная премия</v>
      </c>
      <c r="C113" s="163" t="str">
        <f t="shared" si="216"/>
        <v>Quarterly bonus</v>
      </c>
      <c r="D113" s="170">
        <f t="shared" si="258"/>
        <v>130083888</v>
      </c>
      <c r="E113" s="45">
        <f t="shared" ref="E113:P113" si="278">E112+E109+E106</f>
        <v>10840324</v>
      </c>
      <c r="F113" s="45">
        <f t="shared" si="278"/>
        <v>10840324</v>
      </c>
      <c r="G113" s="45">
        <f t="shared" si="278"/>
        <v>10840324</v>
      </c>
      <c r="H113" s="45">
        <f t="shared" si="278"/>
        <v>10840324</v>
      </c>
      <c r="I113" s="45">
        <f t="shared" si="278"/>
        <v>10840324</v>
      </c>
      <c r="J113" s="45">
        <f t="shared" si="278"/>
        <v>10840324</v>
      </c>
      <c r="K113" s="45">
        <f t="shared" si="278"/>
        <v>10840324</v>
      </c>
      <c r="L113" s="45">
        <f t="shared" si="278"/>
        <v>10840324</v>
      </c>
      <c r="M113" s="45">
        <f t="shared" si="278"/>
        <v>10840324</v>
      </c>
      <c r="N113" s="45">
        <f t="shared" si="278"/>
        <v>10840324</v>
      </c>
      <c r="O113" s="45">
        <f t="shared" si="278"/>
        <v>10840324</v>
      </c>
      <c r="P113" s="178">
        <f t="shared" si="278"/>
        <v>10840324</v>
      </c>
      <c r="Q113" s="193">
        <f t="shared" si="259"/>
        <v>130083888</v>
      </c>
      <c r="R113" s="45">
        <f t="shared" ref="R113:Y113" si="279">R112+R109+R106</f>
        <v>10840324</v>
      </c>
      <c r="S113" s="45">
        <f t="shared" si="279"/>
        <v>10840324</v>
      </c>
      <c r="T113" s="45">
        <f t="shared" si="279"/>
        <v>10840324</v>
      </c>
      <c r="U113" s="45">
        <f t="shared" si="279"/>
        <v>10840324</v>
      </c>
      <c r="V113" s="45">
        <f t="shared" si="279"/>
        <v>10840324</v>
      </c>
      <c r="W113" s="45">
        <f t="shared" si="279"/>
        <v>10840324</v>
      </c>
      <c r="X113" s="45">
        <f t="shared" si="279"/>
        <v>10840324</v>
      </c>
      <c r="Y113" s="45">
        <f t="shared" si="279"/>
        <v>10840324</v>
      </c>
      <c r="Z113" s="45">
        <f t="shared" ref="Z113:AC113" si="280">Z112+Z109+Z106</f>
        <v>10840324</v>
      </c>
      <c r="AA113" s="45">
        <f t="shared" si="280"/>
        <v>10840324</v>
      </c>
      <c r="AB113" s="45">
        <f t="shared" si="280"/>
        <v>10840324</v>
      </c>
      <c r="AC113" s="178">
        <f t="shared" si="280"/>
        <v>10840324</v>
      </c>
      <c r="AD113" s="227">
        <f t="shared" si="260"/>
        <v>130083888</v>
      </c>
      <c r="AE113" s="45">
        <f t="shared" ref="AE113:AL113" si="281">AE112+AE109+AE106</f>
        <v>10840324</v>
      </c>
      <c r="AF113" s="45">
        <f t="shared" si="281"/>
        <v>10840324</v>
      </c>
      <c r="AG113" s="45">
        <f t="shared" si="281"/>
        <v>10840324</v>
      </c>
      <c r="AH113" s="45">
        <f t="shared" si="281"/>
        <v>10840324</v>
      </c>
      <c r="AI113" s="45">
        <f t="shared" si="281"/>
        <v>10840324</v>
      </c>
      <c r="AJ113" s="45">
        <f t="shared" si="281"/>
        <v>10840324</v>
      </c>
      <c r="AK113" s="45">
        <f t="shared" si="281"/>
        <v>10840324</v>
      </c>
      <c r="AL113" s="45">
        <f t="shared" si="281"/>
        <v>10840324</v>
      </c>
      <c r="AM113" s="45">
        <f t="shared" ref="AM113:AP113" si="282">AM112+AM109+AM106</f>
        <v>10840324</v>
      </c>
      <c r="AN113" s="45">
        <f t="shared" si="282"/>
        <v>10840324</v>
      </c>
      <c r="AO113" s="45">
        <f t="shared" si="282"/>
        <v>10840324</v>
      </c>
      <c r="AP113" s="45">
        <f t="shared" si="282"/>
        <v>10840324</v>
      </c>
      <c r="AQ113" s="193">
        <f t="shared" si="261"/>
        <v>0</v>
      </c>
      <c r="AR113" s="45"/>
      <c r="AS113" s="45">
        <f t="shared" ref="AS113:AZ113" si="283">AS112+AS109+AS106</f>
        <v>10840324</v>
      </c>
      <c r="AT113" s="45">
        <f t="shared" si="283"/>
        <v>10840324</v>
      </c>
      <c r="AU113" s="45">
        <f t="shared" si="283"/>
        <v>10840324</v>
      </c>
      <c r="AV113" s="45">
        <f t="shared" si="283"/>
        <v>10840324</v>
      </c>
      <c r="AW113" s="45">
        <f t="shared" si="283"/>
        <v>10840324</v>
      </c>
      <c r="AX113" s="45">
        <f t="shared" si="283"/>
        <v>10840324</v>
      </c>
      <c r="AY113" s="45">
        <f t="shared" si="283"/>
        <v>10840324</v>
      </c>
      <c r="AZ113" s="45">
        <f t="shared" si="283"/>
        <v>10840324</v>
      </c>
      <c r="BA113" s="45">
        <f t="shared" ref="BA113:BD113" si="284">BA112+BA109+BA106</f>
        <v>10840324</v>
      </c>
      <c r="BB113" s="45">
        <f t="shared" si="284"/>
        <v>10840324</v>
      </c>
      <c r="BC113" s="45">
        <f t="shared" si="284"/>
        <v>10840324</v>
      </c>
      <c r="BD113" s="45">
        <f t="shared" si="284"/>
        <v>10840324</v>
      </c>
      <c r="BE113" s="193">
        <f t="shared" si="158"/>
        <v>10840324</v>
      </c>
      <c r="BF113" s="45"/>
      <c r="BG113" s="45">
        <f t="shared" ref="BG113:BR113" si="285">BG112+BG109+BG106</f>
        <v>10840324</v>
      </c>
      <c r="BH113" s="45">
        <f t="shared" si="285"/>
        <v>10840324</v>
      </c>
      <c r="BI113" s="45">
        <f t="shared" si="285"/>
        <v>10840324</v>
      </c>
      <c r="BJ113" s="45">
        <f t="shared" si="285"/>
        <v>10840324</v>
      </c>
      <c r="BK113" s="45">
        <f t="shared" si="285"/>
        <v>10840324</v>
      </c>
      <c r="BL113" s="45">
        <f t="shared" si="285"/>
        <v>10840324</v>
      </c>
      <c r="BM113" s="45">
        <f t="shared" si="285"/>
        <v>10840324</v>
      </c>
      <c r="BN113" s="45">
        <f t="shared" si="285"/>
        <v>10840324</v>
      </c>
      <c r="BO113" s="45">
        <f t="shared" si="285"/>
        <v>10840324</v>
      </c>
      <c r="BP113" s="45">
        <f t="shared" si="285"/>
        <v>10840324</v>
      </c>
      <c r="BQ113" s="45">
        <f t="shared" si="285"/>
        <v>10840324</v>
      </c>
      <c r="BR113" s="45">
        <f t="shared" si="285"/>
        <v>10840324</v>
      </c>
    </row>
    <row r="114" spans="1:70" s="6" customFormat="1" x14ac:dyDescent="0.2">
      <c r="B114" s="21" t="str">
        <f t="shared" si="216"/>
        <v>ФОТ до бонуса</v>
      </c>
      <c r="C114" s="164" t="str">
        <f t="shared" si="216"/>
        <v>FIX compensation before Bonus</v>
      </c>
      <c r="D114" s="172">
        <f t="shared" si="258"/>
        <v>3027541766.1599998</v>
      </c>
      <c r="E114" s="18">
        <f t="shared" ref="E114:P114" si="286">E113+E103+E90+E87</f>
        <v>252295147.18000001</v>
      </c>
      <c r="F114" s="18">
        <f t="shared" si="286"/>
        <v>252295147.18000001</v>
      </c>
      <c r="G114" s="18">
        <f t="shared" si="286"/>
        <v>252295147.18000001</v>
      </c>
      <c r="H114" s="18">
        <f t="shared" si="286"/>
        <v>252295147.18000001</v>
      </c>
      <c r="I114" s="18">
        <f t="shared" si="286"/>
        <v>252295147.18000001</v>
      </c>
      <c r="J114" s="18">
        <f t="shared" si="286"/>
        <v>252295147.18000001</v>
      </c>
      <c r="K114" s="18">
        <f t="shared" si="286"/>
        <v>252295147.18000001</v>
      </c>
      <c r="L114" s="18">
        <f t="shared" si="286"/>
        <v>252295147.18000001</v>
      </c>
      <c r="M114" s="18">
        <f t="shared" si="286"/>
        <v>252295147.18000001</v>
      </c>
      <c r="N114" s="18">
        <f t="shared" si="286"/>
        <v>252295147.18000001</v>
      </c>
      <c r="O114" s="18">
        <f t="shared" si="286"/>
        <v>252295147.18000001</v>
      </c>
      <c r="P114" s="180">
        <f t="shared" si="286"/>
        <v>252295147.18000001</v>
      </c>
      <c r="Q114" s="195">
        <f t="shared" si="259"/>
        <v>3027541766.1599998</v>
      </c>
      <c r="R114" s="18">
        <f t="shared" ref="R114:Y114" si="287">R113+R103+R90+R87</f>
        <v>252295147.18000001</v>
      </c>
      <c r="S114" s="18">
        <f t="shared" si="287"/>
        <v>252295147.18000001</v>
      </c>
      <c r="T114" s="18">
        <f t="shared" si="287"/>
        <v>252295147.18000001</v>
      </c>
      <c r="U114" s="18">
        <f t="shared" si="287"/>
        <v>252295147.18000001</v>
      </c>
      <c r="V114" s="18">
        <f t="shared" si="287"/>
        <v>252295147.18000001</v>
      </c>
      <c r="W114" s="18">
        <f t="shared" si="287"/>
        <v>252295147.18000001</v>
      </c>
      <c r="X114" s="18">
        <f t="shared" si="287"/>
        <v>252295147.18000001</v>
      </c>
      <c r="Y114" s="18">
        <f t="shared" si="287"/>
        <v>252295147.18000001</v>
      </c>
      <c r="Z114" s="18">
        <f t="shared" ref="Z114:AC114" si="288">Z113+Z103+Z90+Z87</f>
        <v>252295147.18000001</v>
      </c>
      <c r="AA114" s="18">
        <f t="shared" si="288"/>
        <v>252295147.18000001</v>
      </c>
      <c r="AB114" s="18">
        <f t="shared" si="288"/>
        <v>252295147.18000001</v>
      </c>
      <c r="AC114" s="180">
        <f t="shared" si="288"/>
        <v>252295147.18000001</v>
      </c>
      <c r="AD114" s="228">
        <f t="shared" si="260"/>
        <v>3027541766.1599998</v>
      </c>
      <c r="AE114" s="18">
        <f t="shared" ref="AE114:AL114" si="289">AE113+AE103+AE90+AE87</f>
        <v>252295147.18000001</v>
      </c>
      <c r="AF114" s="18">
        <f t="shared" si="289"/>
        <v>252295147.18000001</v>
      </c>
      <c r="AG114" s="18">
        <f t="shared" si="289"/>
        <v>252295147.18000001</v>
      </c>
      <c r="AH114" s="18">
        <f t="shared" si="289"/>
        <v>252295147.18000001</v>
      </c>
      <c r="AI114" s="18">
        <f t="shared" si="289"/>
        <v>252295147.18000001</v>
      </c>
      <c r="AJ114" s="18">
        <f t="shared" si="289"/>
        <v>252295147.18000001</v>
      </c>
      <c r="AK114" s="18">
        <f t="shared" si="289"/>
        <v>252295147.18000001</v>
      </c>
      <c r="AL114" s="18">
        <f t="shared" si="289"/>
        <v>252295147.18000001</v>
      </c>
      <c r="AM114" s="18">
        <f t="shared" ref="AM114:AP114" si="290">AM113+AM103+AM90+AM87</f>
        <v>252295147.18000001</v>
      </c>
      <c r="AN114" s="18">
        <f t="shared" si="290"/>
        <v>252295147.18000001</v>
      </c>
      <c r="AO114" s="18">
        <f t="shared" si="290"/>
        <v>252295147.18000001</v>
      </c>
      <c r="AP114" s="18">
        <f t="shared" si="290"/>
        <v>252295147.18000001</v>
      </c>
      <c r="AQ114" s="195">
        <f t="shared" si="261"/>
        <v>0</v>
      </c>
      <c r="AR114" s="18"/>
      <c r="AS114" s="18">
        <f t="shared" ref="AS114:AZ114" si="291">AS113+AS103+AS90+AS87</f>
        <v>252295147.18000001</v>
      </c>
      <c r="AT114" s="18">
        <f t="shared" si="291"/>
        <v>252295147.18000001</v>
      </c>
      <c r="AU114" s="18">
        <f t="shared" si="291"/>
        <v>252295147.18000001</v>
      </c>
      <c r="AV114" s="18">
        <f t="shared" si="291"/>
        <v>252295147.18000001</v>
      </c>
      <c r="AW114" s="18">
        <f t="shared" si="291"/>
        <v>252295147.18000001</v>
      </c>
      <c r="AX114" s="18">
        <f t="shared" si="291"/>
        <v>252295147.18000001</v>
      </c>
      <c r="AY114" s="18">
        <f t="shared" si="291"/>
        <v>252295147.18000001</v>
      </c>
      <c r="AZ114" s="18">
        <f t="shared" si="291"/>
        <v>252295147.18000001</v>
      </c>
      <c r="BA114" s="18">
        <f t="shared" ref="BA114:BD114" si="292">BA113+BA103+BA90+BA87</f>
        <v>252295147.18000001</v>
      </c>
      <c r="BB114" s="18">
        <f t="shared" si="292"/>
        <v>252295147.18000001</v>
      </c>
      <c r="BC114" s="18">
        <f t="shared" si="292"/>
        <v>252295147.18000001</v>
      </c>
      <c r="BD114" s="18">
        <f t="shared" si="292"/>
        <v>252295147.18000001</v>
      </c>
      <c r="BE114" s="195">
        <f t="shared" si="158"/>
        <v>252295147.18000001</v>
      </c>
      <c r="BF114" s="18"/>
      <c r="BG114" s="18">
        <f t="shared" ref="BG114:BR114" si="293">BG113+BG103+BG90+BG87</f>
        <v>252295147.18000001</v>
      </c>
      <c r="BH114" s="18">
        <f t="shared" si="293"/>
        <v>252295147.18000001</v>
      </c>
      <c r="BI114" s="18">
        <f t="shared" si="293"/>
        <v>252295147.18000001</v>
      </c>
      <c r="BJ114" s="18">
        <f t="shared" si="293"/>
        <v>252295147.18000001</v>
      </c>
      <c r="BK114" s="18">
        <f t="shared" si="293"/>
        <v>252295147.18000001</v>
      </c>
      <c r="BL114" s="18">
        <f t="shared" si="293"/>
        <v>252295147.18000001</v>
      </c>
      <c r="BM114" s="18">
        <f t="shared" si="293"/>
        <v>252295147.18000001</v>
      </c>
      <c r="BN114" s="18">
        <f t="shared" si="293"/>
        <v>252295147.18000001</v>
      </c>
      <c r="BO114" s="18">
        <f t="shared" si="293"/>
        <v>252295147.18000001</v>
      </c>
      <c r="BP114" s="18">
        <f t="shared" si="293"/>
        <v>252295147.18000001</v>
      </c>
      <c r="BQ114" s="18">
        <f t="shared" si="293"/>
        <v>252295147.18000001</v>
      </c>
      <c r="BR114" s="18">
        <f t="shared" si="293"/>
        <v>252295147.18000001</v>
      </c>
    </row>
    <row r="115" spans="1:70" ht="12.75" hidden="1" customHeight="1" outlineLevel="3" x14ac:dyDescent="0.2">
      <c r="B115" s="38" t="str">
        <f t="shared" ref="B115:C129" si="294">B52</f>
        <v>Резерв бонуса прошлых лет</v>
      </c>
      <c r="C115" s="49" t="str">
        <f t="shared" si="294"/>
        <v>Under-/overaccruals - cash</v>
      </c>
      <c r="D115" s="168">
        <f t="shared" si="258"/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176">
        <v>0</v>
      </c>
      <c r="Q115" s="191">
        <f t="shared" si="259"/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0">
        <v>0</v>
      </c>
      <c r="X115" s="40">
        <v>0</v>
      </c>
      <c r="Y115" s="40">
        <v>0</v>
      </c>
      <c r="Z115" s="40">
        <v>0</v>
      </c>
      <c r="AA115" s="40">
        <v>0</v>
      </c>
      <c r="AB115" s="40">
        <v>0</v>
      </c>
      <c r="AC115" s="176">
        <v>0</v>
      </c>
      <c r="AD115" s="225">
        <f t="shared" si="260"/>
        <v>0</v>
      </c>
      <c r="AE115" s="40">
        <v>0</v>
      </c>
      <c r="AF115" s="40">
        <v>0</v>
      </c>
      <c r="AG115" s="40">
        <v>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40">
        <v>0</v>
      </c>
      <c r="AP115" s="40">
        <v>0</v>
      </c>
      <c r="AQ115" s="191">
        <f t="shared" si="261"/>
        <v>0</v>
      </c>
      <c r="AR115" s="40"/>
      <c r="AS115" s="40">
        <v>0</v>
      </c>
      <c r="AT115" s="40">
        <v>0</v>
      </c>
      <c r="AU115" s="40">
        <v>0</v>
      </c>
      <c r="AV115" s="40">
        <v>0</v>
      </c>
      <c r="AW115" s="40">
        <v>0</v>
      </c>
      <c r="AX115" s="40">
        <v>0</v>
      </c>
      <c r="AY115" s="40">
        <v>0</v>
      </c>
      <c r="AZ115" s="40">
        <v>0</v>
      </c>
      <c r="BA115" s="40">
        <v>0</v>
      </c>
      <c r="BB115" s="40">
        <v>0</v>
      </c>
      <c r="BC115" s="40">
        <v>0</v>
      </c>
      <c r="BD115" s="40">
        <v>0</v>
      </c>
      <c r="BE115" s="191">
        <f t="shared" si="158"/>
        <v>0</v>
      </c>
      <c r="BF115" s="40"/>
      <c r="BG115" s="40">
        <v>0</v>
      </c>
      <c r="BH115" s="40">
        <v>0</v>
      </c>
      <c r="BI115" s="40">
        <v>0</v>
      </c>
      <c r="BJ115" s="40">
        <v>0</v>
      </c>
      <c r="BK115" s="40">
        <v>0</v>
      </c>
      <c r="BL115" s="40">
        <v>0</v>
      </c>
      <c r="BM115" s="40">
        <v>0</v>
      </c>
      <c r="BN115" s="40">
        <v>0</v>
      </c>
      <c r="BO115" s="40">
        <v>0</v>
      </c>
      <c r="BP115" s="40">
        <v>0</v>
      </c>
      <c r="BQ115" s="40">
        <v>0</v>
      </c>
      <c r="BR115" s="40">
        <v>0</v>
      </c>
    </row>
    <row r="116" spans="1:70" ht="12.75" hidden="1" customHeight="1" outlineLevel="3" x14ac:dyDescent="0.2">
      <c r="B116" s="38" t="str">
        <f t="shared" si="294"/>
        <v>Страховые взносы, резерв бонуса прошлых лет</v>
      </c>
      <c r="C116" s="49" t="str">
        <f t="shared" si="294"/>
        <v>Under-/overaccruals - contribution to social secur</v>
      </c>
      <c r="D116" s="168">
        <f t="shared" si="258"/>
        <v>0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176">
        <v>0</v>
      </c>
      <c r="Q116" s="191">
        <f t="shared" si="259"/>
        <v>0</v>
      </c>
      <c r="R116" s="40">
        <v>0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176">
        <v>0</v>
      </c>
      <c r="AD116" s="225">
        <f t="shared" si="260"/>
        <v>0</v>
      </c>
      <c r="AE116" s="40">
        <v>0</v>
      </c>
      <c r="AF116" s="40">
        <v>0</v>
      </c>
      <c r="AG116" s="40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191">
        <f t="shared" si="261"/>
        <v>0</v>
      </c>
      <c r="AR116" s="40"/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191">
        <f t="shared" si="158"/>
        <v>0</v>
      </c>
      <c r="BF116" s="40"/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</row>
    <row r="117" spans="1:70" s="6" customFormat="1" ht="14.45" customHeight="1" outlineLevel="1" collapsed="1" x14ac:dyDescent="0.2">
      <c r="A117" s="30"/>
      <c r="B117" s="48" t="str">
        <f t="shared" si="294"/>
        <v>Итого Резерв бонуса прошлых лет</v>
      </c>
      <c r="C117" s="163" t="str">
        <f t="shared" si="294"/>
        <v>Total Under-/overaccruals - cash</v>
      </c>
      <c r="D117" s="170">
        <f t="shared" si="258"/>
        <v>0</v>
      </c>
      <c r="E117" s="45">
        <f t="shared" ref="E117:L117" si="295">SUM(E115:E116)</f>
        <v>0</v>
      </c>
      <c r="F117" s="45">
        <f t="shared" si="295"/>
        <v>0</v>
      </c>
      <c r="G117" s="45">
        <f t="shared" si="295"/>
        <v>0</v>
      </c>
      <c r="H117" s="45">
        <f t="shared" si="295"/>
        <v>0</v>
      </c>
      <c r="I117" s="45">
        <f t="shared" si="295"/>
        <v>0</v>
      </c>
      <c r="J117" s="45">
        <f t="shared" si="295"/>
        <v>0</v>
      </c>
      <c r="K117" s="45">
        <f t="shared" si="295"/>
        <v>0</v>
      </c>
      <c r="L117" s="45">
        <f t="shared" si="295"/>
        <v>0</v>
      </c>
      <c r="M117" s="45">
        <f t="shared" ref="M117:P117" si="296">SUM(M115:M116)</f>
        <v>0</v>
      </c>
      <c r="N117" s="45">
        <f t="shared" si="296"/>
        <v>0</v>
      </c>
      <c r="O117" s="45">
        <f t="shared" si="296"/>
        <v>0</v>
      </c>
      <c r="P117" s="178">
        <f t="shared" si="296"/>
        <v>0</v>
      </c>
      <c r="Q117" s="193">
        <f t="shared" si="259"/>
        <v>0</v>
      </c>
      <c r="R117" s="45">
        <f t="shared" ref="R117:Y117" si="297">SUM(R115:R116)</f>
        <v>0</v>
      </c>
      <c r="S117" s="45">
        <f t="shared" si="297"/>
        <v>0</v>
      </c>
      <c r="T117" s="45">
        <f t="shared" si="297"/>
        <v>0</v>
      </c>
      <c r="U117" s="45">
        <f t="shared" si="297"/>
        <v>0</v>
      </c>
      <c r="V117" s="45">
        <f t="shared" si="297"/>
        <v>0</v>
      </c>
      <c r="W117" s="45">
        <f t="shared" si="297"/>
        <v>0</v>
      </c>
      <c r="X117" s="45">
        <f t="shared" si="297"/>
        <v>0</v>
      </c>
      <c r="Y117" s="45">
        <f t="shared" si="297"/>
        <v>0</v>
      </c>
      <c r="Z117" s="45">
        <f t="shared" ref="Z117:AC117" si="298">SUM(Z115:Z116)</f>
        <v>0</v>
      </c>
      <c r="AA117" s="45">
        <f t="shared" si="298"/>
        <v>0</v>
      </c>
      <c r="AB117" s="45">
        <f t="shared" si="298"/>
        <v>0</v>
      </c>
      <c r="AC117" s="178">
        <f t="shared" si="298"/>
        <v>0</v>
      </c>
      <c r="AD117" s="227">
        <f t="shared" si="260"/>
        <v>0</v>
      </c>
      <c r="AE117" s="45">
        <f t="shared" ref="AE117:AL117" si="299">SUM(AE115:AE116)</f>
        <v>0</v>
      </c>
      <c r="AF117" s="45">
        <f t="shared" si="299"/>
        <v>0</v>
      </c>
      <c r="AG117" s="45">
        <f t="shared" si="299"/>
        <v>0</v>
      </c>
      <c r="AH117" s="45">
        <f t="shared" si="299"/>
        <v>0</v>
      </c>
      <c r="AI117" s="45">
        <f t="shared" si="299"/>
        <v>0</v>
      </c>
      <c r="AJ117" s="45">
        <f t="shared" si="299"/>
        <v>0</v>
      </c>
      <c r="AK117" s="45">
        <f t="shared" si="299"/>
        <v>0</v>
      </c>
      <c r="AL117" s="45">
        <f t="shared" si="299"/>
        <v>0</v>
      </c>
      <c r="AM117" s="45">
        <f t="shared" ref="AM117:AP117" si="300">SUM(AM115:AM116)</f>
        <v>0</v>
      </c>
      <c r="AN117" s="45">
        <f t="shared" si="300"/>
        <v>0</v>
      </c>
      <c r="AO117" s="45">
        <f t="shared" si="300"/>
        <v>0</v>
      </c>
      <c r="AP117" s="45">
        <f t="shared" si="300"/>
        <v>0</v>
      </c>
      <c r="AQ117" s="193">
        <f t="shared" si="261"/>
        <v>0</v>
      </c>
      <c r="AR117" s="45"/>
      <c r="AS117" s="45">
        <f t="shared" ref="AS117:AZ117" si="301">SUM(AS115:AS116)</f>
        <v>0</v>
      </c>
      <c r="AT117" s="45">
        <f t="shared" si="301"/>
        <v>0</v>
      </c>
      <c r="AU117" s="45">
        <f t="shared" si="301"/>
        <v>0</v>
      </c>
      <c r="AV117" s="45">
        <f t="shared" si="301"/>
        <v>0</v>
      </c>
      <c r="AW117" s="45">
        <f t="shared" si="301"/>
        <v>0</v>
      </c>
      <c r="AX117" s="45">
        <f t="shared" si="301"/>
        <v>0</v>
      </c>
      <c r="AY117" s="45">
        <f t="shared" si="301"/>
        <v>0</v>
      </c>
      <c r="AZ117" s="45">
        <f t="shared" si="301"/>
        <v>0</v>
      </c>
      <c r="BA117" s="45">
        <f t="shared" ref="BA117:BD117" si="302">SUM(BA115:BA116)</f>
        <v>0</v>
      </c>
      <c r="BB117" s="45">
        <f t="shared" si="302"/>
        <v>0</v>
      </c>
      <c r="BC117" s="45">
        <f t="shared" si="302"/>
        <v>0</v>
      </c>
      <c r="BD117" s="45">
        <f t="shared" si="302"/>
        <v>0</v>
      </c>
      <c r="BE117" s="193">
        <f t="shared" si="158"/>
        <v>0</v>
      </c>
      <c r="BF117" s="45"/>
      <c r="BG117" s="45">
        <f t="shared" ref="BG117:BR117" si="303">SUM(BG115:BG116)</f>
        <v>0</v>
      </c>
      <c r="BH117" s="45">
        <f t="shared" si="303"/>
        <v>0</v>
      </c>
      <c r="BI117" s="45">
        <f t="shared" si="303"/>
        <v>0</v>
      </c>
      <c r="BJ117" s="45">
        <f t="shared" si="303"/>
        <v>0</v>
      </c>
      <c r="BK117" s="45">
        <f t="shared" si="303"/>
        <v>0</v>
      </c>
      <c r="BL117" s="45">
        <f t="shared" si="303"/>
        <v>0</v>
      </c>
      <c r="BM117" s="45">
        <f t="shared" si="303"/>
        <v>0</v>
      </c>
      <c r="BN117" s="45">
        <f t="shared" si="303"/>
        <v>0</v>
      </c>
      <c r="BO117" s="45">
        <f t="shared" si="303"/>
        <v>0</v>
      </c>
      <c r="BP117" s="45">
        <f t="shared" si="303"/>
        <v>0</v>
      </c>
      <c r="BQ117" s="45">
        <f t="shared" si="303"/>
        <v>0</v>
      </c>
      <c r="BR117" s="45">
        <f t="shared" si="303"/>
        <v>0</v>
      </c>
    </row>
    <row r="118" spans="1:70" s="6" customFormat="1" x14ac:dyDescent="0.2">
      <c r="B118" s="21" t="str">
        <f t="shared" si="294"/>
        <v>Резерв бонуса прошлых лет</v>
      </c>
      <c r="C118" s="164" t="str">
        <f t="shared" si="294"/>
        <v>Under-/overaccruals - cash</v>
      </c>
      <c r="D118" s="172">
        <f t="shared" si="258"/>
        <v>0</v>
      </c>
      <c r="E118" s="18">
        <f t="shared" ref="E118:P118" si="304">E117</f>
        <v>0</v>
      </c>
      <c r="F118" s="18">
        <f t="shared" si="304"/>
        <v>0</v>
      </c>
      <c r="G118" s="18">
        <f t="shared" si="304"/>
        <v>0</v>
      </c>
      <c r="H118" s="18">
        <f t="shared" si="304"/>
        <v>0</v>
      </c>
      <c r="I118" s="18">
        <f t="shared" si="304"/>
        <v>0</v>
      </c>
      <c r="J118" s="18">
        <f t="shared" si="304"/>
        <v>0</v>
      </c>
      <c r="K118" s="18">
        <f t="shared" si="304"/>
        <v>0</v>
      </c>
      <c r="L118" s="18">
        <f t="shared" si="304"/>
        <v>0</v>
      </c>
      <c r="M118" s="18">
        <f t="shared" si="304"/>
        <v>0</v>
      </c>
      <c r="N118" s="18">
        <f t="shared" si="304"/>
        <v>0</v>
      </c>
      <c r="O118" s="18">
        <f t="shared" si="304"/>
        <v>0</v>
      </c>
      <c r="P118" s="180">
        <f t="shared" si="304"/>
        <v>0</v>
      </c>
      <c r="Q118" s="195">
        <f t="shared" si="259"/>
        <v>0</v>
      </c>
      <c r="R118" s="18">
        <f t="shared" ref="R118:Y118" si="305">R117</f>
        <v>0</v>
      </c>
      <c r="S118" s="18">
        <f t="shared" si="305"/>
        <v>0</v>
      </c>
      <c r="T118" s="18">
        <f t="shared" si="305"/>
        <v>0</v>
      </c>
      <c r="U118" s="18">
        <f t="shared" si="305"/>
        <v>0</v>
      </c>
      <c r="V118" s="18">
        <f t="shared" si="305"/>
        <v>0</v>
      </c>
      <c r="W118" s="18">
        <f t="shared" si="305"/>
        <v>0</v>
      </c>
      <c r="X118" s="18">
        <f t="shared" si="305"/>
        <v>0</v>
      </c>
      <c r="Y118" s="18">
        <f t="shared" si="305"/>
        <v>0</v>
      </c>
      <c r="Z118" s="18">
        <f t="shared" ref="Z118:AC118" si="306">Z117</f>
        <v>0</v>
      </c>
      <c r="AA118" s="18">
        <f t="shared" si="306"/>
        <v>0</v>
      </c>
      <c r="AB118" s="18">
        <f t="shared" si="306"/>
        <v>0</v>
      </c>
      <c r="AC118" s="180">
        <f t="shared" si="306"/>
        <v>0</v>
      </c>
      <c r="AD118" s="228">
        <f t="shared" si="260"/>
        <v>0</v>
      </c>
      <c r="AE118" s="18">
        <f t="shared" ref="AE118:AL118" si="307">AE117</f>
        <v>0</v>
      </c>
      <c r="AF118" s="18">
        <f t="shared" si="307"/>
        <v>0</v>
      </c>
      <c r="AG118" s="18">
        <f t="shared" si="307"/>
        <v>0</v>
      </c>
      <c r="AH118" s="18">
        <f t="shared" si="307"/>
        <v>0</v>
      </c>
      <c r="AI118" s="18">
        <f t="shared" si="307"/>
        <v>0</v>
      </c>
      <c r="AJ118" s="18">
        <f t="shared" si="307"/>
        <v>0</v>
      </c>
      <c r="AK118" s="18">
        <f t="shared" si="307"/>
        <v>0</v>
      </c>
      <c r="AL118" s="18">
        <f t="shared" si="307"/>
        <v>0</v>
      </c>
      <c r="AM118" s="18">
        <f t="shared" ref="AM118:AP118" si="308">AM117</f>
        <v>0</v>
      </c>
      <c r="AN118" s="18">
        <f t="shared" si="308"/>
        <v>0</v>
      </c>
      <c r="AO118" s="18">
        <f t="shared" si="308"/>
        <v>0</v>
      </c>
      <c r="AP118" s="18">
        <f t="shared" si="308"/>
        <v>0</v>
      </c>
      <c r="AQ118" s="195">
        <f t="shared" si="261"/>
        <v>0</v>
      </c>
      <c r="AR118" s="18"/>
      <c r="AS118" s="18">
        <f t="shared" ref="AS118:AZ118" si="309">AS117</f>
        <v>0</v>
      </c>
      <c r="AT118" s="18">
        <f t="shared" si="309"/>
        <v>0</v>
      </c>
      <c r="AU118" s="18">
        <f t="shared" si="309"/>
        <v>0</v>
      </c>
      <c r="AV118" s="18">
        <f t="shared" si="309"/>
        <v>0</v>
      </c>
      <c r="AW118" s="18">
        <f t="shared" si="309"/>
        <v>0</v>
      </c>
      <c r="AX118" s="18">
        <f t="shared" si="309"/>
        <v>0</v>
      </c>
      <c r="AY118" s="18">
        <f t="shared" si="309"/>
        <v>0</v>
      </c>
      <c r="AZ118" s="18">
        <f t="shared" si="309"/>
        <v>0</v>
      </c>
      <c r="BA118" s="18">
        <f t="shared" ref="BA118:BD118" si="310">BA117</f>
        <v>0</v>
      </c>
      <c r="BB118" s="18">
        <f t="shared" si="310"/>
        <v>0</v>
      </c>
      <c r="BC118" s="18">
        <f t="shared" si="310"/>
        <v>0</v>
      </c>
      <c r="BD118" s="18">
        <f t="shared" si="310"/>
        <v>0</v>
      </c>
      <c r="BE118" s="195">
        <f t="shared" si="158"/>
        <v>0</v>
      </c>
      <c r="BF118" s="18"/>
      <c r="BG118" s="18">
        <f t="shared" ref="BG118:BR118" si="311">BG117</f>
        <v>0</v>
      </c>
      <c r="BH118" s="18">
        <f t="shared" si="311"/>
        <v>0</v>
      </c>
      <c r="BI118" s="18">
        <f t="shared" si="311"/>
        <v>0</v>
      </c>
      <c r="BJ118" s="18">
        <f t="shared" si="311"/>
        <v>0</v>
      </c>
      <c r="BK118" s="18">
        <f t="shared" si="311"/>
        <v>0</v>
      </c>
      <c r="BL118" s="18">
        <f t="shared" si="311"/>
        <v>0</v>
      </c>
      <c r="BM118" s="18">
        <f t="shared" si="311"/>
        <v>0</v>
      </c>
      <c r="BN118" s="18">
        <f t="shared" si="311"/>
        <v>0</v>
      </c>
      <c r="BO118" s="18">
        <f t="shared" si="311"/>
        <v>0</v>
      </c>
      <c r="BP118" s="18">
        <f t="shared" si="311"/>
        <v>0</v>
      </c>
      <c r="BQ118" s="18">
        <f t="shared" si="311"/>
        <v>0</v>
      </c>
      <c r="BR118" s="18">
        <f t="shared" si="311"/>
        <v>0</v>
      </c>
    </row>
    <row r="119" spans="1:70" ht="12.75" hidden="1" customHeight="1" outlineLevel="3" x14ac:dyDescent="0.2">
      <c r="B119" s="38" t="str">
        <f t="shared" si="294"/>
        <v>Резерв годового бонуса</v>
      </c>
      <c r="C119" s="49" t="str">
        <f t="shared" si="294"/>
        <v>Bonus discretionary Accrual</v>
      </c>
      <c r="D119" s="168">
        <f t="shared" si="258"/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  <c r="P119" s="176">
        <v>0</v>
      </c>
      <c r="Q119" s="191">
        <f t="shared" si="259"/>
        <v>0</v>
      </c>
      <c r="R119" s="40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176">
        <v>0</v>
      </c>
      <c r="AD119" s="225">
        <f t="shared" si="260"/>
        <v>0</v>
      </c>
      <c r="AE119" s="40">
        <v>0</v>
      </c>
      <c r="AF119" s="40">
        <v>0</v>
      </c>
      <c r="AG119" s="40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191">
        <f t="shared" si="261"/>
        <v>0</v>
      </c>
      <c r="AR119" s="40"/>
      <c r="AS119" s="40">
        <v>0</v>
      </c>
      <c r="AT119" s="40">
        <v>0</v>
      </c>
      <c r="AU119" s="40">
        <v>0</v>
      </c>
      <c r="AV119" s="40">
        <v>0</v>
      </c>
      <c r="AW119" s="40">
        <v>0</v>
      </c>
      <c r="AX119" s="40">
        <v>0</v>
      </c>
      <c r="AY119" s="40">
        <v>0</v>
      </c>
      <c r="AZ119" s="40">
        <v>0</v>
      </c>
      <c r="BA119" s="40">
        <v>0</v>
      </c>
      <c r="BB119" s="40">
        <v>0</v>
      </c>
      <c r="BC119" s="40">
        <v>0</v>
      </c>
      <c r="BD119" s="40">
        <v>0</v>
      </c>
      <c r="BE119" s="191">
        <f t="shared" si="158"/>
        <v>0</v>
      </c>
      <c r="BF119" s="40"/>
      <c r="BG119" s="40">
        <v>0</v>
      </c>
      <c r="BH119" s="40">
        <v>0</v>
      </c>
      <c r="BI119" s="40">
        <v>0</v>
      </c>
      <c r="BJ119" s="40">
        <v>0</v>
      </c>
      <c r="BK119" s="40">
        <v>0</v>
      </c>
      <c r="BL119" s="40">
        <v>0</v>
      </c>
      <c r="BM119" s="40">
        <v>0</v>
      </c>
      <c r="BN119" s="40">
        <v>0</v>
      </c>
      <c r="BO119" s="40">
        <v>0</v>
      </c>
      <c r="BP119" s="40">
        <v>0</v>
      </c>
      <c r="BQ119" s="40">
        <v>0</v>
      </c>
      <c r="BR119" s="40">
        <v>0</v>
      </c>
    </row>
    <row r="120" spans="1:70" ht="12.75" hidden="1" customHeight="1" outlineLevel="3" x14ac:dyDescent="0.2">
      <c r="B120" s="38" t="str">
        <f t="shared" si="294"/>
        <v>Страховые взносы, резерв годового бонуса</v>
      </c>
      <c r="C120" s="49" t="str">
        <f t="shared" si="294"/>
        <v>Social Security on discretionary Bonus Accrual</v>
      </c>
      <c r="D120" s="168">
        <f t="shared" si="258"/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176">
        <v>0</v>
      </c>
      <c r="Q120" s="191">
        <f t="shared" si="259"/>
        <v>0</v>
      </c>
      <c r="R120" s="40">
        <v>0</v>
      </c>
      <c r="S120" s="40">
        <v>0</v>
      </c>
      <c r="T120" s="40">
        <v>0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176">
        <v>0</v>
      </c>
      <c r="AD120" s="225">
        <f t="shared" si="260"/>
        <v>0</v>
      </c>
      <c r="AE120" s="40">
        <v>0</v>
      </c>
      <c r="AF120" s="40">
        <v>0</v>
      </c>
      <c r="AG120" s="40">
        <v>0</v>
      </c>
      <c r="AH120" s="40">
        <v>0</v>
      </c>
      <c r="AI120" s="40">
        <v>0</v>
      </c>
      <c r="AJ120" s="40">
        <v>0</v>
      </c>
      <c r="AK120" s="40">
        <v>0</v>
      </c>
      <c r="AL120" s="40">
        <v>0</v>
      </c>
      <c r="AM120" s="40">
        <v>0</v>
      </c>
      <c r="AN120" s="40">
        <v>0</v>
      </c>
      <c r="AO120" s="40">
        <v>0</v>
      </c>
      <c r="AP120" s="40">
        <v>0</v>
      </c>
      <c r="AQ120" s="191">
        <f t="shared" si="261"/>
        <v>0</v>
      </c>
      <c r="AR120" s="40"/>
      <c r="AS120" s="40">
        <v>0</v>
      </c>
      <c r="AT120" s="40">
        <v>0</v>
      </c>
      <c r="AU120" s="40">
        <v>0</v>
      </c>
      <c r="AV120" s="40">
        <v>0</v>
      </c>
      <c r="AW120" s="40">
        <v>0</v>
      </c>
      <c r="AX120" s="40">
        <v>0</v>
      </c>
      <c r="AY120" s="40">
        <v>0</v>
      </c>
      <c r="AZ120" s="40">
        <v>0</v>
      </c>
      <c r="BA120" s="40">
        <v>0</v>
      </c>
      <c r="BB120" s="40">
        <v>0</v>
      </c>
      <c r="BC120" s="40">
        <v>0</v>
      </c>
      <c r="BD120" s="40">
        <v>0</v>
      </c>
      <c r="BE120" s="191">
        <f t="shared" si="158"/>
        <v>0</v>
      </c>
      <c r="BF120" s="40"/>
      <c r="BG120" s="40">
        <v>0</v>
      </c>
      <c r="BH120" s="40">
        <v>0</v>
      </c>
      <c r="BI120" s="40">
        <v>0</v>
      </c>
      <c r="BJ120" s="40">
        <v>0</v>
      </c>
      <c r="BK120" s="40">
        <v>0</v>
      </c>
      <c r="BL120" s="40">
        <v>0</v>
      </c>
      <c r="BM120" s="40">
        <v>0</v>
      </c>
      <c r="BN120" s="40">
        <v>0</v>
      </c>
      <c r="BO120" s="40">
        <v>0</v>
      </c>
      <c r="BP120" s="40">
        <v>0</v>
      </c>
      <c r="BQ120" s="40">
        <v>0</v>
      </c>
      <c r="BR120" s="40">
        <v>0</v>
      </c>
    </row>
    <row r="121" spans="1:70" s="6" customFormat="1" hidden="1" outlineLevel="2" x14ac:dyDescent="0.2">
      <c r="A121" s="30"/>
      <c r="B121" s="29" t="str">
        <f t="shared" si="294"/>
        <v>Итого резерв годового бонуса</v>
      </c>
      <c r="C121" s="52" t="str">
        <f t="shared" si="294"/>
        <v>Total Bonus discretionary Accrual</v>
      </c>
      <c r="D121" s="169">
        <f t="shared" si="258"/>
        <v>0</v>
      </c>
      <c r="E121" s="26">
        <f t="shared" ref="E121:P121" si="312">SUM(E119:E120)</f>
        <v>0</v>
      </c>
      <c r="F121" s="26">
        <f t="shared" si="312"/>
        <v>0</v>
      </c>
      <c r="G121" s="26">
        <f t="shared" si="312"/>
        <v>0</v>
      </c>
      <c r="H121" s="26">
        <f t="shared" si="312"/>
        <v>0</v>
      </c>
      <c r="I121" s="26">
        <f t="shared" si="312"/>
        <v>0</v>
      </c>
      <c r="J121" s="26">
        <f t="shared" si="312"/>
        <v>0</v>
      </c>
      <c r="K121" s="26">
        <f t="shared" si="312"/>
        <v>0</v>
      </c>
      <c r="L121" s="26">
        <f t="shared" si="312"/>
        <v>0</v>
      </c>
      <c r="M121" s="26">
        <f t="shared" si="312"/>
        <v>0</v>
      </c>
      <c r="N121" s="26">
        <f t="shared" si="312"/>
        <v>0</v>
      </c>
      <c r="O121" s="26">
        <f t="shared" si="312"/>
        <v>0</v>
      </c>
      <c r="P121" s="177">
        <f t="shared" si="312"/>
        <v>0</v>
      </c>
      <c r="Q121" s="192">
        <f t="shared" si="259"/>
        <v>0</v>
      </c>
      <c r="R121" s="26">
        <f t="shared" ref="R121:Y121" si="313">SUM(R119:R120)</f>
        <v>0</v>
      </c>
      <c r="S121" s="26">
        <f t="shared" si="313"/>
        <v>0</v>
      </c>
      <c r="T121" s="26">
        <f t="shared" si="313"/>
        <v>0</v>
      </c>
      <c r="U121" s="26">
        <f t="shared" si="313"/>
        <v>0</v>
      </c>
      <c r="V121" s="26">
        <f t="shared" si="313"/>
        <v>0</v>
      </c>
      <c r="W121" s="26">
        <f t="shared" si="313"/>
        <v>0</v>
      </c>
      <c r="X121" s="26">
        <f t="shared" si="313"/>
        <v>0</v>
      </c>
      <c r="Y121" s="26">
        <f t="shared" si="313"/>
        <v>0</v>
      </c>
      <c r="Z121" s="26">
        <f t="shared" ref="Z121:AC121" si="314">SUM(Z119:Z120)</f>
        <v>0</v>
      </c>
      <c r="AA121" s="26">
        <f t="shared" si="314"/>
        <v>0</v>
      </c>
      <c r="AB121" s="26">
        <f t="shared" si="314"/>
        <v>0</v>
      </c>
      <c r="AC121" s="177">
        <f t="shared" si="314"/>
        <v>0</v>
      </c>
      <c r="AD121" s="226">
        <f t="shared" si="260"/>
        <v>0</v>
      </c>
      <c r="AE121" s="26">
        <f t="shared" ref="AE121:AL121" si="315">SUM(AE119:AE120)</f>
        <v>0</v>
      </c>
      <c r="AF121" s="26">
        <f t="shared" si="315"/>
        <v>0</v>
      </c>
      <c r="AG121" s="26">
        <f t="shared" si="315"/>
        <v>0</v>
      </c>
      <c r="AH121" s="26">
        <f t="shared" si="315"/>
        <v>0</v>
      </c>
      <c r="AI121" s="26">
        <f t="shared" si="315"/>
        <v>0</v>
      </c>
      <c r="AJ121" s="26">
        <f t="shared" si="315"/>
        <v>0</v>
      </c>
      <c r="AK121" s="26">
        <f t="shared" si="315"/>
        <v>0</v>
      </c>
      <c r="AL121" s="26">
        <f t="shared" si="315"/>
        <v>0</v>
      </c>
      <c r="AM121" s="26">
        <f t="shared" ref="AM121:AP121" si="316">SUM(AM119:AM120)</f>
        <v>0</v>
      </c>
      <c r="AN121" s="26">
        <f t="shared" si="316"/>
        <v>0</v>
      </c>
      <c r="AO121" s="26">
        <f t="shared" si="316"/>
        <v>0</v>
      </c>
      <c r="AP121" s="26">
        <f t="shared" si="316"/>
        <v>0</v>
      </c>
      <c r="AQ121" s="192">
        <f t="shared" si="261"/>
        <v>0</v>
      </c>
      <c r="AR121" s="26"/>
      <c r="AS121" s="26">
        <f t="shared" ref="AS121:AZ121" si="317">SUM(AS119:AS120)</f>
        <v>0</v>
      </c>
      <c r="AT121" s="26">
        <f t="shared" si="317"/>
        <v>0</v>
      </c>
      <c r="AU121" s="26">
        <f t="shared" si="317"/>
        <v>0</v>
      </c>
      <c r="AV121" s="26">
        <f t="shared" si="317"/>
        <v>0</v>
      </c>
      <c r="AW121" s="26">
        <f t="shared" si="317"/>
        <v>0</v>
      </c>
      <c r="AX121" s="26">
        <f t="shared" si="317"/>
        <v>0</v>
      </c>
      <c r="AY121" s="26">
        <f t="shared" si="317"/>
        <v>0</v>
      </c>
      <c r="AZ121" s="26">
        <f t="shared" si="317"/>
        <v>0</v>
      </c>
      <c r="BA121" s="26">
        <f t="shared" ref="BA121:BD121" si="318">SUM(BA119:BA120)</f>
        <v>0</v>
      </c>
      <c r="BB121" s="26">
        <f t="shared" si="318"/>
        <v>0</v>
      </c>
      <c r="BC121" s="26">
        <f t="shared" si="318"/>
        <v>0</v>
      </c>
      <c r="BD121" s="26">
        <f t="shared" si="318"/>
        <v>0</v>
      </c>
      <c r="BE121" s="192">
        <f t="shared" si="158"/>
        <v>0</v>
      </c>
      <c r="BF121" s="26"/>
      <c r="BG121" s="26">
        <f t="shared" ref="BG121:BR121" si="319">SUM(BG119:BG120)</f>
        <v>0</v>
      </c>
      <c r="BH121" s="26">
        <f t="shared" si="319"/>
        <v>0</v>
      </c>
      <c r="BI121" s="26">
        <f t="shared" si="319"/>
        <v>0</v>
      </c>
      <c r="BJ121" s="26">
        <f t="shared" si="319"/>
        <v>0</v>
      </c>
      <c r="BK121" s="26">
        <f t="shared" si="319"/>
        <v>0</v>
      </c>
      <c r="BL121" s="26">
        <f t="shared" si="319"/>
        <v>0</v>
      </c>
      <c r="BM121" s="26">
        <f t="shared" si="319"/>
        <v>0</v>
      </c>
      <c r="BN121" s="26">
        <f t="shared" si="319"/>
        <v>0</v>
      </c>
      <c r="BO121" s="26">
        <f t="shared" si="319"/>
        <v>0</v>
      </c>
      <c r="BP121" s="26">
        <f t="shared" si="319"/>
        <v>0</v>
      </c>
      <c r="BQ121" s="26">
        <f t="shared" si="319"/>
        <v>0</v>
      </c>
      <c r="BR121" s="26">
        <f t="shared" si="319"/>
        <v>0</v>
      </c>
    </row>
    <row r="122" spans="1:70" ht="12.75" hidden="1" customHeight="1" outlineLevel="3" x14ac:dyDescent="0.2">
      <c r="B122" s="38" t="str">
        <f t="shared" si="294"/>
        <v>Сторно резерва годового бонуса бонуса</v>
      </c>
      <c r="C122" s="49" t="str">
        <f t="shared" si="294"/>
        <v>Reverse Bonus discretionary Accrual</v>
      </c>
      <c r="D122" s="168">
        <f t="shared" si="258"/>
        <v>0</v>
      </c>
      <c r="E122" s="40">
        <v>0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176">
        <v>0</v>
      </c>
      <c r="Q122" s="191">
        <f t="shared" si="259"/>
        <v>0</v>
      </c>
      <c r="R122" s="40">
        <v>0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176">
        <v>0</v>
      </c>
      <c r="AD122" s="225">
        <f t="shared" si="260"/>
        <v>0</v>
      </c>
      <c r="AE122" s="40">
        <v>0</v>
      </c>
      <c r="AF122" s="40">
        <v>0</v>
      </c>
      <c r="AG122" s="40">
        <v>0</v>
      </c>
      <c r="AH122" s="40">
        <v>0</v>
      </c>
      <c r="AI122" s="40">
        <v>0</v>
      </c>
      <c r="AJ122" s="40">
        <v>0</v>
      </c>
      <c r="AK122" s="40">
        <v>0</v>
      </c>
      <c r="AL122" s="40">
        <v>0</v>
      </c>
      <c r="AM122" s="40">
        <v>0</v>
      </c>
      <c r="AN122" s="40">
        <v>0</v>
      </c>
      <c r="AO122" s="40">
        <v>0</v>
      </c>
      <c r="AP122" s="40">
        <v>0</v>
      </c>
      <c r="AQ122" s="191">
        <f t="shared" si="261"/>
        <v>0</v>
      </c>
      <c r="AR122" s="40"/>
      <c r="AS122" s="40">
        <v>0</v>
      </c>
      <c r="AT122" s="40">
        <v>0</v>
      </c>
      <c r="AU122" s="40">
        <v>0</v>
      </c>
      <c r="AV122" s="40">
        <v>0</v>
      </c>
      <c r="AW122" s="40">
        <v>0</v>
      </c>
      <c r="AX122" s="40">
        <v>0</v>
      </c>
      <c r="AY122" s="40">
        <v>0</v>
      </c>
      <c r="AZ122" s="40">
        <v>0</v>
      </c>
      <c r="BA122" s="40">
        <v>0</v>
      </c>
      <c r="BB122" s="40">
        <v>0</v>
      </c>
      <c r="BC122" s="40">
        <v>0</v>
      </c>
      <c r="BD122" s="40">
        <v>0</v>
      </c>
      <c r="BE122" s="191">
        <f t="shared" si="158"/>
        <v>0</v>
      </c>
      <c r="BF122" s="40"/>
      <c r="BG122" s="40">
        <v>0</v>
      </c>
      <c r="BH122" s="40">
        <v>0</v>
      </c>
      <c r="BI122" s="40">
        <v>0</v>
      </c>
      <c r="BJ122" s="40">
        <v>0</v>
      </c>
      <c r="BK122" s="40">
        <v>0</v>
      </c>
      <c r="BL122" s="40">
        <v>0</v>
      </c>
      <c r="BM122" s="40">
        <v>0</v>
      </c>
      <c r="BN122" s="40">
        <v>0</v>
      </c>
      <c r="BO122" s="40">
        <v>0</v>
      </c>
      <c r="BP122" s="40">
        <v>0</v>
      </c>
      <c r="BQ122" s="40">
        <v>0</v>
      </c>
      <c r="BR122" s="40">
        <v>0</v>
      </c>
    </row>
    <row r="123" spans="1:70" ht="12.75" hidden="1" customHeight="1" outlineLevel="3" x14ac:dyDescent="0.2">
      <c r="B123" s="38" t="str">
        <f t="shared" si="294"/>
        <v>Страховые взносы, сторно резерва годового бонуса</v>
      </c>
      <c r="C123" s="49" t="str">
        <f t="shared" si="294"/>
        <v>Social Security on Bonus discretionary Accrual</v>
      </c>
      <c r="D123" s="168">
        <f t="shared" si="258"/>
        <v>0</v>
      </c>
      <c r="E123" s="40">
        <v>0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176">
        <v>0</v>
      </c>
      <c r="Q123" s="191">
        <f t="shared" si="259"/>
        <v>0</v>
      </c>
      <c r="R123" s="40">
        <v>0</v>
      </c>
      <c r="S123" s="40">
        <v>0</v>
      </c>
      <c r="T123" s="40">
        <v>0</v>
      </c>
      <c r="U123" s="40">
        <v>0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176">
        <v>0</v>
      </c>
      <c r="AD123" s="225">
        <f t="shared" si="260"/>
        <v>0</v>
      </c>
      <c r="AE123" s="40">
        <v>0</v>
      </c>
      <c r="AF123" s="40">
        <v>0</v>
      </c>
      <c r="AG123" s="40">
        <v>0</v>
      </c>
      <c r="AH123" s="40">
        <v>0</v>
      </c>
      <c r="AI123" s="40">
        <v>0</v>
      </c>
      <c r="AJ123" s="40">
        <v>0</v>
      </c>
      <c r="AK123" s="40">
        <v>0</v>
      </c>
      <c r="AL123" s="40">
        <v>0</v>
      </c>
      <c r="AM123" s="40">
        <v>0</v>
      </c>
      <c r="AN123" s="40">
        <v>0</v>
      </c>
      <c r="AO123" s="40">
        <v>0</v>
      </c>
      <c r="AP123" s="40">
        <v>0</v>
      </c>
      <c r="AQ123" s="191">
        <f t="shared" si="261"/>
        <v>0</v>
      </c>
      <c r="AR123" s="40"/>
      <c r="AS123" s="40">
        <v>0</v>
      </c>
      <c r="AT123" s="40">
        <v>0</v>
      </c>
      <c r="AU123" s="40">
        <v>0</v>
      </c>
      <c r="AV123" s="40">
        <v>0</v>
      </c>
      <c r="AW123" s="40">
        <v>0</v>
      </c>
      <c r="AX123" s="40">
        <v>0</v>
      </c>
      <c r="AY123" s="40">
        <v>0</v>
      </c>
      <c r="AZ123" s="40">
        <v>0</v>
      </c>
      <c r="BA123" s="40">
        <v>0</v>
      </c>
      <c r="BB123" s="40">
        <v>0</v>
      </c>
      <c r="BC123" s="40">
        <v>0</v>
      </c>
      <c r="BD123" s="40">
        <v>0</v>
      </c>
      <c r="BE123" s="191">
        <f t="shared" si="158"/>
        <v>0</v>
      </c>
      <c r="BF123" s="40"/>
      <c r="BG123" s="40">
        <v>0</v>
      </c>
      <c r="BH123" s="40">
        <v>0</v>
      </c>
      <c r="BI123" s="40">
        <v>0</v>
      </c>
      <c r="BJ123" s="40">
        <v>0</v>
      </c>
      <c r="BK123" s="40">
        <v>0</v>
      </c>
      <c r="BL123" s="40">
        <v>0</v>
      </c>
      <c r="BM123" s="40">
        <v>0</v>
      </c>
      <c r="BN123" s="40">
        <v>0</v>
      </c>
      <c r="BO123" s="40">
        <v>0</v>
      </c>
      <c r="BP123" s="40">
        <v>0</v>
      </c>
      <c r="BQ123" s="40">
        <v>0</v>
      </c>
      <c r="BR123" s="40">
        <v>0</v>
      </c>
    </row>
    <row r="124" spans="1:70" s="6" customFormat="1" hidden="1" outlineLevel="2" x14ac:dyDescent="0.2">
      <c r="A124" s="30"/>
      <c r="B124" s="29" t="str">
        <f t="shared" si="294"/>
        <v>Итого сторно резерва годового бонуса</v>
      </c>
      <c r="C124" s="52" t="str">
        <f t="shared" si="294"/>
        <v>Total  Reverse Bonus discretionary Accrual</v>
      </c>
      <c r="D124" s="169">
        <f t="shared" si="258"/>
        <v>0</v>
      </c>
      <c r="E124" s="26">
        <f t="shared" ref="E124:P124" si="320">SUM(E122:E123)</f>
        <v>0</v>
      </c>
      <c r="F124" s="26">
        <f t="shared" si="320"/>
        <v>0</v>
      </c>
      <c r="G124" s="26">
        <f t="shared" si="320"/>
        <v>0</v>
      </c>
      <c r="H124" s="26">
        <f t="shared" si="320"/>
        <v>0</v>
      </c>
      <c r="I124" s="26">
        <f t="shared" si="320"/>
        <v>0</v>
      </c>
      <c r="J124" s="26">
        <f t="shared" si="320"/>
        <v>0</v>
      </c>
      <c r="K124" s="26">
        <f t="shared" si="320"/>
        <v>0</v>
      </c>
      <c r="L124" s="26">
        <f t="shared" si="320"/>
        <v>0</v>
      </c>
      <c r="M124" s="26">
        <f t="shared" si="320"/>
        <v>0</v>
      </c>
      <c r="N124" s="26">
        <f t="shared" si="320"/>
        <v>0</v>
      </c>
      <c r="O124" s="26">
        <f t="shared" si="320"/>
        <v>0</v>
      </c>
      <c r="P124" s="177">
        <f t="shared" si="320"/>
        <v>0</v>
      </c>
      <c r="Q124" s="192">
        <f t="shared" si="259"/>
        <v>0</v>
      </c>
      <c r="R124" s="26">
        <f t="shared" ref="R124:Y124" si="321">SUM(R122:R123)</f>
        <v>0</v>
      </c>
      <c r="S124" s="26">
        <f t="shared" si="321"/>
        <v>0</v>
      </c>
      <c r="T124" s="26">
        <f t="shared" si="321"/>
        <v>0</v>
      </c>
      <c r="U124" s="26">
        <f t="shared" si="321"/>
        <v>0</v>
      </c>
      <c r="V124" s="26">
        <f t="shared" si="321"/>
        <v>0</v>
      </c>
      <c r="W124" s="26">
        <f t="shared" si="321"/>
        <v>0</v>
      </c>
      <c r="X124" s="26">
        <f t="shared" si="321"/>
        <v>0</v>
      </c>
      <c r="Y124" s="26">
        <f t="shared" si="321"/>
        <v>0</v>
      </c>
      <c r="Z124" s="26">
        <f t="shared" ref="Z124:AC124" si="322">SUM(Z122:Z123)</f>
        <v>0</v>
      </c>
      <c r="AA124" s="26">
        <f t="shared" si="322"/>
        <v>0</v>
      </c>
      <c r="AB124" s="26">
        <f t="shared" si="322"/>
        <v>0</v>
      </c>
      <c r="AC124" s="177">
        <f t="shared" si="322"/>
        <v>0</v>
      </c>
      <c r="AD124" s="226">
        <f t="shared" si="260"/>
        <v>0</v>
      </c>
      <c r="AE124" s="26">
        <f t="shared" ref="AE124:AL124" si="323">SUM(AE122:AE123)</f>
        <v>0</v>
      </c>
      <c r="AF124" s="26">
        <f t="shared" si="323"/>
        <v>0</v>
      </c>
      <c r="AG124" s="26">
        <f t="shared" si="323"/>
        <v>0</v>
      </c>
      <c r="AH124" s="26">
        <f t="shared" si="323"/>
        <v>0</v>
      </c>
      <c r="AI124" s="26">
        <f t="shared" si="323"/>
        <v>0</v>
      </c>
      <c r="AJ124" s="26">
        <f t="shared" si="323"/>
        <v>0</v>
      </c>
      <c r="AK124" s="26">
        <f t="shared" si="323"/>
        <v>0</v>
      </c>
      <c r="AL124" s="26">
        <f t="shared" si="323"/>
        <v>0</v>
      </c>
      <c r="AM124" s="26">
        <f t="shared" ref="AM124:AP124" si="324">SUM(AM122:AM123)</f>
        <v>0</v>
      </c>
      <c r="AN124" s="26">
        <f t="shared" si="324"/>
        <v>0</v>
      </c>
      <c r="AO124" s="26">
        <f t="shared" si="324"/>
        <v>0</v>
      </c>
      <c r="AP124" s="26">
        <f t="shared" si="324"/>
        <v>0</v>
      </c>
      <c r="AQ124" s="192">
        <f t="shared" si="261"/>
        <v>0</v>
      </c>
      <c r="AR124" s="26"/>
      <c r="AS124" s="26">
        <f t="shared" ref="AS124:AZ124" si="325">SUM(AS122:AS123)</f>
        <v>0</v>
      </c>
      <c r="AT124" s="26">
        <f t="shared" si="325"/>
        <v>0</v>
      </c>
      <c r="AU124" s="26">
        <f t="shared" si="325"/>
        <v>0</v>
      </c>
      <c r="AV124" s="26">
        <f t="shared" si="325"/>
        <v>0</v>
      </c>
      <c r="AW124" s="26">
        <f t="shared" si="325"/>
        <v>0</v>
      </c>
      <c r="AX124" s="26">
        <f t="shared" si="325"/>
        <v>0</v>
      </c>
      <c r="AY124" s="26">
        <f t="shared" si="325"/>
        <v>0</v>
      </c>
      <c r="AZ124" s="26">
        <f t="shared" si="325"/>
        <v>0</v>
      </c>
      <c r="BA124" s="26">
        <f t="shared" ref="BA124:BD124" si="326">SUM(BA122:BA123)</f>
        <v>0</v>
      </c>
      <c r="BB124" s="26">
        <f t="shared" si="326"/>
        <v>0</v>
      </c>
      <c r="BC124" s="26">
        <f t="shared" si="326"/>
        <v>0</v>
      </c>
      <c r="BD124" s="26">
        <f t="shared" si="326"/>
        <v>0</v>
      </c>
      <c r="BE124" s="192">
        <f t="shared" si="158"/>
        <v>0</v>
      </c>
      <c r="BF124" s="26"/>
      <c r="BG124" s="26">
        <f t="shared" ref="BG124:BR124" si="327">SUM(BG122:BG123)</f>
        <v>0</v>
      </c>
      <c r="BH124" s="26">
        <f t="shared" si="327"/>
        <v>0</v>
      </c>
      <c r="BI124" s="26">
        <f t="shared" si="327"/>
        <v>0</v>
      </c>
      <c r="BJ124" s="26">
        <f t="shared" si="327"/>
        <v>0</v>
      </c>
      <c r="BK124" s="26">
        <f t="shared" si="327"/>
        <v>0</v>
      </c>
      <c r="BL124" s="26">
        <f t="shared" si="327"/>
        <v>0</v>
      </c>
      <c r="BM124" s="26">
        <f t="shared" si="327"/>
        <v>0</v>
      </c>
      <c r="BN124" s="26">
        <f t="shared" si="327"/>
        <v>0</v>
      </c>
      <c r="BO124" s="26">
        <f t="shared" si="327"/>
        <v>0</v>
      </c>
      <c r="BP124" s="26">
        <f t="shared" si="327"/>
        <v>0</v>
      </c>
      <c r="BQ124" s="26">
        <f t="shared" si="327"/>
        <v>0</v>
      </c>
      <c r="BR124" s="26">
        <f t="shared" si="327"/>
        <v>0</v>
      </c>
    </row>
    <row r="125" spans="1:70" ht="12.75" hidden="1" customHeight="1" outlineLevel="3" x14ac:dyDescent="0.2">
      <c r="B125" s="38" t="str">
        <f t="shared" si="294"/>
        <v>Годовой бонус</v>
      </c>
      <c r="C125" s="49" t="str">
        <f t="shared" si="294"/>
        <v>Bonus discretionary cash</v>
      </c>
      <c r="D125" s="168">
        <f t="shared" si="258"/>
        <v>2631062065.8431091</v>
      </c>
      <c r="E125" s="40">
        <v>-603093921</v>
      </c>
      <c r="F125" s="40">
        <f t="shared" ref="F125:P125" si="328">3528170167.46521*1/12</f>
        <v>294014180.62210083</v>
      </c>
      <c r="G125" s="40">
        <f t="shared" si="328"/>
        <v>294014180.62210083</v>
      </c>
      <c r="H125" s="40">
        <f t="shared" si="328"/>
        <v>294014180.62210083</v>
      </c>
      <c r="I125" s="40">
        <f t="shared" si="328"/>
        <v>294014180.62210083</v>
      </c>
      <c r="J125" s="40">
        <f t="shared" si="328"/>
        <v>294014180.62210083</v>
      </c>
      <c r="K125" s="40">
        <f t="shared" si="328"/>
        <v>294014180.62210083</v>
      </c>
      <c r="L125" s="40">
        <f t="shared" si="328"/>
        <v>294014180.62210083</v>
      </c>
      <c r="M125" s="40">
        <f t="shared" si="328"/>
        <v>294014180.62210083</v>
      </c>
      <c r="N125" s="40">
        <f t="shared" si="328"/>
        <v>294014180.62210083</v>
      </c>
      <c r="O125" s="40">
        <f t="shared" si="328"/>
        <v>294014180.62210083</v>
      </c>
      <c r="P125" s="176">
        <f t="shared" si="328"/>
        <v>294014180.62210083</v>
      </c>
      <c r="Q125" s="191">
        <f t="shared" si="259"/>
        <v>2631062065.8431091</v>
      </c>
      <c r="R125" s="40">
        <v>-603093921</v>
      </c>
      <c r="S125" s="40">
        <f t="shared" ref="S125:Y125" si="329">3528170167.46521*1/12</f>
        <v>294014180.62210083</v>
      </c>
      <c r="T125" s="40">
        <f t="shared" si="329"/>
        <v>294014180.62210083</v>
      </c>
      <c r="U125" s="40">
        <f t="shared" si="329"/>
        <v>294014180.62210083</v>
      </c>
      <c r="V125" s="40">
        <f t="shared" si="329"/>
        <v>294014180.62210083</v>
      </c>
      <c r="W125" s="40">
        <f t="shared" si="329"/>
        <v>294014180.62210083</v>
      </c>
      <c r="X125" s="40">
        <f t="shared" si="329"/>
        <v>294014180.62210083</v>
      </c>
      <c r="Y125" s="40">
        <f t="shared" si="329"/>
        <v>294014180.62210083</v>
      </c>
      <c r="Z125" s="40">
        <f t="shared" ref="Z125:AC125" si="330">3528170167.46521*1/12</f>
        <v>294014180.62210083</v>
      </c>
      <c r="AA125" s="40">
        <f t="shared" si="330"/>
        <v>294014180.62210083</v>
      </c>
      <c r="AB125" s="40">
        <f t="shared" si="330"/>
        <v>294014180.62210083</v>
      </c>
      <c r="AC125" s="176">
        <f t="shared" si="330"/>
        <v>294014180.62210083</v>
      </c>
      <c r="AD125" s="225">
        <f t="shared" si="260"/>
        <v>2631062065.8431091</v>
      </c>
      <c r="AE125" s="40">
        <v>-603093921</v>
      </c>
      <c r="AF125" s="40">
        <f t="shared" ref="AF125:AL125" si="331">3528170167.46521*1/12</f>
        <v>294014180.62210083</v>
      </c>
      <c r="AG125" s="40">
        <f t="shared" si="331"/>
        <v>294014180.62210083</v>
      </c>
      <c r="AH125" s="40">
        <f t="shared" si="331"/>
        <v>294014180.62210083</v>
      </c>
      <c r="AI125" s="40">
        <f t="shared" si="331"/>
        <v>294014180.62210083</v>
      </c>
      <c r="AJ125" s="40">
        <f t="shared" si="331"/>
        <v>294014180.62210083</v>
      </c>
      <c r="AK125" s="40">
        <f t="shared" si="331"/>
        <v>294014180.62210083</v>
      </c>
      <c r="AL125" s="40">
        <f t="shared" si="331"/>
        <v>294014180.62210083</v>
      </c>
      <c r="AM125" s="40">
        <f t="shared" ref="AM125:AP125" si="332">3528170167.46521*1/12</f>
        <v>294014180.62210083</v>
      </c>
      <c r="AN125" s="40">
        <f t="shared" si="332"/>
        <v>294014180.62210083</v>
      </c>
      <c r="AO125" s="40">
        <f t="shared" si="332"/>
        <v>294014180.62210083</v>
      </c>
      <c r="AP125" s="40">
        <f t="shared" si="332"/>
        <v>294014180.62210083</v>
      </c>
      <c r="AQ125" s="191">
        <f t="shared" si="261"/>
        <v>0</v>
      </c>
      <c r="AR125" s="40"/>
      <c r="AS125" s="40">
        <v>-603093921</v>
      </c>
      <c r="AT125" s="40">
        <f t="shared" ref="AT125:AZ125" si="333">3528170167.46521*1/12</f>
        <v>294014180.62210083</v>
      </c>
      <c r="AU125" s="40">
        <f t="shared" si="333"/>
        <v>294014180.62210083</v>
      </c>
      <c r="AV125" s="40">
        <f t="shared" si="333"/>
        <v>294014180.62210083</v>
      </c>
      <c r="AW125" s="40">
        <f t="shared" si="333"/>
        <v>294014180.62210083</v>
      </c>
      <c r="AX125" s="40">
        <f t="shared" si="333"/>
        <v>294014180.62210083</v>
      </c>
      <c r="AY125" s="40">
        <f t="shared" si="333"/>
        <v>294014180.62210083</v>
      </c>
      <c r="AZ125" s="40">
        <f t="shared" si="333"/>
        <v>294014180.62210083</v>
      </c>
      <c r="BA125" s="40">
        <f t="shared" ref="BA125:BD125" si="334">3528170167.46521*1/12</f>
        <v>294014180.62210083</v>
      </c>
      <c r="BB125" s="40">
        <f t="shared" si="334"/>
        <v>294014180.62210083</v>
      </c>
      <c r="BC125" s="40">
        <f t="shared" si="334"/>
        <v>294014180.62210083</v>
      </c>
      <c r="BD125" s="40">
        <f t="shared" si="334"/>
        <v>294014180.62210083</v>
      </c>
      <c r="BE125" s="191">
        <f t="shared" si="158"/>
        <v>-603093921</v>
      </c>
      <c r="BF125" s="40"/>
      <c r="BG125" s="40">
        <v>-603093921</v>
      </c>
      <c r="BH125" s="40">
        <f t="shared" ref="BH125:BR125" si="335">3528170167.46521*1/12</f>
        <v>294014180.62210083</v>
      </c>
      <c r="BI125" s="40">
        <f t="shared" si="335"/>
        <v>294014180.62210083</v>
      </c>
      <c r="BJ125" s="40">
        <f t="shared" si="335"/>
        <v>294014180.62210083</v>
      </c>
      <c r="BK125" s="40">
        <f t="shared" si="335"/>
        <v>294014180.62210083</v>
      </c>
      <c r="BL125" s="40">
        <f t="shared" si="335"/>
        <v>294014180.62210083</v>
      </c>
      <c r="BM125" s="40">
        <f t="shared" si="335"/>
        <v>294014180.62210083</v>
      </c>
      <c r="BN125" s="40">
        <f t="shared" si="335"/>
        <v>294014180.62210083</v>
      </c>
      <c r="BO125" s="40">
        <f t="shared" si="335"/>
        <v>294014180.62210083</v>
      </c>
      <c r="BP125" s="40">
        <f t="shared" si="335"/>
        <v>294014180.62210083</v>
      </c>
      <c r="BQ125" s="40">
        <f t="shared" si="335"/>
        <v>294014180.62210083</v>
      </c>
      <c r="BR125" s="40">
        <f t="shared" si="335"/>
        <v>294014180.62210083</v>
      </c>
    </row>
    <row r="126" spans="1:70" ht="12.75" hidden="1" customHeight="1" outlineLevel="3" x14ac:dyDescent="0.2">
      <c r="B126" s="38" t="str">
        <f t="shared" si="294"/>
        <v>Страховые взносы, годовой бонус</v>
      </c>
      <c r="C126" s="49" t="str">
        <f t="shared" si="294"/>
        <v>Social Security on discretionary Bonus cash</v>
      </c>
      <c r="D126" s="171">
        <f t="shared" si="258"/>
        <v>558819216.56597638</v>
      </c>
      <c r="E126" s="35">
        <v>-39499641</v>
      </c>
      <c r="F126" s="35">
        <f t="shared" ref="F126:P126" si="336">652711480.981065*1/12</f>
        <v>54392623.41508875</v>
      </c>
      <c r="G126" s="35">
        <f t="shared" si="336"/>
        <v>54392623.41508875</v>
      </c>
      <c r="H126" s="35">
        <f t="shared" si="336"/>
        <v>54392623.41508875</v>
      </c>
      <c r="I126" s="35">
        <f t="shared" si="336"/>
        <v>54392623.41508875</v>
      </c>
      <c r="J126" s="35">
        <f t="shared" si="336"/>
        <v>54392623.41508875</v>
      </c>
      <c r="K126" s="35">
        <f t="shared" si="336"/>
        <v>54392623.41508875</v>
      </c>
      <c r="L126" s="35">
        <f t="shared" si="336"/>
        <v>54392623.41508875</v>
      </c>
      <c r="M126" s="35">
        <f t="shared" si="336"/>
        <v>54392623.41508875</v>
      </c>
      <c r="N126" s="35">
        <f t="shared" si="336"/>
        <v>54392623.41508875</v>
      </c>
      <c r="O126" s="35">
        <f t="shared" si="336"/>
        <v>54392623.41508875</v>
      </c>
      <c r="P126" s="179">
        <f t="shared" si="336"/>
        <v>54392623.41508875</v>
      </c>
      <c r="Q126" s="194">
        <f t="shared" si="259"/>
        <v>558819216.56597638</v>
      </c>
      <c r="R126" s="35">
        <v>-39499641</v>
      </c>
      <c r="S126" s="35">
        <f t="shared" ref="S126:Y126" si="337">652711480.981065*1/12</f>
        <v>54392623.41508875</v>
      </c>
      <c r="T126" s="35">
        <f t="shared" si="337"/>
        <v>54392623.41508875</v>
      </c>
      <c r="U126" s="35">
        <f t="shared" si="337"/>
        <v>54392623.41508875</v>
      </c>
      <c r="V126" s="35">
        <f t="shared" si="337"/>
        <v>54392623.41508875</v>
      </c>
      <c r="W126" s="35">
        <f t="shared" si="337"/>
        <v>54392623.41508875</v>
      </c>
      <c r="X126" s="35">
        <f t="shared" si="337"/>
        <v>54392623.41508875</v>
      </c>
      <c r="Y126" s="35">
        <f t="shared" si="337"/>
        <v>54392623.41508875</v>
      </c>
      <c r="Z126" s="35">
        <f t="shared" ref="Z126:AC126" si="338">652711480.981065*1/12</f>
        <v>54392623.41508875</v>
      </c>
      <c r="AA126" s="35">
        <f t="shared" si="338"/>
        <v>54392623.41508875</v>
      </c>
      <c r="AB126" s="35">
        <f t="shared" si="338"/>
        <v>54392623.41508875</v>
      </c>
      <c r="AC126" s="179">
        <f t="shared" si="338"/>
        <v>54392623.41508875</v>
      </c>
      <c r="AD126" s="225">
        <f t="shared" si="260"/>
        <v>558819216.56597638</v>
      </c>
      <c r="AE126" s="35">
        <v>-39499641</v>
      </c>
      <c r="AF126" s="35">
        <f t="shared" ref="AF126:AL126" si="339">652711480.981065*1/12</f>
        <v>54392623.41508875</v>
      </c>
      <c r="AG126" s="35">
        <f t="shared" si="339"/>
        <v>54392623.41508875</v>
      </c>
      <c r="AH126" s="35">
        <f t="shared" si="339"/>
        <v>54392623.41508875</v>
      </c>
      <c r="AI126" s="35">
        <f t="shared" si="339"/>
        <v>54392623.41508875</v>
      </c>
      <c r="AJ126" s="35">
        <f t="shared" si="339"/>
        <v>54392623.41508875</v>
      </c>
      <c r="AK126" s="35">
        <f t="shared" si="339"/>
        <v>54392623.41508875</v>
      </c>
      <c r="AL126" s="35">
        <f t="shared" si="339"/>
        <v>54392623.41508875</v>
      </c>
      <c r="AM126" s="35">
        <f t="shared" ref="AM126:AP126" si="340">652711480.981065*1/12</f>
        <v>54392623.41508875</v>
      </c>
      <c r="AN126" s="35">
        <f t="shared" si="340"/>
        <v>54392623.41508875</v>
      </c>
      <c r="AO126" s="35">
        <f t="shared" si="340"/>
        <v>54392623.41508875</v>
      </c>
      <c r="AP126" s="35">
        <f t="shared" si="340"/>
        <v>54392623.41508875</v>
      </c>
      <c r="AQ126" s="194">
        <f t="shared" si="261"/>
        <v>0</v>
      </c>
      <c r="AR126" s="35"/>
      <c r="AS126" s="35">
        <v>-39499641</v>
      </c>
      <c r="AT126" s="35">
        <f t="shared" ref="AT126:AZ126" si="341">652711480.981065*1/12</f>
        <v>54392623.41508875</v>
      </c>
      <c r="AU126" s="35">
        <f t="shared" si="341"/>
        <v>54392623.41508875</v>
      </c>
      <c r="AV126" s="35">
        <f t="shared" si="341"/>
        <v>54392623.41508875</v>
      </c>
      <c r="AW126" s="35">
        <f t="shared" si="341"/>
        <v>54392623.41508875</v>
      </c>
      <c r="AX126" s="35">
        <f t="shared" si="341"/>
        <v>54392623.41508875</v>
      </c>
      <c r="AY126" s="35">
        <f t="shared" si="341"/>
        <v>54392623.41508875</v>
      </c>
      <c r="AZ126" s="35">
        <f t="shared" si="341"/>
        <v>54392623.41508875</v>
      </c>
      <c r="BA126" s="35">
        <f t="shared" ref="BA126:BD126" si="342">652711480.981065*1/12</f>
        <v>54392623.41508875</v>
      </c>
      <c r="BB126" s="35">
        <f t="shared" si="342"/>
        <v>54392623.41508875</v>
      </c>
      <c r="BC126" s="35">
        <f t="shared" si="342"/>
        <v>54392623.41508875</v>
      </c>
      <c r="BD126" s="35">
        <f t="shared" si="342"/>
        <v>54392623.41508875</v>
      </c>
      <c r="BE126" s="194">
        <f t="shared" si="158"/>
        <v>-39499641</v>
      </c>
      <c r="BF126" s="35"/>
      <c r="BG126" s="35">
        <v>-39499641</v>
      </c>
      <c r="BH126" s="35">
        <f t="shared" ref="BH126:BR126" si="343">652711480.981065*1/12</f>
        <v>54392623.41508875</v>
      </c>
      <c r="BI126" s="35">
        <f t="shared" si="343"/>
        <v>54392623.41508875</v>
      </c>
      <c r="BJ126" s="35">
        <f t="shared" si="343"/>
        <v>54392623.41508875</v>
      </c>
      <c r="BK126" s="35">
        <f t="shared" si="343"/>
        <v>54392623.41508875</v>
      </c>
      <c r="BL126" s="35">
        <f t="shared" si="343"/>
        <v>54392623.41508875</v>
      </c>
      <c r="BM126" s="35">
        <f t="shared" si="343"/>
        <v>54392623.41508875</v>
      </c>
      <c r="BN126" s="35">
        <f t="shared" si="343"/>
        <v>54392623.41508875</v>
      </c>
      <c r="BO126" s="35">
        <f t="shared" si="343"/>
        <v>54392623.41508875</v>
      </c>
      <c r="BP126" s="35">
        <f t="shared" si="343"/>
        <v>54392623.41508875</v>
      </c>
      <c r="BQ126" s="35">
        <f t="shared" si="343"/>
        <v>54392623.41508875</v>
      </c>
      <c r="BR126" s="35">
        <f t="shared" si="343"/>
        <v>54392623.41508875</v>
      </c>
    </row>
    <row r="127" spans="1:70" s="6" customFormat="1" hidden="1" outlineLevel="2" x14ac:dyDescent="0.2">
      <c r="A127" s="30"/>
      <c r="B127" s="29" t="str">
        <f t="shared" si="294"/>
        <v>Итого годовой бонус</v>
      </c>
      <c r="C127" s="165" t="str">
        <f t="shared" si="294"/>
        <v>Total Bonus discretionary cash</v>
      </c>
      <c r="D127" s="169">
        <f t="shared" si="258"/>
        <v>3189881282.4090848</v>
      </c>
      <c r="E127" s="26">
        <f>SUM(E119:E126)</f>
        <v>-642593562</v>
      </c>
      <c r="F127" s="26">
        <f t="shared" ref="F127:P127" si="344">SUM(F125:F126)</f>
        <v>348406804.0371896</v>
      </c>
      <c r="G127" s="26">
        <f t="shared" si="344"/>
        <v>348406804.0371896</v>
      </c>
      <c r="H127" s="26">
        <f t="shared" si="344"/>
        <v>348406804.0371896</v>
      </c>
      <c r="I127" s="26">
        <f t="shared" si="344"/>
        <v>348406804.0371896</v>
      </c>
      <c r="J127" s="26">
        <f t="shared" si="344"/>
        <v>348406804.0371896</v>
      </c>
      <c r="K127" s="26">
        <f t="shared" si="344"/>
        <v>348406804.0371896</v>
      </c>
      <c r="L127" s="26">
        <f t="shared" si="344"/>
        <v>348406804.0371896</v>
      </c>
      <c r="M127" s="26">
        <f t="shared" si="344"/>
        <v>348406804.0371896</v>
      </c>
      <c r="N127" s="26">
        <f t="shared" si="344"/>
        <v>348406804.0371896</v>
      </c>
      <c r="O127" s="26">
        <f t="shared" si="344"/>
        <v>348406804.0371896</v>
      </c>
      <c r="P127" s="177">
        <f t="shared" si="344"/>
        <v>348406804.0371896</v>
      </c>
      <c r="Q127" s="192">
        <f t="shared" si="259"/>
        <v>3189881282.4090848</v>
      </c>
      <c r="R127" s="26">
        <f>SUM(R119:R126)</f>
        <v>-642593562</v>
      </c>
      <c r="S127" s="26">
        <f t="shared" ref="S127:Y127" si="345">SUM(S125:S126)</f>
        <v>348406804.0371896</v>
      </c>
      <c r="T127" s="26">
        <f t="shared" si="345"/>
        <v>348406804.0371896</v>
      </c>
      <c r="U127" s="26">
        <f t="shared" si="345"/>
        <v>348406804.0371896</v>
      </c>
      <c r="V127" s="26">
        <f t="shared" si="345"/>
        <v>348406804.0371896</v>
      </c>
      <c r="W127" s="26">
        <f t="shared" si="345"/>
        <v>348406804.0371896</v>
      </c>
      <c r="X127" s="26">
        <f t="shared" si="345"/>
        <v>348406804.0371896</v>
      </c>
      <c r="Y127" s="26">
        <f t="shared" si="345"/>
        <v>348406804.0371896</v>
      </c>
      <c r="Z127" s="26">
        <f t="shared" ref="Z127:AC127" si="346">SUM(Z125:Z126)</f>
        <v>348406804.0371896</v>
      </c>
      <c r="AA127" s="26">
        <f t="shared" si="346"/>
        <v>348406804.0371896</v>
      </c>
      <c r="AB127" s="26">
        <f t="shared" si="346"/>
        <v>348406804.0371896</v>
      </c>
      <c r="AC127" s="177">
        <f t="shared" si="346"/>
        <v>348406804.0371896</v>
      </c>
      <c r="AD127" s="226">
        <f t="shared" si="260"/>
        <v>3189881282.4090848</v>
      </c>
      <c r="AE127" s="26">
        <f>SUM(AE119:AE126)</f>
        <v>-642593562</v>
      </c>
      <c r="AF127" s="26">
        <f t="shared" ref="AF127:AL127" si="347">SUM(AF125:AF126)</f>
        <v>348406804.0371896</v>
      </c>
      <c r="AG127" s="26">
        <f t="shared" si="347"/>
        <v>348406804.0371896</v>
      </c>
      <c r="AH127" s="26">
        <f t="shared" si="347"/>
        <v>348406804.0371896</v>
      </c>
      <c r="AI127" s="26">
        <f t="shared" si="347"/>
        <v>348406804.0371896</v>
      </c>
      <c r="AJ127" s="26">
        <f t="shared" si="347"/>
        <v>348406804.0371896</v>
      </c>
      <c r="AK127" s="26">
        <f t="shared" si="347"/>
        <v>348406804.0371896</v>
      </c>
      <c r="AL127" s="26">
        <f t="shared" si="347"/>
        <v>348406804.0371896</v>
      </c>
      <c r="AM127" s="26">
        <f t="shared" ref="AM127:AP127" si="348">SUM(AM125:AM126)</f>
        <v>348406804.0371896</v>
      </c>
      <c r="AN127" s="26">
        <f t="shared" si="348"/>
        <v>348406804.0371896</v>
      </c>
      <c r="AO127" s="26">
        <f t="shared" si="348"/>
        <v>348406804.0371896</v>
      </c>
      <c r="AP127" s="26">
        <f t="shared" si="348"/>
        <v>348406804.0371896</v>
      </c>
      <c r="AQ127" s="192">
        <f t="shared" si="261"/>
        <v>0</v>
      </c>
      <c r="AR127" s="26"/>
      <c r="AS127" s="26">
        <f>SUM(AS119:AS126)</f>
        <v>-642593562</v>
      </c>
      <c r="AT127" s="26">
        <f t="shared" ref="AT127:AZ127" si="349">SUM(AT125:AT126)</f>
        <v>348406804.0371896</v>
      </c>
      <c r="AU127" s="26">
        <f t="shared" si="349"/>
        <v>348406804.0371896</v>
      </c>
      <c r="AV127" s="26">
        <f t="shared" si="349"/>
        <v>348406804.0371896</v>
      </c>
      <c r="AW127" s="26">
        <f t="shared" si="349"/>
        <v>348406804.0371896</v>
      </c>
      <c r="AX127" s="26">
        <f t="shared" si="349"/>
        <v>348406804.0371896</v>
      </c>
      <c r="AY127" s="26">
        <f t="shared" si="349"/>
        <v>348406804.0371896</v>
      </c>
      <c r="AZ127" s="26">
        <f t="shared" si="349"/>
        <v>348406804.0371896</v>
      </c>
      <c r="BA127" s="26">
        <f t="shared" ref="BA127:BD127" si="350">SUM(BA125:BA126)</f>
        <v>348406804.0371896</v>
      </c>
      <c r="BB127" s="26">
        <f t="shared" si="350"/>
        <v>348406804.0371896</v>
      </c>
      <c r="BC127" s="26">
        <f t="shared" si="350"/>
        <v>348406804.0371896</v>
      </c>
      <c r="BD127" s="26">
        <f t="shared" si="350"/>
        <v>348406804.0371896</v>
      </c>
      <c r="BE127" s="192">
        <f t="shared" si="158"/>
        <v>-642593562</v>
      </c>
      <c r="BF127" s="26"/>
      <c r="BG127" s="26">
        <f>SUM(BG119:BG126)</f>
        <v>-642593562</v>
      </c>
      <c r="BH127" s="26">
        <f t="shared" ref="BH127:BR127" si="351">SUM(BH125:BH126)</f>
        <v>348406804.0371896</v>
      </c>
      <c r="BI127" s="26">
        <f t="shared" si="351"/>
        <v>348406804.0371896</v>
      </c>
      <c r="BJ127" s="26">
        <f t="shared" si="351"/>
        <v>348406804.0371896</v>
      </c>
      <c r="BK127" s="26">
        <f t="shared" si="351"/>
        <v>348406804.0371896</v>
      </c>
      <c r="BL127" s="26">
        <f t="shared" si="351"/>
        <v>348406804.0371896</v>
      </c>
      <c r="BM127" s="26">
        <f t="shared" si="351"/>
        <v>348406804.0371896</v>
      </c>
      <c r="BN127" s="26">
        <f t="shared" si="351"/>
        <v>348406804.0371896</v>
      </c>
      <c r="BO127" s="26">
        <f t="shared" si="351"/>
        <v>348406804.0371896</v>
      </c>
      <c r="BP127" s="26">
        <f t="shared" si="351"/>
        <v>348406804.0371896</v>
      </c>
      <c r="BQ127" s="26">
        <f t="shared" si="351"/>
        <v>348406804.0371896</v>
      </c>
      <c r="BR127" s="26">
        <f t="shared" si="351"/>
        <v>348406804.0371896</v>
      </c>
    </row>
    <row r="128" spans="1:70" ht="15.75" customHeight="1" collapsed="1" x14ac:dyDescent="0.2">
      <c r="B128" s="21" t="str">
        <f t="shared" si="294"/>
        <v>Годовой бонус</v>
      </c>
      <c r="C128" s="164" t="str">
        <f t="shared" si="294"/>
        <v>Bonus discretionary</v>
      </c>
      <c r="D128" s="172">
        <f t="shared" si="258"/>
        <v>3189881282.4090848</v>
      </c>
      <c r="E128" s="18">
        <f t="shared" ref="E128:P128" si="352">E127+E124+E121</f>
        <v>-642593562</v>
      </c>
      <c r="F128" s="18">
        <f t="shared" si="352"/>
        <v>348406804.0371896</v>
      </c>
      <c r="G128" s="18">
        <f t="shared" si="352"/>
        <v>348406804.0371896</v>
      </c>
      <c r="H128" s="18">
        <f t="shared" si="352"/>
        <v>348406804.0371896</v>
      </c>
      <c r="I128" s="18">
        <f t="shared" si="352"/>
        <v>348406804.0371896</v>
      </c>
      <c r="J128" s="18">
        <f t="shared" si="352"/>
        <v>348406804.0371896</v>
      </c>
      <c r="K128" s="18">
        <f t="shared" si="352"/>
        <v>348406804.0371896</v>
      </c>
      <c r="L128" s="18">
        <f t="shared" si="352"/>
        <v>348406804.0371896</v>
      </c>
      <c r="M128" s="18">
        <f t="shared" si="352"/>
        <v>348406804.0371896</v>
      </c>
      <c r="N128" s="18">
        <f t="shared" si="352"/>
        <v>348406804.0371896</v>
      </c>
      <c r="O128" s="18">
        <f t="shared" si="352"/>
        <v>348406804.0371896</v>
      </c>
      <c r="P128" s="180">
        <f t="shared" si="352"/>
        <v>348406804.0371896</v>
      </c>
      <c r="Q128" s="195">
        <f t="shared" si="259"/>
        <v>3189881282.4090848</v>
      </c>
      <c r="R128" s="18">
        <f t="shared" ref="R128:Y128" si="353">R127+R124+R121</f>
        <v>-642593562</v>
      </c>
      <c r="S128" s="18">
        <f t="shared" si="353"/>
        <v>348406804.0371896</v>
      </c>
      <c r="T128" s="18">
        <f t="shared" si="353"/>
        <v>348406804.0371896</v>
      </c>
      <c r="U128" s="18">
        <f t="shared" si="353"/>
        <v>348406804.0371896</v>
      </c>
      <c r="V128" s="18">
        <f t="shared" si="353"/>
        <v>348406804.0371896</v>
      </c>
      <c r="W128" s="18">
        <f t="shared" si="353"/>
        <v>348406804.0371896</v>
      </c>
      <c r="X128" s="18">
        <f t="shared" si="353"/>
        <v>348406804.0371896</v>
      </c>
      <c r="Y128" s="18">
        <f t="shared" si="353"/>
        <v>348406804.0371896</v>
      </c>
      <c r="Z128" s="18">
        <f t="shared" ref="Z128:AC128" si="354">Z127+Z124+Z121</f>
        <v>348406804.0371896</v>
      </c>
      <c r="AA128" s="18">
        <f t="shared" si="354"/>
        <v>348406804.0371896</v>
      </c>
      <c r="AB128" s="18">
        <f t="shared" si="354"/>
        <v>348406804.0371896</v>
      </c>
      <c r="AC128" s="180">
        <f t="shared" si="354"/>
        <v>348406804.0371896</v>
      </c>
      <c r="AD128" s="228">
        <f t="shared" si="260"/>
        <v>3189881282.4090848</v>
      </c>
      <c r="AE128" s="18">
        <f t="shared" ref="AE128:AL128" si="355">AE127+AE124+AE121</f>
        <v>-642593562</v>
      </c>
      <c r="AF128" s="18">
        <f t="shared" si="355"/>
        <v>348406804.0371896</v>
      </c>
      <c r="AG128" s="18">
        <f t="shared" si="355"/>
        <v>348406804.0371896</v>
      </c>
      <c r="AH128" s="18">
        <f t="shared" si="355"/>
        <v>348406804.0371896</v>
      </c>
      <c r="AI128" s="18">
        <f t="shared" si="355"/>
        <v>348406804.0371896</v>
      </c>
      <c r="AJ128" s="18">
        <f t="shared" si="355"/>
        <v>348406804.0371896</v>
      </c>
      <c r="AK128" s="18">
        <f t="shared" si="355"/>
        <v>348406804.0371896</v>
      </c>
      <c r="AL128" s="18">
        <f t="shared" si="355"/>
        <v>348406804.0371896</v>
      </c>
      <c r="AM128" s="18">
        <f t="shared" ref="AM128:AP128" si="356">AM127+AM124+AM121</f>
        <v>348406804.0371896</v>
      </c>
      <c r="AN128" s="18">
        <f t="shared" si="356"/>
        <v>348406804.0371896</v>
      </c>
      <c r="AO128" s="18">
        <f t="shared" si="356"/>
        <v>348406804.0371896</v>
      </c>
      <c r="AP128" s="18">
        <f t="shared" si="356"/>
        <v>348406804.0371896</v>
      </c>
      <c r="AQ128" s="195">
        <f t="shared" si="261"/>
        <v>0</v>
      </c>
      <c r="AR128" s="18"/>
      <c r="AS128" s="18">
        <f t="shared" ref="AS128:AZ128" si="357">AS127+AS124+AS121</f>
        <v>-642593562</v>
      </c>
      <c r="AT128" s="18">
        <f t="shared" si="357"/>
        <v>348406804.0371896</v>
      </c>
      <c r="AU128" s="18">
        <f t="shared" si="357"/>
        <v>348406804.0371896</v>
      </c>
      <c r="AV128" s="18">
        <f t="shared" si="357"/>
        <v>348406804.0371896</v>
      </c>
      <c r="AW128" s="18">
        <f t="shared" si="357"/>
        <v>348406804.0371896</v>
      </c>
      <c r="AX128" s="18">
        <f t="shared" si="357"/>
        <v>348406804.0371896</v>
      </c>
      <c r="AY128" s="18">
        <f t="shared" si="357"/>
        <v>348406804.0371896</v>
      </c>
      <c r="AZ128" s="18">
        <f t="shared" si="357"/>
        <v>348406804.0371896</v>
      </c>
      <c r="BA128" s="18">
        <f t="shared" ref="BA128:BD128" si="358">BA127+BA124+BA121</f>
        <v>348406804.0371896</v>
      </c>
      <c r="BB128" s="18">
        <f t="shared" si="358"/>
        <v>348406804.0371896</v>
      </c>
      <c r="BC128" s="18">
        <f t="shared" si="358"/>
        <v>348406804.0371896</v>
      </c>
      <c r="BD128" s="18">
        <f t="shared" si="358"/>
        <v>348406804.0371896</v>
      </c>
      <c r="BE128" s="195">
        <f t="shared" si="158"/>
        <v>-642593562</v>
      </c>
      <c r="BF128" s="18"/>
      <c r="BG128" s="18">
        <f t="shared" ref="BG128:BR128" si="359">BG127+BG124+BG121</f>
        <v>-642593562</v>
      </c>
      <c r="BH128" s="18">
        <f t="shared" si="359"/>
        <v>348406804.0371896</v>
      </c>
      <c r="BI128" s="18">
        <f t="shared" si="359"/>
        <v>348406804.0371896</v>
      </c>
      <c r="BJ128" s="18">
        <f t="shared" si="359"/>
        <v>348406804.0371896</v>
      </c>
      <c r="BK128" s="18">
        <f t="shared" si="359"/>
        <v>348406804.0371896</v>
      </c>
      <c r="BL128" s="18">
        <f t="shared" si="359"/>
        <v>348406804.0371896</v>
      </c>
      <c r="BM128" s="18">
        <f t="shared" si="359"/>
        <v>348406804.0371896</v>
      </c>
      <c r="BN128" s="18">
        <f t="shared" si="359"/>
        <v>348406804.0371896</v>
      </c>
      <c r="BO128" s="18">
        <f t="shared" si="359"/>
        <v>348406804.0371896</v>
      </c>
      <c r="BP128" s="18">
        <f t="shared" si="359"/>
        <v>348406804.0371896</v>
      </c>
      <c r="BQ128" s="18">
        <f t="shared" si="359"/>
        <v>348406804.0371896</v>
      </c>
      <c r="BR128" s="18">
        <f t="shared" si="359"/>
        <v>348406804.0371896</v>
      </c>
    </row>
    <row r="129" spans="1:70" s="6" customFormat="1" ht="18.75" customHeight="1" x14ac:dyDescent="0.2">
      <c r="B129" s="13" t="str">
        <f t="shared" si="294"/>
        <v>Итого компенсации и льготы</v>
      </c>
      <c r="C129" s="156" t="str">
        <f t="shared" si="294"/>
        <v>Total Compencation &amp; Benefits</v>
      </c>
      <c r="D129" s="157">
        <f t="shared" si="258"/>
        <v>6217423048.5690861</v>
      </c>
      <c r="E129" s="11">
        <f t="shared" ref="E129:P129" si="360">E114+E128+E118</f>
        <v>-390298414.81999999</v>
      </c>
      <c r="F129" s="11">
        <f t="shared" si="360"/>
        <v>600701951.21718955</v>
      </c>
      <c r="G129" s="11">
        <f t="shared" si="360"/>
        <v>600701951.21718955</v>
      </c>
      <c r="H129" s="11">
        <f t="shared" si="360"/>
        <v>600701951.21718955</v>
      </c>
      <c r="I129" s="11">
        <f t="shared" si="360"/>
        <v>600701951.21718955</v>
      </c>
      <c r="J129" s="11">
        <f t="shared" si="360"/>
        <v>600701951.21718955</v>
      </c>
      <c r="K129" s="11">
        <f t="shared" si="360"/>
        <v>600701951.21718955</v>
      </c>
      <c r="L129" s="11">
        <f t="shared" si="360"/>
        <v>600701951.21718955</v>
      </c>
      <c r="M129" s="11">
        <f t="shared" si="360"/>
        <v>600701951.21718955</v>
      </c>
      <c r="N129" s="11">
        <f t="shared" si="360"/>
        <v>600701951.21718955</v>
      </c>
      <c r="O129" s="11">
        <f t="shared" si="360"/>
        <v>600701951.21718955</v>
      </c>
      <c r="P129" s="181">
        <f t="shared" si="360"/>
        <v>600701951.21718955</v>
      </c>
      <c r="Q129" s="196">
        <f t="shared" si="259"/>
        <v>6217423048.5690861</v>
      </c>
      <c r="R129" s="11">
        <f t="shared" ref="R129:Y129" si="361">R114+R128+R118</f>
        <v>-390298414.81999999</v>
      </c>
      <c r="S129" s="11">
        <f t="shared" si="361"/>
        <v>600701951.21718955</v>
      </c>
      <c r="T129" s="11">
        <f t="shared" si="361"/>
        <v>600701951.21718955</v>
      </c>
      <c r="U129" s="11">
        <f t="shared" si="361"/>
        <v>600701951.21718955</v>
      </c>
      <c r="V129" s="11">
        <f t="shared" si="361"/>
        <v>600701951.21718955</v>
      </c>
      <c r="W129" s="11">
        <f t="shared" si="361"/>
        <v>600701951.21718955</v>
      </c>
      <c r="X129" s="11">
        <f t="shared" si="361"/>
        <v>600701951.21718955</v>
      </c>
      <c r="Y129" s="11">
        <f t="shared" si="361"/>
        <v>600701951.21718955</v>
      </c>
      <c r="Z129" s="11">
        <f t="shared" ref="Z129:AC129" si="362">Z114+Z128+Z118</f>
        <v>600701951.21718955</v>
      </c>
      <c r="AA129" s="11">
        <f t="shared" si="362"/>
        <v>600701951.21718955</v>
      </c>
      <c r="AB129" s="11">
        <f t="shared" si="362"/>
        <v>600701951.21718955</v>
      </c>
      <c r="AC129" s="181">
        <f t="shared" si="362"/>
        <v>600701951.21718955</v>
      </c>
      <c r="AD129" s="196">
        <f t="shared" si="260"/>
        <v>6217423048.5690861</v>
      </c>
      <c r="AE129" s="11">
        <f t="shared" ref="AE129:AL129" si="363">AE114+AE128+AE118</f>
        <v>-390298414.81999999</v>
      </c>
      <c r="AF129" s="11">
        <f t="shared" si="363"/>
        <v>600701951.21718955</v>
      </c>
      <c r="AG129" s="11">
        <f t="shared" si="363"/>
        <v>600701951.21718955</v>
      </c>
      <c r="AH129" s="11">
        <f t="shared" si="363"/>
        <v>600701951.21718955</v>
      </c>
      <c r="AI129" s="11">
        <f t="shared" si="363"/>
        <v>600701951.21718955</v>
      </c>
      <c r="AJ129" s="11">
        <f t="shared" si="363"/>
        <v>600701951.21718955</v>
      </c>
      <c r="AK129" s="11">
        <f t="shared" si="363"/>
        <v>600701951.21718955</v>
      </c>
      <c r="AL129" s="11">
        <f t="shared" si="363"/>
        <v>600701951.21718955</v>
      </c>
      <c r="AM129" s="11">
        <f t="shared" ref="AM129:AP129" si="364">AM114+AM128+AM118</f>
        <v>600701951.21718955</v>
      </c>
      <c r="AN129" s="11">
        <f t="shared" si="364"/>
        <v>600701951.21718955</v>
      </c>
      <c r="AO129" s="11">
        <f t="shared" si="364"/>
        <v>600701951.21718955</v>
      </c>
      <c r="AP129" s="11">
        <f t="shared" si="364"/>
        <v>600701951.21718955</v>
      </c>
      <c r="AQ129" s="196">
        <f t="shared" si="261"/>
        <v>0</v>
      </c>
      <c r="AR129" s="11"/>
      <c r="AS129" s="11">
        <f t="shared" ref="AS129:AZ129" si="365">AS114+AS128+AS118</f>
        <v>-390298414.81999999</v>
      </c>
      <c r="AT129" s="11">
        <f t="shared" si="365"/>
        <v>600701951.21718955</v>
      </c>
      <c r="AU129" s="11">
        <f t="shared" si="365"/>
        <v>600701951.21718955</v>
      </c>
      <c r="AV129" s="11">
        <f t="shared" si="365"/>
        <v>600701951.21718955</v>
      </c>
      <c r="AW129" s="11">
        <f t="shared" si="365"/>
        <v>600701951.21718955</v>
      </c>
      <c r="AX129" s="11">
        <f t="shared" si="365"/>
        <v>600701951.21718955</v>
      </c>
      <c r="AY129" s="11">
        <f t="shared" si="365"/>
        <v>600701951.21718955</v>
      </c>
      <c r="AZ129" s="11">
        <f t="shared" si="365"/>
        <v>600701951.21718955</v>
      </c>
      <c r="BA129" s="11">
        <f t="shared" ref="BA129:BD129" si="366">BA114+BA128+BA118</f>
        <v>600701951.21718955</v>
      </c>
      <c r="BB129" s="11">
        <f t="shared" si="366"/>
        <v>600701951.21718955</v>
      </c>
      <c r="BC129" s="11">
        <f t="shared" si="366"/>
        <v>600701951.21718955</v>
      </c>
      <c r="BD129" s="11">
        <f t="shared" si="366"/>
        <v>600701951.21718955</v>
      </c>
      <c r="BE129" s="196">
        <f t="shared" si="158"/>
        <v>-390298414.81999999</v>
      </c>
      <c r="BF129" s="11"/>
      <c r="BG129" s="11">
        <f t="shared" ref="BG129:BR129" si="367">BG114+BG128+BG118</f>
        <v>-390298414.81999999</v>
      </c>
      <c r="BH129" s="11">
        <f t="shared" si="367"/>
        <v>600701951.21718955</v>
      </c>
      <c r="BI129" s="11">
        <f t="shared" si="367"/>
        <v>600701951.21718955</v>
      </c>
      <c r="BJ129" s="11">
        <f t="shared" si="367"/>
        <v>600701951.21718955</v>
      </c>
      <c r="BK129" s="11">
        <f t="shared" si="367"/>
        <v>600701951.21718955</v>
      </c>
      <c r="BL129" s="11">
        <f t="shared" si="367"/>
        <v>600701951.21718955</v>
      </c>
      <c r="BM129" s="11">
        <f t="shared" si="367"/>
        <v>600701951.21718955</v>
      </c>
      <c r="BN129" s="11">
        <f t="shared" si="367"/>
        <v>600701951.21718955</v>
      </c>
      <c r="BO129" s="11">
        <f t="shared" si="367"/>
        <v>600701951.21718955</v>
      </c>
      <c r="BP129" s="11">
        <f t="shared" si="367"/>
        <v>600701951.21718955</v>
      </c>
      <c r="BQ129" s="11">
        <f t="shared" si="367"/>
        <v>600701951.21718955</v>
      </c>
      <c r="BR129" s="11">
        <f t="shared" si="367"/>
        <v>600701951.21718955</v>
      </c>
    </row>
    <row r="130" spans="1:70" x14ac:dyDescent="0.2">
      <c r="I130" s="1"/>
      <c r="P130" s="204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I130" s="1"/>
      <c r="AW130" s="1"/>
      <c r="BK130" s="1"/>
    </row>
    <row r="131" spans="1:70" ht="16.5" customHeight="1" thickBot="1" x14ac:dyDescent="0.25">
      <c r="A131" s="54"/>
      <c r="B131" s="70" t="s">
        <v>8</v>
      </c>
      <c r="C131" s="144" t="s">
        <v>7</v>
      </c>
      <c r="D131" s="166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189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189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189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189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</row>
    <row r="132" spans="1:70" ht="13.5" hidden="1" outlineLevel="3" thickTop="1" x14ac:dyDescent="0.2">
      <c r="A132" s="54"/>
      <c r="B132" s="38" t="str">
        <f t="shared" ref="B132:C151" si="368">B12</f>
        <v xml:space="preserve">Оклад </v>
      </c>
      <c r="C132" s="62" t="str">
        <f t="shared" si="368"/>
        <v>Salary</v>
      </c>
      <c r="D132" s="167">
        <f t="shared" ref="D132:P133" si="369">D12-D75</f>
        <v>114754145.98999953</v>
      </c>
      <c r="E132" s="60">
        <f t="shared" si="369"/>
        <v>-67804.110000014305</v>
      </c>
      <c r="F132" s="60">
        <f t="shared" si="369"/>
        <v>10438359.099999994</v>
      </c>
      <c r="G132" s="60">
        <f t="shared" si="369"/>
        <v>10438359.099999994</v>
      </c>
      <c r="H132" s="60">
        <f t="shared" si="369"/>
        <v>10438359.099999994</v>
      </c>
      <c r="I132" s="60">
        <f t="shared" si="369"/>
        <v>10438359.099999994</v>
      </c>
      <c r="J132" s="60">
        <f t="shared" si="369"/>
        <v>10438359.099999994</v>
      </c>
      <c r="K132" s="60">
        <f t="shared" si="369"/>
        <v>10438359.099999994</v>
      </c>
      <c r="L132" s="60">
        <f t="shared" si="369"/>
        <v>10438359.099999994</v>
      </c>
      <c r="M132" s="60">
        <f t="shared" si="369"/>
        <v>10438359.099999994</v>
      </c>
      <c r="N132" s="60">
        <f t="shared" si="369"/>
        <v>10438359.099999994</v>
      </c>
      <c r="O132" s="60">
        <f t="shared" si="369"/>
        <v>10438359.099999994</v>
      </c>
      <c r="P132" s="175">
        <f t="shared" si="369"/>
        <v>10438359.099999994</v>
      </c>
      <c r="Q132" s="190">
        <f t="shared" ref="Q132:S133" si="370">Q12-Q75</f>
        <v>114754145.98999953</v>
      </c>
      <c r="R132" s="60">
        <f t="shared" si="370"/>
        <v>-67804.110000014305</v>
      </c>
      <c r="S132" s="60">
        <f t="shared" si="370"/>
        <v>10438359.099999994</v>
      </c>
      <c r="T132" s="60">
        <f t="shared" ref="T132:AC133" si="371">T12-T75</f>
        <v>10438359.099999994</v>
      </c>
      <c r="U132" s="60">
        <f t="shared" si="371"/>
        <v>10438359.099999994</v>
      </c>
      <c r="V132" s="60">
        <f t="shared" si="371"/>
        <v>10438359.099999994</v>
      </c>
      <c r="W132" s="60">
        <f t="shared" si="371"/>
        <v>10438359.099999994</v>
      </c>
      <c r="X132" s="60">
        <f t="shared" si="371"/>
        <v>10438359.099999994</v>
      </c>
      <c r="Y132" s="60">
        <f t="shared" si="371"/>
        <v>10438359.099999994</v>
      </c>
      <c r="Z132" s="60">
        <f t="shared" si="371"/>
        <v>10438359.099999994</v>
      </c>
      <c r="AA132" s="60">
        <f t="shared" si="371"/>
        <v>10438359.099999994</v>
      </c>
      <c r="AB132" s="60">
        <f t="shared" si="371"/>
        <v>10438359.099999994</v>
      </c>
      <c r="AC132" s="175">
        <f t="shared" si="371"/>
        <v>10438359.099999994</v>
      </c>
      <c r="AD132" s="224">
        <f t="shared" ref="AD132:AF133" si="372">AD12-AD75</f>
        <v>114754145.98999953</v>
      </c>
      <c r="AE132" s="60">
        <f t="shared" si="372"/>
        <v>-67804.110000014305</v>
      </c>
      <c r="AF132" s="60">
        <f t="shared" si="372"/>
        <v>10438359.099999994</v>
      </c>
      <c r="AG132" s="60">
        <f t="shared" ref="AG132:AP133" si="373">AG12-AG75</f>
        <v>10438359.099999994</v>
      </c>
      <c r="AH132" s="60">
        <f t="shared" si="373"/>
        <v>10438359.099999994</v>
      </c>
      <c r="AI132" s="60">
        <f t="shared" si="373"/>
        <v>10438359.099999994</v>
      </c>
      <c r="AJ132" s="60">
        <f t="shared" si="373"/>
        <v>10438359.099999994</v>
      </c>
      <c r="AK132" s="60">
        <f t="shared" si="373"/>
        <v>10438359.099999994</v>
      </c>
      <c r="AL132" s="60">
        <f t="shared" si="373"/>
        <v>10438359.099999994</v>
      </c>
      <c r="AM132" s="60">
        <f t="shared" si="373"/>
        <v>10438359.099999994</v>
      </c>
      <c r="AN132" s="60">
        <f t="shared" si="373"/>
        <v>10438359.099999994</v>
      </c>
      <c r="AO132" s="60">
        <f t="shared" si="373"/>
        <v>10438359.099999994</v>
      </c>
      <c r="AP132" s="60">
        <f t="shared" si="373"/>
        <v>10438359.099999994</v>
      </c>
      <c r="AQ132" s="190">
        <f t="shared" ref="AQ132:AQ163" si="374">Q132-AD132</f>
        <v>0</v>
      </c>
      <c r="AR132" s="60"/>
      <c r="AS132" s="60">
        <f>AS12-AS75</f>
        <v>-67804.110000014305</v>
      </c>
      <c r="AT132" s="60">
        <f>AT12-AT75</f>
        <v>10438359.099999994</v>
      </c>
      <c r="AU132" s="60">
        <f t="shared" ref="AU132:BD133" si="375">AU12-AU75</f>
        <v>10438359.099999994</v>
      </c>
      <c r="AV132" s="60">
        <f t="shared" si="375"/>
        <v>10438359.099999994</v>
      </c>
      <c r="AW132" s="60">
        <f t="shared" si="375"/>
        <v>10438359.099999994</v>
      </c>
      <c r="AX132" s="60">
        <f t="shared" si="375"/>
        <v>10438359.099999994</v>
      </c>
      <c r="AY132" s="60">
        <f t="shared" si="375"/>
        <v>10438359.099999994</v>
      </c>
      <c r="AZ132" s="60">
        <f t="shared" si="375"/>
        <v>10438359.099999994</v>
      </c>
      <c r="BA132" s="60">
        <f t="shared" si="375"/>
        <v>10438359.099999994</v>
      </c>
      <c r="BB132" s="60">
        <f t="shared" si="375"/>
        <v>10438359.099999994</v>
      </c>
      <c r="BC132" s="60">
        <f t="shared" si="375"/>
        <v>10438359.099999994</v>
      </c>
      <c r="BD132" s="60">
        <f t="shared" si="375"/>
        <v>10438359.099999994</v>
      </c>
      <c r="BE132" s="190">
        <f t="shared" ref="BE132:BE186" si="376">AE132-AR132</f>
        <v>-67804.110000014305</v>
      </c>
      <c r="BF132" s="60"/>
      <c r="BG132" s="60">
        <f>BG12-BG75</f>
        <v>-67804.110000014305</v>
      </c>
      <c r="BH132" s="60">
        <f>BH12-BH75</f>
        <v>10438359.099999994</v>
      </c>
      <c r="BI132" s="60">
        <f t="shared" ref="BI132:BR132" si="377">BI12-BI75</f>
        <v>10438359.099999994</v>
      </c>
      <c r="BJ132" s="60">
        <f t="shared" si="377"/>
        <v>10438359.099999994</v>
      </c>
      <c r="BK132" s="60">
        <f t="shared" si="377"/>
        <v>10438359.099999994</v>
      </c>
      <c r="BL132" s="60">
        <f t="shared" si="377"/>
        <v>10438359.099999994</v>
      </c>
      <c r="BM132" s="60">
        <f t="shared" si="377"/>
        <v>10438359.099999994</v>
      </c>
      <c r="BN132" s="60">
        <f t="shared" si="377"/>
        <v>10438359.099999994</v>
      </c>
      <c r="BO132" s="60">
        <f t="shared" si="377"/>
        <v>10438359.099999994</v>
      </c>
      <c r="BP132" s="60">
        <f t="shared" si="377"/>
        <v>10438359.099999994</v>
      </c>
      <c r="BQ132" s="60">
        <f t="shared" si="377"/>
        <v>10438359.099999994</v>
      </c>
      <c r="BR132" s="60">
        <f t="shared" si="377"/>
        <v>10438359.099999994</v>
      </c>
    </row>
    <row r="133" spans="1:70" hidden="1" outlineLevel="3" x14ac:dyDescent="0.2">
      <c r="A133" s="54"/>
      <c r="B133" s="38" t="str">
        <f t="shared" si="368"/>
        <v>Страховые взносы оклад</v>
      </c>
      <c r="C133" s="49" t="str">
        <f t="shared" si="368"/>
        <v>Social securities on salaries</v>
      </c>
      <c r="D133" s="168">
        <f t="shared" si="369"/>
        <v>-3705931.1200000644</v>
      </c>
      <c r="E133" s="40">
        <f t="shared" si="369"/>
        <v>71460.629999995232</v>
      </c>
      <c r="F133" s="40">
        <f t="shared" si="369"/>
        <v>-343399.25000000373</v>
      </c>
      <c r="G133" s="40">
        <f t="shared" si="369"/>
        <v>-343399.25000000373</v>
      </c>
      <c r="H133" s="40">
        <f t="shared" si="369"/>
        <v>-343399.25000000373</v>
      </c>
      <c r="I133" s="40">
        <f t="shared" si="369"/>
        <v>-343399.25000000373</v>
      </c>
      <c r="J133" s="40">
        <f t="shared" si="369"/>
        <v>-343399.25000000373</v>
      </c>
      <c r="K133" s="40">
        <f t="shared" si="369"/>
        <v>-343399.25000000373</v>
      </c>
      <c r="L133" s="40">
        <f t="shared" si="369"/>
        <v>-343399.25000000373</v>
      </c>
      <c r="M133" s="40">
        <f t="shared" si="369"/>
        <v>-343399.25000000373</v>
      </c>
      <c r="N133" s="40">
        <f t="shared" si="369"/>
        <v>-343399.25000000373</v>
      </c>
      <c r="O133" s="40">
        <f t="shared" si="369"/>
        <v>-343399.25000000373</v>
      </c>
      <c r="P133" s="176">
        <f t="shared" si="369"/>
        <v>-343399.25000000373</v>
      </c>
      <c r="Q133" s="191">
        <f t="shared" si="370"/>
        <v>-3705931.1200000644</v>
      </c>
      <c r="R133" s="40">
        <f t="shared" si="370"/>
        <v>71460.629999995232</v>
      </c>
      <c r="S133" s="40">
        <f t="shared" si="370"/>
        <v>-343399.25000000373</v>
      </c>
      <c r="T133" s="40">
        <f t="shared" si="371"/>
        <v>-343399.25000000373</v>
      </c>
      <c r="U133" s="40">
        <f t="shared" si="371"/>
        <v>-343399.25000000373</v>
      </c>
      <c r="V133" s="40">
        <f t="shared" si="371"/>
        <v>-343399.25000000373</v>
      </c>
      <c r="W133" s="40">
        <f t="shared" si="371"/>
        <v>-343399.25000000373</v>
      </c>
      <c r="X133" s="40">
        <f t="shared" si="371"/>
        <v>-343399.25000000373</v>
      </c>
      <c r="Y133" s="40">
        <f t="shared" si="371"/>
        <v>-343399.25000000373</v>
      </c>
      <c r="Z133" s="40">
        <f t="shared" si="371"/>
        <v>-343399.25000000373</v>
      </c>
      <c r="AA133" s="40">
        <f t="shared" si="371"/>
        <v>-343399.25000000373</v>
      </c>
      <c r="AB133" s="40">
        <f t="shared" si="371"/>
        <v>-343399.25000000373</v>
      </c>
      <c r="AC133" s="176">
        <f t="shared" si="371"/>
        <v>-343399.25000000373</v>
      </c>
      <c r="AD133" s="225">
        <f t="shared" si="372"/>
        <v>-3705931.1200000644</v>
      </c>
      <c r="AE133" s="40">
        <f t="shared" si="372"/>
        <v>71460.629999995232</v>
      </c>
      <c r="AF133" s="40">
        <f t="shared" si="372"/>
        <v>-343399.25000000373</v>
      </c>
      <c r="AG133" s="40">
        <f t="shared" si="373"/>
        <v>-343399.25000000373</v>
      </c>
      <c r="AH133" s="40">
        <f t="shared" si="373"/>
        <v>-343399.25000000373</v>
      </c>
      <c r="AI133" s="40">
        <f t="shared" si="373"/>
        <v>-343399.25000000373</v>
      </c>
      <c r="AJ133" s="40">
        <f t="shared" si="373"/>
        <v>-343399.25000000373</v>
      </c>
      <c r="AK133" s="40">
        <f t="shared" si="373"/>
        <v>-343399.25000000373</v>
      </c>
      <c r="AL133" s="40">
        <f t="shared" si="373"/>
        <v>-343399.25000000373</v>
      </c>
      <c r="AM133" s="40">
        <f t="shared" si="373"/>
        <v>-343399.25000000373</v>
      </c>
      <c r="AN133" s="40">
        <f t="shared" si="373"/>
        <v>-343399.25000000373</v>
      </c>
      <c r="AO133" s="40">
        <f t="shared" si="373"/>
        <v>-343399.25000000373</v>
      </c>
      <c r="AP133" s="40">
        <f t="shared" si="373"/>
        <v>-343399.25000000373</v>
      </c>
      <c r="AQ133" s="191">
        <f t="shared" si="374"/>
        <v>0</v>
      </c>
      <c r="AR133" s="40"/>
      <c r="AS133" s="40">
        <f>AS13-AS76</f>
        <v>71460.629999995232</v>
      </c>
      <c r="AT133" s="40">
        <f>AT13-AT76</f>
        <v>-343399.25000000373</v>
      </c>
      <c r="AU133" s="40">
        <f t="shared" si="375"/>
        <v>-343399.25000000373</v>
      </c>
      <c r="AV133" s="40">
        <f t="shared" si="375"/>
        <v>-343399.25000000373</v>
      </c>
      <c r="AW133" s="40">
        <f t="shared" si="375"/>
        <v>-343399.25000000373</v>
      </c>
      <c r="AX133" s="40">
        <f t="shared" si="375"/>
        <v>-343399.25000000373</v>
      </c>
      <c r="AY133" s="40">
        <f t="shared" si="375"/>
        <v>-343399.25000000373</v>
      </c>
      <c r="AZ133" s="40">
        <f t="shared" si="375"/>
        <v>-343399.25000000373</v>
      </c>
      <c r="BA133" s="40">
        <f t="shared" si="375"/>
        <v>-343399.25000000373</v>
      </c>
      <c r="BB133" s="40">
        <f t="shared" si="375"/>
        <v>-343399.25000000373</v>
      </c>
      <c r="BC133" s="40">
        <f t="shared" si="375"/>
        <v>-343399.25000000373</v>
      </c>
      <c r="BD133" s="40">
        <f t="shared" si="375"/>
        <v>-343399.25000000373</v>
      </c>
      <c r="BE133" s="191">
        <f t="shared" si="376"/>
        <v>71460.629999995232</v>
      </c>
      <c r="BF133" s="40"/>
      <c r="BG133" s="40">
        <f>BG13-BG76</f>
        <v>71460.629999995232</v>
      </c>
      <c r="BH133" s="40">
        <f>BH13-BH76</f>
        <v>-343399.25000000373</v>
      </c>
      <c r="BI133" s="40">
        <f t="shared" ref="BI133:BR133" si="378">BI13-BI76</f>
        <v>-343399.25000000373</v>
      </c>
      <c r="BJ133" s="40">
        <f t="shared" si="378"/>
        <v>-343399.25000000373</v>
      </c>
      <c r="BK133" s="40">
        <f t="shared" si="378"/>
        <v>-343399.25000000373</v>
      </c>
      <c r="BL133" s="40">
        <f t="shared" si="378"/>
        <v>-343399.25000000373</v>
      </c>
      <c r="BM133" s="40">
        <f t="shared" si="378"/>
        <v>-343399.25000000373</v>
      </c>
      <c r="BN133" s="40">
        <f t="shared" si="378"/>
        <v>-343399.25000000373</v>
      </c>
      <c r="BO133" s="40">
        <f t="shared" si="378"/>
        <v>-343399.25000000373</v>
      </c>
      <c r="BP133" s="40">
        <f t="shared" si="378"/>
        <v>-343399.25000000373</v>
      </c>
      <c r="BQ133" s="40">
        <f t="shared" si="378"/>
        <v>-343399.25000000373</v>
      </c>
      <c r="BR133" s="40">
        <f t="shared" si="378"/>
        <v>-343399.25000000373</v>
      </c>
    </row>
    <row r="134" spans="1:70" s="6" customFormat="1" hidden="1" outlineLevel="2" x14ac:dyDescent="0.2">
      <c r="A134" s="30"/>
      <c r="B134" s="29" t="str">
        <f t="shared" si="368"/>
        <v>Итого оклад</v>
      </c>
      <c r="C134" s="52" t="str">
        <f t="shared" si="368"/>
        <v>Total Salary</v>
      </c>
      <c r="D134" s="169">
        <f>SUM(D132:D133)</f>
        <v>111048214.86999947</v>
      </c>
      <c r="E134" s="26">
        <f>SUM(E132:E133)</f>
        <v>3656.5199999809265</v>
      </c>
      <c r="F134" s="26">
        <f>SUM(F132:F133)</f>
        <v>10094959.84999999</v>
      </c>
      <c r="G134" s="26">
        <f t="shared" ref="G134:P134" si="379">SUM(G132:G133)</f>
        <v>10094959.84999999</v>
      </c>
      <c r="H134" s="26">
        <f t="shared" si="379"/>
        <v>10094959.84999999</v>
      </c>
      <c r="I134" s="26">
        <f t="shared" si="379"/>
        <v>10094959.84999999</v>
      </c>
      <c r="J134" s="26">
        <f t="shared" si="379"/>
        <v>10094959.84999999</v>
      </c>
      <c r="K134" s="26">
        <f t="shared" si="379"/>
        <v>10094959.84999999</v>
      </c>
      <c r="L134" s="26">
        <f t="shared" si="379"/>
        <v>10094959.84999999</v>
      </c>
      <c r="M134" s="26">
        <f t="shared" si="379"/>
        <v>10094959.84999999</v>
      </c>
      <c r="N134" s="26">
        <f t="shared" si="379"/>
        <v>10094959.84999999</v>
      </c>
      <c r="O134" s="26">
        <f t="shared" si="379"/>
        <v>10094959.84999999</v>
      </c>
      <c r="P134" s="177">
        <f t="shared" si="379"/>
        <v>10094959.84999999</v>
      </c>
      <c r="Q134" s="192">
        <f>SUM(Q132:Q133)</f>
        <v>111048214.86999947</v>
      </c>
      <c r="R134" s="26">
        <f>SUM(R132:R133)</f>
        <v>3656.5199999809265</v>
      </c>
      <c r="S134" s="26">
        <f>SUM(S132:S133)</f>
        <v>10094959.84999999</v>
      </c>
      <c r="T134" s="26">
        <f t="shared" ref="T134:AC134" si="380">SUM(T132:T133)</f>
        <v>10094959.84999999</v>
      </c>
      <c r="U134" s="26">
        <f t="shared" si="380"/>
        <v>10094959.84999999</v>
      </c>
      <c r="V134" s="26">
        <f t="shared" si="380"/>
        <v>10094959.84999999</v>
      </c>
      <c r="W134" s="26">
        <f t="shared" si="380"/>
        <v>10094959.84999999</v>
      </c>
      <c r="X134" s="26">
        <f t="shared" si="380"/>
        <v>10094959.84999999</v>
      </c>
      <c r="Y134" s="26">
        <f t="shared" si="380"/>
        <v>10094959.84999999</v>
      </c>
      <c r="Z134" s="26">
        <f t="shared" si="380"/>
        <v>10094959.84999999</v>
      </c>
      <c r="AA134" s="26">
        <f t="shared" si="380"/>
        <v>10094959.84999999</v>
      </c>
      <c r="AB134" s="26">
        <f t="shared" si="380"/>
        <v>10094959.84999999</v>
      </c>
      <c r="AC134" s="177">
        <f t="shared" si="380"/>
        <v>10094959.84999999</v>
      </c>
      <c r="AD134" s="226">
        <f>SUM(AD132:AD133)</f>
        <v>111048214.86999947</v>
      </c>
      <c r="AE134" s="26">
        <f>SUM(AE132:AE133)</f>
        <v>3656.5199999809265</v>
      </c>
      <c r="AF134" s="26">
        <f>SUM(AF132:AF133)</f>
        <v>10094959.84999999</v>
      </c>
      <c r="AG134" s="26">
        <f t="shared" ref="AG134:AP134" si="381">SUM(AG132:AG133)</f>
        <v>10094959.84999999</v>
      </c>
      <c r="AH134" s="26">
        <f t="shared" si="381"/>
        <v>10094959.84999999</v>
      </c>
      <c r="AI134" s="26">
        <f t="shared" si="381"/>
        <v>10094959.84999999</v>
      </c>
      <c r="AJ134" s="26">
        <f t="shared" si="381"/>
        <v>10094959.84999999</v>
      </c>
      <c r="AK134" s="26">
        <f t="shared" si="381"/>
        <v>10094959.84999999</v>
      </c>
      <c r="AL134" s="26">
        <f t="shared" si="381"/>
        <v>10094959.84999999</v>
      </c>
      <c r="AM134" s="26">
        <f t="shared" si="381"/>
        <v>10094959.84999999</v>
      </c>
      <c r="AN134" s="26">
        <f t="shared" si="381"/>
        <v>10094959.84999999</v>
      </c>
      <c r="AO134" s="26">
        <f t="shared" si="381"/>
        <v>10094959.84999999</v>
      </c>
      <c r="AP134" s="26">
        <f t="shared" si="381"/>
        <v>10094959.84999999</v>
      </c>
      <c r="AQ134" s="192">
        <f t="shared" si="374"/>
        <v>0</v>
      </c>
      <c r="AR134" s="26"/>
      <c r="AS134" s="26">
        <f>SUM(AS132:AS133)</f>
        <v>3656.5199999809265</v>
      </c>
      <c r="AT134" s="26">
        <f>SUM(AT132:AT133)</f>
        <v>10094959.84999999</v>
      </c>
      <c r="AU134" s="26">
        <f t="shared" ref="AU134:BD134" si="382">SUM(AU132:AU133)</f>
        <v>10094959.84999999</v>
      </c>
      <c r="AV134" s="26">
        <f t="shared" si="382"/>
        <v>10094959.84999999</v>
      </c>
      <c r="AW134" s="26">
        <f t="shared" si="382"/>
        <v>10094959.84999999</v>
      </c>
      <c r="AX134" s="26">
        <f t="shared" si="382"/>
        <v>10094959.84999999</v>
      </c>
      <c r="AY134" s="26">
        <f t="shared" si="382"/>
        <v>10094959.84999999</v>
      </c>
      <c r="AZ134" s="26">
        <f t="shared" si="382"/>
        <v>10094959.84999999</v>
      </c>
      <c r="BA134" s="26">
        <f t="shared" si="382"/>
        <v>10094959.84999999</v>
      </c>
      <c r="BB134" s="26">
        <f t="shared" si="382"/>
        <v>10094959.84999999</v>
      </c>
      <c r="BC134" s="26">
        <f t="shared" si="382"/>
        <v>10094959.84999999</v>
      </c>
      <c r="BD134" s="26">
        <f t="shared" si="382"/>
        <v>10094959.84999999</v>
      </c>
      <c r="BE134" s="192">
        <f t="shared" si="376"/>
        <v>3656.5199999809265</v>
      </c>
      <c r="BF134" s="26"/>
      <c r="BG134" s="26">
        <f>SUM(BG132:BG133)</f>
        <v>3656.5199999809265</v>
      </c>
      <c r="BH134" s="26">
        <f>SUM(BH132:BH133)</f>
        <v>10094959.84999999</v>
      </c>
      <c r="BI134" s="26">
        <f t="shared" ref="BI134:BR134" si="383">SUM(BI132:BI133)</f>
        <v>10094959.84999999</v>
      </c>
      <c r="BJ134" s="26">
        <f t="shared" si="383"/>
        <v>10094959.84999999</v>
      </c>
      <c r="BK134" s="26">
        <f t="shared" si="383"/>
        <v>10094959.84999999</v>
      </c>
      <c r="BL134" s="26">
        <f t="shared" si="383"/>
        <v>10094959.84999999</v>
      </c>
      <c r="BM134" s="26">
        <f t="shared" si="383"/>
        <v>10094959.84999999</v>
      </c>
      <c r="BN134" s="26">
        <f t="shared" si="383"/>
        <v>10094959.84999999</v>
      </c>
      <c r="BO134" s="26">
        <f t="shared" si="383"/>
        <v>10094959.84999999</v>
      </c>
      <c r="BP134" s="26">
        <f t="shared" si="383"/>
        <v>10094959.84999999</v>
      </c>
      <c r="BQ134" s="26">
        <f t="shared" si="383"/>
        <v>10094959.84999999</v>
      </c>
      <c r="BR134" s="26">
        <f t="shared" si="383"/>
        <v>10094959.84999999</v>
      </c>
    </row>
    <row r="135" spans="1:70" hidden="1" outlineLevel="3" x14ac:dyDescent="0.2">
      <c r="A135" s="54"/>
      <c r="B135" s="57" t="str">
        <f t="shared" si="368"/>
        <v>Резерв на отпуск</v>
      </c>
      <c r="C135" s="56" t="str">
        <f t="shared" si="368"/>
        <v>Accruals for unused vacations</v>
      </c>
      <c r="D135" s="168">
        <f t="shared" ref="D135:P136" si="384">D15-D78</f>
        <v>-32594745.502610028</v>
      </c>
      <c r="E135" s="40">
        <f t="shared" si="384"/>
        <v>-3656.5199999809265</v>
      </c>
      <c r="F135" s="40">
        <f t="shared" si="384"/>
        <v>-2962826.2711463869</v>
      </c>
      <c r="G135" s="40">
        <f t="shared" si="384"/>
        <v>-2962826.2711463869</v>
      </c>
      <c r="H135" s="40">
        <f t="shared" si="384"/>
        <v>-2962826.2711463869</v>
      </c>
      <c r="I135" s="40">
        <f t="shared" si="384"/>
        <v>-2962826.2711463869</v>
      </c>
      <c r="J135" s="40">
        <f t="shared" si="384"/>
        <v>-2962826.2711463869</v>
      </c>
      <c r="K135" s="40">
        <f t="shared" si="384"/>
        <v>-2962826.2711463869</v>
      </c>
      <c r="L135" s="40">
        <f t="shared" si="384"/>
        <v>-2962826.2711463869</v>
      </c>
      <c r="M135" s="40">
        <f t="shared" si="384"/>
        <v>-2962826.2711463869</v>
      </c>
      <c r="N135" s="40">
        <f t="shared" si="384"/>
        <v>-2962826.2711463869</v>
      </c>
      <c r="O135" s="40">
        <f t="shared" si="384"/>
        <v>-2962826.2711463869</v>
      </c>
      <c r="P135" s="176">
        <f t="shared" si="384"/>
        <v>-2962826.2711463869</v>
      </c>
      <c r="Q135" s="191">
        <f t="shared" ref="Q135:S136" si="385">Q15-Q78</f>
        <v>-32594745.502610028</v>
      </c>
      <c r="R135" s="40">
        <f t="shared" si="385"/>
        <v>-3656.5199999809265</v>
      </c>
      <c r="S135" s="40">
        <f t="shared" si="385"/>
        <v>-2962826.2711463869</v>
      </c>
      <c r="T135" s="40">
        <f t="shared" ref="T135:AC136" si="386">T15-T78</f>
        <v>-2962826.2711463869</v>
      </c>
      <c r="U135" s="40">
        <f t="shared" si="386"/>
        <v>-2962826.2711463869</v>
      </c>
      <c r="V135" s="40">
        <f t="shared" si="386"/>
        <v>-2962826.2711463869</v>
      </c>
      <c r="W135" s="40">
        <f t="shared" si="386"/>
        <v>-2962826.2711463869</v>
      </c>
      <c r="X135" s="40">
        <f t="shared" si="386"/>
        <v>-2962826.2711463869</v>
      </c>
      <c r="Y135" s="40">
        <f t="shared" si="386"/>
        <v>-2962826.2711463869</v>
      </c>
      <c r="Z135" s="40">
        <f t="shared" si="386"/>
        <v>-2962826.2711463869</v>
      </c>
      <c r="AA135" s="40">
        <f t="shared" si="386"/>
        <v>-2962826.2711463869</v>
      </c>
      <c r="AB135" s="40">
        <f t="shared" si="386"/>
        <v>-2962826.2711463869</v>
      </c>
      <c r="AC135" s="176">
        <f t="shared" si="386"/>
        <v>-2962826.2711463869</v>
      </c>
      <c r="AD135" s="225">
        <f t="shared" ref="AD135:AF136" si="387">AD15-AD78</f>
        <v>-32594745.502610028</v>
      </c>
      <c r="AE135" s="40">
        <f t="shared" si="387"/>
        <v>-3656.5199999809265</v>
      </c>
      <c r="AF135" s="40">
        <f t="shared" si="387"/>
        <v>-2962826.2711463869</v>
      </c>
      <c r="AG135" s="40">
        <f t="shared" ref="AG135:AP136" si="388">AG15-AG78</f>
        <v>-2962826.2711463869</v>
      </c>
      <c r="AH135" s="40">
        <f t="shared" si="388"/>
        <v>-2962826.2711463869</v>
      </c>
      <c r="AI135" s="40">
        <f t="shared" si="388"/>
        <v>-2962826.2711463869</v>
      </c>
      <c r="AJ135" s="40">
        <f t="shared" si="388"/>
        <v>-2962826.2711463869</v>
      </c>
      <c r="AK135" s="40">
        <f t="shared" si="388"/>
        <v>-2962826.2711463869</v>
      </c>
      <c r="AL135" s="40">
        <f t="shared" si="388"/>
        <v>-2962826.2711463869</v>
      </c>
      <c r="AM135" s="40">
        <f t="shared" si="388"/>
        <v>-2962826.2711463869</v>
      </c>
      <c r="AN135" s="40">
        <f t="shared" si="388"/>
        <v>-2962826.2711463869</v>
      </c>
      <c r="AO135" s="40">
        <f t="shared" si="388"/>
        <v>-2962826.2711463869</v>
      </c>
      <c r="AP135" s="40">
        <f t="shared" si="388"/>
        <v>-2962826.2711463869</v>
      </c>
      <c r="AQ135" s="191">
        <f t="shared" si="374"/>
        <v>0</v>
      </c>
      <c r="AR135" s="40"/>
      <c r="AS135" s="40">
        <f>AS15-AS78</f>
        <v>-3656.5199999809265</v>
      </c>
      <c r="AT135" s="40">
        <f>AT15-AT78</f>
        <v>-2962826.2711463869</v>
      </c>
      <c r="AU135" s="40">
        <f t="shared" ref="AU135:BD136" si="389">AU15-AU78</f>
        <v>-2962826.2711463869</v>
      </c>
      <c r="AV135" s="40">
        <f t="shared" si="389"/>
        <v>-2962826.2711463869</v>
      </c>
      <c r="AW135" s="40">
        <f t="shared" si="389"/>
        <v>-2962826.2711463869</v>
      </c>
      <c r="AX135" s="40">
        <f t="shared" si="389"/>
        <v>-2962826.2711463869</v>
      </c>
      <c r="AY135" s="40">
        <f t="shared" si="389"/>
        <v>-2962826.2711463869</v>
      </c>
      <c r="AZ135" s="40">
        <f t="shared" si="389"/>
        <v>-2962826.2711463869</v>
      </c>
      <c r="BA135" s="40">
        <f t="shared" si="389"/>
        <v>-2962826.2711463869</v>
      </c>
      <c r="BB135" s="40">
        <f t="shared" si="389"/>
        <v>-2962826.2711463869</v>
      </c>
      <c r="BC135" s="40">
        <f t="shared" si="389"/>
        <v>-2962826.2711463869</v>
      </c>
      <c r="BD135" s="40">
        <f t="shared" si="389"/>
        <v>-2962826.2711463869</v>
      </c>
      <c r="BE135" s="191">
        <f t="shared" si="376"/>
        <v>-3656.5199999809265</v>
      </c>
      <c r="BF135" s="40"/>
      <c r="BG135" s="40">
        <f>BG15-BG78</f>
        <v>-3656.5199999809265</v>
      </c>
      <c r="BH135" s="40">
        <f>BH15-BH78</f>
        <v>-2962826.2711463869</v>
      </c>
      <c r="BI135" s="40">
        <f t="shared" ref="BI135:BR135" si="390">BI15-BI78</f>
        <v>-2962826.2711463869</v>
      </c>
      <c r="BJ135" s="40">
        <f t="shared" si="390"/>
        <v>-2962826.2711463869</v>
      </c>
      <c r="BK135" s="40">
        <f t="shared" si="390"/>
        <v>-2962826.2711463869</v>
      </c>
      <c r="BL135" s="40">
        <f t="shared" si="390"/>
        <v>-2962826.2711463869</v>
      </c>
      <c r="BM135" s="40">
        <f t="shared" si="390"/>
        <v>-2962826.2711463869</v>
      </c>
      <c r="BN135" s="40">
        <f t="shared" si="390"/>
        <v>-2962826.2711463869</v>
      </c>
      <c r="BO135" s="40">
        <f t="shared" si="390"/>
        <v>-2962826.2711463869</v>
      </c>
      <c r="BP135" s="40">
        <f t="shared" si="390"/>
        <v>-2962826.2711463869</v>
      </c>
      <c r="BQ135" s="40">
        <f t="shared" si="390"/>
        <v>-2962826.2711463869</v>
      </c>
      <c r="BR135" s="40">
        <f t="shared" si="390"/>
        <v>-2962826.2711463869</v>
      </c>
    </row>
    <row r="136" spans="1:70" hidden="1" outlineLevel="3" x14ac:dyDescent="0.2">
      <c r="A136" s="54"/>
      <c r="B136" s="38" t="str">
        <f t="shared" si="368"/>
        <v>Страховые взносы резерв на отпуск</v>
      </c>
      <c r="C136" s="56" t="str">
        <f t="shared" si="368"/>
        <v>Social Security on accruals for unused vacations</v>
      </c>
      <c r="D136" s="168">
        <f t="shared" si="384"/>
        <v>15576877.462166995</v>
      </c>
      <c r="E136" s="40">
        <f t="shared" si="384"/>
        <v>0</v>
      </c>
      <c r="F136" s="40">
        <f t="shared" si="384"/>
        <v>1416079.7692879084</v>
      </c>
      <c r="G136" s="40">
        <f t="shared" si="384"/>
        <v>1416079.7692879084</v>
      </c>
      <c r="H136" s="40">
        <f t="shared" si="384"/>
        <v>1416079.7692879084</v>
      </c>
      <c r="I136" s="40">
        <f t="shared" si="384"/>
        <v>1416079.7692879084</v>
      </c>
      <c r="J136" s="40">
        <f t="shared" si="384"/>
        <v>1416079.7692879084</v>
      </c>
      <c r="K136" s="40">
        <f t="shared" si="384"/>
        <v>1416079.7692879084</v>
      </c>
      <c r="L136" s="40">
        <f t="shared" si="384"/>
        <v>1416079.7692879084</v>
      </c>
      <c r="M136" s="40">
        <f t="shared" si="384"/>
        <v>1416079.7692879084</v>
      </c>
      <c r="N136" s="40">
        <f t="shared" si="384"/>
        <v>1416079.7692879084</v>
      </c>
      <c r="O136" s="40">
        <f t="shared" si="384"/>
        <v>1416079.7692879084</v>
      </c>
      <c r="P136" s="176">
        <f t="shared" si="384"/>
        <v>1416079.7692879084</v>
      </c>
      <c r="Q136" s="191">
        <f t="shared" si="385"/>
        <v>15576877.462166995</v>
      </c>
      <c r="R136" s="40">
        <f t="shared" si="385"/>
        <v>0</v>
      </c>
      <c r="S136" s="40">
        <f t="shared" si="385"/>
        <v>1416079.7692879084</v>
      </c>
      <c r="T136" s="40">
        <f t="shared" si="386"/>
        <v>1416079.7692879084</v>
      </c>
      <c r="U136" s="40">
        <f t="shared" si="386"/>
        <v>1416079.7692879084</v>
      </c>
      <c r="V136" s="40">
        <f t="shared" si="386"/>
        <v>1416079.7692879084</v>
      </c>
      <c r="W136" s="40">
        <f t="shared" si="386"/>
        <v>1416079.7692879084</v>
      </c>
      <c r="X136" s="40">
        <f t="shared" si="386"/>
        <v>1416079.7692879084</v>
      </c>
      <c r="Y136" s="40">
        <f t="shared" si="386"/>
        <v>1416079.7692879084</v>
      </c>
      <c r="Z136" s="40">
        <f t="shared" si="386"/>
        <v>1416079.7692879084</v>
      </c>
      <c r="AA136" s="40">
        <f t="shared" si="386"/>
        <v>1416079.7692879084</v>
      </c>
      <c r="AB136" s="40">
        <f t="shared" si="386"/>
        <v>1416079.7692879084</v>
      </c>
      <c r="AC136" s="176">
        <f t="shared" si="386"/>
        <v>1416079.7692879084</v>
      </c>
      <c r="AD136" s="225">
        <f t="shared" si="387"/>
        <v>15576877.462166995</v>
      </c>
      <c r="AE136" s="40">
        <f t="shared" si="387"/>
        <v>0</v>
      </c>
      <c r="AF136" s="40">
        <f t="shared" si="387"/>
        <v>1416079.7692879084</v>
      </c>
      <c r="AG136" s="40">
        <f t="shared" si="388"/>
        <v>1416079.7692879084</v>
      </c>
      <c r="AH136" s="40">
        <f t="shared" si="388"/>
        <v>1416079.7692879084</v>
      </c>
      <c r="AI136" s="40">
        <f t="shared" si="388"/>
        <v>1416079.7692879084</v>
      </c>
      <c r="AJ136" s="40">
        <f t="shared" si="388"/>
        <v>1416079.7692879084</v>
      </c>
      <c r="AK136" s="40">
        <f t="shared" si="388"/>
        <v>1416079.7692879084</v>
      </c>
      <c r="AL136" s="40">
        <f t="shared" si="388"/>
        <v>1416079.7692879084</v>
      </c>
      <c r="AM136" s="40">
        <f t="shared" si="388"/>
        <v>1416079.7692879084</v>
      </c>
      <c r="AN136" s="40">
        <f t="shared" si="388"/>
        <v>1416079.7692879084</v>
      </c>
      <c r="AO136" s="40">
        <f t="shared" si="388"/>
        <v>1416079.7692879084</v>
      </c>
      <c r="AP136" s="40">
        <f t="shared" si="388"/>
        <v>1416079.7692879084</v>
      </c>
      <c r="AQ136" s="191">
        <f t="shared" si="374"/>
        <v>0</v>
      </c>
      <c r="AR136" s="40"/>
      <c r="AS136" s="40">
        <f>AS16-AS79</f>
        <v>0</v>
      </c>
      <c r="AT136" s="40">
        <f>AT16-AT79</f>
        <v>1416079.7692879084</v>
      </c>
      <c r="AU136" s="40">
        <f t="shared" si="389"/>
        <v>1416079.7692879084</v>
      </c>
      <c r="AV136" s="40">
        <f t="shared" si="389"/>
        <v>1416079.7692879084</v>
      </c>
      <c r="AW136" s="40">
        <f t="shared" si="389"/>
        <v>1416079.7692879084</v>
      </c>
      <c r="AX136" s="40">
        <f t="shared" si="389"/>
        <v>1416079.7692879084</v>
      </c>
      <c r="AY136" s="40">
        <f t="shared" si="389"/>
        <v>1416079.7692879084</v>
      </c>
      <c r="AZ136" s="40">
        <f t="shared" si="389"/>
        <v>1416079.7692879084</v>
      </c>
      <c r="BA136" s="40">
        <f t="shared" si="389"/>
        <v>1416079.7692879084</v>
      </c>
      <c r="BB136" s="40">
        <f t="shared" si="389"/>
        <v>1416079.7692879084</v>
      </c>
      <c r="BC136" s="40">
        <f t="shared" si="389"/>
        <v>1416079.7692879084</v>
      </c>
      <c r="BD136" s="40">
        <f t="shared" si="389"/>
        <v>1416079.7692879084</v>
      </c>
      <c r="BE136" s="191">
        <f t="shared" si="376"/>
        <v>0</v>
      </c>
      <c r="BF136" s="40"/>
      <c r="BG136" s="40">
        <f>BG16-BG79</f>
        <v>0</v>
      </c>
      <c r="BH136" s="40">
        <f>BH16-BH79</f>
        <v>1416079.7692879084</v>
      </c>
      <c r="BI136" s="40">
        <f t="shared" ref="BI136:BR136" si="391">BI16-BI79</f>
        <v>1416079.7692879084</v>
      </c>
      <c r="BJ136" s="40">
        <f t="shared" si="391"/>
        <v>1416079.7692879084</v>
      </c>
      <c r="BK136" s="40">
        <f t="shared" si="391"/>
        <v>1416079.7692879084</v>
      </c>
      <c r="BL136" s="40">
        <f t="shared" si="391"/>
        <v>1416079.7692879084</v>
      </c>
      <c r="BM136" s="40">
        <f t="shared" si="391"/>
        <v>1416079.7692879084</v>
      </c>
      <c r="BN136" s="40">
        <f t="shared" si="391"/>
        <v>1416079.7692879084</v>
      </c>
      <c r="BO136" s="40">
        <f t="shared" si="391"/>
        <v>1416079.7692879084</v>
      </c>
      <c r="BP136" s="40">
        <f t="shared" si="391"/>
        <v>1416079.7692879084</v>
      </c>
      <c r="BQ136" s="40">
        <f t="shared" si="391"/>
        <v>1416079.7692879084</v>
      </c>
      <c r="BR136" s="40">
        <f t="shared" si="391"/>
        <v>1416079.7692879084</v>
      </c>
    </row>
    <row r="137" spans="1:70" s="6" customFormat="1" hidden="1" outlineLevel="2" x14ac:dyDescent="0.2">
      <c r="A137" s="30"/>
      <c r="B137" s="29" t="str">
        <f t="shared" si="368"/>
        <v>Итого резерв на отпуск</v>
      </c>
      <c r="C137" s="52" t="str">
        <f t="shared" si="368"/>
        <v>Total Accruals for unused vacations</v>
      </c>
      <c r="D137" s="169">
        <f>SUM(D135:D136)</f>
        <v>-17017868.040443033</v>
      </c>
      <c r="E137" s="26">
        <f>SUM(E135:E136)</f>
        <v>-3656.5199999809265</v>
      </c>
      <c r="F137" s="26">
        <f>SUM(F135:F136)</f>
        <v>-1546746.5018584784</v>
      </c>
      <c r="G137" s="26">
        <f t="shared" ref="G137:P137" si="392">SUM(G135:G136)</f>
        <v>-1546746.5018584784</v>
      </c>
      <c r="H137" s="26">
        <f t="shared" si="392"/>
        <v>-1546746.5018584784</v>
      </c>
      <c r="I137" s="26">
        <f t="shared" si="392"/>
        <v>-1546746.5018584784</v>
      </c>
      <c r="J137" s="26">
        <f t="shared" si="392"/>
        <v>-1546746.5018584784</v>
      </c>
      <c r="K137" s="26">
        <f t="shared" si="392"/>
        <v>-1546746.5018584784</v>
      </c>
      <c r="L137" s="26">
        <f t="shared" si="392"/>
        <v>-1546746.5018584784</v>
      </c>
      <c r="M137" s="26">
        <f t="shared" si="392"/>
        <v>-1546746.5018584784</v>
      </c>
      <c r="N137" s="26">
        <f t="shared" si="392"/>
        <v>-1546746.5018584784</v>
      </c>
      <c r="O137" s="26">
        <f t="shared" si="392"/>
        <v>-1546746.5018584784</v>
      </c>
      <c r="P137" s="177">
        <f t="shared" si="392"/>
        <v>-1546746.5018584784</v>
      </c>
      <c r="Q137" s="192">
        <f>SUM(Q135:Q136)</f>
        <v>-17017868.040443033</v>
      </c>
      <c r="R137" s="26">
        <f>SUM(R135:R136)</f>
        <v>-3656.5199999809265</v>
      </c>
      <c r="S137" s="26">
        <f>SUM(S135:S136)</f>
        <v>-1546746.5018584784</v>
      </c>
      <c r="T137" s="26">
        <f t="shared" ref="T137:AC137" si="393">SUM(T135:T136)</f>
        <v>-1546746.5018584784</v>
      </c>
      <c r="U137" s="26">
        <f t="shared" si="393"/>
        <v>-1546746.5018584784</v>
      </c>
      <c r="V137" s="26">
        <f t="shared" si="393"/>
        <v>-1546746.5018584784</v>
      </c>
      <c r="W137" s="26">
        <f t="shared" si="393"/>
        <v>-1546746.5018584784</v>
      </c>
      <c r="X137" s="26">
        <f t="shared" si="393"/>
        <v>-1546746.5018584784</v>
      </c>
      <c r="Y137" s="26">
        <f t="shared" si="393"/>
        <v>-1546746.5018584784</v>
      </c>
      <c r="Z137" s="26">
        <f t="shared" si="393"/>
        <v>-1546746.5018584784</v>
      </c>
      <c r="AA137" s="26">
        <f t="shared" si="393"/>
        <v>-1546746.5018584784</v>
      </c>
      <c r="AB137" s="26">
        <f t="shared" si="393"/>
        <v>-1546746.5018584784</v>
      </c>
      <c r="AC137" s="177">
        <f t="shared" si="393"/>
        <v>-1546746.5018584784</v>
      </c>
      <c r="AD137" s="226">
        <f>SUM(AD135:AD136)</f>
        <v>-17017868.040443033</v>
      </c>
      <c r="AE137" s="26">
        <f>SUM(AE135:AE136)</f>
        <v>-3656.5199999809265</v>
      </c>
      <c r="AF137" s="26">
        <f>SUM(AF135:AF136)</f>
        <v>-1546746.5018584784</v>
      </c>
      <c r="AG137" s="26">
        <f t="shared" ref="AG137:AP137" si="394">SUM(AG135:AG136)</f>
        <v>-1546746.5018584784</v>
      </c>
      <c r="AH137" s="26">
        <f t="shared" si="394"/>
        <v>-1546746.5018584784</v>
      </c>
      <c r="AI137" s="26">
        <f t="shared" si="394"/>
        <v>-1546746.5018584784</v>
      </c>
      <c r="AJ137" s="26">
        <f t="shared" si="394"/>
        <v>-1546746.5018584784</v>
      </c>
      <c r="AK137" s="26">
        <f t="shared" si="394"/>
        <v>-1546746.5018584784</v>
      </c>
      <c r="AL137" s="26">
        <f t="shared" si="394"/>
        <v>-1546746.5018584784</v>
      </c>
      <c r="AM137" s="26">
        <f t="shared" si="394"/>
        <v>-1546746.5018584784</v>
      </c>
      <c r="AN137" s="26">
        <f t="shared" si="394"/>
        <v>-1546746.5018584784</v>
      </c>
      <c r="AO137" s="26">
        <f t="shared" si="394"/>
        <v>-1546746.5018584784</v>
      </c>
      <c r="AP137" s="26">
        <f t="shared" si="394"/>
        <v>-1546746.5018584784</v>
      </c>
      <c r="AQ137" s="192">
        <f t="shared" si="374"/>
        <v>0</v>
      </c>
      <c r="AR137" s="26"/>
      <c r="AS137" s="26">
        <f>SUM(AS135:AS136)</f>
        <v>-3656.5199999809265</v>
      </c>
      <c r="AT137" s="26">
        <f>SUM(AT135:AT136)</f>
        <v>-1546746.5018584784</v>
      </c>
      <c r="AU137" s="26">
        <f t="shared" ref="AU137:BD137" si="395">SUM(AU135:AU136)</f>
        <v>-1546746.5018584784</v>
      </c>
      <c r="AV137" s="26">
        <f t="shared" si="395"/>
        <v>-1546746.5018584784</v>
      </c>
      <c r="AW137" s="26">
        <f t="shared" si="395"/>
        <v>-1546746.5018584784</v>
      </c>
      <c r="AX137" s="26">
        <f t="shared" si="395"/>
        <v>-1546746.5018584784</v>
      </c>
      <c r="AY137" s="26">
        <f t="shared" si="395"/>
        <v>-1546746.5018584784</v>
      </c>
      <c r="AZ137" s="26">
        <f t="shared" si="395"/>
        <v>-1546746.5018584784</v>
      </c>
      <c r="BA137" s="26">
        <f t="shared" si="395"/>
        <v>-1546746.5018584784</v>
      </c>
      <c r="BB137" s="26">
        <f t="shared" si="395"/>
        <v>-1546746.5018584784</v>
      </c>
      <c r="BC137" s="26">
        <f t="shared" si="395"/>
        <v>-1546746.5018584784</v>
      </c>
      <c r="BD137" s="26">
        <f t="shared" si="395"/>
        <v>-1546746.5018584784</v>
      </c>
      <c r="BE137" s="192">
        <f t="shared" si="376"/>
        <v>-3656.5199999809265</v>
      </c>
      <c r="BF137" s="26"/>
      <c r="BG137" s="26">
        <f>SUM(BG135:BG136)</f>
        <v>-3656.5199999809265</v>
      </c>
      <c r="BH137" s="26">
        <f>SUM(BH135:BH136)</f>
        <v>-1546746.5018584784</v>
      </c>
      <c r="BI137" s="26">
        <f t="shared" ref="BI137:BR137" si="396">SUM(BI135:BI136)</f>
        <v>-1546746.5018584784</v>
      </c>
      <c r="BJ137" s="26">
        <f t="shared" si="396"/>
        <v>-1546746.5018584784</v>
      </c>
      <c r="BK137" s="26">
        <f t="shared" si="396"/>
        <v>-1546746.5018584784</v>
      </c>
      <c r="BL137" s="26">
        <f t="shared" si="396"/>
        <v>-1546746.5018584784</v>
      </c>
      <c r="BM137" s="26">
        <f t="shared" si="396"/>
        <v>-1546746.5018584784</v>
      </c>
      <c r="BN137" s="26">
        <f t="shared" si="396"/>
        <v>-1546746.5018584784</v>
      </c>
      <c r="BO137" s="26">
        <f t="shared" si="396"/>
        <v>-1546746.5018584784</v>
      </c>
      <c r="BP137" s="26">
        <f t="shared" si="396"/>
        <v>-1546746.5018584784</v>
      </c>
      <c r="BQ137" s="26">
        <f t="shared" si="396"/>
        <v>-1546746.5018584784</v>
      </c>
      <c r="BR137" s="26">
        <f t="shared" si="396"/>
        <v>-1546746.5018584784</v>
      </c>
    </row>
    <row r="138" spans="1:70" hidden="1" outlineLevel="3" x14ac:dyDescent="0.2">
      <c r="A138" s="54"/>
      <c r="B138" s="38" t="str">
        <f t="shared" si="368"/>
        <v>Оплата больничных листов</v>
      </c>
      <c r="C138" s="49" t="str">
        <f t="shared" si="368"/>
        <v>Sick leave compensation</v>
      </c>
      <c r="D138" s="168">
        <f t="shared" ref="D138:P139" si="397">D18-D81</f>
        <v>-5525298.6799999997</v>
      </c>
      <c r="E138" s="40">
        <f t="shared" si="397"/>
        <v>0</v>
      </c>
      <c r="F138" s="40">
        <f t="shared" si="397"/>
        <v>-502299.88</v>
      </c>
      <c r="G138" s="40">
        <f t="shared" si="397"/>
        <v>-502299.88</v>
      </c>
      <c r="H138" s="40">
        <f t="shared" si="397"/>
        <v>-502299.88</v>
      </c>
      <c r="I138" s="40">
        <f t="shared" si="397"/>
        <v>-502299.88</v>
      </c>
      <c r="J138" s="40">
        <f t="shared" si="397"/>
        <v>-502299.88</v>
      </c>
      <c r="K138" s="40">
        <f t="shared" si="397"/>
        <v>-502299.88</v>
      </c>
      <c r="L138" s="40">
        <f t="shared" si="397"/>
        <v>-502299.88</v>
      </c>
      <c r="M138" s="40">
        <f t="shared" si="397"/>
        <v>-502299.88</v>
      </c>
      <c r="N138" s="40">
        <f t="shared" si="397"/>
        <v>-502299.88</v>
      </c>
      <c r="O138" s="40">
        <f t="shared" si="397"/>
        <v>-502299.88</v>
      </c>
      <c r="P138" s="176">
        <f t="shared" si="397"/>
        <v>-502299.88</v>
      </c>
      <c r="Q138" s="191">
        <f t="shared" ref="Q138:S139" si="398">Q18-Q81</f>
        <v>-5525298.6799999997</v>
      </c>
      <c r="R138" s="40">
        <f t="shared" si="398"/>
        <v>0</v>
      </c>
      <c r="S138" s="40">
        <f t="shared" si="398"/>
        <v>-502299.88</v>
      </c>
      <c r="T138" s="40">
        <f t="shared" ref="T138:AC139" si="399">T18-T81</f>
        <v>-502299.88</v>
      </c>
      <c r="U138" s="40">
        <f t="shared" si="399"/>
        <v>-502299.88</v>
      </c>
      <c r="V138" s="40">
        <f t="shared" si="399"/>
        <v>-502299.88</v>
      </c>
      <c r="W138" s="40">
        <f t="shared" si="399"/>
        <v>-502299.88</v>
      </c>
      <c r="X138" s="40">
        <f t="shared" si="399"/>
        <v>-502299.88</v>
      </c>
      <c r="Y138" s="40">
        <f t="shared" si="399"/>
        <v>-502299.88</v>
      </c>
      <c r="Z138" s="40">
        <f t="shared" si="399"/>
        <v>-502299.88</v>
      </c>
      <c r="AA138" s="40">
        <f t="shared" si="399"/>
        <v>-502299.88</v>
      </c>
      <c r="AB138" s="40">
        <f t="shared" si="399"/>
        <v>-502299.88</v>
      </c>
      <c r="AC138" s="176">
        <f t="shared" si="399"/>
        <v>-502299.88</v>
      </c>
      <c r="AD138" s="225">
        <f t="shared" ref="AD138:AF139" si="400">AD18-AD81</f>
        <v>-5525298.6799999997</v>
      </c>
      <c r="AE138" s="40">
        <f t="shared" si="400"/>
        <v>0</v>
      </c>
      <c r="AF138" s="40">
        <f t="shared" si="400"/>
        <v>-502299.88</v>
      </c>
      <c r="AG138" s="40">
        <f t="shared" ref="AG138:AP139" si="401">AG18-AG81</f>
        <v>-502299.88</v>
      </c>
      <c r="AH138" s="40">
        <f t="shared" si="401"/>
        <v>-502299.88</v>
      </c>
      <c r="AI138" s="40">
        <f t="shared" si="401"/>
        <v>-502299.88</v>
      </c>
      <c r="AJ138" s="40">
        <f t="shared" si="401"/>
        <v>-502299.88</v>
      </c>
      <c r="AK138" s="40">
        <f t="shared" si="401"/>
        <v>-502299.88</v>
      </c>
      <c r="AL138" s="40">
        <f t="shared" si="401"/>
        <v>-502299.88</v>
      </c>
      <c r="AM138" s="40">
        <f t="shared" si="401"/>
        <v>-502299.88</v>
      </c>
      <c r="AN138" s="40">
        <f t="shared" si="401"/>
        <v>-502299.88</v>
      </c>
      <c r="AO138" s="40">
        <f t="shared" si="401"/>
        <v>-502299.88</v>
      </c>
      <c r="AP138" s="40">
        <f t="shared" si="401"/>
        <v>-502299.88</v>
      </c>
      <c r="AQ138" s="191">
        <f t="shared" si="374"/>
        <v>0</v>
      </c>
      <c r="AR138" s="40"/>
      <c r="AS138" s="40">
        <f>AS18-AS81</f>
        <v>0</v>
      </c>
      <c r="AT138" s="40">
        <f>AT18-AT81</f>
        <v>-502299.88</v>
      </c>
      <c r="AU138" s="40">
        <f t="shared" ref="AU138:BD139" si="402">AU18-AU81</f>
        <v>-502299.88</v>
      </c>
      <c r="AV138" s="40">
        <f t="shared" si="402"/>
        <v>-502299.88</v>
      </c>
      <c r="AW138" s="40">
        <f t="shared" si="402"/>
        <v>-502299.88</v>
      </c>
      <c r="AX138" s="40">
        <f t="shared" si="402"/>
        <v>-502299.88</v>
      </c>
      <c r="AY138" s="40">
        <f t="shared" si="402"/>
        <v>-502299.88</v>
      </c>
      <c r="AZ138" s="40">
        <f t="shared" si="402"/>
        <v>-502299.88</v>
      </c>
      <c r="BA138" s="40">
        <f t="shared" si="402"/>
        <v>-502299.88</v>
      </c>
      <c r="BB138" s="40">
        <f t="shared" si="402"/>
        <v>-502299.88</v>
      </c>
      <c r="BC138" s="40">
        <f t="shared" si="402"/>
        <v>-502299.88</v>
      </c>
      <c r="BD138" s="40">
        <f t="shared" si="402"/>
        <v>-502299.88</v>
      </c>
      <c r="BE138" s="191">
        <f t="shared" si="376"/>
        <v>0</v>
      </c>
      <c r="BF138" s="40"/>
      <c r="BG138" s="40">
        <f>BG18-BG81</f>
        <v>0</v>
      </c>
      <c r="BH138" s="40">
        <f>BH18-BH81</f>
        <v>-502299.88</v>
      </c>
      <c r="BI138" s="40">
        <f t="shared" ref="BI138:BR138" si="403">BI18-BI81</f>
        <v>-502299.88</v>
      </c>
      <c r="BJ138" s="40">
        <f t="shared" si="403"/>
        <v>-502299.88</v>
      </c>
      <c r="BK138" s="40">
        <f t="shared" si="403"/>
        <v>-502299.88</v>
      </c>
      <c r="BL138" s="40">
        <f t="shared" si="403"/>
        <v>-502299.88</v>
      </c>
      <c r="BM138" s="40">
        <f t="shared" si="403"/>
        <v>-502299.88</v>
      </c>
      <c r="BN138" s="40">
        <f t="shared" si="403"/>
        <v>-502299.88</v>
      </c>
      <c r="BO138" s="40">
        <f t="shared" si="403"/>
        <v>-502299.88</v>
      </c>
      <c r="BP138" s="40">
        <f t="shared" si="403"/>
        <v>-502299.88</v>
      </c>
      <c r="BQ138" s="40">
        <f t="shared" si="403"/>
        <v>-502299.88</v>
      </c>
      <c r="BR138" s="40">
        <f t="shared" si="403"/>
        <v>-502299.88</v>
      </c>
    </row>
    <row r="139" spans="1:70" hidden="1" outlineLevel="3" x14ac:dyDescent="0.2">
      <c r="A139" s="54"/>
      <c r="B139" s="38" t="str">
        <f t="shared" si="368"/>
        <v>Страховые взносы оплата больничных листов</v>
      </c>
      <c r="C139" s="49" t="str">
        <f t="shared" si="368"/>
        <v>Social Security on Sick leave compensation</v>
      </c>
      <c r="D139" s="168">
        <f t="shared" si="397"/>
        <v>-894733.94999999984</v>
      </c>
      <c r="E139" s="40">
        <f t="shared" si="397"/>
        <v>0</v>
      </c>
      <c r="F139" s="40">
        <f t="shared" si="397"/>
        <v>-81339.45</v>
      </c>
      <c r="G139" s="40">
        <f t="shared" si="397"/>
        <v>-81339.45</v>
      </c>
      <c r="H139" s="40">
        <f t="shared" si="397"/>
        <v>-81339.45</v>
      </c>
      <c r="I139" s="40">
        <f t="shared" si="397"/>
        <v>-81339.45</v>
      </c>
      <c r="J139" s="40">
        <f t="shared" si="397"/>
        <v>-81339.45</v>
      </c>
      <c r="K139" s="40">
        <f t="shared" si="397"/>
        <v>-81339.45</v>
      </c>
      <c r="L139" s="40">
        <f t="shared" si="397"/>
        <v>-81339.45</v>
      </c>
      <c r="M139" s="40">
        <f t="shared" si="397"/>
        <v>-81339.45</v>
      </c>
      <c r="N139" s="40">
        <f t="shared" si="397"/>
        <v>-81339.45</v>
      </c>
      <c r="O139" s="40">
        <f t="shared" si="397"/>
        <v>-81339.45</v>
      </c>
      <c r="P139" s="176">
        <f t="shared" si="397"/>
        <v>-81339.45</v>
      </c>
      <c r="Q139" s="191">
        <f t="shared" si="398"/>
        <v>-894733.94999999984</v>
      </c>
      <c r="R139" s="40">
        <f t="shared" si="398"/>
        <v>0</v>
      </c>
      <c r="S139" s="40">
        <f t="shared" si="398"/>
        <v>-81339.45</v>
      </c>
      <c r="T139" s="40">
        <f t="shared" si="399"/>
        <v>-81339.45</v>
      </c>
      <c r="U139" s="40">
        <f t="shared" si="399"/>
        <v>-81339.45</v>
      </c>
      <c r="V139" s="40">
        <f t="shared" si="399"/>
        <v>-81339.45</v>
      </c>
      <c r="W139" s="40">
        <f t="shared" si="399"/>
        <v>-81339.45</v>
      </c>
      <c r="X139" s="40">
        <f t="shared" si="399"/>
        <v>-81339.45</v>
      </c>
      <c r="Y139" s="40">
        <f t="shared" si="399"/>
        <v>-81339.45</v>
      </c>
      <c r="Z139" s="40">
        <f t="shared" si="399"/>
        <v>-81339.45</v>
      </c>
      <c r="AA139" s="40">
        <f t="shared" si="399"/>
        <v>-81339.45</v>
      </c>
      <c r="AB139" s="40">
        <f t="shared" si="399"/>
        <v>-81339.45</v>
      </c>
      <c r="AC139" s="176">
        <f t="shared" si="399"/>
        <v>-81339.45</v>
      </c>
      <c r="AD139" s="225">
        <f t="shared" si="400"/>
        <v>-894733.94999999984</v>
      </c>
      <c r="AE139" s="40">
        <f t="shared" si="400"/>
        <v>0</v>
      </c>
      <c r="AF139" s="40">
        <f t="shared" si="400"/>
        <v>-81339.45</v>
      </c>
      <c r="AG139" s="40">
        <f t="shared" si="401"/>
        <v>-81339.45</v>
      </c>
      <c r="AH139" s="40">
        <f t="shared" si="401"/>
        <v>-81339.45</v>
      </c>
      <c r="AI139" s="40">
        <f t="shared" si="401"/>
        <v>-81339.45</v>
      </c>
      <c r="AJ139" s="40">
        <f t="shared" si="401"/>
        <v>-81339.45</v>
      </c>
      <c r="AK139" s="40">
        <f t="shared" si="401"/>
        <v>-81339.45</v>
      </c>
      <c r="AL139" s="40">
        <f t="shared" si="401"/>
        <v>-81339.45</v>
      </c>
      <c r="AM139" s="40">
        <f t="shared" si="401"/>
        <v>-81339.45</v>
      </c>
      <c r="AN139" s="40">
        <f t="shared" si="401"/>
        <v>-81339.45</v>
      </c>
      <c r="AO139" s="40">
        <f t="shared" si="401"/>
        <v>-81339.45</v>
      </c>
      <c r="AP139" s="40">
        <f t="shared" si="401"/>
        <v>-81339.45</v>
      </c>
      <c r="AQ139" s="191">
        <f t="shared" si="374"/>
        <v>0</v>
      </c>
      <c r="AR139" s="40"/>
      <c r="AS139" s="40">
        <f>AS19-AS82</f>
        <v>0</v>
      </c>
      <c r="AT139" s="40">
        <f>AT19-AT82</f>
        <v>-81339.45</v>
      </c>
      <c r="AU139" s="40">
        <f t="shared" si="402"/>
        <v>-81339.45</v>
      </c>
      <c r="AV139" s="40">
        <f t="shared" si="402"/>
        <v>-81339.45</v>
      </c>
      <c r="AW139" s="40">
        <f t="shared" si="402"/>
        <v>-81339.45</v>
      </c>
      <c r="AX139" s="40">
        <f t="shared" si="402"/>
        <v>-81339.45</v>
      </c>
      <c r="AY139" s="40">
        <f t="shared" si="402"/>
        <v>-81339.45</v>
      </c>
      <c r="AZ139" s="40">
        <f t="shared" si="402"/>
        <v>-81339.45</v>
      </c>
      <c r="BA139" s="40">
        <f t="shared" si="402"/>
        <v>-81339.45</v>
      </c>
      <c r="BB139" s="40">
        <f t="shared" si="402"/>
        <v>-81339.45</v>
      </c>
      <c r="BC139" s="40">
        <f t="shared" si="402"/>
        <v>-81339.45</v>
      </c>
      <c r="BD139" s="40">
        <f t="shared" si="402"/>
        <v>-81339.45</v>
      </c>
      <c r="BE139" s="191">
        <f t="shared" si="376"/>
        <v>0</v>
      </c>
      <c r="BF139" s="40"/>
      <c r="BG139" s="40">
        <f>BG19-BG82</f>
        <v>0</v>
      </c>
      <c r="BH139" s="40">
        <f>BH19-BH82</f>
        <v>-81339.45</v>
      </c>
      <c r="BI139" s="40">
        <f t="shared" ref="BI139:BR139" si="404">BI19-BI82</f>
        <v>-81339.45</v>
      </c>
      <c r="BJ139" s="40">
        <f t="shared" si="404"/>
        <v>-81339.45</v>
      </c>
      <c r="BK139" s="40">
        <f t="shared" si="404"/>
        <v>-81339.45</v>
      </c>
      <c r="BL139" s="40">
        <f t="shared" si="404"/>
        <v>-81339.45</v>
      </c>
      <c r="BM139" s="40">
        <f t="shared" si="404"/>
        <v>-81339.45</v>
      </c>
      <c r="BN139" s="40">
        <f t="shared" si="404"/>
        <v>-81339.45</v>
      </c>
      <c r="BO139" s="40">
        <f t="shared" si="404"/>
        <v>-81339.45</v>
      </c>
      <c r="BP139" s="40">
        <f t="shared" si="404"/>
        <v>-81339.45</v>
      </c>
      <c r="BQ139" s="40">
        <f t="shared" si="404"/>
        <v>-81339.45</v>
      </c>
      <c r="BR139" s="40">
        <f t="shared" si="404"/>
        <v>-81339.45</v>
      </c>
    </row>
    <row r="140" spans="1:70" s="6" customFormat="1" hidden="1" outlineLevel="2" x14ac:dyDescent="0.2">
      <c r="A140" s="30"/>
      <c r="B140" s="29" t="str">
        <f t="shared" si="368"/>
        <v>Итого оплата больничных листов</v>
      </c>
      <c r="C140" s="52" t="str">
        <f t="shared" si="368"/>
        <v>Total Sick leave compensation</v>
      </c>
      <c r="D140" s="169">
        <f>SUM(D138:D139)</f>
        <v>-6420032.6299999999</v>
      </c>
      <c r="E140" s="26">
        <f>SUM(E138:E139)</f>
        <v>0</v>
      </c>
      <c r="F140" s="26">
        <f>SUM(F138:F139)</f>
        <v>-583639.32999999996</v>
      </c>
      <c r="G140" s="26">
        <f t="shared" ref="G140:P140" si="405">SUM(G138:G139)</f>
        <v>-583639.32999999996</v>
      </c>
      <c r="H140" s="26">
        <f t="shared" si="405"/>
        <v>-583639.32999999996</v>
      </c>
      <c r="I140" s="26">
        <f t="shared" si="405"/>
        <v>-583639.32999999996</v>
      </c>
      <c r="J140" s="26">
        <f t="shared" si="405"/>
        <v>-583639.32999999996</v>
      </c>
      <c r="K140" s="26">
        <f t="shared" si="405"/>
        <v>-583639.32999999996</v>
      </c>
      <c r="L140" s="26">
        <f t="shared" si="405"/>
        <v>-583639.32999999996</v>
      </c>
      <c r="M140" s="26">
        <f t="shared" si="405"/>
        <v>-583639.32999999996</v>
      </c>
      <c r="N140" s="26">
        <f t="shared" si="405"/>
        <v>-583639.32999999996</v>
      </c>
      <c r="O140" s="26">
        <f t="shared" si="405"/>
        <v>-583639.32999999996</v>
      </c>
      <c r="P140" s="177">
        <f t="shared" si="405"/>
        <v>-583639.32999999996</v>
      </c>
      <c r="Q140" s="192">
        <f>SUM(Q138:Q139)</f>
        <v>-6420032.6299999999</v>
      </c>
      <c r="R140" s="26">
        <f>SUM(R138:R139)</f>
        <v>0</v>
      </c>
      <c r="S140" s="26">
        <f>SUM(S138:S139)</f>
        <v>-583639.32999999996</v>
      </c>
      <c r="T140" s="26">
        <f t="shared" ref="T140:AC140" si="406">SUM(T138:T139)</f>
        <v>-583639.32999999996</v>
      </c>
      <c r="U140" s="26">
        <f t="shared" si="406"/>
        <v>-583639.32999999996</v>
      </c>
      <c r="V140" s="26">
        <f t="shared" si="406"/>
        <v>-583639.32999999996</v>
      </c>
      <c r="W140" s="26">
        <f t="shared" si="406"/>
        <v>-583639.32999999996</v>
      </c>
      <c r="X140" s="26">
        <f t="shared" si="406"/>
        <v>-583639.32999999996</v>
      </c>
      <c r="Y140" s="26">
        <f t="shared" si="406"/>
        <v>-583639.32999999996</v>
      </c>
      <c r="Z140" s="26">
        <f t="shared" si="406"/>
        <v>-583639.32999999996</v>
      </c>
      <c r="AA140" s="26">
        <f t="shared" si="406"/>
        <v>-583639.32999999996</v>
      </c>
      <c r="AB140" s="26">
        <f t="shared" si="406"/>
        <v>-583639.32999999996</v>
      </c>
      <c r="AC140" s="177">
        <f t="shared" si="406"/>
        <v>-583639.32999999996</v>
      </c>
      <c r="AD140" s="226">
        <f>SUM(AD138:AD139)</f>
        <v>-6420032.6299999999</v>
      </c>
      <c r="AE140" s="26">
        <f>SUM(AE138:AE139)</f>
        <v>0</v>
      </c>
      <c r="AF140" s="26">
        <f>SUM(AF138:AF139)</f>
        <v>-583639.32999999996</v>
      </c>
      <c r="AG140" s="26">
        <f t="shared" ref="AG140:AP140" si="407">SUM(AG138:AG139)</f>
        <v>-583639.32999999996</v>
      </c>
      <c r="AH140" s="26">
        <f t="shared" si="407"/>
        <v>-583639.32999999996</v>
      </c>
      <c r="AI140" s="26">
        <f t="shared" si="407"/>
        <v>-583639.32999999996</v>
      </c>
      <c r="AJ140" s="26">
        <f t="shared" si="407"/>
        <v>-583639.32999999996</v>
      </c>
      <c r="AK140" s="26">
        <f t="shared" si="407"/>
        <v>-583639.32999999996</v>
      </c>
      <c r="AL140" s="26">
        <f t="shared" si="407"/>
        <v>-583639.32999999996</v>
      </c>
      <c r="AM140" s="26">
        <f t="shared" si="407"/>
        <v>-583639.32999999996</v>
      </c>
      <c r="AN140" s="26">
        <f t="shared" si="407"/>
        <v>-583639.32999999996</v>
      </c>
      <c r="AO140" s="26">
        <f t="shared" si="407"/>
        <v>-583639.32999999996</v>
      </c>
      <c r="AP140" s="26">
        <f t="shared" si="407"/>
        <v>-583639.32999999996</v>
      </c>
      <c r="AQ140" s="192">
        <f t="shared" si="374"/>
        <v>0</v>
      </c>
      <c r="AR140" s="26"/>
      <c r="AS140" s="26">
        <f>SUM(AS138:AS139)</f>
        <v>0</v>
      </c>
      <c r="AT140" s="26">
        <f>SUM(AT138:AT139)</f>
        <v>-583639.32999999996</v>
      </c>
      <c r="AU140" s="26">
        <f t="shared" ref="AU140:BD140" si="408">SUM(AU138:AU139)</f>
        <v>-583639.32999999996</v>
      </c>
      <c r="AV140" s="26">
        <f t="shared" si="408"/>
        <v>-583639.32999999996</v>
      </c>
      <c r="AW140" s="26">
        <f t="shared" si="408"/>
        <v>-583639.32999999996</v>
      </c>
      <c r="AX140" s="26">
        <f t="shared" si="408"/>
        <v>-583639.32999999996</v>
      </c>
      <c r="AY140" s="26">
        <f t="shared" si="408"/>
        <v>-583639.32999999996</v>
      </c>
      <c r="AZ140" s="26">
        <f t="shared" si="408"/>
        <v>-583639.32999999996</v>
      </c>
      <c r="BA140" s="26">
        <f t="shared" si="408"/>
        <v>-583639.32999999996</v>
      </c>
      <c r="BB140" s="26">
        <f t="shared" si="408"/>
        <v>-583639.32999999996</v>
      </c>
      <c r="BC140" s="26">
        <f t="shared" si="408"/>
        <v>-583639.32999999996</v>
      </c>
      <c r="BD140" s="26">
        <f t="shared" si="408"/>
        <v>-583639.32999999996</v>
      </c>
      <c r="BE140" s="192">
        <f t="shared" si="376"/>
        <v>0</v>
      </c>
      <c r="BF140" s="26"/>
      <c r="BG140" s="26">
        <f>SUM(BG138:BG139)</f>
        <v>0</v>
      </c>
      <c r="BH140" s="26">
        <f>SUM(BH138:BH139)</f>
        <v>-583639.32999999996</v>
      </c>
      <c r="BI140" s="26">
        <f t="shared" ref="BI140:BR140" si="409">SUM(BI138:BI139)</f>
        <v>-583639.32999999996</v>
      </c>
      <c r="BJ140" s="26">
        <f t="shared" si="409"/>
        <v>-583639.32999999996</v>
      </c>
      <c r="BK140" s="26">
        <f t="shared" si="409"/>
        <v>-583639.32999999996</v>
      </c>
      <c r="BL140" s="26">
        <f t="shared" si="409"/>
        <v>-583639.32999999996</v>
      </c>
      <c r="BM140" s="26">
        <f t="shared" si="409"/>
        <v>-583639.32999999996</v>
      </c>
      <c r="BN140" s="26">
        <f t="shared" si="409"/>
        <v>-583639.32999999996</v>
      </c>
      <c r="BO140" s="26">
        <f t="shared" si="409"/>
        <v>-583639.32999999996</v>
      </c>
      <c r="BP140" s="26">
        <f t="shared" si="409"/>
        <v>-583639.32999999996</v>
      </c>
      <c r="BQ140" s="26">
        <f t="shared" si="409"/>
        <v>-583639.32999999996</v>
      </c>
      <c r="BR140" s="26">
        <f t="shared" si="409"/>
        <v>-583639.32999999996</v>
      </c>
    </row>
    <row r="141" spans="1:70" hidden="1" outlineLevel="3" x14ac:dyDescent="0.2">
      <c r="A141" s="54"/>
      <c r="B141" s="38" t="str">
        <f t="shared" si="368"/>
        <v>Декрет</v>
      </c>
      <c r="C141" s="49" t="str">
        <f t="shared" si="368"/>
        <v>Maternity leave</v>
      </c>
      <c r="D141" s="168">
        <f t="shared" ref="D141:P142" si="410">D21-D84</f>
        <v>0</v>
      </c>
      <c r="E141" s="40">
        <f t="shared" si="410"/>
        <v>0</v>
      </c>
      <c r="F141" s="40">
        <f t="shared" si="410"/>
        <v>0</v>
      </c>
      <c r="G141" s="40">
        <f t="shared" si="410"/>
        <v>0</v>
      </c>
      <c r="H141" s="40">
        <f t="shared" si="410"/>
        <v>0</v>
      </c>
      <c r="I141" s="40">
        <f t="shared" si="410"/>
        <v>0</v>
      </c>
      <c r="J141" s="40">
        <f t="shared" si="410"/>
        <v>0</v>
      </c>
      <c r="K141" s="40">
        <f t="shared" si="410"/>
        <v>0</v>
      </c>
      <c r="L141" s="40">
        <f t="shared" si="410"/>
        <v>0</v>
      </c>
      <c r="M141" s="40">
        <f t="shared" si="410"/>
        <v>0</v>
      </c>
      <c r="N141" s="40">
        <f t="shared" si="410"/>
        <v>0</v>
      </c>
      <c r="O141" s="40">
        <f t="shared" si="410"/>
        <v>0</v>
      </c>
      <c r="P141" s="176">
        <f t="shared" si="410"/>
        <v>0</v>
      </c>
      <c r="Q141" s="191">
        <f t="shared" ref="Q141:S142" si="411">Q21-Q84</f>
        <v>0</v>
      </c>
      <c r="R141" s="40">
        <f t="shared" si="411"/>
        <v>0</v>
      </c>
      <c r="S141" s="40">
        <f t="shared" si="411"/>
        <v>0</v>
      </c>
      <c r="T141" s="40">
        <f t="shared" ref="T141:AC142" si="412">T21-T84</f>
        <v>0</v>
      </c>
      <c r="U141" s="40">
        <f t="shared" si="412"/>
        <v>0</v>
      </c>
      <c r="V141" s="40">
        <f t="shared" si="412"/>
        <v>0</v>
      </c>
      <c r="W141" s="40">
        <f t="shared" si="412"/>
        <v>0</v>
      </c>
      <c r="X141" s="40">
        <f t="shared" si="412"/>
        <v>0</v>
      </c>
      <c r="Y141" s="40">
        <f t="shared" si="412"/>
        <v>0</v>
      </c>
      <c r="Z141" s="40">
        <f t="shared" si="412"/>
        <v>0</v>
      </c>
      <c r="AA141" s="40">
        <f t="shared" si="412"/>
        <v>0</v>
      </c>
      <c r="AB141" s="40">
        <f t="shared" si="412"/>
        <v>0</v>
      </c>
      <c r="AC141" s="176">
        <f t="shared" si="412"/>
        <v>0</v>
      </c>
      <c r="AD141" s="225">
        <f t="shared" ref="AD141:AF142" si="413">AD21-AD84</f>
        <v>0</v>
      </c>
      <c r="AE141" s="40">
        <f t="shared" si="413"/>
        <v>0</v>
      </c>
      <c r="AF141" s="40">
        <f t="shared" si="413"/>
        <v>0</v>
      </c>
      <c r="AG141" s="40">
        <f t="shared" ref="AG141:AP142" si="414">AG21-AG84</f>
        <v>0</v>
      </c>
      <c r="AH141" s="40">
        <f t="shared" si="414"/>
        <v>0</v>
      </c>
      <c r="AI141" s="40">
        <f t="shared" si="414"/>
        <v>0</v>
      </c>
      <c r="AJ141" s="40">
        <f t="shared" si="414"/>
        <v>0</v>
      </c>
      <c r="AK141" s="40">
        <f t="shared" si="414"/>
        <v>0</v>
      </c>
      <c r="AL141" s="40">
        <f t="shared" si="414"/>
        <v>0</v>
      </c>
      <c r="AM141" s="40">
        <f t="shared" si="414"/>
        <v>0</v>
      </c>
      <c r="AN141" s="40">
        <f t="shared" si="414"/>
        <v>0</v>
      </c>
      <c r="AO141" s="40">
        <f t="shared" si="414"/>
        <v>0</v>
      </c>
      <c r="AP141" s="40">
        <f t="shared" si="414"/>
        <v>0</v>
      </c>
      <c r="AQ141" s="191">
        <f t="shared" si="374"/>
        <v>0</v>
      </c>
      <c r="AR141" s="40"/>
      <c r="AS141" s="40">
        <f>AS21-AS84</f>
        <v>0</v>
      </c>
      <c r="AT141" s="40">
        <f>AT21-AT84</f>
        <v>0</v>
      </c>
      <c r="AU141" s="40">
        <f t="shared" ref="AU141:BD142" si="415">AU21-AU84</f>
        <v>0</v>
      </c>
      <c r="AV141" s="40">
        <f t="shared" si="415"/>
        <v>0</v>
      </c>
      <c r="AW141" s="40">
        <f t="shared" si="415"/>
        <v>0</v>
      </c>
      <c r="AX141" s="40">
        <f t="shared" si="415"/>
        <v>0</v>
      </c>
      <c r="AY141" s="40">
        <f t="shared" si="415"/>
        <v>0</v>
      </c>
      <c r="AZ141" s="40">
        <f t="shared" si="415"/>
        <v>0</v>
      </c>
      <c r="BA141" s="40">
        <f t="shared" si="415"/>
        <v>0</v>
      </c>
      <c r="BB141" s="40">
        <f t="shared" si="415"/>
        <v>0</v>
      </c>
      <c r="BC141" s="40">
        <f t="shared" si="415"/>
        <v>0</v>
      </c>
      <c r="BD141" s="40">
        <f t="shared" si="415"/>
        <v>0</v>
      </c>
      <c r="BE141" s="191">
        <f t="shared" si="376"/>
        <v>0</v>
      </c>
      <c r="BF141" s="40"/>
      <c r="BG141" s="40">
        <f>BG21-BG84</f>
        <v>0</v>
      </c>
      <c r="BH141" s="40">
        <f>BH21-BH84</f>
        <v>0</v>
      </c>
      <c r="BI141" s="40">
        <f t="shared" ref="BI141:BR141" si="416">BI21-BI84</f>
        <v>0</v>
      </c>
      <c r="BJ141" s="40">
        <f t="shared" si="416"/>
        <v>0</v>
      </c>
      <c r="BK141" s="40">
        <f t="shared" si="416"/>
        <v>0</v>
      </c>
      <c r="BL141" s="40">
        <f t="shared" si="416"/>
        <v>0</v>
      </c>
      <c r="BM141" s="40">
        <f t="shared" si="416"/>
        <v>0</v>
      </c>
      <c r="BN141" s="40">
        <f t="shared" si="416"/>
        <v>0</v>
      </c>
      <c r="BO141" s="40">
        <f t="shared" si="416"/>
        <v>0</v>
      </c>
      <c r="BP141" s="40">
        <f t="shared" si="416"/>
        <v>0</v>
      </c>
      <c r="BQ141" s="40">
        <f t="shared" si="416"/>
        <v>0</v>
      </c>
      <c r="BR141" s="40">
        <f t="shared" si="416"/>
        <v>0</v>
      </c>
    </row>
    <row r="142" spans="1:70" hidden="1" outlineLevel="3" x14ac:dyDescent="0.2">
      <c r="A142" s="54"/>
      <c r="B142" s="38" t="str">
        <f t="shared" si="368"/>
        <v>Страховые взносы декрет</v>
      </c>
      <c r="C142" s="49" t="str">
        <f t="shared" si="368"/>
        <v>Social Security on Maternity leave</v>
      </c>
      <c r="D142" s="168">
        <f t="shared" si="410"/>
        <v>0</v>
      </c>
      <c r="E142" s="40">
        <f t="shared" si="410"/>
        <v>0</v>
      </c>
      <c r="F142" s="40">
        <f t="shared" si="410"/>
        <v>0</v>
      </c>
      <c r="G142" s="40">
        <f t="shared" si="410"/>
        <v>0</v>
      </c>
      <c r="H142" s="40">
        <f t="shared" si="410"/>
        <v>0</v>
      </c>
      <c r="I142" s="40">
        <f t="shared" si="410"/>
        <v>0</v>
      </c>
      <c r="J142" s="40">
        <f t="shared" si="410"/>
        <v>0</v>
      </c>
      <c r="K142" s="40">
        <f t="shared" si="410"/>
        <v>0</v>
      </c>
      <c r="L142" s="40">
        <f t="shared" si="410"/>
        <v>0</v>
      </c>
      <c r="M142" s="40">
        <f t="shared" si="410"/>
        <v>0</v>
      </c>
      <c r="N142" s="40">
        <f t="shared" si="410"/>
        <v>0</v>
      </c>
      <c r="O142" s="40">
        <f t="shared" si="410"/>
        <v>0</v>
      </c>
      <c r="P142" s="176">
        <f t="shared" si="410"/>
        <v>0</v>
      </c>
      <c r="Q142" s="191">
        <f t="shared" si="411"/>
        <v>0</v>
      </c>
      <c r="R142" s="40">
        <f t="shared" si="411"/>
        <v>0</v>
      </c>
      <c r="S142" s="40">
        <f t="shared" si="411"/>
        <v>0</v>
      </c>
      <c r="T142" s="40">
        <f t="shared" si="412"/>
        <v>0</v>
      </c>
      <c r="U142" s="40">
        <f t="shared" si="412"/>
        <v>0</v>
      </c>
      <c r="V142" s="40">
        <f t="shared" si="412"/>
        <v>0</v>
      </c>
      <c r="W142" s="40">
        <f t="shared" si="412"/>
        <v>0</v>
      </c>
      <c r="X142" s="40">
        <f t="shared" si="412"/>
        <v>0</v>
      </c>
      <c r="Y142" s="40">
        <f t="shared" si="412"/>
        <v>0</v>
      </c>
      <c r="Z142" s="40">
        <f t="shared" si="412"/>
        <v>0</v>
      </c>
      <c r="AA142" s="40">
        <f t="shared" si="412"/>
        <v>0</v>
      </c>
      <c r="AB142" s="40">
        <f t="shared" si="412"/>
        <v>0</v>
      </c>
      <c r="AC142" s="176">
        <f t="shared" si="412"/>
        <v>0</v>
      </c>
      <c r="AD142" s="225">
        <f t="shared" si="413"/>
        <v>0</v>
      </c>
      <c r="AE142" s="40">
        <f t="shared" si="413"/>
        <v>0</v>
      </c>
      <c r="AF142" s="40">
        <f t="shared" si="413"/>
        <v>0</v>
      </c>
      <c r="AG142" s="40">
        <f t="shared" si="414"/>
        <v>0</v>
      </c>
      <c r="AH142" s="40">
        <f t="shared" si="414"/>
        <v>0</v>
      </c>
      <c r="AI142" s="40">
        <f t="shared" si="414"/>
        <v>0</v>
      </c>
      <c r="AJ142" s="40">
        <f t="shared" si="414"/>
        <v>0</v>
      </c>
      <c r="AK142" s="40">
        <f t="shared" si="414"/>
        <v>0</v>
      </c>
      <c r="AL142" s="40">
        <f t="shared" si="414"/>
        <v>0</v>
      </c>
      <c r="AM142" s="40">
        <f t="shared" si="414"/>
        <v>0</v>
      </c>
      <c r="AN142" s="40">
        <f t="shared" si="414"/>
        <v>0</v>
      </c>
      <c r="AO142" s="40">
        <f t="shared" si="414"/>
        <v>0</v>
      </c>
      <c r="AP142" s="40">
        <f t="shared" si="414"/>
        <v>0</v>
      </c>
      <c r="AQ142" s="191">
        <f t="shared" si="374"/>
        <v>0</v>
      </c>
      <c r="AR142" s="40"/>
      <c r="AS142" s="40">
        <f>AS22-AS85</f>
        <v>0</v>
      </c>
      <c r="AT142" s="40">
        <f>AT22-AT85</f>
        <v>0</v>
      </c>
      <c r="AU142" s="40">
        <f t="shared" si="415"/>
        <v>0</v>
      </c>
      <c r="AV142" s="40">
        <f t="shared" si="415"/>
        <v>0</v>
      </c>
      <c r="AW142" s="40">
        <f t="shared" si="415"/>
        <v>0</v>
      </c>
      <c r="AX142" s="40">
        <f t="shared" si="415"/>
        <v>0</v>
      </c>
      <c r="AY142" s="40">
        <f t="shared" si="415"/>
        <v>0</v>
      </c>
      <c r="AZ142" s="40">
        <f t="shared" si="415"/>
        <v>0</v>
      </c>
      <c r="BA142" s="40">
        <f t="shared" si="415"/>
        <v>0</v>
      </c>
      <c r="BB142" s="40">
        <f t="shared" si="415"/>
        <v>0</v>
      </c>
      <c r="BC142" s="40">
        <f t="shared" si="415"/>
        <v>0</v>
      </c>
      <c r="BD142" s="40">
        <f t="shared" si="415"/>
        <v>0</v>
      </c>
      <c r="BE142" s="191">
        <f t="shared" si="376"/>
        <v>0</v>
      </c>
      <c r="BF142" s="40"/>
      <c r="BG142" s="40">
        <f>BG22-BG85</f>
        <v>0</v>
      </c>
      <c r="BH142" s="40">
        <f>BH22-BH85</f>
        <v>0</v>
      </c>
      <c r="BI142" s="40">
        <f t="shared" ref="BI142:BR142" si="417">BI22-BI85</f>
        <v>0</v>
      </c>
      <c r="BJ142" s="40">
        <f t="shared" si="417"/>
        <v>0</v>
      </c>
      <c r="BK142" s="40">
        <f t="shared" si="417"/>
        <v>0</v>
      </c>
      <c r="BL142" s="40">
        <f t="shared" si="417"/>
        <v>0</v>
      </c>
      <c r="BM142" s="40">
        <f t="shared" si="417"/>
        <v>0</v>
      </c>
      <c r="BN142" s="40">
        <f t="shared" si="417"/>
        <v>0</v>
      </c>
      <c r="BO142" s="40">
        <f t="shared" si="417"/>
        <v>0</v>
      </c>
      <c r="BP142" s="40">
        <f t="shared" si="417"/>
        <v>0</v>
      </c>
      <c r="BQ142" s="40">
        <f t="shared" si="417"/>
        <v>0</v>
      </c>
      <c r="BR142" s="40">
        <f t="shared" si="417"/>
        <v>0</v>
      </c>
    </row>
    <row r="143" spans="1:70" s="6" customFormat="1" hidden="1" outlineLevel="2" x14ac:dyDescent="0.2">
      <c r="A143" s="30"/>
      <c r="B143" s="29" t="str">
        <f t="shared" si="368"/>
        <v>Итого декрет</v>
      </c>
      <c r="C143" s="52" t="str">
        <f t="shared" si="368"/>
        <v>Total Maternity leave</v>
      </c>
      <c r="D143" s="169">
        <f>SUM(D141:D142)</f>
        <v>0</v>
      </c>
      <c r="E143" s="26">
        <f>SUM(E141:E142)</f>
        <v>0</v>
      </c>
      <c r="F143" s="26">
        <f>SUM(F141:F142)</f>
        <v>0</v>
      </c>
      <c r="G143" s="26">
        <f t="shared" ref="G143:P143" si="418">SUM(G141:G142)</f>
        <v>0</v>
      </c>
      <c r="H143" s="26">
        <f t="shared" si="418"/>
        <v>0</v>
      </c>
      <c r="I143" s="26">
        <f t="shared" si="418"/>
        <v>0</v>
      </c>
      <c r="J143" s="26">
        <f t="shared" si="418"/>
        <v>0</v>
      </c>
      <c r="K143" s="26">
        <f t="shared" si="418"/>
        <v>0</v>
      </c>
      <c r="L143" s="26">
        <f t="shared" si="418"/>
        <v>0</v>
      </c>
      <c r="M143" s="26">
        <f t="shared" si="418"/>
        <v>0</v>
      </c>
      <c r="N143" s="26">
        <f t="shared" si="418"/>
        <v>0</v>
      </c>
      <c r="O143" s="26">
        <f t="shared" si="418"/>
        <v>0</v>
      </c>
      <c r="P143" s="177">
        <f t="shared" si="418"/>
        <v>0</v>
      </c>
      <c r="Q143" s="192">
        <f>SUM(Q141:Q142)</f>
        <v>0</v>
      </c>
      <c r="R143" s="26">
        <f>SUM(R141:R142)</f>
        <v>0</v>
      </c>
      <c r="S143" s="26">
        <f>SUM(S141:S142)</f>
        <v>0</v>
      </c>
      <c r="T143" s="26">
        <f t="shared" ref="T143:AC143" si="419">SUM(T141:T142)</f>
        <v>0</v>
      </c>
      <c r="U143" s="26">
        <f t="shared" si="419"/>
        <v>0</v>
      </c>
      <c r="V143" s="26">
        <f t="shared" si="419"/>
        <v>0</v>
      </c>
      <c r="W143" s="26">
        <f t="shared" si="419"/>
        <v>0</v>
      </c>
      <c r="X143" s="26">
        <f t="shared" si="419"/>
        <v>0</v>
      </c>
      <c r="Y143" s="26">
        <f t="shared" si="419"/>
        <v>0</v>
      </c>
      <c r="Z143" s="26">
        <f t="shared" si="419"/>
        <v>0</v>
      </c>
      <c r="AA143" s="26">
        <f t="shared" si="419"/>
        <v>0</v>
      </c>
      <c r="AB143" s="26">
        <f t="shared" si="419"/>
        <v>0</v>
      </c>
      <c r="AC143" s="177">
        <f t="shared" si="419"/>
        <v>0</v>
      </c>
      <c r="AD143" s="226">
        <f>SUM(AD141:AD142)</f>
        <v>0</v>
      </c>
      <c r="AE143" s="26">
        <f>SUM(AE141:AE142)</f>
        <v>0</v>
      </c>
      <c r="AF143" s="26">
        <f>SUM(AF141:AF142)</f>
        <v>0</v>
      </c>
      <c r="AG143" s="26">
        <f t="shared" ref="AG143:AP143" si="420">SUM(AG141:AG142)</f>
        <v>0</v>
      </c>
      <c r="AH143" s="26">
        <f t="shared" si="420"/>
        <v>0</v>
      </c>
      <c r="AI143" s="26">
        <f t="shared" si="420"/>
        <v>0</v>
      </c>
      <c r="AJ143" s="26">
        <f t="shared" si="420"/>
        <v>0</v>
      </c>
      <c r="AK143" s="26">
        <f t="shared" si="420"/>
        <v>0</v>
      </c>
      <c r="AL143" s="26">
        <f t="shared" si="420"/>
        <v>0</v>
      </c>
      <c r="AM143" s="26">
        <f t="shared" si="420"/>
        <v>0</v>
      </c>
      <c r="AN143" s="26">
        <f t="shared" si="420"/>
        <v>0</v>
      </c>
      <c r="AO143" s="26">
        <f t="shared" si="420"/>
        <v>0</v>
      </c>
      <c r="AP143" s="26">
        <f t="shared" si="420"/>
        <v>0</v>
      </c>
      <c r="AQ143" s="192">
        <f t="shared" si="374"/>
        <v>0</v>
      </c>
      <c r="AR143" s="26"/>
      <c r="AS143" s="26">
        <f>SUM(AS141:AS142)</f>
        <v>0</v>
      </c>
      <c r="AT143" s="26">
        <f>SUM(AT141:AT142)</f>
        <v>0</v>
      </c>
      <c r="AU143" s="26">
        <f t="shared" ref="AU143:BD143" si="421">SUM(AU141:AU142)</f>
        <v>0</v>
      </c>
      <c r="AV143" s="26">
        <f t="shared" si="421"/>
        <v>0</v>
      </c>
      <c r="AW143" s="26">
        <f t="shared" si="421"/>
        <v>0</v>
      </c>
      <c r="AX143" s="26">
        <f t="shared" si="421"/>
        <v>0</v>
      </c>
      <c r="AY143" s="26">
        <f t="shared" si="421"/>
        <v>0</v>
      </c>
      <c r="AZ143" s="26">
        <f t="shared" si="421"/>
        <v>0</v>
      </c>
      <c r="BA143" s="26">
        <f t="shared" si="421"/>
        <v>0</v>
      </c>
      <c r="BB143" s="26">
        <f t="shared" si="421"/>
        <v>0</v>
      </c>
      <c r="BC143" s="26">
        <f t="shared" si="421"/>
        <v>0</v>
      </c>
      <c r="BD143" s="26">
        <f t="shared" si="421"/>
        <v>0</v>
      </c>
      <c r="BE143" s="192">
        <f t="shared" si="376"/>
        <v>0</v>
      </c>
      <c r="BF143" s="26"/>
      <c r="BG143" s="26">
        <f>SUM(BG141:BG142)</f>
        <v>0</v>
      </c>
      <c r="BH143" s="26">
        <f>SUM(BH141:BH142)</f>
        <v>0</v>
      </c>
      <c r="BI143" s="26">
        <f t="shared" ref="BI143:BR143" si="422">SUM(BI141:BI142)</f>
        <v>0</v>
      </c>
      <c r="BJ143" s="26">
        <f t="shared" si="422"/>
        <v>0</v>
      </c>
      <c r="BK143" s="26">
        <f t="shared" si="422"/>
        <v>0</v>
      </c>
      <c r="BL143" s="26">
        <f t="shared" si="422"/>
        <v>0</v>
      </c>
      <c r="BM143" s="26">
        <f t="shared" si="422"/>
        <v>0</v>
      </c>
      <c r="BN143" s="26">
        <f t="shared" si="422"/>
        <v>0</v>
      </c>
      <c r="BO143" s="26">
        <f t="shared" si="422"/>
        <v>0</v>
      </c>
      <c r="BP143" s="26">
        <f t="shared" si="422"/>
        <v>0</v>
      </c>
      <c r="BQ143" s="26">
        <f t="shared" si="422"/>
        <v>0</v>
      </c>
      <c r="BR143" s="26">
        <f t="shared" si="422"/>
        <v>0</v>
      </c>
    </row>
    <row r="144" spans="1:70" s="6" customFormat="1" ht="13.5" outlineLevel="1" collapsed="1" thickTop="1" x14ac:dyDescent="0.2">
      <c r="A144" s="30"/>
      <c r="B144" s="48" t="str">
        <f t="shared" si="368"/>
        <v>Фиксированное вознаграждение</v>
      </c>
      <c r="C144" s="55" t="str">
        <f t="shared" si="368"/>
        <v>FIX compensation</v>
      </c>
      <c r="D144" s="170">
        <f>D134+D137+D140+D143</f>
        <v>87610314.19955644</v>
      </c>
      <c r="E144" s="45">
        <f>E134+E137+E140+E143</f>
        <v>0</v>
      </c>
      <c r="F144" s="45">
        <f>F134+F137+F140+F143</f>
        <v>7964574.0181415118</v>
      </c>
      <c r="G144" s="45">
        <f t="shared" ref="G144:P144" si="423">G134+G137+G140+G143</f>
        <v>7964574.0181415118</v>
      </c>
      <c r="H144" s="45">
        <f t="shared" si="423"/>
        <v>7964574.0181415118</v>
      </c>
      <c r="I144" s="45">
        <f t="shared" si="423"/>
        <v>7964574.0181415118</v>
      </c>
      <c r="J144" s="45">
        <f t="shared" si="423"/>
        <v>7964574.0181415118</v>
      </c>
      <c r="K144" s="45">
        <f t="shared" si="423"/>
        <v>7964574.0181415118</v>
      </c>
      <c r="L144" s="45">
        <f t="shared" si="423"/>
        <v>7964574.0181415118</v>
      </c>
      <c r="M144" s="45">
        <f t="shared" si="423"/>
        <v>7964574.0181415118</v>
      </c>
      <c r="N144" s="45">
        <f t="shared" si="423"/>
        <v>7964574.0181415118</v>
      </c>
      <c r="O144" s="45">
        <f t="shared" si="423"/>
        <v>7964574.0181415118</v>
      </c>
      <c r="P144" s="178">
        <f t="shared" si="423"/>
        <v>7964574.0181415118</v>
      </c>
      <c r="Q144" s="193">
        <f>Q134+Q137+Q140+Q143</f>
        <v>87610314.19955644</v>
      </c>
      <c r="R144" s="45">
        <f>R134+R137+R140+R143</f>
        <v>0</v>
      </c>
      <c r="S144" s="45">
        <f>S134+S137+S140+S143</f>
        <v>7964574.0181415118</v>
      </c>
      <c r="T144" s="45">
        <f t="shared" ref="T144:AC144" si="424">T134+T137+T140+T143</f>
        <v>7964574.0181415118</v>
      </c>
      <c r="U144" s="45">
        <f t="shared" si="424"/>
        <v>7964574.0181415118</v>
      </c>
      <c r="V144" s="45">
        <f t="shared" si="424"/>
        <v>7964574.0181415118</v>
      </c>
      <c r="W144" s="45">
        <f t="shared" si="424"/>
        <v>7964574.0181415118</v>
      </c>
      <c r="X144" s="45">
        <f t="shared" si="424"/>
        <v>7964574.0181415118</v>
      </c>
      <c r="Y144" s="45">
        <f t="shared" si="424"/>
        <v>7964574.0181415118</v>
      </c>
      <c r="Z144" s="45">
        <f t="shared" si="424"/>
        <v>7964574.0181415118</v>
      </c>
      <c r="AA144" s="45">
        <f t="shared" si="424"/>
        <v>7964574.0181415118</v>
      </c>
      <c r="AB144" s="45">
        <f t="shared" si="424"/>
        <v>7964574.0181415118</v>
      </c>
      <c r="AC144" s="178">
        <f t="shared" si="424"/>
        <v>7964574.0181415118</v>
      </c>
      <c r="AD144" s="227">
        <f>AD134+AD137+AD140+AD143</f>
        <v>87610314.19955644</v>
      </c>
      <c r="AE144" s="45">
        <f>AE134+AE137+AE140+AE143</f>
        <v>0</v>
      </c>
      <c r="AF144" s="45">
        <f>AF134+AF137+AF140+AF143</f>
        <v>7964574.0181415118</v>
      </c>
      <c r="AG144" s="45">
        <f t="shared" ref="AG144:AP144" si="425">AG134+AG137+AG140+AG143</f>
        <v>7964574.0181415118</v>
      </c>
      <c r="AH144" s="45">
        <f t="shared" si="425"/>
        <v>7964574.0181415118</v>
      </c>
      <c r="AI144" s="45">
        <f t="shared" si="425"/>
        <v>7964574.0181415118</v>
      </c>
      <c r="AJ144" s="45">
        <f t="shared" si="425"/>
        <v>7964574.0181415118</v>
      </c>
      <c r="AK144" s="45">
        <f t="shared" si="425"/>
        <v>7964574.0181415118</v>
      </c>
      <c r="AL144" s="45">
        <f t="shared" si="425"/>
        <v>7964574.0181415118</v>
      </c>
      <c r="AM144" s="45">
        <f t="shared" si="425"/>
        <v>7964574.0181415118</v>
      </c>
      <c r="AN144" s="45">
        <f t="shared" si="425"/>
        <v>7964574.0181415118</v>
      </c>
      <c r="AO144" s="45">
        <f t="shared" si="425"/>
        <v>7964574.0181415118</v>
      </c>
      <c r="AP144" s="45">
        <f t="shared" si="425"/>
        <v>7964574.0181415118</v>
      </c>
      <c r="AQ144" s="193">
        <f t="shared" si="374"/>
        <v>0</v>
      </c>
      <c r="AR144" s="45"/>
      <c r="AS144" s="45">
        <f>AS134+AS137+AS140+AS143</f>
        <v>0</v>
      </c>
      <c r="AT144" s="45">
        <f>AT134+AT137+AT140+AT143</f>
        <v>7964574.0181415118</v>
      </c>
      <c r="AU144" s="45">
        <f t="shared" ref="AU144:BD144" si="426">AU134+AU137+AU140+AU143</f>
        <v>7964574.0181415118</v>
      </c>
      <c r="AV144" s="45">
        <f t="shared" si="426"/>
        <v>7964574.0181415118</v>
      </c>
      <c r="AW144" s="45">
        <f t="shared" si="426"/>
        <v>7964574.0181415118</v>
      </c>
      <c r="AX144" s="45">
        <f t="shared" si="426"/>
        <v>7964574.0181415118</v>
      </c>
      <c r="AY144" s="45">
        <f t="shared" si="426"/>
        <v>7964574.0181415118</v>
      </c>
      <c r="AZ144" s="45">
        <f t="shared" si="426"/>
        <v>7964574.0181415118</v>
      </c>
      <c r="BA144" s="45">
        <f t="shared" si="426"/>
        <v>7964574.0181415118</v>
      </c>
      <c r="BB144" s="45">
        <f t="shared" si="426"/>
        <v>7964574.0181415118</v>
      </c>
      <c r="BC144" s="45">
        <f t="shared" si="426"/>
        <v>7964574.0181415118</v>
      </c>
      <c r="BD144" s="45">
        <f t="shared" si="426"/>
        <v>7964574.0181415118</v>
      </c>
      <c r="BE144" s="193">
        <f t="shared" si="376"/>
        <v>0</v>
      </c>
      <c r="BF144" s="45"/>
      <c r="BG144" s="45">
        <f>BG134+BG137+BG140+BG143</f>
        <v>0</v>
      </c>
      <c r="BH144" s="45">
        <f>BH134+BH137+BH140+BH143</f>
        <v>7964574.0181415118</v>
      </c>
      <c r="BI144" s="45">
        <f t="shared" ref="BI144:BR144" si="427">BI134+BI137+BI140+BI143</f>
        <v>7964574.0181415118</v>
      </c>
      <c r="BJ144" s="45">
        <f t="shared" si="427"/>
        <v>7964574.0181415118</v>
      </c>
      <c r="BK144" s="45">
        <f t="shared" si="427"/>
        <v>7964574.0181415118</v>
      </c>
      <c r="BL144" s="45">
        <f t="shared" si="427"/>
        <v>7964574.0181415118</v>
      </c>
      <c r="BM144" s="45">
        <f t="shared" si="427"/>
        <v>7964574.0181415118</v>
      </c>
      <c r="BN144" s="45">
        <f t="shared" si="427"/>
        <v>7964574.0181415118</v>
      </c>
      <c r="BO144" s="45">
        <f t="shared" si="427"/>
        <v>7964574.0181415118</v>
      </c>
      <c r="BP144" s="45">
        <f t="shared" si="427"/>
        <v>7964574.0181415118</v>
      </c>
      <c r="BQ144" s="45">
        <f t="shared" si="427"/>
        <v>7964574.0181415118</v>
      </c>
      <c r="BR144" s="45">
        <f t="shared" si="427"/>
        <v>7964574.0181415118</v>
      </c>
    </row>
    <row r="145" spans="1:70" s="6" customFormat="1" hidden="1" outlineLevel="2" x14ac:dyDescent="0.2">
      <c r="B145" s="29" t="str">
        <f t="shared" si="368"/>
        <v>Расходы на страхование (ДМС, НС)</v>
      </c>
      <c r="C145" s="52" t="str">
        <f t="shared" si="368"/>
        <v>Health &amp; welfare</v>
      </c>
      <c r="D145" s="169">
        <f t="shared" ref="D145:P146" si="428">D25-D88</f>
        <v>8427756.3366021216</v>
      </c>
      <c r="E145" s="26">
        <f t="shared" si="428"/>
        <v>11658.330000001937</v>
      </c>
      <c r="F145" s="26">
        <f t="shared" si="428"/>
        <v>765099.81878201105</v>
      </c>
      <c r="G145" s="26">
        <f t="shared" si="428"/>
        <v>765099.81878201105</v>
      </c>
      <c r="H145" s="26">
        <f t="shared" si="428"/>
        <v>765099.81878201105</v>
      </c>
      <c r="I145" s="26">
        <f t="shared" si="428"/>
        <v>765099.81878201105</v>
      </c>
      <c r="J145" s="26">
        <f t="shared" si="428"/>
        <v>765099.81878201105</v>
      </c>
      <c r="K145" s="26">
        <f t="shared" si="428"/>
        <v>765099.81878201105</v>
      </c>
      <c r="L145" s="26">
        <f t="shared" si="428"/>
        <v>765099.81878201105</v>
      </c>
      <c r="M145" s="26">
        <f t="shared" si="428"/>
        <v>765099.81878201105</v>
      </c>
      <c r="N145" s="26">
        <f t="shared" si="428"/>
        <v>765099.81878201105</v>
      </c>
      <c r="O145" s="26">
        <f t="shared" si="428"/>
        <v>765099.81878201105</v>
      </c>
      <c r="P145" s="177">
        <f t="shared" si="428"/>
        <v>765099.81878201105</v>
      </c>
      <c r="Q145" s="192">
        <f t="shared" ref="Q145:S146" si="429">Q25-Q88</f>
        <v>8427756.3366021216</v>
      </c>
      <c r="R145" s="26">
        <f t="shared" si="429"/>
        <v>11658.330000001937</v>
      </c>
      <c r="S145" s="26">
        <f t="shared" si="429"/>
        <v>765099.81878201105</v>
      </c>
      <c r="T145" s="26">
        <f t="shared" ref="T145:AC146" si="430">T25-T88</f>
        <v>765099.81878201105</v>
      </c>
      <c r="U145" s="26">
        <f t="shared" si="430"/>
        <v>765099.81878201105</v>
      </c>
      <c r="V145" s="26">
        <f t="shared" si="430"/>
        <v>765099.81878201105</v>
      </c>
      <c r="W145" s="26">
        <f t="shared" si="430"/>
        <v>765099.81878201105</v>
      </c>
      <c r="X145" s="26">
        <f t="shared" si="430"/>
        <v>765099.81878201105</v>
      </c>
      <c r="Y145" s="26">
        <f t="shared" si="430"/>
        <v>765099.81878201105</v>
      </c>
      <c r="Z145" s="26">
        <f t="shared" si="430"/>
        <v>765099.81878201105</v>
      </c>
      <c r="AA145" s="26">
        <f t="shared" si="430"/>
        <v>765099.81878201105</v>
      </c>
      <c r="AB145" s="26">
        <f t="shared" si="430"/>
        <v>765099.81878201105</v>
      </c>
      <c r="AC145" s="177">
        <f t="shared" si="430"/>
        <v>765099.81878201105</v>
      </c>
      <c r="AD145" s="226">
        <f t="shared" ref="AD145:AF146" si="431">AD25-AD88</f>
        <v>8427756.3366021216</v>
      </c>
      <c r="AE145" s="26">
        <f t="shared" si="431"/>
        <v>11658.330000001937</v>
      </c>
      <c r="AF145" s="26">
        <f t="shared" si="431"/>
        <v>765099.81878201105</v>
      </c>
      <c r="AG145" s="26">
        <f t="shared" ref="AG145:AP146" si="432">AG25-AG88</f>
        <v>765099.81878201105</v>
      </c>
      <c r="AH145" s="26">
        <f t="shared" si="432"/>
        <v>765099.81878201105</v>
      </c>
      <c r="AI145" s="26">
        <f t="shared" si="432"/>
        <v>765099.81878201105</v>
      </c>
      <c r="AJ145" s="26">
        <f t="shared" si="432"/>
        <v>765099.81878201105</v>
      </c>
      <c r="AK145" s="26">
        <f t="shared" si="432"/>
        <v>765099.81878201105</v>
      </c>
      <c r="AL145" s="26">
        <f t="shared" si="432"/>
        <v>765099.81878201105</v>
      </c>
      <c r="AM145" s="26">
        <f t="shared" si="432"/>
        <v>765099.81878201105</v>
      </c>
      <c r="AN145" s="26">
        <f t="shared" si="432"/>
        <v>765099.81878201105</v>
      </c>
      <c r="AO145" s="26">
        <f t="shared" si="432"/>
        <v>765099.81878201105</v>
      </c>
      <c r="AP145" s="26">
        <f t="shared" si="432"/>
        <v>765099.81878201105</v>
      </c>
      <c r="AQ145" s="192">
        <f t="shared" si="374"/>
        <v>0</v>
      </c>
      <c r="AR145" s="26"/>
      <c r="AS145" s="26">
        <f>AS25-AS88</f>
        <v>11658.330000001937</v>
      </c>
      <c r="AT145" s="26">
        <f>AT25-AT88</f>
        <v>765099.81878201105</v>
      </c>
      <c r="AU145" s="26">
        <f t="shared" ref="AU145:BD146" si="433">AU25-AU88</f>
        <v>765099.81878201105</v>
      </c>
      <c r="AV145" s="26">
        <f t="shared" si="433"/>
        <v>765099.81878201105</v>
      </c>
      <c r="AW145" s="26">
        <f t="shared" si="433"/>
        <v>765099.81878201105</v>
      </c>
      <c r="AX145" s="26">
        <f t="shared" si="433"/>
        <v>765099.81878201105</v>
      </c>
      <c r="AY145" s="26">
        <f t="shared" si="433"/>
        <v>765099.81878201105</v>
      </c>
      <c r="AZ145" s="26">
        <f t="shared" si="433"/>
        <v>765099.81878201105</v>
      </c>
      <c r="BA145" s="26">
        <f t="shared" si="433"/>
        <v>765099.81878201105</v>
      </c>
      <c r="BB145" s="26">
        <f t="shared" si="433"/>
        <v>765099.81878201105</v>
      </c>
      <c r="BC145" s="26">
        <f t="shared" si="433"/>
        <v>765099.81878201105</v>
      </c>
      <c r="BD145" s="26">
        <f t="shared" si="433"/>
        <v>765099.81878201105</v>
      </c>
      <c r="BE145" s="192">
        <f t="shared" si="376"/>
        <v>11658.330000001937</v>
      </c>
      <c r="BF145" s="26"/>
      <c r="BG145" s="26">
        <f>BG25-BG88</f>
        <v>11658.330000001937</v>
      </c>
      <c r="BH145" s="26">
        <f>BH25-BH88</f>
        <v>765099.81878201105</v>
      </c>
      <c r="BI145" s="26">
        <f t="shared" ref="BI145:BR145" si="434">BI25-BI88</f>
        <v>765099.81878201105</v>
      </c>
      <c r="BJ145" s="26">
        <f t="shared" si="434"/>
        <v>765099.81878201105</v>
      </c>
      <c r="BK145" s="26">
        <f t="shared" si="434"/>
        <v>765099.81878201105</v>
      </c>
      <c r="BL145" s="26">
        <f t="shared" si="434"/>
        <v>765099.81878201105</v>
      </c>
      <c r="BM145" s="26">
        <f t="shared" si="434"/>
        <v>765099.81878201105</v>
      </c>
      <c r="BN145" s="26">
        <f t="shared" si="434"/>
        <v>765099.81878201105</v>
      </c>
      <c r="BO145" s="26">
        <f t="shared" si="434"/>
        <v>765099.81878201105</v>
      </c>
      <c r="BP145" s="26">
        <f t="shared" si="434"/>
        <v>765099.81878201105</v>
      </c>
      <c r="BQ145" s="26">
        <f t="shared" si="434"/>
        <v>765099.81878201105</v>
      </c>
      <c r="BR145" s="26">
        <f t="shared" si="434"/>
        <v>765099.81878201105</v>
      </c>
    </row>
    <row r="146" spans="1:70" s="6" customFormat="1" hidden="1" outlineLevel="2" x14ac:dyDescent="0.2">
      <c r="B146" s="29" t="str">
        <f t="shared" si="368"/>
        <v>Прочие бенефиты</v>
      </c>
      <c r="C146" s="52" t="str">
        <f t="shared" si="368"/>
        <v>Other benefits - Non-state mandated</v>
      </c>
      <c r="D146" s="169">
        <f t="shared" si="428"/>
        <v>-7371742.6800000034</v>
      </c>
      <c r="E146" s="26">
        <f t="shared" si="428"/>
        <v>-614311.89000000013</v>
      </c>
      <c r="F146" s="26">
        <f t="shared" si="428"/>
        <v>-614311.89000000013</v>
      </c>
      <c r="G146" s="26">
        <f t="shared" si="428"/>
        <v>-614311.89000000013</v>
      </c>
      <c r="H146" s="26">
        <f t="shared" si="428"/>
        <v>-614311.89000000013</v>
      </c>
      <c r="I146" s="26">
        <f t="shared" si="428"/>
        <v>-614311.89000000013</v>
      </c>
      <c r="J146" s="26">
        <f t="shared" si="428"/>
        <v>-614311.89000000013</v>
      </c>
      <c r="K146" s="26">
        <f t="shared" si="428"/>
        <v>-614311.89000000013</v>
      </c>
      <c r="L146" s="26">
        <f t="shared" si="428"/>
        <v>-614311.89000000013</v>
      </c>
      <c r="M146" s="26">
        <f t="shared" si="428"/>
        <v>-614311.89000000013</v>
      </c>
      <c r="N146" s="26">
        <f t="shared" si="428"/>
        <v>-614311.89000000013</v>
      </c>
      <c r="O146" s="26">
        <f t="shared" si="428"/>
        <v>-614311.89000000013</v>
      </c>
      <c r="P146" s="177">
        <f t="shared" si="428"/>
        <v>-614311.89000000013</v>
      </c>
      <c r="Q146" s="192">
        <f t="shared" si="429"/>
        <v>-7371742.6800000034</v>
      </c>
      <c r="R146" s="26">
        <f t="shared" si="429"/>
        <v>-614311.89000000013</v>
      </c>
      <c r="S146" s="26">
        <f t="shared" si="429"/>
        <v>-614311.89000000013</v>
      </c>
      <c r="T146" s="26">
        <f t="shared" si="430"/>
        <v>-614311.89000000013</v>
      </c>
      <c r="U146" s="26">
        <f t="shared" si="430"/>
        <v>-614311.89000000013</v>
      </c>
      <c r="V146" s="26">
        <f t="shared" si="430"/>
        <v>-614311.89000000013</v>
      </c>
      <c r="W146" s="26">
        <f t="shared" si="430"/>
        <v>-614311.89000000013</v>
      </c>
      <c r="X146" s="26">
        <f t="shared" si="430"/>
        <v>-614311.89000000013</v>
      </c>
      <c r="Y146" s="26">
        <f t="shared" si="430"/>
        <v>-614311.89000000013</v>
      </c>
      <c r="Z146" s="26">
        <f t="shared" si="430"/>
        <v>-614311.89000000013</v>
      </c>
      <c r="AA146" s="26">
        <f t="shared" si="430"/>
        <v>-614311.89000000013</v>
      </c>
      <c r="AB146" s="26">
        <f t="shared" si="430"/>
        <v>-614311.89000000013</v>
      </c>
      <c r="AC146" s="177">
        <f t="shared" si="430"/>
        <v>-614311.89000000013</v>
      </c>
      <c r="AD146" s="226">
        <f t="shared" si="431"/>
        <v>-7371742.6800000034</v>
      </c>
      <c r="AE146" s="26">
        <f t="shared" si="431"/>
        <v>-614311.89000000013</v>
      </c>
      <c r="AF146" s="26">
        <f t="shared" si="431"/>
        <v>-614311.89000000013</v>
      </c>
      <c r="AG146" s="26">
        <f t="shared" si="432"/>
        <v>-614311.89000000013</v>
      </c>
      <c r="AH146" s="26">
        <f t="shared" si="432"/>
        <v>-614311.89000000013</v>
      </c>
      <c r="AI146" s="26">
        <f t="shared" si="432"/>
        <v>-614311.89000000013</v>
      </c>
      <c r="AJ146" s="26">
        <f t="shared" si="432"/>
        <v>-614311.89000000013</v>
      </c>
      <c r="AK146" s="26">
        <f t="shared" si="432"/>
        <v>-614311.89000000013</v>
      </c>
      <c r="AL146" s="26">
        <f t="shared" si="432"/>
        <v>-614311.89000000013</v>
      </c>
      <c r="AM146" s="26">
        <f t="shared" si="432"/>
        <v>-614311.89000000013</v>
      </c>
      <c r="AN146" s="26">
        <f t="shared" si="432"/>
        <v>-614311.89000000013</v>
      </c>
      <c r="AO146" s="26">
        <f t="shared" si="432"/>
        <v>-614311.89000000013</v>
      </c>
      <c r="AP146" s="26">
        <f t="shared" si="432"/>
        <v>-614311.89000000013</v>
      </c>
      <c r="AQ146" s="192">
        <f t="shared" si="374"/>
        <v>0</v>
      </c>
      <c r="AR146" s="26"/>
      <c r="AS146" s="26">
        <f>AS26-AS89</f>
        <v>-614311.89000000013</v>
      </c>
      <c r="AT146" s="26">
        <f>AT26-AT89</f>
        <v>-614311.89000000013</v>
      </c>
      <c r="AU146" s="26">
        <f t="shared" si="433"/>
        <v>-614311.89000000013</v>
      </c>
      <c r="AV146" s="26">
        <f t="shared" si="433"/>
        <v>-614311.89000000013</v>
      </c>
      <c r="AW146" s="26">
        <f t="shared" si="433"/>
        <v>-614311.89000000013</v>
      </c>
      <c r="AX146" s="26">
        <f t="shared" si="433"/>
        <v>-614311.89000000013</v>
      </c>
      <c r="AY146" s="26">
        <f t="shared" si="433"/>
        <v>-614311.89000000013</v>
      </c>
      <c r="AZ146" s="26">
        <f t="shared" si="433"/>
        <v>-614311.89000000013</v>
      </c>
      <c r="BA146" s="26">
        <f t="shared" si="433"/>
        <v>-614311.89000000013</v>
      </c>
      <c r="BB146" s="26">
        <f t="shared" si="433"/>
        <v>-614311.89000000013</v>
      </c>
      <c r="BC146" s="26">
        <f t="shared" si="433"/>
        <v>-614311.89000000013</v>
      </c>
      <c r="BD146" s="26">
        <f t="shared" si="433"/>
        <v>-614311.89000000013</v>
      </c>
      <c r="BE146" s="192">
        <f t="shared" si="376"/>
        <v>-614311.89000000013</v>
      </c>
      <c r="BF146" s="26"/>
      <c r="BG146" s="26">
        <f>BG26-BG89</f>
        <v>-614311.89000000013</v>
      </c>
      <c r="BH146" s="26">
        <f>BH26-BH89</f>
        <v>-614311.89000000013</v>
      </c>
      <c r="BI146" s="26">
        <f t="shared" ref="BI146:BR146" si="435">BI26-BI89</f>
        <v>-614311.89000000013</v>
      </c>
      <c r="BJ146" s="26">
        <f t="shared" si="435"/>
        <v>-614311.89000000013</v>
      </c>
      <c r="BK146" s="26">
        <f t="shared" si="435"/>
        <v>-614311.89000000013</v>
      </c>
      <c r="BL146" s="26">
        <f t="shared" si="435"/>
        <v>-614311.89000000013</v>
      </c>
      <c r="BM146" s="26">
        <f t="shared" si="435"/>
        <v>-614311.89000000013</v>
      </c>
      <c r="BN146" s="26">
        <f t="shared" si="435"/>
        <v>-614311.89000000013</v>
      </c>
      <c r="BO146" s="26">
        <f t="shared" si="435"/>
        <v>-614311.89000000013</v>
      </c>
      <c r="BP146" s="26">
        <f t="shared" si="435"/>
        <v>-614311.89000000013</v>
      </c>
      <c r="BQ146" s="26">
        <f t="shared" si="435"/>
        <v>-614311.89000000013</v>
      </c>
      <c r="BR146" s="26">
        <f t="shared" si="435"/>
        <v>-614311.89000000013</v>
      </c>
    </row>
    <row r="147" spans="1:70" s="6" customFormat="1" outlineLevel="1" collapsed="1" x14ac:dyDescent="0.2">
      <c r="A147" s="30"/>
      <c r="B147" s="48" t="str">
        <f t="shared" si="368"/>
        <v>Бенефиты</v>
      </c>
      <c r="C147" s="55" t="str">
        <f t="shared" si="368"/>
        <v>Benefits</v>
      </c>
      <c r="D147" s="170">
        <f>SUM(D145:D146)</f>
        <v>1056013.6566021182</v>
      </c>
      <c r="E147" s="45">
        <f>SUM(E145:E146)</f>
        <v>-602653.55999999819</v>
      </c>
      <c r="F147" s="45">
        <f>SUM(F145:F146)</f>
        <v>150787.92878201092</v>
      </c>
      <c r="G147" s="45">
        <f t="shared" ref="G147:P147" si="436">SUM(G145:G146)</f>
        <v>150787.92878201092</v>
      </c>
      <c r="H147" s="45">
        <f t="shared" si="436"/>
        <v>150787.92878201092</v>
      </c>
      <c r="I147" s="45">
        <f t="shared" si="436"/>
        <v>150787.92878201092</v>
      </c>
      <c r="J147" s="45">
        <f t="shared" si="436"/>
        <v>150787.92878201092</v>
      </c>
      <c r="K147" s="45">
        <f t="shared" si="436"/>
        <v>150787.92878201092</v>
      </c>
      <c r="L147" s="45">
        <f t="shared" si="436"/>
        <v>150787.92878201092</v>
      </c>
      <c r="M147" s="45">
        <f t="shared" si="436"/>
        <v>150787.92878201092</v>
      </c>
      <c r="N147" s="45">
        <f t="shared" si="436"/>
        <v>150787.92878201092</v>
      </c>
      <c r="O147" s="45">
        <f t="shared" si="436"/>
        <v>150787.92878201092</v>
      </c>
      <c r="P147" s="178">
        <f t="shared" si="436"/>
        <v>150787.92878201092</v>
      </c>
      <c r="Q147" s="193">
        <f>SUM(Q145:Q146)</f>
        <v>1056013.6566021182</v>
      </c>
      <c r="R147" s="45">
        <f>SUM(R145:R146)</f>
        <v>-602653.55999999819</v>
      </c>
      <c r="S147" s="45">
        <f>SUM(S145:S146)</f>
        <v>150787.92878201092</v>
      </c>
      <c r="T147" s="45">
        <f t="shared" ref="T147:AC147" si="437">SUM(T145:T146)</f>
        <v>150787.92878201092</v>
      </c>
      <c r="U147" s="45">
        <f t="shared" si="437"/>
        <v>150787.92878201092</v>
      </c>
      <c r="V147" s="45">
        <f t="shared" si="437"/>
        <v>150787.92878201092</v>
      </c>
      <c r="W147" s="45">
        <f t="shared" si="437"/>
        <v>150787.92878201092</v>
      </c>
      <c r="X147" s="45">
        <f t="shared" si="437"/>
        <v>150787.92878201092</v>
      </c>
      <c r="Y147" s="45">
        <f t="shared" si="437"/>
        <v>150787.92878201092</v>
      </c>
      <c r="Z147" s="45">
        <f t="shared" si="437"/>
        <v>150787.92878201092</v>
      </c>
      <c r="AA147" s="45">
        <f t="shared" si="437"/>
        <v>150787.92878201092</v>
      </c>
      <c r="AB147" s="45">
        <f t="shared" si="437"/>
        <v>150787.92878201092</v>
      </c>
      <c r="AC147" s="178">
        <f t="shared" si="437"/>
        <v>150787.92878201092</v>
      </c>
      <c r="AD147" s="227">
        <f>SUM(AD145:AD146)</f>
        <v>1056013.6566021182</v>
      </c>
      <c r="AE147" s="45">
        <f>SUM(AE145:AE146)</f>
        <v>-602653.55999999819</v>
      </c>
      <c r="AF147" s="45">
        <f>SUM(AF145:AF146)</f>
        <v>150787.92878201092</v>
      </c>
      <c r="AG147" s="45">
        <f t="shared" ref="AG147:AP147" si="438">SUM(AG145:AG146)</f>
        <v>150787.92878201092</v>
      </c>
      <c r="AH147" s="45">
        <f t="shared" si="438"/>
        <v>150787.92878201092</v>
      </c>
      <c r="AI147" s="45">
        <f t="shared" si="438"/>
        <v>150787.92878201092</v>
      </c>
      <c r="AJ147" s="45">
        <f t="shared" si="438"/>
        <v>150787.92878201092</v>
      </c>
      <c r="AK147" s="45">
        <f t="shared" si="438"/>
        <v>150787.92878201092</v>
      </c>
      <c r="AL147" s="45">
        <f t="shared" si="438"/>
        <v>150787.92878201092</v>
      </c>
      <c r="AM147" s="45">
        <f t="shared" si="438"/>
        <v>150787.92878201092</v>
      </c>
      <c r="AN147" s="45">
        <f t="shared" si="438"/>
        <v>150787.92878201092</v>
      </c>
      <c r="AO147" s="45">
        <f t="shared" si="438"/>
        <v>150787.92878201092</v>
      </c>
      <c r="AP147" s="45">
        <f t="shared" si="438"/>
        <v>150787.92878201092</v>
      </c>
      <c r="AQ147" s="193">
        <f t="shared" si="374"/>
        <v>0</v>
      </c>
      <c r="AR147" s="45"/>
      <c r="AS147" s="45">
        <f>SUM(AS145:AS146)</f>
        <v>-602653.55999999819</v>
      </c>
      <c r="AT147" s="45">
        <f>SUM(AT145:AT146)</f>
        <v>150787.92878201092</v>
      </c>
      <c r="AU147" s="45">
        <f t="shared" ref="AU147:BD147" si="439">SUM(AU145:AU146)</f>
        <v>150787.92878201092</v>
      </c>
      <c r="AV147" s="45">
        <f t="shared" si="439"/>
        <v>150787.92878201092</v>
      </c>
      <c r="AW147" s="45">
        <f t="shared" si="439"/>
        <v>150787.92878201092</v>
      </c>
      <c r="AX147" s="45">
        <f t="shared" si="439"/>
        <v>150787.92878201092</v>
      </c>
      <c r="AY147" s="45">
        <f t="shared" si="439"/>
        <v>150787.92878201092</v>
      </c>
      <c r="AZ147" s="45">
        <f t="shared" si="439"/>
        <v>150787.92878201092</v>
      </c>
      <c r="BA147" s="45">
        <f t="shared" si="439"/>
        <v>150787.92878201092</v>
      </c>
      <c r="BB147" s="45">
        <f t="shared" si="439"/>
        <v>150787.92878201092</v>
      </c>
      <c r="BC147" s="45">
        <f t="shared" si="439"/>
        <v>150787.92878201092</v>
      </c>
      <c r="BD147" s="45">
        <f t="shared" si="439"/>
        <v>150787.92878201092</v>
      </c>
      <c r="BE147" s="193">
        <f t="shared" si="376"/>
        <v>-602653.55999999819</v>
      </c>
      <c r="BF147" s="45"/>
      <c r="BG147" s="45">
        <f>SUM(BG145:BG146)</f>
        <v>-602653.55999999819</v>
      </c>
      <c r="BH147" s="45">
        <f>SUM(BH145:BH146)</f>
        <v>150787.92878201092</v>
      </c>
      <c r="BI147" s="45">
        <f t="shared" ref="BI147:BR147" si="440">SUM(BI145:BI146)</f>
        <v>150787.92878201092</v>
      </c>
      <c r="BJ147" s="45">
        <f t="shared" si="440"/>
        <v>150787.92878201092</v>
      </c>
      <c r="BK147" s="45">
        <f t="shared" si="440"/>
        <v>150787.92878201092</v>
      </c>
      <c r="BL147" s="45">
        <f t="shared" si="440"/>
        <v>150787.92878201092</v>
      </c>
      <c r="BM147" s="45">
        <f t="shared" si="440"/>
        <v>150787.92878201092</v>
      </c>
      <c r="BN147" s="45">
        <f t="shared" si="440"/>
        <v>150787.92878201092</v>
      </c>
      <c r="BO147" s="45">
        <f t="shared" si="440"/>
        <v>150787.92878201092</v>
      </c>
      <c r="BP147" s="45">
        <f t="shared" si="440"/>
        <v>150787.92878201092</v>
      </c>
      <c r="BQ147" s="45">
        <f t="shared" si="440"/>
        <v>150787.92878201092</v>
      </c>
      <c r="BR147" s="45">
        <f t="shared" si="440"/>
        <v>150787.92878201092</v>
      </c>
    </row>
    <row r="148" spans="1:70" hidden="1" outlineLevel="3" x14ac:dyDescent="0.2">
      <c r="A148" s="54"/>
      <c r="B148" s="38" t="str">
        <f t="shared" si="368"/>
        <v>Прочие выплаты</v>
      </c>
      <c r="C148" s="49" t="str">
        <f t="shared" si="368"/>
        <v>Remaining Other Compensation</v>
      </c>
      <c r="D148" s="168">
        <f t="shared" ref="D148:P149" si="441">D28-D91</f>
        <v>1560000</v>
      </c>
      <c r="E148" s="40">
        <f t="shared" si="441"/>
        <v>240000</v>
      </c>
      <c r="F148" s="40">
        <f t="shared" si="441"/>
        <v>120000</v>
      </c>
      <c r="G148" s="40">
        <f t="shared" si="441"/>
        <v>120000</v>
      </c>
      <c r="H148" s="40">
        <f t="shared" si="441"/>
        <v>120000</v>
      </c>
      <c r="I148" s="40">
        <f t="shared" si="441"/>
        <v>120000</v>
      </c>
      <c r="J148" s="40">
        <f t="shared" si="441"/>
        <v>120000</v>
      </c>
      <c r="K148" s="40">
        <f t="shared" si="441"/>
        <v>120000</v>
      </c>
      <c r="L148" s="40">
        <f t="shared" si="441"/>
        <v>120000</v>
      </c>
      <c r="M148" s="40">
        <f t="shared" si="441"/>
        <v>120000</v>
      </c>
      <c r="N148" s="40">
        <f t="shared" si="441"/>
        <v>120000</v>
      </c>
      <c r="O148" s="40">
        <f t="shared" si="441"/>
        <v>120000</v>
      </c>
      <c r="P148" s="176">
        <f t="shared" si="441"/>
        <v>120000</v>
      </c>
      <c r="Q148" s="191">
        <f t="shared" ref="Q148:S149" si="442">Q28-Q91</f>
        <v>1560000</v>
      </c>
      <c r="R148" s="40">
        <f t="shared" si="442"/>
        <v>240000</v>
      </c>
      <c r="S148" s="40">
        <f t="shared" si="442"/>
        <v>120000</v>
      </c>
      <c r="T148" s="40">
        <f t="shared" ref="T148:AC149" si="443">T28-T91</f>
        <v>120000</v>
      </c>
      <c r="U148" s="40">
        <f t="shared" si="443"/>
        <v>120000</v>
      </c>
      <c r="V148" s="40">
        <f t="shared" si="443"/>
        <v>120000</v>
      </c>
      <c r="W148" s="40">
        <f t="shared" si="443"/>
        <v>120000</v>
      </c>
      <c r="X148" s="40">
        <f t="shared" si="443"/>
        <v>120000</v>
      </c>
      <c r="Y148" s="40">
        <f t="shared" si="443"/>
        <v>120000</v>
      </c>
      <c r="Z148" s="40">
        <f t="shared" si="443"/>
        <v>120000</v>
      </c>
      <c r="AA148" s="40">
        <f t="shared" si="443"/>
        <v>120000</v>
      </c>
      <c r="AB148" s="40">
        <f t="shared" si="443"/>
        <v>120000</v>
      </c>
      <c r="AC148" s="176">
        <f t="shared" si="443"/>
        <v>120000</v>
      </c>
      <c r="AD148" s="225">
        <f t="shared" ref="AD148:AF149" si="444">AD28-AD91</f>
        <v>1560000</v>
      </c>
      <c r="AE148" s="40">
        <f t="shared" si="444"/>
        <v>240000</v>
      </c>
      <c r="AF148" s="40">
        <f t="shared" si="444"/>
        <v>120000</v>
      </c>
      <c r="AG148" s="40">
        <f t="shared" ref="AG148:AP149" si="445">AG28-AG91</f>
        <v>120000</v>
      </c>
      <c r="AH148" s="40">
        <f t="shared" si="445"/>
        <v>120000</v>
      </c>
      <c r="AI148" s="40">
        <f t="shared" si="445"/>
        <v>120000</v>
      </c>
      <c r="AJ148" s="40">
        <f t="shared" si="445"/>
        <v>120000</v>
      </c>
      <c r="AK148" s="40">
        <f t="shared" si="445"/>
        <v>120000</v>
      </c>
      <c r="AL148" s="40">
        <f t="shared" si="445"/>
        <v>120000</v>
      </c>
      <c r="AM148" s="40">
        <f t="shared" si="445"/>
        <v>120000</v>
      </c>
      <c r="AN148" s="40">
        <f t="shared" si="445"/>
        <v>120000</v>
      </c>
      <c r="AO148" s="40">
        <f t="shared" si="445"/>
        <v>120000</v>
      </c>
      <c r="AP148" s="40">
        <f t="shared" si="445"/>
        <v>120000</v>
      </c>
      <c r="AQ148" s="191">
        <f t="shared" si="374"/>
        <v>0</v>
      </c>
      <c r="AR148" s="40"/>
      <c r="AS148" s="40">
        <f>AS28-AS91</f>
        <v>240000</v>
      </c>
      <c r="AT148" s="40">
        <f>AT28-AT91</f>
        <v>120000</v>
      </c>
      <c r="AU148" s="40">
        <f t="shared" ref="AU148:BD149" si="446">AU28-AU91</f>
        <v>120000</v>
      </c>
      <c r="AV148" s="40">
        <f t="shared" si="446"/>
        <v>120000</v>
      </c>
      <c r="AW148" s="40">
        <f t="shared" si="446"/>
        <v>120000</v>
      </c>
      <c r="AX148" s="40">
        <f t="shared" si="446"/>
        <v>120000</v>
      </c>
      <c r="AY148" s="40">
        <f t="shared" si="446"/>
        <v>120000</v>
      </c>
      <c r="AZ148" s="40">
        <f t="shared" si="446"/>
        <v>120000</v>
      </c>
      <c r="BA148" s="40">
        <f t="shared" si="446"/>
        <v>120000</v>
      </c>
      <c r="BB148" s="40">
        <f t="shared" si="446"/>
        <v>120000</v>
      </c>
      <c r="BC148" s="40">
        <f t="shared" si="446"/>
        <v>120000</v>
      </c>
      <c r="BD148" s="40">
        <f t="shared" si="446"/>
        <v>120000</v>
      </c>
      <c r="BE148" s="191">
        <f t="shared" si="376"/>
        <v>240000</v>
      </c>
      <c r="BF148" s="40"/>
      <c r="BG148" s="40">
        <f>BG28-BG91</f>
        <v>240000</v>
      </c>
      <c r="BH148" s="40">
        <f>BH28-BH91</f>
        <v>120000</v>
      </c>
      <c r="BI148" s="40">
        <f t="shared" ref="BI148:BR148" si="447">BI28-BI91</f>
        <v>120000</v>
      </c>
      <c r="BJ148" s="40">
        <f t="shared" si="447"/>
        <v>120000</v>
      </c>
      <c r="BK148" s="40">
        <f t="shared" si="447"/>
        <v>120000</v>
      </c>
      <c r="BL148" s="40">
        <f t="shared" si="447"/>
        <v>120000</v>
      </c>
      <c r="BM148" s="40">
        <f t="shared" si="447"/>
        <v>120000</v>
      </c>
      <c r="BN148" s="40">
        <f t="shared" si="447"/>
        <v>120000</v>
      </c>
      <c r="BO148" s="40">
        <f t="shared" si="447"/>
        <v>120000</v>
      </c>
      <c r="BP148" s="40">
        <f t="shared" si="447"/>
        <v>120000</v>
      </c>
      <c r="BQ148" s="40">
        <f t="shared" si="447"/>
        <v>120000</v>
      </c>
      <c r="BR148" s="40">
        <f t="shared" si="447"/>
        <v>120000</v>
      </c>
    </row>
    <row r="149" spans="1:70" hidden="1" outlineLevel="3" x14ac:dyDescent="0.2">
      <c r="A149" s="54"/>
      <c r="B149" s="38" t="str">
        <f t="shared" si="368"/>
        <v>Страховые взносы прочие выплаты</v>
      </c>
      <c r="C149" s="49" t="str">
        <f t="shared" si="368"/>
        <v>Social Security on Remaining Other Compensation</v>
      </c>
      <c r="D149" s="168">
        <f t="shared" si="441"/>
        <v>0</v>
      </c>
      <c r="E149" s="40">
        <f t="shared" si="441"/>
        <v>0</v>
      </c>
      <c r="F149" s="40">
        <f t="shared" si="441"/>
        <v>0</v>
      </c>
      <c r="G149" s="40">
        <f t="shared" si="441"/>
        <v>0</v>
      </c>
      <c r="H149" s="40">
        <f t="shared" si="441"/>
        <v>0</v>
      </c>
      <c r="I149" s="40">
        <f t="shared" si="441"/>
        <v>0</v>
      </c>
      <c r="J149" s="40">
        <f t="shared" si="441"/>
        <v>0</v>
      </c>
      <c r="K149" s="40">
        <f t="shared" si="441"/>
        <v>0</v>
      </c>
      <c r="L149" s="40">
        <f t="shared" si="441"/>
        <v>0</v>
      </c>
      <c r="M149" s="40">
        <f t="shared" si="441"/>
        <v>0</v>
      </c>
      <c r="N149" s="40">
        <f t="shared" si="441"/>
        <v>0</v>
      </c>
      <c r="O149" s="40">
        <f t="shared" si="441"/>
        <v>0</v>
      </c>
      <c r="P149" s="176">
        <f t="shared" si="441"/>
        <v>0</v>
      </c>
      <c r="Q149" s="191">
        <f t="shared" si="442"/>
        <v>0</v>
      </c>
      <c r="R149" s="40">
        <f t="shared" si="442"/>
        <v>0</v>
      </c>
      <c r="S149" s="40">
        <f t="shared" si="442"/>
        <v>0</v>
      </c>
      <c r="T149" s="40">
        <f t="shared" si="443"/>
        <v>0</v>
      </c>
      <c r="U149" s="40">
        <f t="shared" si="443"/>
        <v>0</v>
      </c>
      <c r="V149" s="40">
        <f t="shared" si="443"/>
        <v>0</v>
      </c>
      <c r="W149" s="40">
        <f t="shared" si="443"/>
        <v>0</v>
      </c>
      <c r="X149" s="40">
        <f t="shared" si="443"/>
        <v>0</v>
      </c>
      <c r="Y149" s="40">
        <f t="shared" si="443"/>
        <v>0</v>
      </c>
      <c r="Z149" s="40">
        <f t="shared" si="443"/>
        <v>0</v>
      </c>
      <c r="AA149" s="40">
        <f t="shared" si="443"/>
        <v>0</v>
      </c>
      <c r="AB149" s="40">
        <f t="shared" si="443"/>
        <v>0</v>
      </c>
      <c r="AC149" s="176">
        <f t="shared" si="443"/>
        <v>0</v>
      </c>
      <c r="AD149" s="225">
        <f t="shared" si="444"/>
        <v>0</v>
      </c>
      <c r="AE149" s="40">
        <f t="shared" si="444"/>
        <v>0</v>
      </c>
      <c r="AF149" s="40">
        <f t="shared" si="444"/>
        <v>0</v>
      </c>
      <c r="AG149" s="40">
        <f t="shared" si="445"/>
        <v>0</v>
      </c>
      <c r="AH149" s="40">
        <f t="shared" si="445"/>
        <v>0</v>
      </c>
      <c r="AI149" s="40">
        <f t="shared" si="445"/>
        <v>0</v>
      </c>
      <c r="AJ149" s="40">
        <f t="shared" si="445"/>
        <v>0</v>
      </c>
      <c r="AK149" s="40">
        <f t="shared" si="445"/>
        <v>0</v>
      </c>
      <c r="AL149" s="40">
        <f t="shared" si="445"/>
        <v>0</v>
      </c>
      <c r="AM149" s="40">
        <f t="shared" si="445"/>
        <v>0</v>
      </c>
      <c r="AN149" s="40">
        <f t="shared" si="445"/>
        <v>0</v>
      </c>
      <c r="AO149" s="40">
        <f t="shared" si="445"/>
        <v>0</v>
      </c>
      <c r="AP149" s="40">
        <f t="shared" si="445"/>
        <v>0</v>
      </c>
      <c r="AQ149" s="191">
        <f t="shared" si="374"/>
        <v>0</v>
      </c>
      <c r="AR149" s="40"/>
      <c r="AS149" s="40">
        <f>AS29-AS92</f>
        <v>0</v>
      </c>
      <c r="AT149" s="40">
        <f>AT29-AT92</f>
        <v>0</v>
      </c>
      <c r="AU149" s="40">
        <f t="shared" si="446"/>
        <v>0</v>
      </c>
      <c r="AV149" s="40">
        <f t="shared" si="446"/>
        <v>0</v>
      </c>
      <c r="AW149" s="40">
        <f t="shared" si="446"/>
        <v>0</v>
      </c>
      <c r="AX149" s="40">
        <f t="shared" si="446"/>
        <v>0</v>
      </c>
      <c r="AY149" s="40">
        <f t="shared" si="446"/>
        <v>0</v>
      </c>
      <c r="AZ149" s="40">
        <f t="shared" si="446"/>
        <v>0</v>
      </c>
      <c r="BA149" s="40">
        <f t="shared" si="446"/>
        <v>0</v>
      </c>
      <c r="BB149" s="40">
        <f t="shared" si="446"/>
        <v>0</v>
      </c>
      <c r="BC149" s="40">
        <f t="shared" si="446"/>
        <v>0</v>
      </c>
      <c r="BD149" s="40">
        <f t="shared" si="446"/>
        <v>0</v>
      </c>
      <c r="BE149" s="191">
        <f t="shared" si="376"/>
        <v>0</v>
      </c>
      <c r="BF149" s="40"/>
      <c r="BG149" s="40">
        <f>BG29-BG92</f>
        <v>0</v>
      </c>
      <c r="BH149" s="40">
        <f>BH29-BH92</f>
        <v>0</v>
      </c>
      <c r="BI149" s="40">
        <f t="shared" ref="BI149:BR149" si="448">BI29-BI92</f>
        <v>0</v>
      </c>
      <c r="BJ149" s="40">
        <f t="shared" si="448"/>
        <v>0</v>
      </c>
      <c r="BK149" s="40">
        <f t="shared" si="448"/>
        <v>0</v>
      </c>
      <c r="BL149" s="40">
        <f t="shared" si="448"/>
        <v>0</v>
      </c>
      <c r="BM149" s="40">
        <f t="shared" si="448"/>
        <v>0</v>
      </c>
      <c r="BN149" s="40">
        <f t="shared" si="448"/>
        <v>0</v>
      </c>
      <c r="BO149" s="40">
        <f t="shared" si="448"/>
        <v>0</v>
      </c>
      <c r="BP149" s="40">
        <f t="shared" si="448"/>
        <v>0</v>
      </c>
      <c r="BQ149" s="40">
        <f t="shared" si="448"/>
        <v>0</v>
      </c>
      <c r="BR149" s="40">
        <f t="shared" si="448"/>
        <v>0</v>
      </c>
    </row>
    <row r="150" spans="1:70" s="6" customFormat="1" hidden="1" outlineLevel="2" x14ac:dyDescent="0.2">
      <c r="A150" s="30"/>
      <c r="B150" s="29" t="str">
        <f t="shared" si="368"/>
        <v>Итого прочие выплаты</v>
      </c>
      <c r="C150" s="52" t="str">
        <f t="shared" si="368"/>
        <v>Total Remaining Other Compensation</v>
      </c>
      <c r="D150" s="169">
        <f>SUM(D148:D149)</f>
        <v>1560000</v>
      </c>
      <c r="E150" s="26">
        <f>SUM(E148:E149)</f>
        <v>240000</v>
      </c>
      <c r="F150" s="26">
        <f>SUM(F148:F149)</f>
        <v>120000</v>
      </c>
      <c r="G150" s="26">
        <f t="shared" ref="G150:P150" si="449">SUM(G148:G149)</f>
        <v>120000</v>
      </c>
      <c r="H150" s="26">
        <f t="shared" si="449"/>
        <v>120000</v>
      </c>
      <c r="I150" s="26">
        <f t="shared" si="449"/>
        <v>120000</v>
      </c>
      <c r="J150" s="26">
        <f t="shared" si="449"/>
        <v>120000</v>
      </c>
      <c r="K150" s="26">
        <f t="shared" si="449"/>
        <v>120000</v>
      </c>
      <c r="L150" s="26">
        <f t="shared" si="449"/>
        <v>120000</v>
      </c>
      <c r="M150" s="26">
        <f t="shared" si="449"/>
        <v>120000</v>
      </c>
      <c r="N150" s="26">
        <f t="shared" si="449"/>
        <v>120000</v>
      </c>
      <c r="O150" s="26">
        <f t="shared" si="449"/>
        <v>120000</v>
      </c>
      <c r="P150" s="177">
        <f t="shared" si="449"/>
        <v>120000</v>
      </c>
      <c r="Q150" s="192">
        <f>SUM(Q148:Q149)</f>
        <v>1560000</v>
      </c>
      <c r="R150" s="26">
        <f>SUM(R148:R149)</f>
        <v>240000</v>
      </c>
      <c r="S150" s="26">
        <f>SUM(S148:S149)</f>
        <v>120000</v>
      </c>
      <c r="T150" s="26">
        <f t="shared" ref="T150:AC150" si="450">SUM(T148:T149)</f>
        <v>120000</v>
      </c>
      <c r="U150" s="26">
        <f t="shared" si="450"/>
        <v>120000</v>
      </c>
      <c r="V150" s="26">
        <f t="shared" si="450"/>
        <v>120000</v>
      </c>
      <c r="W150" s="26">
        <f t="shared" si="450"/>
        <v>120000</v>
      </c>
      <c r="X150" s="26">
        <f t="shared" si="450"/>
        <v>120000</v>
      </c>
      <c r="Y150" s="26">
        <f t="shared" si="450"/>
        <v>120000</v>
      </c>
      <c r="Z150" s="26">
        <f t="shared" si="450"/>
        <v>120000</v>
      </c>
      <c r="AA150" s="26">
        <f t="shared" si="450"/>
        <v>120000</v>
      </c>
      <c r="AB150" s="26">
        <f t="shared" si="450"/>
        <v>120000</v>
      </c>
      <c r="AC150" s="177">
        <f t="shared" si="450"/>
        <v>120000</v>
      </c>
      <c r="AD150" s="226">
        <f>SUM(AD148:AD149)</f>
        <v>1560000</v>
      </c>
      <c r="AE150" s="26">
        <f>SUM(AE148:AE149)</f>
        <v>240000</v>
      </c>
      <c r="AF150" s="26">
        <f>SUM(AF148:AF149)</f>
        <v>120000</v>
      </c>
      <c r="AG150" s="26">
        <f t="shared" ref="AG150:AP150" si="451">SUM(AG148:AG149)</f>
        <v>120000</v>
      </c>
      <c r="AH150" s="26">
        <f t="shared" si="451"/>
        <v>120000</v>
      </c>
      <c r="AI150" s="26">
        <f t="shared" si="451"/>
        <v>120000</v>
      </c>
      <c r="AJ150" s="26">
        <f t="shared" si="451"/>
        <v>120000</v>
      </c>
      <c r="AK150" s="26">
        <f t="shared" si="451"/>
        <v>120000</v>
      </c>
      <c r="AL150" s="26">
        <f t="shared" si="451"/>
        <v>120000</v>
      </c>
      <c r="AM150" s="26">
        <f t="shared" si="451"/>
        <v>120000</v>
      </c>
      <c r="AN150" s="26">
        <f t="shared" si="451"/>
        <v>120000</v>
      </c>
      <c r="AO150" s="26">
        <f t="shared" si="451"/>
        <v>120000</v>
      </c>
      <c r="AP150" s="26">
        <f t="shared" si="451"/>
        <v>120000</v>
      </c>
      <c r="AQ150" s="192">
        <f t="shared" si="374"/>
        <v>0</v>
      </c>
      <c r="AR150" s="26"/>
      <c r="AS150" s="26">
        <f>SUM(AS148:AS149)</f>
        <v>240000</v>
      </c>
      <c r="AT150" s="26">
        <f>SUM(AT148:AT149)</f>
        <v>120000</v>
      </c>
      <c r="AU150" s="26">
        <f t="shared" ref="AU150:BD150" si="452">SUM(AU148:AU149)</f>
        <v>120000</v>
      </c>
      <c r="AV150" s="26">
        <f t="shared" si="452"/>
        <v>120000</v>
      </c>
      <c r="AW150" s="26">
        <f t="shared" si="452"/>
        <v>120000</v>
      </c>
      <c r="AX150" s="26">
        <f t="shared" si="452"/>
        <v>120000</v>
      </c>
      <c r="AY150" s="26">
        <f t="shared" si="452"/>
        <v>120000</v>
      </c>
      <c r="AZ150" s="26">
        <f t="shared" si="452"/>
        <v>120000</v>
      </c>
      <c r="BA150" s="26">
        <f t="shared" si="452"/>
        <v>120000</v>
      </c>
      <c r="BB150" s="26">
        <f t="shared" si="452"/>
        <v>120000</v>
      </c>
      <c r="BC150" s="26">
        <f t="shared" si="452"/>
        <v>120000</v>
      </c>
      <c r="BD150" s="26">
        <f t="shared" si="452"/>
        <v>120000</v>
      </c>
      <c r="BE150" s="192">
        <f t="shared" si="376"/>
        <v>240000</v>
      </c>
      <c r="BF150" s="26"/>
      <c r="BG150" s="26">
        <f>SUM(BG148:BG149)</f>
        <v>240000</v>
      </c>
      <c r="BH150" s="26">
        <f>SUM(BH148:BH149)</f>
        <v>120000</v>
      </c>
      <c r="BI150" s="26">
        <f t="shared" ref="BI150:BR150" si="453">SUM(BI148:BI149)</f>
        <v>120000</v>
      </c>
      <c r="BJ150" s="26">
        <f t="shared" si="453"/>
        <v>120000</v>
      </c>
      <c r="BK150" s="26">
        <f t="shared" si="453"/>
        <v>120000</v>
      </c>
      <c r="BL150" s="26">
        <f t="shared" si="453"/>
        <v>120000</v>
      </c>
      <c r="BM150" s="26">
        <f t="shared" si="453"/>
        <v>120000</v>
      </c>
      <c r="BN150" s="26">
        <f t="shared" si="453"/>
        <v>120000</v>
      </c>
      <c r="BO150" s="26">
        <f t="shared" si="453"/>
        <v>120000</v>
      </c>
      <c r="BP150" s="26">
        <f t="shared" si="453"/>
        <v>120000</v>
      </c>
      <c r="BQ150" s="26">
        <f t="shared" si="453"/>
        <v>120000</v>
      </c>
      <c r="BR150" s="26">
        <f t="shared" si="453"/>
        <v>120000</v>
      </c>
    </row>
    <row r="151" spans="1:70" ht="12.75" hidden="1" customHeight="1" outlineLevel="3" x14ac:dyDescent="0.2">
      <c r="A151" s="54"/>
      <c r="B151" s="38" t="str">
        <f t="shared" si="368"/>
        <v>Премия разовая</v>
      </c>
      <c r="C151" s="49" t="str">
        <f t="shared" si="368"/>
        <v>Sign-ons - cash</v>
      </c>
      <c r="D151" s="168">
        <f t="shared" ref="D151:P152" si="454">D31-D94</f>
        <v>-209000000</v>
      </c>
      <c r="E151" s="40">
        <f t="shared" si="454"/>
        <v>0</v>
      </c>
      <c r="F151" s="40">
        <f t="shared" si="454"/>
        <v>-19000000</v>
      </c>
      <c r="G151" s="40">
        <f t="shared" si="454"/>
        <v>-19000000</v>
      </c>
      <c r="H151" s="40">
        <f t="shared" si="454"/>
        <v>-19000000</v>
      </c>
      <c r="I151" s="40">
        <f t="shared" si="454"/>
        <v>-19000000</v>
      </c>
      <c r="J151" s="40">
        <f t="shared" si="454"/>
        <v>-19000000</v>
      </c>
      <c r="K151" s="40">
        <f t="shared" si="454"/>
        <v>-19000000</v>
      </c>
      <c r="L151" s="40">
        <f t="shared" si="454"/>
        <v>-19000000</v>
      </c>
      <c r="M151" s="40">
        <f t="shared" si="454"/>
        <v>-19000000</v>
      </c>
      <c r="N151" s="40">
        <f t="shared" si="454"/>
        <v>-19000000</v>
      </c>
      <c r="O151" s="40">
        <f t="shared" si="454"/>
        <v>-19000000</v>
      </c>
      <c r="P151" s="176">
        <f t="shared" si="454"/>
        <v>-19000000</v>
      </c>
      <c r="Q151" s="191">
        <f t="shared" ref="Q151:S152" si="455">Q31-Q94</f>
        <v>-209000000</v>
      </c>
      <c r="R151" s="40">
        <f t="shared" si="455"/>
        <v>0</v>
      </c>
      <c r="S151" s="40">
        <f t="shared" si="455"/>
        <v>-19000000</v>
      </c>
      <c r="T151" s="40">
        <f t="shared" ref="T151:AC152" si="456">T31-T94</f>
        <v>-19000000</v>
      </c>
      <c r="U151" s="40">
        <f t="shared" si="456"/>
        <v>-19000000</v>
      </c>
      <c r="V151" s="40">
        <f t="shared" si="456"/>
        <v>-19000000</v>
      </c>
      <c r="W151" s="40">
        <f t="shared" si="456"/>
        <v>-19000000</v>
      </c>
      <c r="X151" s="40">
        <f t="shared" si="456"/>
        <v>-19000000</v>
      </c>
      <c r="Y151" s="40">
        <f t="shared" si="456"/>
        <v>-19000000</v>
      </c>
      <c r="Z151" s="40">
        <f t="shared" si="456"/>
        <v>-19000000</v>
      </c>
      <c r="AA151" s="40">
        <f t="shared" si="456"/>
        <v>-19000000</v>
      </c>
      <c r="AB151" s="40">
        <f t="shared" si="456"/>
        <v>-19000000</v>
      </c>
      <c r="AC151" s="176">
        <f t="shared" si="456"/>
        <v>-19000000</v>
      </c>
      <c r="AD151" s="225">
        <f t="shared" ref="AD151:AF152" si="457">AD31-AD94</f>
        <v>-209000000</v>
      </c>
      <c r="AE151" s="40">
        <f t="shared" si="457"/>
        <v>0</v>
      </c>
      <c r="AF151" s="40">
        <f t="shared" si="457"/>
        <v>-19000000</v>
      </c>
      <c r="AG151" s="40">
        <f t="shared" ref="AG151:AP152" si="458">AG31-AG94</f>
        <v>-19000000</v>
      </c>
      <c r="AH151" s="40">
        <f t="shared" si="458"/>
        <v>-19000000</v>
      </c>
      <c r="AI151" s="40">
        <f t="shared" si="458"/>
        <v>-19000000</v>
      </c>
      <c r="AJ151" s="40">
        <f t="shared" si="458"/>
        <v>-19000000</v>
      </c>
      <c r="AK151" s="40">
        <f t="shared" si="458"/>
        <v>-19000000</v>
      </c>
      <c r="AL151" s="40">
        <f t="shared" si="458"/>
        <v>-19000000</v>
      </c>
      <c r="AM151" s="40">
        <f t="shared" si="458"/>
        <v>-19000000</v>
      </c>
      <c r="AN151" s="40">
        <f t="shared" si="458"/>
        <v>-19000000</v>
      </c>
      <c r="AO151" s="40">
        <f t="shared" si="458"/>
        <v>-19000000</v>
      </c>
      <c r="AP151" s="40">
        <f t="shared" si="458"/>
        <v>-19000000</v>
      </c>
      <c r="AQ151" s="191">
        <f t="shared" si="374"/>
        <v>0</v>
      </c>
      <c r="AR151" s="40"/>
      <c r="AS151" s="40">
        <f>AS31-AS94</f>
        <v>0</v>
      </c>
      <c r="AT151" s="40">
        <f>AT31-AT94</f>
        <v>-19000000</v>
      </c>
      <c r="AU151" s="40">
        <f t="shared" ref="AU151:BD152" si="459">AU31-AU94</f>
        <v>-19000000</v>
      </c>
      <c r="AV151" s="40">
        <f t="shared" si="459"/>
        <v>-19000000</v>
      </c>
      <c r="AW151" s="40">
        <f t="shared" si="459"/>
        <v>-19000000</v>
      </c>
      <c r="AX151" s="40">
        <f t="shared" si="459"/>
        <v>-19000000</v>
      </c>
      <c r="AY151" s="40">
        <f t="shared" si="459"/>
        <v>-19000000</v>
      </c>
      <c r="AZ151" s="40">
        <f t="shared" si="459"/>
        <v>-19000000</v>
      </c>
      <c r="BA151" s="40">
        <f t="shared" si="459"/>
        <v>-19000000</v>
      </c>
      <c r="BB151" s="40">
        <f t="shared" si="459"/>
        <v>-19000000</v>
      </c>
      <c r="BC151" s="40">
        <f t="shared" si="459"/>
        <v>-19000000</v>
      </c>
      <c r="BD151" s="40">
        <f t="shared" si="459"/>
        <v>-19000000</v>
      </c>
      <c r="BE151" s="191">
        <f t="shared" si="376"/>
        <v>0</v>
      </c>
      <c r="BF151" s="40"/>
      <c r="BG151" s="40">
        <f>BG31-BG94</f>
        <v>0</v>
      </c>
      <c r="BH151" s="40">
        <f>BH31-BH94</f>
        <v>-19000000</v>
      </c>
      <c r="BI151" s="40">
        <f t="shared" ref="BI151:BR151" si="460">BI31-BI94</f>
        <v>-19000000</v>
      </c>
      <c r="BJ151" s="40">
        <f t="shared" si="460"/>
        <v>-19000000</v>
      </c>
      <c r="BK151" s="40">
        <f t="shared" si="460"/>
        <v>-19000000</v>
      </c>
      <c r="BL151" s="40">
        <f t="shared" si="460"/>
        <v>-19000000</v>
      </c>
      <c r="BM151" s="40">
        <f t="shared" si="460"/>
        <v>-19000000</v>
      </c>
      <c r="BN151" s="40">
        <f t="shared" si="460"/>
        <v>-19000000</v>
      </c>
      <c r="BO151" s="40">
        <f t="shared" si="460"/>
        <v>-19000000</v>
      </c>
      <c r="BP151" s="40">
        <f t="shared" si="460"/>
        <v>-19000000</v>
      </c>
      <c r="BQ151" s="40">
        <f t="shared" si="460"/>
        <v>-19000000</v>
      </c>
      <c r="BR151" s="40">
        <f t="shared" si="460"/>
        <v>-19000000</v>
      </c>
    </row>
    <row r="152" spans="1:70" ht="12.75" hidden="1" customHeight="1" outlineLevel="3" x14ac:dyDescent="0.2">
      <c r="A152" s="54"/>
      <c r="B152" s="38" t="str">
        <f t="shared" ref="B152:C171" si="461">B32</f>
        <v>Страховые взносы премия разовая</v>
      </c>
      <c r="C152" s="49" t="str">
        <f t="shared" si="461"/>
        <v>Social Security on Sign-ons - cash</v>
      </c>
      <c r="D152" s="168">
        <f t="shared" si="454"/>
        <v>-36615447</v>
      </c>
      <c r="E152" s="40">
        <f t="shared" si="454"/>
        <v>0</v>
      </c>
      <c r="F152" s="40">
        <f t="shared" si="454"/>
        <v>-3328677</v>
      </c>
      <c r="G152" s="40">
        <f t="shared" si="454"/>
        <v>-3328677</v>
      </c>
      <c r="H152" s="40">
        <f t="shared" si="454"/>
        <v>-3328677</v>
      </c>
      <c r="I152" s="40">
        <f t="shared" si="454"/>
        <v>-3328677</v>
      </c>
      <c r="J152" s="40">
        <f t="shared" si="454"/>
        <v>-3328677</v>
      </c>
      <c r="K152" s="40">
        <f t="shared" si="454"/>
        <v>-3328677</v>
      </c>
      <c r="L152" s="40">
        <f t="shared" si="454"/>
        <v>-3328677</v>
      </c>
      <c r="M152" s="40">
        <f t="shared" si="454"/>
        <v>-3328677</v>
      </c>
      <c r="N152" s="40">
        <f t="shared" si="454"/>
        <v>-3328677</v>
      </c>
      <c r="O152" s="40">
        <f t="shared" si="454"/>
        <v>-3328677</v>
      </c>
      <c r="P152" s="176">
        <f t="shared" si="454"/>
        <v>-3328677</v>
      </c>
      <c r="Q152" s="191">
        <f t="shared" si="455"/>
        <v>-36615447</v>
      </c>
      <c r="R152" s="40">
        <f t="shared" si="455"/>
        <v>0</v>
      </c>
      <c r="S152" s="40">
        <f t="shared" si="455"/>
        <v>-3328677</v>
      </c>
      <c r="T152" s="40">
        <f t="shared" si="456"/>
        <v>-3328677</v>
      </c>
      <c r="U152" s="40">
        <f t="shared" si="456"/>
        <v>-3328677</v>
      </c>
      <c r="V152" s="40">
        <f t="shared" si="456"/>
        <v>-3328677</v>
      </c>
      <c r="W152" s="40">
        <f t="shared" si="456"/>
        <v>-3328677</v>
      </c>
      <c r="X152" s="40">
        <f t="shared" si="456"/>
        <v>-3328677</v>
      </c>
      <c r="Y152" s="40">
        <f t="shared" si="456"/>
        <v>-3328677</v>
      </c>
      <c r="Z152" s="40">
        <f t="shared" si="456"/>
        <v>-3328677</v>
      </c>
      <c r="AA152" s="40">
        <f t="shared" si="456"/>
        <v>-3328677</v>
      </c>
      <c r="AB152" s="40">
        <f t="shared" si="456"/>
        <v>-3328677</v>
      </c>
      <c r="AC152" s="176">
        <f t="shared" si="456"/>
        <v>-3328677</v>
      </c>
      <c r="AD152" s="225">
        <f t="shared" si="457"/>
        <v>-36615447</v>
      </c>
      <c r="AE152" s="40">
        <f t="shared" si="457"/>
        <v>0</v>
      </c>
      <c r="AF152" s="40">
        <f t="shared" si="457"/>
        <v>-3328677</v>
      </c>
      <c r="AG152" s="40">
        <f t="shared" si="458"/>
        <v>-3328677</v>
      </c>
      <c r="AH152" s="40">
        <f t="shared" si="458"/>
        <v>-3328677</v>
      </c>
      <c r="AI152" s="40">
        <f t="shared" si="458"/>
        <v>-3328677</v>
      </c>
      <c r="AJ152" s="40">
        <f t="shared" si="458"/>
        <v>-3328677</v>
      </c>
      <c r="AK152" s="40">
        <f t="shared" si="458"/>
        <v>-3328677</v>
      </c>
      <c r="AL152" s="40">
        <f t="shared" si="458"/>
        <v>-3328677</v>
      </c>
      <c r="AM152" s="40">
        <f t="shared" si="458"/>
        <v>-3328677</v>
      </c>
      <c r="AN152" s="40">
        <f t="shared" si="458"/>
        <v>-3328677</v>
      </c>
      <c r="AO152" s="40">
        <f t="shared" si="458"/>
        <v>-3328677</v>
      </c>
      <c r="AP152" s="40">
        <f t="shared" si="458"/>
        <v>-3328677</v>
      </c>
      <c r="AQ152" s="191">
        <f t="shared" si="374"/>
        <v>0</v>
      </c>
      <c r="AR152" s="40"/>
      <c r="AS152" s="40">
        <f>AS32-AS95</f>
        <v>0</v>
      </c>
      <c r="AT152" s="40">
        <f>AT32-AT95</f>
        <v>-3328677</v>
      </c>
      <c r="AU152" s="40">
        <f t="shared" si="459"/>
        <v>-3328677</v>
      </c>
      <c r="AV152" s="40">
        <f t="shared" si="459"/>
        <v>-3328677</v>
      </c>
      <c r="AW152" s="40">
        <f t="shared" si="459"/>
        <v>-3328677</v>
      </c>
      <c r="AX152" s="40">
        <f t="shared" si="459"/>
        <v>-3328677</v>
      </c>
      <c r="AY152" s="40">
        <f t="shared" si="459"/>
        <v>-3328677</v>
      </c>
      <c r="AZ152" s="40">
        <f t="shared" si="459"/>
        <v>-3328677</v>
      </c>
      <c r="BA152" s="40">
        <f t="shared" si="459"/>
        <v>-3328677</v>
      </c>
      <c r="BB152" s="40">
        <f t="shared" si="459"/>
        <v>-3328677</v>
      </c>
      <c r="BC152" s="40">
        <f t="shared" si="459"/>
        <v>-3328677</v>
      </c>
      <c r="BD152" s="40">
        <f t="shared" si="459"/>
        <v>-3328677</v>
      </c>
      <c r="BE152" s="191">
        <f t="shared" si="376"/>
        <v>0</v>
      </c>
      <c r="BF152" s="40"/>
      <c r="BG152" s="40">
        <f>BG32-BG95</f>
        <v>0</v>
      </c>
      <c r="BH152" s="40">
        <f>BH32-BH95</f>
        <v>-3328677</v>
      </c>
      <c r="BI152" s="40">
        <f t="shared" ref="BI152:BR152" si="462">BI32-BI95</f>
        <v>-3328677</v>
      </c>
      <c r="BJ152" s="40">
        <f t="shared" si="462"/>
        <v>-3328677</v>
      </c>
      <c r="BK152" s="40">
        <f t="shared" si="462"/>
        <v>-3328677</v>
      </c>
      <c r="BL152" s="40">
        <f t="shared" si="462"/>
        <v>-3328677</v>
      </c>
      <c r="BM152" s="40">
        <f t="shared" si="462"/>
        <v>-3328677</v>
      </c>
      <c r="BN152" s="40">
        <f t="shared" si="462"/>
        <v>-3328677</v>
      </c>
      <c r="BO152" s="40">
        <f t="shared" si="462"/>
        <v>-3328677</v>
      </c>
      <c r="BP152" s="40">
        <f t="shared" si="462"/>
        <v>-3328677</v>
      </c>
      <c r="BQ152" s="40">
        <f t="shared" si="462"/>
        <v>-3328677</v>
      </c>
      <c r="BR152" s="40">
        <f t="shared" si="462"/>
        <v>-3328677</v>
      </c>
    </row>
    <row r="153" spans="1:70" s="6" customFormat="1" hidden="1" outlineLevel="2" x14ac:dyDescent="0.2">
      <c r="A153" s="30"/>
      <c r="B153" s="29" t="str">
        <f t="shared" si="461"/>
        <v>Итого премия разовая</v>
      </c>
      <c r="C153" s="52" t="str">
        <f t="shared" si="461"/>
        <v>Total Sign-ons - cash</v>
      </c>
      <c r="D153" s="169">
        <f>SUM(D151:D152)</f>
        <v>-245615447</v>
      </c>
      <c r="E153" s="26">
        <f>SUM(E151:E152)</f>
        <v>0</v>
      </c>
      <c r="F153" s="26">
        <f>SUM(F151:F152)</f>
        <v>-22328677</v>
      </c>
      <c r="G153" s="26">
        <f t="shared" ref="G153:P153" si="463">SUM(G151:G152)</f>
        <v>-22328677</v>
      </c>
      <c r="H153" s="26">
        <f t="shared" si="463"/>
        <v>-22328677</v>
      </c>
      <c r="I153" s="26">
        <f t="shared" si="463"/>
        <v>-22328677</v>
      </c>
      <c r="J153" s="26">
        <f t="shared" si="463"/>
        <v>-22328677</v>
      </c>
      <c r="K153" s="26">
        <f t="shared" si="463"/>
        <v>-22328677</v>
      </c>
      <c r="L153" s="26">
        <f t="shared" si="463"/>
        <v>-22328677</v>
      </c>
      <c r="M153" s="26">
        <f t="shared" si="463"/>
        <v>-22328677</v>
      </c>
      <c r="N153" s="26">
        <f t="shared" si="463"/>
        <v>-22328677</v>
      </c>
      <c r="O153" s="26">
        <f t="shared" si="463"/>
        <v>-22328677</v>
      </c>
      <c r="P153" s="177">
        <f t="shared" si="463"/>
        <v>-22328677</v>
      </c>
      <c r="Q153" s="192">
        <f>SUM(Q151:Q152)</f>
        <v>-245615447</v>
      </c>
      <c r="R153" s="26">
        <f>SUM(R151:R152)</f>
        <v>0</v>
      </c>
      <c r="S153" s="26">
        <f>SUM(S151:S152)</f>
        <v>-22328677</v>
      </c>
      <c r="T153" s="26">
        <f t="shared" ref="T153:AC153" si="464">SUM(T151:T152)</f>
        <v>-22328677</v>
      </c>
      <c r="U153" s="26">
        <f t="shared" si="464"/>
        <v>-22328677</v>
      </c>
      <c r="V153" s="26">
        <f t="shared" si="464"/>
        <v>-22328677</v>
      </c>
      <c r="W153" s="26">
        <f t="shared" si="464"/>
        <v>-22328677</v>
      </c>
      <c r="X153" s="26">
        <f t="shared" si="464"/>
        <v>-22328677</v>
      </c>
      <c r="Y153" s="26">
        <f t="shared" si="464"/>
        <v>-22328677</v>
      </c>
      <c r="Z153" s="26">
        <f t="shared" si="464"/>
        <v>-22328677</v>
      </c>
      <c r="AA153" s="26">
        <f t="shared" si="464"/>
        <v>-22328677</v>
      </c>
      <c r="AB153" s="26">
        <f t="shared" si="464"/>
        <v>-22328677</v>
      </c>
      <c r="AC153" s="177">
        <f t="shared" si="464"/>
        <v>-22328677</v>
      </c>
      <c r="AD153" s="226">
        <f>SUM(AD151:AD152)</f>
        <v>-245615447</v>
      </c>
      <c r="AE153" s="26">
        <f>SUM(AE151:AE152)</f>
        <v>0</v>
      </c>
      <c r="AF153" s="26">
        <f>SUM(AF151:AF152)</f>
        <v>-22328677</v>
      </c>
      <c r="AG153" s="26">
        <f t="shared" ref="AG153:AP153" si="465">SUM(AG151:AG152)</f>
        <v>-22328677</v>
      </c>
      <c r="AH153" s="26">
        <f t="shared" si="465"/>
        <v>-22328677</v>
      </c>
      <c r="AI153" s="26">
        <f t="shared" si="465"/>
        <v>-22328677</v>
      </c>
      <c r="AJ153" s="26">
        <f t="shared" si="465"/>
        <v>-22328677</v>
      </c>
      <c r="AK153" s="26">
        <f t="shared" si="465"/>
        <v>-22328677</v>
      </c>
      <c r="AL153" s="26">
        <f t="shared" si="465"/>
        <v>-22328677</v>
      </c>
      <c r="AM153" s="26">
        <f t="shared" si="465"/>
        <v>-22328677</v>
      </c>
      <c r="AN153" s="26">
        <f t="shared" si="465"/>
        <v>-22328677</v>
      </c>
      <c r="AO153" s="26">
        <f t="shared" si="465"/>
        <v>-22328677</v>
      </c>
      <c r="AP153" s="26">
        <f t="shared" si="465"/>
        <v>-22328677</v>
      </c>
      <c r="AQ153" s="192">
        <f t="shared" si="374"/>
        <v>0</v>
      </c>
      <c r="AR153" s="26"/>
      <c r="AS153" s="26">
        <f>SUM(AS151:AS152)</f>
        <v>0</v>
      </c>
      <c r="AT153" s="26">
        <f>SUM(AT151:AT152)</f>
        <v>-22328677</v>
      </c>
      <c r="AU153" s="26">
        <f t="shared" ref="AU153:BD153" si="466">SUM(AU151:AU152)</f>
        <v>-22328677</v>
      </c>
      <c r="AV153" s="26">
        <f t="shared" si="466"/>
        <v>-22328677</v>
      </c>
      <c r="AW153" s="26">
        <f t="shared" si="466"/>
        <v>-22328677</v>
      </c>
      <c r="AX153" s="26">
        <f t="shared" si="466"/>
        <v>-22328677</v>
      </c>
      <c r="AY153" s="26">
        <f t="shared" si="466"/>
        <v>-22328677</v>
      </c>
      <c r="AZ153" s="26">
        <f t="shared" si="466"/>
        <v>-22328677</v>
      </c>
      <c r="BA153" s="26">
        <f t="shared" si="466"/>
        <v>-22328677</v>
      </c>
      <c r="BB153" s="26">
        <f t="shared" si="466"/>
        <v>-22328677</v>
      </c>
      <c r="BC153" s="26">
        <f t="shared" si="466"/>
        <v>-22328677</v>
      </c>
      <c r="BD153" s="26">
        <f t="shared" si="466"/>
        <v>-22328677</v>
      </c>
      <c r="BE153" s="192">
        <f t="shared" si="376"/>
        <v>0</v>
      </c>
      <c r="BF153" s="26"/>
      <c r="BG153" s="26">
        <f>SUM(BG151:BG152)</f>
        <v>0</v>
      </c>
      <c r="BH153" s="26">
        <f>SUM(BH151:BH152)</f>
        <v>-22328677</v>
      </c>
      <c r="BI153" s="26">
        <f t="shared" ref="BI153:BR153" si="467">SUM(BI151:BI152)</f>
        <v>-22328677</v>
      </c>
      <c r="BJ153" s="26">
        <f t="shared" si="467"/>
        <v>-22328677</v>
      </c>
      <c r="BK153" s="26">
        <f t="shared" si="467"/>
        <v>-22328677</v>
      </c>
      <c r="BL153" s="26">
        <f t="shared" si="467"/>
        <v>-22328677</v>
      </c>
      <c r="BM153" s="26">
        <f t="shared" si="467"/>
        <v>-22328677</v>
      </c>
      <c r="BN153" s="26">
        <f t="shared" si="467"/>
        <v>-22328677</v>
      </c>
      <c r="BO153" s="26">
        <f t="shared" si="467"/>
        <v>-22328677</v>
      </c>
      <c r="BP153" s="26">
        <f t="shared" si="467"/>
        <v>-22328677</v>
      </c>
      <c r="BQ153" s="26">
        <f t="shared" si="467"/>
        <v>-22328677</v>
      </c>
      <c r="BR153" s="26">
        <f t="shared" si="467"/>
        <v>-22328677</v>
      </c>
    </row>
    <row r="154" spans="1:70" ht="12.75" hidden="1" customHeight="1" outlineLevel="3" x14ac:dyDescent="0.2">
      <c r="A154" s="54"/>
      <c r="B154" s="38" t="str">
        <f t="shared" si="461"/>
        <v>Выплаты при увольнении</v>
      </c>
      <c r="C154" s="49" t="str">
        <f t="shared" si="461"/>
        <v>Direct severance payments - cash</v>
      </c>
      <c r="D154" s="168">
        <f t="shared" ref="D154:P155" si="468">D34-D97</f>
        <v>0</v>
      </c>
      <c r="E154" s="40">
        <f t="shared" si="468"/>
        <v>0</v>
      </c>
      <c r="F154" s="40">
        <f t="shared" si="468"/>
        <v>0</v>
      </c>
      <c r="G154" s="40">
        <f t="shared" si="468"/>
        <v>0</v>
      </c>
      <c r="H154" s="40">
        <f t="shared" si="468"/>
        <v>0</v>
      </c>
      <c r="I154" s="40">
        <f t="shared" si="468"/>
        <v>0</v>
      </c>
      <c r="J154" s="40">
        <f t="shared" si="468"/>
        <v>0</v>
      </c>
      <c r="K154" s="40">
        <f t="shared" si="468"/>
        <v>0</v>
      </c>
      <c r="L154" s="40">
        <f t="shared" si="468"/>
        <v>0</v>
      </c>
      <c r="M154" s="40">
        <f t="shared" si="468"/>
        <v>0</v>
      </c>
      <c r="N154" s="40">
        <f t="shared" si="468"/>
        <v>0</v>
      </c>
      <c r="O154" s="40">
        <f t="shared" si="468"/>
        <v>0</v>
      </c>
      <c r="P154" s="176">
        <f t="shared" si="468"/>
        <v>0</v>
      </c>
      <c r="Q154" s="191">
        <f t="shared" ref="Q154:S155" si="469">Q34-Q97</f>
        <v>0</v>
      </c>
      <c r="R154" s="40">
        <f t="shared" si="469"/>
        <v>0</v>
      </c>
      <c r="S154" s="40">
        <f t="shared" si="469"/>
        <v>0</v>
      </c>
      <c r="T154" s="40">
        <f t="shared" ref="T154:AC155" si="470">T34-T97</f>
        <v>0</v>
      </c>
      <c r="U154" s="40">
        <f t="shared" si="470"/>
        <v>0</v>
      </c>
      <c r="V154" s="40">
        <f t="shared" si="470"/>
        <v>0</v>
      </c>
      <c r="W154" s="40">
        <f t="shared" si="470"/>
        <v>0</v>
      </c>
      <c r="X154" s="40">
        <f t="shared" si="470"/>
        <v>0</v>
      </c>
      <c r="Y154" s="40">
        <f t="shared" si="470"/>
        <v>0</v>
      </c>
      <c r="Z154" s="40">
        <f t="shared" si="470"/>
        <v>0</v>
      </c>
      <c r="AA154" s="40">
        <f t="shared" si="470"/>
        <v>0</v>
      </c>
      <c r="AB154" s="40">
        <f t="shared" si="470"/>
        <v>0</v>
      </c>
      <c r="AC154" s="176">
        <f t="shared" si="470"/>
        <v>0</v>
      </c>
      <c r="AD154" s="225">
        <f t="shared" ref="AD154:AF155" si="471">AD34-AD97</f>
        <v>0</v>
      </c>
      <c r="AE154" s="40">
        <f t="shared" si="471"/>
        <v>0</v>
      </c>
      <c r="AF154" s="40">
        <f t="shared" si="471"/>
        <v>0</v>
      </c>
      <c r="AG154" s="40">
        <f t="shared" ref="AG154:AP155" si="472">AG34-AG97</f>
        <v>0</v>
      </c>
      <c r="AH154" s="40">
        <f t="shared" si="472"/>
        <v>0</v>
      </c>
      <c r="AI154" s="40">
        <f t="shared" si="472"/>
        <v>0</v>
      </c>
      <c r="AJ154" s="40">
        <f t="shared" si="472"/>
        <v>0</v>
      </c>
      <c r="AK154" s="40">
        <f t="shared" si="472"/>
        <v>0</v>
      </c>
      <c r="AL154" s="40">
        <f t="shared" si="472"/>
        <v>0</v>
      </c>
      <c r="AM154" s="40">
        <f t="shared" si="472"/>
        <v>0</v>
      </c>
      <c r="AN154" s="40">
        <f t="shared" si="472"/>
        <v>0</v>
      </c>
      <c r="AO154" s="40">
        <f t="shared" si="472"/>
        <v>0</v>
      </c>
      <c r="AP154" s="40">
        <f t="shared" si="472"/>
        <v>0</v>
      </c>
      <c r="AQ154" s="191">
        <f t="shared" si="374"/>
        <v>0</v>
      </c>
      <c r="AR154" s="40"/>
      <c r="AS154" s="40">
        <f>AS34-AS97</f>
        <v>0</v>
      </c>
      <c r="AT154" s="40">
        <f>AT34-AT97</f>
        <v>0</v>
      </c>
      <c r="AU154" s="40">
        <f t="shared" ref="AU154:BD155" si="473">AU34-AU97</f>
        <v>0</v>
      </c>
      <c r="AV154" s="40">
        <f t="shared" si="473"/>
        <v>0</v>
      </c>
      <c r="AW154" s="40">
        <f t="shared" si="473"/>
        <v>0</v>
      </c>
      <c r="AX154" s="40">
        <f t="shared" si="473"/>
        <v>0</v>
      </c>
      <c r="AY154" s="40">
        <f t="shared" si="473"/>
        <v>0</v>
      </c>
      <c r="AZ154" s="40">
        <f t="shared" si="473"/>
        <v>0</v>
      </c>
      <c r="BA154" s="40">
        <f t="shared" si="473"/>
        <v>0</v>
      </c>
      <c r="BB154" s="40">
        <f t="shared" si="473"/>
        <v>0</v>
      </c>
      <c r="BC154" s="40">
        <f t="shared" si="473"/>
        <v>0</v>
      </c>
      <c r="BD154" s="40">
        <f t="shared" si="473"/>
        <v>0</v>
      </c>
      <c r="BE154" s="191">
        <f t="shared" si="376"/>
        <v>0</v>
      </c>
      <c r="BF154" s="40"/>
      <c r="BG154" s="40">
        <f>BG34-BG97</f>
        <v>0</v>
      </c>
      <c r="BH154" s="40">
        <f>BH34-BH97</f>
        <v>0</v>
      </c>
      <c r="BI154" s="40">
        <f t="shared" ref="BI154:BR154" si="474">BI34-BI97</f>
        <v>0</v>
      </c>
      <c r="BJ154" s="40">
        <f t="shared" si="474"/>
        <v>0</v>
      </c>
      <c r="BK154" s="40">
        <f t="shared" si="474"/>
        <v>0</v>
      </c>
      <c r="BL154" s="40">
        <f t="shared" si="474"/>
        <v>0</v>
      </c>
      <c r="BM154" s="40">
        <f t="shared" si="474"/>
        <v>0</v>
      </c>
      <c r="BN154" s="40">
        <f t="shared" si="474"/>
        <v>0</v>
      </c>
      <c r="BO154" s="40">
        <f t="shared" si="474"/>
        <v>0</v>
      </c>
      <c r="BP154" s="40">
        <f t="shared" si="474"/>
        <v>0</v>
      </c>
      <c r="BQ154" s="40">
        <f t="shared" si="474"/>
        <v>0</v>
      </c>
      <c r="BR154" s="40">
        <f t="shared" si="474"/>
        <v>0</v>
      </c>
    </row>
    <row r="155" spans="1:70" ht="12.75" hidden="1" customHeight="1" outlineLevel="3" x14ac:dyDescent="0.2">
      <c r="A155" s="54"/>
      <c r="B155" s="38" t="str">
        <f t="shared" si="461"/>
        <v>Страховые взносы выплаты при увольнении</v>
      </c>
      <c r="C155" s="49" t="str">
        <f t="shared" si="461"/>
        <v>Social Security on Severance</v>
      </c>
      <c r="D155" s="168">
        <f t="shared" si="468"/>
        <v>0</v>
      </c>
      <c r="E155" s="40">
        <f t="shared" si="468"/>
        <v>0</v>
      </c>
      <c r="F155" s="40">
        <f t="shared" si="468"/>
        <v>0</v>
      </c>
      <c r="G155" s="40">
        <f t="shared" si="468"/>
        <v>0</v>
      </c>
      <c r="H155" s="40">
        <f t="shared" si="468"/>
        <v>0</v>
      </c>
      <c r="I155" s="40">
        <f t="shared" si="468"/>
        <v>0</v>
      </c>
      <c r="J155" s="40">
        <f t="shared" si="468"/>
        <v>0</v>
      </c>
      <c r="K155" s="40">
        <f t="shared" si="468"/>
        <v>0</v>
      </c>
      <c r="L155" s="40">
        <f t="shared" si="468"/>
        <v>0</v>
      </c>
      <c r="M155" s="40">
        <f t="shared" si="468"/>
        <v>0</v>
      </c>
      <c r="N155" s="40">
        <f t="shared" si="468"/>
        <v>0</v>
      </c>
      <c r="O155" s="40">
        <f t="shared" si="468"/>
        <v>0</v>
      </c>
      <c r="P155" s="176">
        <f t="shared" si="468"/>
        <v>0</v>
      </c>
      <c r="Q155" s="191">
        <f t="shared" si="469"/>
        <v>0</v>
      </c>
      <c r="R155" s="40">
        <f t="shared" si="469"/>
        <v>0</v>
      </c>
      <c r="S155" s="40">
        <f t="shared" si="469"/>
        <v>0</v>
      </c>
      <c r="T155" s="40">
        <f t="shared" si="470"/>
        <v>0</v>
      </c>
      <c r="U155" s="40">
        <f t="shared" si="470"/>
        <v>0</v>
      </c>
      <c r="V155" s="40">
        <f t="shared" si="470"/>
        <v>0</v>
      </c>
      <c r="W155" s="40">
        <f t="shared" si="470"/>
        <v>0</v>
      </c>
      <c r="X155" s="40">
        <f t="shared" si="470"/>
        <v>0</v>
      </c>
      <c r="Y155" s="40">
        <f t="shared" si="470"/>
        <v>0</v>
      </c>
      <c r="Z155" s="40">
        <f t="shared" si="470"/>
        <v>0</v>
      </c>
      <c r="AA155" s="40">
        <f t="shared" si="470"/>
        <v>0</v>
      </c>
      <c r="AB155" s="40">
        <f t="shared" si="470"/>
        <v>0</v>
      </c>
      <c r="AC155" s="176">
        <f t="shared" si="470"/>
        <v>0</v>
      </c>
      <c r="AD155" s="225">
        <f t="shared" si="471"/>
        <v>0</v>
      </c>
      <c r="AE155" s="40">
        <f t="shared" si="471"/>
        <v>0</v>
      </c>
      <c r="AF155" s="40">
        <f t="shared" si="471"/>
        <v>0</v>
      </c>
      <c r="AG155" s="40">
        <f t="shared" si="472"/>
        <v>0</v>
      </c>
      <c r="AH155" s="40">
        <f t="shared" si="472"/>
        <v>0</v>
      </c>
      <c r="AI155" s="40">
        <f t="shared" si="472"/>
        <v>0</v>
      </c>
      <c r="AJ155" s="40">
        <f t="shared" si="472"/>
        <v>0</v>
      </c>
      <c r="AK155" s="40">
        <f t="shared" si="472"/>
        <v>0</v>
      </c>
      <c r="AL155" s="40">
        <f t="shared" si="472"/>
        <v>0</v>
      </c>
      <c r="AM155" s="40">
        <f t="shared" si="472"/>
        <v>0</v>
      </c>
      <c r="AN155" s="40">
        <f t="shared" si="472"/>
        <v>0</v>
      </c>
      <c r="AO155" s="40">
        <f t="shared" si="472"/>
        <v>0</v>
      </c>
      <c r="AP155" s="40">
        <f t="shared" si="472"/>
        <v>0</v>
      </c>
      <c r="AQ155" s="191">
        <f t="shared" si="374"/>
        <v>0</v>
      </c>
      <c r="AR155" s="40"/>
      <c r="AS155" s="40">
        <f>AS35-AS98</f>
        <v>0</v>
      </c>
      <c r="AT155" s="40">
        <f>AT35-AT98</f>
        <v>0</v>
      </c>
      <c r="AU155" s="40">
        <f t="shared" si="473"/>
        <v>0</v>
      </c>
      <c r="AV155" s="40">
        <f t="shared" si="473"/>
        <v>0</v>
      </c>
      <c r="AW155" s="40">
        <f t="shared" si="473"/>
        <v>0</v>
      </c>
      <c r="AX155" s="40">
        <f t="shared" si="473"/>
        <v>0</v>
      </c>
      <c r="AY155" s="40">
        <f t="shared" si="473"/>
        <v>0</v>
      </c>
      <c r="AZ155" s="40">
        <f t="shared" si="473"/>
        <v>0</v>
      </c>
      <c r="BA155" s="40">
        <f t="shared" si="473"/>
        <v>0</v>
      </c>
      <c r="BB155" s="40">
        <f t="shared" si="473"/>
        <v>0</v>
      </c>
      <c r="BC155" s="40">
        <f t="shared" si="473"/>
        <v>0</v>
      </c>
      <c r="BD155" s="40">
        <f t="shared" si="473"/>
        <v>0</v>
      </c>
      <c r="BE155" s="191">
        <f t="shared" si="376"/>
        <v>0</v>
      </c>
      <c r="BF155" s="40"/>
      <c r="BG155" s="40">
        <f>BG35-BG98</f>
        <v>0</v>
      </c>
      <c r="BH155" s="40">
        <f>BH35-BH98</f>
        <v>0</v>
      </c>
      <c r="BI155" s="40">
        <f t="shared" ref="BI155:BR155" si="475">BI35-BI98</f>
        <v>0</v>
      </c>
      <c r="BJ155" s="40">
        <f t="shared" si="475"/>
        <v>0</v>
      </c>
      <c r="BK155" s="40">
        <f t="shared" si="475"/>
        <v>0</v>
      </c>
      <c r="BL155" s="40">
        <f t="shared" si="475"/>
        <v>0</v>
      </c>
      <c r="BM155" s="40">
        <f t="shared" si="475"/>
        <v>0</v>
      </c>
      <c r="BN155" s="40">
        <f t="shared" si="475"/>
        <v>0</v>
      </c>
      <c r="BO155" s="40">
        <f t="shared" si="475"/>
        <v>0</v>
      </c>
      <c r="BP155" s="40">
        <f t="shared" si="475"/>
        <v>0</v>
      </c>
      <c r="BQ155" s="40">
        <f t="shared" si="475"/>
        <v>0</v>
      </c>
      <c r="BR155" s="40">
        <f t="shared" si="475"/>
        <v>0</v>
      </c>
    </row>
    <row r="156" spans="1:70" s="6" customFormat="1" hidden="1" outlineLevel="2" x14ac:dyDescent="0.2">
      <c r="A156" s="30"/>
      <c r="B156" s="29" t="str">
        <f t="shared" si="461"/>
        <v>Итого выплаты при увольнении</v>
      </c>
      <c r="C156" s="52" t="str">
        <f t="shared" si="461"/>
        <v>Total Direct severance payments - cash</v>
      </c>
      <c r="D156" s="169">
        <f>SUM(D154:D155)</f>
        <v>0</v>
      </c>
      <c r="E156" s="26">
        <f>SUM(E154:E155)</f>
        <v>0</v>
      </c>
      <c r="F156" s="26">
        <f>SUM(F154:F155)</f>
        <v>0</v>
      </c>
      <c r="G156" s="26">
        <f t="shared" ref="G156:P156" si="476">SUM(G154:G155)</f>
        <v>0</v>
      </c>
      <c r="H156" s="26">
        <f t="shared" si="476"/>
        <v>0</v>
      </c>
      <c r="I156" s="26">
        <f t="shared" si="476"/>
        <v>0</v>
      </c>
      <c r="J156" s="26">
        <f t="shared" si="476"/>
        <v>0</v>
      </c>
      <c r="K156" s="26">
        <f t="shared" si="476"/>
        <v>0</v>
      </c>
      <c r="L156" s="26">
        <f t="shared" si="476"/>
        <v>0</v>
      </c>
      <c r="M156" s="26">
        <f t="shared" si="476"/>
        <v>0</v>
      </c>
      <c r="N156" s="26">
        <f t="shared" si="476"/>
        <v>0</v>
      </c>
      <c r="O156" s="26">
        <f t="shared" si="476"/>
        <v>0</v>
      </c>
      <c r="P156" s="177">
        <f t="shared" si="476"/>
        <v>0</v>
      </c>
      <c r="Q156" s="192">
        <f>SUM(Q154:Q155)</f>
        <v>0</v>
      </c>
      <c r="R156" s="26">
        <f>SUM(R154:R155)</f>
        <v>0</v>
      </c>
      <c r="S156" s="26">
        <f>SUM(S154:S155)</f>
        <v>0</v>
      </c>
      <c r="T156" s="26">
        <f t="shared" ref="T156:AC156" si="477">SUM(T154:T155)</f>
        <v>0</v>
      </c>
      <c r="U156" s="26">
        <f t="shared" si="477"/>
        <v>0</v>
      </c>
      <c r="V156" s="26">
        <f t="shared" si="477"/>
        <v>0</v>
      </c>
      <c r="W156" s="26">
        <f t="shared" si="477"/>
        <v>0</v>
      </c>
      <c r="X156" s="26">
        <f t="shared" si="477"/>
        <v>0</v>
      </c>
      <c r="Y156" s="26">
        <f t="shared" si="477"/>
        <v>0</v>
      </c>
      <c r="Z156" s="26">
        <f t="shared" si="477"/>
        <v>0</v>
      </c>
      <c r="AA156" s="26">
        <f t="shared" si="477"/>
        <v>0</v>
      </c>
      <c r="AB156" s="26">
        <f t="shared" si="477"/>
        <v>0</v>
      </c>
      <c r="AC156" s="177">
        <f t="shared" si="477"/>
        <v>0</v>
      </c>
      <c r="AD156" s="226">
        <f>SUM(AD154:AD155)</f>
        <v>0</v>
      </c>
      <c r="AE156" s="26">
        <f>SUM(AE154:AE155)</f>
        <v>0</v>
      </c>
      <c r="AF156" s="26">
        <f>SUM(AF154:AF155)</f>
        <v>0</v>
      </c>
      <c r="AG156" s="26">
        <f t="shared" ref="AG156:AP156" si="478">SUM(AG154:AG155)</f>
        <v>0</v>
      </c>
      <c r="AH156" s="26">
        <f t="shared" si="478"/>
        <v>0</v>
      </c>
      <c r="AI156" s="26">
        <f t="shared" si="478"/>
        <v>0</v>
      </c>
      <c r="AJ156" s="26">
        <f t="shared" si="478"/>
        <v>0</v>
      </c>
      <c r="AK156" s="26">
        <f t="shared" si="478"/>
        <v>0</v>
      </c>
      <c r="AL156" s="26">
        <f t="shared" si="478"/>
        <v>0</v>
      </c>
      <c r="AM156" s="26">
        <f t="shared" si="478"/>
        <v>0</v>
      </c>
      <c r="AN156" s="26">
        <f t="shared" si="478"/>
        <v>0</v>
      </c>
      <c r="AO156" s="26">
        <f t="shared" si="478"/>
        <v>0</v>
      </c>
      <c r="AP156" s="26">
        <f t="shared" si="478"/>
        <v>0</v>
      </c>
      <c r="AQ156" s="192">
        <f t="shared" si="374"/>
        <v>0</v>
      </c>
      <c r="AR156" s="26"/>
      <c r="AS156" s="26">
        <f>SUM(AS154:AS155)</f>
        <v>0</v>
      </c>
      <c r="AT156" s="26">
        <f>SUM(AT154:AT155)</f>
        <v>0</v>
      </c>
      <c r="AU156" s="26">
        <f t="shared" ref="AU156:BD156" si="479">SUM(AU154:AU155)</f>
        <v>0</v>
      </c>
      <c r="AV156" s="26">
        <f t="shared" si="479"/>
        <v>0</v>
      </c>
      <c r="AW156" s="26">
        <f t="shared" si="479"/>
        <v>0</v>
      </c>
      <c r="AX156" s="26">
        <f t="shared" si="479"/>
        <v>0</v>
      </c>
      <c r="AY156" s="26">
        <f t="shared" si="479"/>
        <v>0</v>
      </c>
      <c r="AZ156" s="26">
        <f t="shared" si="479"/>
        <v>0</v>
      </c>
      <c r="BA156" s="26">
        <f t="shared" si="479"/>
        <v>0</v>
      </c>
      <c r="BB156" s="26">
        <f t="shared" si="479"/>
        <v>0</v>
      </c>
      <c r="BC156" s="26">
        <f t="shared" si="479"/>
        <v>0</v>
      </c>
      <c r="BD156" s="26">
        <f t="shared" si="479"/>
        <v>0</v>
      </c>
      <c r="BE156" s="192">
        <f t="shared" si="376"/>
        <v>0</v>
      </c>
      <c r="BF156" s="26"/>
      <c r="BG156" s="26">
        <f>SUM(BG154:BG155)</f>
        <v>0</v>
      </c>
      <c r="BH156" s="26">
        <f>SUM(BH154:BH155)</f>
        <v>0</v>
      </c>
      <c r="BI156" s="26">
        <f t="shared" ref="BI156:BR156" si="480">SUM(BI154:BI155)</f>
        <v>0</v>
      </c>
      <c r="BJ156" s="26">
        <f t="shared" si="480"/>
        <v>0</v>
      </c>
      <c r="BK156" s="26">
        <f t="shared" si="480"/>
        <v>0</v>
      </c>
      <c r="BL156" s="26">
        <f t="shared" si="480"/>
        <v>0</v>
      </c>
      <c r="BM156" s="26">
        <f t="shared" si="480"/>
        <v>0</v>
      </c>
      <c r="BN156" s="26">
        <f t="shared" si="480"/>
        <v>0</v>
      </c>
      <c r="BO156" s="26">
        <f t="shared" si="480"/>
        <v>0</v>
      </c>
      <c r="BP156" s="26">
        <f t="shared" si="480"/>
        <v>0</v>
      </c>
      <c r="BQ156" s="26">
        <f t="shared" si="480"/>
        <v>0</v>
      </c>
      <c r="BR156" s="26">
        <f t="shared" si="480"/>
        <v>0</v>
      </c>
    </row>
    <row r="157" spans="1:70" ht="12.75" hidden="1" customHeight="1" outlineLevel="3" x14ac:dyDescent="0.2">
      <c r="B157" s="38" t="str">
        <f t="shared" si="461"/>
        <v>Отложенное вознаграждение</v>
      </c>
      <c r="C157" s="49" t="str">
        <f t="shared" si="461"/>
        <v>Deferred Compensation</v>
      </c>
      <c r="D157" s="168">
        <f t="shared" ref="D157:P158" si="481">D37-D100</f>
        <v>0</v>
      </c>
      <c r="E157" s="40">
        <f t="shared" si="481"/>
        <v>0</v>
      </c>
      <c r="F157" s="40">
        <f t="shared" si="481"/>
        <v>0</v>
      </c>
      <c r="G157" s="40">
        <f t="shared" si="481"/>
        <v>0</v>
      </c>
      <c r="H157" s="40">
        <f t="shared" si="481"/>
        <v>0</v>
      </c>
      <c r="I157" s="40">
        <f t="shared" si="481"/>
        <v>0</v>
      </c>
      <c r="J157" s="40">
        <f t="shared" si="481"/>
        <v>0</v>
      </c>
      <c r="K157" s="40">
        <f t="shared" si="481"/>
        <v>0</v>
      </c>
      <c r="L157" s="40">
        <f t="shared" si="481"/>
        <v>0</v>
      </c>
      <c r="M157" s="40">
        <f t="shared" si="481"/>
        <v>0</v>
      </c>
      <c r="N157" s="40">
        <f t="shared" si="481"/>
        <v>0</v>
      </c>
      <c r="O157" s="40">
        <f t="shared" si="481"/>
        <v>0</v>
      </c>
      <c r="P157" s="176">
        <f t="shared" si="481"/>
        <v>0</v>
      </c>
      <c r="Q157" s="191">
        <f t="shared" ref="Q157:S158" si="482">Q37-Q100</f>
        <v>0</v>
      </c>
      <c r="R157" s="40">
        <f t="shared" si="482"/>
        <v>0</v>
      </c>
      <c r="S157" s="40">
        <f t="shared" si="482"/>
        <v>0</v>
      </c>
      <c r="T157" s="40">
        <f t="shared" ref="T157:AC158" si="483">T37-T100</f>
        <v>0</v>
      </c>
      <c r="U157" s="40">
        <f t="shared" si="483"/>
        <v>0</v>
      </c>
      <c r="V157" s="40">
        <f t="shared" si="483"/>
        <v>0</v>
      </c>
      <c r="W157" s="40">
        <f t="shared" si="483"/>
        <v>0</v>
      </c>
      <c r="X157" s="40">
        <f t="shared" si="483"/>
        <v>0</v>
      </c>
      <c r="Y157" s="40">
        <f t="shared" si="483"/>
        <v>0</v>
      </c>
      <c r="Z157" s="40">
        <f t="shared" si="483"/>
        <v>0</v>
      </c>
      <c r="AA157" s="40">
        <f t="shared" si="483"/>
        <v>0</v>
      </c>
      <c r="AB157" s="40">
        <f t="shared" si="483"/>
        <v>0</v>
      </c>
      <c r="AC157" s="176">
        <f t="shared" si="483"/>
        <v>0</v>
      </c>
      <c r="AD157" s="225">
        <f t="shared" ref="AD157:AF158" si="484">AD37-AD100</f>
        <v>0</v>
      </c>
      <c r="AE157" s="40">
        <f t="shared" si="484"/>
        <v>0</v>
      </c>
      <c r="AF157" s="40">
        <f t="shared" si="484"/>
        <v>0</v>
      </c>
      <c r="AG157" s="40">
        <f t="shared" ref="AG157:AP158" si="485">AG37-AG100</f>
        <v>0</v>
      </c>
      <c r="AH157" s="40">
        <f t="shared" si="485"/>
        <v>0</v>
      </c>
      <c r="AI157" s="40">
        <f t="shared" si="485"/>
        <v>0</v>
      </c>
      <c r="AJ157" s="40">
        <f t="shared" si="485"/>
        <v>0</v>
      </c>
      <c r="AK157" s="40">
        <f t="shared" si="485"/>
        <v>0</v>
      </c>
      <c r="AL157" s="40">
        <f t="shared" si="485"/>
        <v>0</v>
      </c>
      <c r="AM157" s="40">
        <f t="shared" si="485"/>
        <v>0</v>
      </c>
      <c r="AN157" s="40">
        <f t="shared" si="485"/>
        <v>0</v>
      </c>
      <c r="AO157" s="40">
        <f t="shared" si="485"/>
        <v>0</v>
      </c>
      <c r="AP157" s="40">
        <f t="shared" si="485"/>
        <v>0</v>
      </c>
      <c r="AQ157" s="191">
        <f t="shared" si="374"/>
        <v>0</v>
      </c>
      <c r="AR157" s="40"/>
      <c r="AS157" s="40">
        <f>AS37-AS100</f>
        <v>0</v>
      </c>
      <c r="AT157" s="40">
        <f>AT37-AT100</f>
        <v>0</v>
      </c>
      <c r="AU157" s="40">
        <f t="shared" ref="AU157:BD158" si="486">AU37-AU100</f>
        <v>0</v>
      </c>
      <c r="AV157" s="40">
        <f t="shared" si="486"/>
        <v>0</v>
      </c>
      <c r="AW157" s="40">
        <f t="shared" si="486"/>
        <v>0</v>
      </c>
      <c r="AX157" s="40">
        <f t="shared" si="486"/>
        <v>0</v>
      </c>
      <c r="AY157" s="40">
        <f t="shared" si="486"/>
        <v>0</v>
      </c>
      <c r="AZ157" s="40">
        <f t="shared" si="486"/>
        <v>0</v>
      </c>
      <c r="BA157" s="40">
        <f t="shared" si="486"/>
        <v>0</v>
      </c>
      <c r="BB157" s="40">
        <f t="shared" si="486"/>
        <v>0</v>
      </c>
      <c r="BC157" s="40">
        <f t="shared" si="486"/>
        <v>0</v>
      </c>
      <c r="BD157" s="40">
        <f t="shared" si="486"/>
        <v>0</v>
      </c>
      <c r="BE157" s="191">
        <f t="shared" si="376"/>
        <v>0</v>
      </c>
      <c r="BF157" s="40"/>
      <c r="BG157" s="40">
        <f>BG37-BG100</f>
        <v>0</v>
      </c>
      <c r="BH157" s="40">
        <f>BH37-BH100</f>
        <v>0</v>
      </c>
      <c r="BI157" s="40">
        <f t="shared" ref="BI157:BR157" si="487">BI37-BI100</f>
        <v>0</v>
      </c>
      <c r="BJ157" s="40">
        <f t="shared" si="487"/>
        <v>0</v>
      </c>
      <c r="BK157" s="40">
        <f t="shared" si="487"/>
        <v>0</v>
      </c>
      <c r="BL157" s="40">
        <f t="shared" si="487"/>
        <v>0</v>
      </c>
      <c r="BM157" s="40">
        <f t="shared" si="487"/>
        <v>0</v>
      </c>
      <c r="BN157" s="40">
        <f t="shared" si="487"/>
        <v>0</v>
      </c>
      <c r="BO157" s="40">
        <f t="shared" si="487"/>
        <v>0</v>
      </c>
      <c r="BP157" s="40">
        <f t="shared" si="487"/>
        <v>0</v>
      </c>
      <c r="BQ157" s="40">
        <f t="shared" si="487"/>
        <v>0</v>
      </c>
      <c r="BR157" s="40">
        <f t="shared" si="487"/>
        <v>0</v>
      </c>
    </row>
    <row r="158" spans="1:70" ht="12.75" hidden="1" customHeight="1" outlineLevel="3" x14ac:dyDescent="0.2">
      <c r="B158" s="38" t="str">
        <f t="shared" si="461"/>
        <v>Страховые взносы отложенное вознаграждение</v>
      </c>
      <c r="C158" s="49" t="str">
        <f t="shared" si="461"/>
        <v>Social Security on Deferrals</v>
      </c>
      <c r="D158" s="168">
        <f t="shared" si="481"/>
        <v>0</v>
      </c>
      <c r="E158" s="40">
        <f t="shared" si="481"/>
        <v>0</v>
      </c>
      <c r="F158" s="40">
        <f t="shared" si="481"/>
        <v>0</v>
      </c>
      <c r="G158" s="40">
        <f t="shared" si="481"/>
        <v>0</v>
      </c>
      <c r="H158" s="40">
        <f t="shared" si="481"/>
        <v>0</v>
      </c>
      <c r="I158" s="40">
        <f t="shared" si="481"/>
        <v>0</v>
      </c>
      <c r="J158" s="40">
        <f t="shared" si="481"/>
        <v>0</v>
      </c>
      <c r="K158" s="40">
        <f t="shared" si="481"/>
        <v>0</v>
      </c>
      <c r="L158" s="40">
        <f t="shared" si="481"/>
        <v>0</v>
      </c>
      <c r="M158" s="40">
        <f t="shared" si="481"/>
        <v>0</v>
      </c>
      <c r="N158" s="40">
        <f t="shared" si="481"/>
        <v>0</v>
      </c>
      <c r="O158" s="40">
        <f t="shared" si="481"/>
        <v>0</v>
      </c>
      <c r="P158" s="176">
        <f t="shared" si="481"/>
        <v>0</v>
      </c>
      <c r="Q158" s="191">
        <f t="shared" si="482"/>
        <v>0</v>
      </c>
      <c r="R158" s="40">
        <f t="shared" si="482"/>
        <v>0</v>
      </c>
      <c r="S158" s="40">
        <f t="shared" si="482"/>
        <v>0</v>
      </c>
      <c r="T158" s="40">
        <f t="shared" si="483"/>
        <v>0</v>
      </c>
      <c r="U158" s="40">
        <f t="shared" si="483"/>
        <v>0</v>
      </c>
      <c r="V158" s="40">
        <f t="shared" si="483"/>
        <v>0</v>
      </c>
      <c r="W158" s="40">
        <f t="shared" si="483"/>
        <v>0</v>
      </c>
      <c r="X158" s="40">
        <f t="shared" si="483"/>
        <v>0</v>
      </c>
      <c r="Y158" s="40">
        <f t="shared" si="483"/>
        <v>0</v>
      </c>
      <c r="Z158" s="40">
        <f t="shared" si="483"/>
        <v>0</v>
      </c>
      <c r="AA158" s="40">
        <f t="shared" si="483"/>
        <v>0</v>
      </c>
      <c r="AB158" s="40">
        <f t="shared" si="483"/>
        <v>0</v>
      </c>
      <c r="AC158" s="176">
        <f t="shared" si="483"/>
        <v>0</v>
      </c>
      <c r="AD158" s="225">
        <f t="shared" si="484"/>
        <v>0</v>
      </c>
      <c r="AE158" s="40">
        <f t="shared" si="484"/>
        <v>0</v>
      </c>
      <c r="AF158" s="40">
        <f t="shared" si="484"/>
        <v>0</v>
      </c>
      <c r="AG158" s="40">
        <f t="shared" si="485"/>
        <v>0</v>
      </c>
      <c r="AH158" s="40">
        <f t="shared" si="485"/>
        <v>0</v>
      </c>
      <c r="AI158" s="40">
        <f t="shared" si="485"/>
        <v>0</v>
      </c>
      <c r="AJ158" s="40">
        <f t="shared" si="485"/>
        <v>0</v>
      </c>
      <c r="AK158" s="40">
        <f t="shared" si="485"/>
        <v>0</v>
      </c>
      <c r="AL158" s="40">
        <f t="shared" si="485"/>
        <v>0</v>
      </c>
      <c r="AM158" s="40">
        <f t="shared" si="485"/>
        <v>0</v>
      </c>
      <c r="AN158" s="40">
        <f t="shared" si="485"/>
        <v>0</v>
      </c>
      <c r="AO158" s="40">
        <f t="shared" si="485"/>
        <v>0</v>
      </c>
      <c r="AP158" s="40">
        <f t="shared" si="485"/>
        <v>0</v>
      </c>
      <c r="AQ158" s="191">
        <f t="shared" si="374"/>
        <v>0</v>
      </c>
      <c r="AR158" s="40"/>
      <c r="AS158" s="40">
        <f>AS38-AS101</f>
        <v>0</v>
      </c>
      <c r="AT158" s="40">
        <f>AT38-AT101</f>
        <v>0</v>
      </c>
      <c r="AU158" s="40">
        <f t="shared" si="486"/>
        <v>0</v>
      </c>
      <c r="AV158" s="40">
        <f t="shared" si="486"/>
        <v>0</v>
      </c>
      <c r="AW158" s="40">
        <f t="shared" si="486"/>
        <v>0</v>
      </c>
      <c r="AX158" s="40">
        <f t="shared" si="486"/>
        <v>0</v>
      </c>
      <c r="AY158" s="40">
        <f t="shared" si="486"/>
        <v>0</v>
      </c>
      <c r="AZ158" s="40">
        <f t="shared" si="486"/>
        <v>0</v>
      </c>
      <c r="BA158" s="40">
        <f t="shared" si="486"/>
        <v>0</v>
      </c>
      <c r="BB158" s="40">
        <f t="shared" si="486"/>
        <v>0</v>
      </c>
      <c r="BC158" s="40">
        <f t="shared" si="486"/>
        <v>0</v>
      </c>
      <c r="BD158" s="40">
        <f t="shared" si="486"/>
        <v>0</v>
      </c>
      <c r="BE158" s="191">
        <f t="shared" si="376"/>
        <v>0</v>
      </c>
      <c r="BF158" s="40"/>
      <c r="BG158" s="40">
        <f>BG38-BG101</f>
        <v>0</v>
      </c>
      <c r="BH158" s="40">
        <f>BH38-BH101</f>
        <v>0</v>
      </c>
      <c r="BI158" s="40">
        <f t="shared" ref="BI158:BR158" si="488">BI38-BI101</f>
        <v>0</v>
      </c>
      <c r="BJ158" s="40">
        <f t="shared" si="488"/>
        <v>0</v>
      </c>
      <c r="BK158" s="40">
        <f t="shared" si="488"/>
        <v>0</v>
      </c>
      <c r="BL158" s="40">
        <f t="shared" si="488"/>
        <v>0</v>
      </c>
      <c r="BM158" s="40">
        <f t="shared" si="488"/>
        <v>0</v>
      </c>
      <c r="BN158" s="40">
        <f t="shared" si="488"/>
        <v>0</v>
      </c>
      <c r="BO158" s="40">
        <f t="shared" si="488"/>
        <v>0</v>
      </c>
      <c r="BP158" s="40">
        <f t="shared" si="488"/>
        <v>0</v>
      </c>
      <c r="BQ158" s="40">
        <f t="shared" si="488"/>
        <v>0</v>
      </c>
      <c r="BR158" s="40">
        <f t="shared" si="488"/>
        <v>0</v>
      </c>
    </row>
    <row r="159" spans="1:70" s="6" customFormat="1" hidden="1" outlineLevel="2" x14ac:dyDescent="0.2">
      <c r="B159" s="29" t="str">
        <f t="shared" si="461"/>
        <v>Итого отложенное вознаграждение</v>
      </c>
      <c r="C159" s="52" t="str">
        <f t="shared" si="461"/>
        <v>Deferred Compensation</v>
      </c>
      <c r="D159" s="169">
        <f>SUM(D157:D158)</f>
        <v>0</v>
      </c>
      <c r="E159" s="26">
        <f>SUM(E157:E158)</f>
        <v>0</v>
      </c>
      <c r="F159" s="26">
        <f>SUM(F157:F158)</f>
        <v>0</v>
      </c>
      <c r="G159" s="26">
        <f t="shared" ref="G159:P159" si="489">SUM(G157:G158)</f>
        <v>0</v>
      </c>
      <c r="H159" s="26">
        <f t="shared" si="489"/>
        <v>0</v>
      </c>
      <c r="I159" s="26">
        <f t="shared" si="489"/>
        <v>0</v>
      </c>
      <c r="J159" s="26">
        <f t="shared" si="489"/>
        <v>0</v>
      </c>
      <c r="K159" s="26">
        <f t="shared" si="489"/>
        <v>0</v>
      </c>
      <c r="L159" s="26">
        <f t="shared" si="489"/>
        <v>0</v>
      </c>
      <c r="M159" s="26">
        <f t="shared" si="489"/>
        <v>0</v>
      </c>
      <c r="N159" s="26">
        <f t="shared" si="489"/>
        <v>0</v>
      </c>
      <c r="O159" s="26">
        <f t="shared" si="489"/>
        <v>0</v>
      </c>
      <c r="P159" s="177">
        <f t="shared" si="489"/>
        <v>0</v>
      </c>
      <c r="Q159" s="192">
        <f>SUM(Q157:Q158)</f>
        <v>0</v>
      </c>
      <c r="R159" s="26">
        <f>SUM(R157:R158)</f>
        <v>0</v>
      </c>
      <c r="S159" s="26">
        <f>SUM(S157:S158)</f>
        <v>0</v>
      </c>
      <c r="T159" s="26">
        <f t="shared" ref="T159:AC159" si="490">SUM(T157:T158)</f>
        <v>0</v>
      </c>
      <c r="U159" s="26">
        <f t="shared" si="490"/>
        <v>0</v>
      </c>
      <c r="V159" s="26">
        <f t="shared" si="490"/>
        <v>0</v>
      </c>
      <c r="W159" s="26">
        <f t="shared" si="490"/>
        <v>0</v>
      </c>
      <c r="X159" s="26">
        <f t="shared" si="490"/>
        <v>0</v>
      </c>
      <c r="Y159" s="26">
        <f t="shared" si="490"/>
        <v>0</v>
      </c>
      <c r="Z159" s="26">
        <f t="shared" si="490"/>
        <v>0</v>
      </c>
      <c r="AA159" s="26">
        <f t="shared" si="490"/>
        <v>0</v>
      </c>
      <c r="AB159" s="26">
        <f t="shared" si="490"/>
        <v>0</v>
      </c>
      <c r="AC159" s="177">
        <f t="shared" si="490"/>
        <v>0</v>
      </c>
      <c r="AD159" s="226">
        <f>SUM(AD157:AD158)</f>
        <v>0</v>
      </c>
      <c r="AE159" s="26">
        <f>SUM(AE157:AE158)</f>
        <v>0</v>
      </c>
      <c r="AF159" s="26">
        <f>SUM(AF157:AF158)</f>
        <v>0</v>
      </c>
      <c r="AG159" s="26">
        <f t="shared" ref="AG159:AP159" si="491">SUM(AG157:AG158)</f>
        <v>0</v>
      </c>
      <c r="AH159" s="26">
        <f t="shared" si="491"/>
        <v>0</v>
      </c>
      <c r="AI159" s="26">
        <f t="shared" si="491"/>
        <v>0</v>
      </c>
      <c r="AJ159" s="26">
        <f t="shared" si="491"/>
        <v>0</v>
      </c>
      <c r="AK159" s="26">
        <f t="shared" si="491"/>
        <v>0</v>
      </c>
      <c r="AL159" s="26">
        <f t="shared" si="491"/>
        <v>0</v>
      </c>
      <c r="AM159" s="26">
        <f t="shared" si="491"/>
        <v>0</v>
      </c>
      <c r="AN159" s="26">
        <f t="shared" si="491"/>
        <v>0</v>
      </c>
      <c r="AO159" s="26">
        <f t="shared" si="491"/>
        <v>0</v>
      </c>
      <c r="AP159" s="26">
        <f t="shared" si="491"/>
        <v>0</v>
      </c>
      <c r="AQ159" s="192">
        <f t="shared" si="374"/>
        <v>0</v>
      </c>
      <c r="AR159" s="26"/>
      <c r="AS159" s="26">
        <f>SUM(AS157:AS158)</f>
        <v>0</v>
      </c>
      <c r="AT159" s="26">
        <f>SUM(AT157:AT158)</f>
        <v>0</v>
      </c>
      <c r="AU159" s="26">
        <f t="shared" ref="AU159:BD159" si="492">SUM(AU157:AU158)</f>
        <v>0</v>
      </c>
      <c r="AV159" s="26">
        <f t="shared" si="492"/>
        <v>0</v>
      </c>
      <c r="AW159" s="26">
        <f t="shared" si="492"/>
        <v>0</v>
      </c>
      <c r="AX159" s="26">
        <f t="shared" si="492"/>
        <v>0</v>
      </c>
      <c r="AY159" s="26">
        <f t="shared" si="492"/>
        <v>0</v>
      </c>
      <c r="AZ159" s="26">
        <f t="shared" si="492"/>
        <v>0</v>
      </c>
      <c r="BA159" s="26">
        <f t="shared" si="492"/>
        <v>0</v>
      </c>
      <c r="BB159" s="26">
        <f t="shared" si="492"/>
        <v>0</v>
      </c>
      <c r="BC159" s="26">
        <f t="shared" si="492"/>
        <v>0</v>
      </c>
      <c r="BD159" s="26">
        <f t="shared" si="492"/>
        <v>0</v>
      </c>
      <c r="BE159" s="192">
        <f t="shared" si="376"/>
        <v>0</v>
      </c>
      <c r="BF159" s="26"/>
      <c r="BG159" s="26">
        <f>SUM(BG157:BG158)</f>
        <v>0</v>
      </c>
      <c r="BH159" s="26">
        <f>SUM(BH157:BH158)</f>
        <v>0</v>
      </c>
      <c r="BI159" s="26">
        <f t="shared" ref="BI159:BR159" si="493">SUM(BI157:BI158)</f>
        <v>0</v>
      </c>
      <c r="BJ159" s="26">
        <f t="shared" si="493"/>
        <v>0</v>
      </c>
      <c r="BK159" s="26">
        <f t="shared" si="493"/>
        <v>0</v>
      </c>
      <c r="BL159" s="26">
        <f t="shared" si="493"/>
        <v>0</v>
      </c>
      <c r="BM159" s="26">
        <f t="shared" si="493"/>
        <v>0</v>
      </c>
      <c r="BN159" s="26">
        <f t="shared" si="493"/>
        <v>0</v>
      </c>
      <c r="BO159" s="26">
        <f t="shared" si="493"/>
        <v>0</v>
      </c>
      <c r="BP159" s="26">
        <f t="shared" si="493"/>
        <v>0</v>
      </c>
      <c r="BQ159" s="26">
        <f t="shared" si="493"/>
        <v>0</v>
      </c>
      <c r="BR159" s="26">
        <f t="shared" si="493"/>
        <v>0</v>
      </c>
    </row>
    <row r="160" spans="1:70" s="6" customFormat="1" outlineLevel="1" collapsed="1" x14ac:dyDescent="0.2">
      <c r="A160" s="30"/>
      <c r="B160" s="51" t="str">
        <f t="shared" si="461"/>
        <v>Прочие компенсационные выплаты</v>
      </c>
      <c r="C160" s="50" t="str">
        <f t="shared" si="461"/>
        <v>Other Compensations</v>
      </c>
      <c r="D160" s="170">
        <f>D150+D153+D156+D159</f>
        <v>-244055447</v>
      </c>
      <c r="E160" s="45">
        <f>E150+E153+E156+E159</f>
        <v>240000</v>
      </c>
      <c r="F160" s="45">
        <f>F150+F153+F156+F159</f>
        <v>-22208677</v>
      </c>
      <c r="G160" s="45">
        <f t="shared" ref="G160:P160" si="494">G150+G153+G156+G159</f>
        <v>-22208677</v>
      </c>
      <c r="H160" s="45">
        <f t="shared" si="494"/>
        <v>-22208677</v>
      </c>
      <c r="I160" s="45">
        <f t="shared" si="494"/>
        <v>-22208677</v>
      </c>
      <c r="J160" s="45">
        <f t="shared" si="494"/>
        <v>-22208677</v>
      </c>
      <c r="K160" s="45">
        <f t="shared" si="494"/>
        <v>-22208677</v>
      </c>
      <c r="L160" s="45">
        <f t="shared" si="494"/>
        <v>-22208677</v>
      </c>
      <c r="M160" s="45">
        <f t="shared" si="494"/>
        <v>-22208677</v>
      </c>
      <c r="N160" s="45">
        <f t="shared" si="494"/>
        <v>-22208677</v>
      </c>
      <c r="O160" s="45">
        <f t="shared" si="494"/>
        <v>-22208677</v>
      </c>
      <c r="P160" s="178">
        <f t="shared" si="494"/>
        <v>-22208677</v>
      </c>
      <c r="Q160" s="193">
        <f>Q150+Q153+Q156+Q159</f>
        <v>-244055447</v>
      </c>
      <c r="R160" s="45">
        <f>R150+R153+R156+R159</f>
        <v>240000</v>
      </c>
      <c r="S160" s="45">
        <f>S150+S153+S156+S159</f>
        <v>-22208677</v>
      </c>
      <c r="T160" s="45">
        <f t="shared" ref="T160:AC160" si="495">T150+T153+T156+T159</f>
        <v>-22208677</v>
      </c>
      <c r="U160" s="45">
        <f t="shared" si="495"/>
        <v>-22208677</v>
      </c>
      <c r="V160" s="45">
        <f t="shared" si="495"/>
        <v>-22208677</v>
      </c>
      <c r="W160" s="45">
        <f t="shared" si="495"/>
        <v>-22208677</v>
      </c>
      <c r="X160" s="45">
        <f t="shared" si="495"/>
        <v>-22208677</v>
      </c>
      <c r="Y160" s="45">
        <f t="shared" si="495"/>
        <v>-22208677</v>
      </c>
      <c r="Z160" s="45">
        <f t="shared" si="495"/>
        <v>-22208677</v>
      </c>
      <c r="AA160" s="45">
        <f t="shared" si="495"/>
        <v>-22208677</v>
      </c>
      <c r="AB160" s="45">
        <f t="shared" si="495"/>
        <v>-22208677</v>
      </c>
      <c r="AC160" s="178">
        <f t="shared" si="495"/>
        <v>-22208677</v>
      </c>
      <c r="AD160" s="227">
        <f>AD150+AD153+AD156+AD159</f>
        <v>-244055447</v>
      </c>
      <c r="AE160" s="45">
        <f>AE150+AE153+AE156+AE159</f>
        <v>240000</v>
      </c>
      <c r="AF160" s="45">
        <f>AF150+AF153+AF156+AF159</f>
        <v>-22208677</v>
      </c>
      <c r="AG160" s="45">
        <f t="shared" ref="AG160:AP160" si="496">AG150+AG153+AG156+AG159</f>
        <v>-22208677</v>
      </c>
      <c r="AH160" s="45">
        <f t="shared" si="496"/>
        <v>-22208677</v>
      </c>
      <c r="AI160" s="45">
        <f t="shared" si="496"/>
        <v>-22208677</v>
      </c>
      <c r="AJ160" s="45">
        <f t="shared" si="496"/>
        <v>-22208677</v>
      </c>
      <c r="AK160" s="45">
        <f t="shared" si="496"/>
        <v>-22208677</v>
      </c>
      <c r="AL160" s="45">
        <f t="shared" si="496"/>
        <v>-22208677</v>
      </c>
      <c r="AM160" s="45">
        <f t="shared" si="496"/>
        <v>-22208677</v>
      </c>
      <c r="AN160" s="45">
        <f t="shared" si="496"/>
        <v>-22208677</v>
      </c>
      <c r="AO160" s="45">
        <f t="shared" si="496"/>
        <v>-22208677</v>
      </c>
      <c r="AP160" s="45">
        <f t="shared" si="496"/>
        <v>-22208677</v>
      </c>
      <c r="AQ160" s="193">
        <f t="shared" si="374"/>
        <v>0</v>
      </c>
      <c r="AR160" s="45"/>
      <c r="AS160" s="45">
        <f>AS150+AS153+AS156+AS159</f>
        <v>240000</v>
      </c>
      <c r="AT160" s="45">
        <f>AT150+AT153+AT156+AT159</f>
        <v>-22208677</v>
      </c>
      <c r="AU160" s="45">
        <f t="shared" ref="AU160:BD160" si="497">AU150+AU153+AU156+AU159</f>
        <v>-22208677</v>
      </c>
      <c r="AV160" s="45">
        <f t="shared" si="497"/>
        <v>-22208677</v>
      </c>
      <c r="AW160" s="45">
        <f t="shared" si="497"/>
        <v>-22208677</v>
      </c>
      <c r="AX160" s="45">
        <f t="shared" si="497"/>
        <v>-22208677</v>
      </c>
      <c r="AY160" s="45">
        <f t="shared" si="497"/>
        <v>-22208677</v>
      </c>
      <c r="AZ160" s="45">
        <f t="shared" si="497"/>
        <v>-22208677</v>
      </c>
      <c r="BA160" s="45">
        <f t="shared" si="497"/>
        <v>-22208677</v>
      </c>
      <c r="BB160" s="45">
        <f t="shared" si="497"/>
        <v>-22208677</v>
      </c>
      <c r="BC160" s="45">
        <f t="shared" si="497"/>
        <v>-22208677</v>
      </c>
      <c r="BD160" s="45">
        <f t="shared" si="497"/>
        <v>-22208677</v>
      </c>
      <c r="BE160" s="193">
        <f t="shared" si="376"/>
        <v>240000</v>
      </c>
      <c r="BF160" s="45"/>
      <c r="BG160" s="45">
        <f>BG150+BG153+BG156+BG159</f>
        <v>240000</v>
      </c>
      <c r="BH160" s="45">
        <f>BH150+BH153+BH156+BH159</f>
        <v>-22208677</v>
      </c>
      <c r="BI160" s="45">
        <f t="shared" ref="BI160:BR160" si="498">BI150+BI153+BI156+BI159</f>
        <v>-22208677</v>
      </c>
      <c r="BJ160" s="45">
        <f t="shared" si="498"/>
        <v>-22208677</v>
      </c>
      <c r="BK160" s="45">
        <f t="shared" si="498"/>
        <v>-22208677</v>
      </c>
      <c r="BL160" s="45">
        <f t="shared" si="498"/>
        <v>-22208677</v>
      </c>
      <c r="BM160" s="45">
        <f t="shared" si="498"/>
        <v>-22208677</v>
      </c>
      <c r="BN160" s="45">
        <f t="shared" si="498"/>
        <v>-22208677</v>
      </c>
      <c r="BO160" s="45">
        <f t="shared" si="498"/>
        <v>-22208677</v>
      </c>
      <c r="BP160" s="45">
        <f t="shared" si="498"/>
        <v>-22208677</v>
      </c>
      <c r="BQ160" s="45">
        <f t="shared" si="498"/>
        <v>-22208677</v>
      </c>
      <c r="BR160" s="45">
        <f t="shared" si="498"/>
        <v>-22208677</v>
      </c>
    </row>
    <row r="161" spans="1:70" ht="12.75" hidden="1" customHeight="1" outlineLevel="3" x14ac:dyDescent="0.2">
      <c r="B161" s="38" t="str">
        <f t="shared" si="461"/>
        <v>Резерв квартальной премии</v>
      </c>
      <c r="C161" s="49" t="str">
        <f t="shared" si="461"/>
        <v>Accruals for Quarterly bonus</v>
      </c>
      <c r="D161" s="168">
        <f t="shared" ref="D161:P162" si="499">D41-D104</f>
        <v>11215250</v>
      </c>
      <c r="E161" s="40">
        <f t="shared" si="499"/>
        <v>11215250</v>
      </c>
      <c r="F161" s="40">
        <f t="shared" si="499"/>
        <v>0</v>
      </c>
      <c r="G161" s="40">
        <f t="shared" si="499"/>
        <v>0</v>
      </c>
      <c r="H161" s="40">
        <f t="shared" si="499"/>
        <v>0</v>
      </c>
      <c r="I161" s="40">
        <f t="shared" si="499"/>
        <v>0</v>
      </c>
      <c r="J161" s="40">
        <f t="shared" si="499"/>
        <v>0</v>
      </c>
      <c r="K161" s="40">
        <f t="shared" si="499"/>
        <v>0</v>
      </c>
      <c r="L161" s="40">
        <f t="shared" si="499"/>
        <v>0</v>
      </c>
      <c r="M161" s="40">
        <f t="shared" si="499"/>
        <v>0</v>
      </c>
      <c r="N161" s="40">
        <f t="shared" si="499"/>
        <v>0</v>
      </c>
      <c r="O161" s="40">
        <f t="shared" si="499"/>
        <v>0</v>
      </c>
      <c r="P161" s="176">
        <f t="shared" si="499"/>
        <v>0</v>
      </c>
      <c r="Q161" s="191">
        <f t="shared" ref="Q161:S162" si="500">Q41-Q104</f>
        <v>11215250</v>
      </c>
      <c r="R161" s="40">
        <f t="shared" si="500"/>
        <v>11215250</v>
      </c>
      <c r="S161" s="40">
        <f t="shared" si="500"/>
        <v>0</v>
      </c>
      <c r="T161" s="40">
        <f t="shared" ref="T161:AC162" si="501">T41-T104</f>
        <v>0</v>
      </c>
      <c r="U161" s="40">
        <f t="shared" si="501"/>
        <v>0</v>
      </c>
      <c r="V161" s="40">
        <f t="shared" si="501"/>
        <v>0</v>
      </c>
      <c r="W161" s="40">
        <f t="shared" si="501"/>
        <v>0</v>
      </c>
      <c r="X161" s="40">
        <f t="shared" si="501"/>
        <v>0</v>
      </c>
      <c r="Y161" s="40">
        <f t="shared" si="501"/>
        <v>0</v>
      </c>
      <c r="Z161" s="40">
        <f t="shared" si="501"/>
        <v>0</v>
      </c>
      <c r="AA161" s="40">
        <f t="shared" si="501"/>
        <v>0</v>
      </c>
      <c r="AB161" s="40">
        <f t="shared" si="501"/>
        <v>0</v>
      </c>
      <c r="AC161" s="176">
        <f t="shared" si="501"/>
        <v>0</v>
      </c>
      <c r="AD161" s="225">
        <f t="shared" ref="AD161:AF162" si="502">AD41-AD104</f>
        <v>11215250</v>
      </c>
      <c r="AE161" s="40">
        <f t="shared" si="502"/>
        <v>11215250</v>
      </c>
      <c r="AF161" s="40">
        <f t="shared" si="502"/>
        <v>0</v>
      </c>
      <c r="AG161" s="40">
        <f t="shared" ref="AG161:AP162" si="503">AG41-AG104</f>
        <v>0</v>
      </c>
      <c r="AH161" s="40">
        <f t="shared" si="503"/>
        <v>0</v>
      </c>
      <c r="AI161" s="40">
        <f t="shared" si="503"/>
        <v>0</v>
      </c>
      <c r="AJ161" s="40">
        <f t="shared" si="503"/>
        <v>0</v>
      </c>
      <c r="AK161" s="40">
        <f t="shared" si="503"/>
        <v>0</v>
      </c>
      <c r="AL161" s="40">
        <f t="shared" si="503"/>
        <v>0</v>
      </c>
      <c r="AM161" s="40">
        <f t="shared" si="503"/>
        <v>0</v>
      </c>
      <c r="AN161" s="40">
        <f t="shared" si="503"/>
        <v>0</v>
      </c>
      <c r="AO161" s="40">
        <f t="shared" si="503"/>
        <v>0</v>
      </c>
      <c r="AP161" s="40">
        <f t="shared" si="503"/>
        <v>0</v>
      </c>
      <c r="AQ161" s="191">
        <f t="shared" si="374"/>
        <v>0</v>
      </c>
      <c r="AR161" s="40"/>
      <c r="AS161" s="40">
        <f>AS41-AS104</f>
        <v>11215250</v>
      </c>
      <c r="AT161" s="40">
        <f>AT41-AT104</f>
        <v>0</v>
      </c>
      <c r="AU161" s="40">
        <f t="shared" ref="AU161:BD162" si="504">AU41-AU104</f>
        <v>0</v>
      </c>
      <c r="AV161" s="40">
        <f t="shared" si="504"/>
        <v>0</v>
      </c>
      <c r="AW161" s="40">
        <f t="shared" si="504"/>
        <v>0</v>
      </c>
      <c r="AX161" s="40">
        <f t="shared" si="504"/>
        <v>0</v>
      </c>
      <c r="AY161" s="40">
        <f t="shared" si="504"/>
        <v>0</v>
      </c>
      <c r="AZ161" s="40">
        <f t="shared" si="504"/>
        <v>0</v>
      </c>
      <c r="BA161" s="40">
        <f t="shared" si="504"/>
        <v>0</v>
      </c>
      <c r="BB161" s="40">
        <f t="shared" si="504"/>
        <v>0</v>
      </c>
      <c r="BC161" s="40">
        <f t="shared" si="504"/>
        <v>0</v>
      </c>
      <c r="BD161" s="40">
        <f t="shared" si="504"/>
        <v>0</v>
      </c>
      <c r="BE161" s="191">
        <f t="shared" si="376"/>
        <v>11215250</v>
      </c>
      <c r="BF161" s="40"/>
      <c r="BG161" s="40">
        <f>BG41-BG104</f>
        <v>11215250</v>
      </c>
      <c r="BH161" s="40">
        <f>BH41-BH104</f>
        <v>0</v>
      </c>
      <c r="BI161" s="40">
        <f t="shared" ref="BI161:BR161" si="505">BI41-BI104</f>
        <v>0</v>
      </c>
      <c r="BJ161" s="40">
        <f t="shared" si="505"/>
        <v>0</v>
      </c>
      <c r="BK161" s="40">
        <f t="shared" si="505"/>
        <v>0</v>
      </c>
      <c r="BL161" s="40">
        <f t="shared" si="505"/>
        <v>0</v>
      </c>
      <c r="BM161" s="40">
        <f t="shared" si="505"/>
        <v>0</v>
      </c>
      <c r="BN161" s="40">
        <f t="shared" si="505"/>
        <v>0</v>
      </c>
      <c r="BO161" s="40">
        <f t="shared" si="505"/>
        <v>0</v>
      </c>
      <c r="BP161" s="40">
        <f t="shared" si="505"/>
        <v>0</v>
      </c>
      <c r="BQ161" s="40">
        <f t="shared" si="505"/>
        <v>0</v>
      </c>
      <c r="BR161" s="40">
        <f t="shared" si="505"/>
        <v>0</v>
      </c>
    </row>
    <row r="162" spans="1:70" ht="12.75" hidden="1" customHeight="1" outlineLevel="3" x14ac:dyDescent="0.2">
      <c r="B162" s="38" t="str">
        <f t="shared" si="461"/>
        <v>Страховые взносы резерв квартальной премии</v>
      </c>
      <c r="C162" s="49" t="str">
        <f t="shared" si="461"/>
        <v>Social Security on Accruals for Quarterly bonus</v>
      </c>
      <c r="D162" s="168">
        <f t="shared" si="499"/>
        <v>2074821.25</v>
      </c>
      <c r="E162" s="40">
        <f t="shared" si="499"/>
        <v>2074821.25</v>
      </c>
      <c r="F162" s="40">
        <f t="shared" si="499"/>
        <v>0</v>
      </c>
      <c r="G162" s="40">
        <f t="shared" si="499"/>
        <v>0</v>
      </c>
      <c r="H162" s="40">
        <f t="shared" si="499"/>
        <v>0</v>
      </c>
      <c r="I162" s="40">
        <f t="shared" si="499"/>
        <v>0</v>
      </c>
      <c r="J162" s="40">
        <f t="shared" si="499"/>
        <v>0</v>
      </c>
      <c r="K162" s="40">
        <f t="shared" si="499"/>
        <v>0</v>
      </c>
      <c r="L162" s="40">
        <f t="shared" si="499"/>
        <v>0</v>
      </c>
      <c r="M162" s="40">
        <f t="shared" si="499"/>
        <v>0</v>
      </c>
      <c r="N162" s="40">
        <f t="shared" si="499"/>
        <v>0</v>
      </c>
      <c r="O162" s="40">
        <f t="shared" si="499"/>
        <v>0</v>
      </c>
      <c r="P162" s="176">
        <f t="shared" si="499"/>
        <v>0</v>
      </c>
      <c r="Q162" s="191">
        <f t="shared" si="500"/>
        <v>2074821.25</v>
      </c>
      <c r="R162" s="40">
        <f t="shared" si="500"/>
        <v>2074821.25</v>
      </c>
      <c r="S162" s="40">
        <f t="shared" si="500"/>
        <v>0</v>
      </c>
      <c r="T162" s="40">
        <f t="shared" si="501"/>
        <v>0</v>
      </c>
      <c r="U162" s="40">
        <f t="shared" si="501"/>
        <v>0</v>
      </c>
      <c r="V162" s="40">
        <f t="shared" si="501"/>
        <v>0</v>
      </c>
      <c r="W162" s="40">
        <f t="shared" si="501"/>
        <v>0</v>
      </c>
      <c r="X162" s="40">
        <f t="shared" si="501"/>
        <v>0</v>
      </c>
      <c r="Y162" s="40">
        <f t="shared" si="501"/>
        <v>0</v>
      </c>
      <c r="Z162" s="40">
        <f t="shared" si="501"/>
        <v>0</v>
      </c>
      <c r="AA162" s="40">
        <f t="shared" si="501"/>
        <v>0</v>
      </c>
      <c r="AB162" s="40">
        <f t="shared" si="501"/>
        <v>0</v>
      </c>
      <c r="AC162" s="176">
        <f t="shared" si="501"/>
        <v>0</v>
      </c>
      <c r="AD162" s="225">
        <f t="shared" si="502"/>
        <v>2074821.25</v>
      </c>
      <c r="AE162" s="40">
        <f t="shared" si="502"/>
        <v>2074821.25</v>
      </c>
      <c r="AF162" s="40">
        <f t="shared" si="502"/>
        <v>0</v>
      </c>
      <c r="AG162" s="40">
        <f t="shared" si="503"/>
        <v>0</v>
      </c>
      <c r="AH162" s="40">
        <f t="shared" si="503"/>
        <v>0</v>
      </c>
      <c r="AI162" s="40">
        <f t="shared" si="503"/>
        <v>0</v>
      </c>
      <c r="AJ162" s="40">
        <f t="shared" si="503"/>
        <v>0</v>
      </c>
      <c r="AK162" s="40">
        <f t="shared" si="503"/>
        <v>0</v>
      </c>
      <c r="AL162" s="40">
        <f t="shared" si="503"/>
        <v>0</v>
      </c>
      <c r="AM162" s="40">
        <f t="shared" si="503"/>
        <v>0</v>
      </c>
      <c r="AN162" s="40">
        <f t="shared" si="503"/>
        <v>0</v>
      </c>
      <c r="AO162" s="40">
        <f t="shared" si="503"/>
        <v>0</v>
      </c>
      <c r="AP162" s="40">
        <f t="shared" si="503"/>
        <v>0</v>
      </c>
      <c r="AQ162" s="191">
        <f t="shared" si="374"/>
        <v>0</v>
      </c>
      <c r="AR162" s="40"/>
      <c r="AS162" s="40">
        <f>AS42-AS105</f>
        <v>2074821.25</v>
      </c>
      <c r="AT162" s="40">
        <f>AT42-AT105</f>
        <v>0</v>
      </c>
      <c r="AU162" s="40">
        <f t="shared" si="504"/>
        <v>0</v>
      </c>
      <c r="AV162" s="40">
        <f t="shared" si="504"/>
        <v>0</v>
      </c>
      <c r="AW162" s="40">
        <f t="shared" si="504"/>
        <v>0</v>
      </c>
      <c r="AX162" s="40">
        <f t="shared" si="504"/>
        <v>0</v>
      </c>
      <c r="AY162" s="40">
        <f t="shared" si="504"/>
        <v>0</v>
      </c>
      <c r="AZ162" s="40">
        <f t="shared" si="504"/>
        <v>0</v>
      </c>
      <c r="BA162" s="40">
        <f t="shared" si="504"/>
        <v>0</v>
      </c>
      <c r="BB162" s="40">
        <f t="shared" si="504"/>
        <v>0</v>
      </c>
      <c r="BC162" s="40">
        <f t="shared" si="504"/>
        <v>0</v>
      </c>
      <c r="BD162" s="40">
        <f t="shared" si="504"/>
        <v>0</v>
      </c>
      <c r="BE162" s="191">
        <f t="shared" si="376"/>
        <v>2074821.25</v>
      </c>
      <c r="BF162" s="40"/>
      <c r="BG162" s="40">
        <f>BG42-BG105</f>
        <v>2074821.25</v>
      </c>
      <c r="BH162" s="40">
        <f>BH42-BH105</f>
        <v>0</v>
      </c>
      <c r="BI162" s="40">
        <f t="shared" ref="BI162:BR162" si="506">BI42-BI105</f>
        <v>0</v>
      </c>
      <c r="BJ162" s="40">
        <f t="shared" si="506"/>
        <v>0</v>
      </c>
      <c r="BK162" s="40">
        <f t="shared" si="506"/>
        <v>0</v>
      </c>
      <c r="BL162" s="40">
        <f t="shared" si="506"/>
        <v>0</v>
      </c>
      <c r="BM162" s="40">
        <f t="shared" si="506"/>
        <v>0</v>
      </c>
      <c r="BN162" s="40">
        <f t="shared" si="506"/>
        <v>0</v>
      </c>
      <c r="BO162" s="40">
        <f t="shared" si="506"/>
        <v>0</v>
      </c>
      <c r="BP162" s="40">
        <f t="shared" si="506"/>
        <v>0</v>
      </c>
      <c r="BQ162" s="40">
        <f t="shared" si="506"/>
        <v>0</v>
      </c>
      <c r="BR162" s="40">
        <f t="shared" si="506"/>
        <v>0</v>
      </c>
    </row>
    <row r="163" spans="1:70" s="6" customFormat="1" hidden="1" outlineLevel="2" x14ac:dyDescent="0.2">
      <c r="A163" s="30"/>
      <c r="B163" s="29" t="str">
        <f t="shared" si="461"/>
        <v>Итого резерв квартальной премии</v>
      </c>
      <c r="C163" s="52" t="str">
        <f t="shared" si="461"/>
        <v>Total Accruals for Quarterly bonus</v>
      </c>
      <c r="D163" s="169">
        <f>SUM(D161:D162)</f>
        <v>13290071.25</v>
      </c>
      <c r="E163" s="26">
        <f>SUM(E161:E162)</f>
        <v>13290071.25</v>
      </c>
      <c r="F163" s="26">
        <f>SUM(F161:F162)</f>
        <v>0</v>
      </c>
      <c r="G163" s="26">
        <f t="shared" ref="G163:P163" si="507">SUM(G161:G162)</f>
        <v>0</v>
      </c>
      <c r="H163" s="26">
        <f t="shared" si="507"/>
        <v>0</v>
      </c>
      <c r="I163" s="26">
        <f t="shared" si="507"/>
        <v>0</v>
      </c>
      <c r="J163" s="26">
        <f t="shared" si="507"/>
        <v>0</v>
      </c>
      <c r="K163" s="26">
        <f t="shared" si="507"/>
        <v>0</v>
      </c>
      <c r="L163" s="26">
        <f t="shared" si="507"/>
        <v>0</v>
      </c>
      <c r="M163" s="26">
        <f t="shared" si="507"/>
        <v>0</v>
      </c>
      <c r="N163" s="26">
        <f t="shared" si="507"/>
        <v>0</v>
      </c>
      <c r="O163" s="26">
        <f t="shared" si="507"/>
        <v>0</v>
      </c>
      <c r="P163" s="177">
        <f t="shared" si="507"/>
        <v>0</v>
      </c>
      <c r="Q163" s="192">
        <f>SUM(Q161:Q162)</f>
        <v>13290071.25</v>
      </c>
      <c r="R163" s="26">
        <f>SUM(R161:R162)</f>
        <v>13290071.25</v>
      </c>
      <c r="S163" s="26">
        <f>SUM(S161:S162)</f>
        <v>0</v>
      </c>
      <c r="T163" s="26">
        <f t="shared" ref="T163:AC163" si="508">SUM(T161:T162)</f>
        <v>0</v>
      </c>
      <c r="U163" s="26">
        <f t="shared" si="508"/>
        <v>0</v>
      </c>
      <c r="V163" s="26">
        <f t="shared" si="508"/>
        <v>0</v>
      </c>
      <c r="W163" s="26">
        <f t="shared" si="508"/>
        <v>0</v>
      </c>
      <c r="X163" s="26">
        <f t="shared" si="508"/>
        <v>0</v>
      </c>
      <c r="Y163" s="26">
        <f t="shared" si="508"/>
        <v>0</v>
      </c>
      <c r="Z163" s="26">
        <f t="shared" si="508"/>
        <v>0</v>
      </c>
      <c r="AA163" s="26">
        <f t="shared" si="508"/>
        <v>0</v>
      </c>
      <c r="AB163" s="26">
        <f t="shared" si="508"/>
        <v>0</v>
      </c>
      <c r="AC163" s="177">
        <f t="shared" si="508"/>
        <v>0</v>
      </c>
      <c r="AD163" s="226">
        <f>SUM(AD161:AD162)</f>
        <v>13290071.25</v>
      </c>
      <c r="AE163" s="26">
        <f>SUM(AE161:AE162)</f>
        <v>13290071.25</v>
      </c>
      <c r="AF163" s="26">
        <f>SUM(AF161:AF162)</f>
        <v>0</v>
      </c>
      <c r="AG163" s="26">
        <f t="shared" ref="AG163:AP163" si="509">SUM(AG161:AG162)</f>
        <v>0</v>
      </c>
      <c r="AH163" s="26">
        <f t="shared" si="509"/>
        <v>0</v>
      </c>
      <c r="AI163" s="26">
        <f t="shared" si="509"/>
        <v>0</v>
      </c>
      <c r="AJ163" s="26">
        <f t="shared" si="509"/>
        <v>0</v>
      </c>
      <c r="AK163" s="26">
        <f t="shared" si="509"/>
        <v>0</v>
      </c>
      <c r="AL163" s="26">
        <f t="shared" si="509"/>
        <v>0</v>
      </c>
      <c r="AM163" s="26">
        <f t="shared" si="509"/>
        <v>0</v>
      </c>
      <c r="AN163" s="26">
        <f t="shared" si="509"/>
        <v>0</v>
      </c>
      <c r="AO163" s="26">
        <f t="shared" si="509"/>
        <v>0</v>
      </c>
      <c r="AP163" s="26">
        <f t="shared" si="509"/>
        <v>0</v>
      </c>
      <c r="AQ163" s="192">
        <f t="shared" si="374"/>
        <v>0</v>
      </c>
      <c r="AR163" s="26"/>
      <c r="AS163" s="26">
        <f>SUM(AS161:AS162)</f>
        <v>13290071.25</v>
      </c>
      <c r="AT163" s="26">
        <f>SUM(AT161:AT162)</f>
        <v>0</v>
      </c>
      <c r="AU163" s="26">
        <f t="shared" ref="AU163:BD163" si="510">SUM(AU161:AU162)</f>
        <v>0</v>
      </c>
      <c r="AV163" s="26">
        <f t="shared" si="510"/>
        <v>0</v>
      </c>
      <c r="AW163" s="26">
        <f t="shared" si="510"/>
        <v>0</v>
      </c>
      <c r="AX163" s="26">
        <f t="shared" si="510"/>
        <v>0</v>
      </c>
      <c r="AY163" s="26">
        <f t="shared" si="510"/>
        <v>0</v>
      </c>
      <c r="AZ163" s="26">
        <f t="shared" si="510"/>
        <v>0</v>
      </c>
      <c r="BA163" s="26">
        <f t="shared" si="510"/>
        <v>0</v>
      </c>
      <c r="BB163" s="26">
        <f t="shared" si="510"/>
        <v>0</v>
      </c>
      <c r="BC163" s="26">
        <f t="shared" si="510"/>
        <v>0</v>
      </c>
      <c r="BD163" s="26">
        <f t="shared" si="510"/>
        <v>0</v>
      </c>
      <c r="BE163" s="192">
        <f t="shared" si="376"/>
        <v>13290071.25</v>
      </c>
      <c r="BF163" s="26"/>
      <c r="BG163" s="26">
        <f>SUM(BG161:BG162)</f>
        <v>13290071.25</v>
      </c>
      <c r="BH163" s="26">
        <f>SUM(BH161:BH162)</f>
        <v>0</v>
      </c>
      <c r="BI163" s="26">
        <f t="shared" ref="BI163:BR163" si="511">SUM(BI161:BI162)</f>
        <v>0</v>
      </c>
      <c r="BJ163" s="26">
        <f t="shared" si="511"/>
        <v>0</v>
      </c>
      <c r="BK163" s="26">
        <f t="shared" si="511"/>
        <v>0</v>
      </c>
      <c r="BL163" s="26">
        <f t="shared" si="511"/>
        <v>0</v>
      </c>
      <c r="BM163" s="26">
        <f t="shared" si="511"/>
        <v>0</v>
      </c>
      <c r="BN163" s="26">
        <f t="shared" si="511"/>
        <v>0</v>
      </c>
      <c r="BO163" s="26">
        <f t="shared" si="511"/>
        <v>0</v>
      </c>
      <c r="BP163" s="26">
        <f t="shared" si="511"/>
        <v>0</v>
      </c>
      <c r="BQ163" s="26">
        <f t="shared" si="511"/>
        <v>0</v>
      </c>
      <c r="BR163" s="26">
        <f t="shared" si="511"/>
        <v>0</v>
      </c>
    </row>
    <row r="164" spans="1:70" ht="12.75" hidden="1" customHeight="1" outlineLevel="3" x14ac:dyDescent="0.2">
      <c r="B164" s="38" t="str">
        <f t="shared" si="461"/>
        <v>Сторно резерва квартальной премии</v>
      </c>
      <c r="C164" s="49" t="str">
        <f t="shared" si="461"/>
        <v>Reverse Accruals for Quarterly bonus</v>
      </c>
      <c r="D164" s="168">
        <f t="shared" ref="D164:P165" si="512">D44-D107</f>
        <v>0</v>
      </c>
      <c r="E164" s="40">
        <f t="shared" si="512"/>
        <v>0</v>
      </c>
      <c r="F164" s="40">
        <f t="shared" si="512"/>
        <v>0</v>
      </c>
      <c r="G164" s="40">
        <f t="shared" si="512"/>
        <v>0</v>
      </c>
      <c r="H164" s="40">
        <f t="shared" si="512"/>
        <v>0</v>
      </c>
      <c r="I164" s="40">
        <f t="shared" si="512"/>
        <v>0</v>
      </c>
      <c r="J164" s="40">
        <f t="shared" si="512"/>
        <v>0</v>
      </c>
      <c r="K164" s="40">
        <f t="shared" si="512"/>
        <v>0</v>
      </c>
      <c r="L164" s="40">
        <f t="shared" si="512"/>
        <v>0</v>
      </c>
      <c r="M164" s="40">
        <f t="shared" si="512"/>
        <v>0</v>
      </c>
      <c r="N164" s="40">
        <f t="shared" si="512"/>
        <v>0</v>
      </c>
      <c r="O164" s="40">
        <f t="shared" si="512"/>
        <v>0</v>
      </c>
      <c r="P164" s="176">
        <f t="shared" si="512"/>
        <v>0</v>
      </c>
      <c r="Q164" s="191">
        <f t="shared" ref="Q164:S165" si="513">Q44-Q107</f>
        <v>0</v>
      </c>
      <c r="R164" s="40">
        <f t="shared" si="513"/>
        <v>0</v>
      </c>
      <c r="S164" s="40">
        <f t="shared" si="513"/>
        <v>0</v>
      </c>
      <c r="T164" s="40">
        <f t="shared" ref="T164:AC165" si="514">T44-T107</f>
        <v>0</v>
      </c>
      <c r="U164" s="40">
        <f t="shared" si="514"/>
        <v>0</v>
      </c>
      <c r="V164" s="40">
        <f t="shared" si="514"/>
        <v>0</v>
      </c>
      <c r="W164" s="40">
        <f t="shared" si="514"/>
        <v>0</v>
      </c>
      <c r="X164" s="40">
        <f t="shared" si="514"/>
        <v>0</v>
      </c>
      <c r="Y164" s="40">
        <f t="shared" si="514"/>
        <v>0</v>
      </c>
      <c r="Z164" s="40">
        <f t="shared" si="514"/>
        <v>0</v>
      </c>
      <c r="AA164" s="40">
        <f t="shared" si="514"/>
        <v>0</v>
      </c>
      <c r="AB164" s="40">
        <f t="shared" si="514"/>
        <v>0</v>
      </c>
      <c r="AC164" s="176">
        <f t="shared" si="514"/>
        <v>0</v>
      </c>
      <c r="AD164" s="225">
        <f t="shared" ref="AD164:AF165" si="515">AD44-AD107</f>
        <v>0</v>
      </c>
      <c r="AE164" s="40">
        <f t="shared" si="515"/>
        <v>0</v>
      </c>
      <c r="AF164" s="40">
        <f t="shared" si="515"/>
        <v>0</v>
      </c>
      <c r="AG164" s="40">
        <f t="shared" ref="AG164:AP165" si="516">AG44-AG107</f>
        <v>0</v>
      </c>
      <c r="AH164" s="40">
        <f t="shared" si="516"/>
        <v>0</v>
      </c>
      <c r="AI164" s="40">
        <f t="shared" si="516"/>
        <v>0</v>
      </c>
      <c r="AJ164" s="40">
        <f t="shared" si="516"/>
        <v>0</v>
      </c>
      <c r="AK164" s="40">
        <f t="shared" si="516"/>
        <v>0</v>
      </c>
      <c r="AL164" s="40">
        <f t="shared" si="516"/>
        <v>0</v>
      </c>
      <c r="AM164" s="40">
        <f t="shared" si="516"/>
        <v>0</v>
      </c>
      <c r="AN164" s="40">
        <f t="shared" si="516"/>
        <v>0</v>
      </c>
      <c r="AO164" s="40">
        <f t="shared" si="516"/>
        <v>0</v>
      </c>
      <c r="AP164" s="40">
        <f t="shared" si="516"/>
        <v>0</v>
      </c>
      <c r="AQ164" s="191">
        <f t="shared" ref="AQ164:AQ186" si="517">Q164-AD164</f>
        <v>0</v>
      </c>
      <c r="AR164" s="40"/>
      <c r="AS164" s="40">
        <f>AS44-AS107</f>
        <v>0</v>
      </c>
      <c r="AT164" s="40">
        <f>AT44-AT107</f>
        <v>0</v>
      </c>
      <c r="AU164" s="40">
        <f t="shared" ref="AU164:BD165" si="518">AU44-AU107</f>
        <v>0</v>
      </c>
      <c r="AV164" s="40">
        <f t="shared" si="518"/>
        <v>0</v>
      </c>
      <c r="AW164" s="40">
        <f t="shared" si="518"/>
        <v>0</v>
      </c>
      <c r="AX164" s="40">
        <f t="shared" si="518"/>
        <v>0</v>
      </c>
      <c r="AY164" s="40">
        <f t="shared" si="518"/>
        <v>0</v>
      </c>
      <c r="AZ164" s="40">
        <f t="shared" si="518"/>
        <v>0</v>
      </c>
      <c r="BA164" s="40">
        <f t="shared" si="518"/>
        <v>0</v>
      </c>
      <c r="BB164" s="40">
        <f t="shared" si="518"/>
        <v>0</v>
      </c>
      <c r="BC164" s="40">
        <f t="shared" si="518"/>
        <v>0</v>
      </c>
      <c r="BD164" s="40">
        <f t="shared" si="518"/>
        <v>0</v>
      </c>
      <c r="BE164" s="191">
        <f t="shared" si="376"/>
        <v>0</v>
      </c>
      <c r="BF164" s="40"/>
      <c r="BG164" s="40">
        <f>BG44-BG107</f>
        <v>0</v>
      </c>
      <c r="BH164" s="40">
        <f>BH44-BH107</f>
        <v>0</v>
      </c>
      <c r="BI164" s="40">
        <f t="shared" ref="BI164:BR164" si="519">BI44-BI107</f>
        <v>0</v>
      </c>
      <c r="BJ164" s="40">
        <f t="shared" si="519"/>
        <v>0</v>
      </c>
      <c r="BK164" s="40">
        <f t="shared" si="519"/>
        <v>0</v>
      </c>
      <c r="BL164" s="40">
        <f t="shared" si="519"/>
        <v>0</v>
      </c>
      <c r="BM164" s="40">
        <f t="shared" si="519"/>
        <v>0</v>
      </c>
      <c r="BN164" s="40">
        <f t="shared" si="519"/>
        <v>0</v>
      </c>
      <c r="BO164" s="40">
        <f t="shared" si="519"/>
        <v>0</v>
      </c>
      <c r="BP164" s="40">
        <f t="shared" si="519"/>
        <v>0</v>
      </c>
      <c r="BQ164" s="40">
        <f t="shared" si="519"/>
        <v>0</v>
      </c>
      <c r="BR164" s="40">
        <f t="shared" si="519"/>
        <v>0</v>
      </c>
    </row>
    <row r="165" spans="1:70" ht="12.75" hidden="1" customHeight="1" outlineLevel="3" x14ac:dyDescent="0.2">
      <c r="B165" s="38" t="str">
        <f t="shared" si="461"/>
        <v>Страховые взносы, сторно резерва квартальной премии</v>
      </c>
      <c r="C165" s="49" t="str">
        <f t="shared" si="461"/>
        <v>Social Security on Reverse Accruals for Quarterly bonus</v>
      </c>
      <c r="D165" s="168">
        <f t="shared" si="512"/>
        <v>0</v>
      </c>
      <c r="E165" s="40">
        <f t="shared" si="512"/>
        <v>0</v>
      </c>
      <c r="F165" s="40">
        <f t="shared" si="512"/>
        <v>0</v>
      </c>
      <c r="G165" s="40">
        <f t="shared" si="512"/>
        <v>0</v>
      </c>
      <c r="H165" s="40">
        <f t="shared" si="512"/>
        <v>0</v>
      </c>
      <c r="I165" s="40">
        <f t="shared" si="512"/>
        <v>0</v>
      </c>
      <c r="J165" s="40">
        <f t="shared" si="512"/>
        <v>0</v>
      </c>
      <c r="K165" s="40">
        <f t="shared" si="512"/>
        <v>0</v>
      </c>
      <c r="L165" s="40">
        <f t="shared" si="512"/>
        <v>0</v>
      </c>
      <c r="M165" s="40">
        <f t="shared" si="512"/>
        <v>0</v>
      </c>
      <c r="N165" s="40">
        <f t="shared" si="512"/>
        <v>0</v>
      </c>
      <c r="O165" s="40">
        <f t="shared" si="512"/>
        <v>0</v>
      </c>
      <c r="P165" s="176">
        <f t="shared" si="512"/>
        <v>0</v>
      </c>
      <c r="Q165" s="191">
        <f t="shared" si="513"/>
        <v>0</v>
      </c>
      <c r="R165" s="40">
        <f t="shared" si="513"/>
        <v>0</v>
      </c>
      <c r="S165" s="40">
        <f t="shared" si="513"/>
        <v>0</v>
      </c>
      <c r="T165" s="40">
        <f t="shared" si="514"/>
        <v>0</v>
      </c>
      <c r="U165" s="40">
        <f t="shared" si="514"/>
        <v>0</v>
      </c>
      <c r="V165" s="40">
        <f t="shared" si="514"/>
        <v>0</v>
      </c>
      <c r="W165" s="40">
        <f t="shared" si="514"/>
        <v>0</v>
      </c>
      <c r="X165" s="40">
        <f t="shared" si="514"/>
        <v>0</v>
      </c>
      <c r="Y165" s="40">
        <f t="shared" si="514"/>
        <v>0</v>
      </c>
      <c r="Z165" s="40">
        <f t="shared" si="514"/>
        <v>0</v>
      </c>
      <c r="AA165" s="40">
        <f t="shared" si="514"/>
        <v>0</v>
      </c>
      <c r="AB165" s="40">
        <f t="shared" si="514"/>
        <v>0</v>
      </c>
      <c r="AC165" s="176">
        <f t="shared" si="514"/>
        <v>0</v>
      </c>
      <c r="AD165" s="225">
        <f t="shared" si="515"/>
        <v>0</v>
      </c>
      <c r="AE165" s="40">
        <f t="shared" si="515"/>
        <v>0</v>
      </c>
      <c r="AF165" s="40">
        <f t="shared" si="515"/>
        <v>0</v>
      </c>
      <c r="AG165" s="40">
        <f t="shared" si="516"/>
        <v>0</v>
      </c>
      <c r="AH165" s="40">
        <f t="shared" si="516"/>
        <v>0</v>
      </c>
      <c r="AI165" s="40">
        <f t="shared" si="516"/>
        <v>0</v>
      </c>
      <c r="AJ165" s="40">
        <f t="shared" si="516"/>
        <v>0</v>
      </c>
      <c r="AK165" s="40">
        <f t="shared" si="516"/>
        <v>0</v>
      </c>
      <c r="AL165" s="40">
        <f t="shared" si="516"/>
        <v>0</v>
      </c>
      <c r="AM165" s="40">
        <f t="shared" si="516"/>
        <v>0</v>
      </c>
      <c r="AN165" s="40">
        <f t="shared" si="516"/>
        <v>0</v>
      </c>
      <c r="AO165" s="40">
        <f t="shared" si="516"/>
        <v>0</v>
      </c>
      <c r="AP165" s="40">
        <f t="shared" si="516"/>
        <v>0</v>
      </c>
      <c r="AQ165" s="191">
        <f t="shared" si="517"/>
        <v>0</v>
      </c>
      <c r="AR165" s="40"/>
      <c r="AS165" s="40">
        <f>AS45-AS108</f>
        <v>0</v>
      </c>
      <c r="AT165" s="40">
        <f>AT45-AT108</f>
        <v>0</v>
      </c>
      <c r="AU165" s="40">
        <f t="shared" si="518"/>
        <v>0</v>
      </c>
      <c r="AV165" s="40">
        <f t="shared" si="518"/>
        <v>0</v>
      </c>
      <c r="AW165" s="40">
        <f t="shared" si="518"/>
        <v>0</v>
      </c>
      <c r="AX165" s="40">
        <f t="shared" si="518"/>
        <v>0</v>
      </c>
      <c r="AY165" s="40">
        <f t="shared" si="518"/>
        <v>0</v>
      </c>
      <c r="AZ165" s="40">
        <f t="shared" si="518"/>
        <v>0</v>
      </c>
      <c r="BA165" s="40">
        <f t="shared" si="518"/>
        <v>0</v>
      </c>
      <c r="BB165" s="40">
        <f t="shared" si="518"/>
        <v>0</v>
      </c>
      <c r="BC165" s="40">
        <f t="shared" si="518"/>
        <v>0</v>
      </c>
      <c r="BD165" s="40">
        <f t="shared" si="518"/>
        <v>0</v>
      </c>
      <c r="BE165" s="191">
        <f t="shared" si="376"/>
        <v>0</v>
      </c>
      <c r="BF165" s="40"/>
      <c r="BG165" s="40">
        <f>BG45-BG108</f>
        <v>0</v>
      </c>
      <c r="BH165" s="40">
        <f>BH45-BH108</f>
        <v>0</v>
      </c>
      <c r="BI165" s="40">
        <f t="shared" ref="BI165:BR165" si="520">BI45-BI108</f>
        <v>0</v>
      </c>
      <c r="BJ165" s="40">
        <f t="shared" si="520"/>
        <v>0</v>
      </c>
      <c r="BK165" s="40">
        <f t="shared" si="520"/>
        <v>0</v>
      </c>
      <c r="BL165" s="40">
        <f t="shared" si="520"/>
        <v>0</v>
      </c>
      <c r="BM165" s="40">
        <f t="shared" si="520"/>
        <v>0</v>
      </c>
      <c r="BN165" s="40">
        <f t="shared" si="520"/>
        <v>0</v>
      </c>
      <c r="BO165" s="40">
        <f t="shared" si="520"/>
        <v>0</v>
      </c>
      <c r="BP165" s="40">
        <f t="shared" si="520"/>
        <v>0</v>
      </c>
      <c r="BQ165" s="40">
        <f t="shared" si="520"/>
        <v>0</v>
      </c>
      <c r="BR165" s="40">
        <f t="shared" si="520"/>
        <v>0</v>
      </c>
    </row>
    <row r="166" spans="1:70" s="6" customFormat="1" hidden="1" outlineLevel="2" x14ac:dyDescent="0.2">
      <c r="A166" s="30"/>
      <c r="B166" s="29" t="str">
        <f t="shared" si="461"/>
        <v>Итого сторно резерва квартальной премии</v>
      </c>
      <c r="C166" s="52" t="str">
        <f t="shared" si="461"/>
        <v>Total Reverse Accruals for Quarterly bonus</v>
      </c>
      <c r="D166" s="169">
        <f>SUM(D164:D165)</f>
        <v>0</v>
      </c>
      <c r="E166" s="26">
        <f>SUM(E164:E165)</f>
        <v>0</v>
      </c>
      <c r="F166" s="26">
        <f>SUM(F164:F165)</f>
        <v>0</v>
      </c>
      <c r="G166" s="26">
        <f t="shared" ref="G166:P166" si="521">SUM(G164:G165)</f>
        <v>0</v>
      </c>
      <c r="H166" s="26">
        <f t="shared" si="521"/>
        <v>0</v>
      </c>
      <c r="I166" s="26">
        <f t="shared" si="521"/>
        <v>0</v>
      </c>
      <c r="J166" s="26">
        <f t="shared" si="521"/>
        <v>0</v>
      </c>
      <c r="K166" s="26">
        <f t="shared" si="521"/>
        <v>0</v>
      </c>
      <c r="L166" s="26">
        <f t="shared" si="521"/>
        <v>0</v>
      </c>
      <c r="M166" s="26">
        <f t="shared" si="521"/>
        <v>0</v>
      </c>
      <c r="N166" s="26">
        <f t="shared" si="521"/>
        <v>0</v>
      </c>
      <c r="O166" s="26">
        <f t="shared" si="521"/>
        <v>0</v>
      </c>
      <c r="P166" s="177">
        <f t="shared" si="521"/>
        <v>0</v>
      </c>
      <c r="Q166" s="192">
        <f>SUM(Q164:Q165)</f>
        <v>0</v>
      </c>
      <c r="R166" s="26">
        <f>SUM(R164:R165)</f>
        <v>0</v>
      </c>
      <c r="S166" s="26">
        <f>SUM(S164:S165)</f>
        <v>0</v>
      </c>
      <c r="T166" s="26">
        <f t="shared" ref="T166:AC166" si="522">SUM(T164:T165)</f>
        <v>0</v>
      </c>
      <c r="U166" s="26">
        <f t="shared" si="522"/>
        <v>0</v>
      </c>
      <c r="V166" s="26">
        <f t="shared" si="522"/>
        <v>0</v>
      </c>
      <c r="W166" s="26">
        <f t="shared" si="522"/>
        <v>0</v>
      </c>
      <c r="X166" s="26">
        <f t="shared" si="522"/>
        <v>0</v>
      </c>
      <c r="Y166" s="26">
        <f t="shared" si="522"/>
        <v>0</v>
      </c>
      <c r="Z166" s="26">
        <f t="shared" si="522"/>
        <v>0</v>
      </c>
      <c r="AA166" s="26">
        <f t="shared" si="522"/>
        <v>0</v>
      </c>
      <c r="AB166" s="26">
        <f t="shared" si="522"/>
        <v>0</v>
      </c>
      <c r="AC166" s="177">
        <f t="shared" si="522"/>
        <v>0</v>
      </c>
      <c r="AD166" s="226">
        <f>SUM(AD164:AD165)</f>
        <v>0</v>
      </c>
      <c r="AE166" s="26">
        <f>SUM(AE164:AE165)</f>
        <v>0</v>
      </c>
      <c r="AF166" s="26">
        <f>SUM(AF164:AF165)</f>
        <v>0</v>
      </c>
      <c r="AG166" s="26">
        <f t="shared" ref="AG166:AP166" si="523">SUM(AG164:AG165)</f>
        <v>0</v>
      </c>
      <c r="AH166" s="26">
        <f t="shared" si="523"/>
        <v>0</v>
      </c>
      <c r="AI166" s="26">
        <f t="shared" si="523"/>
        <v>0</v>
      </c>
      <c r="AJ166" s="26">
        <f t="shared" si="523"/>
        <v>0</v>
      </c>
      <c r="AK166" s="26">
        <f t="shared" si="523"/>
        <v>0</v>
      </c>
      <c r="AL166" s="26">
        <f t="shared" si="523"/>
        <v>0</v>
      </c>
      <c r="AM166" s="26">
        <f t="shared" si="523"/>
        <v>0</v>
      </c>
      <c r="AN166" s="26">
        <f t="shared" si="523"/>
        <v>0</v>
      </c>
      <c r="AO166" s="26">
        <f t="shared" si="523"/>
        <v>0</v>
      </c>
      <c r="AP166" s="26">
        <f t="shared" si="523"/>
        <v>0</v>
      </c>
      <c r="AQ166" s="192">
        <f t="shared" si="517"/>
        <v>0</v>
      </c>
      <c r="AR166" s="26"/>
      <c r="AS166" s="26">
        <f>SUM(AS164:AS165)</f>
        <v>0</v>
      </c>
      <c r="AT166" s="26">
        <f>SUM(AT164:AT165)</f>
        <v>0</v>
      </c>
      <c r="AU166" s="26">
        <f t="shared" ref="AU166:BD166" si="524">SUM(AU164:AU165)</f>
        <v>0</v>
      </c>
      <c r="AV166" s="26">
        <f t="shared" si="524"/>
        <v>0</v>
      </c>
      <c r="AW166" s="26">
        <f t="shared" si="524"/>
        <v>0</v>
      </c>
      <c r="AX166" s="26">
        <f t="shared" si="524"/>
        <v>0</v>
      </c>
      <c r="AY166" s="26">
        <f t="shared" si="524"/>
        <v>0</v>
      </c>
      <c r="AZ166" s="26">
        <f t="shared" si="524"/>
        <v>0</v>
      </c>
      <c r="BA166" s="26">
        <f t="shared" si="524"/>
        <v>0</v>
      </c>
      <c r="BB166" s="26">
        <f t="shared" si="524"/>
        <v>0</v>
      </c>
      <c r="BC166" s="26">
        <f t="shared" si="524"/>
        <v>0</v>
      </c>
      <c r="BD166" s="26">
        <f t="shared" si="524"/>
        <v>0</v>
      </c>
      <c r="BE166" s="192">
        <f t="shared" si="376"/>
        <v>0</v>
      </c>
      <c r="BF166" s="26"/>
      <c r="BG166" s="26">
        <f>SUM(BG164:BG165)</f>
        <v>0</v>
      </c>
      <c r="BH166" s="26">
        <f>SUM(BH164:BH165)</f>
        <v>0</v>
      </c>
      <c r="BI166" s="26">
        <f t="shared" ref="BI166:BR166" si="525">SUM(BI164:BI165)</f>
        <v>0</v>
      </c>
      <c r="BJ166" s="26">
        <f t="shared" si="525"/>
        <v>0</v>
      </c>
      <c r="BK166" s="26">
        <f t="shared" si="525"/>
        <v>0</v>
      </c>
      <c r="BL166" s="26">
        <f t="shared" si="525"/>
        <v>0</v>
      </c>
      <c r="BM166" s="26">
        <f t="shared" si="525"/>
        <v>0</v>
      </c>
      <c r="BN166" s="26">
        <f t="shared" si="525"/>
        <v>0</v>
      </c>
      <c r="BO166" s="26">
        <f t="shared" si="525"/>
        <v>0</v>
      </c>
      <c r="BP166" s="26">
        <f t="shared" si="525"/>
        <v>0</v>
      </c>
      <c r="BQ166" s="26">
        <f t="shared" si="525"/>
        <v>0</v>
      </c>
      <c r="BR166" s="26">
        <f t="shared" si="525"/>
        <v>0</v>
      </c>
    </row>
    <row r="167" spans="1:70" ht="12.75" hidden="1" customHeight="1" outlineLevel="3" x14ac:dyDescent="0.2">
      <c r="B167" s="38" t="str">
        <f t="shared" si="461"/>
        <v>Квартальная премия, выплата</v>
      </c>
      <c r="C167" s="49" t="str">
        <f t="shared" si="461"/>
        <v>Quarterly bonus cash</v>
      </c>
      <c r="D167" s="168">
        <f t="shared" ref="D167:P168" si="526">D47-D110</f>
        <v>-3492638.0000000149</v>
      </c>
      <c r="E167" s="40">
        <f t="shared" si="526"/>
        <v>-10571699.000000002</v>
      </c>
      <c r="F167" s="40">
        <f t="shared" si="526"/>
        <v>643550.99999999814</v>
      </c>
      <c r="G167" s="40">
        <f t="shared" si="526"/>
        <v>643550.99999999814</v>
      </c>
      <c r="H167" s="40">
        <f t="shared" si="526"/>
        <v>643550.99999999814</v>
      </c>
      <c r="I167" s="40">
        <f t="shared" si="526"/>
        <v>643550.99999999814</v>
      </c>
      <c r="J167" s="40">
        <f t="shared" si="526"/>
        <v>643550.99999999814</v>
      </c>
      <c r="K167" s="40">
        <f t="shared" si="526"/>
        <v>643550.99999999814</v>
      </c>
      <c r="L167" s="40">
        <f t="shared" si="526"/>
        <v>643550.99999999814</v>
      </c>
      <c r="M167" s="40">
        <f t="shared" si="526"/>
        <v>643550.99999999814</v>
      </c>
      <c r="N167" s="40">
        <f t="shared" si="526"/>
        <v>643550.99999999814</v>
      </c>
      <c r="O167" s="40">
        <f t="shared" si="526"/>
        <v>643550.99999999814</v>
      </c>
      <c r="P167" s="176">
        <f t="shared" si="526"/>
        <v>643550.99999999814</v>
      </c>
      <c r="Q167" s="191">
        <f t="shared" ref="Q167:S168" si="527">Q47-Q110</f>
        <v>-3492638.0000000149</v>
      </c>
      <c r="R167" s="40">
        <f t="shared" si="527"/>
        <v>-10571699.000000002</v>
      </c>
      <c r="S167" s="40">
        <f t="shared" si="527"/>
        <v>643550.99999999814</v>
      </c>
      <c r="T167" s="40">
        <f t="shared" ref="T167:AC168" si="528">T47-T110</f>
        <v>643550.99999999814</v>
      </c>
      <c r="U167" s="40">
        <f t="shared" si="528"/>
        <v>643550.99999999814</v>
      </c>
      <c r="V167" s="40">
        <f t="shared" si="528"/>
        <v>643550.99999999814</v>
      </c>
      <c r="W167" s="40">
        <f t="shared" si="528"/>
        <v>643550.99999999814</v>
      </c>
      <c r="X167" s="40">
        <f t="shared" si="528"/>
        <v>643550.99999999814</v>
      </c>
      <c r="Y167" s="40">
        <f t="shared" si="528"/>
        <v>643550.99999999814</v>
      </c>
      <c r="Z167" s="40">
        <f t="shared" si="528"/>
        <v>643550.99999999814</v>
      </c>
      <c r="AA167" s="40">
        <f t="shared" si="528"/>
        <v>643550.99999999814</v>
      </c>
      <c r="AB167" s="40">
        <f t="shared" si="528"/>
        <v>643550.99999999814</v>
      </c>
      <c r="AC167" s="176">
        <f t="shared" si="528"/>
        <v>643550.99999999814</v>
      </c>
      <c r="AD167" s="225">
        <f t="shared" ref="AD167:AF168" si="529">AD47-AD110</f>
        <v>-3492638.0000000149</v>
      </c>
      <c r="AE167" s="40">
        <f t="shared" si="529"/>
        <v>-10571699.000000002</v>
      </c>
      <c r="AF167" s="40">
        <f t="shared" si="529"/>
        <v>643550.99999999814</v>
      </c>
      <c r="AG167" s="40">
        <f t="shared" ref="AG167:AP168" si="530">AG47-AG110</f>
        <v>643550.99999999814</v>
      </c>
      <c r="AH167" s="40">
        <f t="shared" si="530"/>
        <v>643550.99999999814</v>
      </c>
      <c r="AI167" s="40">
        <f t="shared" si="530"/>
        <v>643550.99999999814</v>
      </c>
      <c r="AJ167" s="40">
        <f t="shared" si="530"/>
        <v>643550.99999999814</v>
      </c>
      <c r="AK167" s="40">
        <f t="shared" si="530"/>
        <v>643550.99999999814</v>
      </c>
      <c r="AL167" s="40">
        <f t="shared" si="530"/>
        <v>643550.99999999814</v>
      </c>
      <c r="AM167" s="40">
        <f t="shared" si="530"/>
        <v>643550.99999999814</v>
      </c>
      <c r="AN167" s="40">
        <f t="shared" si="530"/>
        <v>643550.99999999814</v>
      </c>
      <c r="AO167" s="40">
        <f t="shared" si="530"/>
        <v>643550.99999999814</v>
      </c>
      <c r="AP167" s="40">
        <f t="shared" si="530"/>
        <v>643550.99999999814</v>
      </c>
      <c r="AQ167" s="191">
        <f t="shared" si="517"/>
        <v>0</v>
      </c>
      <c r="AR167" s="40"/>
      <c r="AS167" s="40">
        <f>AS47-AS110</f>
        <v>-10571699.000000002</v>
      </c>
      <c r="AT167" s="40">
        <f>AT47-AT110</f>
        <v>643550.99999999814</v>
      </c>
      <c r="AU167" s="40">
        <f t="shared" ref="AU167:BD168" si="531">AU47-AU110</f>
        <v>643550.99999999814</v>
      </c>
      <c r="AV167" s="40">
        <f t="shared" si="531"/>
        <v>643550.99999999814</v>
      </c>
      <c r="AW167" s="40">
        <f t="shared" si="531"/>
        <v>643550.99999999814</v>
      </c>
      <c r="AX167" s="40">
        <f t="shared" si="531"/>
        <v>643550.99999999814</v>
      </c>
      <c r="AY167" s="40">
        <f t="shared" si="531"/>
        <v>643550.99999999814</v>
      </c>
      <c r="AZ167" s="40">
        <f t="shared" si="531"/>
        <v>643550.99999999814</v>
      </c>
      <c r="BA167" s="40">
        <f t="shared" si="531"/>
        <v>643550.99999999814</v>
      </c>
      <c r="BB167" s="40">
        <f t="shared" si="531"/>
        <v>643550.99999999814</v>
      </c>
      <c r="BC167" s="40">
        <f t="shared" si="531"/>
        <v>643550.99999999814</v>
      </c>
      <c r="BD167" s="40">
        <f t="shared" si="531"/>
        <v>643550.99999999814</v>
      </c>
      <c r="BE167" s="191">
        <f t="shared" si="376"/>
        <v>-10571699.000000002</v>
      </c>
      <c r="BF167" s="40"/>
      <c r="BG167" s="40">
        <f>BG47-BG110</f>
        <v>-10571699.000000002</v>
      </c>
      <c r="BH167" s="40">
        <f>BH47-BH110</f>
        <v>643550.99999999814</v>
      </c>
      <c r="BI167" s="40">
        <f t="shared" ref="BI167:BR167" si="532">BI47-BI110</f>
        <v>643550.99999999814</v>
      </c>
      <c r="BJ167" s="40">
        <f t="shared" si="532"/>
        <v>643550.99999999814</v>
      </c>
      <c r="BK167" s="40">
        <f t="shared" si="532"/>
        <v>643550.99999999814</v>
      </c>
      <c r="BL167" s="40">
        <f t="shared" si="532"/>
        <v>643550.99999999814</v>
      </c>
      <c r="BM167" s="40">
        <f t="shared" si="532"/>
        <v>643550.99999999814</v>
      </c>
      <c r="BN167" s="40">
        <f t="shared" si="532"/>
        <v>643550.99999999814</v>
      </c>
      <c r="BO167" s="40">
        <f t="shared" si="532"/>
        <v>643550.99999999814</v>
      </c>
      <c r="BP167" s="40">
        <f t="shared" si="532"/>
        <v>643550.99999999814</v>
      </c>
      <c r="BQ167" s="40">
        <f t="shared" si="532"/>
        <v>643550.99999999814</v>
      </c>
      <c r="BR167" s="40">
        <f t="shared" si="532"/>
        <v>643550.99999999814</v>
      </c>
    </row>
    <row r="168" spans="1:70" ht="12.75" hidden="1" customHeight="1" outlineLevel="3" x14ac:dyDescent="0.2">
      <c r="B168" s="38" t="str">
        <f t="shared" si="461"/>
        <v>Страховые взносы, квартальная премия выплата</v>
      </c>
      <c r="C168" s="49" t="str">
        <f t="shared" si="461"/>
        <v>Social Security on quarterly cash</v>
      </c>
      <c r="D168" s="171">
        <f t="shared" si="526"/>
        <v>19599533.750000011</v>
      </c>
      <c r="E168" s="35">
        <f t="shared" si="526"/>
        <v>-268624.99999999907</v>
      </c>
      <c r="F168" s="35">
        <f t="shared" si="526"/>
        <v>1806196.2500000009</v>
      </c>
      <c r="G168" s="35">
        <f t="shared" si="526"/>
        <v>1806196.2500000009</v>
      </c>
      <c r="H168" s="35">
        <f t="shared" si="526"/>
        <v>1806196.2500000009</v>
      </c>
      <c r="I168" s="35">
        <f t="shared" si="526"/>
        <v>1806196.2500000009</v>
      </c>
      <c r="J168" s="35">
        <f t="shared" si="526"/>
        <v>1806196.2500000009</v>
      </c>
      <c r="K168" s="35">
        <f t="shared" si="526"/>
        <v>1806196.2500000009</v>
      </c>
      <c r="L168" s="35">
        <f t="shared" si="526"/>
        <v>1806196.2500000009</v>
      </c>
      <c r="M168" s="35">
        <f t="shared" si="526"/>
        <v>1806196.2500000009</v>
      </c>
      <c r="N168" s="35">
        <f t="shared" si="526"/>
        <v>1806196.2500000009</v>
      </c>
      <c r="O168" s="35">
        <f t="shared" si="526"/>
        <v>1806196.2500000009</v>
      </c>
      <c r="P168" s="179">
        <f t="shared" si="526"/>
        <v>1806196.2500000009</v>
      </c>
      <c r="Q168" s="194">
        <f t="shared" si="527"/>
        <v>19599533.750000011</v>
      </c>
      <c r="R168" s="35">
        <f t="shared" si="527"/>
        <v>-268624.99999999907</v>
      </c>
      <c r="S168" s="35">
        <f t="shared" si="527"/>
        <v>1806196.2500000009</v>
      </c>
      <c r="T168" s="35">
        <f t="shared" si="528"/>
        <v>1806196.2500000009</v>
      </c>
      <c r="U168" s="35">
        <f t="shared" si="528"/>
        <v>1806196.2500000009</v>
      </c>
      <c r="V168" s="35">
        <f t="shared" si="528"/>
        <v>1806196.2500000009</v>
      </c>
      <c r="W168" s="35">
        <f t="shared" si="528"/>
        <v>1806196.2500000009</v>
      </c>
      <c r="X168" s="35">
        <f t="shared" si="528"/>
        <v>1806196.2500000009</v>
      </c>
      <c r="Y168" s="35">
        <f t="shared" si="528"/>
        <v>1806196.2500000009</v>
      </c>
      <c r="Z168" s="35">
        <f t="shared" si="528"/>
        <v>1806196.2500000009</v>
      </c>
      <c r="AA168" s="35">
        <f t="shared" si="528"/>
        <v>1806196.2500000009</v>
      </c>
      <c r="AB168" s="35">
        <f t="shared" si="528"/>
        <v>1806196.2500000009</v>
      </c>
      <c r="AC168" s="179">
        <f t="shared" si="528"/>
        <v>1806196.2500000009</v>
      </c>
      <c r="AD168" s="225">
        <f t="shared" si="529"/>
        <v>19599533.750000011</v>
      </c>
      <c r="AE168" s="35">
        <f t="shared" si="529"/>
        <v>-268624.99999999907</v>
      </c>
      <c r="AF168" s="35">
        <f t="shared" si="529"/>
        <v>1806196.2500000009</v>
      </c>
      <c r="AG168" s="35">
        <f t="shared" si="530"/>
        <v>1806196.2500000009</v>
      </c>
      <c r="AH168" s="35">
        <f t="shared" si="530"/>
        <v>1806196.2500000009</v>
      </c>
      <c r="AI168" s="35">
        <f t="shared" si="530"/>
        <v>1806196.2500000009</v>
      </c>
      <c r="AJ168" s="35">
        <f t="shared" si="530"/>
        <v>1806196.2500000009</v>
      </c>
      <c r="AK168" s="35">
        <f t="shared" si="530"/>
        <v>1806196.2500000009</v>
      </c>
      <c r="AL168" s="35">
        <f t="shared" si="530"/>
        <v>1806196.2500000009</v>
      </c>
      <c r="AM168" s="35">
        <f t="shared" si="530"/>
        <v>1806196.2500000009</v>
      </c>
      <c r="AN168" s="35">
        <f t="shared" si="530"/>
        <v>1806196.2500000009</v>
      </c>
      <c r="AO168" s="35">
        <f t="shared" si="530"/>
        <v>1806196.2500000009</v>
      </c>
      <c r="AP168" s="35">
        <f t="shared" si="530"/>
        <v>1806196.2500000009</v>
      </c>
      <c r="AQ168" s="194">
        <f t="shared" si="517"/>
        <v>0</v>
      </c>
      <c r="AR168" s="35"/>
      <c r="AS168" s="35">
        <f>AS48-AS111</f>
        <v>-268624.99999999907</v>
      </c>
      <c r="AT168" s="35">
        <f>AT48-AT111</f>
        <v>1806196.2500000009</v>
      </c>
      <c r="AU168" s="35">
        <f t="shared" si="531"/>
        <v>1806196.2500000009</v>
      </c>
      <c r="AV168" s="35">
        <f t="shared" si="531"/>
        <v>1806196.2500000009</v>
      </c>
      <c r="AW168" s="35">
        <f t="shared" si="531"/>
        <v>1806196.2500000009</v>
      </c>
      <c r="AX168" s="35">
        <f t="shared" si="531"/>
        <v>1806196.2500000009</v>
      </c>
      <c r="AY168" s="35">
        <f t="shared" si="531"/>
        <v>1806196.2500000009</v>
      </c>
      <c r="AZ168" s="35">
        <f t="shared" si="531"/>
        <v>1806196.2500000009</v>
      </c>
      <c r="BA168" s="35">
        <f t="shared" si="531"/>
        <v>1806196.2500000009</v>
      </c>
      <c r="BB168" s="35">
        <f t="shared" si="531"/>
        <v>1806196.2500000009</v>
      </c>
      <c r="BC168" s="35">
        <f t="shared" si="531"/>
        <v>1806196.2500000009</v>
      </c>
      <c r="BD168" s="35">
        <f t="shared" si="531"/>
        <v>1806196.2500000009</v>
      </c>
      <c r="BE168" s="194">
        <f t="shared" si="376"/>
        <v>-268624.99999999907</v>
      </c>
      <c r="BF168" s="35"/>
      <c r="BG168" s="35">
        <f>BG48-BG111</f>
        <v>-268624.99999999907</v>
      </c>
      <c r="BH168" s="35">
        <f>BH48-BH111</f>
        <v>1806196.2500000009</v>
      </c>
      <c r="BI168" s="35">
        <f t="shared" ref="BI168:BR168" si="533">BI48-BI111</f>
        <v>1806196.2500000009</v>
      </c>
      <c r="BJ168" s="35">
        <f t="shared" si="533"/>
        <v>1806196.2500000009</v>
      </c>
      <c r="BK168" s="35">
        <f t="shared" si="533"/>
        <v>1806196.2500000009</v>
      </c>
      <c r="BL168" s="35">
        <f t="shared" si="533"/>
        <v>1806196.2500000009</v>
      </c>
      <c r="BM168" s="35">
        <f t="shared" si="533"/>
        <v>1806196.2500000009</v>
      </c>
      <c r="BN168" s="35">
        <f t="shared" si="533"/>
        <v>1806196.2500000009</v>
      </c>
      <c r="BO168" s="35">
        <f t="shared" si="533"/>
        <v>1806196.2500000009</v>
      </c>
      <c r="BP168" s="35">
        <f t="shared" si="533"/>
        <v>1806196.2500000009</v>
      </c>
      <c r="BQ168" s="35">
        <f t="shared" si="533"/>
        <v>1806196.2500000009</v>
      </c>
      <c r="BR168" s="35">
        <f t="shared" si="533"/>
        <v>1806196.2500000009</v>
      </c>
    </row>
    <row r="169" spans="1:70" s="6" customFormat="1" hidden="1" outlineLevel="2" x14ac:dyDescent="0.2">
      <c r="A169" s="30"/>
      <c r="B169" s="29" t="str">
        <f t="shared" si="461"/>
        <v>Итого квртальная премия, выплата</v>
      </c>
      <c r="C169" s="52" t="str">
        <f t="shared" si="461"/>
        <v>Total Quarterly bonus cash</v>
      </c>
      <c r="D169" s="169">
        <f>SUM(D167:D168)</f>
        <v>16106895.749999996</v>
      </c>
      <c r="E169" s="26">
        <f>SUM(E167:E168)</f>
        <v>-10840324</v>
      </c>
      <c r="F169" s="26">
        <f>SUM(F167:F168)</f>
        <v>2449747.2499999991</v>
      </c>
      <c r="G169" s="26">
        <f t="shared" ref="G169:P169" si="534">SUM(G167:G168)</f>
        <v>2449747.2499999991</v>
      </c>
      <c r="H169" s="26">
        <f t="shared" si="534"/>
        <v>2449747.2499999991</v>
      </c>
      <c r="I169" s="26">
        <f t="shared" si="534"/>
        <v>2449747.2499999991</v>
      </c>
      <c r="J169" s="26">
        <f t="shared" si="534"/>
        <v>2449747.2499999991</v>
      </c>
      <c r="K169" s="26">
        <f t="shared" si="534"/>
        <v>2449747.2499999991</v>
      </c>
      <c r="L169" s="26">
        <f t="shared" si="534"/>
        <v>2449747.2499999991</v>
      </c>
      <c r="M169" s="26">
        <f t="shared" si="534"/>
        <v>2449747.2499999991</v>
      </c>
      <c r="N169" s="26">
        <f t="shared" si="534"/>
        <v>2449747.2499999991</v>
      </c>
      <c r="O169" s="26">
        <f t="shared" si="534"/>
        <v>2449747.2499999991</v>
      </c>
      <c r="P169" s="177">
        <f t="shared" si="534"/>
        <v>2449747.2499999991</v>
      </c>
      <c r="Q169" s="192">
        <f>SUM(Q167:Q168)</f>
        <v>16106895.749999996</v>
      </c>
      <c r="R169" s="26">
        <f>SUM(R167:R168)</f>
        <v>-10840324</v>
      </c>
      <c r="S169" s="26">
        <f>SUM(S167:S168)</f>
        <v>2449747.2499999991</v>
      </c>
      <c r="T169" s="26">
        <f t="shared" ref="T169:AC169" si="535">SUM(T167:T168)</f>
        <v>2449747.2499999991</v>
      </c>
      <c r="U169" s="26">
        <f t="shared" si="535"/>
        <v>2449747.2499999991</v>
      </c>
      <c r="V169" s="26">
        <f t="shared" si="535"/>
        <v>2449747.2499999991</v>
      </c>
      <c r="W169" s="26">
        <f t="shared" si="535"/>
        <v>2449747.2499999991</v>
      </c>
      <c r="X169" s="26">
        <f t="shared" si="535"/>
        <v>2449747.2499999991</v>
      </c>
      <c r="Y169" s="26">
        <f t="shared" si="535"/>
        <v>2449747.2499999991</v>
      </c>
      <c r="Z169" s="26">
        <f t="shared" si="535"/>
        <v>2449747.2499999991</v>
      </c>
      <c r="AA169" s="26">
        <f t="shared" si="535"/>
        <v>2449747.2499999991</v>
      </c>
      <c r="AB169" s="26">
        <f t="shared" si="535"/>
        <v>2449747.2499999991</v>
      </c>
      <c r="AC169" s="177">
        <f t="shared" si="535"/>
        <v>2449747.2499999991</v>
      </c>
      <c r="AD169" s="226">
        <f>SUM(AD167:AD168)</f>
        <v>16106895.749999996</v>
      </c>
      <c r="AE169" s="26">
        <f>SUM(AE167:AE168)</f>
        <v>-10840324</v>
      </c>
      <c r="AF169" s="26">
        <f>SUM(AF167:AF168)</f>
        <v>2449747.2499999991</v>
      </c>
      <c r="AG169" s="26">
        <f t="shared" ref="AG169:AP169" si="536">SUM(AG167:AG168)</f>
        <v>2449747.2499999991</v>
      </c>
      <c r="AH169" s="26">
        <f t="shared" si="536"/>
        <v>2449747.2499999991</v>
      </c>
      <c r="AI169" s="26">
        <f t="shared" si="536"/>
        <v>2449747.2499999991</v>
      </c>
      <c r="AJ169" s="26">
        <f t="shared" si="536"/>
        <v>2449747.2499999991</v>
      </c>
      <c r="AK169" s="26">
        <f t="shared" si="536"/>
        <v>2449747.2499999991</v>
      </c>
      <c r="AL169" s="26">
        <f t="shared" si="536"/>
        <v>2449747.2499999991</v>
      </c>
      <c r="AM169" s="26">
        <f t="shared" si="536"/>
        <v>2449747.2499999991</v>
      </c>
      <c r="AN169" s="26">
        <f t="shared" si="536"/>
        <v>2449747.2499999991</v>
      </c>
      <c r="AO169" s="26">
        <f t="shared" si="536"/>
        <v>2449747.2499999991</v>
      </c>
      <c r="AP169" s="26">
        <f t="shared" si="536"/>
        <v>2449747.2499999991</v>
      </c>
      <c r="AQ169" s="192">
        <f t="shared" si="517"/>
        <v>0</v>
      </c>
      <c r="AR169" s="26"/>
      <c r="AS169" s="26">
        <f>SUM(AS167:AS168)</f>
        <v>-10840324</v>
      </c>
      <c r="AT169" s="26">
        <f>SUM(AT167:AT168)</f>
        <v>2449747.2499999991</v>
      </c>
      <c r="AU169" s="26">
        <f t="shared" ref="AU169:BD169" si="537">SUM(AU167:AU168)</f>
        <v>2449747.2499999991</v>
      </c>
      <c r="AV169" s="26">
        <f t="shared" si="537"/>
        <v>2449747.2499999991</v>
      </c>
      <c r="AW169" s="26">
        <f t="shared" si="537"/>
        <v>2449747.2499999991</v>
      </c>
      <c r="AX169" s="26">
        <f t="shared" si="537"/>
        <v>2449747.2499999991</v>
      </c>
      <c r="AY169" s="26">
        <f t="shared" si="537"/>
        <v>2449747.2499999991</v>
      </c>
      <c r="AZ169" s="26">
        <f t="shared" si="537"/>
        <v>2449747.2499999991</v>
      </c>
      <c r="BA169" s="26">
        <f t="shared" si="537"/>
        <v>2449747.2499999991</v>
      </c>
      <c r="BB169" s="26">
        <f t="shared" si="537"/>
        <v>2449747.2499999991</v>
      </c>
      <c r="BC169" s="26">
        <f t="shared" si="537"/>
        <v>2449747.2499999991</v>
      </c>
      <c r="BD169" s="26">
        <f t="shared" si="537"/>
        <v>2449747.2499999991</v>
      </c>
      <c r="BE169" s="192">
        <f t="shared" si="376"/>
        <v>-10840324</v>
      </c>
      <c r="BF169" s="26"/>
      <c r="BG169" s="26">
        <f>SUM(BG167:BG168)</f>
        <v>-10840324</v>
      </c>
      <c r="BH169" s="26">
        <f>SUM(BH167:BH168)</f>
        <v>2449747.2499999991</v>
      </c>
      <c r="BI169" s="26">
        <f t="shared" ref="BI169:BR169" si="538">SUM(BI167:BI168)</f>
        <v>2449747.2499999991</v>
      </c>
      <c r="BJ169" s="26">
        <f t="shared" si="538"/>
        <v>2449747.2499999991</v>
      </c>
      <c r="BK169" s="26">
        <f t="shared" si="538"/>
        <v>2449747.2499999991</v>
      </c>
      <c r="BL169" s="26">
        <f t="shared" si="538"/>
        <v>2449747.2499999991</v>
      </c>
      <c r="BM169" s="26">
        <f t="shared" si="538"/>
        <v>2449747.2499999991</v>
      </c>
      <c r="BN169" s="26">
        <f t="shared" si="538"/>
        <v>2449747.2499999991</v>
      </c>
      <c r="BO169" s="26">
        <f t="shared" si="538"/>
        <v>2449747.2499999991</v>
      </c>
      <c r="BP169" s="26">
        <f t="shared" si="538"/>
        <v>2449747.2499999991</v>
      </c>
      <c r="BQ169" s="26">
        <f t="shared" si="538"/>
        <v>2449747.2499999991</v>
      </c>
      <c r="BR169" s="26">
        <f t="shared" si="538"/>
        <v>2449747.2499999991</v>
      </c>
    </row>
    <row r="170" spans="1:70" s="6" customFormat="1" outlineLevel="1" collapsed="1" x14ac:dyDescent="0.2">
      <c r="A170" s="30"/>
      <c r="B170" s="48" t="str">
        <f t="shared" si="461"/>
        <v>Квартальная премия</v>
      </c>
      <c r="C170" s="163" t="str">
        <f t="shared" si="461"/>
        <v>Quarterly bonus</v>
      </c>
      <c r="D170" s="170">
        <f>D169+D166+D163</f>
        <v>29396966.999999996</v>
      </c>
      <c r="E170" s="45">
        <f>E169+E166+E163</f>
        <v>2449747.25</v>
      </c>
      <c r="F170" s="45">
        <f>F169+F166+F163</f>
        <v>2449747.2499999991</v>
      </c>
      <c r="G170" s="45">
        <f t="shared" ref="G170:P170" si="539">G169+G166+G163</f>
        <v>2449747.2499999991</v>
      </c>
      <c r="H170" s="45">
        <f t="shared" si="539"/>
        <v>2449747.2499999991</v>
      </c>
      <c r="I170" s="45">
        <f t="shared" si="539"/>
        <v>2449747.2499999991</v>
      </c>
      <c r="J170" s="45">
        <f t="shared" si="539"/>
        <v>2449747.2499999991</v>
      </c>
      <c r="K170" s="45">
        <f t="shared" si="539"/>
        <v>2449747.2499999991</v>
      </c>
      <c r="L170" s="45">
        <f t="shared" si="539"/>
        <v>2449747.2499999991</v>
      </c>
      <c r="M170" s="45">
        <f t="shared" si="539"/>
        <v>2449747.2499999991</v>
      </c>
      <c r="N170" s="45">
        <f t="shared" si="539"/>
        <v>2449747.2499999991</v>
      </c>
      <c r="O170" s="45">
        <f t="shared" si="539"/>
        <v>2449747.2499999991</v>
      </c>
      <c r="P170" s="178">
        <f t="shared" si="539"/>
        <v>2449747.2499999991</v>
      </c>
      <c r="Q170" s="193">
        <f>Q169+Q166+Q163</f>
        <v>29396966.999999996</v>
      </c>
      <c r="R170" s="45">
        <f>R169+R166+R163</f>
        <v>2449747.25</v>
      </c>
      <c r="S170" s="45">
        <f>S169+S166+S163</f>
        <v>2449747.2499999991</v>
      </c>
      <c r="T170" s="45">
        <f t="shared" ref="T170:AC170" si="540">T169+T166+T163</f>
        <v>2449747.2499999991</v>
      </c>
      <c r="U170" s="45">
        <f t="shared" si="540"/>
        <v>2449747.2499999991</v>
      </c>
      <c r="V170" s="45">
        <f t="shared" si="540"/>
        <v>2449747.2499999991</v>
      </c>
      <c r="W170" s="45">
        <f t="shared" si="540"/>
        <v>2449747.2499999991</v>
      </c>
      <c r="X170" s="45">
        <f t="shared" si="540"/>
        <v>2449747.2499999991</v>
      </c>
      <c r="Y170" s="45">
        <f t="shared" si="540"/>
        <v>2449747.2499999991</v>
      </c>
      <c r="Z170" s="45">
        <f t="shared" si="540"/>
        <v>2449747.2499999991</v>
      </c>
      <c r="AA170" s="45">
        <f t="shared" si="540"/>
        <v>2449747.2499999991</v>
      </c>
      <c r="AB170" s="45">
        <f t="shared" si="540"/>
        <v>2449747.2499999991</v>
      </c>
      <c r="AC170" s="178">
        <f t="shared" si="540"/>
        <v>2449747.2499999991</v>
      </c>
      <c r="AD170" s="227">
        <f>AD169+AD166+AD163</f>
        <v>29396966.999999996</v>
      </c>
      <c r="AE170" s="45">
        <f>AE169+AE166+AE163</f>
        <v>2449747.25</v>
      </c>
      <c r="AF170" s="45">
        <f>AF169+AF166+AF163</f>
        <v>2449747.2499999991</v>
      </c>
      <c r="AG170" s="45">
        <f t="shared" ref="AG170:AP170" si="541">AG169+AG166+AG163</f>
        <v>2449747.2499999991</v>
      </c>
      <c r="AH170" s="45">
        <f t="shared" si="541"/>
        <v>2449747.2499999991</v>
      </c>
      <c r="AI170" s="45">
        <f t="shared" si="541"/>
        <v>2449747.2499999991</v>
      </c>
      <c r="AJ170" s="45">
        <f t="shared" si="541"/>
        <v>2449747.2499999991</v>
      </c>
      <c r="AK170" s="45">
        <f t="shared" si="541"/>
        <v>2449747.2499999991</v>
      </c>
      <c r="AL170" s="45">
        <f t="shared" si="541"/>
        <v>2449747.2499999991</v>
      </c>
      <c r="AM170" s="45">
        <f t="shared" si="541"/>
        <v>2449747.2499999991</v>
      </c>
      <c r="AN170" s="45">
        <f t="shared" si="541"/>
        <v>2449747.2499999991</v>
      </c>
      <c r="AO170" s="45">
        <f t="shared" si="541"/>
        <v>2449747.2499999991</v>
      </c>
      <c r="AP170" s="45">
        <f t="shared" si="541"/>
        <v>2449747.2499999991</v>
      </c>
      <c r="AQ170" s="193">
        <f t="shared" si="517"/>
        <v>0</v>
      </c>
      <c r="AR170" s="45"/>
      <c r="AS170" s="45">
        <f>AS169+AS166+AS163</f>
        <v>2449747.25</v>
      </c>
      <c r="AT170" s="45">
        <f>AT169+AT166+AT163</f>
        <v>2449747.2499999991</v>
      </c>
      <c r="AU170" s="45">
        <f t="shared" ref="AU170:BD170" si="542">AU169+AU166+AU163</f>
        <v>2449747.2499999991</v>
      </c>
      <c r="AV170" s="45">
        <f t="shared" si="542"/>
        <v>2449747.2499999991</v>
      </c>
      <c r="AW170" s="45">
        <f t="shared" si="542"/>
        <v>2449747.2499999991</v>
      </c>
      <c r="AX170" s="45">
        <f t="shared" si="542"/>
        <v>2449747.2499999991</v>
      </c>
      <c r="AY170" s="45">
        <f t="shared" si="542"/>
        <v>2449747.2499999991</v>
      </c>
      <c r="AZ170" s="45">
        <f t="shared" si="542"/>
        <v>2449747.2499999991</v>
      </c>
      <c r="BA170" s="45">
        <f t="shared" si="542"/>
        <v>2449747.2499999991</v>
      </c>
      <c r="BB170" s="45">
        <f t="shared" si="542"/>
        <v>2449747.2499999991</v>
      </c>
      <c r="BC170" s="45">
        <f t="shared" si="542"/>
        <v>2449747.2499999991</v>
      </c>
      <c r="BD170" s="45">
        <f t="shared" si="542"/>
        <v>2449747.2499999991</v>
      </c>
      <c r="BE170" s="193">
        <f t="shared" si="376"/>
        <v>2449747.25</v>
      </c>
      <c r="BF170" s="45"/>
      <c r="BG170" s="45">
        <f>BG169+BG166+BG163</f>
        <v>2449747.25</v>
      </c>
      <c r="BH170" s="45">
        <f>BH169+BH166+BH163</f>
        <v>2449747.2499999991</v>
      </c>
      <c r="BI170" s="45">
        <f t="shared" ref="BI170:BR170" si="543">BI169+BI166+BI163</f>
        <v>2449747.2499999991</v>
      </c>
      <c r="BJ170" s="45">
        <f t="shared" si="543"/>
        <v>2449747.2499999991</v>
      </c>
      <c r="BK170" s="45">
        <f t="shared" si="543"/>
        <v>2449747.2499999991</v>
      </c>
      <c r="BL170" s="45">
        <f t="shared" si="543"/>
        <v>2449747.2499999991</v>
      </c>
      <c r="BM170" s="45">
        <f t="shared" si="543"/>
        <v>2449747.2499999991</v>
      </c>
      <c r="BN170" s="45">
        <f t="shared" si="543"/>
        <v>2449747.2499999991</v>
      </c>
      <c r="BO170" s="45">
        <f t="shared" si="543"/>
        <v>2449747.2499999991</v>
      </c>
      <c r="BP170" s="45">
        <f t="shared" si="543"/>
        <v>2449747.2499999991</v>
      </c>
      <c r="BQ170" s="45">
        <f t="shared" si="543"/>
        <v>2449747.2499999991</v>
      </c>
      <c r="BR170" s="45">
        <f t="shared" si="543"/>
        <v>2449747.2499999991</v>
      </c>
    </row>
    <row r="171" spans="1:70" s="6" customFormat="1" x14ac:dyDescent="0.2">
      <c r="B171" s="21" t="str">
        <f t="shared" si="461"/>
        <v>ФОТ до бонуса</v>
      </c>
      <c r="C171" s="164" t="str">
        <f t="shared" si="461"/>
        <v>FIX compensation before Bonus</v>
      </c>
      <c r="D171" s="172">
        <f>D170+D160+D147+D144</f>
        <v>-125992152.14384145</v>
      </c>
      <c r="E171" s="18">
        <f>E170+E160+E147+E144</f>
        <v>2087093.6900000018</v>
      </c>
      <c r="F171" s="18">
        <f>F170+F160+F147+F144</f>
        <v>-11643567.803076476</v>
      </c>
      <c r="G171" s="18">
        <f t="shared" ref="G171:P171" si="544">G170+G160+G147+G144</f>
        <v>-11643567.803076476</v>
      </c>
      <c r="H171" s="18">
        <f t="shared" si="544"/>
        <v>-11643567.803076476</v>
      </c>
      <c r="I171" s="18">
        <f t="shared" si="544"/>
        <v>-11643567.803076476</v>
      </c>
      <c r="J171" s="18">
        <f t="shared" si="544"/>
        <v>-11643567.803076476</v>
      </c>
      <c r="K171" s="18">
        <f t="shared" si="544"/>
        <v>-11643567.803076476</v>
      </c>
      <c r="L171" s="18">
        <f t="shared" si="544"/>
        <v>-11643567.803076476</v>
      </c>
      <c r="M171" s="18">
        <f t="shared" si="544"/>
        <v>-11643567.803076476</v>
      </c>
      <c r="N171" s="18">
        <f t="shared" si="544"/>
        <v>-11643567.803076476</v>
      </c>
      <c r="O171" s="18">
        <f t="shared" si="544"/>
        <v>-11643567.803076476</v>
      </c>
      <c r="P171" s="180">
        <f t="shared" si="544"/>
        <v>-11643567.803076476</v>
      </c>
      <c r="Q171" s="195">
        <f>Q170+Q160+Q147+Q144</f>
        <v>-125992152.14384145</v>
      </c>
      <c r="R171" s="18">
        <f>R170+R160+R147+R144</f>
        <v>2087093.6900000018</v>
      </c>
      <c r="S171" s="18">
        <f>S170+S160+S147+S144</f>
        <v>-11643567.803076476</v>
      </c>
      <c r="T171" s="18">
        <f t="shared" ref="T171:AC171" si="545">T170+T160+T147+T144</f>
        <v>-11643567.803076476</v>
      </c>
      <c r="U171" s="18">
        <f t="shared" si="545"/>
        <v>-11643567.803076476</v>
      </c>
      <c r="V171" s="18">
        <f t="shared" si="545"/>
        <v>-11643567.803076476</v>
      </c>
      <c r="W171" s="18">
        <f t="shared" si="545"/>
        <v>-11643567.803076476</v>
      </c>
      <c r="X171" s="18">
        <f t="shared" si="545"/>
        <v>-11643567.803076476</v>
      </c>
      <c r="Y171" s="18">
        <f t="shared" si="545"/>
        <v>-11643567.803076476</v>
      </c>
      <c r="Z171" s="18">
        <f t="shared" si="545"/>
        <v>-11643567.803076476</v>
      </c>
      <c r="AA171" s="18">
        <f t="shared" si="545"/>
        <v>-11643567.803076476</v>
      </c>
      <c r="AB171" s="18">
        <f t="shared" si="545"/>
        <v>-11643567.803076476</v>
      </c>
      <c r="AC171" s="180">
        <f t="shared" si="545"/>
        <v>-11643567.803076476</v>
      </c>
      <c r="AD171" s="228">
        <f>AD170+AD160+AD147+AD144</f>
        <v>-125992152.14384145</v>
      </c>
      <c r="AE171" s="18">
        <f>AE170+AE160+AE147+AE144</f>
        <v>2087093.6900000018</v>
      </c>
      <c r="AF171" s="18">
        <f>AF170+AF160+AF147+AF144</f>
        <v>-11643567.803076476</v>
      </c>
      <c r="AG171" s="18">
        <f t="shared" ref="AG171:AP171" si="546">AG170+AG160+AG147+AG144</f>
        <v>-11643567.803076476</v>
      </c>
      <c r="AH171" s="18">
        <f t="shared" si="546"/>
        <v>-11643567.803076476</v>
      </c>
      <c r="AI171" s="18">
        <f t="shared" si="546"/>
        <v>-11643567.803076476</v>
      </c>
      <c r="AJ171" s="18">
        <f t="shared" si="546"/>
        <v>-11643567.803076476</v>
      </c>
      <c r="AK171" s="18">
        <f t="shared" si="546"/>
        <v>-11643567.803076476</v>
      </c>
      <c r="AL171" s="18">
        <f t="shared" si="546"/>
        <v>-11643567.803076476</v>
      </c>
      <c r="AM171" s="18">
        <f t="shared" si="546"/>
        <v>-11643567.803076476</v>
      </c>
      <c r="AN171" s="18">
        <f t="shared" si="546"/>
        <v>-11643567.803076476</v>
      </c>
      <c r="AO171" s="18">
        <f t="shared" si="546"/>
        <v>-11643567.803076476</v>
      </c>
      <c r="AP171" s="18">
        <f t="shared" si="546"/>
        <v>-11643567.803076476</v>
      </c>
      <c r="AQ171" s="195">
        <f t="shared" si="517"/>
        <v>0</v>
      </c>
      <c r="AR171" s="18"/>
      <c r="AS171" s="18">
        <f>AS170+AS160+AS147+AS144</f>
        <v>2087093.6900000018</v>
      </c>
      <c r="AT171" s="18">
        <f>AT170+AT160+AT147+AT144</f>
        <v>-11643567.803076476</v>
      </c>
      <c r="AU171" s="18">
        <f t="shared" ref="AU171:BD171" si="547">AU170+AU160+AU147+AU144</f>
        <v>-11643567.803076476</v>
      </c>
      <c r="AV171" s="18">
        <f t="shared" si="547"/>
        <v>-11643567.803076476</v>
      </c>
      <c r="AW171" s="18">
        <f t="shared" si="547"/>
        <v>-11643567.803076476</v>
      </c>
      <c r="AX171" s="18">
        <f t="shared" si="547"/>
        <v>-11643567.803076476</v>
      </c>
      <c r="AY171" s="18">
        <f t="shared" si="547"/>
        <v>-11643567.803076476</v>
      </c>
      <c r="AZ171" s="18">
        <f t="shared" si="547"/>
        <v>-11643567.803076476</v>
      </c>
      <c r="BA171" s="18">
        <f t="shared" si="547"/>
        <v>-11643567.803076476</v>
      </c>
      <c r="BB171" s="18">
        <f t="shared" si="547"/>
        <v>-11643567.803076476</v>
      </c>
      <c r="BC171" s="18">
        <f t="shared" si="547"/>
        <v>-11643567.803076476</v>
      </c>
      <c r="BD171" s="18">
        <f t="shared" si="547"/>
        <v>-11643567.803076476</v>
      </c>
      <c r="BE171" s="195">
        <f t="shared" si="376"/>
        <v>2087093.6900000018</v>
      </c>
      <c r="BF171" s="18"/>
      <c r="BG171" s="18">
        <f>BG170+BG160+BG147+BG144</f>
        <v>2087093.6900000018</v>
      </c>
      <c r="BH171" s="18">
        <f>BH170+BH160+BH147+BH144</f>
        <v>-11643567.803076476</v>
      </c>
      <c r="BI171" s="18">
        <f t="shared" ref="BI171:BR171" si="548">BI170+BI160+BI147+BI144</f>
        <v>-11643567.803076476</v>
      </c>
      <c r="BJ171" s="18">
        <f t="shared" si="548"/>
        <v>-11643567.803076476</v>
      </c>
      <c r="BK171" s="18">
        <f t="shared" si="548"/>
        <v>-11643567.803076476</v>
      </c>
      <c r="BL171" s="18">
        <f t="shared" si="548"/>
        <v>-11643567.803076476</v>
      </c>
      <c r="BM171" s="18">
        <f t="shared" si="548"/>
        <v>-11643567.803076476</v>
      </c>
      <c r="BN171" s="18">
        <f t="shared" si="548"/>
        <v>-11643567.803076476</v>
      </c>
      <c r="BO171" s="18">
        <f t="shared" si="548"/>
        <v>-11643567.803076476</v>
      </c>
      <c r="BP171" s="18">
        <f t="shared" si="548"/>
        <v>-11643567.803076476</v>
      </c>
      <c r="BQ171" s="18">
        <f t="shared" si="548"/>
        <v>-11643567.803076476</v>
      </c>
      <c r="BR171" s="18">
        <f t="shared" si="548"/>
        <v>-11643567.803076476</v>
      </c>
    </row>
    <row r="172" spans="1:70" ht="12.75" hidden="1" customHeight="1" outlineLevel="3" x14ac:dyDescent="0.2">
      <c r="B172" s="38" t="str">
        <f t="shared" ref="B172:C186" si="549">B52</f>
        <v>Резерв бонуса прошлых лет</v>
      </c>
      <c r="C172" s="49" t="str">
        <f t="shared" si="549"/>
        <v>Under-/overaccruals - cash</v>
      </c>
      <c r="D172" s="168">
        <f t="shared" ref="D172:P173" si="550">D52-D115</f>
        <v>0</v>
      </c>
      <c r="E172" s="40">
        <f t="shared" si="550"/>
        <v>0</v>
      </c>
      <c r="F172" s="40">
        <f t="shared" si="550"/>
        <v>0</v>
      </c>
      <c r="G172" s="40">
        <f t="shared" si="550"/>
        <v>0</v>
      </c>
      <c r="H172" s="40">
        <f t="shared" si="550"/>
        <v>0</v>
      </c>
      <c r="I172" s="40">
        <f t="shared" si="550"/>
        <v>0</v>
      </c>
      <c r="J172" s="40">
        <f t="shared" si="550"/>
        <v>0</v>
      </c>
      <c r="K172" s="40">
        <f t="shared" si="550"/>
        <v>0</v>
      </c>
      <c r="L172" s="40">
        <f t="shared" si="550"/>
        <v>0</v>
      </c>
      <c r="M172" s="40">
        <f t="shared" si="550"/>
        <v>0</v>
      </c>
      <c r="N172" s="40">
        <f t="shared" si="550"/>
        <v>0</v>
      </c>
      <c r="O172" s="40">
        <f t="shared" si="550"/>
        <v>0</v>
      </c>
      <c r="P172" s="176">
        <f t="shared" si="550"/>
        <v>0</v>
      </c>
      <c r="Q172" s="191">
        <f t="shared" ref="Q172:S173" si="551">Q52-Q115</f>
        <v>0</v>
      </c>
      <c r="R172" s="40">
        <f t="shared" si="551"/>
        <v>0</v>
      </c>
      <c r="S172" s="40">
        <f t="shared" si="551"/>
        <v>0</v>
      </c>
      <c r="T172" s="40">
        <f t="shared" ref="T172:AC173" si="552">T52-T115</f>
        <v>0</v>
      </c>
      <c r="U172" s="40">
        <f t="shared" si="552"/>
        <v>0</v>
      </c>
      <c r="V172" s="40">
        <f t="shared" si="552"/>
        <v>0</v>
      </c>
      <c r="W172" s="40">
        <f t="shared" si="552"/>
        <v>0</v>
      </c>
      <c r="X172" s="40">
        <f t="shared" si="552"/>
        <v>0</v>
      </c>
      <c r="Y172" s="40">
        <f t="shared" si="552"/>
        <v>0</v>
      </c>
      <c r="Z172" s="40">
        <f t="shared" si="552"/>
        <v>0</v>
      </c>
      <c r="AA172" s="40">
        <f t="shared" si="552"/>
        <v>0</v>
      </c>
      <c r="AB172" s="40">
        <f t="shared" si="552"/>
        <v>0</v>
      </c>
      <c r="AC172" s="176">
        <f t="shared" si="552"/>
        <v>0</v>
      </c>
      <c r="AD172" s="225">
        <f t="shared" ref="AD172:AF173" si="553">AD52-AD115</f>
        <v>0</v>
      </c>
      <c r="AE172" s="40">
        <f t="shared" si="553"/>
        <v>0</v>
      </c>
      <c r="AF172" s="40">
        <f t="shared" si="553"/>
        <v>0</v>
      </c>
      <c r="AG172" s="40">
        <f t="shared" ref="AG172:AP173" si="554">AG52-AG115</f>
        <v>0</v>
      </c>
      <c r="AH172" s="40">
        <f t="shared" si="554"/>
        <v>0</v>
      </c>
      <c r="AI172" s="40">
        <f t="shared" si="554"/>
        <v>0</v>
      </c>
      <c r="AJ172" s="40">
        <f t="shared" si="554"/>
        <v>0</v>
      </c>
      <c r="AK172" s="40">
        <f t="shared" si="554"/>
        <v>0</v>
      </c>
      <c r="AL172" s="40">
        <f t="shared" si="554"/>
        <v>0</v>
      </c>
      <c r="AM172" s="40">
        <f t="shared" si="554"/>
        <v>0</v>
      </c>
      <c r="AN172" s="40">
        <f t="shared" si="554"/>
        <v>0</v>
      </c>
      <c r="AO172" s="40">
        <f t="shared" si="554"/>
        <v>0</v>
      </c>
      <c r="AP172" s="40">
        <f t="shared" si="554"/>
        <v>0</v>
      </c>
      <c r="AQ172" s="191">
        <f t="shared" si="517"/>
        <v>0</v>
      </c>
      <c r="AR172" s="40"/>
      <c r="AS172" s="40">
        <f>AS52-AS115</f>
        <v>0</v>
      </c>
      <c r="AT172" s="40">
        <f>AT52-AT115</f>
        <v>0</v>
      </c>
      <c r="AU172" s="40">
        <f t="shared" ref="AU172:BD173" si="555">AU52-AU115</f>
        <v>0</v>
      </c>
      <c r="AV172" s="40">
        <f t="shared" si="555"/>
        <v>0</v>
      </c>
      <c r="AW172" s="40">
        <f t="shared" si="555"/>
        <v>0</v>
      </c>
      <c r="AX172" s="40">
        <f t="shared" si="555"/>
        <v>0</v>
      </c>
      <c r="AY172" s="40">
        <f t="shared" si="555"/>
        <v>0</v>
      </c>
      <c r="AZ172" s="40">
        <f t="shared" si="555"/>
        <v>0</v>
      </c>
      <c r="BA172" s="40">
        <f t="shared" si="555"/>
        <v>0</v>
      </c>
      <c r="BB172" s="40">
        <f t="shared" si="555"/>
        <v>0</v>
      </c>
      <c r="BC172" s="40">
        <f t="shared" si="555"/>
        <v>0</v>
      </c>
      <c r="BD172" s="40">
        <f t="shared" si="555"/>
        <v>0</v>
      </c>
      <c r="BE172" s="191">
        <f t="shared" si="376"/>
        <v>0</v>
      </c>
      <c r="BF172" s="40"/>
      <c r="BG172" s="40">
        <f>BG52-BG115</f>
        <v>0</v>
      </c>
      <c r="BH172" s="40">
        <f>BH52-BH115</f>
        <v>0</v>
      </c>
      <c r="BI172" s="40">
        <f t="shared" ref="BI172:BR172" si="556">BI52-BI115</f>
        <v>0</v>
      </c>
      <c r="BJ172" s="40">
        <f t="shared" si="556"/>
        <v>0</v>
      </c>
      <c r="BK172" s="40">
        <f t="shared" si="556"/>
        <v>0</v>
      </c>
      <c r="BL172" s="40">
        <f t="shared" si="556"/>
        <v>0</v>
      </c>
      <c r="BM172" s="40">
        <f t="shared" si="556"/>
        <v>0</v>
      </c>
      <c r="BN172" s="40">
        <f t="shared" si="556"/>
        <v>0</v>
      </c>
      <c r="BO172" s="40">
        <f t="shared" si="556"/>
        <v>0</v>
      </c>
      <c r="BP172" s="40">
        <f t="shared" si="556"/>
        <v>0</v>
      </c>
      <c r="BQ172" s="40">
        <f t="shared" si="556"/>
        <v>0</v>
      </c>
      <c r="BR172" s="40">
        <f t="shared" si="556"/>
        <v>0</v>
      </c>
    </row>
    <row r="173" spans="1:70" ht="12.75" hidden="1" customHeight="1" outlineLevel="3" x14ac:dyDescent="0.2">
      <c r="B173" s="38" t="str">
        <f t="shared" si="549"/>
        <v>Страховые взносы, резерв бонуса прошлых лет</v>
      </c>
      <c r="C173" s="49" t="str">
        <f t="shared" si="549"/>
        <v>Under-/overaccruals - contribution to social secur</v>
      </c>
      <c r="D173" s="168">
        <f t="shared" si="550"/>
        <v>0</v>
      </c>
      <c r="E173" s="40">
        <f t="shared" si="550"/>
        <v>0</v>
      </c>
      <c r="F173" s="40">
        <f t="shared" si="550"/>
        <v>0</v>
      </c>
      <c r="G173" s="40">
        <f t="shared" si="550"/>
        <v>0</v>
      </c>
      <c r="H173" s="40">
        <f t="shared" si="550"/>
        <v>0</v>
      </c>
      <c r="I173" s="40">
        <f t="shared" si="550"/>
        <v>0</v>
      </c>
      <c r="J173" s="40">
        <f t="shared" si="550"/>
        <v>0</v>
      </c>
      <c r="K173" s="40">
        <f t="shared" si="550"/>
        <v>0</v>
      </c>
      <c r="L173" s="40">
        <f t="shared" si="550"/>
        <v>0</v>
      </c>
      <c r="M173" s="40">
        <f t="shared" si="550"/>
        <v>0</v>
      </c>
      <c r="N173" s="40">
        <f t="shared" si="550"/>
        <v>0</v>
      </c>
      <c r="O173" s="40">
        <f t="shared" si="550"/>
        <v>0</v>
      </c>
      <c r="P173" s="176">
        <f t="shared" si="550"/>
        <v>0</v>
      </c>
      <c r="Q173" s="191">
        <f t="shared" si="551"/>
        <v>0</v>
      </c>
      <c r="R173" s="40">
        <f t="shared" si="551"/>
        <v>0</v>
      </c>
      <c r="S173" s="40">
        <f t="shared" si="551"/>
        <v>0</v>
      </c>
      <c r="T173" s="40">
        <f t="shared" si="552"/>
        <v>0</v>
      </c>
      <c r="U173" s="40">
        <f t="shared" si="552"/>
        <v>0</v>
      </c>
      <c r="V173" s="40">
        <f t="shared" si="552"/>
        <v>0</v>
      </c>
      <c r="W173" s="40">
        <f t="shared" si="552"/>
        <v>0</v>
      </c>
      <c r="X173" s="40">
        <f t="shared" si="552"/>
        <v>0</v>
      </c>
      <c r="Y173" s="40">
        <f t="shared" si="552"/>
        <v>0</v>
      </c>
      <c r="Z173" s="40">
        <f t="shared" si="552"/>
        <v>0</v>
      </c>
      <c r="AA173" s="40">
        <f t="shared" si="552"/>
        <v>0</v>
      </c>
      <c r="AB173" s="40">
        <f t="shared" si="552"/>
        <v>0</v>
      </c>
      <c r="AC173" s="176">
        <f t="shared" si="552"/>
        <v>0</v>
      </c>
      <c r="AD173" s="225">
        <f t="shared" si="553"/>
        <v>0</v>
      </c>
      <c r="AE173" s="40">
        <f t="shared" si="553"/>
        <v>0</v>
      </c>
      <c r="AF173" s="40">
        <f t="shared" si="553"/>
        <v>0</v>
      </c>
      <c r="AG173" s="40">
        <f t="shared" si="554"/>
        <v>0</v>
      </c>
      <c r="AH173" s="40">
        <f t="shared" si="554"/>
        <v>0</v>
      </c>
      <c r="AI173" s="40">
        <f t="shared" si="554"/>
        <v>0</v>
      </c>
      <c r="AJ173" s="40">
        <f t="shared" si="554"/>
        <v>0</v>
      </c>
      <c r="AK173" s="40">
        <f t="shared" si="554"/>
        <v>0</v>
      </c>
      <c r="AL173" s="40">
        <f t="shared" si="554"/>
        <v>0</v>
      </c>
      <c r="AM173" s="40">
        <f t="shared" si="554"/>
        <v>0</v>
      </c>
      <c r="AN173" s="40">
        <f t="shared" si="554"/>
        <v>0</v>
      </c>
      <c r="AO173" s="40">
        <f t="shared" si="554"/>
        <v>0</v>
      </c>
      <c r="AP173" s="40">
        <f t="shared" si="554"/>
        <v>0</v>
      </c>
      <c r="AQ173" s="191">
        <f t="shared" si="517"/>
        <v>0</v>
      </c>
      <c r="AR173" s="40"/>
      <c r="AS173" s="40">
        <f>AS53-AS116</f>
        <v>0</v>
      </c>
      <c r="AT173" s="40">
        <f>AT53-AT116</f>
        <v>0</v>
      </c>
      <c r="AU173" s="40">
        <f t="shared" si="555"/>
        <v>0</v>
      </c>
      <c r="AV173" s="40">
        <f t="shared" si="555"/>
        <v>0</v>
      </c>
      <c r="AW173" s="40">
        <f t="shared" si="555"/>
        <v>0</v>
      </c>
      <c r="AX173" s="40">
        <f t="shared" si="555"/>
        <v>0</v>
      </c>
      <c r="AY173" s="40">
        <f t="shared" si="555"/>
        <v>0</v>
      </c>
      <c r="AZ173" s="40">
        <f t="shared" si="555"/>
        <v>0</v>
      </c>
      <c r="BA173" s="40">
        <f t="shared" si="555"/>
        <v>0</v>
      </c>
      <c r="BB173" s="40">
        <f t="shared" si="555"/>
        <v>0</v>
      </c>
      <c r="BC173" s="40">
        <f t="shared" si="555"/>
        <v>0</v>
      </c>
      <c r="BD173" s="40">
        <f t="shared" si="555"/>
        <v>0</v>
      </c>
      <c r="BE173" s="191">
        <f t="shared" si="376"/>
        <v>0</v>
      </c>
      <c r="BF173" s="40"/>
      <c r="BG173" s="40">
        <f>BG53-BG116</f>
        <v>0</v>
      </c>
      <c r="BH173" s="40">
        <f>BH53-BH116</f>
        <v>0</v>
      </c>
      <c r="BI173" s="40">
        <f t="shared" ref="BI173:BR173" si="557">BI53-BI116</f>
        <v>0</v>
      </c>
      <c r="BJ173" s="40">
        <f t="shared" si="557"/>
        <v>0</v>
      </c>
      <c r="BK173" s="40">
        <f t="shared" si="557"/>
        <v>0</v>
      </c>
      <c r="BL173" s="40">
        <f t="shared" si="557"/>
        <v>0</v>
      </c>
      <c r="BM173" s="40">
        <f t="shared" si="557"/>
        <v>0</v>
      </c>
      <c r="BN173" s="40">
        <f t="shared" si="557"/>
        <v>0</v>
      </c>
      <c r="BO173" s="40">
        <f t="shared" si="557"/>
        <v>0</v>
      </c>
      <c r="BP173" s="40">
        <f t="shared" si="557"/>
        <v>0</v>
      </c>
      <c r="BQ173" s="40">
        <f t="shared" si="557"/>
        <v>0</v>
      </c>
      <c r="BR173" s="40">
        <f t="shared" si="557"/>
        <v>0</v>
      </c>
    </row>
    <row r="174" spans="1:70" s="6" customFormat="1" outlineLevel="1" collapsed="1" x14ac:dyDescent="0.2">
      <c r="A174" s="30"/>
      <c r="B174" s="48" t="str">
        <f t="shared" si="549"/>
        <v>Итого Резерв бонуса прошлых лет</v>
      </c>
      <c r="C174" s="163" t="str">
        <f t="shared" si="549"/>
        <v>Total Under-/overaccruals - cash</v>
      </c>
      <c r="D174" s="170">
        <f>SUM(D172:D173)</f>
        <v>0</v>
      </c>
      <c r="E174" s="45">
        <f>SUM(E172:E173)</f>
        <v>0</v>
      </c>
      <c r="F174" s="45">
        <f>SUM(F172:F173)</f>
        <v>0</v>
      </c>
      <c r="G174" s="45">
        <f t="shared" ref="G174:P174" si="558">SUM(G172:G173)</f>
        <v>0</v>
      </c>
      <c r="H174" s="45">
        <f t="shared" si="558"/>
        <v>0</v>
      </c>
      <c r="I174" s="45">
        <f t="shared" si="558"/>
        <v>0</v>
      </c>
      <c r="J174" s="45">
        <f t="shared" si="558"/>
        <v>0</v>
      </c>
      <c r="K174" s="45">
        <f t="shared" si="558"/>
        <v>0</v>
      </c>
      <c r="L174" s="45">
        <f t="shared" si="558"/>
        <v>0</v>
      </c>
      <c r="M174" s="45">
        <f t="shared" si="558"/>
        <v>0</v>
      </c>
      <c r="N174" s="45">
        <f t="shared" si="558"/>
        <v>0</v>
      </c>
      <c r="O174" s="45">
        <f t="shared" si="558"/>
        <v>0</v>
      </c>
      <c r="P174" s="178">
        <f t="shared" si="558"/>
        <v>0</v>
      </c>
      <c r="Q174" s="193">
        <f>SUM(Q172:Q173)</f>
        <v>0</v>
      </c>
      <c r="R174" s="45">
        <f>SUM(R172:R173)</f>
        <v>0</v>
      </c>
      <c r="S174" s="45">
        <f>SUM(S172:S173)</f>
        <v>0</v>
      </c>
      <c r="T174" s="45">
        <f t="shared" ref="T174:AC174" si="559">SUM(T172:T173)</f>
        <v>0</v>
      </c>
      <c r="U174" s="45">
        <f t="shared" si="559"/>
        <v>0</v>
      </c>
      <c r="V174" s="45">
        <f t="shared" si="559"/>
        <v>0</v>
      </c>
      <c r="W174" s="45">
        <f t="shared" si="559"/>
        <v>0</v>
      </c>
      <c r="X174" s="45">
        <f t="shared" si="559"/>
        <v>0</v>
      </c>
      <c r="Y174" s="45">
        <f t="shared" si="559"/>
        <v>0</v>
      </c>
      <c r="Z174" s="45">
        <f t="shared" si="559"/>
        <v>0</v>
      </c>
      <c r="AA174" s="45">
        <f t="shared" si="559"/>
        <v>0</v>
      </c>
      <c r="AB174" s="45">
        <f t="shared" si="559"/>
        <v>0</v>
      </c>
      <c r="AC174" s="178">
        <f t="shared" si="559"/>
        <v>0</v>
      </c>
      <c r="AD174" s="227">
        <f>SUM(AD172:AD173)</f>
        <v>0</v>
      </c>
      <c r="AE174" s="45">
        <f>SUM(AE172:AE173)</f>
        <v>0</v>
      </c>
      <c r="AF174" s="45">
        <f>SUM(AF172:AF173)</f>
        <v>0</v>
      </c>
      <c r="AG174" s="45">
        <f t="shared" ref="AG174:AP174" si="560">SUM(AG172:AG173)</f>
        <v>0</v>
      </c>
      <c r="AH174" s="45">
        <f t="shared" si="560"/>
        <v>0</v>
      </c>
      <c r="AI174" s="45">
        <f t="shared" si="560"/>
        <v>0</v>
      </c>
      <c r="AJ174" s="45">
        <f t="shared" si="560"/>
        <v>0</v>
      </c>
      <c r="AK174" s="45">
        <f t="shared" si="560"/>
        <v>0</v>
      </c>
      <c r="AL174" s="45">
        <f t="shared" si="560"/>
        <v>0</v>
      </c>
      <c r="AM174" s="45">
        <f t="shared" si="560"/>
        <v>0</v>
      </c>
      <c r="AN174" s="45">
        <f t="shared" si="560"/>
        <v>0</v>
      </c>
      <c r="AO174" s="45">
        <f t="shared" si="560"/>
        <v>0</v>
      </c>
      <c r="AP174" s="45">
        <f t="shared" si="560"/>
        <v>0</v>
      </c>
      <c r="AQ174" s="193">
        <f t="shared" si="517"/>
        <v>0</v>
      </c>
      <c r="AR174" s="45"/>
      <c r="AS174" s="45">
        <f>SUM(AS172:AS173)</f>
        <v>0</v>
      </c>
      <c r="AT174" s="45">
        <f>SUM(AT172:AT173)</f>
        <v>0</v>
      </c>
      <c r="AU174" s="45">
        <f t="shared" ref="AU174:BD174" si="561">SUM(AU172:AU173)</f>
        <v>0</v>
      </c>
      <c r="AV174" s="45">
        <f t="shared" si="561"/>
        <v>0</v>
      </c>
      <c r="AW174" s="45">
        <f t="shared" si="561"/>
        <v>0</v>
      </c>
      <c r="AX174" s="45">
        <f t="shared" si="561"/>
        <v>0</v>
      </c>
      <c r="AY174" s="45">
        <f t="shared" si="561"/>
        <v>0</v>
      </c>
      <c r="AZ174" s="45">
        <f t="shared" si="561"/>
        <v>0</v>
      </c>
      <c r="BA174" s="45">
        <f t="shared" si="561"/>
        <v>0</v>
      </c>
      <c r="BB174" s="45">
        <f t="shared" si="561"/>
        <v>0</v>
      </c>
      <c r="BC174" s="45">
        <f t="shared" si="561"/>
        <v>0</v>
      </c>
      <c r="BD174" s="45">
        <f t="shared" si="561"/>
        <v>0</v>
      </c>
      <c r="BE174" s="193">
        <f t="shared" si="376"/>
        <v>0</v>
      </c>
      <c r="BF174" s="45"/>
      <c r="BG174" s="45">
        <f>SUM(BG172:BG173)</f>
        <v>0</v>
      </c>
      <c r="BH174" s="45">
        <f>SUM(BH172:BH173)</f>
        <v>0</v>
      </c>
      <c r="BI174" s="45">
        <f t="shared" ref="BI174:BR174" si="562">SUM(BI172:BI173)</f>
        <v>0</v>
      </c>
      <c r="BJ174" s="45">
        <f t="shared" si="562"/>
        <v>0</v>
      </c>
      <c r="BK174" s="45">
        <f t="shared" si="562"/>
        <v>0</v>
      </c>
      <c r="BL174" s="45">
        <f t="shared" si="562"/>
        <v>0</v>
      </c>
      <c r="BM174" s="45">
        <f t="shared" si="562"/>
        <v>0</v>
      </c>
      <c r="BN174" s="45">
        <f t="shared" si="562"/>
        <v>0</v>
      </c>
      <c r="BO174" s="45">
        <f t="shared" si="562"/>
        <v>0</v>
      </c>
      <c r="BP174" s="45">
        <f t="shared" si="562"/>
        <v>0</v>
      </c>
      <c r="BQ174" s="45">
        <f t="shared" si="562"/>
        <v>0</v>
      </c>
      <c r="BR174" s="45">
        <f t="shared" si="562"/>
        <v>0</v>
      </c>
    </row>
    <row r="175" spans="1:70" s="6" customFormat="1" x14ac:dyDescent="0.2">
      <c r="B175" s="21" t="str">
        <f t="shared" si="549"/>
        <v>Резерв бонуса прошлых лет</v>
      </c>
      <c r="C175" s="164" t="str">
        <f t="shared" si="549"/>
        <v>Under-/overaccruals - cash</v>
      </c>
      <c r="D175" s="172">
        <f>D174</f>
        <v>0</v>
      </c>
      <c r="E175" s="18">
        <f>E174</f>
        <v>0</v>
      </c>
      <c r="F175" s="18">
        <f>F174</f>
        <v>0</v>
      </c>
      <c r="G175" s="18">
        <f t="shared" ref="G175:P175" si="563">G174</f>
        <v>0</v>
      </c>
      <c r="H175" s="18">
        <f t="shared" si="563"/>
        <v>0</v>
      </c>
      <c r="I175" s="18">
        <f t="shared" si="563"/>
        <v>0</v>
      </c>
      <c r="J175" s="18">
        <f t="shared" si="563"/>
        <v>0</v>
      </c>
      <c r="K175" s="18">
        <f t="shared" si="563"/>
        <v>0</v>
      </c>
      <c r="L175" s="18">
        <f t="shared" si="563"/>
        <v>0</v>
      </c>
      <c r="M175" s="18">
        <f t="shared" si="563"/>
        <v>0</v>
      </c>
      <c r="N175" s="18">
        <f t="shared" si="563"/>
        <v>0</v>
      </c>
      <c r="O175" s="18">
        <f t="shared" si="563"/>
        <v>0</v>
      </c>
      <c r="P175" s="180">
        <f t="shared" si="563"/>
        <v>0</v>
      </c>
      <c r="Q175" s="195">
        <f>Q174</f>
        <v>0</v>
      </c>
      <c r="R175" s="18">
        <f>R174</f>
        <v>0</v>
      </c>
      <c r="S175" s="18">
        <f>S174</f>
        <v>0</v>
      </c>
      <c r="T175" s="18">
        <f t="shared" ref="T175:AC175" si="564">T174</f>
        <v>0</v>
      </c>
      <c r="U175" s="18">
        <f t="shared" si="564"/>
        <v>0</v>
      </c>
      <c r="V175" s="18">
        <f t="shared" si="564"/>
        <v>0</v>
      </c>
      <c r="W175" s="18">
        <f t="shared" si="564"/>
        <v>0</v>
      </c>
      <c r="X175" s="18">
        <f t="shared" si="564"/>
        <v>0</v>
      </c>
      <c r="Y175" s="18">
        <f t="shared" si="564"/>
        <v>0</v>
      </c>
      <c r="Z175" s="18">
        <f t="shared" si="564"/>
        <v>0</v>
      </c>
      <c r="AA175" s="18">
        <f t="shared" si="564"/>
        <v>0</v>
      </c>
      <c r="AB175" s="18">
        <f t="shared" si="564"/>
        <v>0</v>
      </c>
      <c r="AC175" s="180">
        <f t="shared" si="564"/>
        <v>0</v>
      </c>
      <c r="AD175" s="228">
        <f>AD174</f>
        <v>0</v>
      </c>
      <c r="AE175" s="18">
        <f>AE174</f>
        <v>0</v>
      </c>
      <c r="AF175" s="18">
        <f>AF174</f>
        <v>0</v>
      </c>
      <c r="AG175" s="18">
        <f t="shared" ref="AG175:AP175" si="565">AG174</f>
        <v>0</v>
      </c>
      <c r="AH175" s="18">
        <f t="shared" si="565"/>
        <v>0</v>
      </c>
      <c r="AI175" s="18">
        <f t="shared" si="565"/>
        <v>0</v>
      </c>
      <c r="AJ175" s="18">
        <f t="shared" si="565"/>
        <v>0</v>
      </c>
      <c r="AK175" s="18">
        <f t="shared" si="565"/>
        <v>0</v>
      </c>
      <c r="AL175" s="18">
        <f t="shared" si="565"/>
        <v>0</v>
      </c>
      <c r="AM175" s="18">
        <f t="shared" si="565"/>
        <v>0</v>
      </c>
      <c r="AN175" s="18">
        <f t="shared" si="565"/>
        <v>0</v>
      </c>
      <c r="AO175" s="18">
        <f t="shared" si="565"/>
        <v>0</v>
      </c>
      <c r="AP175" s="18">
        <f t="shared" si="565"/>
        <v>0</v>
      </c>
      <c r="AQ175" s="195">
        <f t="shared" si="517"/>
        <v>0</v>
      </c>
      <c r="AR175" s="18"/>
      <c r="AS175" s="18">
        <f>AS174</f>
        <v>0</v>
      </c>
      <c r="AT175" s="18">
        <f>AT174</f>
        <v>0</v>
      </c>
      <c r="AU175" s="18">
        <f t="shared" ref="AU175:BD175" si="566">AU174</f>
        <v>0</v>
      </c>
      <c r="AV175" s="18">
        <f t="shared" si="566"/>
        <v>0</v>
      </c>
      <c r="AW175" s="18">
        <f t="shared" si="566"/>
        <v>0</v>
      </c>
      <c r="AX175" s="18">
        <f t="shared" si="566"/>
        <v>0</v>
      </c>
      <c r="AY175" s="18">
        <f t="shared" si="566"/>
        <v>0</v>
      </c>
      <c r="AZ175" s="18">
        <f t="shared" si="566"/>
        <v>0</v>
      </c>
      <c r="BA175" s="18">
        <f t="shared" si="566"/>
        <v>0</v>
      </c>
      <c r="BB175" s="18">
        <f t="shared" si="566"/>
        <v>0</v>
      </c>
      <c r="BC175" s="18">
        <f t="shared" si="566"/>
        <v>0</v>
      </c>
      <c r="BD175" s="18">
        <f t="shared" si="566"/>
        <v>0</v>
      </c>
      <c r="BE175" s="195">
        <f t="shared" si="376"/>
        <v>0</v>
      </c>
      <c r="BF175" s="18"/>
      <c r="BG175" s="18">
        <f>BG174</f>
        <v>0</v>
      </c>
      <c r="BH175" s="18">
        <f>BH174</f>
        <v>0</v>
      </c>
      <c r="BI175" s="18">
        <f t="shared" ref="BI175:BR175" si="567">BI174</f>
        <v>0</v>
      </c>
      <c r="BJ175" s="18">
        <f t="shared" si="567"/>
        <v>0</v>
      </c>
      <c r="BK175" s="18">
        <f t="shared" si="567"/>
        <v>0</v>
      </c>
      <c r="BL175" s="18">
        <f t="shared" si="567"/>
        <v>0</v>
      </c>
      <c r="BM175" s="18">
        <f t="shared" si="567"/>
        <v>0</v>
      </c>
      <c r="BN175" s="18">
        <f t="shared" si="567"/>
        <v>0</v>
      </c>
      <c r="BO175" s="18">
        <f t="shared" si="567"/>
        <v>0</v>
      </c>
      <c r="BP175" s="18">
        <f t="shared" si="567"/>
        <v>0</v>
      </c>
      <c r="BQ175" s="18">
        <f t="shared" si="567"/>
        <v>0</v>
      </c>
      <c r="BR175" s="18">
        <f t="shared" si="567"/>
        <v>0</v>
      </c>
    </row>
    <row r="176" spans="1:70" ht="12.75" hidden="1" customHeight="1" outlineLevel="3" x14ac:dyDescent="0.2">
      <c r="B176" s="38" t="str">
        <f t="shared" si="549"/>
        <v>Резерв годового бонуса</v>
      </c>
      <c r="C176" s="49" t="str">
        <f t="shared" si="549"/>
        <v>Bonus discretionary Accrual</v>
      </c>
      <c r="D176" s="168">
        <f t="shared" ref="D176:P177" si="568">D56-D119</f>
        <v>294014180.62210083</v>
      </c>
      <c r="E176" s="40">
        <f t="shared" si="568"/>
        <v>294014180.62210083</v>
      </c>
      <c r="F176" s="40">
        <f t="shared" si="568"/>
        <v>0</v>
      </c>
      <c r="G176" s="40">
        <f t="shared" si="568"/>
        <v>0</v>
      </c>
      <c r="H176" s="40">
        <f t="shared" si="568"/>
        <v>0</v>
      </c>
      <c r="I176" s="40">
        <f t="shared" si="568"/>
        <v>0</v>
      </c>
      <c r="J176" s="40">
        <f t="shared" si="568"/>
        <v>0</v>
      </c>
      <c r="K176" s="40">
        <f t="shared" si="568"/>
        <v>0</v>
      </c>
      <c r="L176" s="40">
        <f t="shared" si="568"/>
        <v>0</v>
      </c>
      <c r="M176" s="40">
        <f t="shared" si="568"/>
        <v>0</v>
      </c>
      <c r="N176" s="40">
        <f t="shared" si="568"/>
        <v>0</v>
      </c>
      <c r="O176" s="40">
        <f t="shared" si="568"/>
        <v>0</v>
      </c>
      <c r="P176" s="176">
        <f t="shared" si="568"/>
        <v>0</v>
      </c>
      <c r="Q176" s="191">
        <f t="shared" ref="Q176:S177" si="569">Q56-Q119</f>
        <v>294014180.62210083</v>
      </c>
      <c r="R176" s="40">
        <f t="shared" si="569"/>
        <v>294014180.62210083</v>
      </c>
      <c r="S176" s="40">
        <f t="shared" si="569"/>
        <v>0</v>
      </c>
      <c r="T176" s="40">
        <f t="shared" ref="T176:AC177" si="570">T56-T119</f>
        <v>0</v>
      </c>
      <c r="U176" s="40">
        <f t="shared" si="570"/>
        <v>0</v>
      </c>
      <c r="V176" s="40">
        <f t="shared" si="570"/>
        <v>0</v>
      </c>
      <c r="W176" s="40">
        <f t="shared" si="570"/>
        <v>0</v>
      </c>
      <c r="X176" s="40">
        <f t="shared" si="570"/>
        <v>0</v>
      </c>
      <c r="Y176" s="40">
        <f t="shared" si="570"/>
        <v>0</v>
      </c>
      <c r="Z176" s="40">
        <f t="shared" si="570"/>
        <v>0</v>
      </c>
      <c r="AA176" s="40">
        <f t="shared" si="570"/>
        <v>0</v>
      </c>
      <c r="AB176" s="40">
        <f t="shared" si="570"/>
        <v>0</v>
      </c>
      <c r="AC176" s="176">
        <f t="shared" si="570"/>
        <v>0</v>
      </c>
      <c r="AD176" s="225">
        <f t="shared" ref="AD176:AF177" si="571">AD56-AD119</f>
        <v>294014180.62210083</v>
      </c>
      <c r="AE176" s="40">
        <f t="shared" si="571"/>
        <v>294014180.62210083</v>
      </c>
      <c r="AF176" s="40">
        <f t="shared" si="571"/>
        <v>0</v>
      </c>
      <c r="AG176" s="40">
        <f t="shared" ref="AG176:AP177" si="572">AG56-AG119</f>
        <v>0</v>
      </c>
      <c r="AH176" s="40">
        <f t="shared" si="572"/>
        <v>0</v>
      </c>
      <c r="AI176" s="40">
        <f t="shared" si="572"/>
        <v>0</v>
      </c>
      <c r="AJ176" s="40">
        <f t="shared" si="572"/>
        <v>0</v>
      </c>
      <c r="AK176" s="40">
        <f t="shared" si="572"/>
        <v>0</v>
      </c>
      <c r="AL176" s="40">
        <f t="shared" si="572"/>
        <v>0</v>
      </c>
      <c r="AM176" s="40">
        <f t="shared" si="572"/>
        <v>0</v>
      </c>
      <c r="AN176" s="40">
        <f t="shared" si="572"/>
        <v>0</v>
      </c>
      <c r="AO176" s="40">
        <f t="shared" si="572"/>
        <v>0</v>
      </c>
      <c r="AP176" s="40">
        <f t="shared" si="572"/>
        <v>0</v>
      </c>
      <c r="AQ176" s="191">
        <f t="shared" si="517"/>
        <v>0</v>
      </c>
      <c r="AR176" s="40"/>
      <c r="AS176" s="40">
        <f>AS56-AS119</f>
        <v>294014180.62210083</v>
      </c>
      <c r="AT176" s="40">
        <f>AT56-AT119</f>
        <v>0</v>
      </c>
      <c r="AU176" s="40">
        <f t="shared" ref="AU176:BD177" si="573">AU56-AU119</f>
        <v>0</v>
      </c>
      <c r="AV176" s="40">
        <f t="shared" si="573"/>
        <v>0</v>
      </c>
      <c r="AW176" s="40">
        <f t="shared" si="573"/>
        <v>0</v>
      </c>
      <c r="AX176" s="40">
        <f t="shared" si="573"/>
        <v>0</v>
      </c>
      <c r="AY176" s="40">
        <f t="shared" si="573"/>
        <v>0</v>
      </c>
      <c r="AZ176" s="40">
        <f t="shared" si="573"/>
        <v>0</v>
      </c>
      <c r="BA176" s="40">
        <f t="shared" si="573"/>
        <v>0</v>
      </c>
      <c r="BB176" s="40">
        <f t="shared" si="573"/>
        <v>0</v>
      </c>
      <c r="BC176" s="40">
        <f t="shared" si="573"/>
        <v>0</v>
      </c>
      <c r="BD176" s="40">
        <f t="shared" si="573"/>
        <v>0</v>
      </c>
      <c r="BE176" s="191">
        <f t="shared" si="376"/>
        <v>294014180.62210083</v>
      </c>
      <c r="BF176" s="40"/>
      <c r="BG176" s="40">
        <f>BG56-BG119</f>
        <v>294014180.62210083</v>
      </c>
      <c r="BH176" s="40">
        <f>BH56-BH119</f>
        <v>0</v>
      </c>
      <c r="BI176" s="40">
        <f t="shared" ref="BI176:BR176" si="574">BI56-BI119</f>
        <v>0</v>
      </c>
      <c r="BJ176" s="40">
        <f t="shared" si="574"/>
        <v>0</v>
      </c>
      <c r="BK176" s="40">
        <f t="shared" si="574"/>
        <v>0</v>
      </c>
      <c r="BL176" s="40">
        <f t="shared" si="574"/>
        <v>0</v>
      </c>
      <c r="BM176" s="40">
        <f t="shared" si="574"/>
        <v>0</v>
      </c>
      <c r="BN176" s="40">
        <f t="shared" si="574"/>
        <v>0</v>
      </c>
      <c r="BO176" s="40">
        <f t="shared" si="574"/>
        <v>0</v>
      </c>
      <c r="BP176" s="40">
        <f t="shared" si="574"/>
        <v>0</v>
      </c>
      <c r="BQ176" s="40">
        <f t="shared" si="574"/>
        <v>0</v>
      </c>
      <c r="BR176" s="40">
        <f t="shared" si="574"/>
        <v>0</v>
      </c>
    </row>
    <row r="177" spans="1:70" ht="12.75" hidden="1" customHeight="1" outlineLevel="3" x14ac:dyDescent="0.2">
      <c r="B177" s="38" t="str">
        <f t="shared" si="549"/>
        <v>Страховые взносы, резерв годового бонуса</v>
      </c>
      <c r="C177" s="49" t="str">
        <f t="shared" si="549"/>
        <v>Social Security on discretionary Bonus Accrual</v>
      </c>
      <c r="D177" s="168">
        <f t="shared" si="568"/>
        <v>54392623.41508875</v>
      </c>
      <c r="E177" s="40">
        <f t="shared" si="568"/>
        <v>54392623.41508875</v>
      </c>
      <c r="F177" s="40">
        <f t="shared" si="568"/>
        <v>0</v>
      </c>
      <c r="G177" s="40">
        <f t="shared" si="568"/>
        <v>0</v>
      </c>
      <c r="H177" s="40">
        <f t="shared" si="568"/>
        <v>0</v>
      </c>
      <c r="I177" s="40">
        <f t="shared" si="568"/>
        <v>0</v>
      </c>
      <c r="J177" s="40">
        <f t="shared" si="568"/>
        <v>0</v>
      </c>
      <c r="K177" s="40">
        <f t="shared" si="568"/>
        <v>0</v>
      </c>
      <c r="L177" s="40">
        <f t="shared" si="568"/>
        <v>0</v>
      </c>
      <c r="M177" s="40">
        <f t="shared" si="568"/>
        <v>0</v>
      </c>
      <c r="N177" s="40">
        <f t="shared" si="568"/>
        <v>0</v>
      </c>
      <c r="O177" s="40">
        <f t="shared" si="568"/>
        <v>0</v>
      </c>
      <c r="P177" s="176">
        <f t="shared" si="568"/>
        <v>0</v>
      </c>
      <c r="Q177" s="191">
        <f t="shared" si="569"/>
        <v>54392623.41508875</v>
      </c>
      <c r="R177" s="40">
        <f t="shared" si="569"/>
        <v>54392623.41508875</v>
      </c>
      <c r="S177" s="40">
        <f t="shared" si="569"/>
        <v>0</v>
      </c>
      <c r="T177" s="40">
        <f t="shared" si="570"/>
        <v>0</v>
      </c>
      <c r="U177" s="40">
        <f t="shared" si="570"/>
        <v>0</v>
      </c>
      <c r="V177" s="40">
        <f t="shared" si="570"/>
        <v>0</v>
      </c>
      <c r="W177" s="40">
        <f t="shared" si="570"/>
        <v>0</v>
      </c>
      <c r="X177" s="40">
        <f t="shared" si="570"/>
        <v>0</v>
      </c>
      <c r="Y177" s="40">
        <f t="shared" si="570"/>
        <v>0</v>
      </c>
      <c r="Z177" s="40">
        <f t="shared" si="570"/>
        <v>0</v>
      </c>
      <c r="AA177" s="40">
        <f t="shared" si="570"/>
        <v>0</v>
      </c>
      <c r="AB177" s="40">
        <f t="shared" si="570"/>
        <v>0</v>
      </c>
      <c r="AC177" s="176">
        <f t="shared" si="570"/>
        <v>0</v>
      </c>
      <c r="AD177" s="225">
        <f t="shared" si="571"/>
        <v>54392623.41508875</v>
      </c>
      <c r="AE177" s="40">
        <f t="shared" si="571"/>
        <v>54392623.41508875</v>
      </c>
      <c r="AF177" s="40">
        <f t="shared" si="571"/>
        <v>0</v>
      </c>
      <c r="AG177" s="40">
        <f t="shared" si="572"/>
        <v>0</v>
      </c>
      <c r="AH177" s="40">
        <f t="shared" si="572"/>
        <v>0</v>
      </c>
      <c r="AI177" s="40">
        <f t="shared" si="572"/>
        <v>0</v>
      </c>
      <c r="AJ177" s="40">
        <f t="shared" si="572"/>
        <v>0</v>
      </c>
      <c r="AK177" s="40">
        <f t="shared" si="572"/>
        <v>0</v>
      </c>
      <c r="AL177" s="40">
        <f t="shared" si="572"/>
        <v>0</v>
      </c>
      <c r="AM177" s="40">
        <f t="shared" si="572"/>
        <v>0</v>
      </c>
      <c r="AN177" s="40">
        <f t="shared" si="572"/>
        <v>0</v>
      </c>
      <c r="AO177" s="40">
        <f t="shared" si="572"/>
        <v>0</v>
      </c>
      <c r="AP177" s="40">
        <f t="shared" si="572"/>
        <v>0</v>
      </c>
      <c r="AQ177" s="191">
        <f t="shared" si="517"/>
        <v>0</v>
      </c>
      <c r="AR177" s="40"/>
      <c r="AS177" s="40">
        <f>AS57-AS120</f>
        <v>54392623.41508875</v>
      </c>
      <c r="AT177" s="40">
        <f>AT57-AT120</f>
        <v>0</v>
      </c>
      <c r="AU177" s="40">
        <f t="shared" si="573"/>
        <v>0</v>
      </c>
      <c r="AV177" s="40">
        <f t="shared" si="573"/>
        <v>0</v>
      </c>
      <c r="AW177" s="40">
        <f t="shared" si="573"/>
        <v>0</v>
      </c>
      <c r="AX177" s="40">
        <f t="shared" si="573"/>
        <v>0</v>
      </c>
      <c r="AY177" s="40">
        <f t="shared" si="573"/>
        <v>0</v>
      </c>
      <c r="AZ177" s="40">
        <f t="shared" si="573"/>
        <v>0</v>
      </c>
      <c r="BA177" s="40">
        <f t="shared" si="573"/>
        <v>0</v>
      </c>
      <c r="BB177" s="40">
        <f t="shared" si="573"/>
        <v>0</v>
      </c>
      <c r="BC177" s="40">
        <f t="shared" si="573"/>
        <v>0</v>
      </c>
      <c r="BD177" s="40">
        <f t="shared" si="573"/>
        <v>0</v>
      </c>
      <c r="BE177" s="191">
        <f t="shared" si="376"/>
        <v>54392623.41508875</v>
      </c>
      <c r="BF177" s="40"/>
      <c r="BG177" s="40">
        <f>BG57-BG120</f>
        <v>54392623.41508875</v>
      </c>
      <c r="BH177" s="40">
        <f>BH57-BH120</f>
        <v>0</v>
      </c>
      <c r="BI177" s="40">
        <f t="shared" ref="BI177:BR177" si="575">BI57-BI120</f>
        <v>0</v>
      </c>
      <c r="BJ177" s="40">
        <f t="shared" si="575"/>
        <v>0</v>
      </c>
      <c r="BK177" s="40">
        <f t="shared" si="575"/>
        <v>0</v>
      </c>
      <c r="BL177" s="40">
        <f t="shared" si="575"/>
        <v>0</v>
      </c>
      <c r="BM177" s="40">
        <f t="shared" si="575"/>
        <v>0</v>
      </c>
      <c r="BN177" s="40">
        <f t="shared" si="575"/>
        <v>0</v>
      </c>
      <c r="BO177" s="40">
        <f t="shared" si="575"/>
        <v>0</v>
      </c>
      <c r="BP177" s="40">
        <f t="shared" si="575"/>
        <v>0</v>
      </c>
      <c r="BQ177" s="40">
        <f t="shared" si="575"/>
        <v>0</v>
      </c>
      <c r="BR177" s="40">
        <f t="shared" si="575"/>
        <v>0</v>
      </c>
    </row>
    <row r="178" spans="1:70" s="6" customFormat="1" hidden="1" outlineLevel="2" x14ac:dyDescent="0.2">
      <c r="A178" s="30"/>
      <c r="B178" s="29" t="str">
        <f t="shared" si="549"/>
        <v>Итого резерв годового бонуса</v>
      </c>
      <c r="C178" s="52" t="str">
        <f t="shared" si="549"/>
        <v>Total Bonus discretionary Accrual</v>
      </c>
      <c r="D178" s="169">
        <f>SUM(D176:D177)</f>
        <v>348406804.0371896</v>
      </c>
      <c r="E178" s="26">
        <f>SUM(E176:E177)</f>
        <v>348406804.0371896</v>
      </c>
      <c r="F178" s="26">
        <f>SUM(F176:F177)</f>
        <v>0</v>
      </c>
      <c r="G178" s="26">
        <f t="shared" ref="G178:P178" si="576">SUM(G176:G177)</f>
        <v>0</v>
      </c>
      <c r="H178" s="26">
        <f t="shared" si="576"/>
        <v>0</v>
      </c>
      <c r="I178" s="26">
        <f t="shared" si="576"/>
        <v>0</v>
      </c>
      <c r="J178" s="26">
        <f t="shared" si="576"/>
        <v>0</v>
      </c>
      <c r="K178" s="26">
        <f t="shared" si="576"/>
        <v>0</v>
      </c>
      <c r="L178" s="26">
        <f t="shared" si="576"/>
        <v>0</v>
      </c>
      <c r="M178" s="26">
        <f t="shared" si="576"/>
        <v>0</v>
      </c>
      <c r="N178" s="26">
        <f t="shared" si="576"/>
        <v>0</v>
      </c>
      <c r="O178" s="26">
        <f t="shared" si="576"/>
        <v>0</v>
      </c>
      <c r="P178" s="177">
        <f t="shared" si="576"/>
        <v>0</v>
      </c>
      <c r="Q178" s="192">
        <f>SUM(Q176:Q177)</f>
        <v>348406804.0371896</v>
      </c>
      <c r="R178" s="26">
        <f>SUM(R176:R177)</f>
        <v>348406804.0371896</v>
      </c>
      <c r="S178" s="26">
        <f>SUM(S176:S177)</f>
        <v>0</v>
      </c>
      <c r="T178" s="26">
        <f t="shared" ref="T178:AC178" si="577">SUM(T176:T177)</f>
        <v>0</v>
      </c>
      <c r="U178" s="26">
        <f t="shared" si="577"/>
        <v>0</v>
      </c>
      <c r="V178" s="26">
        <f t="shared" si="577"/>
        <v>0</v>
      </c>
      <c r="W178" s="26">
        <f t="shared" si="577"/>
        <v>0</v>
      </c>
      <c r="X178" s="26">
        <f t="shared" si="577"/>
        <v>0</v>
      </c>
      <c r="Y178" s="26">
        <f t="shared" si="577"/>
        <v>0</v>
      </c>
      <c r="Z178" s="26">
        <f t="shared" si="577"/>
        <v>0</v>
      </c>
      <c r="AA178" s="26">
        <f t="shared" si="577"/>
        <v>0</v>
      </c>
      <c r="AB178" s="26">
        <f t="shared" si="577"/>
        <v>0</v>
      </c>
      <c r="AC178" s="177">
        <f t="shared" si="577"/>
        <v>0</v>
      </c>
      <c r="AD178" s="226">
        <f>SUM(AD176:AD177)</f>
        <v>348406804.0371896</v>
      </c>
      <c r="AE178" s="26">
        <f>SUM(AE176:AE177)</f>
        <v>348406804.0371896</v>
      </c>
      <c r="AF178" s="26">
        <f>SUM(AF176:AF177)</f>
        <v>0</v>
      </c>
      <c r="AG178" s="26">
        <f t="shared" ref="AG178:AP178" si="578">SUM(AG176:AG177)</f>
        <v>0</v>
      </c>
      <c r="AH178" s="26">
        <f t="shared" si="578"/>
        <v>0</v>
      </c>
      <c r="AI178" s="26">
        <f t="shared" si="578"/>
        <v>0</v>
      </c>
      <c r="AJ178" s="26">
        <f t="shared" si="578"/>
        <v>0</v>
      </c>
      <c r="AK178" s="26">
        <f t="shared" si="578"/>
        <v>0</v>
      </c>
      <c r="AL178" s="26">
        <f t="shared" si="578"/>
        <v>0</v>
      </c>
      <c r="AM178" s="26">
        <f t="shared" si="578"/>
        <v>0</v>
      </c>
      <c r="AN178" s="26">
        <f t="shared" si="578"/>
        <v>0</v>
      </c>
      <c r="AO178" s="26">
        <f t="shared" si="578"/>
        <v>0</v>
      </c>
      <c r="AP178" s="26">
        <f t="shared" si="578"/>
        <v>0</v>
      </c>
      <c r="AQ178" s="192">
        <f t="shared" si="517"/>
        <v>0</v>
      </c>
      <c r="AR178" s="26"/>
      <c r="AS178" s="26">
        <f>SUM(AS176:AS177)</f>
        <v>348406804.0371896</v>
      </c>
      <c r="AT178" s="26">
        <f>SUM(AT176:AT177)</f>
        <v>0</v>
      </c>
      <c r="AU178" s="26">
        <f t="shared" ref="AU178:BD178" si="579">SUM(AU176:AU177)</f>
        <v>0</v>
      </c>
      <c r="AV178" s="26">
        <f t="shared" si="579"/>
        <v>0</v>
      </c>
      <c r="AW178" s="26">
        <f t="shared" si="579"/>
        <v>0</v>
      </c>
      <c r="AX178" s="26">
        <f t="shared" si="579"/>
        <v>0</v>
      </c>
      <c r="AY178" s="26">
        <f t="shared" si="579"/>
        <v>0</v>
      </c>
      <c r="AZ178" s="26">
        <f t="shared" si="579"/>
        <v>0</v>
      </c>
      <c r="BA178" s="26">
        <f t="shared" si="579"/>
        <v>0</v>
      </c>
      <c r="BB178" s="26">
        <f t="shared" si="579"/>
        <v>0</v>
      </c>
      <c r="BC178" s="26">
        <f t="shared" si="579"/>
        <v>0</v>
      </c>
      <c r="BD178" s="26">
        <f t="shared" si="579"/>
        <v>0</v>
      </c>
      <c r="BE178" s="192">
        <f t="shared" si="376"/>
        <v>348406804.0371896</v>
      </c>
      <c r="BF178" s="26"/>
      <c r="BG178" s="26">
        <f>SUM(BG176:BG177)</f>
        <v>348406804.0371896</v>
      </c>
      <c r="BH178" s="26">
        <f>SUM(BH176:BH177)</f>
        <v>0</v>
      </c>
      <c r="BI178" s="26">
        <f t="shared" ref="BI178:BR178" si="580">SUM(BI176:BI177)</f>
        <v>0</v>
      </c>
      <c r="BJ178" s="26">
        <f t="shared" si="580"/>
        <v>0</v>
      </c>
      <c r="BK178" s="26">
        <f t="shared" si="580"/>
        <v>0</v>
      </c>
      <c r="BL178" s="26">
        <f t="shared" si="580"/>
        <v>0</v>
      </c>
      <c r="BM178" s="26">
        <f t="shared" si="580"/>
        <v>0</v>
      </c>
      <c r="BN178" s="26">
        <f t="shared" si="580"/>
        <v>0</v>
      </c>
      <c r="BO178" s="26">
        <f t="shared" si="580"/>
        <v>0</v>
      </c>
      <c r="BP178" s="26">
        <f t="shared" si="580"/>
        <v>0</v>
      </c>
      <c r="BQ178" s="26">
        <f t="shared" si="580"/>
        <v>0</v>
      </c>
      <c r="BR178" s="26">
        <f t="shared" si="580"/>
        <v>0</v>
      </c>
    </row>
    <row r="179" spans="1:70" ht="12.75" hidden="1" customHeight="1" outlineLevel="3" x14ac:dyDescent="0.2">
      <c r="B179" s="38" t="str">
        <f t="shared" si="549"/>
        <v>Сторно резерва годового бонуса бонуса</v>
      </c>
      <c r="C179" s="49" t="str">
        <f t="shared" si="549"/>
        <v>Reverse Bonus discretionary Accrual</v>
      </c>
      <c r="D179" s="168">
        <f t="shared" ref="D179:P180" si="581">D59-D122</f>
        <v>0</v>
      </c>
      <c r="E179" s="40">
        <f t="shared" si="581"/>
        <v>0</v>
      </c>
      <c r="F179" s="40">
        <f t="shared" si="581"/>
        <v>0</v>
      </c>
      <c r="G179" s="40">
        <f t="shared" si="581"/>
        <v>0</v>
      </c>
      <c r="H179" s="40">
        <f t="shared" si="581"/>
        <v>0</v>
      </c>
      <c r="I179" s="40">
        <f t="shared" si="581"/>
        <v>0</v>
      </c>
      <c r="J179" s="40">
        <f t="shared" si="581"/>
        <v>0</v>
      </c>
      <c r="K179" s="40">
        <f t="shared" si="581"/>
        <v>0</v>
      </c>
      <c r="L179" s="40">
        <f t="shared" si="581"/>
        <v>0</v>
      </c>
      <c r="M179" s="40">
        <f t="shared" si="581"/>
        <v>0</v>
      </c>
      <c r="N179" s="40">
        <f t="shared" si="581"/>
        <v>0</v>
      </c>
      <c r="O179" s="40">
        <f t="shared" si="581"/>
        <v>0</v>
      </c>
      <c r="P179" s="176">
        <f t="shared" si="581"/>
        <v>0</v>
      </c>
      <c r="Q179" s="191">
        <f t="shared" ref="Q179:S180" si="582">Q59-Q122</f>
        <v>0</v>
      </c>
      <c r="R179" s="40">
        <f t="shared" si="582"/>
        <v>0</v>
      </c>
      <c r="S179" s="40">
        <f t="shared" si="582"/>
        <v>0</v>
      </c>
      <c r="T179" s="40">
        <f t="shared" ref="T179:AC180" si="583">T59-T122</f>
        <v>0</v>
      </c>
      <c r="U179" s="40">
        <f t="shared" si="583"/>
        <v>0</v>
      </c>
      <c r="V179" s="40">
        <f t="shared" si="583"/>
        <v>0</v>
      </c>
      <c r="W179" s="40">
        <f t="shared" si="583"/>
        <v>0</v>
      </c>
      <c r="X179" s="40">
        <f t="shared" si="583"/>
        <v>0</v>
      </c>
      <c r="Y179" s="40">
        <f t="shared" si="583"/>
        <v>0</v>
      </c>
      <c r="Z179" s="40">
        <f t="shared" si="583"/>
        <v>0</v>
      </c>
      <c r="AA179" s="40">
        <f t="shared" si="583"/>
        <v>0</v>
      </c>
      <c r="AB179" s="40">
        <f t="shared" si="583"/>
        <v>0</v>
      </c>
      <c r="AC179" s="176">
        <f t="shared" si="583"/>
        <v>0</v>
      </c>
      <c r="AD179" s="225">
        <f t="shared" ref="AD179:AF180" si="584">AD59-AD122</f>
        <v>0</v>
      </c>
      <c r="AE179" s="40">
        <f t="shared" si="584"/>
        <v>0</v>
      </c>
      <c r="AF179" s="40">
        <f t="shared" si="584"/>
        <v>0</v>
      </c>
      <c r="AG179" s="40">
        <f t="shared" ref="AG179:AP180" si="585">AG59-AG122</f>
        <v>0</v>
      </c>
      <c r="AH179" s="40">
        <f t="shared" si="585"/>
        <v>0</v>
      </c>
      <c r="AI179" s="40">
        <f t="shared" si="585"/>
        <v>0</v>
      </c>
      <c r="AJ179" s="40">
        <f t="shared" si="585"/>
        <v>0</v>
      </c>
      <c r="AK179" s="40">
        <f t="shared" si="585"/>
        <v>0</v>
      </c>
      <c r="AL179" s="40">
        <f t="shared" si="585"/>
        <v>0</v>
      </c>
      <c r="AM179" s="40">
        <f t="shared" si="585"/>
        <v>0</v>
      </c>
      <c r="AN179" s="40">
        <f t="shared" si="585"/>
        <v>0</v>
      </c>
      <c r="AO179" s="40">
        <f t="shared" si="585"/>
        <v>0</v>
      </c>
      <c r="AP179" s="40">
        <f t="shared" si="585"/>
        <v>0</v>
      </c>
      <c r="AQ179" s="191">
        <f t="shared" si="517"/>
        <v>0</v>
      </c>
      <c r="AR179" s="40"/>
      <c r="AS179" s="40">
        <f>AS59-AS122</f>
        <v>0</v>
      </c>
      <c r="AT179" s="40">
        <f>AT59-AT122</f>
        <v>0</v>
      </c>
      <c r="AU179" s="40">
        <f t="shared" ref="AU179:BD180" si="586">AU59-AU122</f>
        <v>0</v>
      </c>
      <c r="AV179" s="40">
        <f t="shared" si="586"/>
        <v>0</v>
      </c>
      <c r="AW179" s="40">
        <f t="shared" si="586"/>
        <v>0</v>
      </c>
      <c r="AX179" s="40">
        <f t="shared" si="586"/>
        <v>0</v>
      </c>
      <c r="AY179" s="40">
        <f t="shared" si="586"/>
        <v>0</v>
      </c>
      <c r="AZ179" s="40">
        <f t="shared" si="586"/>
        <v>0</v>
      </c>
      <c r="BA179" s="40">
        <f t="shared" si="586"/>
        <v>0</v>
      </c>
      <c r="BB179" s="40">
        <f t="shared" si="586"/>
        <v>0</v>
      </c>
      <c r="BC179" s="40">
        <f t="shared" si="586"/>
        <v>0</v>
      </c>
      <c r="BD179" s="40">
        <f t="shared" si="586"/>
        <v>0</v>
      </c>
      <c r="BE179" s="191">
        <f t="shared" si="376"/>
        <v>0</v>
      </c>
      <c r="BF179" s="40"/>
      <c r="BG179" s="40">
        <f>BG59-BG122</f>
        <v>0</v>
      </c>
      <c r="BH179" s="40">
        <f>BH59-BH122</f>
        <v>0</v>
      </c>
      <c r="BI179" s="40">
        <f t="shared" ref="BI179:BR179" si="587">BI59-BI122</f>
        <v>0</v>
      </c>
      <c r="BJ179" s="40">
        <f t="shared" si="587"/>
        <v>0</v>
      </c>
      <c r="BK179" s="40">
        <f t="shared" si="587"/>
        <v>0</v>
      </c>
      <c r="BL179" s="40">
        <f t="shared" si="587"/>
        <v>0</v>
      </c>
      <c r="BM179" s="40">
        <f t="shared" si="587"/>
        <v>0</v>
      </c>
      <c r="BN179" s="40">
        <f t="shared" si="587"/>
        <v>0</v>
      </c>
      <c r="BO179" s="40">
        <f t="shared" si="587"/>
        <v>0</v>
      </c>
      <c r="BP179" s="40">
        <f t="shared" si="587"/>
        <v>0</v>
      </c>
      <c r="BQ179" s="40">
        <f t="shared" si="587"/>
        <v>0</v>
      </c>
      <c r="BR179" s="40">
        <f t="shared" si="587"/>
        <v>0</v>
      </c>
    </row>
    <row r="180" spans="1:70" ht="12.75" hidden="1" customHeight="1" outlineLevel="3" x14ac:dyDescent="0.2">
      <c r="B180" s="38" t="str">
        <f t="shared" si="549"/>
        <v>Страховые взносы, сторно резерва годового бонуса</v>
      </c>
      <c r="C180" s="49" t="str">
        <f t="shared" si="549"/>
        <v>Social Security on Bonus discretionary Accrual</v>
      </c>
      <c r="D180" s="168">
        <f t="shared" si="581"/>
        <v>0</v>
      </c>
      <c r="E180" s="40">
        <f t="shared" si="581"/>
        <v>0</v>
      </c>
      <c r="F180" s="40">
        <f t="shared" si="581"/>
        <v>0</v>
      </c>
      <c r="G180" s="40">
        <f t="shared" si="581"/>
        <v>0</v>
      </c>
      <c r="H180" s="40">
        <f t="shared" si="581"/>
        <v>0</v>
      </c>
      <c r="I180" s="40">
        <f t="shared" si="581"/>
        <v>0</v>
      </c>
      <c r="J180" s="40">
        <f t="shared" si="581"/>
        <v>0</v>
      </c>
      <c r="K180" s="40">
        <f t="shared" si="581"/>
        <v>0</v>
      </c>
      <c r="L180" s="40">
        <f t="shared" si="581"/>
        <v>0</v>
      </c>
      <c r="M180" s="40">
        <f t="shared" si="581"/>
        <v>0</v>
      </c>
      <c r="N180" s="40">
        <f t="shared" si="581"/>
        <v>0</v>
      </c>
      <c r="O180" s="40">
        <f t="shared" si="581"/>
        <v>0</v>
      </c>
      <c r="P180" s="176">
        <f t="shared" si="581"/>
        <v>0</v>
      </c>
      <c r="Q180" s="191">
        <f t="shared" si="582"/>
        <v>0</v>
      </c>
      <c r="R180" s="40">
        <f t="shared" si="582"/>
        <v>0</v>
      </c>
      <c r="S180" s="40">
        <f t="shared" si="582"/>
        <v>0</v>
      </c>
      <c r="T180" s="40">
        <f t="shared" si="583"/>
        <v>0</v>
      </c>
      <c r="U180" s="40">
        <f t="shared" si="583"/>
        <v>0</v>
      </c>
      <c r="V180" s="40">
        <f t="shared" si="583"/>
        <v>0</v>
      </c>
      <c r="W180" s="40">
        <f t="shared" si="583"/>
        <v>0</v>
      </c>
      <c r="X180" s="40">
        <f t="shared" si="583"/>
        <v>0</v>
      </c>
      <c r="Y180" s="40">
        <f t="shared" si="583"/>
        <v>0</v>
      </c>
      <c r="Z180" s="40">
        <f t="shared" si="583"/>
        <v>0</v>
      </c>
      <c r="AA180" s="40">
        <f t="shared" si="583"/>
        <v>0</v>
      </c>
      <c r="AB180" s="40">
        <f t="shared" si="583"/>
        <v>0</v>
      </c>
      <c r="AC180" s="176">
        <f t="shared" si="583"/>
        <v>0</v>
      </c>
      <c r="AD180" s="225">
        <f t="shared" si="584"/>
        <v>0</v>
      </c>
      <c r="AE180" s="40">
        <f t="shared" si="584"/>
        <v>0</v>
      </c>
      <c r="AF180" s="40">
        <f t="shared" si="584"/>
        <v>0</v>
      </c>
      <c r="AG180" s="40">
        <f t="shared" si="585"/>
        <v>0</v>
      </c>
      <c r="AH180" s="40">
        <f t="shared" si="585"/>
        <v>0</v>
      </c>
      <c r="AI180" s="40">
        <f t="shared" si="585"/>
        <v>0</v>
      </c>
      <c r="AJ180" s="40">
        <f t="shared" si="585"/>
        <v>0</v>
      </c>
      <c r="AK180" s="40">
        <f t="shared" si="585"/>
        <v>0</v>
      </c>
      <c r="AL180" s="40">
        <f t="shared" si="585"/>
        <v>0</v>
      </c>
      <c r="AM180" s="40">
        <f t="shared" si="585"/>
        <v>0</v>
      </c>
      <c r="AN180" s="40">
        <f t="shared" si="585"/>
        <v>0</v>
      </c>
      <c r="AO180" s="40">
        <f t="shared" si="585"/>
        <v>0</v>
      </c>
      <c r="AP180" s="40">
        <f t="shared" si="585"/>
        <v>0</v>
      </c>
      <c r="AQ180" s="191">
        <f t="shared" si="517"/>
        <v>0</v>
      </c>
      <c r="AR180" s="40"/>
      <c r="AS180" s="40">
        <f>AS60-AS123</f>
        <v>0</v>
      </c>
      <c r="AT180" s="40">
        <f>AT60-AT123</f>
        <v>0</v>
      </c>
      <c r="AU180" s="40">
        <f t="shared" si="586"/>
        <v>0</v>
      </c>
      <c r="AV180" s="40">
        <f t="shared" si="586"/>
        <v>0</v>
      </c>
      <c r="AW180" s="40">
        <f t="shared" si="586"/>
        <v>0</v>
      </c>
      <c r="AX180" s="40">
        <f t="shared" si="586"/>
        <v>0</v>
      </c>
      <c r="AY180" s="40">
        <f t="shared" si="586"/>
        <v>0</v>
      </c>
      <c r="AZ180" s="40">
        <f t="shared" si="586"/>
        <v>0</v>
      </c>
      <c r="BA180" s="40">
        <f t="shared" si="586"/>
        <v>0</v>
      </c>
      <c r="BB180" s="40">
        <f t="shared" si="586"/>
        <v>0</v>
      </c>
      <c r="BC180" s="40">
        <f t="shared" si="586"/>
        <v>0</v>
      </c>
      <c r="BD180" s="40">
        <f t="shared" si="586"/>
        <v>0</v>
      </c>
      <c r="BE180" s="191">
        <f t="shared" si="376"/>
        <v>0</v>
      </c>
      <c r="BF180" s="40"/>
      <c r="BG180" s="40">
        <f>BG60-BG123</f>
        <v>0</v>
      </c>
      <c r="BH180" s="40">
        <f>BH60-BH123</f>
        <v>0</v>
      </c>
      <c r="BI180" s="40">
        <f t="shared" ref="BI180:BR180" si="588">BI60-BI123</f>
        <v>0</v>
      </c>
      <c r="BJ180" s="40">
        <f t="shared" si="588"/>
        <v>0</v>
      </c>
      <c r="BK180" s="40">
        <f t="shared" si="588"/>
        <v>0</v>
      </c>
      <c r="BL180" s="40">
        <f t="shared" si="588"/>
        <v>0</v>
      </c>
      <c r="BM180" s="40">
        <f t="shared" si="588"/>
        <v>0</v>
      </c>
      <c r="BN180" s="40">
        <f t="shared" si="588"/>
        <v>0</v>
      </c>
      <c r="BO180" s="40">
        <f t="shared" si="588"/>
        <v>0</v>
      </c>
      <c r="BP180" s="40">
        <f t="shared" si="588"/>
        <v>0</v>
      </c>
      <c r="BQ180" s="40">
        <f t="shared" si="588"/>
        <v>0</v>
      </c>
      <c r="BR180" s="40">
        <f t="shared" si="588"/>
        <v>0</v>
      </c>
    </row>
    <row r="181" spans="1:70" s="6" customFormat="1" hidden="1" outlineLevel="2" x14ac:dyDescent="0.2">
      <c r="A181" s="30"/>
      <c r="B181" s="29" t="str">
        <f t="shared" si="549"/>
        <v>Итого сторно резерва годового бонуса</v>
      </c>
      <c r="C181" s="52" t="str">
        <f t="shared" si="549"/>
        <v>Total  Reverse Bonus discretionary Accrual</v>
      </c>
      <c r="D181" s="169">
        <f>SUM(D179:D180)</f>
        <v>0</v>
      </c>
      <c r="E181" s="26">
        <f>SUM(E179:E180)</f>
        <v>0</v>
      </c>
      <c r="F181" s="26">
        <f>SUM(F179:F180)</f>
        <v>0</v>
      </c>
      <c r="G181" s="26">
        <f t="shared" ref="G181:P181" si="589">SUM(G179:G180)</f>
        <v>0</v>
      </c>
      <c r="H181" s="26">
        <f t="shared" si="589"/>
        <v>0</v>
      </c>
      <c r="I181" s="26">
        <f t="shared" si="589"/>
        <v>0</v>
      </c>
      <c r="J181" s="26">
        <f t="shared" si="589"/>
        <v>0</v>
      </c>
      <c r="K181" s="26">
        <f t="shared" si="589"/>
        <v>0</v>
      </c>
      <c r="L181" s="26">
        <f t="shared" si="589"/>
        <v>0</v>
      </c>
      <c r="M181" s="26">
        <f t="shared" si="589"/>
        <v>0</v>
      </c>
      <c r="N181" s="26">
        <f t="shared" si="589"/>
        <v>0</v>
      </c>
      <c r="O181" s="26">
        <f t="shared" si="589"/>
        <v>0</v>
      </c>
      <c r="P181" s="177">
        <f t="shared" si="589"/>
        <v>0</v>
      </c>
      <c r="Q181" s="192">
        <f>SUM(Q179:Q180)</f>
        <v>0</v>
      </c>
      <c r="R181" s="26">
        <f>SUM(R179:R180)</f>
        <v>0</v>
      </c>
      <c r="S181" s="26">
        <f>SUM(S179:S180)</f>
        <v>0</v>
      </c>
      <c r="T181" s="26">
        <f t="shared" ref="T181:AC181" si="590">SUM(T179:T180)</f>
        <v>0</v>
      </c>
      <c r="U181" s="26">
        <f t="shared" si="590"/>
        <v>0</v>
      </c>
      <c r="V181" s="26">
        <f t="shared" si="590"/>
        <v>0</v>
      </c>
      <c r="W181" s="26">
        <f t="shared" si="590"/>
        <v>0</v>
      </c>
      <c r="X181" s="26">
        <f t="shared" si="590"/>
        <v>0</v>
      </c>
      <c r="Y181" s="26">
        <f t="shared" si="590"/>
        <v>0</v>
      </c>
      <c r="Z181" s="26">
        <f t="shared" si="590"/>
        <v>0</v>
      </c>
      <c r="AA181" s="26">
        <f t="shared" si="590"/>
        <v>0</v>
      </c>
      <c r="AB181" s="26">
        <f t="shared" si="590"/>
        <v>0</v>
      </c>
      <c r="AC181" s="177">
        <f t="shared" si="590"/>
        <v>0</v>
      </c>
      <c r="AD181" s="226">
        <f>SUM(AD179:AD180)</f>
        <v>0</v>
      </c>
      <c r="AE181" s="26">
        <f>SUM(AE179:AE180)</f>
        <v>0</v>
      </c>
      <c r="AF181" s="26">
        <f>SUM(AF179:AF180)</f>
        <v>0</v>
      </c>
      <c r="AG181" s="26">
        <f t="shared" ref="AG181:AP181" si="591">SUM(AG179:AG180)</f>
        <v>0</v>
      </c>
      <c r="AH181" s="26">
        <f t="shared" si="591"/>
        <v>0</v>
      </c>
      <c r="AI181" s="26">
        <f t="shared" si="591"/>
        <v>0</v>
      </c>
      <c r="AJ181" s="26">
        <f t="shared" si="591"/>
        <v>0</v>
      </c>
      <c r="AK181" s="26">
        <f t="shared" si="591"/>
        <v>0</v>
      </c>
      <c r="AL181" s="26">
        <f t="shared" si="591"/>
        <v>0</v>
      </c>
      <c r="AM181" s="26">
        <f t="shared" si="591"/>
        <v>0</v>
      </c>
      <c r="AN181" s="26">
        <f t="shared" si="591"/>
        <v>0</v>
      </c>
      <c r="AO181" s="26">
        <f t="shared" si="591"/>
        <v>0</v>
      </c>
      <c r="AP181" s="26">
        <f t="shared" si="591"/>
        <v>0</v>
      </c>
      <c r="AQ181" s="192">
        <f t="shared" si="517"/>
        <v>0</v>
      </c>
      <c r="AR181" s="26"/>
      <c r="AS181" s="26">
        <f>SUM(AS179:AS180)</f>
        <v>0</v>
      </c>
      <c r="AT181" s="26">
        <f>SUM(AT179:AT180)</f>
        <v>0</v>
      </c>
      <c r="AU181" s="26">
        <f t="shared" ref="AU181:BD181" si="592">SUM(AU179:AU180)</f>
        <v>0</v>
      </c>
      <c r="AV181" s="26">
        <f t="shared" si="592"/>
        <v>0</v>
      </c>
      <c r="AW181" s="26">
        <f t="shared" si="592"/>
        <v>0</v>
      </c>
      <c r="AX181" s="26">
        <f t="shared" si="592"/>
        <v>0</v>
      </c>
      <c r="AY181" s="26">
        <f t="shared" si="592"/>
        <v>0</v>
      </c>
      <c r="AZ181" s="26">
        <f t="shared" si="592"/>
        <v>0</v>
      </c>
      <c r="BA181" s="26">
        <f t="shared" si="592"/>
        <v>0</v>
      </c>
      <c r="BB181" s="26">
        <f t="shared" si="592"/>
        <v>0</v>
      </c>
      <c r="BC181" s="26">
        <f t="shared" si="592"/>
        <v>0</v>
      </c>
      <c r="BD181" s="26">
        <f t="shared" si="592"/>
        <v>0</v>
      </c>
      <c r="BE181" s="192">
        <f t="shared" si="376"/>
        <v>0</v>
      </c>
      <c r="BF181" s="26"/>
      <c r="BG181" s="26">
        <f>SUM(BG179:BG180)</f>
        <v>0</v>
      </c>
      <c r="BH181" s="26">
        <f>SUM(BH179:BH180)</f>
        <v>0</v>
      </c>
      <c r="BI181" s="26">
        <f t="shared" ref="BI181:BR181" si="593">SUM(BI179:BI180)</f>
        <v>0</v>
      </c>
      <c r="BJ181" s="26">
        <f t="shared" si="593"/>
        <v>0</v>
      </c>
      <c r="BK181" s="26">
        <f t="shared" si="593"/>
        <v>0</v>
      </c>
      <c r="BL181" s="26">
        <f t="shared" si="593"/>
        <v>0</v>
      </c>
      <c r="BM181" s="26">
        <f t="shared" si="593"/>
        <v>0</v>
      </c>
      <c r="BN181" s="26">
        <f t="shared" si="593"/>
        <v>0</v>
      </c>
      <c r="BO181" s="26">
        <f t="shared" si="593"/>
        <v>0</v>
      </c>
      <c r="BP181" s="26">
        <f t="shared" si="593"/>
        <v>0</v>
      </c>
      <c r="BQ181" s="26">
        <f t="shared" si="593"/>
        <v>0</v>
      </c>
      <c r="BR181" s="26">
        <f t="shared" si="593"/>
        <v>0</v>
      </c>
    </row>
    <row r="182" spans="1:70" ht="12.75" hidden="1" customHeight="1" outlineLevel="3" x14ac:dyDescent="0.2">
      <c r="B182" s="38" t="str">
        <f t="shared" si="549"/>
        <v>Годовой бонус</v>
      </c>
      <c r="C182" s="49" t="str">
        <f t="shared" si="549"/>
        <v>Bonus discretionary cash</v>
      </c>
      <c r="D182" s="168">
        <f t="shared" ref="D182:P183" si="594">D62-D125</f>
        <v>701098647.87403393</v>
      </c>
      <c r="E182" s="40">
        <f t="shared" si="594"/>
        <v>701098647.87403357</v>
      </c>
      <c r="F182" s="40">
        <f t="shared" si="594"/>
        <v>0</v>
      </c>
      <c r="G182" s="40">
        <f t="shared" si="594"/>
        <v>0</v>
      </c>
      <c r="H182" s="40">
        <f t="shared" si="594"/>
        <v>0</v>
      </c>
      <c r="I182" s="40">
        <f t="shared" si="594"/>
        <v>0</v>
      </c>
      <c r="J182" s="40">
        <f t="shared" si="594"/>
        <v>0</v>
      </c>
      <c r="K182" s="40">
        <f t="shared" si="594"/>
        <v>0</v>
      </c>
      <c r="L182" s="40">
        <f t="shared" si="594"/>
        <v>0</v>
      </c>
      <c r="M182" s="40">
        <f t="shared" si="594"/>
        <v>0</v>
      </c>
      <c r="N182" s="40">
        <f t="shared" si="594"/>
        <v>0</v>
      </c>
      <c r="O182" s="40">
        <f t="shared" si="594"/>
        <v>0</v>
      </c>
      <c r="P182" s="176">
        <f t="shared" si="594"/>
        <v>0</v>
      </c>
      <c r="Q182" s="191">
        <f t="shared" ref="Q182:S183" si="595">Q62-Q125</f>
        <v>701098647.87403393</v>
      </c>
      <c r="R182" s="40">
        <f t="shared" si="595"/>
        <v>701098647.87403357</v>
      </c>
      <c r="S182" s="40">
        <f t="shared" si="595"/>
        <v>0</v>
      </c>
      <c r="T182" s="40">
        <f t="shared" ref="T182:AC183" si="596">T62-T125</f>
        <v>0</v>
      </c>
      <c r="U182" s="40">
        <f t="shared" si="596"/>
        <v>0</v>
      </c>
      <c r="V182" s="40">
        <f t="shared" si="596"/>
        <v>0</v>
      </c>
      <c r="W182" s="40">
        <f t="shared" si="596"/>
        <v>0</v>
      </c>
      <c r="X182" s="40">
        <f t="shared" si="596"/>
        <v>0</v>
      </c>
      <c r="Y182" s="40">
        <f t="shared" si="596"/>
        <v>0</v>
      </c>
      <c r="Z182" s="40">
        <f t="shared" si="596"/>
        <v>0</v>
      </c>
      <c r="AA182" s="40">
        <f t="shared" si="596"/>
        <v>0</v>
      </c>
      <c r="AB182" s="40">
        <f t="shared" si="596"/>
        <v>0</v>
      </c>
      <c r="AC182" s="176">
        <f t="shared" si="596"/>
        <v>0</v>
      </c>
      <c r="AD182" s="225">
        <f t="shared" ref="AD182:AF183" si="597">AD62-AD125</f>
        <v>701098647.87403393</v>
      </c>
      <c r="AE182" s="40">
        <f t="shared" si="597"/>
        <v>701098647.87403357</v>
      </c>
      <c r="AF182" s="40">
        <f t="shared" si="597"/>
        <v>0</v>
      </c>
      <c r="AG182" s="40">
        <f t="shared" ref="AG182:AP183" si="598">AG62-AG125</f>
        <v>0</v>
      </c>
      <c r="AH182" s="40">
        <f t="shared" si="598"/>
        <v>0</v>
      </c>
      <c r="AI182" s="40">
        <f t="shared" si="598"/>
        <v>0</v>
      </c>
      <c r="AJ182" s="40">
        <f t="shared" si="598"/>
        <v>0</v>
      </c>
      <c r="AK182" s="40">
        <f t="shared" si="598"/>
        <v>0</v>
      </c>
      <c r="AL182" s="40">
        <f t="shared" si="598"/>
        <v>0</v>
      </c>
      <c r="AM182" s="40">
        <f t="shared" si="598"/>
        <v>0</v>
      </c>
      <c r="AN182" s="40">
        <f t="shared" si="598"/>
        <v>0</v>
      </c>
      <c r="AO182" s="40">
        <f t="shared" si="598"/>
        <v>0</v>
      </c>
      <c r="AP182" s="40">
        <f t="shared" si="598"/>
        <v>0</v>
      </c>
      <c r="AQ182" s="191">
        <f t="shared" si="517"/>
        <v>0</v>
      </c>
      <c r="AR182" s="40"/>
      <c r="AS182" s="40">
        <f>AS62-AS125</f>
        <v>701098647.87403357</v>
      </c>
      <c r="AT182" s="40">
        <f>AT62-AT125</f>
        <v>0</v>
      </c>
      <c r="AU182" s="40">
        <f t="shared" ref="AU182:BD183" si="599">AU62-AU125</f>
        <v>0</v>
      </c>
      <c r="AV182" s="40">
        <f t="shared" si="599"/>
        <v>0</v>
      </c>
      <c r="AW182" s="40">
        <f t="shared" si="599"/>
        <v>0</v>
      </c>
      <c r="AX182" s="40">
        <f t="shared" si="599"/>
        <v>0</v>
      </c>
      <c r="AY182" s="40">
        <f t="shared" si="599"/>
        <v>0</v>
      </c>
      <c r="AZ182" s="40">
        <f t="shared" si="599"/>
        <v>0</v>
      </c>
      <c r="BA182" s="40">
        <f t="shared" si="599"/>
        <v>0</v>
      </c>
      <c r="BB182" s="40">
        <f t="shared" si="599"/>
        <v>0</v>
      </c>
      <c r="BC182" s="40">
        <f t="shared" si="599"/>
        <v>0</v>
      </c>
      <c r="BD182" s="40">
        <f t="shared" si="599"/>
        <v>0</v>
      </c>
      <c r="BE182" s="191">
        <f t="shared" si="376"/>
        <v>701098647.87403357</v>
      </c>
      <c r="BF182" s="40"/>
      <c r="BG182" s="40">
        <f>BG62-BG125</f>
        <v>701098647.87403357</v>
      </c>
      <c r="BH182" s="40">
        <f>BH62-BH125</f>
        <v>0</v>
      </c>
      <c r="BI182" s="40">
        <f t="shared" ref="BI182:BR182" si="600">BI62-BI125</f>
        <v>0</v>
      </c>
      <c r="BJ182" s="40">
        <f t="shared" si="600"/>
        <v>0</v>
      </c>
      <c r="BK182" s="40">
        <f t="shared" si="600"/>
        <v>0</v>
      </c>
      <c r="BL182" s="40">
        <f t="shared" si="600"/>
        <v>0</v>
      </c>
      <c r="BM182" s="40">
        <f t="shared" si="600"/>
        <v>0</v>
      </c>
      <c r="BN182" s="40">
        <f t="shared" si="600"/>
        <v>0</v>
      </c>
      <c r="BO182" s="40">
        <f t="shared" si="600"/>
        <v>0</v>
      </c>
      <c r="BP182" s="40">
        <f t="shared" si="600"/>
        <v>0</v>
      </c>
      <c r="BQ182" s="40">
        <f t="shared" si="600"/>
        <v>0</v>
      </c>
      <c r="BR182" s="40">
        <f t="shared" si="600"/>
        <v>0</v>
      </c>
    </row>
    <row r="183" spans="1:70" ht="12.75" hidden="1" customHeight="1" outlineLevel="3" x14ac:dyDescent="0.2">
      <c r="B183" s="38" t="str">
        <f t="shared" si="549"/>
        <v>Страховые взносы, годовой бонус</v>
      </c>
      <c r="C183" s="49" t="str">
        <f t="shared" si="549"/>
        <v>Social Security on discretionary Bonus cash</v>
      </c>
      <c r="D183" s="171">
        <f t="shared" si="594"/>
        <v>57630515.471694231</v>
      </c>
      <c r="E183" s="35">
        <f t="shared" si="594"/>
        <v>57630515.471696198</v>
      </c>
      <c r="F183" s="35">
        <f t="shared" si="594"/>
        <v>-1.6391277313232422E-7</v>
      </c>
      <c r="G183" s="35">
        <f t="shared" si="594"/>
        <v>-1.6391277313232422E-7</v>
      </c>
      <c r="H183" s="35">
        <f t="shared" si="594"/>
        <v>-1.6391277313232422E-7</v>
      </c>
      <c r="I183" s="35">
        <f t="shared" si="594"/>
        <v>-1.6391277313232422E-7</v>
      </c>
      <c r="J183" s="35">
        <f t="shared" si="594"/>
        <v>-1.6391277313232422E-7</v>
      </c>
      <c r="K183" s="35">
        <f t="shared" si="594"/>
        <v>-1.6391277313232422E-7</v>
      </c>
      <c r="L183" s="35">
        <f t="shared" si="594"/>
        <v>-1.6391277313232422E-7</v>
      </c>
      <c r="M183" s="35">
        <f t="shared" si="594"/>
        <v>-1.6391277313232422E-7</v>
      </c>
      <c r="N183" s="35">
        <f t="shared" si="594"/>
        <v>-1.6391277313232422E-7</v>
      </c>
      <c r="O183" s="35">
        <f t="shared" si="594"/>
        <v>-1.6391277313232422E-7</v>
      </c>
      <c r="P183" s="179">
        <f t="shared" si="594"/>
        <v>-1.6391277313232422E-7</v>
      </c>
      <c r="Q183" s="194">
        <f t="shared" si="595"/>
        <v>57630515.471694231</v>
      </c>
      <c r="R183" s="35">
        <f t="shared" si="595"/>
        <v>57630515.471696198</v>
      </c>
      <c r="S183" s="35">
        <f t="shared" si="595"/>
        <v>-1.6391277313232422E-7</v>
      </c>
      <c r="T183" s="35">
        <f t="shared" si="596"/>
        <v>-1.6391277313232422E-7</v>
      </c>
      <c r="U183" s="35">
        <f t="shared" si="596"/>
        <v>-1.6391277313232422E-7</v>
      </c>
      <c r="V183" s="35">
        <f t="shared" si="596"/>
        <v>-1.6391277313232422E-7</v>
      </c>
      <c r="W183" s="35">
        <f t="shared" si="596"/>
        <v>-1.6391277313232422E-7</v>
      </c>
      <c r="X183" s="35">
        <f t="shared" si="596"/>
        <v>-1.6391277313232422E-7</v>
      </c>
      <c r="Y183" s="35">
        <f t="shared" si="596"/>
        <v>-1.6391277313232422E-7</v>
      </c>
      <c r="Z183" s="35">
        <f t="shared" si="596"/>
        <v>-1.6391277313232422E-7</v>
      </c>
      <c r="AA183" s="35">
        <f t="shared" si="596"/>
        <v>-1.6391277313232422E-7</v>
      </c>
      <c r="AB183" s="35">
        <f t="shared" si="596"/>
        <v>-1.6391277313232422E-7</v>
      </c>
      <c r="AC183" s="179">
        <f t="shared" si="596"/>
        <v>-1.6391277313232422E-7</v>
      </c>
      <c r="AD183" s="225">
        <f t="shared" si="597"/>
        <v>57630515.471694231</v>
      </c>
      <c r="AE183" s="35">
        <f t="shared" si="597"/>
        <v>57630515.471696198</v>
      </c>
      <c r="AF183" s="35">
        <f t="shared" si="597"/>
        <v>-1.6391277313232422E-7</v>
      </c>
      <c r="AG183" s="35">
        <f t="shared" si="598"/>
        <v>-1.6391277313232422E-7</v>
      </c>
      <c r="AH183" s="35">
        <f t="shared" si="598"/>
        <v>-1.6391277313232422E-7</v>
      </c>
      <c r="AI183" s="35">
        <f t="shared" si="598"/>
        <v>-1.6391277313232422E-7</v>
      </c>
      <c r="AJ183" s="35">
        <f t="shared" si="598"/>
        <v>-1.6391277313232422E-7</v>
      </c>
      <c r="AK183" s="35">
        <f t="shared" si="598"/>
        <v>-1.6391277313232422E-7</v>
      </c>
      <c r="AL183" s="35">
        <f t="shared" si="598"/>
        <v>-1.6391277313232422E-7</v>
      </c>
      <c r="AM183" s="35">
        <f t="shared" si="598"/>
        <v>-1.6391277313232422E-7</v>
      </c>
      <c r="AN183" s="35">
        <f t="shared" si="598"/>
        <v>-1.6391277313232422E-7</v>
      </c>
      <c r="AO183" s="35">
        <f t="shared" si="598"/>
        <v>-1.6391277313232422E-7</v>
      </c>
      <c r="AP183" s="35">
        <f t="shared" si="598"/>
        <v>-1.6391277313232422E-7</v>
      </c>
      <c r="AQ183" s="194">
        <f t="shared" si="517"/>
        <v>0</v>
      </c>
      <c r="AR183" s="35"/>
      <c r="AS183" s="35">
        <f>AS63-AS126</f>
        <v>57630515.471696198</v>
      </c>
      <c r="AT183" s="35">
        <f>AT63-AT126</f>
        <v>-1.6391277313232422E-7</v>
      </c>
      <c r="AU183" s="35">
        <f t="shared" si="599"/>
        <v>-1.6391277313232422E-7</v>
      </c>
      <c r="AV183" s="35">
        <f t="shared" si="599"/>
        <v>-1.6391277313232422E-7</v>
      </c>
      <c r="AW183" s="35">
        <f t="shared" si="599"/>
        <v>-1.6391277313232422E-7</v>
      </c>
      <c r="AX183" s="35">
        <f t="shared" si="599"/>
        <v>-1.6391277313232422E-7</v>
      </c>
      <c r="AY183" s="35">
        <f t="shared" si="599"/>
        <v>-1.6391277313232422E-7</v>
      </c>
      <c r="AZ183" s="35">
        <f t="shared" si="599"/>
        <v>-1.6391277313232422E-7</v>
      </c>
      <c r="BA183" s="35">
        <f t="shared" si="599"/>
        <v>-1.6391277313232422E-7</v>
      </c>
      <c r="BB183" s="35">
        <f t="shared" si="599"/>
        <v>-1.6391277313232422E-7</v>
      </c>
      <c r="BC183" s="35">
        <f t="shared" si="599"/>
        <v>-1.6391277313232422E-7</v>
      </c>
      <c r="BD183" s="35">
        <f t="shared" si="599"/>
        <v>-1.6391277313232422E-7</v>
      </c>
      <c r="BE183" s="194">
        <f t="shared" si="376"/>
        <v>57630515.471696198</v>
      </c>
      <c r="BF183" s="35"/>
      <c r="BG183" s="35">
        <f>BG63-BG126</f>
        <v>57630515.471696198</v>
      </c>
      <c r="BH183" s="35">
        <f>BH63-BH126</f>
        <v>-1.6391277313232422E-7</v>
      </c>
      <c r="BI183" s="35">
        <f t="shared" ref="BI183:BR183" si="601">BI63-BI126</f>
        <v>-1.6391277313232422E-7</v>
      </c>
      <c r="BJ183" s="35">
        <f t="shared" si="601"/>
        <v>-1.6391277313232422E-7</v>
      </c>
      <c r="BK183" s="35">
        <f t="shared" si="601"/>
        <v>-1.6391277313232422E-7</v>
      </c>
      <c r="BL183" s="35">
        <f t="shared" si="601"/>
        <v>-1.6391277313232422E-7</v>
      </c>
      <c r="BM183" s="35">
        <f t="shared" si="601"/>
        <v>-1.6391277313232422E-7</v>
      </c>
      <c r="BN183" s="35">
        <f t="shared" si="601"/>
        <v>-1.6391277313232422E-7</v>
      </c>
      <c r="BO183" s="35">
        <f t="shared" si="601"/>
        <v>-1.6391277313232422E-7</v>
      </c>
      <c r="BP183" s="35">
        <f t="shared" si="601"/>
        <v>-1.6391277313232422E-7</v>
      </c>
      <c r="BQ183" s="35">
        <f t="shared" si="601"/>
        <v>-1.6391277313232422E-7</v>
      </c>
      <c r="BR183" s="35">
        <f t="shared" si="601"/>
        <v>-1.6391277313232422E-7</v>
      </c>
    </row>
    <row r="184" spans="1:70" s="6" customFormat="1" hidden="1" outlineLevel="2" x14ac:dyDescent="0.2">
      <c r="A184" s="30"/>
      <c r="B184" s="29" t="str">
        <f t="shared" si="549"/>
        <v>Итого годовой бонус</v>
      </c>
      <c r="C184" s="165" t="str">
        <f t="shared" si="549"/>
        <v>Total Bonus discretionary cash</v>
      </c>
      <c r="D184" s="169">
        <f>SUM(D182:D183)</f>
        <v>758729163.34572816</v>
      </c>
      <c r="E184" s="26">
        <f>SUM(E182:E183)</f>
        <v>758729163.34572983</v>
      </c>
      <c r="F184" s="26">
        <f>SUM(F182:F183)</f>
        <v>-1.6391277313232422E-7</v>
      </c>
      <c r="G184" s="26">
        <f t="shared" ref="G184:P184" si="602">SUM(G182:G183)</f>
        <v>-1.6391277313232422E-7</v>
      </c>
      <c r="H184" s="26">
        <f t="shared" si="602"/>
        <v>-1.6391277313232422E-7</v>
      </c>
      <c r="I184" s="26">
        <f t="shared" si="602"/>
        <v>-1.6391277313232422E-7</v>
      </c>
      <c r="J184" s="26">
        <f t="shared" si="602"/>
        <v>-1.6391277313232422E-7</v>
      </c>
      <c r="K184" s="26">
        <f t="shared" si="602"/>
        <v>-1.6391277313232422E-7</v>
      </c>
      <c r="L184" s="26">
        <f t="shared" si="602"/>
        <v>-1.6391277313232422E-7</v>
      </c>
      <c r="M184" s="26">
        <f t="shared" si="602"/>
        <v>-1.6391277313232422E-7</v>
      </c>
      <c r="N184" s="26">
        <f t="shared" si="602"/>
        <v>-1.6391277313232422E-7</v>
      </c>
      <c r="O184" s="26">
        <f t="shared" si="602"/>
        <v>-1.6391277313232422E-7</v>
      </c>
      <c r="P184" s="177">
        <f t="shared" si="602"/>
        <v>-1.6391277313232422E-7</v>
      </c>
      <c r="Q184" s="192">
        <f>SUM(Q182:Q183)</f>
        <v>758729163.34572816</v>
      </c>
      <c r="R184" s="26">
        <f>SUM(R182:R183)</f>
        <v>758729163.34572983</v>
      </c>
      <c r="S184" s="26">
        <f>SUM(S182:S183)</f>
        <v>-1.6391277313232422E-7</v>
      </c>
      <c r="T184" s="26">
        <f t="shared" ref="T184:AC184" si="603">SUM(T182:T183)</f>
        <v>-1.6391277313232422E-7</v>
      </c>
      <c r="U184" s="26">
        <f t="shared" si="603"/>
        <v>-1.6391277313232422E-7</v>
      </c>
      <c r="V184" s="26">
        <f t="shared" si="603"/>
        <v>-1.6391277313232422E-7</v>
      </c>
      <c r="W184" s="26">
        <f t="shared" si="603"/>
        <v>-1.6391277313232422E-7</v>
      </c>
      <c r="X184" s="26">
        <f t="shared" si="603"/>
        <v>-1.6391277313232422E-7</v>
      </c>
      <c r="Y184" s="26">
        <f t="shared" si="603"/>
        <v>-1.6391277313232422E-7</v>
      </c>
      <c r="Z184" s="26">
        <f t="shared" si="603"/>
        <v>-1.6391277313232422E-7</v>
      </c>
      <c r="AA184" s="26">
        <f t="shared" si="603"/>
        <v>-1.6391277313232422E-7</v>
      </c>
      <c r="AB184" s="26">
        <f t="shared" si="603"/>
        <v>-1.6391277313232422E-7</v>
      </c>
      <c r="AC184" s="177">
        <f t="shared" si="603"/>
        <v>-1.6391277313232422E-7</v>
      </c>
      <c r="AD184" s="226">
        <f>SUM(AD182:AD183)</f>
        <v>758729163.34572816</v>
      </c>
      <c r="AE184" s="26">
        <f>SUM(AE182:AE183)</f>
        <v>758729163.34572983</v>
      </c>
      <c r="AF184" s="26">
        <f>SUM(AF182:AF183)</f>
        <v>-1.6391277313232422E-7</v>
      </c>
      <c r="AG184" s="26">
        <f t="shared" ref="AG184:AP184" si="604">SUM(AG182:AG183)</f>
        <v>-1.6391277313232422E-7</v>
      </c>
      <c r="AH184" s="26">
        <f t="shared" si="604"/>
        <v>-1.6391277313232422E-7</v>
      </c>
      <c r="AI184" s="26">
        <f t="shared" si="604"/>
        <v>-1.6391277313232422E-7</v>
      </c>
      <c r="AJ184" s="26">
        <f t="shared" si="604"/>
        <v>-1.6391277313232422E-7</v>
      </c>
      <c r="AK184" s="26">
        <f t="shared" si="604"/>
        <v>-1.6391277313232422E-7</v>
      </c>
      <c r="AL184" s="26">
        <f t="shared" si="604"/>
        <v>-1.6391277313232422E-7</v>
      </c>
      <c r="AM184" s="26">
        <f t="shared" si="604"/>
        <v>-1.6391277313232422E-7</v>
      </c>
      <c r="AN184" s="26">
        <f t="shared" si="604"/>
        <v>-1.6391277313232422E-7</v>
      </c>
      <c r="AO184" s="26">
        <f t="shared" si="604"/>
        <v>-1.6391277313232422E-7</v>
      </c>
      <c r="AP184" s="26">
        <f t="shared" si="604"/>
        <v>-1.6391277313232422E-7</v>
      </c>
      <c r="AQ184" s="192">
        <f t="shared" si="517"/>
        <v>0</v>
      </c>
      <c r="AR184" s="26"/>
      <c r="AS184" s="26">
        <f>SUM(AS182:AS183)</f>
        <v>758729163.34572983</v>
      </c>
      <c r="AT184" s="26">
        <f>SUM(AT182:AT183)</f>
        <v>-1.6391277313232422E-7</v>
      </c>
      <c r="AU184" s="26">
        <f t="shared" ref="AU184:BD184" si="605">SUM(AU182:AU183)</f>
        <v>-1.6391277313232422E-7</v>
      </c>
      <c r="AV184" s="26">
        <f t="shared" si="605"/>
        <v>-1.6391277313232422E-7</v>
      </c>
      <c r="AW184" s="26">
        <f t="shared" si="605"/>
        <v>-1.6391277313232422E-7</v>
      </c>
      <c r="AX184" s="26">
        <f t="shared" si="605"/>
        <v>-1.6391277313232422E-7</v>
      </c>
      <c r="AY184" s="26">
        <f t="shared" si="605"/>
        <v>-1.6391277313232422E-7</v>
      </c>
      <c r="AZ184" s="26">
        <f t="shared" si="605"/>
        <v>-1.6391277313232422E-7</v>
      </c>
      <c r="BA184" s="26">
        <f t="shared" si="605"/>
        <v>-1.6391277313232422E-7</v>
      </c>
      <c r="BB184" s="26">
        <f t="shared" si="605"/>
        <v>-1.6391277313232422E-7</v>
      </c>
      <c r="BC184" s="26">
        <f t="shared" si="605"/>
        <v>-1.6391277313232422E-7</v>
      </c>
      <c r="BD184" s="26">
        <f t="shared" si="605"/>
        <v>-1.6391277313232422E-7</v>
      </c>
      <c r="BE184" s="192">
        <f t="shared" si="376"/>
        <v>758729163.34572983</v>
      </c>
      <c r="BF184" s="26"/>
      <c r="BG184" s="26">
        <f>SUM(BG182:BG183)</f>
        <v>758729163.34572983</v>
      </c>
      <c r="BH184" s="26">
        <f>SUM(BH182:BH183)</f>
        <v>-1.6391277313232422E-7</v>
      </c>
      <c r="BI184" s="26">
        <f t="shared" ref="BI184:BR184" si="606">SUM(BI182:BI183)</f>
        <v>-1.6391277313232422E-7</v>
      </c>
      <c r="BJ184" s="26">
        <f t="shared" si="606"/>
        <v>-1.6391277313232422E-7</v>
      </c>
      <c r="BK184" s="26">
        <f t="shared" si="606"/>
        <v>-1.6391277313232422E-7</v>
      </c>
      <c r="BL184" s="26">
        <f t="shared" si="606"/>
        <v>-1.6391277313232422E-7</v>
      </c>
      <c r="BM184" s="26">
        <f t="shared" si="606"/>
        <v>-1.6391277313232422E-7</v>
      </c>
      <c r="BN184" s="26">
        <f t="shared" si="606"/>
        <v>-1.6391277313232422E-7</v>
      </c>
      <c r="BO184" s="26">
        <f t="shared" si="606"/>
        <v>-1.6391277313232422E-7</v>
      </c>
      <c r="BP184" s="26">
        <f t="shared" si="606"/>
        <v>-1.6391277313232422E-7</v>
      </c>
      <c r="BQ184" s="26">
        <f t="shared" si="606"/>
        <v>-1.6391277313232422E-7</v>
      </c>
      <c r="BR184" s="26">
        <f t="shared" si="606"/>
        <v>-1.6391277313232422E-7</v>
      </c>
    </row>
    <row r="185" spans="1:70" ht="15.75" customHeight="1" collapsed="1" x14ac:dyDescent="0.2">
      <c r="B185" s="21" t="str">
        <f t="shared" si="549"/>
        <v>Годовой бонус</v>
      </c>
      <c r="C185" s="164" t="str">
        <f t="shared" si="549"/>
        <v>Bonus discretionary</v>
      </c>
      <c r="D185" s="172">
        <f>D184+D181+D178</f>
        <v>1107135967.3829179</v>
      </c>
      <c r="E185" s="18">
        <f>E184+E181+E178</f>
        <v>1107135967.3829193</v>
      </c>
      <c r="F185" s="18">
        <f>F184+F181+F178</f>
        <v>-1.6391277313232422E-7</v>
      </c>
      <c r="G185" s="18">
        <f t="shared" ref="G185:P185" si="607">G184+G181+G178</f>
        <v>-1.6391277313232422E-7</v>
      </c>
      <c r="H185" s="18">
        <f t="shared" si="607"/>
        <v>-1.6391277313232422E-7</v>
      </c>
      <c r="I185" s="18">
        <f t="shared" si="607"/>
        <v>-1.6391277313232422E-7</v>
      </c>
      <c r="J185" s="18">
        <f t="shared" si="607"/>
        <v>-1.6391277313232422E-7</v>
      </c>
      <c r="K185" s="18">
        <f t="shared" si="607"/>
        <v>-1.6391277313232422E-7</v>
      </c>
      <c r="L185" s="18">
        <f t="shared" si="607"/>
        <v>-1.6391277313232422E-7</v>
      </c>
      <c r="M185" s="18">
        <f t="shared" si="607"/>
        <v>-1.6391277313232422E-7</v>
      </c>
      <c r="N185" s="18">
        <f t="shared" si="607"/>
        <v>-1.6391277313232422E-7</v>
      </c>
      <c r="O185" s="18">
        <f t="shared" si="607"/>
        <v>-1.6391277313232422E-7</v>
      </c>
      <c r="P185" s="180">
        <f t="shared" si="607"/>
        <v>-1.6391277313232422E-7</v>
      </c>
      <c r="Q185" s="195">
        <f>Q184+Q181+Q178</f>
        <v>1107135967.3829179</v>
      </c>
      <c r="R185" s="18">
        <f>R184+R181+R178</f>
        <v>1107135967.3829193</v>
      </c>
      <c r="S185" s="18">
        <f>S184+S181+S178</f>
        <v>-1.6391277313232422E-7</v>
      </c>
      <c r="T185" s="18">
        <f t="shared" ref="T185:AC185" si="608">T184+T181+T178</f>
        <v>-1.6391277313232422E-7</v>
      </c>
      <c r="U185" s="18">
        <f t="shared" si="608"/>
        <v>-1.6391277313232422E-7</v>
      </c>
      <c r="V185" s="18">
        <f t="shared" si="608"/>
        <v>-1.6391277313232422E-7</v>
      </c>
      <c r="W185" s="18">
        <f t="shared" si="608"/>
        <v>-1.6391277313232422E-7</v>
      </c>
      <c r="X185" s="18">
        <f t="shared" si="608"/>
        <v>-1.6391277313232422E-7</v>
      </c>
      <c r="Y185" s="18">
        <f t="shared" si="608"/>
        <v>-1.6391277313232422E-7</v>
      </c>
      <c r="Z185" s="18">
        <f t="shared" si="608"/>
        <v>-1.6391277313232422E-7</v>
      </c>
      <c r="AA185" s="18">
        <f t="shared" si="608"/>
        <v>-1.6391277313232422E-7</v>
      </c>
      <c r="AB185" s="18">
        <f t="shared" si="608"/>
        <v>-1.6391277313232422E-7</v>
      </c>
      <c r="AC185" s="180">
        <f t="shared" si="608"/>
        <v>-1.6391277313232422E-7</v>
      </c>
      <c r="AD185" s="228">
        <f>AD184+AD181+AD178</f>
        <v>1107135967.3829179</v>
      </c>
      <c r="AE185" s="18">
        <f>AE184+AE181+AE178</f>
        <v>1107135967.3829193</v>
      </c>
      <c r="AF185" s="18">
        <f>AF184+AF181+AF178</f>
        <v>-1.6391277313232422E-7</v>
      </c>
      <c r="AG185" s="18">
        <f t="shared" ref="AG185:AP185" si="609">AG184+AG181+AG178</f>
        <v>-1.6391277313232422E-7</v>
      </c>
      <c r="AH185" s="18">
        <f t="shared" si="609"/>
        <v>-1.6391277313232422E-7</v>
      </c>
      <c r="AI185" s="18">
        <f t="shared" si="609"/>
        <v>-1.6391277313232422E-7</v>
      </c>
      <c r="AJ185" s="18">
        <f t="shared" si="609"/>
        <v>-1.6391277313232422E-7</v>
      </c>
      <c r="AK185" s="18">
        <f t="shared" si="609"/>
        <v>-1.6391277313232422E-7</v>
      </c>
      <c r="AL185" s="18">
        <f t="shared" si="609"/>
        <v>-1.6391277313232422E-7</v>
      </c>
      <c r="AM185" s="18">
        <f t="shared" si="609"/>
        <v>-1.6391277313232422E-7</v>
      </c>
      <c r="AN185" s="18">
        <f t="shared" si="609"/>
        <v>-1.6391277313232422E-7</v>
      </c>
      <c r="AO185" s="18">
        <f t="shared" si="609"/>
        <v>-1.6391277313232422E-7</v>
      </c>
      <c r="AP185" s="18">
        <f t="shared" si="609"/>
        <v>-1.6391277313232422E-7</v>
      </c>
      <c r="AQ185" s="195">
        <f t="shared" si="517"/>
        <v>0</v>
      </c>
      <c r="AR185" s="18"/>
      <c r="AS185" s="18">
        <f>AS184+AS181+AS178</f>
        <v>1107135967.3829193</v>
      </c>
      <c r="AT185" s="18">
        <f>AT184+AT181+AT178</f>
        <v>-1.6391277313232422E-7</v>
      </c>
      <c r="AU185" s="18">
        <f t="shared" ref="AU185:BD185" si="610">AU184+AU181+AU178</f>
        <v>-1.6391277313232422E-7</v>
      </c>
      <c r="AV185" s="18">
        <f t="shared" si="610"/>
        <v>-1.6391277313232422E-7</v>
      </c>
      <c r="AW185" s="18">
        <f t="shared" si="610"/>
        <v>-1.6391277313232422E-7</v>
      </c>
      <c r="AX185" s="18">
        <f t="shared" si="610"/>
        <v>-1.6391277313232422E-7</v>
      </c>
      <c r="AY185" s="18">
        <f t="shared" si="610"/>
        <v>-1.6391277313232422E-7</v>
      </c>
      <c r="AZ185" s="18">
        <f t="shared" si="610"/>
        <v>-1.6391277313232422E-7</v>
      </c>
      <c r="BA185" s="18">
        <f t="shared" si="610"/>
        <v>-1.6391277313232422E-7</v>
      </c>
      <c r="BB185" s="18">
        <f t="shared" si="610"/>
        <v>-1.6391277313232422E-7</v>
      </c>
      <c r="BC185" s="18">
        <f t="shared" si="610"/>
        <v>-1.6391277313232422E-7</v>
      </c>
      <c r="BD185" s="18">
        <f t="shared" si="610"/>
        <v>-1.6391277313232422E-7</v>
      </c>
      <c r="BE185" s="195">
        <f t="shared" si="376"/>
        <v>1107135967.3829193</v>
      </c>
      <c r="BF185" s="18"/>
      <c r="BG185" s="18">
        <f>BG184+BG181+BG178</f>
        <v>1107135967.3829193</v>
      </c>
      <c r="BH185" s="18">
        <f>BH184+BH181+BH178</f>
        <v>-1.6391277313232422E-7</v>
      </c>
      <c r="BI185" s="18">
        <f t="shared" ref="BI185:BR185" si="611">BI184+BI181+BI178</f>
        <v>-1.6391277313232422E-7</v>
      </c>
      <c r="BJ185" s="18">
        <f t="shared" si="611"/>
        <v>-1.6391277313232422E-7</v>
      </c>
      <c r="BK185" s="18">
        <f t="shared" si="611"/>
        <v>-1.6391277313232422E-7</v>
      </c>
      <c r="BL185" s="18">
        <f t="shared" si="611"/>
        <v>-1.6391277313232422E-7</v>
      </c>
      <c r="BM185" s="18">
        <f t="shared" si="611"/>
        <v>-1.6391277313232422E-7</v>
      </c>
      <c r="BN185" s="18">
        <f t="shared" si="611"/>
        <v>-1.6391277313232422E-7</v>
      </c>
      <c r="BO185" s="18">
        <f t="shared" si="611"/>
        <v>-1.6391277313232422E-7</v>
      </c>
      <c r="BP185" s="18">
        <f t="shared" si="611"/>
        <v>-1.6391277313232422E-7</v>
      </c>
      <c r="BQ185" s="18">
        <f t="shared" si="611"/>
        <v>-1.6391277313232422E-7</v>
      </c>
      <c r="BR185" s="18">
        <f t="shared" si="611"/>
        <v>-1.6391277313232422E-7</v>
      </c>
    </row>
    <row r="186" spans="1:70" s="6" customFormat="1" ht="18.75" customHeight="1" x14ac:dyDescent="0.2">
      <c r="B186" s="13" t="str">
        <f t="shared" si="549"/>
        <v>Итого компенсации и льготы</v>
      </c>
      <c r="C186" s="156" t="str">
        <f t="shared" si="549"/>
        <v>Total Compencation &amp; Benefits</v>
      </c>
      <c r="D186" s="157">
        <f>D171+D185+D175</f>
        <v>981143815.23907638</v>
      </c>
      <c r="E186" s="11">
        <f>E171+E185+E175</f>
        <v>1109223061.0729194</v>
      </c>
      <c r="F186" s="11">
        <f>F171+F185+F175</f>
        <v>-11643567.80307664</v>
      </c>
      <c r="G186" s="11">
        <f t="shared" ref="G186:P186" si="612">G171+G185+G175</f>
        <v>-11643567.80307664</v>
      </c>
      <c r="H186" s="11">
        <f t="shared" si="612"/>
        <v>-11643567.80307664</v>
      </c>
      <c r="I186" s="11">
        <f t="shared" si="612"/>
        <v>-11643567.80307664</v>
      </c>
      <c r="J186" s="11">
        <f t="shared" si="612"/>
        <v>-11643567.80307664</v>
      </c>
      <c r="K186" s="11">
        <f t="shared" si="612"/>
        <v>-11643567.80307664</v>
      </c>
      <c r="L186" s="11">
        <f t="shared" si="612"/>
        <v>-11643567.80307664</v>
      </c>
      <c r="M186" s="11">
        <f t="shared" si="612"/>
        <v>-11643567.80307664</v>
      </c>
      <c r="N186" s="11">
        <f t="shared" si="612"/>
        <v>-11643567.80307664</v>
      </c>
      <c r="O186" s="11">
        <f t="shared" si="612"/>
        <v>-11643567.80307664</v>
      </c>
      <c r="P186" s="181">
        <f t="shared" si="612"/>
        <v>-11643567.80307664</v>
      </c>
      <c r="Q186" s="196">
        <f>Q171+Q185+Q175</f>
        <v>981143815.23907638</v>
      </c>
      <c r="R186" s="11">
        <f>R171+R185+R175</f>
        <v>1109223061.0729194</v>
      </c>
      <c r="S186" s="11">
        <f>S171+S185+S175</f>
        <v>-11643567.80307664</v>
      </c>
      <c r="T186" s="11">
        <f t="shared" ref="T186:AC186" si="613">T171+T185+T175</f>
        <v>-11643567.80307664</v>
      </c>
      <c r="U186" s="11">
        <f t="shared" si="613"/>
        <v>-11643567.80307664</v>
      </c>
      <c r="V186" s="11">
        <f t="shared" si="613"/>
        <v>-11643567.80307664</v>
      </c>
      <c r="W186" s="11">
        <f t="shared" si="613"/>
        <v>-11643567.80307664</v>
      </c>
      <c r="X186" s="11">
        <f t="shared" si="613"/>
        <v>-11643567.80307664</v>
      </c>
      <c r="Y186" s="11">
        <f t="shared" si="613"/>
        <v>-11643567.80307664</v>
      </c>
      <c r="Z186" s="11">
        <f t="shared" si="613"/>
        <v>-11643567.80307664</v>
      </c>
      <c r="AA186" s="11">
        <f t="shared" si="613"/>
        <v>-11643567.80307664</v>
      </c>
      <c r="AB186" s="11">
        <f t="shared" si="613"/>
        <v>-11643567.80307664</v>
      </c>
      <c r="AC186" s="181">
        <f t="shared" si="613"/>
        <v>-11643567.80307664</v>
      </c>
      <c r="AD186" s="196">
        <f>AD171+AD185+AD175</f>
        <v>981143815.23907638</v>
      </c>
      <c r="AE186" s="11">
        <f>AE171+AE185+AE175</f>
        <v>1109223061.0729194</v>
      </c>
      <c r="AF186" s="11">
        <f>AF171+AF185+AF175</f>
        <v>-11643567.80307664</v>
      </c>
      <c r="AG186" s="11">
        <f t="shared" ref="AG186:AP186" si="614">AG171+AG185+AG175</f>
        <v>-11643567.80307664</v>
      </c>
      <c r="AH186" s="11">
        <f t="shared" si="614"/>
        <v>-11643567.80307664</v>
      </c>
      <c r="AI186" s="11">
        <f t="shared" si="614"/>
        <v>-11643567.80307664</v>
      </c>
      <c r="AJ186" s="11">
        <f t="shared" si="614"/>
        <v>-11643567.80307664</v>
      </c>
      <c r="AK186" s="11">
        <f t="shared" si="614"/>
        <v>-11643567.80307664</v>
      </c>
      <c r="AL186" s="11">
        <f t="shared" si="614"/>
        <v>-11643567.80307664</v>
      </c>
      <c r="AM186" s="11">
        <f t="shared" si="614"/>
        <v>-11643567.80307664</v>
      </c>
      <c r="AN186" s="11">
        <f t="shared" si="614"/>
        <v>-11643567.80307664</v>
      </c>
      <c r="AO186" s="11">
        <f t="shared" si="614"/>
        <v>-11643567.80307664</v>
      </c>
      <c r="AP186" s="11">
        <f t="shared" si="614"/>
        <v>-11643567.80307664</v>
      </c>
      <c r="AQ186" s="196">
        <f t="shared" si="517"/>
        <v>0</v>
      </c>
      <c r="AR186" s="11"/>
      <c r="AS186" s="11">
        <f>AS171+AS185+AS175</f>
        <v>1109223061.0729194</v>
      </c>
      <c r="AT186" s="11">
        <f>AT171+AT185+AT175</f>
        <v>-11643567.80307664</v>
      </c>
      <c r="AU186" s="11">
        <f t="shared" ref="AU186:BD186" si="615">AU171+AU185+AU175</f>
        <v>-11643567.80307664</v>
      </c>
      <c r="AV186" s="11">
        <f t="shared" si="615"/>
        <v>-11643567.80307664</v>
      </c>
      <c r="AW186" s="11">
        <f t="shared" si="615"/>
        <v>-11643567.80307664</v>
      </c>
      <c r="AX186" s="11">
        <f t="shared" si="615"/>
        <v>-11643567.80307664</v>
      </c>
      <c r="AY186" s="11">
        <f t="shared" si="615"/>
        <v>-11643567.80307664</v>
      </c>
      <c r="AZ186" s="11">
        <f t="shared" si="615"/>
        <v>-11643567.80307664</v>
      </c>
      <c r="BA186" s="11">
        <f t="shared" si="615"/>
        <v>-11643567.80307664</v>
      </c>
      <c r="BB186" s="11">
        <f t="shared" si="615"/>
        <v>-11643567.80307664</v>
      </c>
      <c r="BC186" s="11">
        <f t="shared" si="615"/>
        <v>-11643567.80307664</v>
      </c>
      <c r="BD186" s="11">
        <f t="shared" si="615"/>
        <v>-11643567.80307664</v>
      </c>
      <c r="BE186" s="196">
        <f t="shared" si="376"/>
        <v>1109223061.0729194</v>
      </c>
      <c r="BF186" s="11"/>
      <c r="BG186" s="11">
        <f>BG171+BG185+BG175</f>
        <v>1109223061.0729194</v>
      </c>
      <c r="BH186" s="11">
        <f>BH171+BH185+BH175</f>
        <v>-11643567.80307664</v>
      </c>
      <c r="BI186" s="11">
        <f t="shared" ref="BI186:BR186" si="616">BI171+BI185+BI175</f>
        <v>-11643567.80307664</v>
      </c>
      <c r="BJ186" s="11">
        <f t="shared" si="616"/>
        <v>-11643567.80307664</v>
      </c>
      <c r="BK186" s="11">
        <f t="shared" si="616"/>
        <v>-11643567.80307664</v>
      </c>
      <c r="BL186" s="11">
        <f t="shared" si="616"/>
        <v>-11643567.80307664</v>
      </c>
      <c r="BM186" s="11">
        <f t="shared" si="616"/>
        <v>-11643567.80307664</v>
      </c>
      <c r="BN186" s="11">
        <f t="shared" si="616"/>
        <v>-11643567.80307664</v>
      </c>
      <c r="BO186" s="11">
        <f t="shared" si="616"/>
        <v>-11643567.80307664</v>
      </c>
      <c r="BP186" s="11">
        <f t="shared" si="616"/>
        <v>-11643567.80307664</v>
      </c>
      <c r="BQ186" s="11">
        <f t="shared" si="616"/>
        <v>-11643567.80307664</v>
      </c>
      <c r="BR186" s="11">
        <f t="shared" si="616"/>
        <v>-11643567.80307664</v>
      </c>
    </row>
    <row r="187" spans="1:70" x14ac:dyDescent="0.2">
      <c r="O187" s="3"/>
      <c r="AB187" s="3"/>
      <c r="AO187" s="3"/>
      <c r="BC187" s="3"/>
      <c r="BQ187" s="3"/>
    </row>
    <row r="188" spans="1:70" x14ac:dyDescent="0.2">
      <c r="O188" s="3"/>
      <c r="AB188" s="3"/>
      <c r="AO188" s="3"/>
      <c r="BC188" s="3"/>
      <c r="BQ188" s="3"/>
    </row>
    <row r="189" spans="1:70" x14ac:dyDescent="0.2">
      <c r="A189" s="5">
        <v>1</v>
      </c>
      <c r="B189" s="219" t="s">
        <v>169</v>
      </c>
      <c r="O189" s="3"/>
      <c r="AB189" s="3"/>
      <c r="AO189" s="3"/>
      <c r="BC189" s="3"/>
      <c r="BQ189" s="3"/>
    </row>
    <row r="190" spans="1:70" x14ac:dyDescent="0.2">
      <c r="A190" s="5">
        <v>2</v>
      </c>
      <c r="B190" s="219" t="s">
        <v>172</v>
      </c>
      <c r="O190" s="3"/>
      <c r="AB190" s="3"/>
      <c r="AO190" s="3"/>
      <c r="BC190" s="3"/>
      <c r="BQ190" s="3"/>
    </row>
    <row r="191" spans="1:70" x14ac:dyDescent="0.2">
      <c r="A191" s="5">
        <v>3</v>
      </c>
      <c r="B191" s="219"/>
      <c r="O191" s="3"/>
      <c r="AB191" s="3"/>
      <c r="AO191" s="3"/>
      <c r="BC191" s="3"/>
      <c r="BQ191" s="3"/>
    </row>
    <row r="192" spans="1:70" x14ac:dyDescent="0.2">
      <c r="A192" s="5">
        <v>4</v>
      </c>
      <c r="B192" s="136" t="s">
        <v>184</v>
      </c>
      <c r="O192" s="3"/>
      <c r="AB192" s="3"/>
      <c r="AO192" s="3"/>
      <c r="BC192" s="3"/>
      <c r="BQ192" s="3"/>
    </row>
    <row r="193" spans="1:69" x14ac:dyDescent="0.2">
      <c r="A193" s="5">
        <v>5</v>
      </c>
      <c r="B193" s="136" t="s">
        <v>185</v>
      </c>
      <c r="O193" s="3"/>
      <c r="AB193" s="3"/>
      <c r="AO193" s="3"/>
      <c r="BC193" s="3"/>
      <c r="BQ193" s="3"/>
    </row>
    <row r="194" spans="1:69" x14ac:dyDescent="0.2">
      <c r="A194" s="5">
        <v>6</v>
      </c>
      <c r="B194" s="219"/>
      <c r="O194" s="3"/>
      <c r="AB194" s="3"/>
      <c r="AO194" s="3"/>
      <c r="BC194" s="3"/>
      <c r="BQ194" s="3"/>
    </row>
    <row r="195" spans="1:69" x14ac:dyDescent="0.2">
      <c r="A195" s="5">
        <v>7</v>
      </c>
      <c r="B195" s="219"/>
      <c r="O195" s="3"/>
      <c r="AB195" s="3"/>
      <c r="AO195" s="3"/>
      <c r="BC195" s="3"/>
      <c r="BQ195" s="3"/>
    </row>
    <row r="196" spans="1:69" x14ac:dyDescent="0.2">
      <c r="A196" s="4"/>
      <c r="B196" s="219"/>
      <c r="O196" s="3"/>
      <c r="AB196" s="3"/>
      <c r="AO196" s="3"/>
      <c r="BC196" s="3"/>
      <c r="BQ196" s="3"/>
    </row>
    <row r="197" spans="1:69" x14ac:dyDescent="0.2">
      <c r="O197" s="3"/>
      <c r="AB197" s="3"/>
      <c r="AO197" s="3"/>
      <c r="BC197" s="3"/>
      <c r="BQ197" s="3"/>
    </row>
    <row r="198" spans="1:69" x14ac:dyDescent="0.2">
      <c r="O198" s="3"/>
      <c r="AB198" s="3"/>
      <c r="AO198" s="3"/>
      <c r="BC198" s="3"/>
      <c r="BQ198" s="3"/>
    </row>
    <row r="199" spans="1:69" x14ac:dyDescent="0.2">
      <c r="O199" s="3"/>
      <c r="AB199" s="3"/>
      <c r="AO199" s="3"/>
      <c r="BC199" s="3"/>
      <c r="BQ199" s="3"/>
    </row>
    <row r="200" spans="1:69" x14ac:dyDescent="0.2">
      <c r="O200" s="3"/>
      <c r="AB200" s="3"/>
      <c r="AO200" s="3"/>
      <c r="BC200" s="3"/>
      <c r="BQ200" s="3"/>
    </row>
    <row r="201" spans="1:69" x14ac:dyDescent="0.2">
      <c r="O201" s="3"/>
      <c r="AB201" s="3"/>
      <c r="AO201" s="3"/>
      <c r="BC201" s="3"/>
      <c r="BQ201" s="3"/>
    </row>
    <row r="202" spans="1:69" x14ac:dyDescent="0.2">
      <c r="O202" s="3"/>
      <c r="AB202" s="3"/>
      <c r="AO202" s="3"/>
      <c r="BC202" s="3"/>
      <c r="BQ202" s="3"/>
    </row>
    <row r="203" spans="1:69" x14ac:dyDescent="0.2">
      <c r="O203" s="3"/>
      <c r="AB203" s="3"/>
      <c r="AO203" s="3"/>
      <c r="BC203" s="3"/>
      <c r="BQ203" s="3"/>
    </row>
    <row r="204" spans="1:69" x14ac:dyDescent="0.2">
      <c r="O204" s="3"/>
      <c r="AB204" s="3"/>
      <c r="AO204" s="3"/>
      <c r="BC204" s="3"/>
      <c r="BQ204" s="3"/>
    </row>
    <row r="205" spans="1:69" x14ac:dyDescent="0.2">
      <c r="O205" s="3"/>
      <c r="AB205" s="3"/>
      <c r="AO205" s="3"/>
      <c r="BC205" s="3"/>
      <c r="BQ205" s="3"/>
    </row>
    <row r="206" spans="1:69" x14ac:dyDescent="0.2">
      <c r="O206" s="3"/>
      <c r="AB206" s="3"/>
      <c r="AO206" s="3"/>
      <c r="BC206" s="3"/>
      <c r="BQ206" s="3"/>
    </row>
    <row r="207" spans="1:69" x14ac:dyDescent="0.2">
      <c r="O207" s="3"/>
      <c r="AB207" s="3"/>
      <c r="AO207" s="3"/>
      <c r="BC207" s="3"/>
      <c r="BQ207" s="3"/>
    </row>
    <row r="208" spans="1:69" x14ac:dyDescent="0.2">
      <c r="O208" s="3"/>
      <c r="AB208" s="3"/>
      <c r="AO208" s="3"/>
      <c r="BC208" s="3"/>
      <c r="BQ208" s="3"/>
    </row>
    <row r="209" spans="15:69" x14ac:dyDescent="0.2">
      <c r="O209" s="3"/>
      <c r="AB209" s="3"/>
      <c r="AO209" s="3"/>
      <c r="BC209" s="3"/>
      <c r="BQ209" s="3"/>
    </row>
    <row r="210" spans="15:69" x14ac:dyDescent="0.2">
      <c r="O210" s="3"/>
      <c r="AB210" s="3"/>
      <c r="AO210" s="3"/>
      <c r="BC210" s="3"/>
      <c r="BQ210" s="3"/>
    </row>
    <row r="211" spans="15:69" x14ac:dyDescent="0.2">
      <c r="O211" s="3"/>
      <c r="AB211" s="3"/>
      <c r="AO211" s="3"/>
      <c r="BC211" s="3"/>
      <c r="BQ211" s="3"/>
    </row>
    <row r="212" spans="15:69" x14ac:dyDescent="0.2">
      <c r="O212" s="3"/>
      <c r="AB212" s="3"/>
      <c r="AO212" s="3"/>
      <c r="BC212" s="3"/>
      <c r="BQ212" s="3"/>
    </row>
    <row r="213" spans="15:69" x14ac:dyDescent="0.2">
      <c r="O213" s="3"/>
      <c r="AB213" s="3"/>
      <c r="AO213" s="3"/>
      <c r="BC213" s="3"/>
      <c r="BQ213" s="3"/>
    </row>
    <row r="214" spans="15:69" x14ac:dyDescent="0.2">
      <c r="O214" s="3"/>
      <c r="AB214" s="3"/>
      <c r="AO214" s="3"/>
      <c r="BC214" s="3"/>
      <c r="BQ214" s="3"/>
    </row>
    <row r="215" spans="15:69" x14ac:dyDescent="0.2">
      <c r="O215" s="3"/>
      <c r="AB215" s="3"/>
      <c r="AO215" s="3"/>
      <c r="BC215" s="3"/>
      <c r="BQ215" s="3"/>
    </row>
    <row r="216" spans="15:69" x14ac:dyDescent="0.2">
      <c r="O216" s="3"/>
      <c r="AB216" s="3"/>
      <c r="AO216" s="3"/>
      <c r="BC216" s="3"/>
      <c r="BQ216" s="3"/>
    </row>
    <row r="217" spans="15:69" x14ac:dyDescent="0.2">
      <c r="O217" s="3"/>
      <c r="AB217" s="3"/>
      <c r="AO217" s="3"/>
      <c r="BC217" s="3"/>
      <c r="BQ217" s="3"/>
    </row>
    <row r="218" spans="15:69" x14ac:dyDescent="0.2">
      <c r="O218" s="3"/>
      <c r="AB218" s="3"/>
      <c r="AO218" s="3"/>
      <c r="BC218" s="3"/>
      <c r="BQ218" s="3"/>
    </row>
    <row r="219" spans="15:69" x14ac:dyDescent="0.2">
      <c r="O219" s="3"/>
      <c r="AB219" s="3"/>
      <c r="AO219" s="3"/>
      <c r="BC219" s="3"/>
      <c r="BQ219" s="3"/>
    </row>
    <row r="220" spans="15:69" x14ac:dyDescent="0.2">
      <c r="O220" s="3"/>
      <c r="AB220" s="3"/>
      <c r="AO220" s="3"/>
      <c r="BC220" s="3"/>
      <c r="BQ220" s="3"/>
    </row>
    <row r="221" spans="15:69" x14ac:dyDescent="0.2">
      <c r="O221" s="3"/>
      <c r="AB221" s="3"/>
      <c r="AO221" s="3"/>
      <c r="BC221" s="3"/>
      <c r="BQ221" s="3"/>
    </row>
    <row r="222" spans="15:69" x14ac:dyDescent="0.2">
      <c r="O222" s="3"/>
      <c r="AB222" s="3"/>
      <c r="AO222" s="3"/>
      <c r="BC222" s="3"/>
      <c r="BQ222" s="3"/>
    </row>
    <row r="223" spans="15:69" x14ac:dyDescent="0.2">
      <c r="O223" s="3"/>
      <c r="AB223" s="3"/>
      <c r="AO223" s="3"/>
      <c r="BC223" s="3"/>
      <c r="BQ223" s="3"/>
    </row>
    <row r="224" spans="15:69" x14ac:dyDescent="0.2">
      <c r="O224" s="3"/>
      <c r="AB224" s="3"/>
      <c r="AO224" s="3"/>
      <c r="BC224" s="3"/>
      <c r="BQ224" s="3"/>
    </row>
    <row r="225" spans="15:69" x14ac:dyDescent="0.2">
      <c r="O225" s="3"/>
      <c r="AB225" s="3"/>
      <c r="AO225" s="3"/>
      <c r="BC225" s="3"/>
      <c r="BQ225" s="3"/>
    </row>
    <row r="226" spans="15:69" x14ac:dyDescent="0.2">
      <c r="O226" s="3"/>
      <c r="AB226" s="3"/>
      <c r="AO226" s="3"/>
      <c r="BC226" s="3"/>
      <c r="BQ226" s="3"/>
    </row>
    <row r="227" spans="15:69" x14ac:dyDescent="0.2">
      <c r="O227" s="3"/>
      <c r="AB227" s="3"/>
      <c r="AO227" s="3"/>
      <c r="BC227" s="3"/>
      <c r="BQ227" s="3"/>
    </row>
    <row r="228" spans="15:69" x14ac:dyDescent="0.2">
      <c r="O228" s="3"/>
      <c r="AB228" s="3"/>
      <c r="AO228" s="3"/>
      <c r="BC228" s="3"/>
      <c r="BQ228" s="3"/>
    </row>
    <row r="229" spans="15:69" x14ac:dyDescent="0.2">
      <c r="O229" s="3"/>
      <c r="AB229" s="3"/>
      <c r="AO229" s="3"/>
      <c r="BC229" s="3"/>
      <c r="BQ229" s="3"/>
    </row>
    <row r="230" spans="15:69" x14ac:dyDescent="0.2">
      <c r="O230" s="3"/>
      <c r="AB230" s="3"/>
      <c r="AO230" s="3"/>
      <c r="BC230" s="3"/>
      <c r="BQ230" s="3"/>
    </row>
    <row r="231" spans="15:69" x14ac:dyDescent="0.2">
      <c r="O231" s="3"/>
      <c r="AB231" s="3"/>
      <c r="AO231" s="3"/>
      <c r="BC231" s="3"/>
      <c r="BQ231" s="3"/>
    </row>
    <row r="232" spans="15:69" x14ac:dyDescent="0.2">
      <c r="O232" s="3"/>
      <c r="AB232" s="3"/>
      <c r="AO232" s="3"/>
      <c r="BC232" s="3"/>
      <c r="BQ232" s="3"/>
    </row>
    <row r="233" spans="15:69" x14ac:dyDescent="0.2">
      <c r="O233" s="3"/>
      <c r="AB233" s="3"/>
      <c r="AO233" s="3"/>
      <c r="BC233" s="3"/>
      <c r="BQ233" s="3"/>
    </row>
    <row r="234" spans="15:69" x14ac:dyDescent="0.2">
      <c r="O234" s="3"/>
      <c r="AB234" s="3"/>
      <c r="AO234" s="3"/>
      <c r="BC234" s="3"/>
      <c r="BQ234" s="3"/>
    </row>
    <row r="235" spans="15:69" x14ac:dyDescent="0.2">
      <c r="O235" s="3"/>
      <c r="AB235" s="3"/>
      <c r="AO235" s="3"/>
      <c r="BC235" s="3"/>
      <c r="BQ235" s="3"/>
    </row>
    <row r="236" spans="15:69" x14ac:dyDescent="0.2">
      <c r="O236" s="3"/>
      <c r="AB236" s="3"/>
      <c r="AO236" s="3"/>
      <c r="BC236" s="3"/>
      <c r="BQ236" s="3"/>
    </row>
    <row r="237" spans="15:69" x14ac:dyDescent="0.2">
      <c r="O237" s="3"/>
      <c r="AB237" s="3"/>
      <c r="AO237" s="3"/>
      <c r="BC237" s="3"/>
      <c r="BQ237" s="3"/>
    </row>
    <row r="238" spans="15:69" x14ac:dyDescent="0.2">
      <c r="O238" s="3"/>
      <c r="AB238" s="3"/>
      <c r="AO238" s="3"/>
      <c r="BC238" s="3"/>
      <c r="BQ238" s="3"/>
    </row>
    <row r="239" spans="15:69" x14ac:dyDescent="0.2">
      <c r="O239" s="3"/>
      <c r="AB239" s="3"/>
      <c r="AO239" s="3"/>
      <c r="BC239" s="3"/>
      <c r="BQ239" s="3"/>
    </row>
    <row r="240" spans="15:69" x14ac:dyDescent="0.2">
      <c r="O240" s="3"/>
      <c r="AB240" s="3"/>
      <c r="AO240" s="3"/>
      <c r="BC240" s="3"/>
      <c r="BQ240" s="3"/>
    </row>
    <row r="241" spans="15:69" x14ac:dyDescent="0.2">
      <c r="O241" s="3"/>
      <c r="AB241" s="3"/>
      <c r="AO241" s="3"/>
      <c r="BC241" s="3"/>
      <c r="BQ241" s="3"/>
    </row>
    <row r="242" spans="15:69" x14ac:dyDescent="0.2">
      <c r="O242" s="3"/>
      <c r="AB242" s="3"/>
      <c r="AO242" s="3"/>
      <c r="BC242" s="3"/>
      <c r="BQ242" s="3"/>
    </row>
    <row r="243" spans="15:69" x14ac:dyDescent="0.2">
      <c r="O243" s="3"/>
      <c r="AB243" s="3"/>
      <c r="AO243" s="3"/>
      <c r="BC243" s="3"/>
      <c r="BQ243" s="3"/>
    </row>
    <row r="244" spans="15:69" x14ac:dyDescent="0.2">
      <c r="O244" s="3"/>
      <c r="AB244" s="3"/>
      <c r="AO244" s="3"/>
      <c r="BC244" s="3"/>
      <c r="BQ244" s="3"/>
    </row>
    <row r="245" spans="15:69" x14ac:dyDescent="0.2">
      <c r="O245" s="3"/>
      <c r="AB245" s="3"/>
      <c r="AO245" s="3"/>
      <c r="BC245" s="3"/>
      <c r="BQ245" s="3"/>
    </row>
    <row r="246" spans="15:69" x14ac:dyDescent="0.2">
      <c r="O246" s="3"/>
      <c r="AB246" s="3"/>
      <c r="AO246" s="3"/>
      <c r="BC246" s="3"/>
      <c r="BQ246" s="3"/>
    </row>
    <row r="247" spans="15:69" x14ac:dyDescent="0.2">
      <c r="O247" s="3"/>
      <c r="AB247" s="3"/>
      <c r="AO247" s="3"/>
      <c r="BC247" s="3"/>
      <c r="BQ247" s="3"/>
    </row>
    <row r="248" spans="15:69" x14ac:dyDescent="0.2">
      <c r="O248" s="3"/>
      <c r="AB248" s="3"/>
      <c r="AO248" s="3"/>
      <c r="BC248" s="3"/>
      <c r="BQ248" s="3"/>
    </row>
    <row r="249" spans="15:69" x14ac:dyDescent="0.2">
      <c r="O249" s="3"/>
      <c r="AB249" s="3"/>
      <c r="AO249" s="3"/>
      <c r="BC249" s="3"/>
      <c r="BQ249" s="3"/>
    </row>
    <row r="250" spans="15:69" x14ac:dyDescent="0.2">
      <c r="O250" s="3"/>
      <c r="AB250" s="3"/>
      <c r="AO250" s="3"/>
      <c r="BC250" s="3"/>
      <c r="BQ250" s="3"/>
    </row>
    <row r="251" spans="15:69" x14ac:dyDescent="0.2">
      <c r="O251" s="3"/>
      <c r="AB251" s="3"/>
      <c r="AO251" s="3"/>
      <c r="BC251" s="3"/>
      <c r="BQ251" s="3"/>
    </row>
    <row r="252" spans="15:69" x14ac:dyDescent="0.2">
      <c r="O252" s="3"/>
      <c r="AB252" s="3"/>
      <c r="AO252" s="3"/>
      <c r="BC252" s="3"/>
      <c r="BQ252" s="3"/>
    </row>
    <row r="253" spans="15:69" x14ac:dyDescent="0.2">
      <c r="O253" s="3"/>
      <c r="AB253" s="3"/>
      <c r="AO253" s="3"/>
      <c r="BC253" s="3"/>
      <c r="BQ253" s="3"/>
    </row>
    <row r="254" spans="15:69" x14ac:dyDescent="0.2">
      <c r="O254" s="3"/>
      <c r="AB254" s="3"/>
      <c r="AO254" s="3"/>
      <c r="BC254" s="3"/>
      <c r="BQ254" s="3"/>
    </row>
    <row r="255" spans="15:69" x14ac:dyDescent="0.2">
      <c r="O255" s="3"/>
      <c r="AB255" s="3"/>
      <c r="AO255" s="3"/>
      <c r="BC255" s="3"/>
      <c r="BQ255" s="3"/>
    </row>
    <row r="256" spans="15:69" x14ac:dyDescent="0.2">
      <c r="O256" s="3"/>
      <c r="AB256" s="3"/>
      <c r="AO256" s="3"/>
      <c r="BC256" s="3"/>
      <c r="BQ256" s="3"/>
    </row>
    <row r="257" spans="15:69" x14ac:dyDescent="0.2">
      <c r="O257" s="3"/>
      <c r="AB257" s="3"/>
      <c r="AO257" s="3"/>
      <c r="BC257" s="3"/>
      <c r="BQ257" s="3"/>
    </row>
    <row r="258" spans="15:69" x14ac:dyDescent="0.2">
      <c r="O258" s="3"/>
      <c r="AB258" s="3"/>
      <c r="AO258" s="3"/>
      <c r="BC258" s="3"/>
      <c r="BQ258" s="3"/>
    </row>
    <row r="259" spans="15:69" x14ac:dyDescent="0.2">
      <c r="O259" s="3"/>
      <c r="AB259" s="3"/>
      <c r="AO259" s="3"/>
      <c r="BC259" s="3"/>
      <c r="BQ259" s="3"/>
    </row>
    <row r="260" spans="15:69" x14ac:dyDescent="0.2">
      <c r="O260" s="3"/>
      <c r="AB260" s="3"/>
      <c r="AO260" s="3"/>
      <c r="BC260" s="3"/>
      <c r="BQ260" s="3"/>
    </row>
    <row r="261" spans="15:69" x14ac:dyDescent="0.2">
      <c r="O261" s="3"/>
      <c r="AB261" s="3"/>
      <c r="AO261" s="3"/>
      <c r="BC261" s="3"/>
      <c r="BQ261" s="3"/>
    </row>
    <row r="262" spans="15:69" x14ac:dyDescent="0.2">
      <c r="O262" s="3"/>
      <c r="AB262" s="3"/>
      <c r="AO262" s="3"/>
      <c r="BC262" s="3"/>
      <c r="BQ262" s="3"/>
    </row>
    <row r="263" spans="15:69" x14ac:dyDescent="0.2">
      <c r="O263" s="3"/>
      <c r="AB263" s="3"/>
      <c r="AO263" s="3"/>
      <c r="BC263" s="3"/>
      <c r="BQ263" s="3"/>
    </row>
    <row r="264" spans="15:69" x14ac:dyDescent="0.2">
      <c r="O264" s="3"/>
      <c r="AB264" s="3"/>
      <c r="AO264" s="3"/>
      <c r="BC264" s="3"/>
      <c r="BQ264" s="3"/>
    </row>
    <row r="265" spans="15:69" x14ac:dyDescent="0.2">
      <c r="O265" s="3"/>
      <c r="AB265" s="3"/>
      <c r="AO265" s="3"/>
      <c r="BC265" s="3"/>
      <c r="BQ265" s="3"/>
    </row>
    <row r="266" spans="15:69" x14ac:dyDescent="0.2">
      <c r="O266" s="3"/>
      <c r="AB266" s="3"/>
      <c r="AO266" s="3"/>
      <c r="BC266" s="3"/>
      <c r="BQ266" s="3"/>
    </row>
    <row r="267" spans="15:69" x14ac:dyDescent="0.2">
      <c r="O267" s="3"/>
      <c r="AB267" s="3"/>
      <c r="AO267" s="3"/>
      <c r="BC267" s="3"/>
      <c r="BQ267" s="3"/>
    </row>
    <row r="268" spans="15:69" x14ac:dyDescent="0.2">
      <c r="O268" s="3"/>
      <c r="AB268" s="3"/>
      <c r="AO268" s="3"/>
      <c r="BC268" s="3"/>
      <c r="BQ268" s="3"/>
    </row>
    <row r="269" spans="15:69" x14ac:dyDescent="0.2">
      <c r="O269" s="3"/>
      <c r="AB269" s="3"/>
      <c r="AO269" s="3"/>
      <c r="BC269" s="3"/>
      <c r="BQ269" s="3"/>
    </row>
    <row r="270" spans="15:69" x14ac:dyDescent="0.2">
      <c r="O270" s="3"/>
      <c r="AB270" s="3"/>
      <c r="AO270" s="3"/>
      <c r="BC270" s="3"/>
      <c r="BQ270" s="3"/>
    </row>
    <row r="271" spans="15:69" x14ac:dyDescent="0.2">
      <c r="O271" s="3"/>
      <c r="AB271" s="3"/>
      <c r="AO271" s="3"/>
      <c r="BC271" s="3"/>
      <c r="BQ271" s="3"/>
    </row>
    <row r="272" spans="15:69" x14ac:dyDescent="0.2">
      <c r="O272" s="3"/>
      <c r="AB272" s="3"/>
      <c r="AO272" s="3"/>
      <c r="BC272" s="3"/>
      <c r="BQ272" s="3"/>
    </row>
    <row r="273" spans="15:69" x14ac:dyDescent="0.2">
      <c r="O273" s="3"/>
      <c r="AB273" s="3"/>
      <c r="AO273" s="3"/>
      <c r="BC273" s="3"/>
      <c r="BQ273" s="3"/>
    </row>
    <row r="274" spans="15:69" x14ac:dyDescent="0.2">
      <c r="O274" s="3"/>
      <c r="AB274" s="3"/>
      <c r="AO274" s="3"/>
      <c r="BC274" s="3"/>
      <c r="BQ274" s="3"/>
    </row>
    <row r="275" spans="15:69" x14ac:dyDescent="0.2">
      <c r="O275" s="3"/>
      <c r="AB275" s="3"/>
      <c r="AO275" s="3"/>
      <c r="BC275" s="3"/>
      <c r="BQ275" s="3"/>
    </row>
    <row r="276" spans="15:69" x14ac:dyDescent="0.2">
      <c r="O276" s="3"/>
      <c r="AB276" s="3"/>
      <c r="AO276" s="3"/>
      <c r="BC276" s="3"/>
      <c r="BQ276" s="3"/>
    </row>
    <row r="277" spans="15:69" x14ac:dyDescent="0.2">
      <c r="O277" s="3"/>
      <c r="AB277" s="3"/>
      <c r="AO277" s="3"/>
      <c r="BC277" s="3"/>
      <c r="BQ277" s="3"/>
    </row>
    <row r="278" spans="15:69" x14ac:dyDescent="0.2">
      <c r="O278" s="3"/>
      <c r="AB278" s="3"/>
      <c r="AO278" s="3"/>
      <c r="BC278" s="3"/>
      <c r="BQ278" s="3"/>
    </row>
    <row r="279" spans="15:69" x14ac:dyDescent="0.2">
      <c r="O279" s="3"/>
      <c r="AB279" s="3"/>
      <c r="AO279" s="3"/>
      <c r="BC279" s="3"/>
      <c r="BQ279" s="3"/>
    </row>
    <row r="280" spans="15:69" x14ac:dyDescent="0.2">
      <c r="O280" s="3"/>
      <c r="AB280" s="3"/>
      <c r="AO280" s="3"/>
      <c r="BC280" s="3"/>
      <c r="BQ280" s="3"/>
    </row>
    <row r="281" spans="15:69" x14ac:dyDescent="0.2">
      <c r="O281" s="3"/>
      <c r="AB281" s="3"/>
      <c r="AO281" s="3"/>
      <c r="BC281" s="3"/>
      <c r="BQ281" s="3"/>
    </row>
    <row r="282" spans="15:69" x14ac:dyDescent="0.2">
      <c r="O282" s="3"/>
      <c r="AB282" s="3"/>
      <c r="AO282" s="3"/>
      <c r="BC282" s="3"/>
      <c r="BQ282" s="3"/>
    </row>
    <row r="283" spans="15:69" x14ac:dyDescent="0.2">
      <c r="O283" s="3"/>
      <c r="AB283" s="3"/>
      <c r="AO283" s="3"/>
      <c r="BC283" s="3"/>
      <c r="BQ283" s="3"/>
    </row>
    <row r="284" spans="15:69" x14ac:dyDescent="0.2">
      <c r="O284" s="3"/>
      <c r="AB284" s="3"/>
      <c r="AO284" s="3"/>
      <c r="BC284" s="3"/>
      <c r="BQ284" s="3"/>
    </row>
    <row r="285" spans="15:69" x14ac:dyDescent="0.2">
      <c r="O285" s="3"/>
      <c r="AB285" s="3"/>
      <c r="AO285" s="3"/>
      <c r="BC285" s="3"/>
      <c r="BQ285" s="3"/>
    </row>
    <row r="286" spans="15:69" x14ac:dyDescent="0.2">
      <c r="O286" s="3"/>
      <c r="AB286" s="3"/>
      <c r="AO286" s="3"/>
      <c r="BC286" s="3"/>
      <c r="BQ286" s="3"/>
    </row>
    <row r="287" spans="15:69" x14ac:dyDescent="0.2">
      <c r="O287" s="3"/>
      <c r="AB287" s="3"/>
      <c r="AO287" s="3"/>
      <c r="BC287" s="3"/>
      <c r="BQ287" s="3"/>
    </row>
    <row r="288" spans="15:69" x14ac:dyDescent="0.2">
      <c r="O288" s="3"/>
      <c r="AB288" s="3"/>
      <c r="AO288" s="3"/>
      <c r="BC288" s="3"/>
      <c r="BQ288" s="3"/>
    </row>
    <row r="289" spans="15:69" x14ac:dyDescent="0.2">
      <c r="O289" s="3"/>
      <c r="AB289" s="3"/>
      <c r="AO289" s="3"/>
      <c r="BC289" s="3"/>
      <c r="BQ289" s="3"/>
    </row>
    <row r="290" spans="15:69" x14ac:dyDescent="0.2">
      <c r="O290" s="3"/>
      <c r="AB290" s="3"/>
      <c r="AO290" s="3"/>
      <c r="BC290" s="3"/>
      <c r="BQ290" s="3"/>
    </row>
    <row r="291" spans="15:69" x14ac:dyDescent="0.2">
      <c r="O291" s="3"/>
      <c r="AB291" s="3"/>
      <c r="AO291" s="3"/>
      <c r="BC291" s="3"/>
      <c r="BQ291" s="3"/>
    </row>
    <row r="292" spans="15:69" x14ac:dyDescent="0.2">
      <c r="O292" s="3"/>
      <c r="AB292" s="3"/>
      <c r="AO292" s="3"/>
      <c r="BC292" s="3"/>
      <c r="BQ292" s="3"/>
    </row>
    <row r="293" spans="15:69" x14ac:dyDescent="0.2">
      <c r="O293" s="3"/>
      <c r="AB293" s="3"/>
      <c r="AO293" s="3"/>
      <c r="BC293" s="3"/>
      <c r="BQ293" s="3"/>
    </row>
    <row r="294" spans="15:69" x14ac:dyDescent="0.2">
      <c r="O294" s="3"/>
      <c r="AB294" s="3"/>
      <c r="AO294" s="3"/>
      <c r="BC294" s="3"/>
      <c r="BQ294" s="3"/>
    </row>
    <row r="295" spans="15:69" x14ac:dyDescent="0.2">
      <c r="O295" s="3"/>
      <c r="AB295" s="3"/>
      <c r="AO295" s="3"/>
      <c r="BC295" s="3"/>
      <c r="BQ295" s="3"/>
    </row>
    <row r="296" spans="15:69" x14ac:dyDescent="0.2">
      <c r="O296" s="3"/>
      <c r="AB296" s="3"/>
      <c r="AO296" s="3"/>
      <c r="BC296" s="3"/>
      <c r="BQ296" s="3"/>
    </row>
    <row r="297" spans="15:69" x14ac:dyDescent="0.2">
      <c r="O297" s="3"/>
      <c r="AB297" s="3"/>
      <c r="AO297" s="3"/>
      <c r="BC297" s="3"/>
      <c r="BQ297" s="3"/>
    </row>
    <row r="298" spans="15:69" x14ac:dyDescent="0.2">
      <c r="O298" s="3"/>
      <c r="AB298" s="3"/>
      <c r="AO298" s="3"/>
      <c r="BC298" s="3"/>
      <c r="BQ298" s="3"/>
    </row>
    <row r="299" spans="15:69" x14ac:dyDescent="0.2">
      <c r="O299" s="3"/>
      <c r="AB299" s="3"/>
      <c r="AO299" s="3"/>
      <c r="BC299" s="3"/>
      <c r="BQ299" s="3"/>
    </row>
    <row r="300" spans="15:69" x14ac:dyDescent="0.2">
      <c r="O300" s="3"/>
      <c r="AB300" s="3"/>
      <c r="AO300" s="3"/>
      <c r="BC300" s="3"/>
      <c r="BQ300" s="3"/>
    </row>
    <row r="301" spans="15:69" x14ac:dyDescent="0.2">
      <c r="O301" s="3"/>
      <c r="AB301" s="3"/>
      <c r="AO301" s="3"/>
      <c r="BC301" s="3"/>
      <c r="BQ301" s="3"/>
    </row>
    <row r="302" spans="15:69" x14ac:dyDescent="0.2">
      <c r="O302" s="3"/>
      <c r="AB302" s="3"/>
      <c r="AO302" s="3"/>
      <c r="BC302" s="3"/>
      <c r="BQ302" s="3"/>
    </row>
    <row r="303" spans="15:69" x14ac:dyDescent="0.2">
      <c r="O303" s="3"/>
      <c r="AB303" s="3"/>
      <c r="AO303" s="3"/>
      <c r="BC303" s="3"/>
      <c r="BQ303" s="3"/>
    </row>
    <row r="304" spans="15:69" x14ac:dyDescent="0.2">
      <c r="O304" s="3"/>
      <c r="AB304" s="3"/>
      <c r="AO304" s="3"/>
      <c r="BC304" s="3"/>
      <c r="BQ304" s="3"/>
    </row>
    <row r="305" spans="15:69" x14ac:dyDescent="0.2">
      <c r="O305" s="3"/>
      <c r="AB305" s="3"/>
      <c r="AO305" s="3"/>
      <c r="BC305" s="3"/>
      <c r="BQ305" s="3"/>
    </row>
    <row r="306" spans="15:69" x14ac:dyDescent="0.2">
      <c r="O306" s="3"/>
      <c r="AB306" s="3"/>
      <c r="AO306" s="3"/>
      <c r="BC306" s="3"/>
      <c r="BQ306" s="3"/>
    </row>
    <row r="307" spans="15:69" x14ac:dyDescent="0.2">
      <c r="O307" s="3"/>
      <c r="AB307" s="3"/>
      <c r="AO307" s="3"/>
      <c r="BC307" s="3"/>
      <c r="BQ307" s="3"/>
    </row>
    <row r="308" spans="15:69" x14ac:dyDescent="0.2">
      <c r="O308" s="3"/>
      <c r="AB308" s="3"/>
      <c r="AO308" s="3"/>
      <c r="BC308" s="3"/>
      <c r="BQ308" s="3"/>
    </row>
    <row r="309" spans="15:69" x14ac:dyDescent="0.2">
      <c r="O309" s="3"/>
      <c r="AB309" s="3"/>
      <c r="AO309" s="3"/>
      <c r="BC309" s="3"/>
      <c r="BQ309" s="3"/>
    </row>
    <row r="310" spans="15:69" x14ac:dyDescent="0.2">
      <c r="O310" s="3"/>
      <c r="AB310" s="3"/>
      <c r="AO310" s="3"/>
      <c r="BC310" s="3"/>
      <c r="BQ310" s="3"/>
    </row>
    <row r="311" spans="15:69" x14ac:dyDescent="0.2">
      <c r="O311" s="3"/>
      <c r="AB311" s="3"/>
      <c r="AO311" s="3"/>
      <c r="BC311" s="3"/>
      <c r="BQ311" s="3"/>
    </row>
    <row r="312" spans="15:69" x14ac:dyDescent="0.2">
      <c r="O312" s="3"/>
      <c r="AB312" s="3"/>
      <c r="AO312" s="3"/>
      <c r="BC312" s="3"/>
      <c r="BQ312" s="3"/>
    </row>
    <row r="313" spans="15:69" x14ac:dyDescent="0.2">
      <c r="O313" s="3"/>
      <c r="AB313" s="3"/>
      <c r="AO313" s="3"/>
      <c r="BC313" s="3"/>
      <c r="BQ313" s="3"/>
    </row>
    <row r="314" spans="15:69" x14ac:dyDescent="0.2">
      <c r="O314" s="3"/>
      <c r="AB314" s="3"/>
      <c r="AO314" s="3"/>
      <c r="BC314" s="3"/>
      <c r="BQ314" s="3"/>
    </row>
    <row r="315" spans="15:69" x14ac:dyDescent="0.2">
      <c r="O315" s="3"/>
      <c r="AB315" s="3"/>
      <c r="AO315" s="3"/>
      <c r="BC315" s="3"/>
      <c r="BQ315" s="3"/>
    </row>
    <row r="316" spans="15:69" x14ac:dyDescent="0.2">
      <c r="O316" s="3"/>
      <c r="AB316" s="3"/>
      <c r="AO316" s="3"/>
      <c r="BC316" s="3"/>
      <c r="BQ316" s="3"/>
    </row>
    <row r="317" spans="15:69" x14ac:dyDescent="0.2">
      <c r="O317" s="3"/>
      <c r="AB317" s="3"/>
      <c r="AO317" s="3"/>
      <c r="BC317" s="3"/>
      <c r="BQ317" s="3"/>
    </row>
    <row r="318" spans="15:69" x14ac:dyDescent="0.2">
      <c r="O318" s="3"/>
      <c r="AB318" s="3"/>
      <c r="AO318" s="3"/>
      <c r="BC318" s="3"/>
      <c r="BQ318" s="3"/>
    </row>
    <row r="319" spans="15:69" x14ac:dyDescent="0.2">
      <c r="O319" s="3"/>
      <c r="AB319" s="3"/>
      <c r="AO319" s="3"/>
      <c r="BC319" s="3"/>
      <c r="BQ319" s="3"/>
    </row>
    <row r="320" spans="15:69" x14ac:dyDescent="0.2">
      <c r="O320" s="3"/>
      <c r="AB320" s="3"/>
      <c r="AO320" s="3"/>
      <c r="BC320" s="3"/>
      <c r="BQ320" s="3"/>
    </row>
    <row r="321" spans="15:69" x14ac:dyDescent="0.2">
      <c r="O321" s="3"/>
      <c r="AB321" s="3"/>
      <c r="AO321" s="3"/>
      <c r="BC321" s="3"/>
      <c r="BQ321" s="3"/>
    </row>
    <row r="322" spans="15:69" x14ac:dyDescent="0.2">
      <c r="O322" s="3"/>
      <c r="AB322" s="3"/>
      <c r="AO322" s="3"/>
      <c r="BC322" s="3"/>
      <c r="BQ322" s="3"/>
    </row>
    <row r="323" spans="15:69" x14ac:dyDescent="0.2">
      <c r="O323" s="3"/>
      <c r="AB323" s="3"/>
      <c r="AO323" s="3"/>
      <c r="BC323" s="3"/>
      <c r="BQ323" s="3"/>
    </row>
    <row r="324" spans="15:69" x14ac:dyDescent="0.2">
      <c r="O324" s="3"/>
      <c r="AB324" s="3"/>
      <c r="AO324" s="3"/>
      <c r="BC324" s="3"/>
      <c r="BQ324" s="3"/>
    </row>
    <row r="325" spans="15:69" x14ac:dyDescent="0.2">
      <c r="O325" s="3"/>
      <c r="AB325" s="3"/>
      <c r="AO325" s="3"/>
      <c r="BC325" s="3"/>
      <c r="BQ325" s="3"/>
    </row>
    <row r="326" spans="15:69" x14ac:dyDescent="0.2">
      <c r="O326" s="3"/>
      <c r="AB326" s="3"/>
      <c r="AO326" s="3"/>
      <c r="BC326" s="3"/>
      <c r="BQ326" s="3"/>
    </row>
    <row r="327" spans="15:69" x14ac:dyDescent="0.2">
      <c r="O327" s="3"/>
      <c r="AB327" s="3"/>
      <c r="AO327" s="3"/>
      <c r="BC327" s="3"/>
      <c r="BQ327" s="3"/>
    </row>
    <row r="328" spans="15:69" x14ac:dyDescent="0.2">
      <c r="O328" s="3"/>
      <c r="AB328" s="3"/>
      <c r="AO328" s="3"/>
      <c r="BC328" s="3"/>
      <c r="BQ328" s="3"/>
    </row>
    <row r="329" spans="15:69" x14ac:dyDescent="0.2">
      <c r="O329" s="3"/>
      <c r="AB329" s="3"/>
      <c r="AO329" s="3"/>
      <c r="BC329" s="3"/>
      <c r="BQ329" s="3"/>
    </row>
    <row r="330" spans="15:69" x14ac:dyDescent="0.2">
      <c r="O330" s="3"/>
      <c r="AB330" s="3"/>
      <c r="AO330" s="3"/>
      <c r="BC330" s="3"/>
      <c r="BQ330" s="3"/>
    </row>
    <row r="331" spans="15:69" x14ac:dyDescent="0.2">
      <c r="O331" s="3"/>
      <c r="AB331" s="3"/>
      <c r="AO331" s="3"/>
      <c r="BC331" s="3"/>
      <c r="BQ331" s="3"/>
    </row>
    <row r="332" spans="15:69" x14ac:dyDescent="0.2">
      <c r="O332" s="3"/>
      <c r="AB332" s="3"/>
      <c r="AO332" s="3"/>
      <c r="BC332" s="3"/>
      <c r="BQ332" s="3"/>
    </row>
    <row r="333" spans="15:69" x14ac:dyDescent="0.2">
      <c r="O333" s="3"/>
      <c r="AB333" s="3"/>
      <c r="AO333" s="3"/>
      <c r="BC333" s="3"/>
      <c r="BQ333" s="3"/>
    </row>
    <row r="334" spans="15:69" x14ac:dyDescent="0.2">
      <c r="O334" s="3"/>
      <c r="AB334" s="3"/>
      <c r="AO334" s="3"/>
      <c r="BC334" s="3"/>
      <c r="BQ334" s="3"/>
    </row>
    <row r="335" spans="15:69" x14ac:dyDescent="0.2">
      <c r="O335" s="3"/>
      <c r="AB335" s="3"/>
      <c r="AO335" s="3"/>
      <c r="BC335" s="3"/>
      <c r="BQ335" s="3"/>
    </row>
    <row r="336" spans="15:69" x14ac:dyDescent="0.2">
      <c r="O336" s="3"/>
      <c r="AB336" s="3"/>
      <c r="AO336" s="3"/>
      <c r="BC336" s="3"/>
      <c r="BQ336" s="3"/>
    </row>
    <row r="337" spans="15:69" x14ac:dyDescent="0.2">
      <c r="O337" s="3"/>
      <c r="AB337" s="3"/>
      <c r="AO337" s="3"/>
      <c r="BC337" s="3"/>
      <c r="BQ337" s="3"/>
    </row>
    <row r="338" spans="15:69" x14ac:dyDescent="0.2">
      <c r="O338" s="3"/>
      <c r="AB338" s="3"/>
      <c r="AO338" s="3"/>
      <c r="BC338" s="3"/>
      <c r="BQ338" s="3"/>
    </row>
    <row r="339" spans="15:69" x14ac:dyDescent="0.2">
      <c r="O339" s="3"/>
      <c r="AB339" s="3"/>
      <c r="AO339" s="3"/>
      <c r="BC339" s="3"/>
      <c r="BQ339" s="3"/>
    </row>
    <row r="340" spans="15:69" x14ac:dyDescent="0.2">
      <c r="O340" s="3"/>
      <c r="AB340" s="3"/>
      <c r="AO340" s="3"/>
      <c r="BC340" s="3"/>
      <c r="BQ340" s="3"/>
    </row>
    <row r="341" spans="15:69" x14ac:dyDescent="0.2">
      <c r="O341" s="3"/>
      <c r="AB341" s="3"/>
      <c r="AO341" s="3"/>
      <c r="BC341" s="3"/>
      <c r="BQ341" s="3"/>
    </row>
    <row r="342" spans="15:69" x14ac:dyDescent="0.2">
      <c r="O342" s="3"/>
      <c r="AB342" s="3"/>
      <c r="AO342" s="3"/>
      <c r="BC342" s="3"/>
      <c r="BQ342" s="3"/>
    </row>
    <row r="343" spans="15:69" x14ac:dyDescent="0.2">
      <c r="O343" s="3"/>
      <c r="AB343" s="3"/>
      <c r="AO343" s="3"/>
      <c r="BC343" s="3"/>
      <c r="BQ343" s="3"/>
    </row>
    <row r="344" spans="15:69" x14ac:dyDescent="0.2">
      <c r="O344" s="3"/>
      <c r="AB344" s="3"/>
      <c r="AO344" s="3"/>
      <c r="BC344" s="3"/>
      <c r="BQ344" s="3"/>
    </row>
    <row r="345" spans="15:69" x14ac:dyDescent="0.2">
      <c r="O345" s="3"/>
      <c r="AB345" s="3"/>
      <c r="AO345" s="3"/>
      <c r="BC345" s="3"/>
      <c r="BQ345" s="3"/>
    </row>
    <row r="346" spans="15:69" x14ac:dyDescent="0.2">
      <c r="O346" s="3"/>
      <c r="AB346" s="3"/>
      <c r="AO346" s="3"/>
      <c r="BC346" s="3"/>
      <c r="BQ346" s="3"/>
    </row>
    <row r="347" spans="15:69" x14ac:dyDescent="0.2">
      <c r="O347" s="3"/>
      <c r="AB347" s="3"/>
      <c r="AO347" s="3"/>
      <c r="BC347" s="3"/>
      <c r="BQ347" s="3"/>
    </row>
    <row r="348" spans="15:69" x14ac:dyDescent="0.2">
      <c r="O348" s="3"/>
      <c r="AB348" s="3"/>
      <c r="AO348" s="3"/>
      <c r="BC348" s="3"/>
      <c r="BQ348" s="3"/>
    </row>
    <row r="349" spans="15:69" x14ac:dyDescent="0.2">
      <c r="O349" s="3"/>
      <c r="AB349" s="3"/>
      <c r="AO349" s="3"/>
      <c r="BC349" s="3"/>
      <c r="BQ349" s="3"/>
    </row>
    <row r="350" spans="15:69" x14ac:dyDescent="0.2">
      <c r="O350" s="3"/>
      <c r="AB350" s="3"/>
      <c r="AO350" s="3"/>
      <c r="BC350" s="3"/>
      <c r="BQ350" s="3"/>
    </row>
    <row r="351" spans="15:69" x14ac:dyDescent="0.2">
      <c r="O351" s="3"/>
      <c r="AB351" s="3"/>
      <c r="AO351" s="3"/>
      <c r="BC351" s="3"/>
      <c r="BQ351" s="3"/>
    </row>
    <row r="352" spans="15:69" x14ac:dyDescent="0.2">
      <c r="O352" s="3"/>
      <c r="AB352" s="3"/>
      <c r="AO352" s="3"/>
      <c r="BC352" s="3"/>
      <c r="BQ352" s="3"/>
    </row>
    <row r="353" spans="15:69" x14ac:dyDescent="0.2">
      <c r="O353" s="3"/>
      <c r="AB353" s="3"/>
      <c r="AO353" s="3"/>
      <c r="BC353" s="3"/>
      <c r="BQ353" s="3"/>
    </row>
    <row r="354" spans="15:69" x14ac:dyDescent="0.2">
      <c r="O354" s="3"/>
      <c r="AB354" s="3"/>
      <c r="AO354" s="3"/>
      <c r="BC354" s="3"/>
      <c r="BQ354" s="3"/>
    </row>
    <row r="355" spans="15:69" x14ac:dyDescent="0.2">
      <c r="O355" s="3"/>
      <c r="AB355" s="3"/>
      <c r="AO355" s="3"/>
      <c r="BC355" s="3"/>
      <c r="BQ355" s="3"/>
    </row>
    <row r="356" spans="15:69" x14ac:dyDescent="0.2">
      <c r="O356" s="3"/>
      <c r="AB356" s="3"/>
      <c r="AO356" s="3"/>
      <c r="BC356" s="3"/>
      <c r="BQ356" s="3"/>
    </row>
    <row r="357" spans="15:69" x14ac:dyDescent="0.2">
      <c r="O357" s="3"/>
      <c r="AB357" s="3"/>
      <c r="AO357" s="3"/>
      <c r="BC357" s="3"/>
      <c r="BQ357" s="3"/>
    </row>
    <row r="358" spans="15:69" x14ac:dyDescent="0.2">
      <c r="O358" s="3"/>
      <c r="AB358" s="3"/>
      <c r="AO358" s="3"/>
      <c r="BC358" s="3"/>
      <c r="BQ358" s="3"/>
    </row>
    <row r="359" spans="15:69" x14ac:dyDescent="0.2">
      <c r="O359" s="3"/>
      <c r="AB359" s="3"/>
      <c r="AO359" s="3"/>
      <c r="BC359" s="3"/>
      <c r="BQ359" s="3"/>
    </row>
    <row r="360" spans="15:69" x14ac:dyDescent="0.2">
      <c r="O360" s="3"/>
      <c r="AB360" s="3"/>
      <c r="AO360" s="3"/>
      <c r="BC360" s="3"/>
      <c r="BQ360" s="3"/>
    </row>
    <row r="361" spans="15:69" x14ac:dyDescent="0.2">
      <c r="O361" s="3"/>
      <c r="AB361" s="3"/>
      <c r="AO361" s="3"/>
      <c r="BC361" s="3"/>
      <c r="BQ361" s="3"/>
    </row>
    <row r="362" spans="15:69" x14ac:dyDescent="0.2">
      <c r="O362" s="3"/>
      <c r="AB362" s="3"/>
      <c r="AO362" s="3"/>
      <c r="BC362" s="3"/>
      <c r="BQ362" s="3"/>
    </row>
    <row r="363" spans="15:69" x14ac:dyDescent="0.2">
      <c r="O363" s="3"/>
      <c r="AB363" s="3"/>
      <c r="AO363" s="3"/>
      <c r="BC363" s="3"/>
      <c r="BQ363" s="3"/>
    </row>
    <row r="364" spans="15:69" x14ac:dyDescent="0.2">
      <c r="O364" s="3"/>
      <c r="AB364" s="3"/>
      <c r="AO364" s="3"/>
      <c r="BC364" s="3"/>
      <c r="BQ364" s="3"/>
    </row>
    <row r="365" spans="15:69" x14ac:dyDescent="0.2">
      <c r="O365" s="3"/>
      <c r="AB365" s="3"/>
      <c r="AO365" s="3"/>
      <c r="BC365" s="3"/>
      <c r="BQ365" s="3"/>
    </row>
    <row r="366" spans="15:69" x14ac:dyDescent="0.2">
      <c r="O366" s="3"/>
      <c r="AB366" s="3"/>
      <c r="AO366" s="3"/>
      <c r="BC366" s="3"/>
      <c r="BQ366" s="3"/>
    </row>
  </sheetData>
  <mergeCells count="5">
    <mergeCell ref="Q9:AC9"/>
    <mergeCell ref="AD9:AP9"/>
    <mergeCell ref="AQ9:BD9"/>
    <mergeCell ref="D9:P9"/>
    <mergeCell ref="BE9:BR9"/>
  </mergeCells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BS366"/>
  <sheetViews>
    <sheetView showGridLines="0" tabSelected="1" zoomScale="80" zoomScaleNormal="80" workbookViewId="0">
      <pane ySplit="10" topLeftCell="A41" activePane="bottomLeft" state="frozen"/>
      <selection pane="bottomLeft" activeCell="Q11" sqref="Q11"/>
    </sheetView>
  </sheetViews>
  <sheetFormatPr defaultColWidth="9.140625" defaultRowHeight="12.75" outlineLevelRow="3" outlineLevelCol="1" x14ac:dyDescent="0.2"/>
  <cols>
    <col min="1" max="1" width="5" style="1" customWidth="1"/>
    <col min="2" max="3" width="38.85546875" style="1" customWidth="1"/>
    <col min="4" max="4" width="21.140625" style="1" customWidth="1"/>
    <col min="5" max="5" width="13" style="1" hidden="1" customWidth="1" outlineLevel="1"/>
    <col min="6" max="8" width="12.42578125" style="1" hidden="1" customWidth="1" outlineLevel="1"/>
    <col min="9" max="9" width="12.42578125" style="2" hidden="1" customWidth="1" outlineLevel="1"/>
    <col min="10" max="16" width="12.42578125" style="1" hidden="1" customWidth="1" outlineLevel="1"/>
    <col min="17" max="17" width="21.140625" style="1" customWidth="1" collapsed="1"/>
    <col min="18" max="18" width="13" style="1" hidden="1" customWidth="1" outlineLevel="1"/>
    <col min="19" max="21" width="12.42578125" style="1" hidden="1" customWidth="1" outlineLevel="1"/>
    <col min="22" max="22" width="12.42578125" style="2" hidden="1" customWidth="1" outlineLevel="1"/>
    <col min="23" max="29" width="12.42578125" style="1" hidden="1" customWidth="1" outlineLevel="1"/>
    <col min="30" max="30" width="21.140625" style="1" customWidth="1" collapsed="1"/>
    <col min="31" max="31" width="13" style="1" hidden="1" customWidth="1" outlineLevel="1"/>
    <col min="32" max="34" width="12.42578125" style="1" hidden="1" customWidth="1" outlineLevel="1"/>
    <col min="35" max="35" width="12.42578125" style="2" hidden="1" customWidth="1" outlineLevel="1"/>
    <col min="36" max="42" width="12.42578125" style="1" hidden="1" customWidth="1" outlineLevel="1"/>
    <col min="43" max="43" width="21.140625" style="1" customWidth="1" collapsed="1"/>
    <col min="44" max="44" width="21.140625" style="1" customWidth="1"/>
    <col min="45" max="45" width="13" style="1" hidden="1" customWidth="1" outlineLevel="1"/>
    <col min="46" max="48" width="12.42578125" style="1" hidden="1" customWidth="1" outlineLevel="1"/>
    <col min="49" max="49" width="12.42578125" style="2" hidden="1" customWidth="1" outlineLevel="1"/>
    <col min="50" max="56" width="12.42578125" style="1" hidden="1" customWidth="1" outlineLevel="1"/>
    <col min="57" max="57" width="21.140625" style="1" customWidth="1" collapsed="1"/>
    <col min="58" max="58" width="21.140625" style="1" customWidth="1"/>
    <col min="59" max="59" width="13" style="1" hidden="1" customWidth="1" outlineLevel="1"/>
    <col min="60" max="62" width="12.42578125" style="1" hidden="1" customWidth="1" outlineLevel="1"/>
    <col min="63" max="63" width="12.42578125" style="2" hidden="1" customWidth="1" outlineLevel="1"/>
    <col min="64" max="70" width="12.42578125" style="1" hidden="1" customWidth="1" outlineLevel="1"/>
    <col min="71" max="71" width="9.140625" style="1" collapsed="1"/>
    <col min="72" max="16384" width="9.140625" style="1"/>
  </cols>
  <sheetData>
    <row r="1" spans="1:70" ht="31.5" x14ac:dyDescent="0.2">
      <c r="B1" s="139" t="s">
        <v>165</v>
      </c>
    </row>
    <row r="2" spans="1:70" x14ac:dyDescent="0.2">
      <c r="B2" s="135" t="s">
        <v>146</v>
      </c>
      <c r="C2" s="138" t="s">
        <v>145</v>
      </c>
    </row>
    <row r="3" spans="1:70" x14ac:dyDescent="0.2">
      <c r="B3" s="135" t="s">
        <v>144</v>
      </c>
      <c r="C3" s="138" t="s">
        <v>150</v>
      </c>
    </row>
    <row r="4" spans="1:70" x14ac:dyDescent="0.2">
      <c r="B4" s="135" t="s">
        <v>151</v>
      </c>
      <c r="C4" s="138" t="s">
        <v>150</v>
      </c>
    </row>
    <row r="5" spans="1:70" x14ac:dyDescent="0.2">
      <c r="B5" s="135" t="s">
        <v>143</v>
      </c>
      <c r="C5" s="138" t="s">
        <v>142</v>
      </c>
      <c r="N5" s="136"/>
      <c r="AA5" s="136"/>
      <c r="AN5" s="136"/>
      <c r="BB5" s="136"/>
      <c r="BP5" s="136"/>
    </row>
    <row r="6" spans="1:70" x14ac:dyDescent="0.2">
      <c r="B6" s="135" t="s">
        <v>141</v>
      </c>
      <c r="C6" s="141" t="s">
        <v>164</v>
      </c>
      <c r="D6" s="2"/>
      <c r="E6" s="2"/>
      <c r="F6" s="2"/>
      <c r="G6" s="54"/>
      <c r="H6" s="54"/>
      <c r="N6" s="136"/>
      <c r="Q6" s="2"/>
      <c r="R6" s="2"/>
      <c r="S6" s="2"/>
      <c r="T6" s="54"/>
      <c r="U6" s="54"/>
      <c r="AA6" s="136"/>
      <c r="AD6" s="223" t="s">
        <v>188</v>
      </c>
      <c r="AE6" s="2"/>
      <c r="AF6" s="2"/>
      <c r="AG6" s="54"/>
      <c r="AH6" s="54"/>
      <c r="AN6" s="136"/>
      <c r="AQ6" s="2"/>
      <c r="AR6" s="2"/>
      <c r="AS6" s="2"/>
      <c r="AT6" s="2"/>
      <c r="AU6" s="54"/>
      <c r="AV6" s="54"/>
      <c r="BB6" s="136"/>
      <c r="BE6" s="2"/>
      <c r="BF6" s="2"/>
      <c r="BG6" s="2"/>
      <c r="BH6" s="2"/>
      <c r="BI6" s="54"/>
      <c r="BJ6" s="54"/>
      <c r="BP6" s="136"/>
    </row>
    <row r="7" spans="1:70" x14ac:dyDescent="0.2">
      <c r="B7" s="135" t="s">
        <v>140</v>
      </c>
      <c r="C7" s="134" t="s">
        <v>139</v>
      </c>
      <c r="D7" s="128"/>
      <c r="E7" s="128"/>
      <c r="F7" s="128"/>
      <c r="G7" s="128"/>
      <c r="H7" s="129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9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9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9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9"/>
      <c r="BK7" s="128"/>
      <c r="BL7" s="128"/>
      <c r="BM7" s="128"/>
      <c r="BN7" s="128"/>
      <c r="BO7" s="128"/>
      <c r="BP7" s="128"/>
      <c r="BQ7" s="128"/>
      <c r="BR7" s="128"/>
    </row>
    <row r="8" spans="1:70" ht="13.5" thickBot="1" x14ac:dyDescent="0.25">
      <c r="B8" s="131"/>
      <c r="C8" s="130"/>
      <c r="D8" s="128"/>
      <c r="E8" s="128"/>
      <c r="F8" s="128"/>
      <c r="G8" s="128"/>
      <c r="H8" s="129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9"/>
      <c r="V8" s="128"/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9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9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9"/>
      <c r="BK8" s="128"/>
      <c r="BL8" s="128"/>
      <c r="BM8" s="128"/>
      <c r="BN8" s="128"/>
      <c r="BO8" s="128"/>
      <c r="BP8" s="128"/>
      <c r="BQ8" s="128"/>
      <c r="BR8" s="128"/>
    </row>
    <row r="9" spans="1:70" ht="33.75" customHeight="1" thickTop="1" x14ac:dyDescent="0.2">
      <c r="B9" s="127"/>
      <c r="C9" s="148"/>
      <c r="D9" s="250" t="s">
        <v>186</v>
      </c>
      <c r="E9" s="247"/>
      <c r="F9" s="247"/>
      <c r="G9" s="247"/>
      <c r="H9" s="247"/>
      <c r="I9" s="247"/>
      <c r="J9" s="247"/>
      <c r="K9" s="247"/>
      <c r="L9" s="247"/>
      <c r="M9" s="247"/>
      <c r="N9" s="247"/>
      <c r="O9" s="247"/>
      <c r="P9" s="247"/>
      <c r="Q9" s="248" t="s">
        <v>187</v>
      </c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8" t="s">
        <v>182</v>
      </c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9"/>
      <c r="AQ9" s="250" t="s">
        <v>192</v>
      </c>
      <c r="AR9" s="251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8" t="s">
        <v>193</v>
      </c>
      <c r="BF9" s="251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</row>
    <row r="10" spans="1:70" ht="34.5" customHeight="1" x14ac:dyDescent="0.2">
      <c r="B10" s="127"/>
      <c r="C10" s="148"/>
      <c r="D10" s="147" t="s">
        <v>166</v>
      </c>
      <c r="E10" s="140">
        <v>46023</v>
      </c>
      <c r="F10" s="140">
        <v>46054</v>
      </c>
      <c r="G10" s="140">
        <v>46082</v>
      </c>
      <c r="H10" s="140">
        <v>46113</v>
      </c>
      <c r="I10" s="140">
        <v>46143</v>
      </c>
      <c r="J10" s="140">
        <v>46174</v>
      </c>
      <c r="K10" s="140">
        <v>46204</v>
      </c>
      <c r="L10" s="140">
        <v>46235</v>
      </c>
      <c r="M10" s="140">
        <v>46266</v>
      </c>
      <c r="N10" s="140">
        <v>46296</v>
      </c>
      <c r="O10" s="140">
        <v>46327</v>
      </c>
      <c r="P10" s="173">
        <v>46357</v>
      </c>
      <c r="Q10" s="188" t="s">
        <v>166</v>
      </c>
      <c r="R10" s="140">
        <v>46023</v>
      </c>
      <c r="S10" s="140">
        <v>46054</v>
      </c>
      <c r="T10" s="140">
        <v>46082</v>
      </c>
      <c r="U10" s="140">
        <v>46113</v>
      </c>
      <c r="V10" s="140">
        <v>46143</v>
      </c>
      <c r="W10" s="140">
        <v>46174</v>
      </c>
      <c r="X10" s="140">
        <v>46204</v>
      </c>
      <c r="Y10" s="140">
        <v>46235</v>
      </c>
      <c r="Z10" s="140">
        <v>46266</v>
      </c>
      <c r="AA10" s="140">
        <v>46296</v>
      </c>
      <c r="AB10" s="140">
        <v>46327</v>
      </c>
      <c r="AC10" s="173">
        <v>46357</v>
      </c>
      <c r="AD10" s="188" t="s">
        <v>166</v>
      </c>
      <c r="AE10" s="140">
        <v>46023</v>
      </c>
      <c r="AF10" s="140">
        <v>46054</v>
      </c>
      <c r="AG10" s="140">
        <v>46082</v>
      </c>
      <c r="AH10" s="140">
        <v>46113</v>
      </c>
      <c r="AI10" s="140">
        <v>46143</v>
      </c>
      <c r="AJ10" s="140">
        <v>46174</v>
      </c>
      <c r="AK10" s="140">
        <v>46204</v>
      </c>
      <c r="AL10" s="140">
        <v>46235</v>
      </c>
      <c r="AM10" s="140">
        <v>46266</v>
      </c>
      <c r="AN10" s="140">
        <v>46296</v>
      </c>
      <c r="AO10" s="140">
        <v>46327</v>
      </c>
      <c r="AP10" s="205">
        <v>46357</v>
      </c>
      <c r="AQ10" s="174" t="s">
        <v>167</v>
      </c>
      <c r="AR10" s="147" t="s">
        <v>168</v>
      </c>
      <c r="AS10" s="140">
        <v>46023</v>
      </c>
      <c r="AT10" s="140">
        <v>46054</v>
      </c>
      <c r="AU10" s="140">
        <v>46082</v>
      </c>
      <c r="AV10" s="140">
        <v>46113</v>
      </c>
      <c r="AW10" s="140">
        <v>46143</v>
      </c>
      <c r="AX10" s="140">
        <v>46174</v>
      </c>
      <c r="AY10" s="140">
        <v>46204</v>
      </c>
      <c r="AZ10" s="140">
        <v>46235</v>
      </c>
      <c r="BA10" s="140">
        <v>46266</v>
      </c>
      <c r="BB10" s="140">
        <v>46296</v>
      </c>
      <c r="BC10" s="140">
        <v>46327</v>
      </c>
      <c r="BD10" s="173">
        <v>46357</v>
      </c>
      <c r="BE10" s="188" t="s">
        <v>167</v>
      </c>
      <c r="BF10" s="147" t="s">
        <v>168</v>
      </c>
      <c r="BG10" s="140">
        <v>46023</v>
      </c>
      <c r="BH10" s="140">
        <v>46054</v>
      </c>
      <c r="BI10" s="140">
        <v>46082</v>
      </c>
      <c r="BJ10" s="140">
        <v>46113</v>
      </c>
      <c r="BK10" s="140">
        <v>46143</v>
      </c>
      <c r="BL10" s="140">
        <v>46174</v>
      </c>
      <c r="BM10" s="140">
        <v>46204</v>
      </c>
      <c r="BN10" s="140">
        <v>46235</v>
      </c>
      <c r="BO10" s="140">
        <v>46266</v>
      </c>
      <c r="BP10" s="140">
        <v>46296</v>
      </c>
      <c r="BQ10" s="140">
        <v>46327</v>
      </c>
      <c r="BR10" s="140">
        <v>46357</v>
      </c>
    </row>
    <row r="11" spans="1:70" ht="16.5" customHeight="1" thickBot="1" x14ac:dyDescent="0.25">
      <c r="A11" s="54"/>
      <c r="B11" s="70" t="s">
        <v>130</v>
      </c>
      <c r="C11" s="149" t="s">
        <v>129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189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189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206"/>
      <c r="AQ11" s="166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189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</row>
    <row r="12" spans="1:70" ht="13.5" outlineLevel="3" thickTop="1" x14ac:dyDescent="0.2">
      <c r="A12" s="54"/>
      <c r="B12" s="38" t="s">
        <v>128</v>
      </c>
      <c r="C12" s="150" t="s">
        <v>127</v>
      </c>
      <c r="D12" s="60">
        <f t="shared" ref="D12:D43" si="0">SUM(E12:P12)</f>
        <v>1737914836.79</v>
      </c>
      <c r="E12" s="60">
        <v>135195586.78999999</v>
      </c>
      <c r="F12" s="60">
        <v>145701750</v>
      </c>
      <c r="G12" s="60">
        <v>145701750</v>
      </c>
      <c r="H12" s="60">
        <v>145701750</v>
      </c>
      <c r="I12" s="60">
        <v>145701750</v>
      </c>
      <c r="J12" s="60">
        <v>145701750</v>
      </c>
      <c r="K12" s="60">
        <v>145701750</v>
      </c>
      <c r="L12" s="60">
        <v>145701750</v>
      </c>
      <c r="M12" s="60">
        <v>145701750</v>
      </c>
      <c r="N12" s="60">
        <v>145701750</v>
      </c>
      <c r="O12" s="60">
        <v>145701750</v>
      </c>
      <c r="P12" s="175">
        <v>145701750</v>
      </c>
      <c r="Q12" s="190">
        <f t="shared" ref="Q12:Q43" si="1">SUM(R12:AC12)</f>
        <v>1737914836.79</v>
      </c>
      <c r="R12" s="60">
        <v>135195586.78999999</v>
      </c>
      <c r="S12" s="60">
        <v>145701750</v>
      </c>
      <c r="T12" s="60">
        <v>145701750</v>
      </c>
      <c r="U12" s="60">
        <v>145701750</v>
      </c>
      <c r="V12" s="60">
        <v>145701750</v>
      </c>
      <c r="W12" s="60">
        <v>145701750</v>
      </c>
      <c r="X12" s="60">
        <v>145701750</v>
      </c>
      <c r="Y12" s="60">
        <v>145701750</v>
      </c>
      <c r="Z12" s="60">
        <v>145701750</v>
      </c>
      <c r="AA12" s="60">
        <v>145701750</v>
      </c>
      <c r="AB12" s="60">
        <v>145701750</v>
      </c>
      <c r="AC12" s="175">
        <v>145701750</v>
      </c>
      <c r="AD12" s="224">
        <f t="shared" ref="AD12:AD43" si="2">SUM(AE12:AP12)</f>
        <v>1737914836.79</v>
      </c>
      <c r="AE12" s="60">
        <v>135195586.78999999</v>
      </c>
      <c r="AF12" s="60">
        <v>145701750</v>
      </c>
      <c r="AG12" s="60">
        <v>145701750</v>
      </c>
      <c r="AH12" s="60">
        <v>145701750</v>
      </c>
      <c r="AI12" s="60">
        <v>145701750</v>
      </c>
      <c r="AJ12" s="60">
        <v>145701750</v>
      </c>
      <c r="AK12" s="60">
        <v>145701750</v>
      </c>
      <c r="AL12" s="60">
        <v>145701750</v>
      </c>
      <c r="AM12" s="60">
        <v>145701750</v>
      </c>
      <c r="AN12" s="60">
        <v>145701750</v>
      </c>
      <c r="AO12" s="60">
        <v>145701750</v>
      </c>
      <c r="AP12" s="207">
        <v>145701750</v>
      </c>
      <c r="AQ12" s="167">
        <f>AD12-D12</f>
        <v>0</v>
      </c>
      <c r="AR12" s="60"/>
      <c r="AS12" s="60">
        <v>135195586.78999999</v>
      </c>
      <c r="AT12" s="60">
        <v>145701750</v>
      </c>
      <c r="AU12" s="60">
        <v>145701750</v>
      </c>
      <c r="AV12" s="60">
        <v>145701750</v>
      </c>
      <c r="AW12" s="60">
        <v>145701750</v>
      </c>
      <c r="AX12" s="60">
        <v>145701750</v>
      </c>
      <c r="AY12" s="60">
        <v>145701750</v>
      </c>
      <c r="AZ12" s="60">
        <v>145701750</v>
      </c>
      <c r="BA12" s="60">
        <v>145701750</v>
      </c>
      <c r="BB12" s="60">
        <v>145701750</v>
      </c>
      <c r="BC12" s="60">
        <v>145701750</v>
      </c>
      <c r="BD12" s="175">
        <v>145701750</v>
      </c>
      <c r="BE12" s="190">
        <f>Q12-AD12</f>
        <v>0</v>
      </c>
      <c r="BF12" s="60"/>
      <c r="BG12" s="60">
        <v>135195586.78999999</v>
      </c>
      <c r="BH12" s="60">
        <v>145701750</v>
      </c>
      <c r="BI12" s="60">
        <v>145701750</v>
      </c>
      <c r="BJ12" s="60">
        <v>145701750</v>
      </c>
      <c r="BK12" s="60">
        <v>145701750</v>
      </c>
      <c r="BL12" s="60">
        <v>145701750</v>
      </c>
      <c r="BM12" s="60">
        <v>145701750</v>
      </c>
      <c r="BN12" s="60">
        <v>145701750</v>
      </c>
      <c r="BO12" s="60">
        <v>145701750</v>
      </c>
      <c r="BP12" s="60">
        <v>145701750</v>
      </c>
      <c r="BQ12" s="60">
        <v>145701750</v>
      </c>
      <c r="BR12" s="60">
        <v>145701750</v>
      </c>
    </row>
    <row r="13" spans="1:70" outlineLevel="3" x14ac:dyDescent="0.2">
      <c r="A13" s="54"/>
      <c r="B13" s="38" t="s">
        <v>126</v>
      </c>
      <c r="C13" s="151" t="s">
        <v>125</v>
      </c>
      <c r="D13" s="40">
        <f t="shared" si="0"/>
        <v>323872744.88</v>
      </c>
      <c r="E13" s="40">
        <v>27369683.629999999</v>
      </c>
      <c r="F13" s="40">
        <v>26954823.75</v>
      </c>
      <c r="G13" s="40">
        <v>26954823.75</v>
      </c>
      <c r="H13" s="40">
        <v>26954823.75</v>
      </c>
      <c r="I13" s="40">
        <v>26954823.75</v>
      </c>
      <c r="J13" s="40">
        <v>26954823.75</v>
      </c>
      <c r="K13" s="40">
        <v>26954823.75</v>
      </c>
      <c r="L13" s="40">
        <v>26954823.75</v>
      </c>
      <c r="M13" s="40">
        <v>26954823.75</v>
      </c>
      <c r="N13" s="40">
        <v>26954823.75</v>
      </c>
      <c r="O13" s="40">
        <v>26954823.75</v>
      </c>
      <c r="P13" s="176">
        <v>26954823.75</v>
      </c>
      <c r="Q13" s="191">
        <f t="shared" si="1"/>
        <v>323872744.88</v>
      </c>
      <c r="R13" s="40">
        <v>27369683.629999999</v>
      </c>
      <c r="S13" s="40">
        <v>26954823.75</v>
      </c>
      <c r="T13" s="40">
        <v>26954823.75</v>
      </c>
      <c r="U13" s="40">
        <v>26954823.75</v>
      </c>
      <c r="V13" s="40">
        <v>26954823.75</v>
      </c>
      <c r="W13" s="40">
        <v>26954823.75</v>
      </c>
      <c r="X13" s="40">
        <v>26954823.75</v>
      </c>
      <c r="Y13" s="40">
        <v>26954823.75</v>
      </c>
      <c r="Z13" s="40">
        <v>26954823.75</v>
      </c>
      <c r="AA13" s="40">
        <v>26954823.75</v>
      </c>
      <c r="AB13" s="40">
        <v>26954823.75</v>
      </c>
      <c r="AC13" s="176">
        <v>26954823.75</v>
      </c>
      <c r="AD13" s="225">
        <f t="shared" si="2"/>
        <v>323872744.88</v>
      </c>
      <c r="AE13" s="40">
        <v>27369683.629999999</v>
      </c>
      <c r="AF13" s="40">
        <v>26954823.75</v>
      </c>
      <c r="AG13" s="40">
        <v>26954823.75</v>
      </c>
      <c r="AH13" s="40">
        <v>26954823.75</v>
      </c>
      <c r="AI13" s="40">
        <v>26954823.75</v>
      </c>
      <c r="AJ13" s="40">
        <v>26954823.75</v>
      </c>
      <c r="AK13" s="40">
        <v>26954823.75</v>
      </c>
      <c r="AL13" s="40">
        <v>26954823.75</v>
      </c>
      <c r="AM13" s="40">
        <v>26954823.75</v>
      </c>
      <c r="AN13" s="40">
        <v>26954823.75</v>
      </c>
      <c r="AO13" s="40">
        <v>26954823.75</v>
      </c>
      <c r="AP13" s="208">
        <v>26954823.75</v>
      </c>
      <c r="AQ13" s="168">
        <f t="shared" ref="AQ13:AQ72" si="3">AD13-D13</f>
        <v>0</v>
      </c>
      <c r="AR13" s="40"/>
      <c r="AS13" s="40">
        <v>27369683.629999999</v>
      </c>
      <c r="AT13" s="40">
        <v>26954823.75</v>
      </c>
      <c r="AU13" s="40">
        <v>26954823.75</v>
      </c>
      <c r="AV13" s="40">
        <v>26954823.75</v>
      </c>
      <c r="AW13" s="40">
        <v>26954823.75</v>
      </c>
      <c r="AX13" s="40">
        <v>26954823.75</v>
      </c>
      <c r="AY13" s="40">
        <v>26954823.75</v>
      </c>
      <c r="AZ13" s="40">
        <v>26954823.75</v>
      </c>
      <c r="BA13" s="40">
        <v>26954823.75</v>
      </c>
      <c r="BB13" s="40">
        <v>26954823.75</v>
      </c>
      <c r="BC13" s="40">
        <v>26954823.75</v>
      </c>
      <c r="BD13" s="176">
        <v>26954823.75</v>
      </c>
      <c r="BE13" s="191">
        <f t="shared" ref="BE13:BE72" si="4">Q13-AD13</f>
        <v>0</v>
      </c>
      <c r="BF13" s="40"/>
      <c r="BG13" s="40">
        <v>27369683.629999999</v>
      </c>
      <c r="BH13" s="40">
        <v>26954823.75</v>
      </c>
      <c r="BI13" s="40">
        <v>26954823.75</v>
      </c>
      <c r="BJ13" s="40">
        <v>26954823.75</v>
      </c>
      <c r="BK13" s="40">
        <v>26954823.75</v>
      </c>
      <c r="BL13" s="40">
        <v>26954823.75</v>
      </c>
      <c r="BM13" s="40">
        <v>26954823.75</v>
      </c>
      <c r="BN13" s="40">
        <v>26954823.75</v>
      </c>
      <c r="BO13" s="40">
        <v>26954823.75</v>
      </c>
      <c r="BP13" s="40">
        <v>26954823.75</v>
      </c>
      <c r="BQ13" s="40">
        <v>26954823.75</v>
      </c>
      <c r="BR13" s="40">
        <v>26954823.75</v>
      </c>
    </row>
    <row r="14" spans="1:70" s="6" customFormat="1" outlineLevel="2" x14ac:dyDescent="0.2">
      <c r="A14" s="30"/>
      <c r="B14" s="29" t="s">
        <v>124</v>
      </c>
      <c r="C14" s="152" t="s">
        <v>123</v>
      </c>
      <c r="D14" s="26">
        <f t="shared" si="0"/>
        <v>2061787581.6700001</v>
      </c>
      <c r="E14" s="26">
        <f>SUM(E12:E13)</f>
        <v>162565270.41999999</v>
      </c>
      <c r="F14" s="26">
        <f>SUM(F12:F13)</f>
        <v>172656573.75</v>
      </c>
      <c r="G14" s="26">
        <f t="shared" ref="G14:L14" si="5">SUM(G12:G13)</f>
        <v>172656573.75</v>
      </c>
      <c r="H14" s="26">
        <f t="shared" si="5"/>
        <v>172656573.75</v>
      </c>
      <c r="I14" s="26">
        <f t="shared" si="5"/>
        <v>172656573.75</v>
      </c>
      <c r="J14" s="26">
        <f t="shared" si="5"/>
        <v>172656573.75</v>
      </c>
      <c r="K14" s="26">
        <f t="shared" si="5"/>
        <v>172656573.75</v>
      </c>
      <c r="L14" s="26">
        <f t="shared" si="5"/>
        <v>172656573.75</v>
      </c>
      <c r="M14" s="26">
        <f t="shared" ref="M14" si="6">SUM(M12:M13)</f>
        <v>172656573.75</v>
      </c>
      <c r="N14" s="26">
        <f t="shared" ref="N14" si="7">SUM(N12:N13)</f>
        <v>172656573.75</v>
      </c>
      <c r="O14" s="26">
        <f t="shared" ref="O14" si="8">SUM(O12:O13)</f>
        <v>172656573.75</v>
      </c>
      <c r="P14" s="177">
        <f t="shared" ref="P14" si="9">SUM(P12:P13)</f>
        <v>172656573.75</v>
      </c>
      <c r="Q14" s="192">
        <f t="shared" si="1"/>
        <v>2061787581.6700001</v>
      </c>
      <c r="R14" s="26">
        <f>SUM(R12:R13)</f>
        <v>162565270.41999999</v>
      </c>
      <c r="S14" s="26">
        <f>SUM(S12:S13)</f>
        <v>172656573.75</v>
      </c>
      <c r="T14" s="26">
        <f t="shared" ref="T14" si="10">SUM(T12:T13)</f>
        <v>172656573.75</v>
      </c>
      <c r="U14" s="26">
        <f t="shared" ref="U14" si="11">SUM(U12:U13)</f>
        <v>172656573.75</v>
      </c>
      <c r="V14" s="26">
        <f t="shared" ref="V14" si="12">SUM(V12:V13)</f>
        <v>172656573.75</v>
      </c>
      <c r="W14" s="26">
        <f t="shared" ref="W14" si="13">SUM(W12:W13)</f>
        <v>172656573.75</v>
      </c>
      <c r="X14" s="26">
        <f t="shared" ref="X14" si="14">SUM(X12:X13)</f>
        <v>172656573.75</v>
      </c>
      <c r="Y14" s="26">
        <f t="shared" ref="Y14:Z14" si="15">SUM(Y12:Y13)</f>
        <v>172656573.75</v>
      </c>
      <c r="Z14" s="26">
        <f t="shared" si="15"/>
        <v>172656573.75</v>
      </c>
      <c r="AA14" s="26">
        <f t="shared" ref="AA14" si="16">SUM(AA12:AA13)</f>
        <v>172656573.75</v>
      </c>
      <c r="AB14" s="26">
        <f t="shared" ref="AB14" si="17">SUM(AB12:AB13)</f>
        <v>172656573.75</v>
      </c>
      <c r="AC14" s="177">
        <f t="shared" ref="AC14" si="18">SUM(AC12:AC13)</f>
        <v>172656573.75</v>
      </c>
      <c r="AD14" s="226">
        <f t="shared" si="2"/>
        <v>2061787581.6700001</v>
      </c>
      <c r="AE14" s="26">
        <f>SUM(AE12:AE13)</f>
        <v>162565270.41999999</v>
      </c>
      <c r="AF14" s="26">
        <f>SUM(AF12:AF13)</f>
        <v>172656573.75</v>
      </c>
      <c r="AG14" s="26">
        <f t="shared" ref="AG14" si="19">SUM(AG12:AG13)</f>
        <v>172656573.75</v>
      </c>
      <c r="AH14" s="26">
        <f t="shared" ref="AH14" si="20">SUM(AH12:AH13)</f>
        <v>172656573.75</v>
      </c>
      <c r="AI14" s="26">
        <f t="shared" ref="AI14" si="21">SUM(AI12:AI13)</f>
        <v>172656573.75</v>
      </c>
      <c r="AJ14" s="26">
        <f t="shared" ref="AJ14" si="22">SUM(AJ12:AJ13)</f>
        <v>172656573.75</v>
      </c>
      <c r="AK14" s="26">
        <f t="shared" ref="AK14" si="23">SUM(AK12:AK13)</f>
        <v>172656573.75</v>
      </c>
      <c r="AL14" s="26">
        <f t="shared" ref="AL14" si="24">SUM(AL12:AL13)</f>
        <v>172656573.75</v>
      </c>
      <c r="AM14" s="26">
        <f t="shared" ref="AM14" si="25">SUM(AM12:AM13)</f>
        <v>172656573.75</v>
      </c>
      <c r="AN14" s="26">
        <f t="shared" ref="AN14" si="26">SUM(AN12:AN13)</f>
        <v>172656573.75</v>
      </c>
      <c r="AO14" s="26">
        <f t="shared" ref="AO14" si="27">SUM(AO12:AO13)</f>
        <v>172656573.75</v>
      </c>
      <c r="AP14" s="209">
        <f t="shared" ref="AP14" si="28">SUM(AP12:AP13)</f>
        <v>172656573.75</v>
      </c>
      <c r="AQ14" s="169">
        <f t="shared" si="3"/>
        <v>0</v>
      </c>
      <c r="AR14" s="26"/>
      <c r="AS14" s="26">
        <f>SUM(AS12:AS13)</f>
        <v>162565270.41999999</v>
      </c>
      <c r="AT14" s="26">
        <f>SUM(AT12:AT13)</f>
        <v>172656573.75</v>
      </c>
      <c r="AU14" s="26">
        <f t="shared" ref="AU14" si="29">SUM(AU12:AU13)</f>
        <v>172656573.75</v>
      </c>
      <c r="AV14" s="26">
        <f t="shared" ref="AV14" si="30">SUM(AV12:AV13)</f>
        <v>172656573.75</v>
      </c>
      <c r="AW14" s="26">
        <f t="shared" ref="AW14" si="31">SUM(AW12:AW13)</f>
        <v>172656573.75</v>
      </c>
      <c r="AX14" s="26">
        <f t="shared" ref="AX14" si="32">SUM(AX12:AX13)</f>
        <v>172656573.75</v>
      </c>
      <c r="AY14" s="26">
        <f t="shared" ref="AY14" si="33">SUM(AY12:AY13)</f>
        <v>172656573.75</v>
      </c>
      <c r="AZ14" s="26">
        <f t="shared" ref="AZ14" si="34">SUM(AZ12:AZ13)</f>
        <v>172656573.75</v>
      </c>
      <c r="BA14" s="26">
        <f t="shared" ref="BA14" si="35">SUM(BA12:BA13)</f>
        <v>172656573.75</v>
      </c>
      <c r="BB14" s="26">
        <f t="shared" ref="BB14" si="36">SUM(BB12:BB13)</f>
        <v>172656573.75</v>
      </c>
      <c r="BC14" s="26">
        <f t="shared" ref="BC14" si="37">SUM(BC12:BC13)</f>
        <v>172656573.75</v>
      </c>
      <c r="BD14" s="177">
        <f t="shared" ref="BD14" si="38">SUM(BD12:BD13)</f>
        <v>172656573.75</v>
      </c>
      <c r="BE14" s="192">
        <f t="shared" si="4"/>
        <v>0</v>
      </c>
      <c r="BF14" s="26"/>
      <c r="BG14" s="26">
        <f>SUM(BG12:BG13)</f>
        <v>162565270.41999999</v>
      </c>
      <c r="BH14" s="26">
        <f>SUM(BH12:BH13)</f>
        <v>172656573.75</v>
      </c>
      <c r="BI14" s="26">
        <f t="shared" ref="BI14" si="39">SUM(BI12:BI13)</f>
        <v>172656573.75</v>
      </c>
      <c r="BJ14" s="26">
        <f t="shared" ref="BJ14" si="40">SUM(BJ12:BJ13)</f>
        <v>172656573.75</v>
      </c>
      <c r="BK14" s="26">
        <f t="shared" ref="BK14" si="41">SUM(BK12:BK13)</f>
        <v>172656573.75</v>
      </c>
      <c r="BL14" s="26">
        <f t="shared" ref="BL14" si="42">SUM(BL12:BL13)</f>
        <v>172656573.75</v>
      </c>
      <c r="BM14" s="26">
        <f t="shared" ref="BM14" si="43">SUM(BM12:BM13)</f>
        <v>172656573.75</v>
      </c>
      <c r="BN14" s="26">
        <f t="shared" ref="BN14" si="44">SUM(BN12:BN13)</f>
        <v>172656573.75</v>
      </c>
      <c r="BO14" s="26">
        <f t="shared" ref="BO14" si="45">SUM(BO12:BO13)</f>
        <v>172656573.75</v>
      </c>
      <c r="BP14" s="26">
        <f t="shared" ref="BP14" si="46">SUM(BP12:BP13)</f>
        <v>172656573.75</v>
      </c>
      <c r="BQ14" s="26">
        <f t="shared" ref="BQ14" si="47">SUM(BQ12:BQ13)</f>
        <v>172656573.75</v>
      </c>
      <c r="BR14" s="26">
        <f t="shared" ref="BR14" si="48">SUM(BR12:BR13)</f>
        <v>172656573.75</v>
      </c>
    </row>
    <row r="15" spans="1:70" outlineLevel="3" x14ac:dyDescent="0.2">
      <c r="A15" s="54"/>
      <c r="B15" s="57" t="s">
        <v>122</v>
      </c>
      <c r="C15" s="153" t="s">
        <v>121</v>
      </c>
      <c r="D15" s="40">
        <f t="shared" si="0"/>
        <v>498670490.13738966</v>
      </c>
      <c r="E15" s="40">
        <v>44268446.450000003</v>
      </c>
      <c r="F15" s="40">
        <v>41309276.698853597</v>
      </c>
      <c r="G15" s="40">
        <v>41309276.698853597</v>
      </c>
      <c r="H15" s="40">
        <v>41309276.698853597</v>
      </c>
      <c r="I15" s="40">
        <v>41309276.698853597</v>
      </c>
      <c r="J15" s="40">
        <v>41309276.698853597</v>
      </c>
      <c r="K15" s="40">
        <v>41309276.698853597</v>
      </c>
      <c r="L15" s="40">
        <v>41309276.698853597</v>
      </c>
      <c r="M15" s="40">
        <v>41309276.698853597</v>
      </c>
      <c r="N15" s="40">
        <v>41309276.698853597</v>
      </c>
      <c r="O15" s="40">
        <v>41309276.698853597</v>
      </c>
      <c r="P15" s="176">
        <v>41309276.698853597</v>
      </c>
      <c r="Q15" s="191">
        <f t="shared" si="1"/>
        <v>498670490.13738966</v>
      </c>
      <c r="R15" s="40">
        <v>44268446.450000003</v>
      </c>
      <c r="S15" s="40">
        <v>41309276.698853597</v>
      </c>
      <c r="T15" s="40">
        <v>41309276.698853597</v>
      </c>
      <c r="U15" s="40">
        <v>41309276.698853597</v>
      </c>
      <c r="V15" s="40">
        <v>41309276.698853597</v>
      </c>
      <c r="W15" s="40">
        <v>41309276.698853597</v>
      </c>
      <c r="X15" s="40">
        <v>41309276.698853597</v>
      </c>
      <c r="Y15" s="40">
        <v>41309276.698853597</v>
      </c>
      <c r="Z15" s="40">
        <v>41309276.698853597</v>
      </c>
      <c r="AA15" s="40">
        <v>41309276.698853597</v>
      </c>
      <c r="AB15" s="40">
        <v>41309276.698853597</v>
      </c>
      <c r="AC15" s="176">
        <v>41309276.698853597</v>
      </c>
      <c r="AD15" s="225">
        <f t="shared" si="2"/>
        <v>498670490.13738966</v>
      </c>
      <c r="AE15" s="40">
        <v>44268446.450000003</v>
      </c>
      <c r="AF15" s="40">
        <v>41309276.698853597</v>
      </c>
      <c r="AG15" s="40">
        <v>41309276.698853597</v>
      </c>
      <c r="AH15" s="40">
        <v>41309276.698853597</v>
      </c>
      <c r="AI15" s="40">
        <v>41309276.698853597</v>
      </c>
      <c r="AJ15" s="40">
        <v>41309276.698853597</v>
      </c>
      <c r="AK15" s="40">
        <v>41309276.698853597</v>
      </c>
      <c r="AL15" s="40">
        <v>41309276.698853597</v>
      </c>
      <c r="AM15" s="40">
        <v>41309276.698853597</v>
      </c>
      <c r="AN15" s="40">
        <v>41309276.698853597</v>
      </c>
      <c r="AO15" s="40">
        <v>41309276.698853597</v>
      </c>
      <c r="AP15" s="208">
        <v>41309276.698853597</v>
      </c>
      <c r="AQ15" s="168">
        <f t="shared" si="3"/>
        <v>0</v>
      </c>
      <c r="AR15" s="40"/>
      <c r="AS15" s="40">
        <v>44268446.450000003</v>
      </c>
      <c r="AT15" s="40">
        <v>41309276.698853597</v>
      </c>
      <c r="AU15" s="40">
        <v>41309276.698853597</v>
      </c>
      <c r="AV15" s="40">
        <v>41309276.698853597</v>
      </c>
      <c r="AW15" s="40">
        <v>41309276.698853597</v>
      </c>
      <c r="AX15" s="40">
        <v>41309276.698853597</v>
      </c>
      <c r="AY15" s="40">
        <v>41309276.698853597</v>
      </c>
      <c r="AZ15" s="40">
        <v>41309276.698853597</v>
      </c>
      <c r="BA15" s="40">
        <v>41309276.698853597</v>
      </c>
      <c r="BB15" s="40">
        <v>41309276.698853597</v>
      </c>
      <c r="BC15" s="40">
        <v>41309276.698853597</v>
      </c>
      <c r="BD15" s="176">
        <v>41309276.698853597</v>
      </c>
      <c r="BE15" s="191">
        <f t="shared" si="4"/>
        <v>0</v>
      </c>
      <c r="BF15" s="40"/>
      <c r="BG15" s="40">
        <v>44268446.450000003</v>
      </c>
      <c r="BH15" s="40">
        <v>41309276.698853597</v>
      </c>
      <c r="BI15" s="40">
        <v>41309276.698853597</v>
      </c>
      <c r="BJ15" s="40">
        <v>41309276.698853597</v>
      </c>
      <c r="BK15" s="40">
        <v>41309276.698853597</v>
      </c>
      <c r="BL15" s="40">
        <v>41309276.698853597</v>
      </c>
      <c r="BM15" s="40">
        <v>41309276.698853597</v>
      </c>
      <c r="BN15" s="40">
        <v>41309276.698853597</v>
      </c>
      <c r="BO15" s="40">
        <v>41309276.698853597</v>
      </c>
      <c r="BP15" s="40">
        <v>41309276.698853597</v>
      </c>
      <c r="BQ15" s="40">
        <v>41309276.698853597</v>
      </c>
      <c r="BR15" s="40">
        <v>41309276.698853597</v>
      </c>
    </row>
    <row r="16" spans="1:70" outlineLevel="3" x14ac:dyDescent="0.2">
      <c r="A16" s="54"/>
      <c r="B16" s="38" t="s">
        <v>120</v>
      </c>
      <c r="C16" s="153" t="s">
        <v>119</v>
      </c>
      <c r="D16" s="40">
        <f t="shared" si="0"/>
        <v>90290514.502167016</v>
      </c>
      <c r="E16" s="40">
        <v>6226136.4199999999</v>
      </c>
      <c r="F16" s="40">
        <v>7642216.1892879102</v>
      </c>
      <c r="G16" s="40">
        <v>7642216.1892879102</v>
      </c>
      <c r="H16" s="40">
        <v>7642216.1892879102</v>
      </c>
      <c r="I16" s="40">
        <v>7642216.1892879102</v>
      </c>
      <c r="J16" s="40">
        <v>7642216.1892879102</v>
      </c>
      <c r="K16" s="40">
        <v>7642216.1892879102</v>
      </c>
      <c r="L16" s="40">
        <v>7642216.1892879102</v>
      </c>
      <c r="M16" s="40">
        <v>7642216.1892879102</v>
      </c>
      <c r="N16" s="40">
        <v>7642216.1892879102</v>
      </c>
      <c r="O16" s="40">
        <v>7642216.1892879102</v>
      </c>
      <c r="P16" s="176">
        <v>7642216.1892879102</v>
      </c>
      <c r="Q16" s="191">
        <f t="shared" si="1"/>
        <v>90290514.502167016</v>
      </c>
      <c r="R16" s="40">
        <v>6226136.4199999999</v>
      </c>
      <c r="S16" s="40">
        <v>7642216.1892879102</v>
      </c>
      <c r="T16" s="40">
        <v>7642216.1892879102</v>
      </c>
      <c r="U16" s="40">
        <v>7642216.1892879102</v>
      </c>
      <c r="V16" s="40">
        <v>7642216.1892879102</v>
      </c>
      <c r="W16" s="40">
        <v>7642216.1892879102</v>
      </c>
      <c r="X16" s="40">
        <v>7642216.1892879102</v>
      </c>
      <c r="Y16" s="40">
        <v>7642216.1892879102</v>
      </c>
      <c r="Z16" s="40">
        <v>7642216.1892879102</v>
      </c>
      <c r="AA16" s="40">
        <v>7642216.1892879102</v>
      </c>
      <c r="AB16" s="40">
        <v>7642216.1892879102</v>
      </c>
      <c r="AC16" s="176">
        <v>7642216.1892879102</v>
      </c>
      <c r="AD16" s="225">
        <f t="shared" si="2"/>
        <v>90290514.502167016</v>
      </c>
      <c r="AE16" s="40">
        <v>6226136.4199999999</v>
      </c>
      <c r="AF16" s="40">
        <v>7642216.1892879102</v>
      </c>
      <c r="AG16" s="40">
        <v>7642216.1892879102</v>
      </c>
      <c r="AH16" s="40">
        <v>7642216.1892879102</v>
      </c>
      <c r="AI16" s="40">
        <v>7642216.1892879102</v>
      </c>
      <c r="AJ16" s="40">
        <v>7642216.1892879102</v>
      </c>
      <c r="AK16" s="40">
        <v>7642216.1892879102</v>
      </c>
      <c r="AL16" s="40">
        <v>7642216.1892879102</v>
      </c>
      <c r="AM16" s="40">
        <v>7642216.1892879102</v>
      </c>
      <c r="AN16" s="40">
        <v>7642216.1892879102</v>
      </c>
      <c r="AO16" s="40">
        <v>7642216.1892879102</v>
      </c>
      <c r="AP16" s="208">
        <v>7642216.1892879102</v>
      </c>
      <c r="AQ16" s="168">
        <f t="shared" si="3"/>
        <v>0</v>
      </c>
      <c r="AR16" s="40"/>
      <c r="AS16" s="40">
        <v>6226136.4199999999</v>
      </c>
      <c r="AT16" s="40">
        <v>7642216.1892879102</v>
      </c>
      <c r="AU16" s="40">
        <v>7642216.1892879102</v>
      </c>
      <c r="AV16" s="40">
        <v>7642216.1892879102</v>
      </c>
      <c r="AW16" s="40">
        <v>7642216.1892879102</v>
      </c>
      <c r="AX16" s="40">
        <v>7642216.1892879102</v>
      </c>
      <c r="AY16" s="40">
        <v>7642216.1892879102</v>
      </c>
      <c r="AZ16" s="40">
        <v>7642216.1892879102</v>
      </c>
      <c r="BA16" s="40">
        <v>7642216.1892879102</v>
      </c>
      <c r="BB16" s="40">
        <v>7642216.1892879102</v>
      </c>
      <c r="BC16" s="40">
        <v>7642216.1892879102</v>
      </c>
      <c r="BD16" s="176">
        <v>7642216.1892879102</v>
      </c>
      <c r="BE16" s="191">
        <f t="shared" si="4"/>
        <v>0</v>
      </c>
      <c r="BF16" s="40"/>
      <c r="BG16" s="40">
        <v>6226136.4199999999</v>
      </c>
      <c r="BH16" s="40">
        <v>7642216.1892879102</v>
      </c>
      <c r="BI16" s="40">
        <v>7642216.1892879102</v>
      </c>
      <c r="BJ16" s="40">
        <v>7642216.1892879102</v>
      </c>
      <c r="BK16" s="40">
        <v>7642216.1892879102</v>
      </c>
      <c r="BL16" s="40">
        <v>7642216.1892879102</v>
      </c>
      <c r="BM16" s="40">
        <v>7642216.1892879102</v>
      </c>
      <c r="BN16" s="40">
        <v>7642216.1892879102</v>
      </c>
      <c r="BO16" s="40">
        <v>7642216.1892879102</v>
      </c>
      <c r="BP16" s="40">
        <v>7642216.1892879102</v>
      </c>
      <c r="BQ16" s="40">
        <v>7642216.1892879102</v>
      </c>
      <c r="BR16" s="40">
        <v>7642216.1892879102</v>
      </c>
    </row>
    <row r="17" spans="1:70" s="6" customFormat="1" outlineLevel="2" x14ac:dyDescent="0.2">
      <c r="A17" s="30"/>
      <c r="B17" s="29" t="s">
        <v>118</v>
      </c>
      <c r="C17" s="152" t="s">
        <v>117</v>
      </c>
      <c r="D17" s="26">
        <f t="shared" si="0"/>
        <v>588961004.63955665</v>
      </c>
      <c r="E17" s="26">
        <f>SUM(E15:E16)</f>
        <v>50494582.870000005</v>
      </c>
      <c r="F17" s="26">
        <f>SUM(F15:F16)</f>
        <v>48951492.888141505</v>
      </c>
      <c r="G17" s="26">
        <f t="shared" ref="G17:L17" si="49">SUM(G15:G16)</f>
        <v>48951492.888141505</v>
      </c>
      <c r="H17" s="26">
        <f t="shared" si="49"/>
        <v>48951492.888141505</v>
      </c>
      <c r="I17" s="26">
        <f t="shared" si="49"/>
        <v>48951492.888141505</v>
      </c>
      <c r="J17" s="26">
        <f t="shared" si="49"/>
        <v>48951492.888141505</v>
      </c>
      <c r="K17" s="26">
        <f t="shared" si="49"/>
        <v>48951492.888141505</v>
      </c>
      <c r="L17" s="26">
        <f t="shared" si="49"/>
        <v>48951492.888141505</v>
      </c>
      <c r="M17" s="26">
        <f t="shared" ref="M17" si="50">SUM(M15:M16)</f>
        <v>48951492.888141505</v>
      </c>
      <c r="N17" s="26">
        <f t="shared" ref="N17" si="51">SUM(N15:N16)</f>
        <v>48951492.888141505</v>
      </c>
      <c r="O17" s="26">
        <f t="shared" ref="O17" si="52">SUM(O15:O16)</f>
        <v>48951492.888141505</v>
      </c>
      <c r="P17" s="177">
        <f t="shared" ref="P17" si="53">SUM(P15:P16)</f>
        <v>48951492.888141505</v>
      </c>
      <c r="Q17" s="192">
        <f t="shared" si="1"/>
        <v>588961004.63955665</v>
      </c>
      <c r="R17" s="26">
        <f>SUM(R15:R16)</f>
        <v>50494582.870000005</v>
      </c>
      <c r="S17" s="26">
        <f>SUM(S15:S16)</f>
        <v>48951492.888141505</v>
      </c>
      <c r="T17" s="26">
        <f t="shared" ref="T17" si="54">SUM(T15:T16)</f>
        <v>48951492.888141505</v>
      </c>
      <c r="U17" s="26">
        <f t="shared" ref="U17" si="55">SUM(U15:U16)</f>
        <v>48951492.888141505</v>
      </c>
      <c r="V17" s="26">
        <f t="shared" ref="V17" si="56">SUM(V15:V16)</f>
        <v>48951492.888141505</v>
      </c>
      <c r="W17" s="26">
        <f t="shared" ref="W17" si="57">SUM(W15:W16)</f>
        <v>48951492.888141505</v>
      </c>
      <c r="X17" s="26">
        <f t="shared" ref="X17" si="58">SUM(X15:X16)</f>
        <v>48951492.888141505</v>
      </c>
      <c r="Y17" s="26">
        <f t="shared" ref="Y17:Z17" si="59">SUM(Y15:Y16)</f>
        <v>48951492.888141505</v>
      </c>
      <c r="Z17" s="26">
        <f t="shared" si="59"/>
        <v>48951492.888141505</v>
      </c>
      <c r="AA17" s="26">
        <f t="shared" ref="AA17" si="60">SUM(AA15:AA16)</f>
        <v>48951492.888141505</v>
      </c>
      <c r="AB17" s="26">
        <f t="shared" ref="AB17" si="61">SUM(AB15:AB16)</f>
        <v>48951492.888141505</v>
      </c>
      <c r="AC17" s="177">
        <f t="shared" ref="AC17" si="62">SUM(AC15:AC16)</f>
        <v>48951492.888141505</v>
      </c>
      <c r="AD17" s="226">
        <f t="shared" si="2"/>
        <v>588961004.63955665</v>
      </c>
      <c r="AE17" s="26">
        <f>SUM(AE15:AE16)</f>
        <v>50494582.870000005</v>
      </c>
      <c r="AF17" s="26">
        <f>SUM(AF15:AF16)</f>
        <v>48951492.888141505</v>
      </c>
      <c r="AG17" s="26">
        <f t="shared" ref="AG17" si="63">SUM(AG15:AG16)</f>
        <v>48951492.888141505</v>
      </c>
      <c r="AH17" s="26">
        <f t="shared" ref="AH17" si="64">SUM(AH15:AH16)</f>
        <v>48951492.888141505</v>
      </c>
      <c r="AI17" s="26">
        <f t="shared" ref="AI17" si="65">SUM(AI15:AI16)</f>
        <v>48951492.888141505</v>
      </c>
      <c r="AJ17" s="26">
        <f t="shared" ref="AJ17" si="66">SUM(AJ15:AJ16)</f>
        <v>48951492.888141505</v>
      </c>
      <c r="AK17" s="26">
        <f t="shared" ref="AK17" si="67">SUM(AK15:AK16)</f>
        <v>48951492.888141505</v>
      </c>
      <c r="AL17" s="26">
        <f t="shared" ref="AL17" si="68">SUM(AL15:AL16)</f>
        <v>48951492.888141505</v>
      </c>
      <c r="AM17" s="26">
        <f t="shared" ref="AM17" si="69">SUM(AM15:AM16)</f>
        <v>48951492.888141505</v>
      </c>
      <c r="AN17" s="26">
        <f t="shared" ref="AN17" si="70">SUM(AN15:AN16)</f>
        <v>48951492.888141505</v>
      </c>
      <c r="AO17" s="26">
        <f t="shared" ref="AO17" si="71">SUM(AO15:AO16)</f>
        <v>48951492.888141505</v>
      </c>
      <c r="AP17" s="209">
        <f t="shared" ref="AP17" si="72">SUM(AP15:AP16)</f>
        <v>48951492.888141505</v>
      </c>
      <c r="AQ17" s="169">
        <f t="shared" si="3"/>
        <v>0</v>
      </c>
      <c r="AR17" s="26"/>
      <c r="AS17" s="26">
        <f>SUM(AS15:AS16)</f>
        <v>50494582.870000005</v>
      </c>
      <c r="AT17" s="26">
        <f>SUM(AT15:AT16)</f>
        <v>48951492.888141505</v>
      </c>
      <c r="AU17" s="26">
        <f t="shared" ref="AU17" si="73">SUM(AU15:AU16)</f>
        <v>48951492.888141505</v>
      </c>
      <c r="AV17" s="26">
        <f t="shared" ref="AV17" si="74">SUM(AV15:AV16)</f>
        <v>48951492.888141505</v>
      </c>
      <c r="AW17" s="26">
        <f t="shared" ref="AW17" si="75">SUM(AW15:AW16)</f>
        <v>48951492.888141505</v>
      </c>
      <c r="AX17" s="26">
        <f t="shared" ref="AX17" si="76">SUM(AX15:AX16)</f>
        <v>48951492.888141505</v>
      </c>
      <c r="AY17" s="26">
        <f t="shared" ref="AY17" si="77">SUM(AY15:AY16)</f>
        <v>48951492.888141505</v>
      </c>
      <c r="AZ17" s="26">
        <f t="shared" ref="AZ17" si="78">SUM(AZ15:AZ16)</f>
        <v>48951492.888141505</v>
      </c>
      <c r="BA17" s="26">
        <f t="shared" ref="BA17" si="79">SUM(BA15:BA16)</f>
        <v>48951492.888141505</v>
      </c>
      <c r="BB17" s="26">
        <f t="shared" ref="BB17" si="80">SUM(BB15:BB16)</f>
        <v>48951492.888141505</v>
      </c>
      <c r="BC17" s="26">
        <f t="shared" ref="BC17" si="81">SUM(BC15:BC16)</f>
        <v>48951492.888141505</v>
      </c>
      <c r="BD17" s="177">
        <f t="shared" ref="BD17" si="82">SUM(BD15:BD16)</f>
        <v>48951492.888141505</v>
      </c>
      <c r="BE17" s="192">
        <f t="shared" si="4"/>
        <v>0</v>
      </c>
      <c r="BF17" s="26"/>
      <c r="BG17" s="26">
        <f>SUM(BG15:BG16)</f>
        <v>50494582.870000005</v>
      </c>
      <c r="BH17" s="26">
        <f>SUM(BH15:BH16)</f>
        <v>48951492.888141505</v>
      </c>
      <c r="BI17" s="26">
        <f t="shared" ref="BI17" si="83">SUM(BI15:BI16)</f>
        <v>48951492.888141505</v>
      </c>
      <c r="BJ17" s="26">
        <f t="shared" ref="BJ17" si="84">SUM(BJ15:BJ16)</f>
        <v>48951492.888141505</v>
      </c>
      <c r="BK17" s="26">
        <f t="shared" ref="BK17" si="85">SUM(BK15:BK16)</f>
        <v>48951492.888141505</v>
      </c>
      <c r="BL17" s="26">
        <f t="shared" ref="BL17" si="86">SUM(BL15:BL16)</f>
        <v>48951492.888141505</v>
      </c>
      <c r="BM17" s="26">
        <f t="shared" ref="BM17" si="87">SUM(BM15:BM16)</f>
        <v>48951492.888141505</v>
      </c>
      <c r="BN17" s="26">
        <f t="shared" ref="BN17" si="88">SUM(BN15:BN16)</f>
        <v>48951492.888141505</v>
      </c>
      <c r="BO17" s="26">
        <f t="shared" ref="BO17" si="89">SUM(BO15:BO16)</f>
        <v>48951492.888141505</v>
      </c>
      <c r="BP17" s="26">
        <f t="shared" ref="BP17" si="90">SUM(BP15:BP16)</f>
        <v>48951492.888141505</v>
      </c>
      <c r="BQ17" s="26">
        <f t="shared" ref="BQ17" si="91">SUM(BQ15:BQ16)</f>
        <v>48951492.888141505</v>
      </c>
      <c r="BR17" s="26">
        <f t="shared" ref="BR17" si="92">SUM(BR15:BR16)</f>
        <v>48951492.888141505</v>
      </c>
    </row>
    <row r="18" spans="1:70" outlineLevel="3" x14ac:dyDescent="0.2">
      <c r="A18" s="54"/>
      <c r="B18" s="38" t="s">
        <v>116</v>
      </c>
      <c r="C18" s="151" t="s">
        <v>115</v>
      </c>
      <c r="D18" s="40">
        <f t="shared" si="0"/>
        <v>502299.88</v>
      </c>
      <c r="E18" s="40">
        <v>502299.88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176">
        <v>0</v>
      </c>
      <c r="Q18" s="191">
        <f t="shared" si="1"/>
        <v>502299.88</v>
      </c>
      <c r="R18" s="40">
        <v>502299.88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0</v>
      </c>
      <c r="AB18" s="40">
        <v>0</v>
      </c>
      <c r="AC18" s="176">
        <v>0</v>
      </c>
      <c r="AD18" s="225">
        <f t="shared" si="2"/>
        <v>502299.88</v>
      </c>
      <c r="AE18" s="40">
        <v>502299.88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208">
        <v>0</v>
      </c>
      <c r="AQ18" s="168">
        <f t="shared" si="3"/>
        <v>0</v>
      </c>
      <c r="AR18" s="40"/>
      <c r="AS18" s="40">
        <v>502299.88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0</v>
      </c>
      <c r="BB18" s="40">
        <v>0</v>
      </c>
      <c r="BC18" s="40">
        <v>0</v>
      </c>
      <c r="BD18" s="176">
        <v>0</v>
      </c>
      <c r="BE18" s="191">
        <f t="shared" si="4"/>
        <v>0</v>
      </c>
      <c r="BF18" s="40"/>
      <c r="BG18" s="40">
        <v>502299.88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</row>
    <row r="19" spans="1:70" outlineLevel="3" x14ac:dyDescent="0.2">
      <c r="A19" s="54"/>
      <c r="B19" s="38" t="s">
        <v>114</v>
      </c>
      <c r="C19" s="151" t="s">
        <v>113</v>
      </c>
      <c r="D19" s="40">
        <f t="shared" si="0"/>
        <v>81339.45</v>
      </c>
      <c r="E19" s="40">
        <v>81339.45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176">
        <v>0</v>
      </c>
      <c r="Q19" s="191">
        <f t="shared" si="1"/>
        <v>81339.45</v>
      </c>
      <c r="R19" s="40">
        <v>81339.45</v>
      </c>
      <c r="S19" s="40">
        <v>0</v>
      </c>
      <c r="T19" s="40">
        <v>0</v>
      </c>
      <c r="U19" s="40">
        <v>0</v>
      </c>
      <c r="V19" s="40">
        <v>0</v>
      </c>
      <c r="W19" s="40">
        <v>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176">
        <v>0</v>
      </c>
      <c r="AD19" s="225">
        <f t="shared" si="2"/>
        <v>81339.45</v>
      </c>
      <c r="AE19" s="40">
        <v>81339.45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208">
        <v>0</v>
      </c>
      <c r="AQ19" s="168">
        <f t="shared" si="3"/>
        <v>0</v>
      </c>
      <c r="AR19" s="40"/>
      <c r="AS19" s="40">
        <v>81339.45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176">
        <v>0</v>
      </c>
      <c r="BE19" s="191">
        <f t="shared" si="4"/>
        <v>0</v>
      </c>
      <c r="BF19" s="40"/>
      <c r="BG19" s="40">
        <v>81339.45</v>
      </c>
      <c r="BH19" s="40">
        <v>0</v>
      </c>
      <c r="BI19" s="40">
        <v>0</v>
      </c>
      <c r="BJ19" s="40">
        <v>0</v>
      </c>
      <c r="BK19" s="40">
        <v>0</v>
      </c>
      <c r="BL19" s="40">
        <v>0</v>
      </c>
      <c r="BM19" s="40">
        <v>0</v>
      </c>
      <c r="BN19" s="40">
        <v>0</v>
      </c>
      <c r="BO19" s="40">
        <v>0</v>
      </c>
      <c r="BP19" s="40">
        <v>0</v>
      </c>
      <c r="BQ19" s="40">
        <v>0</v>
      </c>
      <c r="BR19" s="40">
        <v>0</v>
      </c>
    </row>
    <row r="20" spans="1:70" s="6" customFormat="1" outlineLevel="2" x14ac:dyDescent="0.2">
      <c r="A20" s="30"/>
      <c r="B20" s="29" t="s">
        <v>112</v>
      </c>
      <c r="C20" s="152" t="s">
        <v>111</v>
      </c>
      <c r="D20" s="26">
        <f t="shared" si="0"/>
        <v>583639.32999999996</v>
      </c>
      <c r="E20" s="26">
        <f>SUM(E18:E19)</f>
        <v>583639.32999999996</v>
      </c>
      <c r="F20" s="26">
        <f>SUM(F18:F19)</f>
        <v>0</v>
      </c>
      <c r="G20" s="26">
        <f t="shared" ref="G20:L20" si="93">SUM(G18:G19)</f>
        <v>0</v>
      </c>
      <c r="H20" s="26">
        <f t="shared" si="93"/>
        <v>0</v>
      </c>
      <c r="I20" s="26">
        <f t="shared" si="93"/>
        <v>0</v>
      </c>
      <c r="J20" s="26">
        <f t="shared" si="93"/>
        <v>0</v>
      </c>
      <c r="K20" s="26">
        <f t="shared" si="93"/>
        <v>0</v>
      </c>
      <c r="L20" s="26">
        <f t="shared" si="93"/>
        <v>0</v>
      </c>
      <c r="M20" s="26">
        <f t="shared" ref="M20" si="94">SUM(M18:M19)</f>
        <v>0</v>
      </c>
      <c r="N20" s="26">
        <f t="shared" ref="N20" si="95">SUM(N18:N19)</f>
        <v>0</v>
      </c>
      <c r="O20" s="26">
        <f t="shared" ref="O20" si="96">SUM(O18:O19)</f>
        <v>0</v>
      </c>
      <c r="P20" s="177">
        <f t="shared" ref="P20" si="97">SUM(P18:P19)</f>
        <v>0</v>
      </c>
      <c r="Q20" s="192">
        <f t="shared" si="1"/>
        <v>583639.32999999996</v>
      </c>
      <c r="R20" s="26">
        <f>SUM(R18:R19)</f>
        <v>583639.32999999996</v>
      </c>
      <c r="S20" s="26">
        <f>SUM(S18:S19)</f>
        <v>0</v>
      </c>
      <c r="T20" s="26">
        <f t="shared" ref="T20" si="98">SUM(T18:T19)</f>
        <v>0</v>
      </c>
      <c r="U20" s="26">
        <f t="shared" ref="U20" si="99">SUM(U18:U19)</f>
        <v>0</v>
      </c>
      <c r="V20" s="26">
        <f t="shared" ref="V20" si="100">SUM(V18:V19)</f>
        <v>0</v>
      </c>
      <c r="W20" s="26">
        <f t="shared" ref="W20" si="101">SUM(W18:W19)</f>
        <v>0</v>
      </c>
      <c r="X20" s="26">
        <f t="shared" ref="X20" si="102">SUM(X18:X19)</f>
        <v>0</v>
      </c>
      <c r="Y20" s="26">
        <f t="shared" ref="Y20:Z20" si="103">SUM(Y18:Y19)</f>
        <v>0</v>
      </c>
      <c r="Z20" s="26">
        <f t="shared" si="103"/>
        <v>0</v>
      </c>
      <c r="AA20" s="26">
        <f t="shared" ref="AA20" si="104">SUM(AA18:AA19)</f>
        <v>0</v>
      </c>
      <c r="AB20" s="26">
        <f t="shared" ref="AB20" si="105">SUM(AB18:AB19)</f>
        <v>0</v>
      </c>
      <c r="AC20" s="177">
        <f t="shared" ref="AC20" si="106">SUM(AC18:AC19)</f>
        <v>0</v>
      </c>
      <c r="AD20" s="226">
        <f t="shared" si="2"/>
        <v>583639.32999999996</v>
      </c>
      <c r="AE20" s="26">
        <f>SUM(AE18:AE19)</f>
        <v>583639.32999999996</v>
      </c>
      <c r="AF20" s="26">
        <f>SUM(AF18:AF19)</f>
        <v>0</v>
      </c>
      <c r="AG20" s="26">
        <f t="shared" ref="AG20" si="107">SUM(AG18:AG19)</f>
        <v>0</v>
      </c>
      <c r="AH20" s="26">
        <f t="shared" ref="AH20" si="108">SUM(AH18:AH19)</f>
        <v>0</v>
      </c>
      <c r="AI20" s="26">
        <f t="shared" ref="AI20" si="109">SUM(AI18:AI19)</f>
        <v>0</v>
      </c>
      <c r="AJ20" s="26">
        <f t="shared" ref="AJ20" si="110">SUM(AJ18:AJ19)</f>
        <v>0</v>
      </c>
      <c r="AK20" s="26">
        <f t="shared" ref="AK20" si="111">SUM(AK18:AK19)</f>
        <v>0</v>
      </c>
      <c r="AL20" s="26">
        <f t="shared" ref="AL20" si="112">SUM(AL18:AL19)</f>
        <v>0</v>
      </c>
      <c r="AM20" s="26">
        <f t="shared" ref="AM20" si="113">SUM(AM18:AM19)</f>
        <v>0</v>
      </c>
      <c r="AN20" s="26">
        <f t="shared" ref="AN20" si="114">SUM(AN18:AN19)</f>
        <v>0</v>
      </c>
      <c r="AO20" s="26">
        <f t="shared" ref="AO20" si="115">SUM(AO18:AO19)</f>
        <v>0</v>
      </c>
      <c r="AP20" s="209">
        <f t="shared" ref="AP20" si="116">SUM(AP18:AP19)</f>
        <v>0</v>
      </c>
      <c r="AQ20" s="169">
        <f t="shared" si="3"/>
        <v>0</v>
      </c>
      <c r="AR20" s="26"/>
      <c r="AS20" s="26">
        <f>SUM(AS18:AS19)</f>
        <v>583639.32999999996</v>
      </c>
      <c r="AT20" s="26">
        <f>SUM(AT18:AT19)</f>
        <v>0</v>
      </c>
      <c r="AU20" s="26">
        <f t="shared" ref="AU20" si="117">SUM(AU18:AU19)</f>
        <v>0</v>
      </c>
      <c r="AV20" s="26">
        <f t="shared" ref="AV20" si="118">SUM(AV18:AV19)</f>
        <v>0</v>
      </c>
      <c r="AW20" s="26">
        <f t="shared" ref="AW20" si="119">SUM(AW18:AW19)</f>
        <v>0</v>
      </c>
      <c r="AX20" s="26">
        <f t="shared" ref="AX20" si="120">SUM(AX18:AX19)</f>
        <v>0</v>
      </c>
      <c r="AY20" s="26">
        <f t="shared" ref="AY20" si="121">SUM(AY18:AY19)</f>
        <v>0</v>
      </c>
      <c r="AZ20" s="26">
        <f t="shared" ref="AZ20" si="122">SUM(AZ18:AZ19)</f>
        <v>0</v>
      </c>
      <c r="BA20" s="26">
        <f t="shared" ref="BA20" si="123">SUM(BA18:BA19)</f>
        <v>0</v>
      </c>
      <c r="BB20" s="26">
        <f t="shared" ref="BB20" si="124">SUM(BB18:BB19)</f>
        <v>0</v>
      </c>
      <c r="BC20" s="26">
        <f t="shared" ref="BC20" si="125">SUM(BC18:BC19)</f>
        <v>0</v>
      </c>
      <c r="BD20" s="177">
        <f t="shared" ref="BD20" si="126">SUM(BD18:BD19)</f>
        <v>0</v>
      </c>
      <c r="BE20" s="192">
        <f t="shared" si="4"/>
        <v>0</v>
      </c>
      <c r="BF20" s="26"/>
      <c r="BG20" s="26">
        <f>SUM(BG18:BG19)</f>
        <v>583639.32999999996</v>
      </c>
      <c r="BH20" s="26">
        <f>SUM(BH18:BH19)</f>
        <v>0</v>
      </c>
      <c r="BI20" s="26">
        <f t="shared" ref="BI20" si="127">SUM(BI18:BI19)</f>
        <v>0</v>
      </c>
      <c r="BJ20" s="26">
        <f t="shared" ref="BJ20" si="128">SUM(BJ18:BJ19)</f>
        <v>0</v>
      </c>
      <c r="BK20" s="26">
        <f t="shared" ref="BK20" si="129">SUM(BK18:BK19)</f>
        <v>0</v>
      </c>
      <c r="BL20" s="26">
        <f t="shared" ref="BL20" si="130">SUM(BL18:BL19)</f>
        <v>0</v>
      </c>
      <c r="BM20" s="26">
        <f t="shared" ref="BM20" si="131">SUM(BM18:BM19)</f>
        <v>0</v>
      </c>
      <c r="BN20" s="26">
        <f t="shared" ref="BN20" si="132">SUM(BN18:BN19)</f>
        <v>0</v>
      </c>
      <c r="BO20" s="26">
        <f t="shared" ref="BO20" si="133">SUM(BO18:BO19)</f>
        <v>0</v>
      </c>
      <c r="BP20" s="26">
        <f t="shared" ref="BP20" si="134">SUM(BP18:BP19)</f>
        <v>0</v>
      </c>
      <c r="BQ20" s="26">
        <f t="shared" ref="BQ20" si="135">SUM(BQ18:BQ19)</f>
        <v>0</v>
      </c>
      <c r="BR20" s="26">
        <f t="shared" ref="BR20" si="136">SUM(BR18:BR19)</f>
        <v>0</v>
      </c>
    </row>
    <row r="21" spans="1:70" outlineLevel="3" x14ac:dyDescent="0.2">
      <c r="A21" s="54"/>
      <c r="B21" s="38" t="s">
        <v>110</v>
      </c>
      <c r="C21" s="151" t="s">
        <v>109</v>
      </c>
      <c r="D21" s="40">
        <f t="shared" si="0"/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176">
        <v>0</v>
      </c>
      <c r="Q21" s="191">
        <f t="shared" si="1"/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176">
        <v>0</v>
      </c>
      <c r="AD21" s="225">
        <f t="shared" si="2"/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208">
        <v>0</v>
      </c>
      <c r="AQ21" s="168">
        <f t="shared" si="3"/>
        <v>0</v>
      </c>
      <c r="AR21" s="40"/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176">
        <v>0</v>
      </c>
      <c r="BE21" s="191">
        <f t="shared" si="4"/>
        <v>0</v>
      </c>
      <c r="BF21" s="40"/>
      <c r="BG21" s="40">
        <v>0</v>
      </c>
      <c r="BH21" s="40">
        <v>0</v>
      </c>
      <c r="BI21" s="40">
        <v>0</v>
      </c>
      <c r="BJ21" s="40">
        <v>0</v>
      </c>
      <c r="BK21" s="40">
        <v>0</v>
      </c>
      <c r="BL21" s="40">
        <v>0</v>
      </c>
      <c r="BM21" s="40">
        <v>0</v>
      </c>
      <c r="BN21" s="40">
        <v>0</v>
      </c>
      <c r="BO21" s="40">
        <v>0</v>
      </c>
      <c r="BP21" s="40">
        <v>0</v>
      </c>
      <c r="BQ21" s="40">
        <v>0</v>
      </c>
      <c r="BR21" s="40">
        <v>0</v>
      </c>
    </row>
    <row r="22" spans="1:70" outlineLevel="3" x14ac:dyDescent="0.2">
      <c r="A22" s="54"/>
      <c r="B22" s="38" t="s">
        <v>108</v>
      </c>
      <c r="C22" s="151" t="s">
        <v>107</v>
      </c>
      <c r="D22" s="40">
        <f t="shared" si="0"/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176">
        <v>0</v>
      </c>
      <c r="Q22" s="191">
        <f t="shared" si="1"/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176">
        <v>0</v>
      </c>
      <c r="AD22" s="225">
        <f t="shared" si="2"/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208">
        <v>0</v>
      </c>
      <c r="AQ22" s="168">
        <f t="shared" si="3"/>
        <v>0</v>
      </c>
      <c r="AR22" s="40"/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40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176">
        <v>0</v>
      </c>
      <c r="BE22" s="191">
        <f t="shared" si="4"/>
        <v>0</v>
      </c>
      <c r="BF22" s="40"/>
      <c r="BG22" s="40">
        <v>0</v>
      </c>
      <c r="BH22" s="40">
        <v>0</v>
      </c>
      <c r="BI22" s="40">
        <v>0</v>
      </c>
      <c r="BJ22" s="40">
        <v>0</v>
      </c>
      <c r="BK22" s="40">
        <v>0</v>
      </c>
      <c r="BL22" s="40">
        <v>0</v>
      </c>
      <c r="BM22" s="40">
        <v>0</v>
      </c>
      <c r="BN22" s="40">
        <v>0</v>
      </c>
      <c r="BO22" s="40">
        <v>0</v>
      </c>
      <c r="BP22" s="40">
        <v>0</v>
      </c>
      <c r="BQ22" s="40">
        <v>0</v>
      </c>
      <c r="BR22" s="40">
        <v>0</v>
      </c>
    </row>
    <row r="23" spans="1:70" s="6" customFormat="1" outlineLevel="2" x14ac:dyDescent="0.2">
      <c r="A23" s="30"/>
      <c r="B23" s="29" t="s">
        <v>106</v>
      </c>
      <c r="C23" s="152" t="s">
        <v>105</v>
      </c>
      <c r="D23" s="26">
        <f t="shared" si="0"/>
        <v>0</v>
      </c>
      <c r="E23" s="26">
        <f>SUM(E21:E22)</f>
        <v>0</v>
      </c>
      <c r="F23" s="26">
        <f>SUM(F21:F22)</f>
        <v>0</v>
      </c>
      <c r="G23" s="26">
        <f t="shared" ref="G23:L23" si="137">SUM(G21:G22)</f>
        <v>0</v>
      </c>
      <c r="H23" s="26">
        <f t="shared" si="137"/>
        <v>0</v>
      </c>
      <c r="I23" s="26">
        <f t="shared" si="137"/>
        <v>0</v>
      </c>
      <c r="J23" s="26">
        <f t="shared" si="137"/>
        <v>0</v>
      </c>
      <c r="K23" s="26">
        <f t="shared" si="137"/>
        <v>0</v>
      </c>
      <c r="L23" s="26">
        <f t="shared" si="137"/>
        <v>0</v>
      </c>
      <c r="M23" s="26">
        <f t="shared" ref="M23" si="138">SUM(M21:M22)</f>
        <v>0</v>
      </c>
      <c r="N23" s="26">
        <f t="shared" ref="N23" si="139">SUM(N21:N22)</f>
        <v>0</v>
      </c>
      <c r="O23" s="26">
        <f t="shared" ref="O23" si="140">SUM(O21:O22)</f>
        <v>0</v>
      </c>
      <c r="P23" s="177">
        <f t="shared" ref="P23" si="141">SUM(P21:P22)</f>
        <v>0</v>
      </c>
      <c r="Q23" s="192">
        <f t="shared" si="1"/>
        <v>0</v>
      </c>
      <c r="R23" s="26">
        <f>SUM(R21:R22)</f>
        <v>0</v>
      </c>
      <c r="S23" s="26">
        <f>SUM(S21:S22)</f>
        <v>0</v>
      </c>
      <c r="T23" s="26">
        <f t="shared" ref="T23" si="142">SUM(T21:T22)</f>
        <v>0</v>
      </c>
      <c r="U23" s="26">
        <f t="shared" ref="U23" si="143">SUM(U21:U22)</f>
        <v>0</v>
      </c>
      <c r="V23" s="26">
        <f t="shared" ref="V23" si="144">SUM(V21:V22)</f>
        <v>0</v>
      </c>
      <c r="W23" s="26">
        <f t="shared" ref="W23" si="145">SUM(W21:W22)</f>
        <v>0</v>
      </c>
      <c r="X23" s="26">
        <f t="shared" ref="X23" si="146">SUM(X21:X22)</f>
        <v>0</v>
      </c>
      <c r="Y23" s="26">
        <f t="shared" ref="Y23:Z23" si="147">SUM(Y21:Y22)</f>
        <v>0</v>
      </c>
      <c r="Z23" s="26">
        <f t="shared" si="147"/>
        <v>0</v>
      </c>
      <c r="AA23" s="26">
        <f t="shared" ref="AA23" si="148">SUM(AA21:AA22)</f>
        <v>0</v>
      </c>
      <c r="AB23" s="26">
        <f t="shared" ref="AB23" si="149">SUM(AB21:AB22)</f>
        <v>0</v>
      </c>
      <c r="AC23" s="177">
        <f t="shared" ref="AC23" si="150">SUM(AC21:AC22)</f>
        <v>0</v>
      </c>
      <c r="AD23" s="226">
        <f t="shared" si="2"/>
        <v>0</v>
      </c>
      <c r="AE23" s="26">
        <f>SUM(AE21:AE22)</f>
        <v>0</v>
      </c>
      <c r="AF23" s="26">
        <f>SUM(AF21:AF22)</f>
        <v>0</v>
      </c>
      <c r="AG23" s="26">
        <f t="shared" ref="AG23" si="151">SUM(AG21:AG22)</f>
        <v>0</v>
      </c>
      <c r="AH23" s="26">
        <f t="shared" ref="AH23" si="152">SUM(AH21:AH22)</f>
        <v>0</v>
      </c>
      <c r="AI23" s="26">
        <f t="shared" ref="AI23" si="153">SUM(AI21:AI22)</f>
        <v>0</v>
      </c>
      <c r="AJ23" s="26">
        <f t="shared" ref="AJ23" si="154">SUM(AJ21:AJ22)</f>
        <v>0</v>
      </c>
      <c r="AK23" s="26">
        <f t="shared" ref="AK23" si="155">SUM(AK21:AK22)</f>
        <v>0</v>
      </c>
      <c r="AL23" s="26">
        <f t="shared" ref="AL23" si="156">SUM(AL21:AL22)</f>
        <v>0</v>
      </c>
      <c r="AM23" s="26">
        <f t="shared" ref="AM23" si="157">SUM(AM21:AM22)</f>
        <v>0</v>
      </c>
      <c r="AN23" s="26">
        <f t="shared" ref="AN23" si="158">SUM(AN21:AN22)</f>
        <v>0</v>
      </c>
      <c r="AO23" s="26">
        <f t="shared" ref="AO23" si="159">SUM(AO21:AO22)</f>
        <v>0</v>
      </c>
      <c r="AP23" s="209">
        <f t="shared" ref="AP23" si="160">SUM(AP21:AP22)</f>
        <v>0</v>
      </c>
      <c r="AQ23" s="169">
        <f t="shared" si="3"/>
        <v>0</v>
      </c>
      <c r="AR23" s="26"/>
      <c r="AS23" s="26">
        <f>SUM(AS21:AS22)</f>
        <v>0</v>
      </c>
      <c r="AT23" s="26">
        <f>SUM(AT21:AT22)</f>
        <v>0</v>
      </c>
      <c r="AU23" s="26">
        <f t="shared" ref="AU23" si="161">SUM(AU21:AU22)</f>
        <v>0</v>
      </c>
      <c r="AV23" s="26">
        <f t="shared" ref="AV23" si="162">SUM(AV21:AV22)</f>
        <v>0</v>
      </c>
      <c r="AW23" s="26">
        <f t="shared" ref="AW23" si="163">SUM(AW21:AW22)</f>
        <v>0</v>
      </c>
      <c r="AX23" s="26">
        <f t="shared" ref="AX23" si="164">SUM(AX21:AX22)</f>
        <v>0</v>
      </c>
      <c r="AY23" s="26">
        <f t="shared" ref="AY23" si="165">SUM(AY21:AY22)</f>
        <v>0</v>
      </c>
      <c r="AZ23" s="26">
        <f t="shared" ref="AZ23" si="166">SUM(AZ21:AZ22)</f>
        <v>0</v>
      </c>
      <c r="BA23" s="26">
        <f t="shared" ref="BA23" si="167">SUM(BA21:BA22)</f>
        <v>0</v>
      </c>
      <c r="BB23" s="26">
        <f t="shared" ref="BB23" si="168">SUM(BB21:BB22)</f>
        <v>0</v>
      </c>
      <c r="BC23" s="26">
        <f t="shared" ref="BC23" si="169">SUM(BC21:BC22)</f>
        <v>0</v>
      </c>
      <c r="BD23" s="177">
        <f t="shared" ref="BD23" si="170">SUM(BD21:BD22)</f>
        <v>0</v>
      </c>
      <c r="BE23" s="192">
        <f t="shared" si="4"/>
        <v>0</v>
      </c>
      <c r="BF23" s="26"/>
      <c r="BG23" s="26">
        <f>SUM(BG21:BG22)</f>
        <v>0</v>
      </c>
      <c r="BH23" s="26">
        <f>SUM(BH21:BH22)</f>
        <v>0</v>
      </c>
      <c r="BI23" s="26">
        <f t="shared" ref="BI23" si="171">SUM(BI21:BI22)</f>
        <v>0</v>
      </c>
      <c r="BJ23" s="26">
        <f t="shared" ref="BJ23" si="172">SUM(BJ21:BJ22)</f>
        <v>0</v>
      </c>
      <c r="BK23" s="26">
        <f t="shared" ref="BK23" si="173">SUM(BK21:BK22)</f>
        <v>0</v>
      </c>
      <c r="BL23" s="26">
        <f t="shared" ref="BL23" si="174">SUM(BL21:BL22)</f>
        <v>0</v>
      </c>
      <c r="BM23" s="26">
        <f t="shared" ref="BM23" si="175">SUM(BM21:BM22)</f>
        <v>0</v>
      </c>
      <c r="BN23" s="26">
        <f t="shared" ref="BN23" si="176">SUM(BN21:BN22)</f>
        <v>0</v>
      </c>
      <c r="BO23" s="26">
        <f t="shared" ref="BO23" si="177">SUM(BO21:BO22)</f>
        <v>0</v>
      </c>
      <c r="BP23" s="26">
        <f t="shared" ref="BP23" si="178">SUM(BP21:BP22)</f>
        <v>0</v>
      </c>
      <c r="BQ23" s="26">
        <f t="shared" ref="BQ23" si="179">SUM(BQ21:BQ22)</f>
        <v>0</v>
      </c>
      <c r="BR23" s="26">
        <f t="shared" ref="BR23" si="180">SUM(BR21:BR22)</f>
        <v>0</v>
      </c>
    </row>
    <row r="24" spans="1:70" s="6" customFormat="1" outlineLevel="1" x14ac:dyDescent="0.2">
      <c r="A24" s="30"/>
      <c r="B24" s="48" t="s">
        <v>104</v>
      </c>
      <c r="C24" s="154" t="s">
        <v>103</v>
      </c>
      <c r="D24" s="45">
        <f t="shared" si="0"/>
        <v>2651332225.6395574</v>
      </c>
      <c r="E24" s="45">
        <f>E14+E17+E20+E23</f>
        <v>213643492.62</v>
      </c>
      <c r="F24" s="45">
        <f>F14+F17+F20+F23</f>
        <v>221608066.63814151</v>
      </c>
      <c r="G24" s="45">
        <f t="shared" ref="G24:L24" si="181">G14+G17+G20+G23</f>
        <v>221608066.63814151</v>
      </c>
      <c r="H24" s="45">
        <f t="shared" si="181"/>
        <v>221608066.63814151</v>
      </c>
      <c r="I24" s="45">
        <f t="shared" si="181"/>
        <v>221608066.63814151</v>
      </c>
      <c r="J24" s="45">
        <f t="shared" si="181"/>
        <v>221608066.63814151</v>
      </c>
      <c r="K24" s="45">
        <f t="shared" si="181"/>
        <v>221608066.63814151</v>
      </c>
      <c r="L24" s="45">
        <f t="shared" si="181"/>
        <v>221608066.63814151</v>
      </c>
      <c r="M24" s="45">
        <f t="shared" ref="M24" si="182">M14+M17+M20+M23</f>
        <v>221608066.63814151</v>
      </c>
      <c r="N24" s="45">
        <f t="shared" ref="N24" si="183">N14+N17+N20+N23</f>
        <v>221608066.63814151</v>
      </c>
      <c r="O24" s="45">
        <f t="shared" ref="O24" si="184">O14+O17+O20+O23</f>
        <v>221608066.63814151</v>
      </c>
      <c r="P24" s="178">
        <f t="shared" ref="P24" si="185">P14+P17+P20+P23</f>
        <v>221608066.63814151</v>
      </c>
      <c r="Q24" s="193">
        <f t="shared" si="1"/>
        <v>2651332225.6395574</v>
      </c>
      <c r="R24" s="45">
        <f>R14+R17+R20+R23</f>
        <v>213643492.62</v>
      </c>
      <c r="S24" s="45">
        <f>S14+S17+S20+S23</f>
        <v>221608066.63814151</v>
      </c>
      <c r="T24" s="45">
        <f t="shared" ref="T24" si="186">T14+T17+T20+T23</f>
        <v>221608066.63814151</v>
      </c>
      <c r="U24" s="45">
        <f t="shared" ref="U24" si="187">U14+U17+U20+U23</f>
        <v>221608066.63814151</v>
      </c>
      <c r="V24" s="45">
        <f t="shared" ref="V24" si="188">V14+V17+V20+V23</f>
        <v>221608066.63814151</v>
      </c>
      <c r="W24" s="45">
        <f t="shared" ref="W24" si="189">W14+W17+W20+W23</f>
        <v>221608066.63814151</v>
      </c>
      <c r="X24" s="45">
        <f t="shared" ref="X24" si="190">X14+X17+X20+X23</f>
        <v>221608066.63814151</v>
      </c>
      <c r="Y24" s="45">
        <f t="shared" ref="Y24:Z24" si="191">Y14+Y17+Y20+Y23</f>
        <v>221608066.63814151</v>
      </c>
      <c r="Z24" s="45">
        <f t="shared" si="191"/>
        <v>221608066.63814151</v>
      </c>
      <c r="AA24" s="45">
        <f t="shared" ref="AA24" si="192">AA14+AA17+AA20+AA23</f>
        <v>221608066.63814151</v>
      </c>
      <c r="AB24" s="45">
        <f t="shared" ref="AB24" si="193">AB14+AB17+AB20+AB23</f>
        <v>221608066.63814151</v>
      </c>
      <c r="AC24" s="178">
        <f t="shared" ref="AC24" si="194">AC14+AC17+AC20+AC23</f>
        <v>221608066.63814151</v>
      </c>
      <c r="AD24" s="227">
        <f t="shared" si="2"/>
        <v>2651332225.6395574</v>
      </c>
      <c r="AE24" s="45">
        <f>AE14+AE17+AE20+AE23</f>
        <v>213643492.62</v>
      </c>
      <c r="AF24" s="45">
        <f>AF14+AF17+AF20+AF23</f>
        <v>221608066.63814151</v>
      </c>
      <c r="AG24" s="45">
        <f t="shared" ref="AG24" si="195">AG14+AG17+AG20+AG23</f>
        <v>221608066.63814151</v>
      </c>
      <c r="AH24" s="45">
        <f t="shared" ref="AH24" si="196">AH14+AH17+AH20+AH23</f>
        <v>221608066.63814151</v>
      </c>
      <c r="AI24" s="45">
        <f t="shared" ref="AI24" si="197">AI14+AI17+AI20+AI23</f>
        <v>221608066.63814151</v>
      </c>
      <c r="AJ24" s="45">
        <f t="shared" ref="AJ24" si="198">AJ14+AJ17+AJ20+AJ23</f>
        <v>221608066.63814151</v>
      </c>
      <c r="AK24" s="45">
        <f t="shared" ref="AK24" si="199">AK14+AK17+AK20+AK23</f>
        <v>221608066.63814151</v>
      </c>
      <c r="AL24" s="45">
        <f t="shared" ref="AL24" si="200">AL14+AL17+AL20+AL23</f>
        <v>221608066.63814151</v>
      </c>
      <c r="AM24" s="45">
        <f t="shared" ref="AM24" si="201">AM14+AM17+AM20+AM23</f>
        <v>221608066.63814151</v>
      </c>
      <c r="AN24" s="45">
        <f t="shared" ref="AN24" si="202">AN14+AN17+AN20+AN23</f>
        <v>221608066.63814151</v>
      </c>
      <c r="AO24" s="45">
        <f t="shared" ref="AO24" si="203">AO14+AO17+AO20+AO23</f>
        <v>221608066.63814151</v>
      </c>
      <c r="AP24" s="210">
        <f t="shared" ref="AP24" si="204">AP14+AP17+AP20+AP23</f>
        <v>221608066.63814151</v>
      </c>
      <c r="AQ24" s="170">
        <f t="shared" si="3"/>
        <v>0</v>
      </c>
      <c r="AR24" s="45"/>
      <c r="AS24" s="45">
        <f>AS14+AS17+AS20+AS23</f>
        <v>213643492.62</v>
      </c>
      <c r="AT24" s="45">
        <f>AT14+AT17+AT20+AT23</f>
        <v>221608066.63814151</v>
      </c>
      <c r="AU24" s="45">
        <f t="shared" ref="AU24" si="205">AU14+AU17+AU20+AU23</f>
        <v>221608066.63814151</v>
      </c>
      <c r="AV24" s="45">
        <f t="shared" ref="AV24" si="206">AV14+AV17+AV20+AV23</f>
        <v>221608066.63814151</v>
      </c>
      <c r="AW24" s="45">
        <f t="shared" ref="AW24" si="207">AW14+AW17+AW20+AW23</f>
        <v>221608066.63814151</v>
      </c>
      <c r="AX24" s="45">
        <f t="shared" ref="AX24" si="208">AX14+AX17+AX20+AX23</f>
        <v>221608066.63814151</v>
      </c>
      <c r="AY24" s="45">
        <f t="shared" ref="AY24" si="209">AY14+AY17+AY20+AY23</f>
        <v>221608066.63814151</v>
      </c>
      <c r="AZ24" s="45">
        <f t="shared" ref="AZ24" si="210">AZ14+AZ17+AZ20+AZ23</f>
        <v>221608066.63814151</v>
      </c>
      <c r="BA24" s="45">
        <f t="shared" ref="BA24" si="211">BA14+BA17+BA20+BA23</f>
        <v>221608066.63814151</v>
      </c>
      <c r="BB24" s="45">
        <f t="shared" ref="BB24" si="212">BB14+BB17+BB20+BB23</f>
        <v>221608066.63814151</v>
      </c>
      <c r="BC24" s="45">
        <f t="shared" ref="BC24" si="213">BC14+BC17+BC20+BC23</f>
        <v>221608066.63814151</v>
      </c>
      <c r="BD24" s="178">
        <f t="shared" ref="BD24" si="214">BD14+BD17+BD20+BD23</f>
        <v>221608066.63814151</v>
      </c>
      <c r="BE24" s="193">
        <f t="shared" si="4"/>
        <v>0</v>
      </c>
      <c r="BF24" s="45"/>
      <c r="BG24" s="45">
        <f>BG14+BG17+BG20+BG23</f>
        <v>213643492.62</v>
      </c>
      <c r="BH24" s="45">
        <f>BH14+BH17+BH20+BH23</f>
        <v>221608066.63814151</v>
      </c>
      <c r="BI24" s="45">
        <f t="shared" ref="BI24" si="215">BI14+BI17+BI20+BI23</f>
        <v>221608066.63814151</v>
      </c>
      <c r="BJ24" s="45">
        <f t="shared" ref="BJ24" si="216">BJ14+BJ17+BJ20+BJ23</f>
        <v>221608066.63814151</v>
      </c>
      <c r="BK24" s="45">
        <f t="shared" ref="BK24" si="217">BK14+BK17+BK20+BK23</f>
        <v>221608066.63814151</v>
      </c>
      <c r="BL24" s="45">
        <f t="shared" ref="BL24" si="218">BL14+BL17+BL20+BL23</f>
        <v>221608066.63814151</v>
      </c>
      <c r="BM24" s="45">
        <f t="shared" ref="BM24" si="219">BM14+BM17+BM20+BM23</f>
        <v>221608066.63814151</v>
      </c>
      <c r="BN24" s="45">
        <f t="shared" ref="BN24" si="220">BN14+BN17+BN20+BN23</f>
        <v>221608066.63814151</v>
      </c>
      <c r="BO24" s="45">
        <f t="shared" ref="BO24" si="221">BO14+BO17+BO20+BO23</f>
        <v>221608066.63814151</v>
      </c>
      <c r="BP24" s="45">
        <f t="shared" ref="BP24" si="222">BP14+BP17+BP20+BP23</f>
        <v>221608066.63814151</v>
      </c>
      <c r="BQ24" s="45">
        <f t="shared" ref="BQ24" si="223">BQ14+BQ17+BQ20+BQ23</f>
        <v>221608066.63814151</v>
      </c>
      <c r="BR24" s="45">
        <f t="shared" ref="BR24" si="224">BR14+BR17+BR20+BR23</f>
        <v>221608066.63814151</v>
      </c>
    </row>
    <row r="25" spans="1:70" s="6" customFormat="1" outlineLevel="2" x14ac:dyDescent="0.2">
      <c r="B25" s="29" t="s">
        <v>102</v>
      </c>
      <c r="C25" s="152" t="s">
        <v>101</v>
      </c>
      <c r="D25" s="26">
        <f t="shared" si="0"/>
        <v>68287856.376602113</v>
      </c>
      <c r="E25" s="26">
        <v>5000000</v>
      </c>
      <c r="F25" s="26">
        <v>5753441.4887820091</v>
      </c>
      <c r="G25" s="26">
        <v>5753441.4887820091</v>
      </c>
      <c r="H25" s="26">
        <v>5753441.4887820091</v>
      </c>
      <c r="I25" s="26">
        <v>5753441.4887820091</v>
      </c>
      <c r="J25" s="26">
        <v>5753441.4887820091</v>
      </c>
      <c r="K25" s="26">
        <v>5753441.4887820091</v>
      </c>
      <c r="L25" s="26">
        <v>5753441.4887820091</v>
      </c>
      <c r="M25" s="26">
        <v>5753441.4887820091</v>
      </c>
      <c r="N25" s="26">
        <v>5753441.4887820091</v>
      </c>
      <c r="O25" s="26">
        <v>5753441.4887820091</v>
      </c>
      <c r="P25" s="177">
        <v>5753441.4887820091</v>
      </c>
      <c r="Q25" s="192">
        <f t="shared" si="1"/>
        <v>68287856.376602113</v>
      </c>
      <c r="R25" s="26">
        <v>5000000</v>
      </c>
      <c r="S25" s="26">
        <v>5753441.4887820091</v>
      </c>
      <c r="T25" s="26">
        <v>5753441.4887820091</v>
      </c>
      <c r="U25" s="26">
        <v>5753441.4887820091</v>
      </c>
      <c r="V25" s="26">
        <v>5753441.4887820091</v>
      </c>
      <c r="W25" s="26">
        <v>5753441.4887820091</v>
      </c>
      <c r="X25" s="26">
        <v>5753441.4887820091</v>
      </c>
      <c r="Y25" s="26">
        <v>5753441.4887820091</v>
      </c>
      <c r="Z25" s="26">
        <v>5753441.4887820091</v>
      </c>
      <c r="AA25" s="26">
        <v>5753441.4887820091</v>
      </c>
      <c r="AB25" s="26">
        <v>5753441.4887820091</v>
      </c>
      <c r="AC25" s="177">
        <v>5753441.4887820091</v>
      </c>
      <c r="AD25" s="226">
        <f t="shared" si="2"/>
        <v>68287856.376602113</v>
      </c>
      <c r="AE25" s="26">
        <v>5000000</v>
      </c>
      <c r="AF25" s="26">
        <v>5753441.4887820091</v>
      </c>
      <c r="AG25" s="26">
        <v>5753441.4887820091</v>
      </c>
      <c r="AH25" s="26">
        <v>5753441.4887820091</v>
      </c>
      <c r="AI25" s="26">
        <v>5753441.4887820091</v>
      </c>
      <c r="AJ25" s="26">
        <v>5753441.4887820091</v>
      </c>
      <c r="AK25" s="26">
        <v>5753441.4887820091</v>
      </c>
      <c r="AL25" s="26">
        <v>5753441.4887820091</v>
      </c>
      <c r="AM25" s="26">
        <v>5753441.4887820091</v>
      </c>
      <c r="AN25" s="26">
        <v>5753441.4887820091</v>
      </c>
      <c r="AO25" s="26">
        <v>5753441.4887820091</v>
      </c>
      <c r="AP25" s="209">
        <v>5753441.4887820091</v>
      </c>
      <c r="AQ25" s="169">
        <f t="shared" si="3"/>
        <v>0</v>
      </c>
      <c r="AR25" s="26"/>
      <c r="AS25" s="26">
        <v>5000000</v>
      </c>
      <c r="AT25" s="26">
        <v>5753441.4887820091</v>
      </c>
      <c r="AU25" s="26">
        <v>5753441.4887820091</v>
      </c>
      <c r="AV25" s="26">
        <v>5753441.4887820091</v>
      </c>
      <c r="AW25" s="26">
        <v>5753441.4887820091</v>
      </c>
      <c r="AX25" s="26">
        <v>5753441.4887820091</v>
      </c>
      <c r="AY25" s="26">
        <v>5753441.4887820091</v>
      </c>
      <c r="AZ25" s="26">
        <v>5753441.4887820091</v>
      </c>
      <c r="BA25" s="26">
        <v>5753441.4887820091</v>
      </c>
      <c r="BB25" s="26">
        <v>5753441.4887820091</v>
      </c>
      <c r="BC25" s="26">
        <v>5753441.4887820091</v>
      </c>
      <c r="BD25" s="177">
        <v>5753441.4887820091</v>
      </c>
      <c r="BE25" s="192">
        <f t="shared" si="4"/>
        <v>0</v>
      </c>
      <c r="BF25" s="26"/>
      <c r="BG25" s="26">
        <v>5000000</v>
      </c>
      <c r="BH25" s="26">
        <v>5753441.4887820091</v>
      </c>
      <c r="BI25" s="26">
        <v>5753441.4887820091</v>
      </c>
      <c r="BJ25" s="26">
        <v>5753441.4887820091</v>
      </c>
      <c r="BK25" s="26">
        <v>5753441.4887820091</v>
      </c>
      <c r="BL25" s="26">
        <v>5753441.4887820091</v>
      </c>
      <c r="BM25" s="26">
        <v>5753441.4887820091</v>
      </c>
      <c r="BN25" s="26">
        <v>5753441.4887820091</v>
      </c>
      <c r="BO25" s="26">
        <v>5753441.4887820091</v>
      </c>
      <c r="BP25" s="26">
        <v>5753441.4887820091</v>
      </c>
      <c r="BQ25" s="26">
        <v>5753441.4887820091</v>
      </c>
      <c r="BR25" s="26">
        <v>5753441.4887820091</v>
      </c>
    </row>
    <row r="26" spans="1:70" s="6" customFormat="1" outlineLevel="2" x14ac:dyDescent="0.2">
      <c r="B26" s="29" t="s">
        <v>100</v>
      </c>
      <c r="C26" s="152" t="s">
        <v>99</v>
      </c>
      <c r="D26" s="26">
        <f t="shared" si="0"/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177">
        <v>0</v>
      </c>
      <c r="Q26" s="192">
        <f t="shared" si="1"/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177">
        <v>0</v>
      </c>
      <c r="AD26" s="226">
        <f t="shared" si="2"/>
        <v>0</v>
      </c>
      <c r="AE26" s="26">
        <v>0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6">
        <v>0</v>
      </c>
      <c r="AM26" s="26">
        <v>0</v>
      </c>
      <c r="AN26" s="26">
        <v>0</v>
      </c>
      <c r="AO26" s="26">
        <v>0</v>
      </c>
      <c r="AP26" s="209">
        <v>0</v>
      </c>
      <c r="AQ26" s="169">
        <f t="shared" si="3"/>
        <v>0</v>
      </c>
      <c r="AR26" s="26"/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177">
        <v>0</v>
      </c>
      <c r="BE26" s="192">
        <f t="shared" si="4"/>
        <v>0</v>
      </c>
      <c r="BF26" s="26"/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  <c r="BQ26" s="26">
        <v>0</v>
      </c>
      <c r="BR26" s="26">
        <v>0</v>
      </c>
    </row>
    <row r="27" spans="1:70" s="6" customFormat="1" outlineLevel="1" x14ac:dyDescent="0.2">
      <c r="A27" s="30"/>
      <c r="B27" s="48" t="s">
        <v>98</v>
      </c>
      <c r="C27" s="154" t="s">
        <v>97</v>
      </c>
      <c r="D27" s="45">
        <f t="shared" si="0"/>
        <v>68287856.376602113</v>
      </c>
      <c r="E27" s="45">
        <f>SUM(E25:E26)</f>
        <v>5000000</v>
      </c>
      <c r="F27" s="45">
        <f>SUM(F25:F26)</f>
        <v>5753441.4887820091</v>
      </c>
      <c r="G27" s="45">
        <f t="shared" ref="G27:L27" si="225">SUM(G25:G26)</f>
        <v>5753441.4887820091</v>
      </c>
      <c r="H27" s="45">
        <f t="shared" si="225"/>
        <v>5753441.4887820091</v>
      </c>
      <c r="I27" s="45">
        <f t="shared" si="225"/>
        <v>5753441.4887820091</v>
      </c>
      <c r="J27" s="45">
        <f t="shared" si="225"/>
        <v>5753441.4887820091</v>
      </c>
      <c r="K27" s="45">
        <f t="shared" si="225"/>
        <v>5753441.4887820091</v>
      </c>
      <c r="L27" s="45">
        <f t="shared" si="225"/>
        <v>5753441.4887820091</v>
      </c>
      <c r="M27" s="45">
        <f t="shared" ref="M27" si="226">SUM(M25:M26)</f>
        <v>5753441.4887820091</v>
      </c>
      <c r="N27" s="45">
        <f t="shared" ref="N27" si="227">SUM(N25:N26)</f>
        <v>5753441.4887820091</v>
      </c>
      <c r="O27" s="45">
        <f t="shared" ref="O27" si="228">SUM(O25:O26)</f>
        <v>5753441.4887820091</v>
      </c>
      <c r="P27" s="178">
        <f t="shared" ref="P27" si="229">SUM(P25:P26)</f>
        <v>5753441.4887820091</v>
      </c>
      <c r="Q27" s="193">
        <f t="shared" si="1"/>
        <v>68287856.376602113</v>
      </c>
      <c r="R27" s="45">
        <f>SUM(R25:R26)</f>
        <v>5000000</v>
      </c>
      <c r="S27" s="45">
        <f>SUM(S25:S26)</f>
        <v>5753441.4887820091</v>
      </c>
      <c r="T27" s="45">
        <f t="shared" ref="T27" si="230">SUM(T25:T26)</f>
        <v>5753441.4887820091</v>
      </c>
      <c r="U27" s="45">
        <f t="shared" ref="U27" si="231">SUM(U25:U26)</f>
        <v>5753441.4887820091</v>
      </c>
      <c r="V27" s="45">
        <f t="shared" ref="V27" si="232">SUM(V25:V26)</f>
        <v>5753441.4887820091</v>
      </c>
      <c r="W27" s="45">
        <f t="shared" ref="W27" si="233">SUM(W25:W26)</f>
        <v>5753441.4887820091</v>
      </c>
      <c r="X27" s="45">
        <f t="shared" ref="X27" si="234">SUM(X25:X26)</f>
        <v>5753441.4887820091</v>
      </c>
      <c r="Y27" s="45">
        <f t="shared" ref="Y27:Z27" si="235">SUM(Y25:Y26)</f>
        <v>5753441.4887820091</v>
      </c>
      <c r="Z27" s="45">
        <f t="shared" si="235"/>
        <v>5753441.4887820091</v>
      </c>
      <c r="AA27" s="45">
        <f t="shared" ref="AA27" si="236">SUM(AA25:AA26)</f>
        <v>5753441.4887820091</v>
      </c>
      <c r="AB27" s="45">
        <f t="shared" ref="AB27" si="237">SUM(AB25:AB26)</f>
        <v>5753441.4887820091</v>
      </c>
      <c r="AC27" s="178">
        <f t="shared" ref="AC27" si="238">SUM(AC25:AC26)</f>
        <v>5753441.4887820091</v>
      </c>
      <c r="AD27" s="227">
        <f t="shared" si="2"/>
        <v>68287856.376602113</v>
      </c>
      <c r="AE27" s="45">
        <f>SUM(AE25:AE26)</f>
        <v>5000000</v>
      </c>
      <c r="AF27" s="45">
        <f>SUM(AF25:AF26)</f>
        <v>5753441.4887820091</v>
      </c>
      <c r="AG27" s="45">
        <f t="shared" ref="AG27" si="239">SUM(AG25:AG26)</f>
        <v>5753441.4887820091</v>
      </c>
      <c r="AH27" s="45">
        <f t="shared" ref="AH27" si="240">SUM(AH25:AH26)</f>
        <v>5753441.4887820091</v>
      </c>
      <c r="AI27" s="45">
        <f t="shared" ref="AI27" si="241">SUM(AI25:AI26)</f>
        <v>5753441.4887820091</v>
      </c>
      <c r="AJ27" s="45">
        <f t="shared" ref="AJ27" si="242">SUM(AJ25:AJ26)</f>
        <v>5753441.4887820091</v>
      </c>
      <c r="AK27" s="45">
        <f t="shared" ref="AK27" si="243">SUM(AK25:AK26)</f>
        <v>5753441.4887820091</v>
      </c>
      <c r="AL27" s="45">
        <f t="shared" ref="AL27" si="244">SUM(AL25:AL26)</f>
        <v>5753441.4887820091</v>
      </c>
      <c r="AM27" s="45">
        <f t="shared" ref="AM27" si="245">SUM(AM25:AM26)</f>
        <v>5753441.4887820091</v>
      </c>
      <c r="AN27" s="45">
        <f t="shared" ref="AN27" si="246">SUM(AN25:AN26)</f>
        <v>5753441.4887820091</v>
      </c>
      <c r="AO27" s="45">
        <f t="shared" ref="AO27" si="247">SUM(AO25:AO26)</f>
        <v>5753441.4887820091</v>
      </c>
      <c r="AP27" s="210">
        <f t="shared" ref="AP27" si="248">SUM(AP25:AP26)</f>
        <v>5753441.4887820091</v>
      </c>
      <c r="AQ27" s="170">
        <f t="shared" si="3"/>
        <v>0</v>
      </c>
      <c r="AR27" s="45"/>
      <c r="AS27" s="45">
        <f>SUM(AS25:AS26)</f>
        <v>5000000</v>
      </c>
      <c r="AT27" s="45">
        <f>SUM(AT25:AT26)</f>
        <v>5753441.4887820091</v>
      </c>
      <c r="AU27" s="45">
        <f t="shared" ref="AU27" si="249">SUM(AU25:AU26)</f>
        <v>5753441.4887820091</v>
      </c>
      <c r="AV27" s="45">
        <f t="shared" ref="AV27" si="250">SUM(AV25:AV26)</f>
        <v>5753441.4887820091</v>
      </c>
      <c r="AW27" s="45">
        <f t="shared" ref="AW27" si="251">SUM(AW25:AW26)</f>
        <v>5753441.4887820091</v>
      </c>
      <c r="AX27" s="45">
        <f t="shared" ref="AX27" si="252">SUM(AX25:AX26)</f>
        <v>5753441.4887820091</v>
      </c>
      <c r="AY27" s="45">
        <f t="shared" ref="AY27" si="253">SUM(AY25:AY26)</f>
        <v>5753441.4887820091</v>
      </c>
      <c r="AZ27" s="45">
        <f t="shared" ref="AZ27" si="254">SUM(AZ25:AZ26)</f>
        <v>5753441.4887820091</v>
      </c>
      <c r="BA27" s="45">
        <f t="shared" ref="BA27" si="255">SUM(BA25:BA26)</f>
        <v>5753441.4887820091</v>
      </c>
      <c r="BB27" s="45">
        <f t="shared" ref="BB27" si="256">SUM(BB25:BB26)</f>
        <v>5753441.4887820091</v>
      </c>
      <c r="BC27" s="45">
        <f t="shared" ref="BC27" si="257">SUM(BC25:BC26)</f>
        <v>5753441.4887820091</v>
      </c>
      <c r="BD27" s="178">
        <f t="shared" ref="BD27" si="258">SUM(BD25:BD26)</f>
        <v>5753441.4887820091</v>
      </c>
      <c r="BE27" s="193">
        <f t="shared" si="4"/>
        <v>0</v>
      </c>
      <c r="BF27" s="45"/>
      <c r="BG27" s="45">
        <f>SUM(BG25:BG26)</f>
        <v>5000000</v>
      </c>
      <c r="BH27" s="45">
        <f>SUM(BH25:BH26)</f>
        <v>5753441.4887820091</v>
      </c>
      <c r="BI27" s="45">
        <f t="shared" ref="BI27" si="259">SUM(BI25:BI26)</f>
        <v>5753441.4887820091</v>
      </c>
      <c r="BJ27" s="45">
        <f t="shared" ref="BJ27" si="260">SUM(BJ25:BJ26)</f>
        <v>5753441.4887820091</v>
      </c>
      <c r="BK27" s="45">
        <f t="shared" ref="BK27" si="261">SUM(BK25:BK26)</f>
        <v>5753441.4887820091</v>
      </c>
      <c r="BL27" s="45">
        <f t="shared" ref="BL27" si="262">SUM(BL25:BL26)</f>
        <v>5753441.4887820091</v>
      </c>
      <c r="BM27" s="45">
        <f t="shared" ref="BM27" si="263">SUM(BM25:BM26)</f>
        <v>5753441.4887820091</v>
      </c>
      <c r="BN27" s="45">
        <f t="shared" ref="BN27" si="264">SUM(BN25:BN26)</f>
        <v>5753441.4887820091</v>
      </c>
      <c r="BO27" s="45">
        <f t="shared" ref="BO27" si="265">SUM(BO25:BO26)</f>
        <v>5753441.4887820091</v>
      </c>
      <c r="BP27" s="45">
        <f t="shared" ref="BP27" si="266">SUM(BP25:BP26)</f>
        <v>5753441.4887820091</v>
      </c>
      <c r="BQ27" s="45">
        <f t="shared" ref="BQ27" si="267">SUM(BQ25:BQ26)</f>
        <v>5753441.4887820091</v>
      </c>
      <c r="BR27" s="45">
        <f t="shared" ref="BR27" si="268">SUM(BR25:BR26)</f>
        <v>5753441.4887820091</v>
      </c>
    </row>
    <row r="28" spans="1:70" outlineLevel="3" x14ac:dyDescent="0.2">
      <c r="A28" s="54"/>
      <c r="B28" s="38" t="s">
        <v>96</v>
      </c>
      <c r="C28" s="151" t="s">
        <v>95</v>
      </c>
      <c r="D28" s="40">
        <f t="shared" si="0"/>
        <v>120000</v>
      </c>
      <c r="E28" s="40">
        <v>120000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176">
        <v>0</v>
      </c>
      <c r="Q28" s="191">
        <f t="shared" si="1"/>
        <v>120000</v>
      </c>
      <c r="R28" s="40">
        <v>120000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176">
        <v>0</v>
      </c>
      <c r="AD28" s="225">
        <f t="shared" si="2"/>
        <v>120000</v>
      </c>
      <c r="AE28" s="40">
        <v>120000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208">
        <v>0</v>
      </c>
      <c r="AQ28" s="168">
        <f t="shared" si="3"/>
        <v>0</v>
      </c>
      <c r="AR28" s="40"/>
      <c r="AS28" s="40">
        <v>120000</v>
      </c>
      <c r="AT28" s="40">
        <v>0</v>
      </c>
      <c r="AU28" s="40">
        <v>0</v>
      </c>
      <c r="AV28" s="40">
        <v>0</v>
      </c>
      <c r="AW28" s="40">
        <v>0</v>
      </c>
      <c r="AX28" s="40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176">
        <v>0</v>
      </c>
      <c r="BE28" s="191">
        <f t="shared" si="4"/>
        <v>0</v>
      </c>
      <c r="BF28" s="40"/>
      <c r="BG28" s="40">
        <v>120000</v>
      </c>
      <c r="BH28" s="40">
        <v>0</v>
      </c>
      <c r="BI28" s="40">
        <v>0</v>
      </c>
      <c r="BJ28" s="40">
        <v>0</v>
      </c>
      <c r="BK28" s="40">
        <v>0</v>
      </c>
      <c r="BL28" s="40">
        <v>0</v>
      </c>
      <c r="BM28" s="40">
        <v>0</v>
      </c>
      <c r="BN28" s="40">
        <v>0</v>
      </c>
      <c r="BO28" s="40">
        <v>0</v>
      </c>
      <c r="BP28" s="40">
        <v>0</v>
      </c>
      <c r="BQ28" s="40">
        <v>0</v>
      </c>
      <c r="BR28" s="40">
        <v>0</v>
      </c>
    </row>
    <row r="29" spans="1:70" outlineLevel="3" x14ac:dyDescent="0.2">
      <c r="A29" s="54"/>
      <c r="B29" s="38" t="s">
        <v>94</v>
      </c>
      <c r="C29" s="151" t="s">
        <v>93</v>
      </c>
      <c r="D29" s="40">
        <f t="shared" si="0"/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176">
        <v>0</v>
      </c>
      <c r="Q29" s="191">
        <f t="shared" si="1"/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176">
        <v>0</v>
      </c>
      <c r="AD29" s="225">
        <f t="shared" si="2"/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208">
        <v>0</v>
      </c>
      <c r="AQ29" s="168">
        <f t="shared" si="3"/>
        <v>0</v>
      </c>
      <c r="AR29" s="40"/>
      <c r="AS29" s="40">
        <v>0</v>
      </c>
      <c r="AT29" s="40">
        <v>0</v>
      </c>
      <c r="AU29" s="40">
        <v>0</v>
      </c>
      <c r="AV29" s="40">
        <v>0</v>
      </c>
      <c r="AW29" s="40">
        <v>0</v>
      </c>
      <c r="AX29" s="40">
        <v>0</v>
      </c>
      <c r="AY29" s="40">
        <v>0</v>
      </c>
      <c r="AZ29" s="40">
        <v>0</v>
      </c>
      <c r="BA29" s="40">
        <v>0</v>
      </c>
      <c r="BB29" s="40">
        <v>0</v>
      </c>
      <c r="BC29" s="40">
        <v>0</v>
      </c>
      <c r="BD29" s="176">
        <v>0</v>
      </c>
      <c r="BE29" s="191">
        <f t="shared" si="4"/>
        <v>0</v>
      </c>
      <c r="BF29" s="40"/>
      <c r="BG29" s="40">
        <v>0</v>
      </c>
      <c r="BH29" s="40">
        <v>0</v>
      </c>
      <c r="BI29" s="40">
        <v>0</v>
      </c>
      <c r="BJ29" s="40">
        <v>0</v>
      </c>
      <c r="BK29" s="40">
        <v>0</v>
      </c>
      <c r="BL29" s="40">
        <v>0</v>
      </c>
      <c r="BM29" s="40">
        <v>0</v>
      </c>
      <c r="BN29" s="40">
        <v>0</v>
      </c>
      <c r="BO29" s="40">
        <v>0</v>
      </c>
      <c r="BP29" s="40">
        <v>0</v>
      </c>
      <c r="BQ29" s="40">
        <v>0</v>
      </c>
      <c r="BR29" s="40">
        <v>0</v>
      </c>
    </row>
    <row r="30" spans="1:70" s="6" customFormat="1" outlineLevel="2" x14ac:dyDescent="0.2">
      <c r="A30" s="30"/>
      <c r="B30" s="29" t="s">
        <v>92</v>
      </c>
      <c r="C30" s="152" t="s">
        <v>91</v>
      </c>
      <c r="D30" s="26">
        <f t="shared" si="0"/>
        <v>120000</v>
      </c>
      <c r="E30" s="26">
        <f>SUM(E28:E29)</f>
        <v>120000</v>
      </c>
      <c r="F30" s="26">
        <f>SUM(F28:F29)</f>
        <v>0</v>
      </c>
      <c r="G30" s="26">
        <f t="shared" ref="G30:L30" si="269">SUM(G28:G29)</f>
        <v>0</v>
      </c>
      <c r="H30" s="26">
        <f t="shared" si="269"/>
        <v>0</v>
      </c>
      <c r="I30" s="26">
        <f t="shared" si="269"/>
        <v>0</v>
      </c>
      <c r="J30" s="26">
        <f t="shared" si="269"/>
        <v>0</v>
      </c>
      <c r="K30" s="26">
        <f t="shared" si="269"/>
        <v>0</v>
      </c>
      <c r="L30" s="26">
        <f t="shared" si="269"/>
        <v>0</v>
      </c>
      <c r="M30" s="26">
        <f t="shared" ref="M30" si="270">SUM(M28:M29)</f>
        <v>0</v>
      </c>
      <c r="N30" s="26">
        <f t="shared" ref="N30" si="271">SUM(N28:N29)</f>
        <v>0</v>
      </c>
      <c r="O30" s="26">
        <f t="shared" ref="O30" si="272">SUM(O28:O29)</f>
        <v>0</v>
      </c>
      <c r="P30" s="177">
        <f t="shared" ref="P30" si="273">SUM(P28:P29)</f>
        <v>0</v>
      </c>
      <c r="Q30" s="192">
        <f t="shared" si="1"/>
        <v>120000</v>
      </c>
      <c r="R30" s="26">
        <f>SUM(R28:R29)</f>
        <v>120000</v>
      </c>
      <c r="S30" s="26">
        <f>SUM(S28:S29)</f>
        <v>0</v>
      </c>
      <c r="T30" s="26">
        <f t="shared" ref="T30" si="274">SUM(T28:T29)</f>
        <v>0</v>
      </c>
      <c r="U30" s="26">
        <f t="shared" ref="U30" si="275">SUM(U28:U29)</f>
        <v>0</v>
      </c>
      <c r="V30" s="26">
        <f t="shared" ref="V30" si="276">SUM(V28:V29)</f>
        <v>0</v>
      </c>
      <c r="W30" s="26">
        <f t="shared" ref="W30" si="277">SUM(W28:W29)</f>
        <v>0</v>
      </c>
      <c r="X30" s="26">
        <f t="shared" ref="X30" si="278">SUM(X28:X29)</f>
        <v>0</v>
      </c>
      <c r="Y30" s="26">
        <f t="shared" ref="Y30:Z30" si="279">SUM(Y28:Y29)</f>
        <v>0</v>
      </c>
      <c r="Z30" s="26">
        <f t="shared" si="279"/>
        <v>0</v>
      </c>
      <c r="AA30" s="26">
        <f t="shared" ref="AA30" si="280">SUM(AA28:AA29)</f>
        <v>0</v>
      </c>
      <c r="AB30" s="26">
        <f t="shared" ref="AB30" si="281">SUM(AB28:AB29)</f>
        <v>0</v>
      </c>
      <c r="AC30" s="177">
        <f t="shared" ref="AC30" si="282">SUM(AC28:AC29)</f>
        <v>0</v>
      </c>
      <c r="AD30" s="226">
        <f t="shared" si="2"/>
        <v>120000</v>
      </c>
      <c r="AE30" s="26">
        <f>SUM(AE28:AE29)</f>
        <v>120000</v>
      </c>
      <c r="AF30" s="26">
        <f>SUM(AF28:AF29)</f>
        <v>0</v>
      </c>
      <c r="AG30" s="26">
        <f t="shared" ref="AG30" si="283">SUM(AG28:AG29)</f>
        <v>0</v>
      </c>
      <c r="AH30" s="26">
        <f t="shared" ref="AH30" si="284">SUM(AH28:AH29)</f>
        <v>0</v>
      </c>
      <c r="AI30" s="26">
        <f t="shared" ref="AI30" si="285">SUM(AI28:AI29)</f>
        <v>0</v>
      </c>
      <c r="AJ30" s="26">
        <f t="shared" ref="AJ30" si="286">SUM(AJ28:AJ29)</f>
        <v>0</v>
      </c>
      <c r="AK30" s="26">
        <f t="shared" ref="AK30" si="287">SUM(AK28:AK29)</f>
        <v>0</v>
      </c>
      <c r="AL30" s="26">
        <f t="shared" ref="AL30" si="288">SUM(AL28:AL29)</f>
        <v>0</v>
      </c>
      <c r="AM30" s="26">
        <f t="shared" ref="AM30" si="289">SUM(AM28:AM29)</f>
        <v>0</v>
      </c>
      <c r="AN30" s="26">
        <f t="shared" ref="AN30" si="290">SUM(AN28:AN29)</f>
        <v>0</v>
      </c>
      <c r="AO30" s="26">
        <f t="shared" ref="AO30" si="291">SUM(AO28:AO29)</f>
        <v>0</v>
      </c>
      <c r="AP30" s="209">
        <f t="shared" ref="AP30" si="292">SUM(AP28:AP29)</f>
        <v>0</v>
      </c>
      <c r="AQ30" s="169">
        <f t="shared" si="3"/>
        <v>0</v>
      </c>
      <c r="AR30" s="26"/>
      <c r="AS30" s="26">
        <f>SUM(AS28:AS29)</f>
        <v>120000</v>
      </c>
      <c r="AT30" s="26">
        <f>SUM(AT28:AT29)</f>
        <v>0</v>
      </c>
      <c r="AU30" s="26">
        <f t="shared" ref="AU30" si="293">SUM(AU28:AU29)</f>
        <v>0</v>
      </c>
      <c r="AV30" s="26">
        <f t="shared" ref="AV30" si="294">SUM(AV28:AV29)</f>
        <v>0</v>
      </c>
      <c r="AW30" s="26">
        <f t="shared" ref="AW30" si="295">SUM(AW28:AW29)</f>
        <v>0</v>
      </c>
      <c r="AX30" s="26">
        <f t="shared" ref="AX30" si="296">SUM(AX28:AX29)</f>
        <v>0</v>
      </c>
      <c r="AY30" s="26">
        <f t="shared" ref="AY30" si="297">SUM(AY28:AY29)</f>
        <v>0</v>
      </c>
      <c r="AZ30" s="26">
        <f t="shared" ref="AZ30" si="298">SUM(AZ28:AZ29)</f>
        <v>0</v>
      </c>
      <c r="BA30" s="26">
        <f t="shared" ref="BA30" si="299">SUM(BA28:BA29)</f>
        <v>0</v>
      </c>
      <c r="BB30" s="26">
        <f t="shared" ref="BB30" si="300">SUM(BB28:BB29)</f>
        <v>0</v>
      </c>
      <c r="BC30" s="26">
        <f t="shared" ref="BC30" si="301">SUM(BC28:BC29)</f>
        <v>0</v>
      </c>
      <c r="BD30" s="177">
        <f t="shared" ref="BD30" si="302">SUM(BD28:BD29)</f>
        <v>0</v>
      </c>
      <c r="BE30" s="192">
        <f t="shared" si="4"/>
        <v>0</v>
      </c>
      <c r="BF30" s="26"/>
      <c r="BG30" s="26">
        <f>SUM(BG28:BG29)</f>
        <v>120000</v>
      </c>
      <c r="BH30" s="26">
        <f>SUM(BH28:BH29)</f>
        <v>0</v>
      </c>
      <c r="BI30" s="26">
        <f t="shared" ref="BI30" si="303">SUM(BI28:BI29)</f>
        <v>0</v>
      </c>
      <c r="BJ30" s="26">
        <f t="shared" ref="BJ30" si="304">SUM(BJ28:BJ29)</f>
        <v>0</v>
      </c>
      <c r="BK30" s="26">
        <f t="shared" ref="BK30" si="305">SUM(BK28:BK29)</f>
        <v>0</v>
      </c>
      <c r="BL30" s="26">
        <f t="shared" ref="BL30" si="306">SUM(BL28:BL29)</f>
        <v>0</v>
      </c>
      <c r="BM30" s="26">
        <f t="shared" ref="BM30" si="307">SUM(BM28:BM29)</f>
        <v>0</v>
      </c>
      <c r="BN30" s="26">
        <f t="shared" ref="BN30" si="308">SUM(BN28:BN29)</f>
        <v>0</v>
      </c>
      <c r="BO30" s="26">
        <f t="shared" ref="BO30" si="309">SUM(BO28:BO29)</f>
        <v>0</v>
      </c>
      <c r="BP30" s="26">
        <f t="shared" ref="BP30" si="310">SUM(BP28:BP29)</f>
        <v>0</v>
      </c>
      <c r="BQ30" s="26">
        <f t="shared" ref="BQ30" si="311">SUM(BQ28:BQ29)</f>
        <v>0</v>
      </c>
      <c r="BR30" s="26">
        <f t="shared" ref="BR30" si="312">SUM(BR28:BR29)</f>
        <v>0</v>
      </c>
    </row>
    <row r="31" spans="1:70" ht="12.75" customHeight="1" outlineLevel="3" x14ac:dyDescent="0.2">
      <c r="A31" s="54"/>
      <c r="B31" s="38" t="s">
        <v>90</v>
      </c>
      <c r="C31" s="151" t="s">
        <v>89</v>
      </c>
      <c r="D31" s="40">
        <f t="shared" si="0"/>
        <v>19000000</v>
      </c>
      <c r="E31" s="40">
        <v>19000000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176">
        <v>0</v>
      </c>
      <c r="Q31" s="191">
        <f t="shared" si="1"/>
        <v>19000000</v>
      </c>
      <c r="R31" s="40">
        <v>19000000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176">
        <v>0</v>
      </c>
      <c r="AD31" s="225">
        <f t="shared" si="2"/>
        <v>19000000</v>
      </c>
      <c r="AE31" s="40">
        <v>19000000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0</v>
      </c>
      <c r="AP31" s="208">
        <v>0</v>
      </c>
      <c r="AQ31" s="168">
        <f t="shared" si="3"/>
        <v>0</v>
      </c>
      <c r="AR31" s="40"/>
      <c r="AS31" s="40">
        <v>19000000</v>
      </c>
      <c r="AT31" s="40">
        <v>0</v>
      </c>
      <c r="AU31" s="40">
        <v>0</v>
      </c>
      <c r="AV31" s="40">
        <v>0</v>
      </c>
      <c r="AW31" s="40">
        <v>0</v>
      </c>
      <c r="AX31" s="40">
        <v>0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176">
        <v>0</v>
      </c>
      <c r="BE31" s="191">
        <f t="shared" si="4"/>
        <v>0</v>
      </c>
      <c r="BF31" s="40"/>
      <c r="BG31" s="40">
        <v>19000000</v>
      </c>
      <c r="BH31" s="40">
        <v>0</v>
      </c>
      <c r="BI31" s="40">
        <v>0</v>
      </c>
      <c r="BJ31" s="40">
        <v>0</v>
      </c>
      <c r="BK31" s="40">
        <v>0</v>
      </c>
      <c r="BL31" s="40">
        <v>0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</row>
    <row r="32" spans="1:70" ht="12.75" customHeight="1" outlineLevel="3" x14ac:dyDescent="0.2">
      <c r="A32" s="54"/>
      <c r="B32" s="38" t="s">
        <v>88</v>
      </c>
      <c r="C32" s="151" t="s">
        <v>87</v>
      </c>
      <c r="D32" s="40">
        <f t="shared" si="0"/>
        <v>3328677</v>
      </c>
      <c r="E32" s="40">
        <v>3328677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176">
        <v>0</v>
      </c>
      <c r="Q32" s="191">
        <f t="shared" si="1"/>
        <v>3328677</v>
      </c>
      <c r="R32" s="40">
        <v>3328677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176">
        <v>0</v>
      </c>
      <c r="AD32" s="225">
        <f t="shared" si="2"/>
        <v>3328677</v>
      </c>
      <c r="AE32" s="40">
        <v>3328677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208">
        <v>0</v>
      </c>
      <c r="AQ32" s="168">
        <f t="shared" si="3"/>
        <v>0</v>
      </c>
      <c r="AR32" s="40"/>
      <c r="AS32" s="40">
        <v>3328677</v>
      </c>
      <c r="AT32" s="40">
        <v>0</v>
      </c>
      <c r="AU32" s="40">
        <v>0</v>
      </c>
      <c r="AV32" s="40">
        <v>0</v>
      </c>
      <c r="AW32" s="40">
        <v>0</v>
      </c>
      <c r="AX32" s="40">
        <v>0</v>
      </c>
      <c r="AY32" s="40">
        <v>0</v>
      </c>
      <c r="AZ32" s="40">
        <v>0</v>
      </c>
      <c r="BA32" s="40">
        <v>0</v>
      </c>
      <c r="BB32" s="40">
        <v>0</v>
      </c>
      <c r="BC32" s="40">
        <v>0</v>
      </c>
      <c r="BD32" s="176">
        <v>0</v>
      </c>
      <c r="BE32" s="191">
        <f t="shared" si="4"/>
        <v>0</v>
      </c>
      <c r="BF32" s="40"/>
      <c r="BG32" s="40">
        <v>3328677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40">
        <v>0</v>
      </c>
      <c r="BP32" s="40">
        <v>0</v>
      </c>
      <c r="BQ32" s="40">
        <v>0</v>
      </c>
      <c r="BR32" s="40">
        <v>0</v>
      </c>
    </row>
    <row r="33" spans="1:70" s="6" customFormat="1" outlineLevel="2" x14ac:dyDescent="0.2">
      <c r="A33" s="30"/>
      <c r="B33" s="29" t="s">
        <v>86</v>
      </c>
      <c r="C33" s="152" t="s">
        <v>85</v>
      </c>
      <c r="D33" s="26">
        <f t="shared" si="0"/>
        <v>22328677</v>
      </c>
      <c r="E33" s="26">
        <f>SUM(E31:E32)</f>
        <v>22328677</v>
      </c>
      <c r="F33" s="26">
        <f>SUM(F31:F32)</f>
        <v>0</v>
      </c>
      <c r="G33" s="26">
        <f t="shared" ref="G33:L33" si="313">SUM(G31:G32)</f>
        <v>0</v>
      </c>
      <c r="H33" s="26">
        <f t="shared" si="313"/>
        <v>0</v>
      </c>
      <c r="I33" s="26">
        <f t="shared" si="313"/>
        <v>0</v>
      </c>
      <c r="J33" s="26">
        <f t="shared" si="313"/>
        <v>0</v>
      </c>
      <c r="K33" s="26">
        <f t="shared" si="313"/>
        <v>0</v>
      </c>
      <c r="L33" s="26">
        <f t="shared" si="313"/>
        <v>0</v>
      </c>
      <c r="M33" s="26">
        <f t="shared" ref="M33" si="314">SUM(M31:M32)</f>
        <v>0</v>
      </c>
      <c r="N33" s="26">
        <f t="shared" ref="N33" si="315">SUM(N31:N32)</f>
        <v>0</v>
      </c>
      <c r="O33" s="26">
        <f t="shared" ref="O33" si="316">SUM(O31:O32)</f>
        <v>0</v>
      </c>
      <c r="P33" s="177">
        <f t="shared" ref="P33" si="317">SUM(P31:P32)</f>
        <v>0</v>
      </c>
      <c r="Q33" s="192">
        <f t="shared" si="1"/>
        <v>22328677</v>
      </c>
      <c r="R33" s="26">
        <f>SUM(R31:R32)</f>
        <v>22328677</v>
      </c>
      <c r="S33" s="26">
        <f>SUM(S31:S32)</f>
        <v>0</v>
      </c>
      <c r="T33" s="26">
        <f t="shared" ref="T33" si="318">SUM(T31:T32)</f>
        <v>0</v>
      </c>
      <c r="U33" s="26">
        <f t="shared" ref="U33" si="319">SUM(U31:U32)</f>
        <v>0</v>
      </c>
      <c r="V33" s="26">
        <f t="shared" ref="V33" si="320">SUM(V31:V32)</f>
        <v>0</v>
      </c>
      <c r="W33" s="26">
        <f t="shared" ref="W33" si="321">SUM(W31:W32)</f>
        <v>0</v>
      </c>
      <c r="X33" s="26">
        <f t="shared" ref="X33" si="322">SUM(X31:X32)</f>
        <v>0</v>
      </c>
      <c r="Y33" s="26">
        <f t="shared" ref="Y33:Z33" si="323">SUM(Y31:Y32)</f>
        <v>0</v>
      </c>
      <c r="Z33" s="26">
        <f t="shared" si="323"/>
        <v>0</v>
      </c>
      <c r="AA33" s="26">
        <f t="shared" ref="AA33" si="324">SUM(AA31:AA32)</f>
        <v>0</v>
      </c>
      <c r="AB33" s="26">
        <f t="shared" ref="AB33" si="325">SUM(AB31:AB32)</f>
        <v>0</v>
      </c>
      <c r="AC33" s="177">
        <f t="shared" ref="AC33" si="326">SUM(AC31:AC32)</f>
        <v>0</v>
      </c>
      <c r="AD33" s="226">
        <f t="shared" si="2"/>
        <v>22328677</v>
      </c>
      <c r="AE33" s="26">
        <f>SUM(AE31:AE32)</f>
        <v>22328677</v>
      </c>
      <c r="AF33" s="26">
        <f>SUM(AF31:AF32)</f>
        <v>0</v>
      </c>
      <c r="AG33" s="26">
        <f t="shared" ref="AG33" si="327">SUM(AG31:AG32)</f>
        <v>0</v>
      </c>
      <c r="AH33" s="26">
        <f t="shared" ref="AH33" si="328">SUM(AH31:AH32)</f>
        <v>0</v>
      </c>
      <c r="AI33" s="26">
        <f t="shared" ref="AI33" si="329">SUM(AI31:AI32)</f>
        <v>0</v>
      </c>
      <c r="AJ33" s="26">
        <f t="shared" ref="AJ33" si="330">SUM(AJ31:AJ32)</f>
        <v>0</v>
      </c>
      <c r="AK33" s="26">
        <f t="shared" ref="AK33" si="331">SUM(AK31:AK32)</f>
        <v>0</v>
      </c>
      <c r="AL33" s="26">
        <f t="shared" ref="AL33" si="332">SUM(AL31:AL32)</f>
        <v>0</v>
      </c>
      <c r="AM33" s="26">
        <f t="shared" ref="AM33" si="333">SUM(AM31:AM32)</f>
        <v>0</v>
      </c>
      <c r="AN33" s="26">
        <f t="shared" ref="AN33" si="334">SUM(AN31:AN32)</f>
        <v>0</v>
      </c>
      <c r="AO33" s="26">
        <f t="shared" ref="AO33" si="335">SUM(AO31:AO32)</f>
        <v>0</v>
      </c>
      <c r="AP33" s="209">
        <f t="shared" ref="AP33" si="336">SUM(AP31:AP32)</f>
        <v>0</v>
      </c>
      <c r="AQ33" s="169">
        <f t="shared" si="3"/>
        <v>0</v>
      </c>
      <c r="AR33" s="26"/>
      <c r="AS33" s="26">
        <f>SUM(AS31:AS32)</f>
        <v>22328677</v>
      </c>
      <c r="AT33" s="26">
        <f>SUM(AT31:AT32)</f>
        <v>0</v>
      </c>
      <c r="AU33" s="26">
        <f t="shared" ref="AU33" si="337">SUM(AU31:AU32)</f>
        <v>0</v>
      </c>
      <c r="AV33" s="26">
        <f t="shared" ref="AV33" si="338">SUM(AV31:AV32)</f>
        <v>0</v>
      </c>
      <c r="AW33" s="26">
        <f t="shared" ref="AW33" si="339">SUM(AW31:AW32)</f>
        <v>0</v>
      </c>
      <c r="AX33" s="26">
        <f t="shared" ref="AX33" si="340">SUM(AX31:AX32)</f>
        <v>0</v>
      </c>
      <c r="AY33" s="26">
        <f t="shared" ref="AY33" si="341">SUM(AY31:AY32)</f>
        <v>0</v>
      </c>
      <c r="AZ33" s="26">
        <f t="shared" ref="AZ33" si="342">SUM(AZ31:AZ32)</f>
        <v>0</v>
      </c>
      <c r="BA33" s="26">
        <f t="shared" ref="BA33" si="343">SUM(BA31:BA32)</f>
        <v>0</v>
      </c>
      <c r="BB33" s="26">
        <f t="shared" ref="BB33" si="344">SUM(BB31:BB32)</f>
        <v>0</v>
      </c>
      <c r="BC33" s="26">
        <f t="shared" ref="BC33" si="345">SUM(BC31:BC32)</f>
        <v>0</v>
      </c>
      <c r="BD33" s="177">
        <f t="shared" ref="BD33" si="346">SUM(BD31:BD32)</f>
        <v>0</v>
      </c>
      <c r="BE33" s="192">
        <f t="shared" si="4"/>
        <v>0</v>
      </c>
      <c r="BF33" s="26"/>
      <c r="BG33" s="26">
        <f>SUM(BG31:BG32)</f>
        <v>22328677</v>
      </c>
      <c r="BH33" s="26">
        <f>SUM(BH31:BH32)</f>
        <v>0</v>
      </c>
      <c r="BI33" s="26">
        <f t="shared" ref="BI33" si="347">SUM(BI31:BI32)</f>
        <v>0</v>
      </c>
      <c r="BJ33" s="26">
        <f t="shared" ref="BJ33" si="348">SUM(BJ31:BJ32)</f>
        <v>0</v>
      </c>
      <c r="BK33" s="26">
        <f t="shared" ref="BK33" si="349">SUM(BK31:BK32)</f>
        <v>0</v>
      </c>
      <c r="BL33" s="26">
        <f t="shared" ref="BL33" si="350">SUM(BL31:BL32)</f>
        <v>0</v>
      </c>
      <c r="BM33" s="26">
        <f t="shared" ref="BM33" si="351">SUM(BM31:BM32)</f>
        <v>0</v>
      </c>
      <c r="BN33" s="26">
        <f t="shared" ref="BN33" si="352">SUM(BN31:BN32)</f>
        <v>0</v>
      </c>
      <c r="BO33" s="26">
        <f t="shared" ref="BO33" si="353">SUM(BO31:BO32)</f>
        <v>0</v>
      </c>
      <c r="BP33" s="26">
        <f t="shared" ref="BP33" si="354">SUM(BP31:BP32)</f>
        <v>0</v>
      </c>
      <c r="BQ33" s="26">
        <f t="shared" ref="BQ33" si="355">SUM(BQ31:BQ32)</f>
        <v>0</v>
      </c>
      <c r="BR33" s="26">
        <f t="shared" ref="BR33" si="356">SUM(BR31:BR32)</f>
        <v>0</v>
      </c>
    </row>
    <row r="34" spans="1:70" ht="12.75" customHeight="1" outlineLevel="3" x14ac:dyDescent="0.2">
      <c r="A34" s="54"/>
      <c r="B34" s="38" t="s">
        <v>84</v>
      </c>
      <c r="C34" s="151" t="s">
        <v>83</v>
      </c>
      <c r="D34" s="40">
        <f t="shared" si="0"/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176">
        <v>0</v>
      </c>
      <c r="Q34" s="191">
        <f t="shared" si="1"/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176">
        <v>0</v>
      </c>
      <c r="AD34" s="225">
        <f t="shared" si="2"/>
        <v>0</v>
      </c>
      <c r="AE34" s="40">
        <v>0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0</v>
      </c>
      <c r="AN34" s="40">
        <v>0</v>
      </c>
      <c r="AO34" s="40">
        <v>0</v>
      </c>
      <c r="AP34" s="208">
        <v>0</v>
      </c>
      <c r="AQ34" s="168">
        <f t="shared" si="3"/>
        <v>0</v>
      </c>
      <c r="AR34" s="40"/>
      <c r="AS34" s="40">
        <v>0</v>
      </c>
      <c r="AT34" s="40">
        <v>0</v>
      </c>
      <c r="AU34" s="40">
        <v>0</v>
      </c>
      <c r="AV34" s="40">
        <v>0</v>
      </c>
      <c r="AW34" s="40">
        <v>0</v>
      </c>
      <c r="AX34" s="40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176">
        <v>0</v>
      </c>
      <c r="BE34" s="191">
        <f t="shared" si="4"/>
        <v>0</v>
      </c>
      <c r="BF34" s="40"/>
      <c r="BG34" s="40">
        <v>0</v>
      </c>
      <c r="BH34" s="40">
        <v>0</v>
      </c>
      <c r="BI34" s="40">
        <v>0</v>
      </c>
      <c r="BJ34" s="40">
        <v>0</v>
      </c>
      <c r="BK34" s="40">
        <v>0</v>
      </c>
      <c r="BL34" s="40">
        <v>0</v>
      </c>
      <c r="BM34" s="40">
        <v>0</v>
      </c>
      <c r="BN34" s="40">
        <v>0</v>
      </c>
      <c r="BO34" s="40">
        <v>0</v>
      </c>
      <c r="BP34" s="40">
        <v>0</v>
      </c>
      <c r="BQ34" s="40">
        <v>0</v>
      </c>
      <c r="BR34" s="40">
        <v>0</v>
      </c>
    </row>
    <row r="35" spans="1:70" ht="12.75" customHeight="1" outlineLevel="3" x14ac:dyDescent="0.2">
      <c r="A35" s="54"/>
      <c r="B35" s="38" t="s">
        <v>82</v>
      </c>
      <c r="C35" s="151" t="s">
        <v>81</v>
      </c>
      <c r="D35" s="40">
        <f t="shared" si="0"/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176">
        <v>0</v>
      </c>
      <c r="Q35" s="191">
        <f t="shared" si="1"/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176">
        <v>0</v>
      </c>
      <c r="AD35" s="225">
        <f t="shared" si="2"/>
        <v>0</v>
      </c>
      <c r="AE35" s="40">
        <v>0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208">
        <v>0</v>
      </c>
      <c r="AQ35" s="168">
        <f t="shared" si="3"/>
        <v>0</v>
      </c>
      <c r="AR35" s="40"/>
      <c r="AS35" s="40">
        <v>0</v>
      </c>
      <c r="AT35" s="40">
        <v>0</v>
      </c>
      <c r="AU35" s="40">
        <v>0</v>
      </c>
      <c r="AV35" s="40">
        <v>0</v>
      </c>
      <c r="AW35" s="40">
        <v>0</v>
      </c>
      <c r="AX35" s="40">
        <v>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176">
        <v>0</v>
      </c>
      <c r="BE35" s="191">
        <f t="shared" si="4"/>
        <v>0</v>
      </c>
      <c r="BF35" s="40"/>
      <c r="BG35" s="40">
        <v>0</v>
      </c>
      <c r="BH35" s="40">
        <v>0</v>
      </c>
      <c r="BI35" s="40">
        <v>0</v>
      </c>
      <c r="BJ35" s="40">
        <v>0</v>
      </c>
      <c r="BK35" s="40">
        <v>0</v>
      </c>
      <c r="BL35" s="40">
        <v>0</v>
      </c>
      <c r="BM35" s="40">
        <v>0</v>
      </c>
      <c r="BN35" s="40">
        <v>0</v>
      </c>
      <c r="BO35" s="40">
        <v>0</v>
      </c>
      <c r="BP35" s="40">
        <v>0</v>
      </c>
      <c r="BQ35" s="40">
        <v>0</v>
      </c>
      <c r="BR35" s="40">
        <v>0</v>
      </c>
    </row>
    <row r="36" spans="1:70" s="6" customFormat="1" outlineLevel="2" x14ac:dyDescent="0.2">
      <c r="A36" s="30"/>
      <c r="B36" s="29" t="s">
        <v>80</v>
      </c>
      <c r="C36" s="152" t="s">
        <v>79</v>
      </c>
      <c r="D36" s="26">
        <f t="shared" si="0"/>
        <v>0</v>
      </c>
      <c r="E36" s="26">
        <f>SUM(E34:E35)</f>
        <v>0</v>
      </c>
      <c r="F36" s="26">
        <f>SUM(F34:F35)</f>
        <v>0</v>
      </c>
      <c r="G36" s="26">
        <f t="shared" ref="G36:L36" si="357">SUM(G34:G35)</f>
        <v>0</v>
      </c>
      <c r="H36" s="26">
        <f t="shared" si="357"/>
        <v>0</v>
      </c>
      <c r="I36" s="26">
        <f t="shared" si="357"/>
        <v>0</v>
      </c>
      <c r="J36" s="26">
        <f t="shared" si="357"/>
        <v>0</v>
      </c>
      <c r="K36" s="26">
        <f t="shared" si="357"/>
        <v>0</v>
      </c>
      <c r="L36" s="26">
        <f t="shared" si="357"/>
        <v>0</v>
      </c>
      <c r="M36" s="26">
        <f t="shared" ref="M36" si="358">SUM(M34:M35)</f>
        <v>0</v>
      </c>
      <c r="N36" s="26">
        <f t="shared" ref="N36" si="359">SUM(N34:N35)</f>
        <v>0</v>
      </c>
      <c r="O36" s="26">
        <f t="shared" ref="O36" si="360">SUM(O34:O35)</f>
        <v>0</v>
      </c>
      <c r="P36" s="177">
        <f t="shared" ref="P36" si="361">SUM(P34:P35)</f>
        <v>0</v>
      </c>
      <c r="Q36" s="192">
        <f t="shared" si="1"/>
        <v>0</v>
      </c>
      <c r="R36" s="26">
        <f>SUM(R34:R35)</f>
        <v>0</v>
      </c>
      <c r="S36" s="26">
        <f>SUM(S34:S35)</f>
        <v>0</v>
      </c>
      <c r="T36" s="26">
        <f t="shared" ref="T36" si="362">SUM(T34:T35)</f>
        <v>0</v>
      </c>
      <c r="U36" s="26">
        <f t="shared" ref="U36" si="363">SUM(U34:U35)</f>
        <v>0</v>
      </c>
      <c r="V36" s="26">
        <f t="shared" ref="V36" si="364">SUM(V34:V35)</f>
        <v>0</v>
      </c>
      <c r="W36" s="26">
        <f t="shared" ref="W36" si="365">SUM(W34:W35)</f>
        <v>0</v>
      </c>
      <c r="X36" s="26">
        <f t="shared" ref="X36" si="366">SUM(X34:X35)</f>
        <v>0</v>
      </c>
      <c r="Y36" s="26">
        <f t="shared" ref="Y36:Z36" si="367">SUM(Y34:Y35)</f>
        <v>0</v>
      </c>
      <c r="Z36" s="26">
        <f t="shared" si="367"/>
        <v>0</v>
      </c>
      <c r="AA36" s="26">
        <f t="shared" ref="AA36" si="368">SUM(AA34:AA35)</f>
        <v>0</v>
      </c>
      <c r="AB36" s="26">
        <f t="shared" ref="AB36" si="369">SUM(AB34:AB35)</f>
        <v>0</v>
      </c>
      <c r="AC36" s="177">
        <f t="shared" ref="AC36" si="370">SUM(AC34:AC35)</f>
        <v>0</v>
      </c>
      <c r="AD36" s="226">
        <f t="shared" si="2"/>
        <v>0</v>
      </c>
      <c r="AE36" s="26">
        <f>SUM(AE34:AE35)</f>
        <v>0</v>
      </c>
      <c r="AF36" s="26">
        <f>SUM(AF34:AF35)</f>
        <v>0</v>
      </c>
      <c r="AG36" s="26">
        <f t="shared" ref="AG36" si="371">SUM(AG34:AG35)</f>
        <v>0</v>
      </c>
      <c r="AH36" s="26">
        <f t="shared" ref="AH36" si="372">SUM(AH34:AH35)</f>
        <v>0</v>
      </c>
      <c r="AI36" s="26">
        <f t="shared" ref="AI36" si="373">SUM(AI34:AI35)</f>
        <v>0</v>
      </c>
      <c r="AJ36" s="26">
        <f t="shared" ref="AJ36" si="374">SUM(AJ34:AJ35)</f>
        <v>0</v>
      </c>
      <c r="AK36" s="26">
        <f t="shared" ref="AK36" si="375">SUM(AK34:AK35)</f>
        <v>0</v>
      </c>
      <c r="AL36" s="26">
        <f t="shared" ref="AL36" si="376">SUM(AL34:AL35)</f>
        <v>0</v>
      </c>
      <c r="AM36" s="26">
        <f t="shared" ref="AM36" si="377">SUM(AM34:AM35)</f>
        <v>0</v>
      </c>
      <c r="AN36" s="26">
        <f t="shared" ref="AN36" si="378">SUM(AN34:AN35)</f>
        <v>0</v>
      </c>
      <c r="AO36" s="26">
        <f t="shared" ref="AO36" si="379">SUM(AO34:AO35)</f>
        <v>0</v>
      </c>
      <c r="AP36" s="209">
        <f t="shared" ref="AP36" si="380">SUM(AP34:AP35)</f>
        <v>0</v>
      </c>
      <c r="AQ36" s="169">
        <f t="shared" si="3"/>
        <v>0</v>
      </c>
      <c r="AR36" s="26"/>
      <c r="AS36" s="26">
        <f>SUM(AS34:AS35)</f>
        <v>0</v>
      </c>
      <c r="AT36" s="26">
        <f>SUM(AT34:AT35)</f>
        <v>0</v>
      </c>
      <c r="AU36" s="26">
        <f t="shared" ref="AU36" si="381">SUM(AU34:AU35)</f>
        <v>0</v>
      </c>
      <c r="AV36" s="26">
        <f t="shared" ref="AV36" si="382">SUM(AV34:AV35)</f>
        <v>0</v>
      </c>
      <c r="AW36" s="26">
        <f t="shared" ref="AW36" si="383">SUM(AW34:AW35)</f>
        <v>0</v>
      </c>
      <c r="AX36" s="26">
        <f t="shared" ref="AX36" si="384">SUM(AX34:AX35)</f>
        <v>0</v>
      </c>
      <c r="AY36" s="26">
        <f t="shared" ref="AY36" si="385">SUM(AY34:AY35)</f>
        <v>0</v>
      </c>
      <c r="AZ36" s="26">
        <f t="shared" ref="AZ36" si="386">SUM(AZ34:AZ35)</f>
        <v>0</v>
      </c>
      <c r="BA36" s="26">
        <f t="shared" ref="BA36" si="387">SUM(BA34:BA35)</f>
        <v>0</v>
      </c>
      <c r="BB36" s="26">
        <f t="shared" ref="BB36" si="388">SUM(BB34:BB35)</f>
        <v>0</v>
      </c>
      <c r="BC36" s="26">
        <f t="shared" ref="BC36" si="389">SUM(BC34:BC35)</f>
        <v>0</v>
      </c>
      <c r="BD36" s="177">
        <f t="shared" ref="BD36" si="390">SUM(BD34:BD35)</f>
        <v>0</v>
      </c>
      <c r="BE36" s="192">
        <f t="shared" si="4"/>
        <v>0</v>
      </c>
      <c r="BF36" s="26"/>
      <c r="BG36" s="26">
        <f>SUM(BG34:BG35)</f>
        <v>0</v>
      </c>
      <c r="BH36" s="26">
        <f>SUM(BH34:BH35)</f>
        <v>0</v>
      </c>
      <c r="BI36" s="26">
        <f t="shared" ref="BI36" si="391">SUM(BI34:BI35)</f>
        <v>0</v>
      </c>
      <c r="BJ36" s="26">
        <f t="shared" ref="BJ36" si="392">SUM(BJ34:BJ35)</f>
        <v>0</v>
      </c>
      <c r="BK36" s="26">
        <f t="shared" ref="BK36" si="393">SUM(BK34:BK35)</f>
        <v>0</v>
      </c>
      <c r="BL36" s="26">
        <f t="shared" ref="BL36" si="394">SUM(BL34:BL35)</f>
        <v>0</v>
      </c>
      <c r="BM36" s="26">
        <f t="shared" ref="BM36" si="395">SUM(BM34:BM35)</f>
        <v>0</v>
      </c>
      <c r="BN36" s="26">
        <f t="shared" ref="BN36" si="396">SUM(BN34:BN35)</f>
        <v>0</v>
      </c>
      <c r="BO36" s="26">
        <f t="shared" ref="BO36" si="397">SUM(BO34:BO35)</f>
        <v>0</v>
      </c>
      <c r="BP36" s="26">
        <f t="shared" ref="BP36" si="398">SUM(BP34:BP35)</f>
        <v>0</v>
      </c>
      <c r="BQ36" s="26">
        <f t="shared" ref="BQ36" si="399">SUM(BQ34:BQ35)</f>
        <v>0</v>
      </c>
      <c r="BR36" s="26">
        <f t="shared" ref="BR36" si="400">SUM(BR34:BR35)</f>
        <v>0</v>
      </c>
    </row>
    <row r="37" spans="1:70" ht="12.75" customHeight="1" outlineLevel="3" x14ac:dyDescent="0.2">
      <c r="B37" s="38" t="s">
        <v>78</v>
      </c>
      <c r="C37" s="151" t="s">
        <v>74</v>
      </c>
      <c r="D37" s="40">
        <f t="shared" si="0"/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176">
        <v>0</v>
      </c>
      <c r="Q37" s="191">
        <f t="shared" si="1"/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176">
        <v>0</v>
      </c>
      <c r="AD37" s="225">
        <f t="shared" si="2"/>
        <v>0</v>
      </c>
      <c r="AE37" s="40">
        <v>0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208">
        <v>0</v>
      </c>
      <c r="AQ37" s="168">
        <f t="shared" si="3"/>
        <v>0</v>
      </c>
      <c r="AR37" s="40"/>
      <c r="AS37" s="40">
        <v>0</v>
      </c>
      <c r="AT37" s="40">
        <v>0</v>
      </c>
      <c r="AU37" s="40">
        <v>0</v>
      </c>
      <c r="AV37" s="40">
        <v>0</v>
      </c>
      <c r="AW37" s="40">
        <v>0</v>
      </c>
      <c r="AX37" s="40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176">
        <v>0</v>
      </c>
      <c r="BE37" s="191">
        <f t="shared" si="4"/>
        <v>0</v>
      </c>
      <c r="BF37" s="40"/>
      <c r="BG37" s="40">
        <v>0</v>
      </c>
      <c r="BH37" s="40">
        <v>0</v>
      </c>
      <c r="BI37" s="40">
        <v>0</v>
      </c>
      <c r="BJ37" s="40">
        <v>0</v>
      </c>
      <c r="BK37" s="40">
        <v>0</v>
      </c>
      <c r="BL37" s="40">
        <v>0</v>
      </c>
      <c r="BM37" s="40">
        <v>0</v>
      </c>
      <c r="BN37" s="40">
        <v>0</v>
      </c>
      <c r="BO37" s="40">
        <v>0</v>
      </c>
      <c r="BP37" s="40">
        <v>0</v>
      </c>
      <c r="BQ37" s="40">
        <v>0</v>
      </c>
      <c r="BR37" s="40">
        <v>0</v>
      </c>
    </row>
    <row r="38" spans="1:70" ht="12.75" customHeight="1" outlineLevel="3" x14ac:dyDescent="0.2">
      <c r="B38" s="38" t="s">
        <v>77</v>
      </c>
      <c r="C38" s="151" t="s">
        <v>76</v>
      </c>
      <c r="D38" s="40">
        <f t="shared" si="0"/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176">
        <v>0</v>
      </c>
      <c r="Q38" s="191">
        <f t="shared" si="1"/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176">
        <v>0</v>
      </c>
      <c r="AD38" s="225">
        <f t="shared" si="2"/>
        <v>0</v>
      </c>
      <c r="AE38" s="40">
        <v>0</v>
      </c>
      <c r="AF38" s="40">
        <v>0</v>
      </c>
      <c r="AG38" s="40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208">
        <v>0</v>
      </c>
      <c r="AQ38" s="168">
        <f t="shared" si="3"/>
        <v>0</v>
      </c>
      <c r="AR38" s="40"/>
      <c r="AS38" s="40">
        <v>0</v>
      </c>
      <c r="AT38" s="40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176">
        <v>0</v>
      </c>
      <c r="BE38" s="191">
        <f t="shared" si="4"/>
        <v>0</v>
      </c>
      <c r="BF38" s="40"/>
      <c r="BG38" s="40">
        <v>0</v>
      </c>
      <c r="BH38" s="40">
        <v>0</v>
      </c>
      <c r="BI38" s="40">
        <v>0</v>
      </c>
      <c r="BJ38" s="40">
        <v>0</v>
      </c>
      <c r="BK38" s="40">
        <v>0</v>
      </c>
      <c r="BL38" s="40">
        <v>0</v>
      </c>
      <c r="BM38" s="40">
        <v>0</v>
      </c>
      <c r="BN38" s="40">
        <v>0</v>
      </c>
      <c r="BO38" s="40">
        <v>0</v>
      </c>
      <c r="BP38" s="40">
        <v>0</v>
      </c>
      <c r="BQ38" s="40">
        <v>0</v>
      </c>
      <c r="BR38" s="40">
        <v>0</v>
      </c>
    </row>
    <row r="39" spans="1:70" s="6" customFormat="1" outlineLevel="2" x14ac:dyDescent="0.2">
      <c r="B39" s="29" t="s">
        <v>75</v>
      </c>
      <c r="C39" s="152" t="s">
        <v>74</v>
      </c>
      <c r="D39" s="26">
        <f t="shared" si="0"/>
        <v>0</v>
      </c>
      <c r="E39" s="26">
        <f>SUM(E37:E38)</f>
        <v>0</v>
      </c>
      <c r="F39" s="26">
        <f>SUM(F37:F38)</f>
        <v>0</v>
      </c>
      <c r="G39" s="26">
        <f t="shared" ref="G39:L39" si="401">SUM(G37:G38)</f>
        <v>0</v>
      </c>
      <c r="H39" s="26">
        <f t="shared" si="401"/>
        <v>0</v>
      </c>
      <c r="I39" s="26">
        <f t="shared" si="401"/>
        <v>0</v>
      </c>
      <c r="J39" s="26">
        <f t="shared" si="401"/>
        <v>0</v>
      </c>
      <c r="K39" s="26">
        <f t="shared" si="401"/>
        <v>0</v>
      </c>
      <c r="L39" s="26">
        <f t="shared" si="401"/>
        <v>0</v>
      </c>
      <c r="M39" s="26">
        <f t="shared" ref="M39" si="402">SUM(M37:M38)</f>
        <v>0</v>
      </c>
      <c r="N39" s="26">
        <f t="shared" ref="N39" si="403">SUM(N37:N38)</f>
        <v>0</v>
      </c>
      <c r="O39" s="26">
        <f t="shared" ref="O39" si="404">SUM(O37:O38)</f>
        <v>0</v>
      </c>
      <c r="P39" s="177">
        <f t="shared" ref="P39" si="405">SUM(P37:P38)</f>
        <v>0</v>
      </c>
      <c r="Q39" s="192">
        <f t="shared" si="1"/>
        <v>0</v>
      </c>
      <c r="R39" s="26">
        <f>SUM(R37:R38)</f>
        <v>0</v>
      </c>
      <c r="S39" s="26">
        <f>SUM(S37:S38)</f>
        <v>0</v>
      </c>
      <c r="T39" s="26">
        <f t="shared" ref="T39" si="406">SUM(T37:T38)</f>
        <v>0</v>
      </c>
      <c r="U39" s="26">
        <f t="shared" ref="U39" si="407">SUM(U37:U38)</f>
        <v>0</v>
      </c>
      <c r="V39" s="26">
        <f t="shared" ref="V39" si="408">SUM(V37:V38)</f>
        <v>0</v>
      </c>
      <c r="W39" s="26">
        <f t="shared" ref="W39" si="409">SUM(W37:W38)</f>
        <v>0</v>
      </c>
      <c r="X39" s="26">
        <f t="shared" ref="X39" si="410">SUM(X37:X38)</f>
        <v>0</v>
      </c>
      <c r="Y39" s="26">
        <f t="shared" ref="Y39:Z39" si="411">SUM(Y37:Y38)</f>
        <v>0</v>
      </c>
      <c r="Z39" s="26">
        <f t="shared" si="411"/>
        <v>0</v>
      </c>
      <c r="AA39" s="26">
        <f t="shared" ref="AA39" si="412">SUM(AA37:AA38)</f>
        <v>0</v>
      </c>
      <c r="AB39" s="26">
        <f t="shared" ref="AB39" si="413">SUM(AB37:AB38)</f>
        <v>0</v>
      </c>
      <c r="AC39" s="177">
        <f t="shared" ref="AC39" si="414">SUM(AC37:AC38)</f>
        <v>0</v>
      </c>
      <c r="AD39" s="226">
        <f t="shared" si="2"/>
        <v>0</v>
      </c>
      <c r="AE39" s="26">
        <f>SUM(AE37:AE38)</f>
        <v>0</v>
      </c>
      <c r="AF39" s="26">
        <f>SUM(AF37:AF38)</f>
        <v>0</v>
      </c>
      <c r="AG39" s="26">
        <f t="shared" ref="AG39" si="415">SUM(AG37:AG38)</f>
        <v>0</v>
      </c>
      <c r="AH39" s="26">
        <f t="shared" ref="AH39" si="416">SUM(AH37:AH38)</f>
        <v>0</v>
      </c>
      <c r="AI39" s="26">
        <f t="shared" ref="AI39" si="417">SUM(AI37:AI38)</f>
        <v>0</v>
      </c>
      <c r="AJ39" s="26">
        <f t="shared" ref="AJ39" si="418">SUM(AJ37:AJ38)</f>
        <v>0</v>
      </c>
      <c r="AK39" s="26">
        <f t="shared" ref="AK39" si="419">SUM(AK37:AK38)</f>
        <v>0</v>
      </c>
      <c r="AL39" s="26">
        <f t="shared" ref="AL39" si="420">SUM(AL37:AL38)</f>
        <v>0</v>
      </c>
      <c r="AM39" s="26">
        <f t="shared" ref="AM39" si="421">SUM(AM37:AM38)</f>
        <v>0</v>
      </c>
      <c r="AN39" s="26">
        <f t="shared" ref="AN39" si="422">SUM(AN37:AN38)</f>
        <v>0</v>
      </c>
      <c r="AO39" s="26">
        <f t="shared" ref="AO39" si="423">SUM(AO37:AO38)</f>
        <v>0</v>
      </c>
      <c r="AP39" s="209">
        <f t="shared" ref="AP39" si="424">SUM(AP37:AP38)</f>
        <v>0</v>
      </c>
      <c r="AQ39" s="169">
        <f t="shared" si="3"/>
        <v>0</v>
      </c>
      <c r="AR39" s="26"/>
      <c r="AS39" s="26">
        <f>SUM(AS37:AS38)</f>
        <v>0</v>
      </c>
      <c r="AT39" s="26">
        <f>SUM(AT37:AT38)</f>
        <v>0</v>
      </c>
      <c r="AU39" s="26">
        <f t="shared" ref="AU39" si="425">SUM(AU37:AU38)</f>
        <v>0</v>
      </c>
      <c r="AV39" s="26">
        <f t="shared" ref="AV39" si="426">SUM(AV37:AV38)</f>
        <v>0</v>
      </c>
      <c r="AW39" s="26">
        <f t="shared" ref="AW39" si="427">SUM(AW37:AW38)</f>
        <v>0</v>
      </c>
      <c r="AX39" s="26">
        <f t="shared" ref="AX39" si="428">SUM(AX37:AX38)</f>
        <v>0</v>
      </c>
      <c r="AY39" s="26">
        <f t="shared" ref="AY39" si="429">SUM(AY37:AY38)</f>
        <v>0</v>
      </c>
      <c r="AZ39" s="26">
        <f t="shared" ref="AZ39" si="430">SUM(AZ37:AZ38)</f>
        <v>0</v>
      </c>
      <c r="BA39" s="26">
        <f t="shared" ref="BA39" si="431">SUM(BA37:BA38)</f>
        <v>0</v>
      </c>
      <c r="BB39" s="26">
        <f t="shared" ref="BB39" si="432">SUM(BB37:BB38)</f>
        <v>0</v>
      </c>
      <c r="BC39" s="26">
        <f t="shared" ref="BC39" si="433">SUM(BC37:BC38)</f>
        <v>0</v>
      </c>
      <c r="BD39" s="177">
        <f t="shared" ref="BD39" si="434">SUM(BD37:BD38)</f>
        <v>0</v>
      </c>
      <c r="BE39" s="192">
        <f t="shared" si="4"/>
        <v>0</v>
      </c>
      <c r="BF39" s="26"/>
      <c r="BG39" s="26">
        <f>SUM(BG37:BG38)</f>
        <v>0</v>
      </c>
      <c r="BH39" s="26">
        <f>SUM(BH37:BH38)</f>
        <v>0</v>
      </c>
      <c r="BI39" s="26">
        <f t="shared" ref="BI39" si="435">SUM(BI37:BI38)</f>
        <v>0</v>
      </c>
      <c r="BJ39" s="26">
        <f t="shared" ref="BJ39" si="436">SUM(BJ37:BJ38)</f>
        <v>0</v>
      </c>
      <c r="BK39" s="26">
        <f t="shared" ref="BK39" si="437">SUM(BK37:BK38)</f>
        <v>0</v>
      </c>
      <c r="BL39" s="26">
        <f t="shared" ref="BL39" si="438">SUM(BL37:BL38)</f>
        <v>0</v>
      </c>
      <c r="BM39" s="26">
        <f t="shared" ref="BM39" si="439">SUM(BM37:BM38)</f>
        <v>0</v>
      </c>
      <c r="BN39" s="26">
        <f t="shared" ref="BN39" si="440">SUM(BN37:BN38)</f>
        <v>0</v>
      </c>
      <c r="BO39" s="26">
        <f t="shared" ref="BO39" si="441">SUM(BO37:BO38)</f>
        <v>0</v>
      </c>
      <c r="BP39" s="26">
        <f t="shared" ref="BP39" si="442">SUM(BP37:BP38)</f>
        <v>0</v>
      </c>
      <c r="BQ39" s="26">
        <f t="shared" ref="BQ39" si="443">SUM(BQ37:BQ38)</f>
        <v>0</v>
      </c>
      <c r="BR39" s="26">
        <f t="shared" ref="BR39" si="444">SUM(BR37:BR38)</f>
        <v>0</v>
      </c>
    </row>
    <row r="40" spans="1:70" s="6" customFormat="1" outlineLevel="1" x14ac:dyDescent="0.2">
      <c r="A40" s="30"/>
      <c r="B40" s="51" t="s">
        <v>73</v>
      </c>
      <c r="C40" s="155" t="s">
        <v>72</v>
      </c>
      <c r="D40" s="45">
        <f t="shared" si="0"/>
        <v>22448677</v>
      </c>
      <c r="E40" s="45">
        <f>E30+E33+E36+E39</f>
        <v>22448677</v>
      </c>
      <c r="F40" s="45">
        <f>F30+F33+F36+F39</f>
        <v>0</v>
      </c>
      <c r="G40" s="45">
        <f t="shared" ref="G40:L40" si="445">G30+G33+G36+G39</f>
        <v>0</v>
      </c>
      <c r="H40" s="45">
        <f t="shared" si="445"/>
        <v>0</v>
      </c>
      <c r="I40" s="45">
        <f t="shared" si="445"/>
        <v>0</v>
      </c>
      <c r="J40" s="45">
        <f t="shared" si="445"/>
        <v>0</v>
      </c>
      <c r="K40" s="45">
        <f t="shared" si="445"/>
        <v>0</v>
      </c>
      <c r="L40" s="45">
        <f t="shared" si="445"/>
        <v>0</v>
      </c>
      <c r="M40" s="45">
        <f t="shared" ref="M40" si="446">M30+M33+M36+M39</f>
        <v>0</v>
      </c>
      <c r="N40" s="45">
        <f t="shared" ref="N40" si="447">N30+N33+N36+N39</f>
        <v>0</v>
      </c>
      <c r="O40" s="45">
        <f t="shared" ref="O40" si="448">O30+O33+O36+O39</f>
        <v>0</v>
      </c>
      <c r="P40" s="178">
        <f t="shared" ref="P40" si="449">P30+P33+P36+P39</f>
        <v>0</v>
      </c>
      <c r="Q40" s="193">
        <f t="shared" si="1"/>
        <v>22448677</v>
      </c>
      <c r="R40" s="45">
        <f>R30+R33+R36+R39</f>
        <v>22448677</v>
      </c>
      <c r="S40" s="45">
        <f>S30+S33+S36+S39</f>
        <v>0</v>
      </c>
      <c r="T40" s="45">
        <f t="shared" ref="T40" si="450">T30+T33+T36+T39</f>
        <v>0</v>
      </c>
      <c r="U40" s="45">
        <f t="shared" ref="U40" si="451">U30+U33+U36+U39</f>
        <v>0</v>
      </c>
      <c r="V40" s="45">
        <f t="shared" ref="V40" si="452">V30+V33+V36+V39</f>
        <v>0</v>
      </c>
      <c r="W40" s="45">
        <f t="shared" ref="W40" si="453">W30+W33+W36+W39</f>
        <v>0</v>
      </c>
      <c r="X40" s="45">
        <f t="shared" ref="X40" si="454">X30+X33+X36+X39</f>
        <v>0</v>
      </c>
      <c r="Y40" s="45">
        <f t="shared" ref="Y40:Z40" si="455">Y30+Y33+Y36+Y39</f>
        <v>0</v>
      </c>
      <c r="Z40" s="45">
        <f t="shared" si="455"/>
        <v>0</v>
      </c>
      <c r="AA40" s="45">
        <f t="shared" ref="AA40" si="456">AA30+AA33+AA36+AA39</f>
        <v>0</v>
      </c>
      <c r="AB40" s="45">
        <f t="shared" ref="AB40" si="457">AB30+AB33+AB36+AB39</f>
        <v>0</v>
      </c>
      <c r="AC40" s="178">
        <f t="shared" ref="AC40" si="458">AC30+AC33+AC36+AC39</f>
        <v>0</v>
      </c>
      <c r="AD40" s="227">
        <f t="shared" si="2"/>
        <v>22448677</v>
      </c>
      <c r="AE40" s="45">
        <f>AE30+AE33+AE36+AE39</f>
        <v>22448677</v>
      </c>
      <c r="AF40" s="45">
        <f>AF30+AF33+AF36+AF39</f>
        <v>0</v>
      </c>
      <c r="AG40" s="45">
        <f t="shared" ref="AG40" si="459">AG30+AG33+AG36+AG39</f>
        <v>0</v>
      </c>
      <c r="AH40" s="45">
        <f t="shared" ref="AH40" si="460">AH30+AH33+AH36+AH39</f>
        <v>0</v>
      </c>
      <c r="AI40" s="45">
        <f t="shared" ref="AI40" si="461">AI30+AI33+AI36+AI39</f>
        <v>0</v>
      </c>
      <c r="AJ40" s="45">
        <f t="shared" ref="AJ40" si="462">AJ30+AJ33+AJ36+AJ39</f>
        <v>0</v>
      </c>
      <c r="AK40" s="45">
        <f t="shared" ref="AK40" si="463">AK30+AK33+AK36+AK39</f>
        <v>0</v>
      </c>
      <c r="AL40" s="45">
        <f t="shared" ref="AL40" si="464">AL30+AL33+AL36+AL39</f>
        <v>0</v>
      </c>
      <c r="AM40" s="45">
        <f t="shared" ref="AM40" si="465">AM30+AM33+AM36+AM39</f>
        <v>0</v>
      </c>
      <c r="AN40" s="45">
        <f t="shared" ref="AN40" si="466">AN30+AN33+AN36+AN39</f>
        <v>0</v>
      </c>
      <c r="AO40" s="45">
        <f t="shared" ref="AO40" si="467">AO30+AO33+AO36+AO39</f>
        <v>0</v>
      </c>
      <c r="AP40" s="210">
        <f t="shared" ref="AP40" si="468">AP30+AP33+AP36+AP39</f>
        <v>0</v>
      </c>
      <c r="AQ40" s="170">
        <f t="shared" si="3"/>
        <v>0</v>
      </c>
      <c r="AR40" s="45"/>
      <c r="AS40" s="45">
        <f>AS30+AS33+AS36+AS39</f>
        <v>22448677</v>
      </c>
      <c r="AT40" s="45">
        <f>AT30+AT33+AT36+AT39</f>
        <v>0</v>
      </c>
      <c r="AU40" s="45">
        <f t="shared" ref="AU40" si="469">AU30+AU33+AU36+AU39</f>
        <v>0</v>
      </c>
      <c r="AV40" s="45">
        <f t="shared" ref="AV40" si="470">AV30+AV33+AV36+AV39</f>
        <v>0</v>
      </c>
      <c r="AW40" s="45">
        <f t="shared" ref="AW40" si="471">AW30+AW33+AW36+AW39</f>
        <v>0</v>
      </c>
      <c r="AX40" s="45">
        <f t="shared" ref="AX40" si="472">AX30+AX33+AX36+AX39</f>
        <v>0</v>
      </c>
      <c r="AY40" s="45">
        <f t="shared" ref="AY40" si="473">AY30+AY33+AY36+AY39</f>
        <v>0</v>
      </c>
      <c r="AZ40" s="45">
        <f t="shared" ref="AZ40" si="474">AZ30+AZ33+AZ36+AZ39</f>
        <v>0</v>
      </c>
      <c r="BA40" s="45">
        <f t="shared" ref="BA40" si="475">BA30+BA33+BA36+BA39</f>
        <v>0</v>
      </c>
      <c r="BB40" s="45">
        <f t="shared" ref="BB40" si="476">BB30+BB33+BB36+BB39</f>
        <v>0</v>
      </c>
      <c r="BC40" s="45">
        <f t="shared" ref="BC40" si="477">BC30+BC33+BC36+BC39</f>
        <v>0</v>
      </c>
      <c r="BD40" s="178">
        <f t="shared" ref="BD40" si="478">BD30+BD33+BD36+BD39</f>
        <v>0</v>
      </c>
      <c r="BE40" s="193">
        <f t="shared" si="4"/>
        <v>0</v>
      </c>
      <c r="BF40" s="45"/>
      <c r="BG40" s="45">
        <f>BG30+BG33+BG36+BG39</f>
        <v>22448677</v>
      </c>
      <c r="BH40" s="45">
        <f>BH30+BH33+BH36+BH39</f>
        <v>0</v>
      </c>
      <c r="BI40" s="45">
        <f t="shared" ref="BI40" si="479">BI30+BI33+BI36+BI39</f>
        <v>0</v>
      </c>
      <c r="BJ40" s="45">
        <f t="shared" ref="BJ40" si="480">BJ30+BJ33+BJ36+BJ39</f>
        <v>0</v>
      </c>
      <c r="BK40" s="45">
        <f t="shared" ref="BK40" si="481">BK30+BK33+BK36+BK39</f>
        <v>0</v>
      </c>
      <c r="BL40" s="45">
        <f t="shared" ref="BL40" si="482">BL30+BL33+BL36+BL39</f>
        <v>0</v>
      </c>
      <c r="BM40" s="45">
        <f t="shared" ref="BM40" si="483">BM30+BM33+BM36+BM39</f>
        <v>0</v>
      </c>
      <c r="BN40" s="45">
        <f t="shared" ref="BN40" si="484">BN30+BN33+BN36+BN39</f>
        <v>0</v>
      </c>
      <c r="BO40" s="45">
        <f t="shared" ref="BO40" si="485">BO30+BO33+BO36+BO39</f>
        <v>0</v>
      </c>
      <c r="BP40" s="45">
        <f t="shared" ref="BP40" si="486">BP30+BP33+BP36+BP39</f>
        <v>0</v>
      </c>
      <c r="BQ40" s="45">
        <f t="shared" ref="BQ40" si="487">BQ30+BQ33+BQ36+BQ39</f>
        <v>0</v>
      </c>
      <c r="BR40" s="45">
        <f t="shared" ref="BR40" si="488">BR30+BR33+BR36+BR39</f>
        <v>0</v>
      </c>
    </row>
    <row r="41" spans="1:70" ht="12.75" customHeight="1" outlineLevel="3" x14ac:dyDescent="0.2">
      <c r="B41" s="38" t="s">
        <v>71</v>
      </c>
      <c r="C41" s="151" t="s">
        <v>70</v>
      </c>
      <c r="D41" s="40">
        <f t="shared" si="0"/>
        <v>11215250</v>
      </c>
      <c r="E41" s="40">
        <f>33645750/3</f>
        <v>11215250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176">
        <v>0</v>
      </c>
      <c r="Q41" s="191">
        <f t="shared" si="1"/>
        <v>11215250</v>
      </c>
      <c r="R41" s="40">
        <f>33645750/3</f>
        <v>11215250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176">
        <v>0</v>
      </c>
      <c r="AD41" s="225">
        <f t="shared" si="2"/>
        <v>11215250</v>
      </c>
      <c r="AE41" s="40">
        <f>33645750/3</f>
        <v>11215250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208">
        <v>0</v>
      </c>
      <c r="AQ41" s="168">
        <f t="shared" si="3"/>
        <v>0</v>
      </c>
      <c r="AR41" s="40"/>
      <c r="AS41" s="40">
        <f>33645750/3</f>
        <v>11215250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176">
        <v>0</v>
      </c>
      <c r="BE41" s="191">
        <f t="shared" si="4"/>
        <v>0</v>
      </c>
      <c r="BF41" s="40"/>
      <c r="BG41" s="40">
        <f>33645750/3</f>
        <v>11215250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</row>
    <row r="42" spans="1:70" ht="12.75" customHeight="1" outlineLevel="3" x14ac:dyDescent="0.2">
      <c r="B42" s="38" t="s">
        <v>69</v>
      </c>
      <c r="C42" s="151" t="s">
        <v>68</v>
      </c>
      <c r="D42" s="40">
        <f t="shared" si="0"/>
        <v>2074821.25</v>
      </c>
      <c r="E42" s="40">
        <f>6224463.75/3</f>
        <v>2074821.25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176">
        <v>0</v>
      </c>
      <c r="Q42" s="191">
        <f t="shared" si="1"/>
        <v>2074821.25</v>
      </c>
      <c r="R42" s="40">
        <f>6224463.75/3</f>
        <v>2074821.25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176">
        <v>0</v>
      </c>
      <c r="AD42" s="225">
        <f t="shared" si="2"/>
        <v>2074821.25</v>
      </c>
      <c r="AE42" s="40">
        <f>6224463.75/3</f>
        <v>2074821.25</v>
      </c>
      <c r="AF42" s="40">
        <v>0</v>
      </c>
      <c r="AG42" s="40">
        <v>0</v>
      </c>
      <c r="AH42" s="40">
        <v>0</v>
      </c>
      <c r="AI42" s="40">
        <v>0</v>
      </c>
      <c r="AJ42" s="40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208">
        <v>0</v>
      </c>
      <c r="AQ42" s="168">
        <f t="shared" si="3"/>
        <v>0</v>
      </c>
      <c r="AR42" s="40"/>
      <c r="AS42" s="40">
        <f>6224463.75/3</f>
        <v>2074821.25</v>
      </c>
      <c r="AT42" s="40">
        <v>0</v>
      </c>
      <c r="AU42" s="40">
        <v>0</v>
      </c>
      <c r="AV42" s="40">
        <v>0</v>
      </c>
      <c r="AW42" s="40">
        <v>0</v>
      </c>
      <c r="AX42" s="40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176">
        <v>0</v>
      </c>
      <c r="BE42" s="191">
        <f t="shared" si="4"/>
        <v>0</v>
      </c>
      <c r="BF42" s="40"/>
      <c r="BG42" s="40">
        <f>6224463.75/3</f>
        <v>2074821.25</v>
      </c>
      <c r="BH42" s="40">
        <v>0</v>
      </c>
      <c r="BI42" s="40">
        <v>0</v>
      </c>
      <c r="BJ42" s="40">
        <v>0</v>
      </c>
      <c r="BK42" s="40">
        <v>0</v>
      </c>
      <c r="BL42" s="40">
        <v>0</v>
      </c>
      <c r="BM42" s="40">
        <v>0</v>
      </c>
      <c r="BN42" s="40">
        <v>0</v>
      </c>
      <c r="BO42" s="40">
        <v>0</v>
      </c>
      <c r="BP42" s="40">
        <v>0</v>
      </c>
      <c r="BQ42" s="40">
        <v>0</v>
      </c>
      <c r="BR42" s="40">
        <v>0</v>
      </c>
    </row>
    <row r="43" spans="1:70" s="6" customFormat="1" outlineLevel="2" x14ac:dyDescent="0.2">
      <c r="A43" s="30"/>
      <c r="B43" s="29" t="s">
        <v>67</v>
      </c>
      <c r="C43" s="42" t="s">
        <v>66</v>
      </c>
      <c r="D43" s="26">
        <f t="shared" si="0"/>
        <v>13290071.25</v>
      </c>
      <c r="E43" s="26">
        <f>SUM(E41:E42)</f>
        <v>13290071.25</v>
      </c>
      <c r="F43" s="26">
        <f>SUM(F41:F42)</f>
        <v>0</v>
      </c>
      <c r="G43" s="26">
        <f t="shared" ref="G43:L43" si="489">SUM(G41:G42)</f>
        <v>0</v>
      </c>
      <c r="H43" s="26">
        <f t="shared" si="489"/>
        <v>0</v>
      </c>
      <c r="I43" s="26">
        <f t="shared" si="489"/>
        <v>0</v>
      </c>
      <c r="J43" s="26">
        <f t="shared" si="489"/>
        <v>0</v>
      </c>
      <c r="K43" s="26">
        <f t="shared" si="489"/>
        <v>0</v>
      </c>
      <c r="L43" s="26">
        <f t="shared" si="489"/>
        <v>0</v>
      </c>
      <c r="M43" s="26">
        <f t="shared" ref="M43" si="490">SUM(M41:M42)</f>
        <v>0</v>
      </c>
      <c r="N43" s="26">
        <f t="shared" ref="N43" si="491">SUM(N41:N42)</f>
        <v>0</v>
      </c>
      <c r="O43" s="26">
        <f t="shared" ref="O43" si="492">SUM(O41:O42)</f>
        <v>0</v>
      </c>
      <c r="P43" s="177">
        <f t="shared" ref="P43" si="493">SUM(P41:P42)</f>
        <v>0</v>
      </c>
      <c r="Q43" s="192">
        <f t="shared" si="1"/>
        <v>13290071.25</v>
      </c>
      <c r="R43" s="26">
        <f>SUM(R41:R42)</f>
        <v>13290071.25</v>
      </c>
      <c r="S43" s="26">
        <f>SUM(S41:S42)</f>
        <v>0</v>
      </c>
      <c r="T43" s="26">
        <f t="shared" ref="T43" si="494">SUM(T41:T42)</f>
        <v>0</v>
      </c>
      <c r="U43" s="26">
        <f t="shared" ref="U43" si="495">SUM(U41:U42)</f>
        <v>0</v>
      </c>
      <c r="V43" s="26">
        <f t="shared" ref="V43" si="496">SUM(V41:V42)</f>
        <v>0</v>
      </c>
      <c r="W43" s="26">
        <f t="shared" ref="W43" si="497">SUM(W41:W42)</f>
        <v>0</v>
      </c>
      <c r="X43" s="26">
        <f t="shared" ref="X43" si="498">SUM(X41:X42)</f>
        <v>0</v>
      </c>
      <c r="Y43" s="26">
        <f t="shared" ref="Y43:Z43" si="499">SUM(Y41:Y42)</f>
        <v>0</v>
      </c>
      <c r="Z43" s="26">
        <f t="shared" si="499"/>
        <v>0</v>
      </c>
      <c r="AA43" s="26">
        <f t="shared" ref="AA43" si="500">SUM(AA41:AA42)</f>
        <v>0</v>
      </c>
      <c r="AB43" s="26">
        <f t="shared" ref="AB43" si="501">SUM(AB41:AB42)</f>
        <v>0</v>
      </c>
      <c r="AC43" s="177">
        <f t="shared" ref="AC43" si="502">SUM(AC41:AC42)</f>
        <v>0</v>
      </c>
      <c r="AD43" s="226">
        <f t="shared" si="2"/>
        <v>13290071.25</v>
      </c>
      <c r="AE43" s="26">
        <f>SUM(AE41:AE42)</f>
        <v>13290071.25</v>
      </c>
      <c r="AF43" s="26">
        <f>SUM(AF41:AF42)</f>
        <v>0</v>
      </c>
      <c r="AG43" s="26">
        <f t="shared" ref="AG43" si="503">SUM(AG41:AG42)</f>
        <v>0</v>
      </c>
      <c r="AH43" s="26">
        <f t="shared" ref="AH43" si="504">SUM(AH41:AH42)</f>
        <v>0</v>
      </c>
      <c r="AI43" s="26">
        <f t="shared" ref="AI43" si="505">SUM(AI41:AI42)</f>
        <v>0</v>
      </c>
      <c r="AJ43" s="26">
        <f t="shared" ref="AJ43" si="506">SUM(AJ41:AJ42)</f>
        <v>0</v>
      </c>
      <c r="AK43" s="26">
        <f t="shared" ref="AK43" si="507">SUM(AK41:AK42)</f>
        <v>0</v>
      </c>
      <c r="AL43" s="26">
        <f t="shared" ref="AL43" si="508">SUM(AL41:AL42)</f>
        <v>0</v>
      </c>
      <c r="AM43" s="26">
        <f t="shared" ref="AM43" si="509">SUM(AM41:AM42)</f>
        <v>0</v>
      </c>
      <c r="AN43" s="26">
        <f t="shared" ref="AN43" si="510">SUM(AN41:AN42)</f>
        <v>0</v>
      </c>
      <c r="AO43" s="26">
        <f t="shared" ref="AO43" si="511">SUM(AO41:AO42)</f>
        <v>0</v>
      </c>
      <c r="AP43" s="209">
        <f t="shared" ref="AP43" si="512">SUM(AP41:AP42)</f>
        <v>0</v>
      </c>
      <c r="AQ43" s="169">
        <f t="shared" si="3"/>
        <v>0</v>
      </c>
      <c r="AR43" s="26"/>
      <c r="AS43" s="26">
        <f>SUM(AS41:AS42)</f>
        <v>13290071.25</v>
      </c>
      <c r="AT43" s="26">
        <f>SUM(AT41:AT42)</f>
        <v>0</v>
      </c>
      <c r="AU43" s="26">
        <f t="shared" ref="AU43" si="513">SUM(AU41:AU42)</f>
        <v>0</v>
      </c>
      <c r="AV43" s="26">
        <f t="shared" ref="AV43" si="514">SUM(AV41:AV42)</f>
        <v>0</v>
      </c>
      <c r="AW43" s="26">
        <f t="shared" ref="AW43" si="515">SUM(AW41:AW42)</f>
        <v>0</v>
      </c>
      <c r="AX43" s="26">
        <f t="shared" ref="AX43" si="516">SUM(AX41:AX42)</f>
        <v>0</v>
      </c>
      <c r="AY43" s="26">
        <f t="shared" ref="AY43" si="517">SUM(AY41:AY42)</f>
        <v>0</v>
      </c>
      <c r="AZ43" s="26">
        <f t="shared" ref="AZ43" si="518">SUM(AZ41:AZ42)</f>
        <v>0</v>
      </c>
      <c r="BA43" s="26">
        <f t="shared" ref="BA43" si="519">SUM(BA41:BA42)</f>
        <v>0</v>
      </c>
      <c r="BB43" s="26">
        <f t="shared" ref="BB43" si="520">SUM(BB41:BB42)</f>
        <v>0</v>
      </c>
      <c r="BC43" s="26">
        <f t="shared" ref="BC43" si="521">SUM(BC41:BC42)</f>
        <v>0</v>
      </c>
      <c r="BD43" s="177">
        <f t="shared" ref="BD43" si="522">SUM(BD41:BD42)</f>
        <v>0</v>
      </c>
      <c r="BE43" s="192">
        <f t="shared" si="4"/>
        <v>0</v>
      </c>
      <c r="BF43" s="26"/>
      <c r="BG43" s="26">
        <f>SUM(BG41:BG42)</f>
        <v>13290071.25</v>
      </c>
      <c r="BH43" s="26">
        <f>SUM(BH41:BH42)</f>
        <v>0</v>
      </c>
      <c r="BI43" s="26">
        <f t="shared" ref="BI43" si="523">SUM(BI41:BI42)</f>
        <v>0</v>
      </c>
      <c r="BJ43" s="26">
        <f t="shared" ref="BJ43" si="524">SUM(BJ41:BJ42)</f>
        <v>0</v>
      </c>
      <c r="BK43" s="26">
        <f t="shared" ref="BK43" si="525">SUM(BK41:BK42)</f>
        <v>0</v>
      </c>
      <c r="BL43" s="26">
        <f t="shared" ref="BL43" si="526">SUM(BL41:BL42)</f>
        <v>0</v>
      </c>
      <c r="BM43" s="26">
        <f t="shared" ref="BM43" si="527">SUM(BM41:BM42)</f>
        <v>0</v>
      </c>
      <c r="BN43" s="26">
        <f t="shared" ref="BN43" si="528">SUM(BN41:BN42)</f>
        <v>0</v>
      </c>
      <c r="BO43" s="26">
        <f t="shared" ref="BO43" si="529">SUM(BO41:BO42)</f>
        <v>0</v>
      </c>
      <c r="BP43" s="26">
        <f t="shared" ref="BP43" si="530">SUM(BP41:BP42)</f>
        <v>0</v>
      </c>
      <c r="BQ43" s="26">
        <f t="shared" ref="BQ43" si="531">SUM(BQ41:BQ42)</f>
        <v>0</v>
      </c>
      <c r="BR43" s="26">
        <f t="shared" ref="BR43" si="532">SUM(BR41:BR42)</f>
        <v>0</v>
      </c>
    </row>
    <row r="44" spans="1:70" ht="12.75" customHeight="1" outlineLevel="3" x14ac:dyDescent="0.2">
      <c r="B44" s="38" t="s">
        <v>65</v>
      </c>
      <c r="C44" s="37" t="s">
        <v>64</v>
      </c>
      <c r="D44" s="40">
        <f t="shared" ref="D44:D66" si="533">SUM(E44:P44)</f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176">
        <v>0</v>
      </c>
      <c r="Q44" s="191">
        <f t="shared" ref="Q44:Q66" si="534">SUM(R44:AC44)</f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  <c r="AA44" s="40">
        <v>0</v>
      </c>
      <c r="AB44" s="40">
        <v>0</v>
      </c>
      <c r="AC44" s="176">
        <v>0</v>
      </c>
      <c r="AD44" s="225">
        <f t="shared" ref="AD44:AD66" si="535">SUM(AE44:AP44)</f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0</v>
      </c>
      <c r="AP44" s="208">
        <v>0</v>
      </c>
      <c r="AQ44" s="168">
        <f t="shared" si="3"/>
        <v>0</v>
      </c>
      <c r="AR44" s="40"/>
      <c r="AS44" s="40">
        <v>0</v>
      </c>
      <c r="AT44" s="40">
        <v>0</v>
      </c>
      <c r="AU44" s="40">
        <v>0</v>
      </c>
      <c r="AV44" s="40">
        <v>0</v>
      </c>
      <c r="AW44" s="40">
        <v>0</v>
      </c>
      <c r="AX44" s="40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176">
        <v>0</v>
      </c>
      <c r="BE44" s="191">
        <f t="shared" si="4"/>
        <v>0</v>
      </c>
      <c r="BF44" s="40"/>
      <c r="BG44" s="40">
        <v>0</v>
      </c>
      <c r="BH44" s="40">
        <v>0</v>
      </c>
      <c r="BI44" s="40">
        <v>0</v>
      </c>
      <c r="BJ44" s="40">
        <v>0</v>
      </c>
      <c r="BK44" s="40">
        <v>0</v>
      </c>
      <c r="BL44" s="40">
        <v>0</v>
      </c>
      <c r="BM44" s="40">
        <v>0</v>
      </c>
      <c r="BN44" s="40">
        <v>0</v>
      </c>
      <c r="BO44" s="40">
        <v>0</v>
      </c>
      <c r="BP44" s="40">
        <v>0</v>
      </c>
      <c r="BQ44" s="40">
        <v>0</v>
      </c>
      <c r="BR44" s="40">
        <v>0</v>
      </c>
    </row>
    <row r="45" spans="1:70" ht="12.75" customHeight="1" outlineLevel="3" x14ac:dyDescent="0.2">
      <c r="B45" s="38" t="s">
        <v>63</v>
      </c>
      <c r="C45" s="37" t="s">
        <v>62</v>
      </c>
      <c r="D45" s="40">
        <f t="shared" si="533"/>
        <v>0</v>
      </c>
      <c r="E45" s="40">
        <v>0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176">
        <v>0</v>
      </c>
      <c r="Q45" s="191">
        <f t="shared" si="534"/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  <c r="AA45" s="40">
        <v>0</v>
      </c>
      <c r="AB45" s="40">
        <v>0</v>
      </c>
      <c r="AC45" s="176">
        <v>0</v>
      </c>
      <c r="AD45" s="225">
        <f t="shared" si="535"/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208">
        <v>0</v>
      </c>
      <c r="AQ45" s="168">
        <f t="shared" si="3"/>
        <v>0</v>
      </c>
      <c r="AR45" s="40"/>
      <c r="AS45" s="40">
        <v>0</v>
      </c>
      <c r="AT45" s="40">
        <v>0</v>
      </c>
      <c r="AU45" s="40">
        <v>0</v>
      </c>
      <c r="AV45" s="40">
        <v>0</v>
      </c>
      <c r="AW45" s="40">
        <v>0</v>
      </c>
      <c r="AX45" s="40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176">
        <v>0</v>
      </c>
      <c r="BE45" s="191">
        <f t="shared" si="4"/>
        <v>0</v>
      </c>
      <c r="BF45" s="40"/>
      <c r="BG45" s="40">
        <v>0</v>
      </c>
      <c r="BH45" s="40">
        <v>0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0">
        <v>0</v>
      </c>
      <c r="BP45" s="40">
        <v>0</v>
      </c>
      <c r="BQ45" s="40">
        <v>0</v>
      </c>
      <c r="BR45" s="40">
        <v>0</v>
      </c>
    </row>
    <row r="46" spans="1:70" s="6" customFormat="1" outlineLevel="2" x14ac:dyDescent="0.2">
      <c r="A46" s="30"/>
      <c r="B46" s="29" t="s">
        <v>61</v>
      </c>
      <c r="C46" s="42" t="s">
        <v>60</v>
      </c>
      <c r="D46" s="26">
        <f t="shared" si="533"/>
        <v>0</v>
      </c>
      <c r="E46" s="26">
        <f>SUM(E44:E45)</f>
        <v>0</v>
      </c>
      <c r="F46" s="26">
        <f>SUM(F44:F45)</f>
        <v>0</v>
      </c>
      <c r="G46" s="26">
        <f t="shared" ref="G46:L46" si="536">SUM(G44:G45)</f>
        <v>0</v>
      </c>
      <c r="H46" s="26">
        <f t="shared" si="536"/>
        <v>0</v>
      </c>
      <c r="I46" s="26">
        <f t="shared" si="536"/>
        <v>0</v>
      </c>
      <c r="J46" s="26">
        <f t="shared" si="536"/>
        <v>0</v>
      </c>
      <c r="K46" s="26">
        <f t="shared" si="536"/>
        <v>0</v>
      </c>
      <c r="L46" s="26">
        <f t="shared" si="536"/>
        <v>0</v>
      </c>
      <c r="M46" s="26">
        <f t="shared" ref="M46" si="537">SUM(M44:M45)</f>
        <v>0</v>
      </c>
      <c r="N46" s="26">
        <f t="shared" ref="N46" si="538">SUM(N44:N45)</f>
        <v>0</v>
      </c>
      <c r="O46" s="26">
        <f t="shared" ref="O46" si="539">SUM(O44:O45)</f>
        <v>0</v>
      </c>
      <c r="P46" s="177">
        <f t="shared" ref="P46" si="540">SUM(P44:P45)</f>
        <v>0</v>
      </c>
      <c r="Q46" s="192">
        <f t="shared" si="534"/>
        <v>0</v>
      </c>
      <c r="R46" s="26">
        <f>SUM(R44:R45)</f>
        <v>0</v>
      </c>
      <c r="S46" s="26">
        <f>SUM(S44:S45)</f>
        <v>0</v>
      </c>
      <c r="T46" s="26">
        <f t="shared" ref="T46" si="541">SUM(T44:T45)</f>
        <v>0</v>
      </c>
      <c r="U46" s="26">
        <f t="shared" ref="U46" si="542">SUM(U44:U45)</f>
        <v>0</v>
      </c>
      <c r="V46" s="26">
        <f t="shared" ref="V46" si="543">SUM(V44:V45)</f>
        <v>0</v>
      </c>
      <c r="W46" s="26">
        <f t="shared" ref="W46" si="544">SUM(W44:W45)</f>
        <v>0</v>
      </c>
      <c r="X46" s="26">
        <f t="shared" ref="X46" si="545">SUM(X44:X45)</f>
        <v>0</v>
      </c>
      <c r="Y46" s="26">
        <f t="shared" ref="Y46:Z46" si="546">SUM(Y44:Y45)</f>
        <v>0</v>
      </c>
      <c r="Z46" s="26">
        <f t="shared" si="546"/>
        <v>0</v>
      </c>
      <c r="AA46" s="26">
        <f t="shared" ref="AA46" si="547">SUM(AA44:AA45)</f>
        <v>0</v>
      </c>
      <c r="AB46" s="26">
        <f t="shared" ref="AB46" si="548">SUM(AB44:AB45)</f>
        <v>0</v>
      </c>
      <c r="AC46" s="177">
        <f t="shared" ref="AC46" si="549">SUM(AC44:AC45)</f>
        <v>0</v>
      </c>
      <c r="AD46" s="226">
        <f t="shared" si="535"/>
        <v>0</v>
      </c>
      <c r="AE46" s="26">
        <f>SUM(AE44:AE45)</f>
        <v>0</v>
      </c>
      <c r="AF46" s="26">
        <f>SUM(AF44:AF45)</f>
        <v>0</v>
      </c>
      <c r="AG46" s="26">
        <f t="shared" ref="AG46" si="550">SUM(AG44:AG45)</f>
        <v>0</v>
      </c>
      <c r="AH46" s="26">
        <f t="shared" ref="AH46" si="551">SUM(AH44:AH45)</f>
        <v>0</v>
      </c>
      <c r="AI46" s="26">
        <f t="shared" ref="AI46" si="552">SUM(AI44:AI45)</f>
        <v>0</v>
      </c>
      <c r="AJ46" s="26">
        <f t="shared" ref="AJ46" si="553">SUM(AJ44:AJ45)</f>
        <v>0</v>
      </c>
      <c r="AK46" s="26">
        <f t="shared" ref="AK46" si="554">SUM(AK44:AK45)</f>
        <v>0</v>
      </c>
      <c r="AL46" s="26">
        <f t="shared" ref="AL46" si="555">SUM(AL44:AL45)</f>
        <v>0</v>
      </c>
      <c r="AM46" s="26">
        <f t="shared" ref="AM46" si="556">SUM(AM44:AM45)</f>
        <v>0</v>
      </c>
      <c r="AN46" s="26">
        <f t="shared" ref="AN46" si="557">SUM(AN44:AN45)</f>
        <v>0</v>
      </c>
      <c r="AO46" s="26">
        <f t="shared" ref="AO46" si="558">SUM(AO44:AO45)</f>
        <v>0</v>
      </c>
      <c r="AP46" s="209">
        <f t="shared" ref="AP46" si="559">SUM(AP44:AP45)</f>
        <v>0</v>
      </c>
      <c r="AQ46" s="169">
        <f t="shared" si="3"/>
        <v>0</v>
      </c>
      <c r="AR46" s="26"/>
      <c r="AS46" s="26">
        <f>SUM(AS44:AS45)</f>
        <v>0</v>
      </c>
      <c r="AT46" s="26">
        <f>SUM(AT44:AT45)</f>
        <v>0</v>
      </c>
      <c r="AU46" s="26">
        <f t="shared" ref="AU46" si="560">SUM(AU44:AU45)</f>
        <v>0</v>
      </c>
      <c r="AV46" s="26">
        <f t="shared" ref="AV46" si="561">SUM(AV44:AV45)</f>
        <v>0</v>
      </c>
      <c r="AW46" s="26">
        <f t="shared" ref="AW46" si="562">SUM(AW44:AW45)</f>
        <v>0</v>
      </c>
      <c r="AX46" s="26">
        <f t="shared" ref="AX46" si="563">SUM(AX44:AX45)</f>
        <v>0</v>
      </c>
      <c r="AY46" s="26">
        <f t="shared" ref="AY46" si="564">SUM(AY44:AY45)</f>
        <v>0</v>
      </c>
      <c r="AZ46" s="26">
        <f t="shared" ref="AZ46" si="565">SUM(AZ44:AZ45)</f>
        <v>0</v>
      </c>
      <c r="BA46" s="26">
        <f t="shared" ref="BA46" si="566">SUM(BA44:BA45)</f>
        <v>0</v>
      </c>
      <c r="BB46" s="26">
        <f t="shared" ref="BB46" si="567">SUM(BB44:BB45)</f>
        <v>0</v>
      </c>
      <c r="BC46" s="26">
        <f t="shared" ref="BC46" si="568">SUM(BC44:BC45)</f>
        <v>0</v>
      </c>
      <c r="BD46" s="177">
        <f t="shared" ref="BD46" si="569">SUM(BD44:BD45)</f>
        <v>0</v>
      </c>
      <c r="BE46" s="192">
        <f t="shared" si="4"/>
        <v>0</v>
      </c>
      <c r="BF46" s="26"/>
      <c r="BG46" s="26">
        <f>SUM(BG44:BG45)</f>
        <v>0</v>
      </c>
      <c r="BH46" s="26">
        <f>SUM(BH44:BH45)</f>
        <v>0</v>
      </c>
      <c r="BI46" s="26">
        <f t="shared" ref="BI46" si="570">SUM(BI44:BI45)</f>
        <v>0</v>
      </c>
      <c r="BJ46" s="26">
        <f t="shared" ref="BJ46" si="571">SUM(BJ44:BJ45)</f>
        <v>0</v>
      </c>
      <c r="BK46" s="26">
        <f t="shared" ref="BK46" si="572">SUM(BK44:BK45)</f>
        <v>0</v>
      </c>
      <c r="BL46" s="26">
        <f t="shared" ref="BL46" si="573">SUM(BL44:BL45)</f>
        <v>0</v>
      </c>
      <c r="BM46" s="26">
        <f t="shared" ref="BM46" si="574">SUM(BM44:BM45)</f>
        <v>0</v>
      </c>
      <c r="BN46" s="26">
        <f t="shared" ref="BN46" si="575">SUM(BN44:BN45)</f>
        <v>0</v>
      </c>
      <c r="BO46" s="26">
        <f t="shared" ref="BO46" si="576">SUM(BO44:BO45)</f>
        <v>0</v>
      </c>
      <c r="BP46" s="26">
        <f t="shared" ref="BP46" si="577">SUM(BP44:BP45)</f>
        <v>0</v>
      </c>
      <c r="BQ46" s="26">
        <f t="shared" ref="BQ46" si="578">SUM(BQ44:BQ45)</f>
        <v>0</v>
      </c>
      <c r="BR46" s="26">
        <f t="shared" ref="BR46" si="579">SUM(BR44:BR45)</f>
        <v>0</v>
      </c>
    </row>
    <row r="47" spans="1:70" ht="12.75" customHeight="1" outlineLevel="3" x14ac:dyDescent="0.2">
      <c r="B47" s="38" t="s">
        <v>59</v>
      </c>
      <c r="C47" s="37" t="s">
        <v>58</v>
      </c>
      <c r="D47" s="40">
        <f t="shared" si="533"/>
        <v>123367750</v>
      </c>
      <c r="E47" s="40">
        <v>0</v>
      </c>
      <c r="F47" s="40">
        <f>33645750/3</f>
        <v>11215250</v>
      </c>
      <c r="G47" s="40">
        <f t="shared" ref="G47:P47" si="580">33645750/3</f>
        <v>11215250</v>
      </c>
      <c r="H47" s="40">
        <f t="shared" si="580"/>
        <v>11215250</v>
      </c>
      <c r="I47" s="40">
        <f t="shared" si="580"/>
        <v>11215250</v>
      </c>
      <c r="J47" s="40">
        <f t="shared" si="580"/>
        <v>11215250</v>
      </c>
      <c r="K47" s="40">
        <f t="shared" si="580"/>
        <v>11215250</v>
      </c>
      <c r="L47" s="40">
        <f t="shared" si="580"/>
        <v>11215250</v>
      </c>
      <c r="M47" s="40">
        <f t="shared" si="580"/>
        <v>11215250</v>
      </c>
      <c r="N47" s="40">
        <f t="shared" si="580"/>
        <v>11215250</v>
      </c>
      <c r="O47" s="40">
        <f t="shared" si="580"/>
        <v>11215250</v>
      </c>
      <c r="P47" s="176">
        <f t="shared" si="580"/>
        <v>11215250</v>
      </c>
      <c r="Q47" s="191">
        <f t="shared" si="534"/>
        <v>123367750</v>
      </c>
      <c r="R47" s="40">
        <v>0</v>
      </c>
      <c r="S47" s="40">
        <f>33645750/3</f>
        <v>11215250</v>
      </c>
      <c r="T47" s="40">
        <f t="shared" ref="T47:AC47" si="581">33645750/3</f>
        <v>11215250</v>
      </c>
      <c r="U47" s="40">
        <f t="shared" si="581"/>
        <v>11215250</v>
      </c>
      <c r="V47" s="40">
        <f t="shared" si="581"/>
        <v>11215250</v>
      </c>
      <c r="W47" s="40">
        <f t="shared" si="581"/>
        <v>11215250</v>
      </c>
      <c r="X47" s="40">
        <f t="shared" si="581"/>
        <v>11215250</v>
      </c>
      <c r="Y47" s="40">
        <f t="shared" si="581"/>
        <v>11215250</v>
      </c>
      <c r="Z47" s="40">
        <f t="shared" si="581"/>
        <v>11215250</v>
      </c>
      <c r="AA47" s="40">
        <f t="shared" si="581"/>
        <v>11215250</v>
      </c>
      <c r="AB47" s="40">
        <f t="shared" si="581"/>
        <v>11215250</v>
      </c>
      <c r="AC47" s="176">
        <f t="shared" si="581"/>
        <v>11215250</v>
      </c>
      <c r="AD47" s="225">
        <f t="shared" si="535"/>
        <v>123367750</v>
      </c>
      <c r="AE47" s="40">
        <v>0</v>
      </c>
      <c r="AF47" s="40">
        <f>33645750/3</f>
        <v>11215250</v>
      </c>
      <c r="AG47" s="40">
        <f t="shared" ref="AG47:AP47" si="582">33645750/3</f>
        <v>11215250</v>
      </c>
      <c r="AH47" s="40">
        <f t="shared" si="582"/>
        <v>11215250</v>
      </c>
      <c r="AI47" s="40">
        <f t="shared" si="582"/>
        <v>11215250</v>
      </c>
      <c r="AJ47" s="40">
        <f t="shared" si="582"/>
        <v>11215250</v>
      </c>
      <c r="AK47" s="40">
        <f t="shared" si="582"/>
        <v>11215250</v>
      </c>
      <c r="AL47" s="40">
        <f t="shared" si="582"/>
        <v>11215250</v>
      </c>
      <c r="AM47" s="40">
        <f t="shared" si="582"/>
        <v>11215250</v>
      </c>
      <c r="AN47" s="40">
        <f t="shared" si="582"/>
        <v>11215250</v>
      </c>
      <c r="AO47" s="40">
        <f t="shared" si="582"/>
        <v>11215250</v>
      </c>
      <c r="AP47" s="208">
        <f t="shared" si="582"/>
        <v>11215250</v>
      </c>
      <c r="AQ47" s="168">
        <f t="shared" si="3"/>
        <v>0</v>
      </c>
      <c r="AR47" s="40"/>
      <c r="AS47" s="40">
        <v>0</v>
      </c>
      <c r="AT47" s="40">
        <f>33645750/3</f>
        <v>11215250</v>
      </c>
      <c r="AU47" s="40">
        <f t="shared" ref="AU47:BD47" si="583">33645750/3</f>
        <v>11215250</v>
      </c>
      <c r="AV47" s="40">
        <f t="shared" si="583"/>
        <v>11215250</v>
      </c>
      <c r="AW47" s="40">
        <f t="shared" si="583"/>
        <v>11215250</v>
      </c>
      <c r="AX47" s="40">
        <f t="shared" si="583"/>
        <v>11215250</v>
      </c>
      <c r="AY47" s="40">
        <f t="shared" si="583"/>
        <v>11215250</v>
      </c>
      <c r="AZ47" s="40">
        <f t="shared" si="583"/>
        <v>11215250</v>
      </c>
      <c r="BA47" s="40">
        <f t="shared" si="583"/>
        <v>11215250</v>
      </c>
      <c r="BB47" s="40">
        <f t="shared" si="583"/>
        <v>11215250</v>
      </c>
      <c r="BC47" s="40">
        <f t="shared" si="583"/>
        <v>11215250</v>
      </c>
      <c r="BD47" s="176">
        <f t="shared" si="583"/>
        <v>11215250</v>
      </c>
      <c r="BE47" s="191">
        <f t="shared" si="4"/>
        <v>0</v>
      </c>
      <c r="BF47" s="40"/>
      <c r="BG47" s="40">
        <v>0</v>
      </c>
      <c r="BH47" s="40">
        <f>33645750/3</f>
        <v>11215250</v>
      </c>
      <c r="BI47" s="40">
        <f t="shared" ref="BI47:BR47" si="584">33645750/3</f>
        <v>11215250</v>
      </c>
      <c r="BJ47" s="40">
        <f t="shared" si="584"/>
        <v>11215250</v>
      </c>
      <c r="BK47" s="40">
        <f t="shared" si="584"/>
        <v>11215250</v>
      </c>
      <c r="BL47" s="40">
        <f t="shared" si="584"/>
        <v>11215250</v>
      </c>
      <c r="BM47" s="40">
        <f t="shared" si="584"/>
        <v>11215250</v>
      </c>
      <c r="BN47" s="40">
        <f t="shared" si="584"/>
        <v>11215250</v>
      </c>
      <c r="BO47" s="40">
        <f t="shared" si="584"/>
        <v>11215250</v>
      </c>
      <c r="BP47" s="40">
        <f t="shared" si="584"/>
        <v>11215250</v>
      </c>
      <c r="BQ47" s="40">
        <f t="shared" si="584"/>
        <v>11215250</v>
      </c>
      <c r="BR47" s="40">
        <f t="shared" si="584"/>
        <v>11215250</v>
      </c>
    </row>
    <row r="48" spans="1:70" ht="12.75" customHeight="1" outlineLevel="3" x14ac:dyDescent="0.2">
      <c r="B48" s="38" t="s">
        <v>57</v>
      </c>
      <c r="C48" s="37" t="s">
        <v>56</v>
      </c>
      <c r="D48" s="35">
        <f t="shared" si="533"/>
        <v>22823033.75</v>
      </c>
      <c r="E48" s="35">
        <v>0</v>
      </c>
      <c r="F48" s="35">
        <f>6224463.75/3</f>
        <v>2074821.25</v>
      </c>
      <c r="G48" s="35">
        <f t="shared" ref="G48:P48" si="585">6224463.75/3</f>
        <v>2074821.25</v>
      </c>
      <c r="H48" s="35">
        <f t="shared" si="585"/>
        <v>2074821.25</v>
      </c>
      <c r="I48" s="35">
        <f t="shared" si="585"/>
        <v>2074821.25</v>
      </c>
      <c r="J48" s="35">
        <f t="shared" si="585"/>
        <v>2074821.25</v>
      </c>
      <c r="K48" s="35">
        <f t="shared" si="585"/>
        <v>2074821.25</v>
      </c>
      <c r="L48" s="35">
        <f t="shared" si="585"/>
        <v>2074821.25</v>
      </c>
      <c r="M48" s="35">
        <f t="shared" si="585"/>
        <v>2074821.25</v>
      </c>
      <c r="N48" s="35">
        <f t="shared" si="585"/>
        <v>2074821.25</v>
      </c>
      <c r="O48" s="35">
        <f t="shared" si="585"/>
        <v>2074821.25</v>
      </c>
      <c r="P48" s="179">
        <f t="shared" si="585"/>
        <v>2074821.25</v>
      </c>
      <c r="Q48" s="194">
        <f t="shared" si="534"/>
        <v>22823033.75</v>
      </c>
      <c r="R48" s="35">
        <v>0</v>
      </c>
      <c r="S48" s="35">
        <f>6224463.75/3</f>
        <v>2074821.25</v>
      </c>
      <c r="T48" s="35">
        <f t="shared" ref="T48:AC48" si="586">6224463.75/3</f>
        <v>2074821.25</v>
      </c>
      <c r="U48" s="35">
        <f t="shared" si="586"/>
        <v>2074821.25</v>
      </c>
      <c r="V48" s="35">
        <f t="shared" si="586"/>
        <v>2074821.25</v>
      </c>
      <c r="W48" s="35">
        <f t="shared" si="586"/>
        <v>2074821.25</v>
      </c>
      <c r="X48" s="35">
        <f t="shared" si="586"/>
        <v>2074821.25</v>
      </c>
      <c r="Y48" s="35">
        <f t="shared" si="586"/>
        <v>2074821.25</v>
      </c>
      <c r="Z48" s="35">
        <f t="shared" si="586"/>
        <v>2074821.25</v>
      </c>
      <c r="AA48" s="35">
        <f t="shared" si="586"/>
        <v>2074821.25</v>
      </c>
      <c r="AB48" s="35">
        <f t="shared" si="586"/>
        <v>2074821.25</v>
      </c>
      <c r="AC48" s="179">
        <f t="shared" si="586"/>
        <v>2074821.25</v>
      </c>
      <c r="AD48" s="225">
        <f t="shared" si="535"/>
        <v>22823033.75</v>
      </c>
      <c r="AE48" s="35">
        <v>0</v>
      </c>
      <c r="AF48" s="35">
        <f>6224463.75/3</f>
        <v>2074821.25</v>
      </c>
      <c r="AG48" s="35">
        <f t="shared" ref="AG48:AP48" si="587">6224463.75/3</f>
        <v>2074821.25</v>
      </c>
      <c r="AH48" s="35">
        <f t="shared" si="587"/>
        <v>2074821.25</v>
      </c>
      <c r="AI48" s="35">
        <f t="shared" si="587"/>
        <v>2074821.25</v>
      </c>
      <c r="AJ48" s="35">
        <f t="shared" si="587"/>
        <v>2074821.25</v>
      </c>
      <c r="AK48" s="35">
        <f t="shared" si="587"/>
        <v>2074821.25</v>
      </c>
      <c r="AL48" s="35">
        <f t="shared" si="587"/>
        <v>2074821.25</v>
      </c>
      <c r="AM48" s="35">
        <f t="shared" si="587"/>
        <v>2074821.25</v>
      </c>
      <c r="AN48" s="35">
        <f t="shared" si="587"/>
        <v>2074821.25</v>
      </c>
      <c r="AO48" s="35">
        <f t="shared" si="587"/>
        <v>2074821.25</v>
      </c>
      <c r="AP48" s="211">
        <f t="shared" si="587"/>
        <v>2074821.25</v>
      </c>
      <c r="AQ48" s="171">
        <f t="shared" si="3"/>
        <v>0</v>
      </c>
      <c r="AR48" s="35"/>
      <c r="AS48" s="35">
        <v>0</v>
      </c>
      <c r="AT48" s="35">
        <f>6224463.75/3</f>
        <v>2074821.25</v>
      </c>
      <c r="AU48" s="35">
        <f t="shared" ref="AU48:BD48" si="588">6224463.75/3</f>
        <v>2074821.25</v>
      </c>
      <c r="AV48" s="35">
        <f t="shared" si="588"/>
        <v>2074821.25</v>
      </c>
      <c r="AW48" s="35">
        <f t="shared" si="588"/>
        <v>2074821.25</v>
      </c>
      <c r="AX48" s="35">
        <f t="shared" si="588"/>
        <v>2074821.25</v>
      </c>
      <c r="AY48" s="35">
        <f t="shared" si="588"/>
        <v>2074821.25</v>
      </c>
      <c r="AZ48" s="35">
        <f t="shared" si="588"/>
        <v>2074821.25</v>
      </c>
      <c r="BA48" s="35">
        <f t="shared" si="588"/>
        <v>2074821.25</v>
      </c>
      <c r="BB48" s="35">
        <f t="shared" si="588"/>
        <v>2074821.25</v>
      </c>
      <c r="BC48" s="35">
        <f t="shared" si="588"/>
        <v>2074821.25</v>
      </c>
      <c r="BD48" s="179">
        <f t="shared" si="588"/>
        <v>2074821.25</v>
      </c>
      <c r="BE48" s="194">
        <f t="shared" si="4"/>
        <v>0</v>
      </c>
      <c r="BF48" s="35"/>
      <c r="BG48" s="35">
        <v>0</v>
      </c>
      <c r="BH48" s="35">
        <f>6224463.75/3</f>
        <v>2074821.25</v>
      </c>
      <c r="BI48" s="35">
        <f t="shared" ref="BI48:BR48" si="589">6224463.75/3</f>
        <v>2074821.25</v>
      </c>
      <c r="BJ48" s="35">
        <f t="shared" si="589"/>
        <v>2074821.25</v>
      </c>
      <c r="BK48" s="35">
        <f t="shared" si="589"/>
        <v>2074821.25</v>
      </c>
      <c r="BL48" s="35">
        <f t="shared" si="589"/>
        <v>2074821.25</v>
      </c>
      <c r="BM48" s="35">
        <f t="shared" si="589"/>
        <v>2074821.25</v>
      </c>
      <c r="BN48" s="35">
        <f t="shared" si="589"/>
        <v>2074821.25</v>
      </c>
      <c r="BO48" s="35">
        <f t="shared" si="589"/>
        <v>2074821.25</v>
      </c>
      <c r="BP48" s="35">
        <f t="shared" si="589"/>
        <v>2074821.25</v>
      </c>
      <c r="BQ48" s="35">
        <f t="shared" si="589"/>
        <v>2074821.25</v>
      </c>
      <c r="BR48" s="35">
        <f t="shared" si="589"/>
        <v>2074821.25</v>
      </c>
    </row>
    <row r="49" spans="1:70" s="6" customFormat="1" outlineLevel="2" x14ac:dyDescent="0.2">
      <c r="A49" s="30"/>
      <c r="B49" s="29" t="s">
        <v>55</v>
      </c>
      <c r="C49" s="42" t="s">
        <v>54</v>
      </c>
      <c r="D49" s="26">
        <f t="shared" si="533"/>
        <v>146190783.75</v>
      </c>
      <c r="E49" s="26">
        <f>SUM(E47:E48)</f>
        <v>0</v>
      </c>
      <c r="F49" s="26">
        <f>SUM(F47:F48)</f>
        <v>13290071.25</v>
      </c>
      <c r="G49" s="26">
        <f t="shared" ref="G49:L49" si="590">SUM(G47:G48)</f>
        <v>13290071.25</v>
      </c>
      <c r="H49" s="26">
        <f t="shared" si="590"/>
        <v>13290071.25</v>
      </c>
      <c r="I49" s="26">
        <f t="shared" si="590"/>
        <v>13290071.25</v>
      </c>
      <c r="J49" s="26">
        <f t="shared" si="590"/>
        <v>13290071.25</v>
      </c>
      <c r="K49" s="26">
        <f t="shared" si="590"/>
        <v>13290071.25</v>
      </c>
      <c r="L49" s="26">
        <f t="shared" si="590"/>
        <v>13290071.25</v>
      </c>
      <c r="M49" s="26">
        <f t="shared" ref="M49" si="591">SUM(M47:M48)</f>
        <v>13290071.25</v>
      </c>
      <c r="N49" s="26">
        <f t="shared" ref="N49" si="592">SUM(N47:N48)</f>
        <v>13290071.25</v>
      </c>
      <c r="O49" s="26">
        <f t="shared" ref="O49" si="593">SUM(O47:O48)</f>
        <v>13290071.25</v>
      </c>
      <c r="P49" s="177">
        <f t="shared" ref="P49" si="594">SUM(P47:P48)</f>
        <v>13290071.25</v>
      </c>
      <c r="Q49" s="192">
        <f t="shared" si="534"/>
        <v>146190783.75</v>
      </c>
      <c r="R49" s="26">
        <f>SUM(R47:R48)</f>
        <v>0</v>
      </c>
      <c r="S49" s="26">
        <f>SUM(S47:S48)</f>
        <v>13290071.25</v>
      </c>
      <c r="T49" s="26">
        <f t="shared" ref="T49" si="595">SUM(T47:T48)</f>
        <v>13290071.25</v>
      </c>
      <c r="U49" s="26">
        <f t="shared" ref="U49" si="596">SUM(U47:U48)</f>
        <v>13290071.25</v>
      </c>
      <c r="V49" s="26">
        <f t="shared" ref="V49" si="597">SUM(V47:V48)</f>
        <v>13290071.25</v>
      </c>
      <c r="W49" s="26">
        <f t="shared" ref="W49" si="598">SUM(W47:W48)</f>
        <v>13290071.25</v>
      </c>
      <c r="X49" s="26">
        <f t="shared" ref="X49" si="599">SUM(X47:X48)</f>
        <v>13290071.25</v>
      </c>
      <c r="Y49" s="26">
        <f t="shared" ref="Y49:Z49" si="600">SUM(Y47:Y48)</f>
        <v>13290071.25</v>
      </c>
      <c r="Z49" s="26">
        <f t="shared" si="600"/>
        <v>13290071.25</v>
      </c>
      <c r="AA49" s="26">
        <f t="shared" ref="AA49" si="601">SUM(AA47:AA48)</f>
        <v>13290071.25</v>
      </c>
      <c r="AB49" s="26">
        <f t="shared" ref="AB49" si="602">SUM(AB47:AB48)</f>
        <v>13290071.25</v>
      </c>
      <c r="AC49" s="177">
        <f t="shared" ref="AC49" si="603">SUM(AC47:AC48)</f>
        <v>13290071.25</v>
      </c>
      <c r="AD49" s="226">
        <f t="shared" si="535"/>
        <v>146190783.75</v>
      </c>
      <c r="AE49" s="26">
        <f>SUM(AE47:AE48)</f>
        <v>0</v>
      </c>
      <c r="AF49" s="26">
        <f>SUM(AF47:AF48)</f>
        <v>13290071.25</v>
      </c>
      <c r="AG49" s="26">
        <f t="shared" ref="AG49" si="604">SUM(AG47:AG48)</f>
        <v>13290071.25</v>
      </c>
      <c r="AH49" s="26">
        <f t="shared" ref="AH49" si="605">SUM(AH47:AH48)</f>
        <v>13290071.25</v>
      </c>
      <c r="AI49" s="26">
        <f t="shared" ref="AI49" si="606">SUM(AI47:AI48)</f>
        <v>13290071.25</v>
      </c>
      <c r="AJ49" s="26">
        <f t="shared" ref="AJ49" si="607">SUM(AJ47:AJ48)</f>
        <v>13290071.25</v>
      </c>
      <c r="AK49" s="26">
        <f t="shared" ref="AK49" si="608">SUM(AK47:AK48)</f>
        <v>13290071.25</v>
      </c>
      <c r="AL49" s="26">
        <f t="shared" ref="AL49" si="609">SUM(AL47:AL48)</f>
        <v>13290071.25</v>
      </c>
      <c r="AM49" s="26">
        <f t="shared" ref="AM49" si="610">SUM(AM47:AM48)</f>
        <v>13290071.25</v>
      </c>
      <c r="AN49" s="26">
        <f t="shared" ref="AN49" si="611">SUM(AN47:AN48)</f>
        <v>13290071.25</v>
      </c>
      <c r="AO49" s="26">
        <f t="shared" ref="AO49" si="612">SUM(AO47:AO48)</f>
        <v>13290071.25</v>
      </c>
      <c r="AP49" s="209">
        <f t="shared" ref="AP49" si="613">SUM(AP47:AP48)</f>
        <v>13290071.25</v>
      </c>
      <c r="AQ49" s="169">
        <f t="shared" si="3"/>
        <v>0</v>
      </c>
      <c r="AR49" s="26"/>
      <c r="AS49" s="26">
        <f>SUM(AS47:AS48)</f>
        <v>0</v>
      </c>
      <c r="AT49" s="26">
        <f>SUM(AT47:AT48)</f>
        <v>13290071.25</v>
      </c>
      <c r="AU49" s="26">
        <f t="shared" ref="AU49" si="614">SUM(AU47:AU48)</f>
        <v>13290071.25</v>
      </c>
      <c r="AV49" s="26">
        <f t="shared" ref="AV49" si="615">SUM(AV47:AV48)</f>
        <v>13290071.25</v>
      </c>
      <c r="AW49" s="26">
        <f t="shared" ref="AW49" si="616">SUM(AW47:AW48)</f>
        <v>13290071.25</v>
      </c>
      <c r="AX49" s="26">
        <f t="shared" ref="AX49" si="617">SUM(AX47:AX48)</f>
        <v>13290071.25</v>
      </c>
      <c r="AY49" s="26">
        <f t="shared" ref="AY49" si="618">SUM(AY47:AY48)</f>
        <v>13290071.25</v>
      </c>
      <c r="AZ49" s="26">
        <f t="shared" ref="AZ49" si="619">SUM(AZ47:AZ48)</f>
        <v>13290071.25</v>
      </c>
      <c r="BA49" s="26">
        <f t="shared" ref="BA49" si="620">SUM(BA47:BA48)</f>
        <v>13290071.25</v>
      </c>
      <c r="BB49" s="26">
        <f t="shared" ref="BB49" si="621">SUM(BB47:BB48)</f>
        <v>13290071.25</v>
      </c>
      <c r="BC49" s="26">
        <f t="shared" ref="BC49" si="622">SUM(BC47:BC48)</f>
        <v>13290071.25</v>
      </c>
      <c r="BD49" s="177">
        <f t="shared" ref="BD49" si="623">SUM(BD47:BD48)</f>
        <v>13290071.25</v>
      </c>
      <c r="BE49" s="192">
        <f t="shared" si="4"/>
        <v>0</v>
      </c>
      <c r="BF49" s="26"/>
      <c r="BG49" s="26">
        <f>SUM(BG47:BG48)</f>
        <v>0</v>
      </c>
      <c r="BH49" s="26">
        <f>SUM(BH47:BH48)</f>
        <v>13290071.25</v>
      </c>
      <c r="BI49" s="26">
        <f t="shared" ref="BI49" si="624">SUM(BI47:BI48)</f>
        <v>13290071.25</v>
      </c>
      <c r="BJ49" s="26">
        <f t="shared" ref="BJ49" si="625">SUM(BJ47:BJ48)</f>
        <v>13290071.25</v>
      </c>
      <c r="BK49" s="26">
        <f t="shared" ref="BK49" si="626">SUM(BK47:BK48)</f>
        <v>13290071.25</v>
      </c>
      <c r="BL49" s="26">
        <f t="shared" ref="BL49" si="627">SUM(BL47:BL48)</f>
        <v>13290071.25</v>
      </c>
      <c r="BM49" s="26">
        <f t="shared" ref="BM49" si="628">SUM(BM47:BM48)</f>
        <v>13290071.25</v>
      </c>
      <c r="BN49" s="26">
        <f t="shared" ref="BN49" si="629">SUM(BN47:BN48)</f>
        <v>13290071.25</v>
      </c>
      <c r="BO49" s="26">
        <f t="shared" ref="BO49" si="630">SUM(BO47:BO48)</f>
        <v>13290071.25</v>
      </c>
      <c r="BP49" s="26">
        <f t="shared" ref="BP49" si="631">SUM(BP47:BP48)</f>
        <v>13290071.25</v>
      </c>
      <c r="BQ49" s="26">
        <f t="shared" ref="BQ49" si="632">SUM(BQ47:BQ48)</f>
        <v>13290071.25</v>
      </c>
      <c r="BR49" s="26">
        <f t="shared" ref="BR49" si="633">SUM(BR47:BR48)</f>
        <v>13290071.25</v>
      </c>
    </row>
    <row r="50" spans="1:70" s="6" customFormat="1" ht="14.45" customHeight="1" outlineLevel="1" x14ac:dyDescent="0.2">
      <c r="A50" s="30"/>
      <c r="B50" s="48" t="s">
        <v>53</v>
      </c>
      <c r="C50" s="47" t="s">
        <v>52</v>
      </c>
      <c r="D50" s="45">
        <f t="shared" si="533"/>
        <v>159480855</v>
      </c>
      <c r="E50" s="45">
        <f>E49+E46+E43</f>
        <v>13290071.25</v>
      </c>
      <c r="F50" s="45">
        <f>F49+F46+F43</f>
        <v>13290071.25</v>
      </c>
      <c r="G50" s="45">
        <f t="shared" ref="G50:L50" si="634">G49+G46+G43</f>
        <v>13290071.25</v>
      </c>
      <c r="H50" s="45">
        <f t="shared" si="634"/>
        <v>13290071.25</v>
      </c>
      <c r="I50" s="45">
        <f t="shared" si="634"/>
        <v>13290071.25</v>
      </c>
      <c r="J50" s="45">
        <f t="shared" si="634"/>
        <v>13290071.25</v>
      </c>
      <c r="K50" s="45">
        <f t="shared" si="634"/>
        <v>13290071.25</v>
      </c>
      <c r="L50" s="45">
        <f t="shared" si="634"/>
        <v>13290071.25</v>
      </c>
      <c r="M50" s="45">
        <f t="shared" ref="M50" si="635">M49+M46+M43</f>
        <v>13290071.25</v>
      </c>
      <c r="N50" s="45">
        <f t="shared" ref="N50" si="636">N49+N46+N43</f>
        <v>13290071.25</v>
      </c>
      <c r="O50" s="45">
        <f t="shared" ref="O50" si="637">O49+O46+O43</f>
        <v>13290071.25</v>
      </c>
      <c r="P50" s="178">
        <f t="shared" ref="P50" si="638">P49+P46+P43</f>
        <v>13290071.25</v>
      </c>
      <c r="Q50" s="193">
        <f t="shared" si="534"/>
        <v>159480855</v>
      </c>
      <c r="R50" s="45">
        <f>R49+R46+R43</f>
        <v>13290071.25</v>
      </c>
      <c r="S50" s="45">
        <f>S49+S46+S43</f>
        <v>13290071.25</v>
      </c>
      <c r="T50" s="45">
        <f t="shared" ref="T50" si="639">T49+T46+T43</f>
        <v>13290071.25</v>
      </c>
      <c r="U50" s="45">
        <f t="shared" ref="U50" si="640">U49+U46+U43</f>
        <v>13290071.25</v>
      </c>
      <c r="V50" s="45">
        <f t="shared" ref="V50" si="641">V49+V46+V43</f>
        <v>13290071.25</v>
      </c>
      <c r="W50" s="45">
        <f t="shared" ref="W50" si="642">W49+W46+W43</f>
        <v>13290071.25</v>
      </c>
      <c r="X50" s="45">
        <f t="shared" ref="X50" si="643">X49+X46+X43</f>
        <v>13290071.25</v>
      </c>
      <c r="Y50" s="45">
        <f t="shared" ref="Y50:Z50" si="644">Y49+Y46+Y43</f>
        <v>13290071.25</v>
      </c>
      <c r="Z50" s="45">
        <f t="shared" si="644"/>
        <v>13290071.25</v>
      </c>
      <c r="AA50" s="45">
        <f t="shared" ref="AA50" si="645">AA49+AA46+AA43</f>
        <v>13290071.25</v>
      </c>
      <c r="AB50" s="45">
        <f t="shared" ref="AB50" si="646">AB49+AB46+AB43</f>
        <v>13290071.25</v>
      </c>
      <c r="AC50" s="178">
        <f t="shared" ref="AC50" si="647">AC49+AC46+AC43</f>
        <v>13290071.25</v>
      </c>
      <c r="AD50" s="227">
        <f t="shared" si="535"/>
        <v>159480855</v>
      </c>
      <c r="AE50" s="45">
        <f>AE49+AE46+AE43</f>
        <v>13290071.25</v>
      </c>
      <c r="AF50" s="45">
        <f>AF49+AF46+AF43</f>
        <v>13290071.25</v>
      </c>
      <c r="AG50" s="45">
        <f t="shared" ref="AG50" si="648">AG49+AG46+AG43</f>
        <v>13290071.25</v>
      </c>
      <c r="AH50" s="45">
        <f t="shared" ref="AH50" si="649">AH49+AH46+AH43</f>
        <v>13290071.25</v>
      </c>
      <c r="AI50" s="45">
        <f t="shared" ref="AI50" si="650">AI49+AI46+AI43</f>
        <v>13290071.25</v>
      </c>
      <c r="AJ50" s="45">
        <f t="shared" ref="AJ50" si="651">AJ49+AJ46+AJ43</f>
        <v>13290071.25</v>
      </c>
      <c r="AK50" s="45">
        <f t="shared" ref="AK50" si="652">AK49+AK46+AK43</f>
        <v>13290071.25</v>
      </c>
      <c r="AL50" s="45">
        <f t="shared" ref="AL50" si="653">AL49+AL46+AL43</f>
        <v>13290071.25</v>
      </c>
      <c r="AM50" s="45">
        <f t="shared" ref="AM50" si="654">AM49+AM46+AM43</f>
        <v>13290071.25</v>
      </c>
      <c r="AN50" s="45">
        <f t="shared" ref="AN50" si="655">AN49+AN46+AN43</f>
        <v>13290071.25</v>
      </c>
      <c r="AO50" s="45">
        <f t="shared" ref="AO50" si="656">AO49+AO46+AO43</f>
        <v>13290071.25</v>
      </c>
      <c r="AP50" s="210">
        <f t="shared" ref="AP50" si="657">AP49+AP46+AP43</f>
        <v>13290071.25</v>
      </c>
      <c r="AQ50" s="170">
        <f t="shared" si="3"/>
        <v>0</v>
      </c>
      <c r="AR50" s="45"/>
      <c r="AS50" s="45">
        <f>AS49+AS46+AS43</f>
        <v>13290071.25</v>
      </c>
      <c r="AT50" s="45">
        <f>AT49+AT46+AT43</f>
        <v>13290071.25</v>
      </c>
      <c r="AU50" s="45">
        <f t="shared" ref="AU50" si="658">AU49+AU46+AU43</f>
        <v>13290071.25</v>
      </c>
      <c r="AV50" s="45">
        <f t="shared" ref="AV50" si="659">AV49+AV46+AV43</f>
        <v>13290071.25</v>
      </c>
      <c r="AW50" s="45">
        <f t="shared" ref="AW50" si="660">AW49+AW46+AW43</f>
        <v>13290071.25</v>
      </c>
      <c r="AX50" s="45">
        <f t="shared" ref="AX50" si="661">AX49+AX46+AX43</f>
        <v>13290071.25</v>
      </c>
      <c r="AY50" s="45">
        <f t="shared" ref="AY50" si="662">AY49+AY46+AY43</f>
        <v>13290071.25</v>
      </c>
      <c r="AZ50" s="45">
        <f t="shared" ref="AZ50" si="663">AZ49+AZ46+AZ43</f>
        <v>13290071.25</v>
      </c>
      <c r="BA50" s="45">
        <f t="shared" ref="BA50" si="664">BA49+BA46+BA43</f>
        <v>13290071.25</v>
      </c>
      <c r="BB50" s="45">
        <f t="shared" ref="BB50" si="665">BB49+BB46+BB43</f>
        <v>13290071.25</v>
      </c>
      <c r="BC50" s="45">
        <f t="shared" ref="BC50" si="666">BC49+BC46+BC43</f>
        <v>13290071.25</v>
      </c>
      <c r="BD50" s="178">
        <f t="shared" ref="BD50" si="667">BD49+BD46+BD43</f>
        <v>13290071.25</v>
      </c>
      <c r="BE50" s="193">
        <f t="shared" si="4"/>
        <v>0</v>
      </c>
      <c r="BF50" s="45"/>
      <c r="BG50" s="45">
        <f>BG49+BG46+BG43</f>
        <v>13290071.25</v>
      </c>
      <c r="BH50" s="45">
        <f>BH49+BH46+BH43</f>
        <v>13290071.25</v>
      </c>
      <c r="BI50" s="45">
        <f t="shared" ref="BI50" si="668">BI49+BI46+BI43</f>
        <v>13290071.25</v>
      </c>
      <c r="BJ50" s="45">
        <f t="shared" ref="BJ50" si="669">BJ49+BJ46+BJ43</f>
        <v>13290071.25</v>
      </c>
      <c r="BK50" s="45">
        <f t="shared" ref="BK50" si="670">BK49+BK46+BK43</f>
        <v>13290071.25</v>
      </c>
      <c r="BL50" s="45">
        <f t="shared" ref="BL50" si="671">BL49+BL46+BL43</f>
        <v>13290071.25</v>
      </c>
      <c r="BM50" s="45">
        <f t="shared" ref="BM50" si="672">BM49+BM46+BM43</f>
        <v>13290071.25</v>
      </c>
      <c r="BN50" s="45">
        <f t="shared" ref="BN50" si="673">BN49+BN46+BN43</f>
        <v>13290071.25</v>
      </c>
      <c r="BO50" s="45">
        <f t="shared" ref="BO50" si="674">BO49+BO46+BO43</f>
        <v>13290071.25</v>
      </c>
      <c r="BP50" s="45">
        <f t="shared" ref="BP50" si="675">BP49+BP46+BP43</f>
        <v>13290071.25</v>
      </c>
      <c r="BQ50" s="45">
        <f t="shared" ref="BQ50" si="676">BQ49+BQ46+BQ43</f>
        <v>13290071.25</v>
      </c>
      <c r="BR50" s="45">
        <f t="shared" ref="BR50" si="677">BR49+BR46+BR43</f>
        <v>13290071.25</v>
      </c>
    </row>
    <row r="51" spans="1:70" s="6" customFormat="1" ht="15.75" customHeight="1" x14ac:dyDescent="0.2">
      <c r="B51" s="21" t="s">
        <v>51</v>
      </c>
      <c r="C51" s="20" t="s">
        <v>50</v>
      </c>
      <c r="D51" s="18">
        <f t="shared" si="533"/>
        <v>2901549614.0161591</v>
      </c>
      <c r="E51" s="18">
        <f>E50+E40+E27+E24</f>
        <v>254382240.87</v>
      </c>
      <c r="F51" s="18">
        <f>F50+F40+F27+F24</f>
        <v>240651579.37692353</v>
      </c>
      <c r="G51" s="18">
        <f t="shared" ref="G51:L51" si="678">G50+G40+G27+G24</f>
        <v>240651579.37692353</v>
      </c>
      <c r="H51" s="18">
        <f t="shared" si="678"/>
        <v>240651579.37692353</v>
      </c>
      <c r="I51" s="18">
        <f t="shared" si="678"/>
        <v>240651579.37692353</v>
      </c>
      <c r="J51" s="18">
        <f t="shared" si="678"/>
        <v>240651579.37692353</v>
      </c>
      <c r="K51" s="18">
        <f t="shared" si="678"/>
        <v>240651579.37692353</v>
      </c>
      <c r="L51" s="18">
        <f t="shared" si="678"/>
        <v>240651579.37692353</v>
      </c>
      <c r="M51" s="18">
        <f t="shared" ref="M51" si="679">M50+M40+M27+M24</f>
        <v>240651579.37692353</v>
      </c>
      <c r="N51" s="18">
        <f t="shared" ref="N51" si="680">N50+N40+N27+N24</f>
        <v>240651579.37692353</v>
      </c>
      <c r="O51" s="18">
        <f t="shared" ref="O51" si="681">O50+O40+O27+O24</f>
        <v>240651579.37692353</v>
      </c>
      <c r="P51" s="180">
        <f t="shared" ref="P51" si="682">P50+P40+P27+P24</f>
        <v>240651579.37692353</v>
      </c>
      <c r="Q51" s="195">
        <f t="shared" si="534"/>
        <v>2901549614.0161591</v>
      </c>
      <c r="R51" s="18">
        <f>R50+R40+R27+R24</f>
        <v>254382240.87</v>
      </c>
      <c r="S51" s="18">
        <f>S50+S40+S27+S24</f>
        <v>240651579.37692353</v>
      </c>
      <c r="T51" s="18">
        <f t="shared" ref="T51" si="683">T50+T40+T27+T24</f>
        <v>240651579.37692353</v>
      </c>
      <c r="U51" s="18">
        <f t="shared" ref="U51" si="684">U50+U40+U27+U24</f>
        <v>240651579.37692353</v>
      </c>
      <c r="V51" s="18">
        <f t="shared" ref="V51" si="685">V50+V40+V27+V24</f>
        <v>240651579.37692353</v>
      </c>
      <c r="W51" s="18">
        <f t="shared" ref="W51" si="686">W50+W40+W27+W24</f>
        <v>240651579.37692353</v>
      </c>
      <c r="X51" s="18">
        <f t="shared" ref="X51" si="687">X50+X40+X27+X24</f>
        <v>240651579.37692353</v>
      </c>
      <c r="Y51" s="18">
        <f t="shared" ref="Y51:Z51" si="688">Y50+Y40+Y27+Y24</f>
        <v>240651579.37692353</v>
      </c>
      <c r="Z51" s="18">
        <f t="shared" si="688"/>
        <v>240651579.37692353</v>
      </c>
      <c r="AA51" s="18">
        <f t="shared" ref="AA51" si="689">AA50+AA40+AA27+AA24</f>
        <v>240651579.37692353</v>
      </c>
      <c r="AB51" s="18">
        <f t="shared" ref="AB51" si="690">AB50+AB40+AB27+AB24</f>
        <v>240651579.37692353</v>
      </c>
      <c r="AC51" s="180">
        <f t="shared" ref="AC51" si="691">AC50+AC40+AC27+AC24</f>
        <v>240651579.37692353</v>
      </c>
      <c r="AD51" s="228">
        <f t="shared" si="535"/>
        <v>2901549614.0161591</v>
      </c>
      <c r="AE51" s="18">
        <f>AE50+AE40+AE27+AE24</f>
        <v>254382240.87</v>
      </c>
      <c r="AF51" s="18">
        <f>AF50+AF40+AF27+AF24</f>
        <v>240651579.37692353</v>
      </c>
      <c r="AG51" s="18">
        <f t="shared" ref="AG51" si="692">AG50+AG40+AG27+AG24</f>
        <v>240651579.37692353</v>
      </c>
      <c r="AH51" s="18">
        <f t="shared" ref="AH51" si="693">AH50+AH40+AH27+AH24</f>
        <v>240651579.37692353</v>
      </c>
      <c r="AI51" s="18">
        <f t="shared" ref="AI51" si="694">AI50+AI40+AI27+AI24</f>
        <v>240651579.37692353</v>
      </c>
      <c r="AJ51" s="18">
        <f t="shared" ref="AJ51" si="695">AJ50+AJ40+AJ27+AJ24</f>
        <v>240651579.37692353</v>
      </c>
      <c r="AK51" s="18">
        <f t="shared" ref="AK51" si="696">AK50+AK40+AK27+AK24</f>
        <v>240651579.37692353</v>
      </c>
      <c r="AL51" s="18">
        <f t="shared" ref="AL51" si="697">AL50+AL40+AL27+AL24</f>
        <v>240651579.37692353</v>
      </c>
      <c r="AM51" s="18">
        <f t="shared" ref="AM51" si="698">AM50+AM40+AM27+AM24</f>
        <v>240651579.37692353</v>
      </c>
      <c r="AN51" s="18">
        <f t="shared" ref="AN51" si="699">AN50+AN40+AN27+AN24</f>
        <v>240651579.37692353</v>
      </c>
      <c r="AO51" s="18">
        <f t="shared" ref="AO51" si="700">AO50+AO40+AO27+AO24</f>
        <v>240651579.37692353</v>
      </c>
      <c r="AP51" s="212">
        <f t="shared" ref="AP51" si="701">AP50+AP40+AP27+AP24</f>
        <v>240651579.37692353</v>
      </c>
      <c r="AQ51" s="172">
        <f t="shared" si="3"/>
        <v>0</v>
      </c>
      <c r="AR51" s="18"/>
      <c r="AS51" s="18">
        <f>AS50+AS40+AS27+AS24</f>
        <v>254382240.87</v>
      </c>
      <c r="AT51" s="18">
        <f>AT50+AT40+AT27+AT24</f>
        <v>240651579.37692353</v>
      </c>
      <c r="AU51" s="18">
        <f t="shared" ref="AU51" si="702">AU50+AU40+AU27+AU24</f>
        <v>240651579.37692353</v>
      </c>
      <c r="AV51" s="18">
        <f t="shared" ref="AV51" si="703">AV50+AV40+AV27+AV24</f>
        <v>240651579.37692353</v>
      </c>
      <c r="AW51" s="18">
        <f t="shared" ref="AW51" si="704">AW50+AW40+AW27+AW24</f>
        <v>240651579.37692353</v>
      </c>
      <c r="AX51" s="18">
        <f t="shared" ref="AX51" si="705">AX50+AX40+AX27+AX24</f>
        <v>240651579.37692353</v>
      </c>
      <c r="AY51" s="18">
        <f t="shared" ref="AY51" si="706">AY50+AY40+AY27+AY24</f>
        <v>240651579.37692353</v>
      </c>
      <c r="AZ51" s="18">
        <f t="shared" ref="AZ51" si="707">AZ50+AZ40+AZ27+AZ24</f>
        <v>240651579.37692353</v>
      </c>
      <c r="BA51" s="18">
        <f t="shared" ref="BA51" si="708">BA50+BA40+BA27+BA24</f>
        <v>240651579.37692353</v>
      </c>
      <c r="BB51" s="18">
        <f t="shared" ref="BB51" si="709">BB50+BB40+BB27+BB24</f>
        <v>240651579.37692353</v>
      </c>
      <c r="BC51" s="18">
        <f t="shared" ref="BC51" si="710">BC50+BC40+BC27+BC24</f>
        <v>240651579.37692353</v>
      </c>
      <c r="BD51" s="180">
        <f t="shared" ref="BD51" si="711">BD50+BD40+BD27+BD24</f>
        <v>240651579.37692353</v>
      </c>
      <c r="BE51" s="195">
        <f t="shared" si="4"/>
        <v>0</v>
      </c>
      <c r="BF51" s="18"/>
      <c r="BG51" s="18">
        <f>BG50+BG40+BG27+BG24</f>
        <v>254382240.87</v>
      </c>
      <c r="BH51" s="18">
        <f>BH50+BH40+BH27+BH24</f>
        <v>240651579.37692353</v>
      </c>
      <c r="BI51" s="18">
        <f t="shared" ref="BI51" si="712">BI50+BI40+BI27+BI24</f>
        <v>240651579.37692353</v>
      </c>
      <c r="BJ51" s="18">
        <f t="shared" ref="BJ51" si="713">BJ50+BJ40+BJ27+BJ24</f>
        <v>240651579.37692353</v>
      </c>
      <c r="BK51" s="18">
        <f t="shared" ref="BK51" si="714">BK50+BK40+BK27+BK24</f>
        <v>240651579.37692353</v>
      </c>
      <c r="BL51" s="18">
        <f t="shared" ref="BL51" si="715">BL50+BL40+BL27+BL24</f>
        <v>240651579.37692353</v>
      </c>
      <c r="BM51" s="18">
        <f t="shared" ref="BM51" si="716">BM50+BM40+BM27+BM24</f>
        <v>240651579.37692353</v>
      </c>
      <c r="BN51" s="18">
        <f t="shared" ref="BN51" si="717">BN50+BN40+BN27+BN24</f>
        <v>240651579.37692353</v>
      </c>
      <c r="BO51" s="18">
        <f t="shared" ref="BO51" si="718">BO50+BO40+BO27+BO24</f>
        <v>240651579.37692353</v>
      </c>
      <c r="BP51" s="18">
        <f t="shared" ref="BP51" si="719">BP50+BP40+BP27+BP24</f>
        <v>240651579.37692353</v>
      </c>
      <c r="BQ51" s="18">
        <f t="shared" ref="BQ51" si="720">BQ50+BQ40+BQ27+BQ24</f>
        <v>240651579.37692353</v>
      </c>
      <c r="BR51" s="18">
        <f t="shared" ref="BR51" si="721">BR50+BR40+BR27+BR24</f>
        <v>240651579.37692353</v>
      </c>
    </row>
    <row r="52" spans="1:70" ht="12.75" customHeight="1" outlineLevel="3" x14ac:dyDescent="0.2">
      <c r="B52" s="38" t="s">
        <v>45</v>
      </c>
      <c r="C52" s="37" t="s">
        <v>44</v>
      </c>
      <c r="D52" s="40">
        <f t="shared" si="533"/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176">
        <v>0</v>
      </c>
      <c r="Q52" s="191">
        <f t="shared" si="534"/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176">
        <v>0</v>
      </c>
      <c r="AD52" s="225">
        <f t="shared" si="535"/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0</v>
      </c>
      <c r="AP52" s="208">
        <v>0</v>
      </c>
      <c r="AQ52" s="168">
        <f t="shared" si="3"/>
        <v>0</v>
      </c>
      <c r="AR52" s="40"/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176">
        <v>0</v>
      </c>
      <c r="BE52" s="191">
        <f t="shared" si="4"/>
        <v>0</v>
      </c>
      <c r="BF52" s="40"/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</row>
    <row r="53" spans="1:70" ht="12.75" customHeight="1" outlineLevel="3" x14ac:dyDescent="0.2">
      <c r="B53" s="38" t="s">
        <v>49</v>
      </c>
      <c r="C53" s="37" t="s">
        <v>48</v>
      </c>
      <c r="D53" s="40">
        <f t="shared" si="533"/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176">
        <v>0</v>
      </c>
      <c r="Q53" s="191">
        <f t="shared" si="534"/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176">
        <v>0</v>
      </c>
      <c r="AD53" s="225">
        <f t="shared" si="535"/>
        <v>0</v>
      </c>
      <c r="AE53" s="40">
        <v>0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0</v>
      </c>
      <c r="AP53" s="208">
        <v>0</v>
      </c>
      <c r="AQ53" s="168">
        <f t="shared" si="3"/>
        <v>0</v>
      </c>
      <c r="AR53" s="40"/>
      <c r="AS53" s="40">
        <v>0</v>
      </c>
      <c r="AT53" s="40">
        <v>0</v>
      </c>
      <c r="AU53" s="40">
        <v>0</v>
      </c>
      <c r="AV53" s="40">
        <v>0</v>
      </c>
      <c r="AW53" s="40">
        <v>0</v>
      </c>
      <c r="AX53" s="40">
        <v>0</v>
      </c>
      <c r="AY53" s="40">
        <v>0</v>
      </c>
      <c r="AZ53" s="40">
        <v>0</v>
      </c>
      <c r="BA53" s="40">
        <v>0</v>
      </c>
      <c r="BB53" s="40">
        <v>0</v>
      </c>
      <c r="BC53" s="40">
        <v>0</v>
      </c>
      <c r="BD53" s="176">
        <v>0</v>
      </c>
      <c r="BE53" s="191">
        <f t="shared" si="4"/>
        <v>0</v>
      </c>
      <c r="BF53" s="40"/>
      <c r="BG53" s="40">
        <v>0</v>
      </c>
      <c r="BH53" s="40">
        <v>0</v>
      </c>
      <c r="BI53" s="40">
        <v>0</v>
      </c>
      <c r="BJ53" s="40">
        <v>0</v>
      </c>
      <c r="BK53" s="40">
        <v>0</v>
      </c>
      <c r="BL53" s="40">
        <v>0</v>
      </c>
      <c r="BM53" s="40">
        <v>0</v>
      </c>
      <c r="BN53" s="40">
        <v>0</v>
      </c>
      <c r="BO53" s="40">
        <v>0</v>
      </c>
      <c r="BP53" s="40">
        <v>0</v>
      </c>
      <c r="BQ53" s="40">
        <v>0</v>
      </c>
      <c r="BR53" s="40">
        <v>0</v>
      </c>
    </row>
    <row r="54" spans="1:70" s="6" customFormat="1" ht="14.45" customHeight="1" outlineLevel="1" x14ac:dyDescent="0.2">
      <c r="A54" s="30"/>
      <c r="B54" s="48" t="s">
        <v>47</v>
      </c>
      <c r="C54" s="47" t="s">
        <v>46</v>
      </c>
      <c r="D54" s="45">
        <f t="shared" si="533"/>
        <v>0</v>
      </c>
      <c r="E54" s="45">
        <f>SUM(E52:E53)</f>
        <v>0</v>
      </c>
      <c r="F54" s="45">
        <f>SUM(F52:F53)</f>
        <v>0</v>
      </c>
      <c r="G54" s="45">
        <f t="shared" ref="G54:L54" si="722">SUM(G52:G53)</f>
        <v>0</v>
      </c>
      <c r="H54" s="45">
        <f t="shared" si="722"/>
        <v>0</v>
      </c>
      <c r="I54" s="45">
        <f t="shared" si="722"/>
        <v>0</v>
      </c>
      <c r="J54" s="45">
        <f t="shared" si="722"/>
        <v>0</v>
      </c>
      <c r="K54" s="45">
        <f t="shared" si="722"/>
        <v>0</v>
      </c>
      <c r="L54" s="45">
        <f t="shared" si="722"/>
        <v>0</v>
      </c>
      <c r="M54" s="45">
        <f t="shared" ref="M54" si="723">SUM(M52:M53)</f>
        <v>0</v>
      </c>
      <c r="N54" s="45">
        <f t="shared" ref="N54" si="724">SUM(N52:N53)</f>
        <v>0</v>
      </c>
      <c r="O54" s="45">
        <f t="shared" ref="O54" si="725">SUM(O52:O53)</f>
        <v>0</v>
      </c>
      <c r="P54" s="178">
        <f t="shared" ref="P54" si="726">SUM(P52:P53)</f>
        <v>0</v>
      </c>
      <c r="Q54" s="193">
        <f t="shared" si="534"/>
        <v>0</v>
      </c>
      <c r="R54" s="45">
        <f>SUM(R52:R53)</f>
        <v>0</v>
      </c>
      <c r="S54" s="45">
        <f>SUM(S52:S53)</f>
        <v>0</v>
      </c>
      <c r="T54" s="45">
        <f t="shared" ref="T54" si="727">SUM(T52:T53)</f>
        <v>0</v>
      </c>
      <c r="U54" s="45">
        <f t="shared" ref="U54" si="728">SUM(U52:U53)</f>
        <v>0</v>
      </c>
      <c r="V54" s="45">
        <f t="shared" ref="V54" si="729">SUM(V52:V53)</f>
        <v>0</v>
      </c>
      <c r="W54" s="45">
        <f t="shared" ref="W54" si="730">SUM(W52:W53)</f>
        <v>0</v>
      </c>
      <c r="X54" s="45">
        <f t="shared" ref="X54" si="731">SUM(X52:X53)</f>
        <v>0</v>
      </c>
      <c r="Y54" s="45">
        <f t="shared" ref="Y54:Z54" si="732">SUM(Y52:Y53)</f>
        <v>0</v>
      </c>
      <c r="Z54" s="45">
        <f t="shared" si="732"/>
        <v>0</v>
      </c>
      <c r="AA54" s="45">
        <f t="shared" ref="AA54" si="733">SUM(AA52:AA53)</f>
        <v>0</v>
      </c>
      <c r="AB54" s="45">
        <f t="shared" ref="AB54" si="734">SUM(AB52:AB53)</f>
        <v>0</v>
      </c>
      <c r="AC54" s="178">
        <f t="shared" ref="AC54" si="735">SUM(AC52:AC53)</f>
        <v>0</v>
      </c>
      <c r="AD54" s="227">
        <f t="shared" si="535"/>
        <v>0</v>
      </c>
      <c r="AE54" s="45">
        <f>SUM(AE52:AE53)</f>
        <v>0</v>
      </c>
      <c r="AF54" s="45">
        <f>SUM(AF52:AF53)</f>
        <v>0</v>
      </c>
      <c r="AG54" s="45">
        <f t="shared" ref="AG54" si="736">SUM(AG52:AG53)</f>
        <v>0</v>
      </c>
      <c r="AH54" s="45">
        <f t="shared" ref="AH54" si="737">SUM(AH52:AH53)</f>
        <v>0</v>
      </c>
      <c r="AI54" s="45">
        <f t="shared" ref="AI54" si="738">SUM(AI52:AI53)</f>
        <v>0</v>
      </c>
      <c r="AJ54" s="45">
        <f t="shared" ref="AJ54" si="739">SUM(AJ52:AJ53)</f>
        <v>0</v>
      </c>
      <c r="AK54" s="45">
        <f t="shared" ref="AK54" si="740">SUM(AK52:AK53)</f>
        <v>0</v>
      </c>
      <c r="AL54" s="45">
        <f t="shared" ref="AL54" si="741">SUM(AL52:AL53)</f>
        <v>0</v>
      </c>
      <c r="AM54" s="45">
        <f t="shared" ref="AM54" si="742">SUM(AM52:AM53)</f>
        <v>0</v>
      </c>
      <c r="AN54" s="45">
        <f t="shared" ref="AN54" si="743">SUM(AN52:AN53)</f>
        <v>0</v>
      </c>
      <c r="AO54" s="45">
        <f t="shared" ref="AO54" si="744">SUM(AO52:AO53)</f>
        <v>0</v>
      </c>
      <c r="AP54" s="210">
        <f t="shared" ref="AP54" si="745">SUM(AP52:AP53)</f>
        <v>0</v>
      </c>
      <c r="AQ54" s="170">
        <f t="shared" si="3"/>
        <v>0</v>
      </c>
      <c r="AR54" s="45"/>
      <c r="AS54" s="45">
        <f>SUM(AS52:AS53)</f>
        <v>0</v>
      </c>
      <c r="AT54" s="45">
        <f>SUM(AT52:AT53)</f>
        <v>0</v>
      </c>
      <c r="AU54" s="45">
        <f t="shared" ref="AU54" si="746">SUM(AU52:AU53)</f>
        <v>0</v>
      </c>
      <c r="AV54" s="45">
        <f t="shared" ref="AV54" si="747">SUM(AV52:AV53)</f>
        <v>0</v>
      </c>
      <c r="AW54" s="45">
        <f t="shared" ref="AW54" si="748">SUM(AW52:AW53)</f>
        <v>0</v>
      </c>
      <c r="AX54" s="45">
        <f t="shared" ref="AX54" si="749">SUM(AX52:AX53)</f>
        <v>0</v>
      </c>
      <c r="AY54" s="45">
        <f t="shared" ref="AY54" si="750">SUM(AY52:AY53)</f>
        <v>0</v>
      </c>
      <c r="AZ54" s="45">
        <f t="shared" ref="AZ54" si="751">SUM(AZ52:AZ53)</f>
        <v>0</v>
      </c>
      <c r="BA54" s="45">
        <f t="shared" ref="BA54" si="752">SUM(BA52:BA53)</f>
        <v>0</v>
      </c>
      <c r="BB54" s="45">
        <f t="shared" ref="BB54" si="753">SUM(BB52:BB53)</f>
        <v>0</v>
      </c>
      <c r="BC54" s="45">
        <f t="shared" ref="BC54" si="754">SUM(BC52:BC53)</f>
        <v>0</v>
      </c>
      <c r="BD54" s="178">
        <f t="shared" ref="BD54" si="755">SUM(BD52:BD53)</f>
        <v>0</v>
      </c>
      <c r="BE54" s="193">
        <f t="shared" si="4"/>
        <v>0</v>
      </c>
      <c r="BF54" s="45"/>
      <c r="BG54" s="45">
        <f>SUM(BG52:BG53)</f>
        <v>0</v>
      </c>
      <c r="BH54" s="45">
        <f>SUM(BH52:BH53)</f>
        <v>0</v>
      </c>
      <c r="BI54" s="45">
        <f t="shared" ref="BI54" si="756">SUM(BI52:BI53)</f>
        <v>0</v>
      </c>
      <c r="BJ54" s="45">
        <f t="shared" ref="BJ54" si="757">SUM(BJ52:BJ53)</f>
        <v>0</v>
      </c>
      <c r="BK54" s="45">
        <f t="shared" ref="BK54" si="758">SUM(BK52:BK53)</f>
        <v>0</v>
      </c>
      <c r="BL54" s="45">
        <f t="shared" ref="BL54" si="759">SUM(BL52:BL53)</f>
        <v>0</v>
      </c>
      <c r="BM54" s="45">
        <f t="shared" ref="BM54" si="760">SUM(BM52:BM53)</f>
        <v>0</v>
      </c>
      <c r="BN54" s="45">
        <f t="shared" ref="BN54" si="761">SUM(BN52:BN53)</f>
        <v>0</v>
      </c>
      <c r="BO54" s="45">
        <f t="shared" ref="BO54" si="762">SUM(BO52:BO53)</f>
        <v>0</v>
      </c>
      <c r="BP54" s="45">
        <f t="shared" ref="BP54" si="763">SUM(BP52:BP53)</f>
        <v>0</v>
      </c>
      <c r="BQ54" s="45">
        <f t="shared" ref="BQ54" si="764">SUM(BQ52:BQ53)</f>
        <v>0</v>
      </c>
      <c r="BR54" s="45">
        <f t="shared" ref="BR54" si="765">SUM(BR52:BR53)</f>
        <v>0</v>
      </c>
    </row>
    <row r="55" spans="1:70" s="6" customFormat="1" ht="15.75" customHeight="1" x14ac:dyDescent="0.2">
      <c r="B55" s="21" t="s">
        <v>45</v>
      </c>
      <c r="C55" s="20" t="s">
        <v>44</v>
      </c>
      <c r="D55" s="18">
        <f t="shared" si="533"/>
        <v>0</v>
      </c>
      <c r="E55" s="18">
        <f>E54</f>
        <v>0</v>
      </c>
      <c r="F55" s="18">
        <f>F54</f>
        <v>0</v>
      </c>
      <c r="G55" s="18">
        <f t="shared" ref="G55:L55" si="766">G54</f>
        <v>0</v>
      </c>
      <c r="H55" s="18">
        <f t="shared" si="766"/>
        <v>0</v>
      </c>
      <c r="I55" s="18">
        <f t="shared" si="766"/>
        <v>0</v>
      </c>
      <c r="J55" s="18">
        <f t="shared" si="766"/>
        <v>0</v>
      </c>
      <c r="K55" s="18">
        <f t="shared" si="766"/>
        <v>0</v>
      </c>
      <c r="L55" s="18">
        <f t="shared" si="766"/>
        <v>0</v>
      </c>
      <c r="M55" s="18">
        <f t="shared" ref="M55" si="767">M54</f>
        <v>0</v>
      </c>
      <c r="N55" s="18">
        <f t="shared" ref="N55" si="768">N54</f>
        <v>0</v>
      </c>
      <c r="O55" s="18">
        <f t="shared" ref="O55" si="769">O54</f>
        <v>0</v>
      </c>
      <c r="P55" s="180">
        <f t="shared" ref="P55" si="770">P54</f>
        <v>0</v>
      </c>
      <c r="Q55" s="195">
        <f t="shared" si="534"/>
        <v>0</v>
      </c>
      <c r="R55" s="18">
        <f>R54</f>
        <v>0</v>
      </c>
      <c r="S55" s="18">
        <f>S54</f>
        <v>0</v>
      </c>
      <c r="T55" s="18">
        <f t="shared" ref="T55" si="771">T54</f>
        <v>0</v>
      </c>
      <c r="U55" s="18">
        <f t="shared" ref="U55" si="772">U54</f>
        <v>0</v>
      </c>
      <c r="V55" s="18">
        <f t="shared" ref="V55" si="773">V54</f>
        <v>0</v>
      </c>
      <c r="W55" s="18">
        <f t="shared" ref="W55" si="774">W54</f>
        <v>0</v>
      </c>
      <c r="X55" s="18">
        <f t="shared" ref="X55" si="775">X54</f>
        <v>0</v>
      </c>
      <c r="Y55" s="18">
        <f t="shared" ref="Y55:Z55" si="776">Y54</f>
        <v>0</v>
      </c>
      <c r="Z55" s="18">
        <f t="shared" si="776"/>
        <v>0</v>
      </c>
      <c r="AA55" s="18">
        <f t="shared" ref="AA55" si="777">AA54</f>
        <v>0</v>
      </c>
      <c r="AB55" s="18">
        <f t="shared" ref="AB55" si="778">AB54</f>
        <v>0</v>
      </c>
      <c r="AC55" s="180">
        <f t="shared" ref="AC55" si="779">AC54</f>
        <v>0</v>
      </c>
      <c r="AD55" s="228">
        <f t="shared" si="535"/>
        <v>0</v>
      </c>
      <c r="AE55" s="18">
        <f>AE54</f>
        <v>0</v>
      </c>
      <c r="AF55" s="18">
        <f>AF54</f>
        <v>0</v>
      </c>
      <c r="AG55" s="18">
        <f t="shared" ref="AG55" si="780">AG54</f>
        <v>0</v>
      </c>
      <c r="AH55" s="18">
        <f t="shared" ref="AH55" si="781">AH54</f>
        <v>0</v>
      </c>
      <c r="AI55" s="18">
        <f t="shared" ref="AI55" si="782">AI54</f>
        <v>0</v>
      </c>
      <c r="AJ55" s="18">
        <f t="shared" ref="AJ55" si="783">AJ54</f>
        <v>0</v>
      </c>
      <c r="AK55" s="18">
        <f t="shared" ref="AK55" si="784">AK54</f>
        <v>0</v>
      </c>
      <c r="AL55" s="18">
        <f t="shared" ref="AL55" si="785">AL54</f>
        <v>0</v>
      </c>
      <c r="AM55" s="18">
        <f t="shared" ref="AM55" si="786">AM54</f>
        <v>0</v>
      </c>
      <c r="AN55" s="18">
        <f t="shared" ref="AN55" si="787">AN54</f>
        <v>0</v>
      </c>
      <c r="AO55" s="18">
        <f t="shared" ref="AO55" si="788">AO54</f>
        <v>0</v>
      </c>
      <c r="AP55" s="212">
        <f t="shared" ref="AP55" si="789">AP54</f>
        <v>0</v>
      </c>
      <c r="AQ55" s="172">
        <f t="shared" si="3"/>
        <v>0</v>
      </c>
      <c r="AR55" s="18"/>
      <c r="AS55" s="18">
        <f>AS54</f>
        <v>0</v>
      </c>
      <c r="AT55" s="18">
        <f>AT54</f>
        <v>0</v>
      </c>
      <c r="AU55" s="18">
        <f t="shared" ref="AU55" si="790">AU54</f>
        <v>0</v>
      </c>
      <c r="AV55" s="18">
        <f t="shared" ref="AV55" si="791">AV54</f>
        <v>0</v>
      </c>
      <c r="AW55" s="18">
        <f t="shared" ref="AW55" si="792">AW54</f>
        <v>0</v>
      </c>
      <c r="AX55" s="18">
        <f t="shared" ref="AX55" si="793">AX54</f>
        <v>0</v>
      </c>
      <c r="AY55" s="18">
        <f t="shared" ref="AY55" si="794">AY54</f>
        <v>0</v>
      </c>
      <c r="AZ55" s="18">
        <f t="shared" ref="AZ55" si="795">AZ54</f>
        <v>0</v>
      </c>
      <c r="BA55" s="18">
        <f t="shared" ref="BA55" si="796">BA54</f>
        <v>0</v>
      </c>
      <c r="BB55" s="18">
        <f t="shared" ref="BB55" si="797">BB54</f>
        <v>0</v>
      </c>
      <c r="BC55" s="18">
        <f t="shared" ref="BC55" si="798">BC54</f>
        <v>0</v>
      </c>
      <c r="BD55" s="180">
        <f t="shared" ref="BD55" si="799">BD54</f>
        <v>0</v>
      </c>
      <c r="BE55" s="195">
        <f t="shared" si="4"/>
        <v>0</v>
      </c>
      <c r="BF55" s="18"/>
      <c r="BG55" s="18">
        <f>BG54</f>
        <v>0</v>
      </c>
      <c r="BH55" s="18">
        <f>BH54</f>
        <v>0</v>
      </c>
      <c r="BI55" s="18">
        <f t="shared" ref="BI55" si="800">BI54</f>
        <v>0</v>
      </c>
      <c r="BJ55" s="18">
        <f t="shared" ref="BJ55" si="801">BJ54</f>
        <v>0</v>
      </c>
      <c r="BK55" s="18">
        <f t="shared" ref="BK55" si="802">BK54</f>
        <v>0</v>
      </c>
      <c r="BL55" s="18">
        <f t="shared" ref="BL55" si="803">BL54</f>
        <v>0</v>
      </c>
      <c r="BM55" s="18">
        <f t="shared" ref="BM55" si="804">BM54</f>
        <v>0</v>
      </c>
      <c r="BN55" s="18">
        <f t="shared" ref="BN55" si="805">BN54</f>
        <v>0</v>
      </c>
      <c r="BO55" s="18">
        <f t="shared" ref="BO55" si="806">BO54</f>
        <v>0</v>
      </c>
      <c r="BP55" s="18">
        <f t="shared" ref="BP55" si="807">BP54</f>
        <v>0</v>
      </c>
      <c r="BQ55" s="18">
        <f t="shared" ref="BQ55" si="808">BQ54</f>
        <v>0</v>
      </c>
      <c r="BR55" s="18">
        <f t="shared" ref="BR55" si="809">BR54</f>
        <v>0</v>
      </c>
    </row>
    <row r="56" spans="1:70" ht="12.75" customHeight="1" outlineLevel="3" x14ac:dyDescent="0.2">
      <c r="B56" s="38" t="s">
        <v>43</v>
      </c>
      <c r="C56" s="37" t="s">
        <v>42</v>
      </c>
      <c r="D56" s="40">
        <f t="shared" si="533"/>
        <v>294014180.62210083</v>
      </c>
      <c r="E56" s="40">
        <f>3528170167.46521*1/12</f>
        <v>294014180.62210083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0</v>
      </c>
      <c r="P56" s="176">
        <v>0</v>
      </c>
      <c r="Q56" s="191">
        <f t="shared" si="534"/>
        <v>294014180.62210083</v>
      </c>
      <c r="R56" s="40">
        <f>3528170167.46521*1/12</f>
        <v>294014180.62210083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176">
        <v>0</v>
      </c>
      <c r="AD56" s="225">
        <f t="shared" si="535"/>
        <v>294014180.62210083</v>
      </c>
      <c r="AE56" s="40">
        <f>3528170167.46521*1/12</f>
        <v>294014180.62210083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208">
        <v>0</v>
      </c>
      <c r="AQ56" s="168">
        <f t="shared" si="3"/>
        <v>0</v>
      </c>
      <c r="AR56" s="40"/>
      <c r="AS56" s="40">
        <f>3528170167.46521*1/12</f>
        <v>294014180.62210083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176">
        <v>0</v>
      </c>
      <c r="BE56" s="191">
        <f t="shared" si="4"/>
        <v>0</v>
      </c>
      <c r="BF56" s="40"/>
      <c r="BG56" s="40">
        <f>3528170167.46521*1/12</f>
        <v>294014180.62210083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</row>
    <row r="57" spans="1:70" ht="12.75" customHeight="1" outlineLevel="3" x14ac:dyDescent="0.2">
      <c r="B57" s="38" t="s">
        <v>41</v>
      </c>
      <c r="C57" s="37" t="s">
        <v>40</v>
      </c>
      <c r="D57" s="40">
        <f t="shared" si="533"/>
        <v>54392623.41508875</v>
      </c>
      <c r="E57" s="40">
        <f>652711480.981065*1/12</f>
        <v>54392623.41508875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176">
        <v>0</v>
      </c>
      <c r="Q57" s="191">
        <f t="shared" si="534"/>
        <v>54392623.41508875</v>
      </c>
      <c r="R57" s="40">
        <f>652711480.981065*1/12</f>
        <v>54392623.41508875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  <c r="AC57" s="176">
        <v>0</v>
      </c>
      <c r="AD57" s="225">
        <f t="shared" si="535"/>
        <v>54392623.41508875</v>
      </c>
      <c r="AE57" s="40">
        <f>652711480.981065*1/12</f>
        <v>54392623.41508875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208">
        <v>0</v>
      </c>
      <c r="AQ57" s="168">
        <f t="shared" si="3"/>
        <v>0</v>
      </c>
      <c r="AR57" s="40"/>
      <c r="AS57" s="40">
        <f>652711480.981065*1/12</f>
        <v>54392623.41508875</v>
      </c>
      <c r="AT57" s="40">
        <v>0</v>
      </c>
      <c r="AU57" s="40">
        <v>0</v>
      </c>
      <c r="AV57" s="40">
        <v>0</v>
      </c>
      <c r="AW57" s="40">
        <v>0</v>
      </c>
      <c r="AX57" s="40">
        <v>0</v>
      </c>
      <c r="AY57" s="40">
        <v>0</v>
      </c>
      <c r="AZ57" s="40">
        <v>0</v>
      </c>
      <c r="BA57" s="40">
        <v>0</v>
      </c>
      <c r="BB57" s="40">
        <v>0</v>
      </c>
      <c r="BC57" s="40">
        <v>0</v>
      </c>
      <c r="BD57" s="176">
        <v>0</v>
      </c>
      <c r="BE57" s="191">
        <f t="shared" si="4"/>
        <v>0</v>
      </c>
      <c r="BF57" s="40"/>
      <c r="BG57" s="40">
        <f>652711480.981065*1/12</f>
        <v>54392623.41508875</v>
      </c>
      <c r="BH57" s="40">
        <v>0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0</v>
      </c>
      <c r="BR57" s="40">
        <v>0</v>
      </c>
    </row>
    <row r="58" spans="1:70" s="6" customFormat="1" outlineLevel="2" x14ac:dyDescent="0.2">
      <c r="A58" s="30"/>
      <c r="B58" s="29" t="s">
        <v>39</v>
      </c>
      <c r="C58" s="42" t="s">
        <v>38</v>
      </c>
      <c r="D58" s="26">
        <f t="shared" si="533"/>
        <v>348406804.0371896</v>
      </c>
      <c r="E58" s="26">
        <f>SUM(E56:E57)</f>
        <v>348406804.0371896</v>
      </c>
      <c r="F58" s="26">
        <f>SUM(F56:F57)</f>
        <v>0</v>
      </c>
      <c r="G58" s="26">
        <f t="shared" ref="G58:L58" si="810">SUM(G56:G57)</f>
        <v>0</v>
      </c>
      <c r="H58" s="26">
        <f t="shared" si="810"/>
        <v>0</v>
      </c>
      <c r="I58" s="26">
        <f t="shared" si="810"/>
        <v>0</v>
      </c>
      <c r="J58" s="26">
        <f t="shared" si="810"/>
        <v>0</v>
      </c>
      <c r="K58" s="26">
        <f t="shared" si="810"/>
        <v>0</v>
      </c>
      <c r="L58" s="26">
        <f t="shared" si="810"/>
        <v>0</v>
      </c>
      <c r="M58" s="26">
        <f t="shared" ref="M58" si="811">SUM(M56:M57)</f>
        <v>0</v>
      </c>
      <c r="N58" s="26">
        <f t="shared" ref="N58" si="812">SUM(N56:N57)</f>
        <v>0</v>
      </c>
      <c r="O58" s="26">
        <f t="shared" ref="O58" si="813">SUM(O56:O57)</f>
        <v>0</v>
      </c>
      <c r="P58" s="177">
        <f t="shared" ref="P58" si="814">SUM(P56:P57)</f>
        <v>0</v>
      </c>
      <c r="Q58" s="192">
        <f t="shared" si="534"/>
        <v>348406804.0371896</v>
      </c>
      <c r="R58" s="26">
        <f>SUM(R56:R57)</f>
        <v>348406804.0371896</v>
      </c>
      <c r="S58" s="26">
        <f>SUM(S56:S57)</f>
        <v>0</v>
      </c>
      <c r="T58" s="26">
        <f t="shared" ref="T58" si="815">SUM(T56:T57)</f>
        <v>0</v>
      </c>
      <c r="U58" s="26">
        <f t="shared" ref="U58" si="816">SUM(U56:U57)</f>
        <v>0</v>
      </c>
      <c r="V58" s="26">
        <f t="shared" ref="V58" si="817">SUM(V56:V57)</f>
        <v>0</v>
      </c>
      <c r="W58" s="26">
        <f t="shared" ref="W58" si="818">SUM(W56:W57)</f>
        <v>0</v>
      </c>
      <c r="X58" s="26">
        <f t="shared" ref="X58" si="819">SUM(X56:X57)</f>
        <v>0</v>
      </c>
      <c r="Y58" s="26">
        <f t="shared" ref="Y58:Z58" si="820">SUM(Y56:Y57)</f>
        <v>0</v>
      </c>
      <c r="Z58" s="26">
        <f t="shared" si="820"/>
        <v>0</v>
      </c>
      <c r="AA58" s="26">
        <f t="shared" ref="AA58" si="821">SUM(AA56:AA57)</f>
        <v>0</v>
      </c>
      <c r="AB58" s="26">
        <f t="shared" ref="AB58" si="822">SUM(AB56:AB57)</f>
        <v>0</v>
      </c>
      <c r="AC58" s="177">
        <f t="shared" ref="AC58" si="823">SUM(AC56:AC57)</f>
        <v>0</v>
      </c>
      <c r="AD58" s="226">
        <f t="shared" si="535"/>
        <v>348406804.0371896</v>
      </c>
      <c r="AE58" s="26">
        <f>SUM(AE56:AE57)</f>
        <v>348406804.0371896</v>
      </c>
      <c r="AF58" s="26">
        <f>SUM(AF56:AF57)</f>
        <v>0</v>
      </c>
      <c r="AG58" s="26">
        <f t="shared" ref="AG58" si="824">SUM(AG56:AG57)</f>
        <v>0</v>
      </c>
      <c r="AH58" s="26">
        <f t="shared" ref="AH58" si="825">SUM(AH56:AH57)</f>
        <v>0</v>
      </c>
      <c r="AI58" s="26">
        <f t="shared" ref="AI58" si="826">SUM(AI56:AI57)</f>
        <v>0</v>
      </c>
      <c r="AJ58" s="26">
        <f t="shared" ref="AJ58" si="827">SUM(AJ56:AJ57)</f>
        <v>0</v>
      </c>
      <c r="AK58" s="26">
        <f t="shared" ref="AK58" si="828">SUM(AK56:AK57)</f>
        <v>0</v>
      </c>
      <c r="AL58" s="26">
        <f t="shared" ref="AL58" si="829">SUM(AL56:AL57)</f>
        <v>0</v>
      </c>
      <c r="AM58" s="26">
        <f t="shared" ref="AM58" si="830">SUM(AM56:AM57)</f>
        <v>0</v>
      </c>
      <c r="AN58" s="26">
        <f t="shared" ref="AN58" si="831">SUM(AN56:AN57)</f>
        <v>0</v>
      </c>
      <c r="AO58" s="26">
        <f t="shared" ref="AO58" si="832">SUM(AO56:AO57)</f>
        <v>0</v>
      </c>
      <c r="AP58" s="209">
        <f t="shared" ref="AP58" si="833">SUM(AP56:AP57)</f>
        <v>0</v>
      </c>
      <c r="AQ58" s="169">
        <f t="shared" si="3"/>
        <v>0</v>
      </c>
      <c r="AR58" s="26"/>
      <c r="AS58" s="26">
        <f>SUM(AS56:AS57)</f>
        <v>348406804.0371896</v>
      </c>
      <c r="AT58" s="26">
        <f>SUM(AT56:AT57)</f>
        <v>0</v>
      </c>
      <c r="AU58" s="26">
        <f t="shared" ref="AU58" si="834">SUM(AU56:AU57)</f>
        <v>0</v>
      </c>
      <c r="AV58" s="26">
        <f t="shared" ref="AV58" si="835">SUM(AV56:AV57)</f>
        <v>0</v>
      </c>
      <c r="AW58" s="26">
        <f t="shared" ref="AW58" si="836">SUM(AW56:AW57)</f>
        <v>0</v>
      </c>
      <c r="AX58" s="26">
        <f t="shared" ref="AX58" si="837">SUM(AX56:AX57)</f>
        <v>0</v>
      </c>
      <c r="AY58" s="26">
        <f t="shared" ref="AY58" si="838">SUM(AY56:AY57)</f>
        <v>0</v>
      </c>
      <c r="AZ58" s="26">
        <f t="shared" ref="AZ58" si="839">SUM(AZ56:AZ57)</f>
        <v>0</v>
      </c>
      <c r="BA58" s="26">
        <f t="shared" ref="BA58" si="840">SUM(BA56:BA57)</f>
        <v>0</v>
      </c>
      <c r="BB58" s="26">
        <f t="shared" ref="BB58" si="841">SUM(BB56:BB57)</f>
        <v>0</v>
      </c>
      <c r="BC58" s="26">
        <f t="shared" ref="BC58" si="842">SUM(BC56:BC57)</f>
        <v>0</v>
      </c>
      <c r="BD58" s="177">
        <f t="shared" ref="BD58" si="843">SUM(BD56:BD57)</f>
        <v>0</v>
      </c>
      <c r="BE58" s="192">
        <f t="shared" si="4"/>
        <v>0</v>
      </c>
      <c r="BF58" s="26"/>
      <c r="BG58" s="26">
        <f>SUM(BG56:BG57)</f>
        <v>348406804.0371896</v>
      </c>
      <c r="BH58" s="26">
        <f>SUM(BH56:BH57)</f>
        <v>0</v>
      </c>
      <c r="BI58" s="26">
        <f t="shared" ref="BI58" si="844">SUM(BI56:BI57)</f>
        <v>0</v>
      </c>
      <c r="BJ58" s="26">
        <f t="shared" ref="BJ58" si="845">SUM(BJ56:BJ57)</f>
        <v>0</v>
      </c>
      <c r="BK58" s="26">
        <f t="shared" ref="BK58" si="846">SUM(BK56:BK57)</f>
        <v>0</v>
      </c>
      <c r="BL58" s="26">
        <f t="shared" ref="BL58" si="847">SUM(BL56:BL57)</f>
        <v>0</v>
      </c>
      <c r="BM58" s="26">
        <f t="shared" ref="BM58" si="848">SUM(BM56:BM57)</f>
        <v>0</v>
      </c>
      <c r="BN58" s="26">
        <f t="shared" ref="BN58" si="849">SUM(BN56:BN57)</f>
        <v>0</v>
      </c>
      <c r="BO58" s="26">
        <f t="shared" ref="BO58" si="850">SUM(BO56:BO57)</f>
        <v>0</v>
      </c>
      <c r="BP58" s="26">
        <f t="shared" ref="BP58" si="851">SUM(BP56:BP57)</f>
        <v>0</v>
      </c>
      <c r="BQ58" s="26">
        <f t="shared" ref="BQ58" si="852">SUM(BQ56:BQ57)</f>
        <v>0</v>
      </c>
      <c r="BR58" s="26">
        <f t="shared" ref="BR58" si="853">SUM(BR56:BR57)</f>
        <v>0</v>
      </c>
    </row>
    <row r="59" spans="1:70" ht="12.75" customHeight="1" outlineLevel="3" x14ac:dyDescent="0.2">
      <c r="B59" s="38" t="s">
        <v>37</v>
      </c>
      <c r="C59" s="37" t="s">
        <v>36</v>
      </c>
      <c r="D59" s="40">
        <f t="shared" si="533"/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0</v>
      </c>
      <c r="P59" s="176">
        <v>0</v>
      </c>
      <c r="Q59" s="191">
        <f t="shared" si="534"/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176">
        <v>0</v>
      </c>
      <c r="AD59" s="225">
        <f t="shared" si="535"/>
        <v>0</v>
      </c>
      <c r="AE59" s="40">
        <v>0</v>
      </c>
      <c r="AF59" s="40">
        <v>0</v>
      </c>
      <c r="AG59" s="40">
        <v>0</v>
      </c>
      <c r="AH59" s="40">
        <v>0</v>
      </c>
      <c r="AI59" s="40">
        <v>0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208">
        <v>0</v>
      </c>
      <c r="AQ59" s="168">
        <f t="shared" si="3"/>
        <v>0</v>
      </c>
      <c r="AR59" s="40"/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176">
        <v>0</v>
      </c>
      <c r="BE59" s="191">
        <f t="shared" si="4"/>
        <v>0</v>
      </c>
      <c r="BF59" s="40"/>
      <c r="BG59" s="40">
        <v>0</v>
      </c>
      <c r="BH59" s="40">
        <v>0</v>
      </c>
      <c r="BI59" s="40">
        <v>0</v>
      </c>
      <c r="BJ59" s="40">
        <v>0</v>
      </c>
      <c r="BK59" s="40">
        <v>0</v>
      </c>
      <c r="BL59" s="40">
        <v>0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</row>
    <row r="60" spans="1:70" ht="12.75" customHeight="1" outlineLevel="3" x14ac:dyDescent="0.2">
      <c r="B60" s="38" t="s">
        <v>35</v>
      </c>
      <c r="C60" s="37" t="s">
        <v>34</v>
      </c>
      <c r="D60" s="40">
        <f t="shared" si="533"/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0</v>
      </c>
      <c r="P60" s="176">
        <v>0</v>
      </c>
      <c r="Q60" s="191">
        <f t="shared" si="534"/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176">
        <v>0</v>
      </c>
      <c r="AD60" s="225">
        <f t="shared" si="535"/>
        <v>0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0</v>
      </c>
      <c r="AP60" s="208">
        <v>0</v>
      </c>
      <c r="AQ60" s="168">
        <f t="shared" si="3"/>
        <v>0</v>
      </c>
      <c r="AR60" s="40"/>
      <c r="AS60" s="40">
        <v>0</v>
      </c>
      <c r="AT60" s="40">
        <v>0</v>
      </c>
      <c r="AU60" s="40">
        <v>0</v>
      </c>
      <c r="AV60" s="40">
        <v>0</v>
      </c>
      <c r="AW60" s="40">
        <v>0</v>
      </c>
      <c r="AX60" s="40">
        <v>0</v>
      </c>
      <c r="AY60" s="40">
        <v>0</v>
      </c>
      <c r="AZ60" s="40">
        <v>0</v>
      </c>
      <c r="BA60" s="40">
        <v>0</v>
      </c>
      <c r="BB60" s="40">
        <v>0</v>
      </c>
      <c r="BC60" s="40">
        <v>0</v>
      </c>
      <c r="BD60" s="176">
        <v>0</v>
      </c>
      <c r="BE60" s="191">
        <f t="shared" si="4"/>
        <v>0</v>
      </c>
      <c r="BF60" s="40"/>
      <c r="BG60" s="40">
        <v>0</v>
      </c>
      <c r="BH60" s="40">
        <v>0</v>
      </c>
      <c r="BI60" s="40">
        <v>0</v>
      </c>
      <c r="BJ60" s="40">
        <v>0</v>
      </c>
      <c r="BK60" s="40">
        <v>0</v>
      </c>
      <c r="BL60" s="40">
        <v>0</v>
      </c>
      <c r="BM60" s="40">
        <v>0</v>
      </c>
      <c r="BN60" s="40">
        <v>0</v>
      </c>
      <c r="BO60" s="40">
        <v>0</v>
      </c>
      <c r="BP60" s="40">
        <v>0</v>
      </c>
      <c r="BQ60" s="40">
        <v>0</v>
      </c>
      <c r="BR60" s="40">
        <v>0</v>
      </c>
    </row>
    <row r="61" spans="1:70" s="6" customFormat="1" outlineLevel="2" x14ac:dyDescent="0.2">
      <c r="A61" s="30"/>
      <c r="B61" s="29" t="s">
        <v>33</v>
      </c>
      <c r="C61" s="42" t="s">
        <v>32</v>
      </c>
      <c r="D61" s="26">
        <f t="shared" si="533"/>
        <v>0</v>
      </c>
      <c r="E61" s="26">
        <f>SUM(E59:E60)</f>
        <v>0</v>
      </c>
      <c r="F61" s="26">
        <f>SUM(F59:F60)</f>
        <v>0</v>
      </c>
      <c r="G61" s="26">
        <f t="shared" ref="G61:L61" si="854">SUM(G59:G60)</f>
        <v>0</v>
      </c>
      <c r="H61" s="26">
        <f t="shared" si="854"/>
        <v>0</v>
      </c>
      <c r="I61" s="26">
        <f t="shared" si="854"/>
        <v>0</v>
      </c>
      <c r="J61" s="26">
        <f t="shared" si="854"/>
        <v>0</v>
      </c>
      <c r="K61" s="26">
        <f t="shared" si="854"/>
        <v>0</v>
      </c>
      <c r="L61" s="26">
        <f t="shared" si="854"/>
        <v>0</v>
      </c>
      <c r="M61" s="26">
        <f t="shared" ref="M61" si="855">SUM(M59:M60)</f>
        <v>0</v>
      </c>
      <c r="N61" s="26">
        <f t="shared" ref="N61" si="856">SUM(N59:N60)</f>
        <v>0</v>
      </c>
      <c r="O61" s="26">
        <f t="shared" ref="O61" si="857">SUM(O59:O60)</f>
        <v>0</v>
      </c>
      <c r="P61" s="177">
        <f t="shared" ref="P61" si="858">SUM(P59:P60)</f>
        <v>0</v>
      </c>
      <c r="Q61" s="192">
        <f t="shared" si="534"/>
        <v>0</v>
      </c>
      <c r="R61" s="26">
        <f>SUM(R59:R60)</f>
        <v>0</v>
      </c>
      <c r="S61" s="26">
        <f>SUM(S59:S60)</f>
        <v>0</v>
      </c>
      <c r="T61" s="26">
        <f t="shared" ref="T61" si="859">SUM(T59:T60)</f>
        <v>0</v>
      </c>
      <c r="U61" s="26">
        <f t="shared" ref="U61" si="860">SUM(U59:U60)</f>
        <v>0</v>
      </c>
      <c r="V61" s="26">
        <f t="shared" ref="V61" si="861">SUM(V59:V60)</f>
        <v>0</v>
      </c>
      <c r="W61" s="26">
        <f t="shared" ref="W61" si="862">SUM(W59:W60)</f>
        <v>0</v>
      </c>
      <c r="X61" s="26">
        <f t="shared" ref="X61" si="863">SUM(X59:X60)</f>
        <v>0</v>
      </c>
      <c r="Y61" s="26">
        <f t="shared" ref="Y61:Z61" si="864">SUM(Y59:Y60)</f>
        <v>0</v>
      </c>
      <c r="Z61" s="26">
        <f t="shared" si="864"/>
        <v>0</v>
      </c>
      <c r="AA61" s="26">
        <f t="shared" ref="AA61" si="865">SUM(AA59:AA60)</f>
        <v>0</v>
      </c>
      <c r="AB61" s="26">
        <f t="shared" ref="AB61" si="866">SUM(AB59:AB60)</f>
        <v>0</v>
      </c>
      <c r="AC61" s="177">
        <f t="shared" ref="AC61" si="867">SUM(AC59:AC60)</f>
        <v>0</v>
      </c>
      <c r="AD61" s="226">
        <f t="shared" si="535"/>
        <v>0</v>
      </c>
      <c r="AE61" s="26">
        <f>SUM(AE59:AE60)</f>
        <v>0</v>
      </c>
      <c r="AF61" s="26">
        <f>SUM(AF59:AF60)</f>
        <v>0</v>
      </c>
      <c r="AG61" s="26">
        <f t="shared" ref="AG61" si="868">SUM(AG59:AG60)</f>
        <v>0</v>
      </c>
      <c r="AH61" s="26">
        <f t="shared" ref="AH61" si="869">SUM(AH59:AH60)</f>
        <v>0</v>
      </c>
      <c r="AI61" s="26">
        <f t="shared" ref="AI61" si="870">SUM(AI59:AI60)</f>
        <v>0</v>
      </c>
      <c r="AJ61" s="26">
        <f t="shared" ref="AJ61" si="871">SUM(AJ59:AJ60)</f>
        <v>0</v>
      </c>
      <c r="AK61" s="26">
        <f t="shared" ref="AK61" si="872">SUM(AK59:AK60)</f>
        <v>0</v>
      </c>
      <c r="AL61" s="26">
        <f t="shared" ref="AL61" si="873">SUM(AL59:AL60)</f>
        <v>0</v>
      </c>
      <c r="AM61" s="26">
        <f t="shared" ref="AM61" si="874">SUM(AM59:AM60)</f>
        <v>0</v>
      </c>
      <c r="AN61" s="26">
        <f t="shared" ref="AN61" si="875">SUM(AN59:AN60)</f>
        <v>0</v>
      </c>
      <c r="AO61" s="26">
        <f t="shared" ref="AO61" si="876">SUM(AO59:AO60)</f>
        <v>0</v>
      </c>
      <c r="AP61" s="209">
        <f t="shared" ref="AP61" si="877">SUM(AP59:AP60)</f>
        <v>0</v>
      </c>
      <c r="AQ61" s="169">
        <f t="shared" si="3"/>
        <v>0</v>
      </c>
      <c r="AR61" s="26"/>
      <c r="AS61" s="26">
        <f>SUM(AS59:AS60)</f>
        <v>0</v>
      </c>
      <c r="AT61" s="26">
        <f>SUM(AT59:AT60)</f>
        <v>0</v>
      </c>
      <c r="AU61" s="26">
        <f t="shared" ref="AU61" si="878">SUM(AU59:AU60)</f>
        <v>0</v>
      </c>
      <c r="AV61" s="26">
        <f t="shared" ref="AV61" si="879">SUM(AV59:AV60)</f>
        <v>0</v>
      </c>
      <c r="AW61" s="26">
        <f t="shared" ref="AW61" si="880">SUM(AW59:AW60)</f>
        <v>0</v>
      </c>
      <c r="AX61" s="26">
        <f t="shared" ref="AX61" si="881">SUM(AX59:AX60)</f>
        <v>0</v>
      </c>
      <c r="AY61" s="26">
        <f t="shared" ref="AY61" si="882">SUM(AY59:AY60)</f>
        <v>0</v>
      </c>
      <c r="AZ61" s="26">
        <f t="shared" ref="AZ61" si="883">SUM(AZ59:AZ60)</f>
        <v>0</v>
      </c>
      <c r="BA61" s="26">
        <f t="shared" ref="BA61" si="884">SUM(BA59:BA60)</f>
        <v>0</v>
      </c>
      <c r="BB61" s="26">
        <f t="shared" ref="BB61" si="885">SUM(BB59:BB60)</f>
        <v>0</v>
      </c>
      <c r="BC61" s="26">
        <f t="shared" ref="BC61" si="886">SUM(BC59:BC60)</f>
        <v>0</v>
      </c>
      <c r="BD61" s="177">
        <f t="shared" ref="BD61" si="887">SUM(BD59:BD60)</f>
        <v>0</v>
      </c>
      <c r="BE61" s="192">
        <f t="shared" si="4"/>
        <v>0</v>
      </c>
      <c r="BF61" s="26"/>
      <c r="BG61" s="26">
        <f>SUM(BG59:BG60)</f>
        <v>0</v>
      </c>
      <c r="BH61" s="26">
        <f>SUM(BH59:BH60)</f>
        <v>0</v>
      </c>
      <c r="BI61" s="26">
        <f t="shared" ref="BI61" si="888">SUM(BI59:BI60)</f>
        <v>0</v>
      </c>
      <c r="BJ61" s="26">
        <f t="shared" ref="BJ61" si="889">SUM(BJ59:BJ60)</f>
        <v>0</v>
      </c>
      <c r="BK61" s="26">
        <f t="shared" ref="BK61" si="890">SUM(BK59:BK60)</f>
        <v>0</v>
      </c>
      <c r="BL61" s="26">
        <f t="shared" ref="BL61" si="891">SUM(BL59:BL60)</f>
        <v>0</v>
      </c>
      <c r="BM61" s="26">
        <f t="shared" ref="BM61" si="892">SUM(BM59:BM60)</f>
        <v>0</v>
      </c>
      <c r="BN61" s="26">
        <f t="shared" ref="BN61" si="893">SUM(BN59:BN60)</f>
        <v>0</v>
      </c>
      <c r="BO61" s="26">
        <f t="shared" ref="BO61" si="894">SUM(BO59:BO60)</f>
        <v>0</v>
      </c>
      <c r="BP61" s="26">
        <f t="shared" ref="BP61" si="895">SUM(BP59:BP60)</f>
        <v>0</v>
      </c>
      <c r="BQ61" s="26">
        <f t="shared" ref="BQ61" si="896">SUM(BQ59:BQ60)</f>
        <v>0</v>
      </c>
      <c r="BR61" s="26">
        <f t="shared" ref="BR61" si="897">SUM(BR59:BR60)</f>
        <v>0</v>
      </c>
    </row>
    <row r="62" spans="1:70" ht="12.75" customHeight="1" outlineLevel="3" x14ac:dyDescent="0.2">
      <c r="B62" s="38" t="s">
        <v>26</v>
      </c>
      <c r="C62" s="37" t="s">
        <v>31</v>
      </c>
      <c r="D62" s="40">
        <f t="shared" si="533"/>
        <v>3332160713.7171431</v>
      </c>
      <c r="E62" s="40">
        <f>I62/3</f>
        <v>98004726.874033615</v>
      </c>
      <c r="F62" s="40">
        <f>3528170167.46521/12</f>
        <v>294014180.62210083</v>
      </c>
      <c r="G62" s="40">
        <f t="shared" ref="G62:P62" si="898">3528170167.46521/12</f>
        <v>294014180.62210083</v>
      </c>
      <c r="H62" s="40">
        <f t="shared" si="898"/>
        <v>294014180.62210083</v>
      </c>
      <c r="I62" s="40">
        <f t="shared" si="898"/>
        <v>294014180.62210083</v>
      </c>
      <c r="J62" s="40">
        <f t="shared" si="898"/>
        <v>294014180.62210083</v>
      </c>
      <c r="K62" s="40">
        <f t="shared" si="898"/>
        <v>294014180.62210083</v>
      </c>
      <c r="L62" s="40">
        <f t="shared" si="898"/>
        <v>294014180.62210083</v>
      </c>
      <c r="M62" s="40">
        <f t="shared" si="898"/>
        <v>294014180.62210083</v>
      </c>
      <c r="N62" s="40">
        <f t="shared" si="898"/>
        <v>294014180.62210083</v>
      </c>
      <c r="O62" s="40">
        <f t="shared" si="898"/>
        <v>294014180.62210083</v>
      </c>
      <c r="P62" s="176">
        <f t="shared" si="898"/>
        <v>294014180.62210083</v>
      </c>
      <c r="Q62" s="191">
        <f t="shared" si="534"/>
        <v>3332160713.7171431</v>
      </c>
      <c r="R62" s="40">
        <f>V62/3</f>
        <v>98004726.874033615</v>
      </c>
      <c r="S62" s="40">
        <f>3528170167.46521/12</f>
        <v>294014180.62210083</v>
      </c>
      <c r="T62" s="40">
        <f t="shared" ref="T62:AC62" si="899">3528170167.46521/12</f>
        <v>294014180.62210083</v>
      </c>
      <c r="U62" s="40">
        <f t="shared" si="899"/>
        <v>294014180.62210083</v>
      </c>
      <c r="V62" s="40">
        <f t="shared" si="899"/>
        <v>294014180.62210083</v>
      </c>
      <c r="W62" s="40">
        <f t="shared" si="899"/>
        <v>294014180.62210083</v>
      </c>
      <c r="X62" s="40">
        <f t="shared" si="899"/>
        <v>294014180.62210083</v>
      </c>
      <c r="Y62" s="40">
        <f t="shared" si="899"/>
        <v>294014180.62210083</v>
      </c>
      <c r="Z62" s="40">
        <f t="shared" si="899"/>
        <v>294014180.62210083</v>
      </c>
      <c r="AA62" s="40">
        <f t="shared" si="899"/>
        <v>294014180.62210083</v>
      </c>
      <c r="AB62" s="40">
        <f t="shared" si="899"/>
        <v>294014180.62210083</v>
      </c>
      <c r="AC62" s="176">
        <f t="shared" si="899"/>
        <v>294014180.62210083</v>
      </c>
      <c r="AD62" s="225">
        <f t="shared" si="535"/>
        <v>3332160713.7171431</v>
      </c>
      <c r="AE62" s="40">
        <f>AI62/3</f>
        <v>98004726.874033615</v>
      </c>
      <c r="AF62" s="40">
        <f>3528170167.46521/12</f>
        <v>294014180.62210083</v>
      </c>
      <c r="AG62" s="40">
        <f t="shared" ref="AG62:AP62" si="900">3528170167.46521/12</f>
        <v>294014180.62210083</v>
      </c>
      <c r="AH62" s="40">
        <f t="shared" si="900"/>
        <v>294014180.62210083</v>
      </c>
      <c r="AI62" s="40">
        <f t="shared" si="900"/>
        <v>294014180.62210083</v>
      </c>
      <c r="AJ62" s="40">
        <f t="shared" si="900"/>
        <v>294014180.62210083</v>
      </c>
      <c r="AK62" s="40">
        <f t="shared" si="900"/>
        <v>294014180.62210083</v>
      </c>
      <c r="AL62" s="40">
        <f t="shared" si="900"/>
        <v>294014180.62210083</v>
      </c>
      <c r="AM62" s="40">
        <f t="shared" si="900"/>
        <v>294014180.62210083</v>
      </c>
      <c r="AN62" s="40">
        <f t="shared" si="900"/>
        <v>294014180.62210083</v>
      </c>
      <c r="AO62" s="40">
        <f t="shared" si="900"/>
        <v>294014180.62210083</v>
      </c>
      <c r="AP62" s="208">
        <f t="shared" si="900"/>
        <v>294014180.62210083</v>
      </c>
      <c r="AQ62" s="168">
        <f t="shared" si="3"/>
        <v>0</v>
      </c>
      <c r="AR62" s="40"/>
      <c r="AS62" s="40">
        <f>AW62/3</f>
        <v>98004726.874033615</v>
      </c>
      <c r="AT62" s="40">
        <f>3528170167.46521/12</f>
        <v>294014180.62210083</v>
      </c>
      <c r="AU62" s="40">
        <f t="shared" ref="AU62:BD62" si="901">3528170167.46521/12</f>
        <v>294014180.62210083</v>
      </c>
      <c r="AV62" s="40">
        <f t="shared" si="901"/>
        <v>294014180.62210083</v>
      </c>
      <c r="AW62" s="40">
        <f t="shared" si="901"/>
        <v>294014180.62210083</v>
      </c>
      <c r="AX62" s="40">
        <f t="shared" si="901"/>
        <v>294014180.62210083</v>
      </c>
      <c r="AY62" s="40">
        <f t="shared" si="901"/>
        <v>294014180.62210083</v>
      </c>
      <c r="AZ62" s="40">
        <f t="shared" si="901"/>
        <v>294014180.62210083</v>
      </c>
      <c r="BA62" s="40">
        <f t="shared" si="901"/>
        <v>294014180.62210083</v>
      </c>
      <c r="BB62" s="40">
        <f t="shared" si="901"/>
        <v>294014180.62210083</v>
      </c>
      <c r="BC62" s="40">
        <f t="shared" si="901"/>
        <v>294014180.62210083</v>
      </c>
      <c r="BD62" s="176">
        <f t="shared" si="901"/>
        <v>294014180.62210083</v>
      </c>
      <c r="BE62" s="191">
        <f t="shared" si="4"/>
        <v>0</v>
      </c>
      <c r="BF62" s="40"/>
      <c r="BG62" s="40">
        <f>BK62/3</f>
        <v>98004726.874033615</v>
      </c>
      <c r="BH62" s="40">
        <f>3528170167.46521/12</f>
        <v>294014180.62210083</v>
      </c>
      <c r="BI62" s="40">
        <f t="shared" ref="BI62:BR62" si="902">3528170167.46521/12</f>
        <v>294014180.62210083</v>
      </c>
      <c r="BJ62" s="40">
        <f t="shared" si="902"/>
        <v>294014180.62210083</v>
      </c>
      <c r="BK62" s="40">
        <f t="shared" si="902"/>
        <v>294014180.62210083</v>
      </c>
      <c r="BL62" s="40">
        <f t="shared" si="902"/>
        <v>294014180.62210083</v>
      </c>
      <c r="BM62" s="40">
        <f t="shared" si="902"/>
        <v>294014180.62210083</v>
      </c>
      <c r="BN62" s="40">
        <f t="shared" si="902"/>
        <v>294014180.62210083</v>
      </c>
      <c r="BO62" s="40">
        <f t="shared" si="902"/>
        <v>294014180.62210083</v>
      </c>
      <c r="BP62" s="40">
        <f t="shared" si="902"/>
        <v>294014180.62210083</v>
      </c>
      <c r="BQ62" s="40">
        <f t="shared" si="902"/>
        <v>294014180.62210083</v>
      </c>
      <c r="BR62" s="40">
        <f t="shared" si="902"/>
        <v>294014180.62210083</v>
      </c>
    </row>
    <row r="63" spans="1:70" ht="12.75" customHeight="1" outlineLevel="3" x14ac:dyDescent="0.2">
      <c r="B63" s="38" t="s">
        <v>30</v>
      </c>
      <c r="C63" s="37" t="s">
        <v>29</v>
      </c>
      <c r="D63" s="35">
        <f t="shared" si="533"/>
        <v>616449732.03767061</v>
      </c>
      <c r="E63" s="35">
        <f>I63/3</f>
        <v>18130874.471696194</v>
      </c>
      <c r="F63" s="35">
        <f>652711480.981063/12</f>
        <v>54392623.415088587</v>
      </c>
      <c r="G63" s="35">
        <f t="shared" ref="G63:P63" si="903">652711480.981063/12</f>
        <v>54392623.415088587</v>
      </c>
      <c r="H63" s="35">
        <f t="shared" si="903"/>
        <v>54392623.415088587</v>
      </c>
      <c r="I63" s="35">
        <f t="shared" si="903"/>
        <v>54392623.415088587</v>
      </c>
      <c r="J63" s="35">
        <f t="shared" si="903"/>
        <v>54392623.415088587</v>
      </c>
      <c r="K63" s="35">
        <f t="shared" si="903"/>
        <v>54392623.415088587</v>
      </c>
      <c r="L63" s="35">
        <f t="shared" si="903"/>
        <v>54392623.415088587</v>
      </c>
      <c r="M63" s="35">
        <f t="shared" si="903"/>
        <v>54392623.415088587</v>
      </c>
      <c r="N63" s="35">
        <f t="shared" si="903"/>
        <v>54392623.415088587</v>
      </c>
      <c r="O63" s="35">
        <f t="shared" si="903"/>
        <v>54392623.415088587</v>
      </c>
      <c r="P63" s="179">
        <f t="shared" si="903"/>
        <v>54392623.415088587</v>
      </c>
      <c r="Q63" s="194">
        <f t="shared" si="534"/>
        <v>616449732.03767061</v>
      </c>
      <c r="R63" s="35">
        <f>V63/3</f>
        <v>18130874.471696194</v>
      </c>
      <c r="S63" s="35">
        <f>652711480.981063/12</f>
        <v>54392623.415088587</v>
      </c>
      <c r="T63" s="35">
        <f t="shared" ref="T63:AC63" si="904">652711480.981063/12</f>
        <v>54392623.415088587</v>
      </c>
      <c r="U63" s="35">
        <f t="shared" si="904"/>
        <v>54392623.415088587</v>
      </c>
      <c r="V63" s="35">
        <f t="shared" si="904"/>
        <v>54392623.415088587</v>
      </c>
      <c r="W63" s="35">
        <f t="shared" si="904"/>
        <v>54392623.415088587</v>
      </c>
      <c r="X63" s="35">
        <f t="shared" si="904"/>
        <v>54392623.415088587</v>
      </c>
      <c r="Y63" s="35">
        <f t="shared" si="904"/>
        <v>54392623.415088587</v>
      </c>
      <c r="Z63" s="35">
        <f t="shared" si="904"/>
        <v>54392623.415088587</v>
      </c>
      <c r="AA63" s="35">
        <f t="shared" si="904"/>
        <v>54392623.415088587</v>
      </c>
      <c r="AB63" s="35">
        <f t="shared" si="904"/>
        <v>54392623.415088587</v>
      </c>
      <c r="AC63" s="179">
        <f t="shared" si="904"/>
        <v>54392623.415088587</v>
      </c>
      <c r="AD63" s="225">
        <f t="shared" si="535"/>
        <v>616449732.03767061</v>
      </c>
      <c r="AE63" s="35">
        <f>AI63/3</f>
        <v>18130874.471696194</v>
      </c>
      <c r="AF63" s="35">
        <f>652711480.981063/12</f>
        <v>54392623.415088587</v>
      </c>
      <c r="AG63" s="35">
        <f t="shared" ref="AG63:AP63" si="905">652711480.981063/12</f>
        <v>54392623.415088587</v>
      </c>
      <c r="AH63" s="35">
        <f t="shared" si="905"/>
        <v>54392623.415088587</v>
      </c>
      <c r="AI63" s="35">
        <f t="shared" si="905"/>
        <v>54392623.415088587</v>
      </c>
      <c r="AJ63" s="35">
        <f t="shared" si="905"/>
        <v>54392623.415088587</v>
      </c>
      <c r="AK63" s="35">
        <f t="shared" si="905"/>
        <v>54392623.415088587</v>
      </c>
      <c r="AL63" s="35">
        <f t="shared" si="905"/>
        <v>54392623.415088587</v>
      </c>
      <c r="AM63" s="35">
        <f t="shared" si="905"/>
        <v>54392623.415088587</v>
      </c>
      <c r="AN63" s="35">
        <f t="shared" si="905"/>
        <v>54392623.415088587</v>
      </c>
      <c r="AO63" s="35">
        <f t="shared" si="905"/>
        <v>54392623.415088587</v>
      </c>
      <c r="AP63" s="211">
        <f t="shared" si="905"/>
        <v>54392623.415088587</v>
      </c>
      <c r="AQ63" s="171">
        <f t="shared" si="3"/>
        <v>0</v>
      </c>
      <c r="AR63" s="35"/>
      <c r="AS63" s="35">
        <f>AW63/3</f>
        <v>18130874.471696194</v>
      </c>
      <c r="AT63" s="35">
        <f>652711480.981063/12</f>
        <v>54392623.415088587</v>
      </c>
      <c r="AU63" s="35">
        <f t="shared" ref="AU63:BD63" si="906">652711480.981063/12</f>
        <v>54392623.415088587</v>
      </c>
      <c r="AV63" s="35">
        <f t="shared" si="906"/>
        <v>54392623.415088587</v>
      </c>
      <c r="AW63" s="35">
        <f t="shared" si="906"/>
        <v>54392623.415088587</v>
      </c>
      <c r="AX63" s="35">
        <f t="shared" si="906"/>
        <v>54392623.415088587</v>
      </c>
      <c r="AY63" s="35">
        <f t="shared" si="906"/>
        <v>54392623.415088587</v>
      </c>
      <c r="AZ63" s="35">
        <f t="shared" si="906"/>
        <v>54392623.415088587</v>
      </c>
      <c r="BA63" s="35">
        <f t="shared" si="906"/>
        <v>54392623.415088587</v>
      </c>
      <c r="BB63" s="35">
        <f t="shared" si="906"/>
        <v>54392623.415088587</v>
      </c>
      <c r="BC63" s="35">
        <f t="shared" si="906"/>
        <v>54392623.415088587</v>
      </c>
      <c r="BD63" s="179">
        <f t="shared" si="906"/>
        <v>54392623.415088587</v>
      </c>
      <c r="BE63" s="194">
        <f t="shared" si="4"/>
        <v>0</v>
      </c>
      <c r="BF63" s="35"/>
      <c r="BG63" s="35">
        <f>BK63/3</f>
        <v>18130874.471696194</v>
      </c>
      <c r="BH63" s="35">
        <f>652711480.981063/12</f>
        <v>54392623.415088587</v>
      </c>
      <c r="BI63" s="35">
        <f t="shared" ref="BI63:BR63" si="907">652711480.981063/12</f>
        <v>54392623.415088587</v>
      </c>
      <c r="BJ63" s="35">
        <f t="shared" si="907"/>
        <v>54392623.415088587</v>
      </c>
      <c r="BK63" s="35">
        <f t="shared" si="907"/>
        <v>54392623.415088587</v>
      </c>
      <c r="BL63" s="35">
        <f t="shared" si="907"/>
        <v>54392623.415088587</v>
      </c>
      <c r="BM63" s="35">
        <f t="shared" si="907"/>
        <v>54392623.415088587</v>
      </c>
      <c r="BN63" s="35">
        <f t="shared" si="907"/>
        <v>54392623.415088587</v>
      </c>
      <c r="BO63" s="35">
        <f t="shared" si="907"/>
        <v>54392623.415088587</v>
      </c>
      <c r="BP63" s="35">
        <f t="shared" si="907"/>
        <v>54392623.415088587</v>
      </c>
      <c r="BQ63" s="35">
        <f t="shared" si="907"/>
        <v>54392623.415088587</v>
      </c>
      <c r="BR63" s="35">
        <f t="shared" si="907"/>
        <v>54392623.415088587</v>
      </c>
    </row>
    <row r="64" spans="1:70" s="6" customFormat="1" outlineLevel="2" x14ac:dyDescent="0.2">
      <c r="A64" s="30"/>
      <c r="B64" s="29" t="s">
        <v>28</v>
      </c>
      <c r="C64" s="28" t="s">
        <v>27</v>
      </c>
      <c r="D64" s="26">
        <f t="shared" si="533"/>
        <v>3948610445.7548137</v>
      </c>
      <c r="E64" s="26">
        <f>SUM(E62:E63)</f>
        <v>116135601.34572981</v>
      </c>
      <c r="F64" s="26">
        <f>SUM(F62:F63)</f>
        <v>348406804.03718942</v>
      </c>
      <c r="G64" s="26">
        <f t="shared" ref="G64:L64" si="908">SUM(G62:G63)</f>
        <v>348406804.03718942</v>
      </c>
      <c r="H64" s="26">
        <f t="shared" si="908"/>
        <v>348406804.03718942</v>
      </c>
      <c r="I64" s="26">
        <f t="shared" si="908"/>
        <v>348406804.03718942</v>
      </c>
      <c r="J64" s="26">
        <f t="shared" si="908"/>
        <v>348406804.03718942</v>
      </c>
      <c r="K64" s="26">
        <f t="shared" si="908"/>
        <v>348406804.03718942</v>
      </c>
      <c r="L64" s="26">
        <f t="shared" si="908"/>
        <v>348406804.03718942</v>
      </c>
      <c r="M64" s="26">
        <f t="shared" ref="M64" si="909">SUM(M62:M63)</f>
        <v>348406804.03718942</v>
      </c>
      <c r="N64" s="26">
        <f t="shared" ref="N64" si="910">SUM(N62:N63)</f>
        <v>348406804.03718942</v>
      </c>
      <c r="O64" s="26">
        <f t="shared" ref="O64" si="911">SUM(O62:O63)</f>
        <v>348406804.03718942</v>
      </c>
      <c r="P64" s="177">
        <f t="shared" ref="P64" si="912">SUM(P62:P63)</f>
        <v>348406804.03718942</v>
      </c>
      <c r="Q64" s="192">
        <f t="shared" si="534"/>
        <v>3948610445.7548137</v>
      </c>
      <c r="R64" s="26">
        <f>SUM(R62:R63)</f>
        <v>116135601.34572981</v>
      </c>
      <c r="S64" s="26">
        <f>SUM(S62:S63)</f>
        <v>348406804.03718942</v>
      </c>
      <c r="T64" s="26">
        <f t="shared" ref="T64" si="913">SUM(T62:T63)</f>
        <v>348406804.03718942</v>
      </c>
      <c r="U64" s="26">
        <f t="shared" ref="U64" si="914">SUM(U62:U63)</f>
        <v>348406804.03718942</v>
      </c>
      <c r="V64" s="26">
        <f t="shared" ref="V64" si="915">SUM(V62:V63)</f>
        <v>348406804.03718942</v>
      </c>
      <c r="W64" s="26">
        <f t="shared" ref="W64" si="916">SUM(W62:W63)</f>
        <v>348406804.03718942</v>
      </c>
      <c r="X64" s="26">
        <f t="shared" ref="X64" si="917">SUM(X62:X63)</f>
        <v>348406804.03718942</v>
      </c>
      <c r="Y64" s="26">
        <f t="shared" ref="Y64:Z64" si="918">SUM(Y62:Y63)</f>
        <v>348406804.03718942</v>
      </c>
      <c r="Z64" s="26">
        <f t="shared" si="918"/>
        <v>348406804.03718942</v>
      </c>
      <c r="AA64" s="26">
        <f t="shared" ref="AA64" si="919">SUM(AA62:AA63)</f>
        <v>348406804.03718942</v>
      </c>
      <c r="AB64" s="26">
        <f t="shared" ref="AB64" si="920">SUM(AB62:AB63)</f>
        <v>348406804.03718942</v>
      </c>
      <c r="AC64" s="177">
        <f t="shared" ref="AC64" si="921">SUM(AC62:AC63)</f>
        <v>348406804.03718942</v>
      </c>
      <c r="AD64" s="226">
        <f t="shared" si="535"/>
        <v>3948610445.7548137</v>
      </c>
      <c r="AE64" s="26">
        <f>SUM(AE62:AE63)</f>
        <v>116135601.34572981</v>
      </c>
      <c r="AF64" s="26">
        <f>SUM(AF62:AF63)</f>
        <v>348406804.03718942</v>
      </c>
      <c r="AG64" s="26">
        <f t="shared" ref="AG64" si="922">SUM(AG62:AG63)</f>
        <v>348406804.03718942</v>
      </c>
      <c r="AH64" s="26">
        <f t="shared" ref="AH64" si="923">SUM(AH62:AH63)</f>
        <v>348406804.03718942</v>
      </c>
      <c r="AI64" s="26">
        <f t="shared" ref="AI64" si="924">SUM(AI62:AI63)</f>
        <v>348406804.03718942</v>
      </c>
      <c r="AJ64" s="26">
        <f t="shared" ref="AJ64" si="925">SUM(AJ62:AJ63)</f>
        <v>348406804.03718942</v>
      </c>
      <c r="AK64" s="26">
        <f t="shared" ref="AK64" si="926">SUM(AK62:AK63)</f>
        <v>348406804.03718942</v>
      </c>
      <c r="AL64" s="26">
        <f t="shared" ref="AL64" si="927">SUM(AL62:AL63)</f>
        <v>348406804.03718942</v>
      </c>
      <c r="AM64" s="26">
        <f t="shared" ref="AM64" si="928">SUM(AM62:AM63)</f>
        <v>348406804.03718942</v>
      </c>
      <c r="AN64" s="26">
        <f t="shared" ref="AN64" si="929">SUM(AN62:AN63)</f>
        <v>348406804.03718942</v>
      </c>
      <c r="AO64" s="26">
        <f t="shared" ref="AO64" si="930">SUM(AO62:AO63)</f>
        <v>348406804.03718942</v>
      </c>
      <c r="AP64" s="209">
        <f t="shared" ref="AP64" si="931">SUM(AP62:AP63)</f>
        <v>348406804.03718942</v>
      </c>
      <c r="AQ64" s="169">
        <f t="shared" si="3"/>
        <v>0</v>
      </c>
      <c r="AR64" s="26"/>
      <c r="AS64" s="26">
        <f>SUM(AS62:AS63)</f>
        <v>116135601.34572981</v>
      </c>
      <c r="AT64" s="26">
        <f>SUM(AT62:AT63)</f>
        <v>348406804.03718942</v>
      </c>
      <c r="AU64" s="26">
        <f t="shared" ref="AU64" si="932">SUM(AU62:AU63)</f>
        <v>348406804.03718942</v>
      </c>
      <c r="AV64" s="26">
        <f t="shared" ref="AV64" si="933">SUM(AV62:AV63)</f>
        <v>348406804.03718942</v>
      </c>
      <c r="AW64" s="26">
        <f t="shared" ref="AW64" si="934">SUM(AW62:AW63)</f>
        <v>348406804.03718942</v>
      </c>
      <c r="AX64" s="26">
        <f t="shared" ref="AX64" si="935">SUM(AX62:AX63)</f>
        <v>348406804.03718942</v>
      </c>
      <c r="AY64" s="26">
        <f t="shared" ref="AY64" si="936">SUM(AY62:AY63)</f>
        <v>348406804.03718942</v>
      </c>
      <c r="AZ64" s="26">
        <f t="shared" ref="AZ64" si="937">SUM(AZ62:AZ63)</f>
        <v>348406804.03718942</v>
      </c>
      <c r="BA64" s="26">
        <f t="shared" ref="BA64" si="938">SUM(BA62:BA63)</f>
        <v>348406804.03718942</v>
      </c>
      <c r="BB64" s="26">
        <f t="shared" ref="BB64" si="939">SUM(BB62:BB63)</f>
        <v>348406804.03718942</v>
      </c>
      <c r="BC64" s="26">
        <f t="shared" ref="BC64" si="940">SUM(BC62:BC63)</f>
        <v>348406804.03718942</v>
      </c>
      <c r="BD64" s="177">
        <f t="shared" ref="BD64" si="941">SUM(BD62:BD63)</f>
        <v>348406804.03718942</v>
      </c>
      <c r="BE64" s="192">
        <f t="shared" si="4"/>
        <v>0</v>
      </c>
      <c r="BF64" s="26"/>
      <c r="BG64" s="26">
        <f>SUM(BG62:BG63)</f>
        <v>116135601.34572981</v>
      </c>
      <c r="BH64" s="26">
        <f>SUM(BH62:BH63)</f>
        <v>348406804.03718942</v>
      </c>
      <c r="BI64" s="26">
        <f t="shared" ref="BI64" si="942">SUM(BI62:BI63)</f>
        <v>348406804.03718942</v>
      </c>
      <c r="BJ64" s="26">
        <f t="shared" ref="BJ64" si="943">SUM(BJ62:BJ63)</f>
        <v>348406804.03718942</v>
      </c>
      <c r="BK64" s="26">
        <f t="shared" ref="BK64" si="944">SUM(BK62:BK63)</f>
        <v>348406804.03718942</v>
      </c>
      <c r="BL64" s="26">
        <f t="shared" ref="BL64" si="945">SUM(BL62:BL63)</f>
        <v>348406804.03718942</v>
      </c>
      <c r="BM64" s="26">
        <f t="shared" ref="BM64" si="946">SUM(BM62:BM63)</f>
        <v>348406804.03718942</v>
      </c>
      <c r="BN64" s="26">
        <f t="shared" ref="BN64" si="947">SUM(BN62:BN63)</f>
        <v>348406804.03718942</v>
      </c>
      <c r="BO64" s="26">
        <f t="shared" ref="BO64" si="948">SUM(BO62:BO63)</f>
        <v>348406804.03718942</v>
      </c>
      <c r="BP64" s="26">
        <f t="shared" ref="BP64" si="949">SUM(BP62:BP63)</f>
        <v>348406804.03718942</v>
      </c>
      <c r="BQ64" s="26">
        <f t="shared" ref="BQ64" si="950">SUM(BQ62:BQ63)</f>
        <v>348406804.03718942</v>
      </c>
      <c r="BR64" s="26">
        <f t="shared" ref="BR64" si="951">SUM(BR62:BR63)</f>
        <v>348406804.03718942</v>
      </c>
    </row>
    <row r="65" spans="1:70" ht="15.75" customHeight="1" x14ac:dyDescent="0.2">
      <c r="B65" s="21" t="s">
        <v>26</v>
      </c>
      <c r="C65" s="20" t="s">
        <v>25</v>
      </c>
      <c r="D65" s="18">
        <f t="shared" si="533"/>
        <v>4297017249.7920036</v>
      </c>
      <c r="E65" s="18">
        <f>E64+E61+E58</f>
        <v>464542405.38291943</v>
      </c>
      <c r="F65" s="18">
        <f>F64+F61+F58</f>
        <v>348406804.03718942</v>
      </c>
      <c r="G65" s="18">
        <f t="shared" ref="G65:L65" si="952">G64+G61+G58</f>
        <v>348406804.03718942</v>
      </c>
      <c r="H65" s="18">
        <f t="shared" si="952"/>
        <v>348406804.03718942</v>
      </c>
      <c r="I65" s="18">
        <f t="shared" si="952"/>
        <v>348406804.03718942</v>
      </c>
      <c r="J65" s="18">
        <f t="shared" si="952"/>
        <v>348406804.03718942</v>
      </c>
      <c r="K65" s="18">
        <f t="shared" si="952"/>
        <v>348406804.03718942</v>
      </c>
      <c r="L65" s="18">
        <f t="shared" si="952"/>
        <v>348406804.03718942</v>
      </c>
      <c r="M65" s="18">
        <f t="shared" ref="M65" si="953">M64+M61+M58</f>
        <v>348406804.03718942</v>
      </c>
      <c r="N65" s="18">
        <f t="shared" ref="N65" si="954">N64+N61+N58</f>
        <v>348406804.03718942</v>
      </c>
      <c r="O65" s="18">
        <f t="shared" ref="O65" si="955">O64+O61+O58</f>
        <v>348406804.03718942</v>
      </c>
      <c r="P65" s="180">
        <f t="shared" ref="P65" si="956">P64+P61+P58</f>
        <v>348406804.03718942</v>
      </c>
      <c r="Q65" s="195">
        <f t="shared" si="534"/>
        <v>4297017249.7920036</v>
      </c>
      <c r="R65" s="18">
        <f>R64+R61+R58</f>
        <v>464542405.38291943</v>
      </c>
      <c r="S65" s="18">
        <f>S64+S61+S58</f>
        <v>348406804.03718942</v>
      </c>
      <c r="T65" s="18">
        <f t="shared" ref="T65" si="957">T64+T61+T58</f>
        <v>348406804.03718942</v>
      </c>
      <c r="U65" s="18">
        <f t="shared" ref="U65" si="958">U64+U61+U58</f>
        <v>348406804.03718942</v>
      </c>
      <c r="V65" s="18">
        <f t="shared" ref="V65" si="959">V64+V61+V58</f>
        <v>348406804.03718942</v>
      </c>
      <c r="W65" s="18">
        <f t="shared" ref="W65" si="960">W64+W61+W58</f>
        <v>348406804.03718942</v>
      </c>
      <c r="X65" s="18">
        <f t="shared" ref="X65" si="961">X64+X61+X58</f>
        <v>348406804.03718942</v>
      </c>
      <c r="Y65" s="18">
        <f t="shared" ref="Y65:Z65" si="962">Y64+Y61+Y58</f>
        <v>348406804.03718942</v>
      </c>
      <c r="Z65" s="18">
        <f t="shared" si="962"/>
        <v>348406804.03718942</v>
      </c>
      <c r="AA65" s="18">
        <f t="shared" ref="AA65" si="963">AA64+AA61+AA58</f>
        <v>348406804.03718942</v>
      </c>
      <c r="AB65" s="18">
        <f t="shared" ref="AB65" si="964">AB64+AB61+AB58</f>
        <v>348406804.03718942</v>
      </c>
      <c r="AC65" s="180">
        <f t="shared" ref="AC65" si="965">AC64+AC61+AC58</f>
        <v>348406804.03718942</v>
      </c>
      <c r="AD65" s="228">
        <f t="shared" si="535"/>
        <v>4297017249.7920036</v>
      </c>
      <c r="AE65" s="18">
        <f>AE64+AE61+AE58</f>
        <v>464542405.38291943</v>
      </c>
      <c r="AF65" s="18">
        <f>AF64+AF61+AF58</f>
        <v>348406804.03718942</v>
      </c>
      <c r="AG65" s="18">
        <f t="shared" ref="AG65" si="966">AG64+AG61+AG58</f>
        <v>348406804.03718942</v>
      </c>
      <c r="AH65" s="18">
        <f t="shared" ref="AH65" si="967">AH64+AH61+AH58</f>
        <v>348406804.03718942</v>
      </c>
      <c r="AI65" s="18">
        <f t="shared" ref="AI65" si="968">AI64+AI61+AI58</f>
        <v>348406804.03718942</v>
      </c>
      <c r="AJ65" s="18">
        <f t="shared" ref="AJ65" si="969">AJ64+AJ61+AJ58</f>
        <v>348406804.03718942</v>
      </c>
      <c r="AK65" s="18">
        <f t="shared" ref="AK65" si="970">AK64+AK61+AK58</f>
        <v>348406804.03718942</v>
      </c>
      <c r="AL65" s="18">
        <f t="shared" ref="AL65" si="971">AL64+AL61+AL58</f>
        <v>348406804.03718942</v>
      </c>
      <c r="AM65" s="18">
        <f t="shared" ref="AM65" si="972">AM64+AM61+AM58</f>
        <v>348406804.03718942</v>
      </c>
      <c r="AN65" s="18">
        <f t="shared" ref="AN65" si="973">AN64+AN61+AN58</f>
        <v>348406804.03718942</v>
      </c>
      <c r="AO65" s="18">
        <f t="shared" ref="AO65" si="974">AO64+AO61+AO58</f>
        <v>348406804.03718942</v>
      </c>
      <c r="AP65" s="212">
        <f t="shared" ref="AP65" si="975">AP64+AP61+AP58</f>
        <v>348406804.03718942</v>
      </c>
      <c r="AQ65" s="172">
        <f t="shared" si="3"/>
        <v>0</v>
      </c>
      <c r="AR65" s="18"/>
      <c r="AS65" s="18">
        <f>AS64+AS61+AS58</f>
        <v>464542405.38291943</v>
      </c>
      <c r="AT65" s="18">
        <f>AT64+AT61+AT58</f>
        <v>348406804.03718942</v>
      </c>
      <c r="AU65" s="18">
        <f t="shared" ref="AU65" si="976">AU64+AU61+AU58</f>
        <v>348406804.03718942</v>
      </c>
      <c r="AV65" s="18">
        <f t="shared" ref="AV65" si="977">AV64+AV61+AV58</f>
        <v>348406804.03718942</v>
      </c>
      <c r="AW65" s="18">
        <f t="shared" ref="AW65" si="978">AW64+AW61+AW58</f>
        <v>348406804.03718942</v>
      </c>
      <c r="AX65" s="18">
        <f t="shared" ref="AX65" si="979">AX64+AX61+AX58</f>
        <v>348406804.03718942</v>
      </c>
      <c r="AY65" s="18">
        <f t="shared" ref="AY65" si="980">AY64+AY61+AY58</f>
        <v>348406804.03718942</v>
      </c>
      <c r="AZ65" s="18">
        <f t="shared" ref="AZ65" si="981">AZ64+AZ61+AZ58</f>
        <v>348406804.03718942</v>
      </c>
      <c r="BA65" s="18">
        <f t="shared" ref="BA65" si="982">BA64+BA61+BA58</f>
        <v>348406804.03718942</v>
      </c>
      <c r="BB65" s="18">
        <f t="shared" ref="BB65" si="983">BB64+BB61+BB58</f>
        <v>348406804.03718942</v>
      </c>
      <c r="BC65" s="18">
        <f t="shared" ref="BC65" si="984">BC64+BC61+BC58</f>
        <v>348406804.03718942</v>
      </c>
      <c r="BD65" s="180">
        <f t="shared" ref="BD65" si="985">BD64+BD61+BD58</f>
        <v>348406804.03718942</v>
      </c>
      <c r="BE65" s="195">
        <f t="shared" si="4"/>
        <v>0</v>
      </c>
      <c r="BF65" s="18"/>
      <c r="BG65" s="18">
        <f>BG64+BG61+BG58</f>
        <v>464542405.38291943</v>
      </c>
      <c r="BH65" s="18">
        <f>BH64+BH61+BH58</f>
        <v>348406804.03718942</v>
      </c>
      <c r="BI65" s="18">
        <f t="shared" ref="BI65" si="986">BI64+BI61+BI58</f>
        <v>348406804.03718942</v>
      </c>
      <c r="BJ65" s="18">
        <f t="shared" ref="BJ65" si="987">BJ64+BJ61+BJ58</f>
        <v>348406804.03718942</v>
      </c>
      <c r="BK65" s="18">
        <f t="shared" ref="BK65" si="988">BK64+BK61+BK58</f>
        <v>348406804.03718942</v>
      </c>
      <c r="BL65" s="18">
        <f t="shared" ref="BL65" si="989">BL64+BL61+BL58</f>
        <v>348406804.03718942</v>
      </c>
      <c r="BM65" s="18">
        <f t="shared" ref="BM65" si="990">BM64+BM61+BM58</f>
        <v>348406804.03718942</v>
      </c>
      <c r="BN65" s="18">
        <f t="shared" ref="BN65" si="991">BN64+BN61+BN58</f>
        <v>348406804.03718942</v>
      </c>
      <c r="BO65" s="18">
        <f t="shared" ref="BO65" si="992">BO64+BO61+BO58</f>
        <v>348406804.03718942</v>
      </c>
      <c r="BP65" s="18">
        <f t="shared" ref="BP65" si="993">BP64+BP61+BP58</f>
        <v>348406804.03718942</v>
      </c>
      <c r="BQ65" s="18">
        <f t="shared" ref="BQ65" si="994">BQ64+BQ61+BQ58</f>
        <v>348406804.03718942</v>
      </c>
      <c r="BR65" s="18">
        <f t="shared" ref="BR65" si="995">BR64+BR61+BR58</f>
        <v>348406804.03718942</v>
      </c>
    </row>
    <row r="66" spans="1:70" s="6" customFormat="1" ht="18.75" customHeight="1" x14ac:dyDescent="0.2">
      <c r="B66" s="13" t="s">
        <v>24</v>
      </c>
      <c r="C66" s="156" t="s">
        <v>23</v>
      </c>
      <c r="D66" s="157">
        <f t="shared" si="533"/>
        <v>7198566863.8081627</v>
      </c>
      <c r="E66" s="11">
        <f>E51+E65+E55</f>
        <v>718924646.25291944</v>
      </c>
      <c r="F66" s="11">
        <f>F51+F65+F55</f>
        <v>589058383.41411293</v>
      </c>
      <c r="G66" s="11">
        <f t="shared" ref="G66:L66" si="996">G51+G65+G55</f>
        <v>589058383.41411293</v>
      </c>
      <c r="H66" s="11">
        <f t="shared" si="996"/>
        <v>589058383.41411293</v>
      </c>
      <c r="I66" s="11">
        <f t="shared" si="996"/>
        <v>589058383.41411293</v>
      </c>
      <c r="J66" s="11">
        <f t="shared" si="996"/>
        <v>589058383.41411293</v>
      </c>
      <c r="K66" s="11">
        <f t="shared" si="996"/>
        <v>589058383.41411293</v>
      </c>
      <c r="L66" s="11">
        <f t="shared" si="996"/>
        <v>589058383.41411293</v>
      </c>
      <c r="M66" s="11">
        <f t="shared" ref="M66" si="997">M51+M65+M55</f>
        <v>589058383.41411293</v>
      </c>
      <c r="N66" s="11">
        <f t="shared" ref="N66" si="998">N51+N65+N55</f>
        <v>589058383.41411293</v>
      </c>
      <c r="O66" s="11">
        <f t="shared" ref="O66" si="999">O51+O65+O55</f>
        <v>589058383.41411293</v>
      </c>
      <c r="P66" s="181">
        <f t="shared" ref="P66" si="1000">P51+P65+P55</f>
        <v>589058383.41411293</v>
      </c>
      <c r="Q66" s="196">
        <f t="shared" si="534"/>
        <v>7198566863.8081627</v>
      </c>
      <c r="R66" s="11">
        <f>R51+R65+R55</f>
        <v>718924646.25291944</v>
      </c>
      <c r="S66" s="11">
        <f>S51+S65+S55</f>
        <v>589058383.41411293</v>
      </c>
      <c r="T66" s="11">
        <f t="shared" ref="T66" si="1001">T51+T65+T55</f>
        <v>589058383.41411293</v>
      </c>
      <c r="U66" s="11">
        <f t="shared" ref="U66" si="1002">U51+U65+U55</f>
        <v>589058383.41411293</v>
      </c>
      <c r="V66" s="11">
        <f t="shared" ref="V66" si="1003">V51+V65+V55</f>
        <v>589058383.41411293</v>
      </c>
      <c r="W66" s="11">
        <f t="shared" ref="W66" si="1004">W51+W65+W55</f>
        <v>589058383.41411293</v>
      </c>
      <c r="X66" s="11">
        <f t="shared" ref="X66" si="1005">X51+X65+X55</f>
        <v>589058383.41411293</v>
      </c>
      <c r="Y66" s="11">
        <f t="shared" ref="Y66:Z66" si="1006">Y51+Y65+Y55</f>
        <v>589058383.41411293</v>
      </c>
      <c r="Z66" s="11">
        <f t="shared" si="1006"/>
        <v>589058383.41411293</v>
      </c>
      <c r="AA66" s="11">
        <f t="shared" ref="AA66" si="1007">AA51+AA65+AA55</f>
        <v>589058383.41411293</v>
      </c>
      <c r="AB66" s="11">
        <f t="shared" ref="AB66" si="1008">AB51+AB65+AB55</f>
        <v>589058383.41411293</v>
      </c>
      <c r="AC66" s="181">
        <f t="shared" ref="AC66" si="1009">AC51+AC65+AC55</f>
        <v>589058383.41411293</v>
      </c>
      <c r="AD66" s="196">
        <f t="shared" si="535"/>
        <v>7198566863.8081627</v>
      </c>
      <c r="AE66" s="11">
        <f>AE51+AE65+AE55</f>
        <v>718924646.25291944</v>
      </c>
      <c r="AF66" s="11">
        <f>AF51+AF65+AF55</f>
        <v>589058383.41411293</v>
      </c>
      <c r="AG66" s="11">
        <f t="shared" ref="AG66" si="1010">AG51+AG65+AG55</f>
        <v>589058383.41411293</v>
      </c>
      <c r="AH66" s="11">
        <f t="shared" ref="AH66" si="1011">AH51+AH65+AH55</f>
        <v>589058383.41411293</v>
      </c>
      <c r="AI66" s="11">
        <f t="shared" ref="AI66" si="1012">AI51+AI65+AI55</f>
        <v>589058383.41411293</v>
      </c>
      <c r="AJ66" s="11">
        <f t="shared" ref="AJ66" si="1013">AJ51+AJ65+AJ55</f>
        <v>589058383.41411293</v>
      </c>
      <c r="AK66" s="11">
        <f t="shared" ref="AK66" si="1014">AK51+AK65+AK55</f>
        <v>589058383.41411293</v>
      </c>
      <c r="AL66" s="11">
        <f t="shared" ref="AL66" si="1015">AL51+AL65+AL55</f>
        <v>589058383.41411293</v>
      </c>
      <c r="AM66" s="11">
        <f t="shared" ref="AM66" si="1016">AM51+AM65+AM55</f>
        <v>589058383.41411293</v>
      </c>
      <c r="AN66" s="11">
        <f t="shared" ref="AN66" si="1017">AN51+AN65+AN55</f>
        <v>589058383.41411293</v>
      </c>
      <c r="AO66" s="11">
        <f t="shared" ref="AO66" si="1018">AO51+AO65+AO55</f>
        <v>589058383.41411293</v>
      </c>
      <c r="AP66" s="213">
        <f t="shared" ref="AP66" si="1019">AP51+AP65+AP55</f>
        <v>589058383.41411293</v>
      </c>
      <c r="AQ66" s="157">
        <f t="shared" si="3"/>
        <v>0</v>
      </c>
      <c r="AR66" s="11"/>
      <c r="AS66" s="11">
        <f>AS51+AS65+AS55</f>
        <v>718924646.25291944</v>
      </c>
      <c r="AT66" s="11">
        <f>AT51+AT65+AT55</f>
        <v>589058383.41411293</v>
      </c>
      <c r="AU66" s="11">
        <f t="shared" ref="AU66" si="1020">AU51+AU65+AU55</f>
        <v>589058383.41411293</v>
      </c>
      <c r="AV66" s="11">
        <f t="shared" ref="AV66" si="1021">AV51+AV65+AV55</f>
        <v>589058383.41411293</v>
      </c>
      <c r="AW66" s="11">
        <f t="shared" ref="AW66" si="1022">AW51+AW65+AW55</f>
        <v>589058383.41411293</v>
      </c>
      <c r="AX66" s="11">
        <f t="shared" ref="AX66" si="1023">AX51+AX65+AX55</f>
        <v>589058383.41411293</v>
      </c>
      <c r="AY66" s="11">
        <f t="shared" ref="AY66" si="1024">AY51+AY65+AY55</f>
        <v>589058383.41411293</v>
      </c>
      <c r="AZ66" s="11">
        <f t="shared" ref="AZ66" si="1025">AZ51+AZ65+AZ55</f>
        <v>589058383.41411293</v>
      </c>
      <c r="BA66" s="11">
        <f t="shared" ref="BA66" si="1026">BA51+BA65+BA55</f>
        <v>589058383.41411293</v>
      </c>
      <c r="BB66" s="11">
        <f t="shared" ref="BB66" si="1027">BB51+BB65+BB55</f>
        <v>589058383.41411293</v>
      </c>
      <c r="BC66" s="11">
        <f t="shared" ref="BC66" si="1028">BC51+BC65+BC55</f>
        <v>589058383.41411293</v>
      </c>
      <c r="BD66" s="181">
        <f t="shared" ref="BD66" si="1029">BD51+BD65+BD55</f>
        <v>589058383.41411293</v>
      </c>
      <c r="BE66" s="196">
        <f t="shared" si="4"/>
        <v>0</v>
      </c>
      <c r="BF66" s="11"/>
      <c r="BG66" s="11">
        <f>BG51+BG65+BG55</f>
        <v>718924646.25291944</v>
      </c>
      <c r="BH66" s="11">
        <f>BH51+BH65+BH55</f>
        <v>589058383.41411293</v>
      </c>
      <c r="BI66" s="11">
        <f t="shared" ref="BI66" si="1030">BI51+BI65+BI55</f>
        <v>589058383.41411293</v>
      </c>
      <c r="BJ66" s="11">
        <f t="shared" ref="BJ66" si="1031">BJ51+BJ65+BJ55</f>
        <v>589058383.41411293</v>
      </c>
      <c r="BK66" s="11">
        <f t="shared" ref="BK66" si="1032">BK51+BK65+BK55</f>
        <v>589058383.41411293</v>
      </c>
      <c r="BL66" s="11">
        <f t="shared" ref="BL66" si="1033">BL51+BL65+BL55</f>
        <v>589058383.41411293</v>
      </c>
      <c r="BM66" s="11">
        <f t="shared" ref="BM66" si="1034">BM51+BM65+BM55</f>
        <v>589058383.41411293</v>
      </c>
      <c r="BN66" s="11">
        <f t="shared" ref="BN66" si="1035">BN51+BN65+BN55</f>
        <v>589058383.41411293</v>
      </c>
      <c r="BO66" s="11">
        <f t="shared" ref="BO66" si="1036">BO51+BO65+BO55</f>
        <v>589058383.41411293</v>
      </c>
      <c r="BP66" s="11">
        <f t="shared" ref="BP66" si="1037">BP51+BP65+BP55</f>
        <v>589058383.41411293</v>
      </c>
      <c r="BQ66" s="11">
        <f t="shared" ref="BQ66" si="1038">BQ51+BQ65+BQ55</f>
        <v>589058383.41411293</v>
      </c>
      <c r="BR66" s="11">
        <f t="shared" ref="BR66" si="1039">BR51+BR65+BR55</f>
        <v>589058383.41411293</v>
      </c>
    </row>
    <row r="67" spans="1:70" ht="16.5" customHeight="1" outlineLevel="1" x14ac:dyDescent="0.2">
      <c r="A67" s="54"/>
      <c r="B67" s="101" t="s">
        <v>22</v>
      </c>
      <c r="C67" s="100" t="s">
        <v>21</v>
      </c>
      <c r="D67" s="158">
        <f>(D13+D16+D19+D22+D29+D32+D35+D38)/(D12+D15+D18+D21+D28+D31+D34+D37)</f>
        <v>0.1850775038922492</v>
      </c>
      <c r="E67" s="117">
        <f>(E13+E16+E19+E22+E29+E32+E35+E38)/(E12+E15+E18+E21+E28+E31+E34+E37)</f>
        <v>0.18587833690067815</v>
      </c>
      <c r="F67" s="117">
        <f>(F13+F16+F19+F22+F29+F32+F35+F38)/(F12+F15+F18+F21+F28+F31+F34+F37)</f>
        <v>0.18499999999999994</v>
      </c>
      <c r="G67" s="117">
        <f t="shared" ref="G67:L67" si="1040">(G13+G16+G19+G22+G29+G32+G35+G38)/(G12+G15+G18+G21+G28+G31+G34+G37)</f>
        <v>0.18499999999999994</v>
      </c>
      <c r="H67" s="117">
        <f t="shared" si="1040"/>
        <v>0.18499999999999994</v>
      </c>
      <c r="I67" s="117">
        <f t="shared" si="1040"/>
        <v>0.18499999999999994</v>
      </c>
      <c r="J67" s="117">
        <f t="shared" si="1040"/>
        <v>0.18499999999999994</v>
      </c>
      <c r="K67" s="117">
        <f t="shared" si="1040"/>
        <v>0.18499999999999994</v>
      </c>
      <c r="L67" s="117">
        <f t="shared" si="1040"/>
        <v>0.18499999999999994</v>
      </c>
      <c r="M67" s="117">
        <f t="shared" ref="M67:P67" si="1041">(M13+M16+M19+M22+M29+M32+M35+M38)/(M12+M15+M18+M21+M28+M31+M34+M37)</f>
        <v>0.18499999999999994</v>
      </c>
      <c r="N67" s="117">
        <f t="shared" si="1041"/>
        <v>0.18499999999999994</v>
      </c>
      <c r="O67" s="117">
        <f t="shared" si="1041"/>
        <v>0.18499999999999994</v>
      </c>
      <c r="P67" s="182">
        <f t="shared" si="1041"/>
        <v>0.18499999999999994</v>
      </c>
      <c r="Q67" s="197">
        <f>(Q13+Q16+Q19+Q22+Q29+Q32+Q35+Q38)/(Q12+Q15+Q18+Q21+Q28+Q31+Q34+Q37)</f>
        <v>0.1850775038922492</v>
      </c>
      <c r="R67" s="117">
        <f>(R13+R16+R19+R22+R29+R32+R35+R38)/(R12+R15+R18+R21+R28+R31+R34+R37)</f>
        <v>0.18587833690067815</v>
      </c>
      <c r="S67" s="117">
        <f>(S13+S16+S19+S22+S29+S32+S35+S38)/(S12+S15+S18+S21+S28+S31+S34+S37)</f>
        <v>0.18499999999999994</v>
      </c>
      <c r="T67" s="117">
        <f t="shared" ref="T67:Y67" si="1042">(T13+T16+T19+T22+T29+T32+T35+T38)/(T12+T15+T18+T21+T28+T31+T34+T37)</f>
        <v>0.18499999999999994</v>
      </c>
      <c r="U67" s="117">
        <f t="shared" si="1042"/>
        <v>0.18499999999999994</v>
      </c>
      <c r="V67" s="117">
        <f t="shared" si="1042"/>
        <v>0.18499999999999994</v>
      </c>
      <c r="W67" s="117">
        <f t="shared" si="1042"/>
        <v>0.18499999999999994</v>
      </c>
      <c r="X67" s="117">
        <f t="shared" si="1042"/>
        <v>0.18499999999999994</v>
      </c>
      <c r="Y67" s="117">
        <f t="shared" si="1042"/>
        <v>0.18499999999999994</v>
      </c>
      <c r="Z67" s="117">
        <f t="shared" ref="Z67:AC67" si="1043">(Z13+Z16+Z19+Z22+Z29+Z32+Z35+Z38)/(Z12+Z15+Z18+Z21+Z28+Z31+Z34+Z37)</f>
        <v>0.18499999999999994</v>
      </c>
      <c r="AA67" s="117">
        <f t="shared" si="1043"/>
        <v>0.18499999999999994</v>
      </c>
      <c r="AB67" s="117">
        <f t="shared" si="1043"/>
        <v>0.18499999999999994</v>
      </c>
      <c r="AC67" s="182">
        <f t="shared" si="1043"/>
        <v>0.18499999999999994</v>
      </c>
      <c r="AD67" s="229">
        <f>(AD13+AD16+AD19+AD22+AD29+AD32+AD35+AD38)/(AD12+AD15+AD18+AD21+AD28+AD31+AD34+AD37)</f>
        <v>0.1850775038922492</v>
      </c>
      <c r="AE67" s="117">
        <f>(AE13+AE16+AE19+AE22+AE29+AE32+AE35+AE38)/(AE12+AE15+AE18+AE21+AE28+AE31+AE34+AE37)</f>
        <v>0.18587833690067815</v>
      </c>
      <c r="AF67" s="117">
        <f>(AF13+AF16+AF19+AF22+AF29+AF32+AF35+AF38)/(AF12+AF15+AF18+AF21+AF28+AF31+AF34+AF37)</f>
        <v>0.18499999999999994</v>
      </c>
      <c r="AG67" s="117">
        <f t="shared" ref="AG67:AP67" si="1044">(AG13+AG16+AG19+AG22+AG29+AG32+AG35+AG38)/(AG12+AG15+AG18+AG21+AG28+AG31+AG34+AG37)</f>
        <v>0.18499999999999994</v>
      </c>
      <c r="AH67" s="117">
        <f t="shared" si="1044"/>
        <v>0.18499999999999994</v>
      </c>
      <c r="AI67" s="117">
        <f t="shared" si="1044"/>
        <v>0.18499999999999994</v>
      </c>
      <c r="AJ67" s="117">
        <f t="shared" si="1044"/>
        <v>0.18499999999999994</v>
      </c>
      <c r="AK67" s="117">
        <f t="shared" si="1044"/>
        <v>0.18499999999999994</v>
      </c>
      <c r="AL67" s="117">
        <f t="shared" si="1044"/>
        <v>0.18499999999999994</v>
      </c>
      <c r="AM67" s="117">
        <f t="shared" si="1044"/>
        <v>0.18499999999999994</v>
      </c>
      <c r="AN67" s="117">
        <f t="shared" si="1044"/>
        <v>0.18499999999999994</v>
      </c>
      <c r="AO67" s="117">
        <f t="shared" si="1044"/>
        <v>0.18499999999999994</v>
      </c>
      <c r="AP67" s="214">
        <f t="shared" si="1044"/>
        <v>0.18499999999999994</v>
      </c>
      <c r="AQ67" s="158">
        <f t="shared" si="3"/>
        <v>0</v>
      </c>
      <c r="AR67" s="117"/>
      <c r="AS67" s="117">
        <f>(AS13+AS16+AS19+AS22+AS29+AS32+AS35+AS38)/(AS12+AS15+AS18+AS21+AS28+AS31+AS34+AS37)</f>
        <v>0.18587833690067815</v>
      </c>
      <c r="AT67" s="117">
        <f>(AT13+AT16+AT19+AT22+AT29+AT32+AT35+AT38)/(AT12+AT15+AT18+AT21+AT28+AT31+AT34+AT37)</f>
        <v>0.18499999999999994</v>
      </c>
      <c r="AU67" s="117">
        <f t="shared" ref="AU67:BD67" si="1045">(AU13+AU16+AU19+AU22+AU29+AU32+AU35+AU38)/(AU12+AU15+AU18+AU21+AU28+AU31+AU34+AU37)</f>
        <v>0.18499999999999994</v>
      </c>
      <c r="AV67" s="117">
        <f t="shared" si="1045"/>
        <v>0.18499999999999994</v>
      </c>
      <c r="AW67" s="117">
        <f t="shared" si="1045"/>
        <v>0.18499999999999994</v>
      </c>
      <c r="AX67" s="117">
        <f t="shared" si="1045"/>
        <v>0.18499999999999994</v>
      </c>
      <c r="AY67" s="117">
        <f t="shared" si="1045"/>
        <v>0.18499999999999994</v>
      </c>
      <c r="AZ67" s="117">
        <f t="shared" si="1045"/>
        <v>0.18499999999999994</v>
      </c>
      <c r="BA67" s="117">
        <f t="shared" si="1045"/>
        <v>0.18499999999999994</v>
      </c>
      <c r="BB67" s="117">
        <f t="shared" si="1045"/>
        <v>0.18499999999999994</v>
      </c>
      <c r="BC67" s="117">
        <f t="shared" si="1045"/>
        <v>0.18499999999999994</v>
      </c>
      <c r="BD67" s="182">
        <f t="shared" si="1045"/>
        <v>0.18499999999999994</v>
      </c>
      <c r="BE67" s="197">
        <f t="shared" si="4"/>
        <v>0</v>
      </c>
      <c r="BF67" s="117"/>
      <c r="BG67" s="117">
        <f>(BG13+BG16+BG19+BG22+BG29+BG32+BG35+BG38)/(BG12+BG15+BG18+BG21+BG28+BG31+BG34+BG37)</f>
        <v>0.18587833690067815</v>
      </c>
      <c r="BH67" s="117">
        <f>(BH13+BH16+BH19+BH22+BH29+BH32+BH35+BH38)/(BH12+BH15+BH18+BH21+BH28+BH31+BH34+BH37)</f>
        <v>0.18499999999999994</v>
      </c>
      <c r="BI67" s="117">
        <f t="shared" ref="BI67:BR67" si="1046">(BI13+BI16+BI19+BI22+BI29+BI32+BI35+BI38)/(BI12+BI15+BI18+BI21+BI28+BI31+BI34+BI37)</f>
        <v>0.18499999999999994</v>
      </c>
      <c r="BJ67" s="117">
        <f t="shared" si="1046"/>
        <v>0.18499999999999994</v>
      </c>
      <c r="BK67" s="117">
        <f t="shared" si="1046"/>
        <v>0.18499999999999994</v>
      </c>
      <c r="BL67" s="117">
        <f t="shared" si="1046"/>
        <v>0.18499999999999994</v>
      </c>
      <c r="BM67" s="117">
        <f t="shared" si="1046"/>
        <v>0.18499999999999994</v>
      </c>
      <c r="BN67" s="117">
        <f t="shared" si="1046"/>
        <v>0.18499999999999994</v>
      </c>
      <c r="BO67" s="117">
        <f t="shared" si="1046"/>
        <v>0.18499999999999994</v>
      </c>
      <c r="BP67" s="117">
        <f t="shared" si="1046"/>
        <v>0.18499999999999994</v>
      </c>
      <c r="BQ67" s="117">
        <f t="shared" si="1046"/>
        <v>0.18499999999999994</v>
      </c>
      <c r="BR67" s="117">
        <f t="shared" si="1046"/>
        <v>0.18499999999999994</v>
      </c>
    </row>
    <row r="68" spans="1:70" s="103" customFormat="1" ht="16.5" customHeight="1" outlineLevel="1" x14ac:dyDescent="0.2">
      <c r="B68" s="111" t="s">
        <v>19</v>
      </c>
      <c r="C68" s="110" t="s">
        <v>18</v>
      </c>
      <c r="D68" s="159">
        <v>331</v>
      </c>
      <c r="E68" s="108">
        <v>311</v>
      </c>
      <c r="F68" s="108">
        <v>331</v>
      </c>
      <c r="G68" s="108">
        <v>331</v>
      </c>
      <c r="H68" s="108">
        <v>331</v>
      </c>
      <c r="I68" s="108">
        <v>331</v>
      </c>
      <c r="J68" s="108">
        <v>331</v>
      </c>
      <c r="K68" s="108">
        <v>331</v>
      </c>
      <c r="L68" s="108">
        <v>331</v>
      </c>
      <c r="M68" s="108">
        <v>331</v>
      </c>
      <c r="N68" s="108">
        <v>331</v>
      </c>
      <c r="O68" s="108">
        <v>331</v>
      </c>
      <c r="P68" s="183">
        <v>331</v>
      </c>
      <c r="Q68" s="198">
        <v>331</v>
      </c>
      <c r="R68" s="108">
        <v>311</v>
      </c>
      <c r="S68" s="108">
        <v>331</v>
      </c>
      <c r="T68" s="108">
        <v>331</v>
      </c>
      <c r="U68" s="108">
        <v>331</v>
      </c>
      <c r="V68" s="108">
        <v>331</v>
      </c>
      <c r="W68" s="108">
        <v>331</v>
      </c>
      <c r="X68" s="108">
        <v>331</v>
      </c>
      <c r="Y68" s="108">
        <v>331</v>
      </c>
      <c r="Z68" s="108">
        <v>331</v>
      </c>
      <c r="AA68" s="108">
        <v>331</v>
      </c>
      <c r="AB68" s="108">
        <v>331</v>
      </c>
      <c r="AC68" s="183">
        <v>331</v>
      </c>
      <c r="AD68" s="230">
        <v>331</v>
      </c>
      <c r="AE68" s="108">
        <v>311</v>
      </c>
      <c r="AF68" s="108">
        <v>331</v>
      </c>
      <c r="AG68" s="108">
        <v>331</v>
      </c>
      <c r="AH68" s="108">
        <v>331</v>
      </c>
      <c r="AI68" s="108">
        <v>331</v>
      </c>
      <c r="AJ68" s="108">
        <v>331</v>
      </c>
      <c r="AK68" s="108">
        <v>331</v>
      </c>
      <c r="AL68" s="108">
        <v>331</v>
      </c>
      <c r="AM68" s="108">
        <v>331</v>
      </c>
      <c r="AN68" s="108">
        <v>331</v>
      </c>
      <c r="AO68" s="108">
        <v>331</v>
      </c>
      <c r="AP68" s="215">
        <v>331</v>
      </c>
      <c r="AQ68" s="159">
        <f t="shared" si="3"/>
        <v>0</v>
      </c>
      <c r="AR68" s="108"/>
      <c r="AS68" s="108">
        <v>311</v>
      </c>
      <c r="AT68" s="108">
        <v>331</v>
      </c>
      <c r="AU68" s="108">
        <v>331</v>
      </c>
      <c r="AV68" s="108">
        <v>331</v>
      </c>
      <c r="AW68" s="108">
        <v>331</v>
      </c>
      <c r="AX68" s="108">
        <v>331</v>
      </c>
      <c r="AY68" s="108">
        <v>331</v>
      </c>
      <c r="AZ68" s="108">
        <v>331</v>
      </c>
      <c r="BA68" s="108">
        <v>331</v>
      </c>
      <c r="BB68" s="108">
        <v>331</v>
      </c>
      <c r="BC68" s="108">
        <v>331</v>
      </c>
      <c r="BD68" s="183">
        <v>331</v>
      </c>
      <c r="BE68" s="198">
        <f t="shared" si="4"/>
        <v>0</v>
      </c>
      <c r="BF68" s="108"/>
      <c r="BG68" s="108">
        <v>311</v>
      </c>
      <c r="BH68" s="108">
        <v>331</v>
      </c>
      <c r="BI68" s="108">
        <v>331</v>
      </c>
      <c r="BJ68" s="108">
        <v>331</v>
      </c>
      <c r="BK68" s="108">
        <v>331</v>
      </c>
      <c r="BL68" s="108">
        <v>331</v>
      </c>
      <c r="BM68" s="108">
        <v>331</v>
      </c>
      <c r="BN68" s="108">
        <v>331</v>
      </c>
      <c r="BO68" s="108">
        <v>331</v>
      </c>
      <c r="BP68" s="108">
        <v>331</v>
      </c>
      <c r="BQ68" s="108">
        <v>331</v>
      </c>
      <c r="BR68" s="108">
        <v>331</v>
      </c>
    </row>
    <row r="69" spans="1:70" s="103" customFormat="1" ht="16.5" customHeight="1" outlineLevel="1" x14ac:dyDescent="0.2">
      <c r="B69" s="111" t="s">
        <v>17</v>
      </c>
      <c r="C69" s="110" t="s">
        <v>16</v>
      </c>
      <c r="D69" s="159">
        <f>D70-D68</f>
        <v>113</v>
      </c>
      <c r="E69" s="108">
        <f>E70-E68</f>
        <v>110</v>
      </c>
      <c r="F69" s="108">
        <f>F70-F68</f>
        <v>113</v>
      </c>
      <c r="G69" s="108">
        <f t="shared" ref="G69:L69" si="1047">G70-G68</f>
        <v>113</v>
      </c>
      <c r="H69" s="108">
        <f t="shared" si="1047"/>
        <v>113</v>
      </c>
      <c r="I69" s="108">
        <f t="shared" si="1047"/>
        <v>113</v>
      </c>
      <c r="J69" s="108">
        <f t="shared" si="1047"/>
        <v>113</v>
      </c>
      <c r="K69" s="108">
        <f t="shared" si="1047"/>
        <v>113</v>
      </c>
      <c r="L69" s="108">
        <f t="shared" si="1047"/>
        <v>113</v>
      </c>
      <c r="M69" s="108">
        <f t="shared" ref="M69" si="1048">M70-M68</f>
        <v>113</v>
      </c>
      <c r="N69" s="108">
        <f t="shared" ref="N69" si="1049">N70-N68</f>
        <v>113</v>
      </c>
      <c r="O69" s="108">
        <f t="shared" ref="O69" si="1050">O70-O68</f>
        <v>113</v>
      </c>
      <c r="P69" s="183">
        <f t="shared" ref="P69" si="1051">P70-P68</f>
        <v>113</v>
      </c>
      <c r="Q69" s="198">
        <f>Q70-Q68</f>
        <v>113</v>
      </c>
      <c r="R69" s="108">
        <f>R70-R68</f>
        <v>110</v>
      </c>
      <c r="S69" s="108">
        <f>S70-S68</f>
        <v>113</v>
      </c>
      <c r="T69" s="108">
        <f t="shared" ref="T69" si="1052">T70-T68</f>
        <v>113</v>
      </c>
      <c r="U69" s="108">
        <f t="shared" ref="U69" si="1053">U70-U68</f>
        <v>113</v>
      </c>
      <c r="V69" s="108">
        <f t="shared" ref="V69" si="1054">V70-V68</f>
        <v>113</v>
      </c>
      <c r="W69" s="108">
        <f t="shared" ref="W69" si="1055">W70-W68</f>
        <v>113</v>
      </c>
      <c r="X69" s="108">
        <f t="shared" ref="X69" si="1056">X70-X68</f>
        <v>113</v>
      </c>
      <c r="Y69" s="108">
        <f t="shared" ref="Y69:Z69" si="1057">Y70-Y68</f>
        <v>113</v>
      </c>
      <c r="Z69" s="108">
        <f t="shared" si="1057"/>
        <v>113</v>
      </c>
      <c r="AA69" s="108">
        <f t="shared" ref="AA69" si="1058">AA70-AA68</f>
        <v>113</v>
      </c>
      <c r="AB69" s="108">
        <f t="shared" ref="AB69" si="1059">AB70-AB68</f>
        <v>113</v>
      </c>
      <c r="AC69" s="183">
        <f t="shared" ref="AC69" si="1060">AC70-AC68</f>
        <v>113</v>
      </c>
      <c r="AD69" s="230">
        <f>AD70-AD68</f>
        <v>113</v>
      </c>
      <c r="AE69" s="108">
        <f>AE70-AE68</f>
        <v>110</v>
      </c>
      <c r="AF69" s="108">
        <f>AF70-AF68</f>
        <v>113</v>
      </c>
      <c r="AG69" s="108">
        <f t="shared" ref="AG69" si="1061">AG70-AG68</f>
        <v>113</v>
      </c>
      <c r="AH69" s="108">
        <f t="shared" ref="AH69" si="1062">AH70-AH68</f>
        <v>113</v>
      </c>
      <c r="AI69" s="108">
        <f t="shared" ref="AI69" si="1063">AI70-AI68</f>
        <v>113</v>
      </c>
      <c r="AJ69" s="108">
        <f t="shared" ref="AJ69" si="1064">AJ70-AJ68</f>
        <v>113</v>
      </c>
      <c r="AK69" s="108">
        <f t="shared" ref="AK69" si="1065">AK70-AK68</f>
        <v>113</v>
      </c>
      <c r="AL69" s="108">
        <f t="shared" ref="AL69" si="1066">AL70-AL68</f>
        <v>113</v>
      </c>
      <c r="AM69" s="108">
        <f t="shared" ref="AM69" si="1067">AM70-AM68</f>
        <v>113</v>
      </c>
      <c r="AN69" s="108">
        <f t="shared" ref="AN69" si="1068">AN70-AN68</f>
        <v>113</v>
      </c>
      <c r="AO69" s="108">
        <f t="shared" ref="AO69" si="1069">AO70-AO68</f>
        <v>113</v>
      </c>
      <c r="AP69" s="215">
        <f t="shared" ref="AP69" si="1070">AP70-AP68</f>
        <v>113</v>
      </c>
      <c r="AQ69" s="159">
        <f t="shared" si="3"/>
        <v>0</v>
      </c>
      <c r="AR69" s="108"/>
      <c r="AS69" s="108">
        <f>AS70-AS68</f>
        <v>110</v>
      </c>
      <c r="AT69" s="108">
        <f>AT70-AT68</f>
        <v>113</v>
      </c>
      <c r="AU69" s="108">
        <f t="shared" ref="AU69" si="1071">AU70-AU68</f>
        <v>113</v>
      </c>
      <c r="AV69" s="108">
        <f t="shared" ref="AV69" si="1072">AV70-AV68</f>
        <v>113</v>
      </c>
      <c r="AW69" s="108">
        <f t="shared" ref="AW69" si="1073">AW70-AW68</f>
        <v>113</v>
      </c>
      <c r="AX69" s="108">
        <f t="shared" ref="AX69" si="1074">AX70-AX68</f>
        <v>113</v>
      </c>
      <c r="AY69" s="108">
        <f t="shared" ref="AY69" si="1075">AY70-AY68</f>
        <v>113</v>
      </c>
      <c r="AZ69" s="108">
        <f t="shared" ref="AZ69" si="1076">AZ70-AZ68</f>
        <v>113</v>
      </c>
      <c r="BA69" s="108">
        <f t="shared" ref="BA69" si="1077">BA70-BA68</f>
        <v>113</v>
      </c>
      <c r="BB69" s="108">
        <f t="shared" ref="BB69" si="1078">BB70-BB68</f>
        <v>113</v>
      </c>
      <c r="BC69" s="108">
        <f t="shared" ref="BC69" si="1079">BC70-BC68</f>
        <v>113</v>
      </c>
      <c r="BD69" s="183">
        <f t="shared" ref="BD69" si="1080">BD70-BD68</f>
        <v>113</v>
      </c>
      <c r="BE69" s="198">
        <f t="shared" si="4"/>
        <v>0</v>
      </c>
      <c r="BF69" s="108"/>
      <c r="BG69" s="108">
        <f>BG70-BG68</f>
        <v>110</v>
      </c>
      <c r="BH69" s="108">
        <f>BH70-BH68</f>
        <v>113</v>
      </c>
      <c r="BI69" s="108">
        <f t="shared" ref="BI69" si="1081">BI70-BI68</f>
        <v>113</v>
      </c>
      <c r="BJ69" s="108">
        <f t="shared" ref="BJ69" si="1082">BJ70-BJ68</f>
        <v>113</v>
      </c>
      <c r="BK69" s="108">
        <f t="shared" ref="BK69" si="1083">BK70-BK68</f>
        <v>113</v>
      </c>
      <c r="BL69" s="108">
        <f t="shared" ref="BL69" si="1084">BL70-BL68</f>
        <v>113</v>
      </c>
      <c r="BM69" s="108">
        <f t="shared" ref="BM69" si="1085">BM70-BM68</f>
        <v>113</v>
      </c>
      <c r="BN69" s="108">
        <f t="shared" ref="BN69" si="1086">BN70-BN68</f>
        <v>113</v>
      </c>
      <c r="BO69" s="108">
        <f t="shared" ref="BO69" si="1087">BO70-BO68</f>
        <v>113</v>
      </c>
      <c r="BP69" s="108">
        <f t="shared" ref="BP69" si="1088">BP70-BP68</f>
        <v>113</v>
      </c>
      <c r="BQ69" s="108">
        <f t="shared" ref="BQ69" si="1089">BQ70-BQ68</f>
        <v>113</v>
      </c>
      <c r="BR69" s="108">
        <f t="shared" ref="BR69" si="1090">BR70-BR68</f>
        <v>113</v>
      </c>
    </row>
    <row r="70" spans="1:70" ht="16.5" customHeight="1" outlineLevel="1" x14ac:dyDescent="0.2">
      <c r="B70" s="101" t="s">
        <v>15</v>
      </c>
      <c r="C70" s="100" t="s">
        <v>14</v>
      </c>
      <c r="D70" s="160">
        <v>444</v>
      </c>
      <c r="E70" s="102">
        <v>421</v>
      </c>
      <c r="F70" s="102">
        <v>444</v>
      </c>
      <c r="G70" s="102">
        <v>444</v>
      </c>
      <c r="H70" s="102">
        <v>444</v>
      </c>
      <c r="I70" s="102">
        <v>444</v>
      </c>
      <c r="J70" s="102">
        <v>444</v>
      </c>
      <c r="K70" s="102">
        <v>444</v>
      </c>
      <c r="L70" s="102">
        <v>444</v>
      </c>
      <c r="M70" s="102">
        <v>444</v>
      </c>
      <c r="N70" s="102">
        <v>444</v>
      </c>
      <c r="O70" s="102">
        <v>444</v>
      </c>
      <c r="P70" s="184">
        <v>444</v>
      </c>
      <c r="Q70" s="199">
        <v>444</v>
      </c>
      <c r="R70" s="102">
        <v>421</v>
      </c>
      <c r="S70" s="102">
        <v>444</v>
      </c>
      <c r="T70" s="102">
        <v>444</v>
      </c>
      <c r="U70" s="102">
        <v>444</v>
      </c>
      <c r="V70" s="102">
        <v>444</v>
      </c>
      <c r="W70" s="102">
        <v>444</v>
      </c>
      <c r="X70" s="102">
        <v>444</v>
      </c>
      <c r="Y70" s="102">
        <v>444</v>
      </c>
      <c r="Z70" s="102">
        <v>444</v>
      </c>
      <c r="AA70" s="102">
        <v>444</v>
      </c>
      <c r="AB70" s="102">
        <v>444</v>
      </c>
      <c r="AC70" s="184">
        <v>444</v>
      </c>
      <c r="AD70" s="231">
        <v>444</v>
      </c>
      <c r="AE70" s="102">
        <v>421</v>
      </c>
      <c r="AF70" s="102">
        <v>444</v>
      </c>
      <c r="AG70" s="102">
        <v>444</v>
      </c>
      <c r="AH70" s="102">
        <v>444</v>
      </c>
      <c r="AI70" s="102">
        <v>444</v>
      </c>
      <c r="AJ70" s="102">
        <v>444</v>
      </c>
      <c r="AK70" s="102">
        <v>444</v>
      </c>
      <c r="AL70" s="102">
        <v>444</v>
      </c>
      <c r="AM70" s="102">
        <v>444</v>
      </c>
      <c r="AN70" s="102">
        <v>444</v>
      </c>
      <c r="AO70" s="102">
        <v>444</v>
      </c>
      <c r="AP70" s="216">
        <v>444</v>
      </c>
      <c r="AQ70" s="160">
        <f t="shared" si="3"/>
        <v>0</v>
      </c>
      <c r="AR70" s="102"/>
      <c r="AS70" s="102">
        <v>421</v>
      </c>
      <c r="AT70" s="102">
        <v>444</v>
      </c>
      <c r="AU70" s="102">
        <v>444</v>
      </c>
      <c r="AV70" s="102">
        <v>444</v>
      </c>
      <c r="AW70" s="102">
        <v>444</v>
      </c>
      <c r="AX70" s="102">
        <v>444</v>
      </c>
      <c r="AY70" s="102">
        <v>444</v>
      </c>
      <c r="AZ70" s="102">
        <v>444</v>
      </c>
      <c r="BA70" s="102">
        <v>444</v>
      </c>
      <c r="BB70" s="102">
        <v>444</v>
      </c>
      <c r="BC70" s="102">
        <v>444</v>
      </c>
      <c r="BD70" s="184">
        <v>444</v>
      </c>
      <c r="BE70" s="199">
        <f t="shared" si="4"/>
        <v>0</v>
      </c>
      <c r="BF70" s="102"/>
      <c r="BG70" s="102">
        <v>421</v>
      </c>
      <c r="BH70" s="102">
        <v>444</v>
      </c>
      <c r="BI70" s="102">
        <v>444</v>
      </c>
      <c r="BJ70" s="102">
        <v>444</v>
      </c>
      <c r="BK70" s="102">
        <v>444</v>
      </c>
      <c r="BL70" s="102">
        <v>444</v>
      </c>
      <c r="BM70" s="102">
        <v>444</v>
      </c>
      <c r="BN70" s="102">
        <v>444</v>
      </c>
      <c r="BO70" s="102">
        <v>444</v>
      </c>
      <c r="BP70" s="102">
        <v>444</v>
      </c>
      <c r="BQ70" s="102">
        <v>444</v>
      </c>
      <c r="BR70" s="102">
        <v>444</v>
      </c>
    </row>
    <row r="71" spans="1:70" ht="16.5" customHeight="1" outlineLevel="1" x14ac:dyDescent="0.2">
      <c r="B71" s="101" t="s">
        <v>13</v>
      </c>
      <c r="C71" s="100" t="s">
        <v>12</v>
      </c>
      <c r="D71" s="161">
        <v>265.68387212842742</v>
      </c>
      <c r="E71" s="98">
        <v>246</v>
      </c>
      <c r="F71" s="98">
        <v>265.68387212842742</v>
      </c>
      <c r="G71" s="98">
        <v>265.68387212842742</v>
      </c>
      <c r="H71" s="98">
        <v>265.68387212842742</v>
      </c>
      <c r="I71" s="98">
        <v>265.68387212842742</v>
      </c>
      <c r="J71" s="98">
        <v>265.68387212842742</v>
      </c>
      <c r="K71" s="98">
        <v>265.68387212842742</v>
      </c>
      <c r="L71" s="98">
        <v>265.68387212842742</v>
      </c>
      <c r="M71" s="98">
        <v>265.68387212842742</v>
      </c>
      <c r="N71" s="98">
        <v>265.68387212842742</v>
      </c>
      <c r="O71" s="98">
        <v>265.68387212842742</v>
      </c>
      <c r="P71" s="185">
        <v>265.68387212842742</v>
      </c>
      <c r="Q71" s="200">
        <v>265.68387212842742</v>
      </c>
      <c r="R71" s="98">
        <v>246</v>
      </c>
      <c r="S71" s="98">
        <v>265.68387212842742</v>
      </c>
      <c r="T71" s="98">
        <v>265.68387212842742</v>
      </c>
      <c r="U71" s="98">
        <v>265.68387212842742</v>
      </c>
      <c r="V71" s="98">
        <v>265.68387212842742</v>
      </c>
      <c r="W71" s="98">
        <v>265.68387212842742</v>
      </c>
      <c r="X71" s="98">
        <v>265.68387212842742</v>
      </c>
      <c r="Y71" s="98">
        <v>265.68387212842742</v>
      </c>
      <c r="Z71" s="98">
        <v>265.68387212842742</v>
      </c>
      <c r="AA71" s="98">
        <v>265.68387212842742</v>
      </c>
      <c r="AB71" s="98">
        <v>265.68387212842742</v>
      </c>
      <c r="AC71" s="185">
        <v>265.68387212842742</v>
      </c>
      <c r="AD71" s="232">
        <v>265.68387212842742</v>
      </c>
      <c r="AE71" s="98">
        <v>246</v>
      </c>
      <c r="AF71" s="98">
        <v>265.68387212842742</v>
      </c>
      <c r="AG71" s="98">
        <v>265.68387212842742</v>
      </c>
      <c r="AH71" s="98">
        <v>265.68387212842742</v>
      </c>
      <c r="AI71" s="98">
        <v>265.68387212842742</v>
      </c>
      <c r="AJ71" s="98">
        <v>265.68387212842742</v>
      </c>
      <c r="AK71" s="98">
        <v>265.68387212842742</v>
      </c>
      <c r="AL71" s="98">
        <v>265.68387212842742</v>
      </c>
      <c r="AM71" s="98">
        <v>265.68387212842742</v>
      </c>
      <c r="AN71" s="98">
        <v>265.68387212842742</v>
      </c>
      <c r="AO71" s="98">
        <v>265.68387212842742</v>
      </c>
      <c r="AP71" s="217">
        <v>265.68387212842742</v>
      </c>
      <c r="AQ71" s="161">
        <f t="shared" si="3"/>
        <v>0</v>
      </c>
      <c r="AR71" s="98"/>
      <c r="AS71" s="98">
        <v>246</v>
      </c>
      <c r="AT71" s="98">
        <v>265.68387212842742</v>
      </c>
      <c r="AU71" s="98">
        <v>265.68387212842742</v>
      </c>
      <c r="AV71" s="98">
        <v>265.68387212842742</v>
      </c>
      <c r="AW71" s="98">
        <v>265.68387212842742</v>
      </c>
      <c r="AX71" s="98">
        <v>265.68387212842742</v>
      </c>
      <c r="AY71" s="98">
        <v>265.68387212842742</v>
      </c>
      <c r="AZ71" s="98">
        <v>265.68387212842742</v>
      </c>
      <c r="BA71" s="98">
        <v>265.68387212842742</v>
      </c>
      <c r="BB71" s="98">
        <v>265.68387212842742</v>
      </c>
      <c r="BC71" s="98">
        <v>265.68387212842742</v>
      </c>
      <c r="BD71" s="185">
        <v>265.68387212842742</v>
      </c>
      <c r="BE71" s="200">
        <f t="shared" si="4"/>
        <v>0</v>
      </c>
      <c r="BF71" s="98"/>
      <c r="BG71" s="98">
        <v>246</v>
      </c>
      <c r="BH71" s="98">
        <v>265.68387212842742</v>
      </c>
      <c r="BI71" s="98">
        <v>265.68387212842742</v>
      </c>
      <c r="BJ71" s="98">
        <v>265.68387212842742</v>
      </c>
      <c r="BK71" s="98">
        <v>265.68387212842742</v>
      </c>
      <c r="BL71" s="98">
        <v>265.68387212842742</v>
      </c>
      <c r="BM71" s="98">
        <v>265.68387212842742</v>
      </c>
      <c r="BN71" s="98">
        <v>265.68387212842742</v>
      </c>
      <c r="BO71" s="98">
        <v>265.68387212842742</v>
      </c>
      <c r="BP71" s="98">
        <v>265.68387212842742</v>
      </c>
      <c r="BQ71" s="98">
        <v>265.68387212842742</v>
      </c>
      <c r="BR71" s="98">
        <v>265.68387212842742</v>
      </c>
    </row>
    <row r="72" spans="1:70" ht="13.5" outlineLevel="1" thickBot="1" x14ac:dyDescent="0.25">
      <c r="A72" s="54"/>
      <c r="B72" s="92" t="s">
        <v>11</v>
      </c>
      <c r="C72" s="91" t="s">
        <v>11</v>
      </c>
      <c r="D72" s="162">
        <v>310</v>
      </c>
      <c r="E72" s="89">
        <v>307.7</v>
      </c>
      <c r="F72" s="89">
        <v>310</v>
      </c>
      <c r="G72" s="89">
        <v>310</v>
      </c>
      <c r="H72" s="89">
        <v>310</v>
      </c>
      <c r="I72" s="89">
        <v>310</v>
      </c>
      <c r="J72" s="89">
        <v>310</v>
      </c>
      <c r="K72" s="89">
        <v>310</v>
      </c>
      <c r="L72" s="89">
        <v>310</v>
      </c>
      <c r="M72" s="89">
        <v>310</v>
      </c>
      <c r="N72" s="89">
        <v>310</v>
      </c>
      <c r="O72" s="89">
        <v>310</v>
      </c>
      <c r="P72" s="186">
        <v>310</v>
      </c>
      <c r="Q72" s="201">
        <v>310</v>
      </c>
      <c r="R72" s="89">
        <v>307.7</v>
      </c>
      <c r="S72" s="89">
        <v>310</v>
      </c>
      <c r="T72" s="89">
        <v>310</v>
      </c>
      <c r="U72" s="89">
        <v>310</v>
      </c>
      <c r="V72" s="89">
        <v>310</v>
      </c>
      <c r="W72" s="89">
        <v>310</v>
      </c>
      <c r="X72" s="89">
        <v>310</v>
      </c>
      <c r="Y72" s="89">
        <v>310</v>
      </c>
      <c r="Z72" s="89">
        <v>310</v>
      </c>
      <c r="AA72" s="89">
        <v>310</v>
      </c>
      <c r="AB72" s="89">
        <v>310</v>
      </c>
      <c r="AC72" s="186">
        <v>310</v>
      </c>
      <c r="AD72" s="233">
        <v>310</v>
      </c>
      <c r="AE72" s="89">
        <v>307.7</v>
      </c>
      <c r="AF72" s="89">
        <v>310</v>
      </c>
      <c r="AG72" s="89">
        <v>310</v>
      </c>
      <c r="AH72" s="89">
        <v>310</v>
      </c>
      <c r="AI72" s="89">
        <v>310</v>
      </c>
      <c r="AJ72" s="89">
        <v>310</v>
      </c>
      <c r="AK72" s="89">
        <v>310</v>
      </c>
      <c r="AL72" s="89">
        <v>310</v>
      </c>
      <c r="AM72" s="89">
        <v>310</v>
      </c>
      <c r="AN72" s="89">
        <v>310</v>
      </c>
      <c r="AO72" s="89">
        <v>310</v>
      </c>
      <c r="AP72" s="218">
        <v>310</v>
      </c>
      <c r="AQ72" s="162">
        <f t="shared" si="3"/>
        <v>0</v>
      </c>
      <c r="AR72" s="187"/>
      <c r="AS72" s="89">
        <v>307.7</v>
      </c>
      <c r="AT72" s="89">
        <v>310</v>
      </c>
      <c r="AU72" s="89">
        <v>310</v>
      </c>
      <c r="AV72" s="89">
        <v>310</v>
      </c>
      <c r="AW72" s="89">
        <v>310</v>
      </c>
      <c r="AX72" s="89">
        <v>310</v>
      </c>
      <c r="AY72" s="89">
        <v>310</v>
      </c>
      <c r="AZ72" s="89">
        <v>310</v>
      </c>
      <c r="BA72" s="89">
        <v>310</v>
      </c>
      <c r="BB72" s="89">
        <v>310</v>
      </c>
      <c r="BC72" s="89">
        <v>310</v>
      </c>
      <c r="BD72" s="186">
        <v>310</v>
      </c>
      <c r="BE72" s="201">
        <f t="shared" si="4"/>
        <v>0</v>
      </c>
      <c r="BF72" s="187"/>
      <c r="BG72" s="89">
        <v>307.7</v>
      </c>
      <c r="BH72" s="89">
        <v>310</v>
      </c>
      <c r="BI72" s="89">
        <v>310</v>
      </c>
      <c r="BJ72" s="89">
        <v>310</v>
      </c>
      <c r="BK72" s="89">
        <v>310</v>
      </c>
      <c r="BL72" s="89">
        <v>310</v>
      </c>
      <c r="BM72" s="89">
        <v>310</v>
      </c>
      <c r="BN72" s="89">
        <v>310</v>
      </c>
      <c r="BO72" s="89">
        <v>310</v>
      </c>
      <c r="BP72" s="89">
        <v>310</v>
      </c>
      <c r="BQ72" s="89">
        <v>310</v>
      </c>
      <c r="BR72" s="89">
        <v>310</v>
      </c>
    </row>
    <row r="73" spans="1:70" s="80" customFormat="1" ht="13.5" thickTop="1" x14ac:dyDescent="0.2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20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</row>
    <row r="74" spans="1:70" ht="16.5" customHeight="1" thickBot="1" x14ac:dyDescent="0.25">
      <c r="A74" s="54"/>
      <c r="B74" s="70" t="s">
        <v>10</v>
      </c>
      <c r="C74" s="144" t="s">
        <v>9</v>
      </c>
      <c r="D74" s="166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202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189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166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189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</row>
    <row r="75" spans="1:70" ht="13.5" outlineLevel="3" thickTop="1" x14ac:dyDescent="0.2">
      <c r="A75" s="54"/>
      <c r="B75" s="38" t="str">
        <f t="shared" ref="B75:C94" si="1091">B12</f>
        <v xml:space="preserve">Оклад </v>
      </c>
      <c r="C75" s="62" t="str">
        <f t="shared" si="1091"/>
        <v>Salary</v>
      </c>
      <c r="D75" s="167">
        <f t="shared" ref="D75:D106" si="1092">SUM(E75:P75)</f>
        <v>1623160690.8000004</v>
      </c>
      <c r="E75" s="60">
        <v>135263390.90000001</v>
      </c>
      <c r="F75" s="60">
        <v>135263390.90000001</v>
      </c>
      <c r="G75" s="60">
        <v>135263390.90000001</v>
      </c>
      <c r="H75" s="60">
        <v>135263390.90000001</v>
      </c>
      <c r="I75" s="60">
        <v>135263390.90000001</v>
      </c>
      <c r="J75" s="60">
        <v>135263390.90000001</v>
      </c>
      <c r="K75" s="60">
        <v>135263390.90000001</v>
      </c>
      <c r="L75" s="60">
        <v>135263390.90000001</v>
      </c>
      <c r="M75" s="60">
        <v>135263390.90000001</v>
      </c>
      <c r="N75" s="60">
        <v>135263390.90000001</v>
      </c>
      <c r="O75" s="60">
        <v>135263390.90000001</v>
      </c>
      <c r="P75" s="175">
        <v>135263390.90000001</v>
      </c>
      <c r="Q75" s="190">
        <f t="shared" ref="Q75:Q106" si="1093">SUM(R75:AC75)</f>
        <v>1623160690.8000004</v>
      </c>
      <c r="R75" s="60">
        <v>135263390.90000001</v>
      </c>
      <c r="S75" s="60">
        <v>135263390.90000001</v>
      </c>
      <c r="T75" s="60">
        <v>135263390.90000001</v>
      </c>
      <c r="U75" s="60">
        <v>135263390.90000001</v>
      </c>
      <c r="V75" s="60">
        <v>135263390.90000001</v>
      </c>
      <c r="W75" s="60">
        <v>135263390.90000001</v>
      </c>
      <c r="X75" s="60">
        <v>135263390.90000001</v>
      </c>
      <c r="Y75" s="60">
        <v>135263390.90000001</v>
      </c>
      <c r="Z75" s="60">
        <v>135263390.90000001</v>
      </c>
      <c r="AA75" s="60">
        <v>135263390.90000001</v>
      </c>
      <c r="AB75" s="60">
        <v>135263390.90000001</v>
      </c>
      <c r="AC75" s="175">
        <v>135263390.90000001</v>
      </c>
      <c r="AD75" s="224">
        <f t="shared" ref="AD75:AD106" si="1094">SUM(AE75:AP75)</f>
        <v>1623160690.8000004</v>
      </c>
      <c r="AE75" s="60">
        <v>135263390.90000001</v>
      </c>
      <c r="AF75" s="60">
        <v>135263390.90000001</v>
      </c>
      <c r="AG75" s="60">
        <v>135263390.90000001</v>
      </c>
      <c r="AH75" s="60">
        <v>135263390.90000001</v>
      </c>
      <c r="AI75" s="60">
        <v>135263390.90000001</v>
      </c>
      <c r="AJ75" s="60">
        <v>135263390.90000001</v>
      </c>
      <c r="AK75" s="60">
        <v>135263390.90000001</v>
      </c>
      <c r="AL75" s="60">
        <v>135263390.90000001</v>
      </c>
      <c r="AM75" s="60">
        <v>135263390.90000001</v>
      </c>
      <c r="AN75" s="60">
        <v>135263390.90000001</v>
      </c>
      <c r="AO75" s="60">
        <v>135263390.90000001</v>
      </c>
      <c r="AP75" s="60">
        <v>135263390.90000001</v>
      </c>
      <c r="AQ75" s="167">
        <f t="shared" ref="AQ75:AQ129" si="1095">AD75-D75</f>
        <v>0</v>
      </c>
      <c r="AR75" s="60"/>
      <c r="AS75" s="60">
        <v>135263390.90000001</v>
      </c>
      <c r="AT75" s="60">
        <v>135263390.90000001</v>
      </c>
      <c r="AU75" s="60">
        <v>135263390.90000001</v>
      </c>
      <c r="AV75" s="60">
        <v>135263390.90000001</v>
      </c>
      <c r="AW75" s="60">
        <v>135263390.90000001</v>
      </c>
      <c r="AX75" s="60">
        <v>135263390.90000001</v>
      </c>
      <c r="AY75" s="60">
        <v>135263390.90000001</v>
      </c>
      <c r="AZ75" s="60">
        <v>135263390.90000001</v>
      </c>
      <c r="BA75" s="60">
        <v>135263390.90000001</v>
      </c>
      <c r="BB75" s="60">
        <v>135263390.90000001</v>
      </c>
      <c r="BC75" s="60">
        <v>135263390.90000001</v>
      </c>
      <c r="BD75" s="175">
        <v>135263390.90000001</v>
      </c>
      <c r="BE75" s="190">
        <f t="shared" ref="BE75:BE129" si="1096">Q75-AD75</f>
        <v>0</v>
      </c>
      <c r="BF75" s="60"/>
      <c r="BG75" s="60">
        <v>135263390.90000001</v>
      </c>
      <c r="BH75" s="60">
        <v>135263390.90000001</v>
      </c>
      <c r="BI75" s="60">
        <v>135263390.90000001</v>
      </c>
      <c r="BJ75" s="60">
        <v>135263390.90000001</v>
      </c>
      <c r="BK75" s="60">
        <v>135263390.90000001</v>
      </c>
      <c r="BL75" s="60">
        <v>135263390.90000001</v>
      </c>
      <c r="BM75" s="60">
        <v>135263390.90000001</v>
      </c>
      <c r="BN75" s="60">
        <v>135263390.90000001</v>
      </c>
      <c r="BO75" s="60">
        <v>135263390.90000001</v>
      </c>
      <c r="BP75" s="60">
        <v>135263390.90000001</v>
      </c>
      <c r="BQ75" s="60">
        <v>135263390.90000001</v>
      </c>
      <c r="BR75" s="60">
        <v>135263390.90000001</v>
      </c>
    </row>
    <row r="76" spans="1:70" outlineLevel="3" x14ac:dyDescent="0.2">
      <c r="A76" s="54"/>
      <c r="B76" s="38" t="str">
        <f t="shared" si="1091"/>
        <v>Страховые взносы оклад</v>
      </c>
      <c r="C76" s="49" t="str">
        <f t="shared" si="1091"/>
        <v>Social securities on salaries</v>
      </c>
      <c r="D76" s="168">
        <f t="shared" si="1092"/>
        <v>327578676.00000006</v>
      </c>
      <c r="E76" s="40">
        <v>27298223.000000004</v>
      </c>
      <c r="F76" s="40">
        <v>27298223.000000004</v>
      </c>
      <c r="G76" s="40">
        <v>27298223.000000004</v>
      </c>
      <c r="H76" s="40">
        <v>27298223.000000004</v>
      </c>
      <c r="I76" s="40">
        <v>27298223.000000004</v>
      </c>
      <c r="J76" s="40">
        <v>27298223.000000004</v>
      </c>
      <c r="K76" s="40">
        <v>27298223.000000004</v>
      </c>
      <c r="L76" s="40">
        <v>27298223.000000004</v>
      </c>
      <c r="M76" s="40">
        <v>27298223.000000004</v>
      </c>
      <c r="N76" s="40">
        <v>27298223.000000004</v>
      </c>
      <c r="O76" s="40">
        <v>27298223.000000004</v>
      </c>
      <c r="P76" s="176">
        <v>27298223.000000004</v>
      </c>
      <c r="Q76" s="191">
        <f t="shared" si="1093"/>
        <v>327578676.00000006</v>
      </c>
      <c r="R76" s="40">
        <v>27298223.000000004</v>
      </c>
      <c r="S76" s="40">
        <v>27298223.000000004</v>
      </c>
      <c r="T76" s="40">
        <v>27298223.000000004</v>
      </c>
      <c r="U76" s="40">
        <v>27298223.000000004</v>
      </c>
      <c r="V76" s="40">
        <v>27298223.000000004</v>
      </c>
      <c r="W76" s="40">
        <v>27298223.000000004</v>
      </c>
      <c r="X76" s="40">
        <v>27298223.000000004</v>
      </c>
      <c r="Y76" s="40">
        <v>27298223.000000004</v>
      </c>
      <c r="Z76" s="40">
        <v>27298223.000000004</v>
      </c>
      <c r="AA76" s="40">
        <v>27298223.000000004</v>
      </c>
      <c r="AB76" s="40">
        <v>27298223.000000004</v>
      </c>
      <c r="AC76" s="176">
        <v>27298223.000000004</v>
      </c>
      <c r="AD76" s="225">
        <f t="shared" si="1094"/>
        <v>327578676.00000006</v>
      </c>
      <c r="AE76" s="40">
        <v>27298223.000000004</v>
      </c>
      <c r="AF76" s="40">
        <v>27298223.000000004</v>
      </c>
      <c r="AG76" s="40">
        <v>27298223.000000004</v>
      </c>
      <c r="AH76" s="40">
        <v>27298223.000000004</v>
      </c>
      <c r="AI76" s="40">
        <v>27298223.000000004</v>
      </c>
      <c r="AJ76" s="40">
        <v>27298223.000000004</v>
      </c>
      <c r="AK76" s="40">
        <v>27298223.000000004</v>
      </c>
      <c r="AL76" s="40">
        <v>27298223.000000004</v>
      </c>
      <c r="AM76" s="40">
        <v>27298223.000000004</v>
      </c>
      <c r="AN76" s="40">
        <v>27298223.000000004</v>
      </c>
      <c r="AO76" s="40">
        <v>27298223.000000004</v>
      </c>
      <c r="AP76" s="40">
        <v>27298223.000000004</v>
      </c>
      <c r="AQ76" s="168">
        <f t="shared" si="1095"/>
        <v>0</v>
      </c>
      <c r="AR76" s="40"/>
      <c r="AS76" s="40">
        <v>27298223.000000004</v>
      </c>
      <c r="AT76" s="40">
        <v>27298223.000000004</v>
      </c>
      <c r="AU76" s="40">
        <v>27298223.000000004</v>
      </c>
      <c r="AV76" s="40">
        <v>27298223.000000004</v>
      </c>
      <c r="AW76" s="40">
        <v>27298223.000000004</v>
      </c>
      <c r="AX76" s="40">
        <v>27298223.000000004</v>
      </c>
      <c r="AY76" s="40">
        <v>27298223.000000004</v>
      </c>
      <c r="AZ76" s="40">
        <v>27298223.000000004</v>
      </c>
      <c r="BA76" s="40">
        <v>27298223.000000004</v>
      </c>
      <c r="BB76" s="40">
        <v>27298223.000000004</v>
      </c>
      <c r="BC76" s="40">
        <v>27298223.000000004</v>
      </c>
      <c r="BD76" s="176">
        <v>27298223.000000004</v>
      </c>
      <c r="BE76" s="191">
        <f t="shared" si="1096"/>
        <v>0</v>
      </c>
      <c r="BF76" s="40"/>
      <c r="BG76" s="40">
        <v>27298223.000000004</v>
      </c>
      <c r="BH76" s="40">
        <v>27298223.000000004</v>
      </c>
      <c r="BI76" s="40">
        <v>27298223.000000004</v>
      </c>
      <c r="BJ76" s="40">
        <v>27298223.000000004</v>
      </c>
      <c r="BK76" s="40">
        <v>27298223.000000004</v>
      </c>
      <c r="BL76" s="40">
        <v>27298223.000000004</v>
      </c>
      <c r="BM76" s="40">
        <v>27298223.000000004</v>
      </c>
      <c r="BN76" s="40">
        <v>27298223.000000004</v>
      </c>
      <c r="BO76" s="40">
        <v>27298223.000000004</v>
      </c>
      <c r="BP76" s="40">
        <v>27298223.000000004</v>
      </c>
      <c r="BQ76" s="40">
        <v>27298223.000000004</v>
      </c>
      <c r="BR76" s="40">
        <v>27298223.000000004</v>
      </c>
    </row>
    <row r="77" spans="1:70" s="6" customFormat="1" outlineLevel="2" x14ac:dyDescent="0.2">
      <c r="A77" s="30"/>
      <c r="B77" s="29" t="str">
        <f t="shared" si="1091"/>
        <v>Итого оклад</v>
      </c>
      <c r="C77" s="52" t="str">
        <f t="shared" si="1091"/>
        <v>Total Salary</v>
      </c>
      <c r="D77" s="169">
        <f t="shared" si="1092"/>
        <v>1950739366.8000004</v>
      </c>
      <c r="E77" s="26">
        <f t="shared" ref="E77:L77" si="1097">SUM(E75:E76)</f>
        <v>162561613.90000001</v>
      </c>
      <c r="F77" s="26">
        <f t="shared" si="1097"/>
        <v>162561613.90000001</v>
      </c>
      <c r="G77" s="26">
        <f t="shared" si="1097"/>
        <v>162561613.90000001</v>
      </c>
      <c r="H77" s="26">
        <f t="shared" si="1097"/>
        <v>162561613.90000001</v>
      </c>
      <c r="I77" s="26">
        <f t="shared" si="1097"/>
        <v>162561613.90000001</v>
      </c>
      <c r="J77" s="26">
        <f t="shared" si="1097"/>
        <v>162561613.90000001</v>
      </c>
      <c r="K77" s="26">
        <f t="shared" si="1097"/>
        <v>162561613.90000001</v>
      </c>
      <c r="L77" s="26">
        <f t="shared" si="1097"/>
        <v>162561613.90000001</v>
      </c>
      <c r="M77" s="26">
        <f t="shared" ref="M77:P77" si="1098">SUM(M75:M76)</f>
        <v>162561613.90000001</v>
      </c>
      <c r="N77" s="26">
        <f t="shared" si="1098"/>
        <v>162561613.90000001</v>
      </c>
      <c r="O77" s="26">
        <f t="shared" si="1098"/>
        <v>162561613.90000001</v>
      </c>
      <c r="P77" s="177">
        <f t="shared" si="1098"/>
        <v>162561613.90000001</v>
      </c>
      <c r="Q77" s="192">
        <f t="shared" si="1093"/>
        <v>1950739366.8000004</v>
      </c>
      <c r="R77" s="26">
        <f t="shared" ref="R77:Y77" si="1099">SUM(R75:R76)</f>
        <v>162561613.90000001</v>
      </c>
      <c r="S77" s="26">
        <f t="shared" si="1099"/>
        <v>162561613.90000001</v>
      </c>
      <c r="T77" s="26">
        <f t="shared" si="1099"/>
        <v>162561613.90000001</v>
      </c>
      <c r="U77" s="26">
        <f t="shared" si="1099"/>
        <v>162561613.90000001</v>
      </c>
      <c r="V77" s="26">
        <f t="shared" si="1099"/>
        <v>162561613.90000001</v>
      </c>
      <c r="W77" s="26">
        <f t="shared" si="1099"/>
        <v>162561613.90000001</v>
      </c>
      <c r="X77" s="26">
        <f t="shared" si="1099"/>
        <v>162561613.90000001</v>
      </c>
      <c r="Y77" s="26">
        <f t="shared" si="1099"/>
        <v>162561613.90000001</v>
      </c>
      <c r="Z77" s="26">
        <f t="shared" ref="Z77:AC77" si="1100">SUM(Z75:Z76)</f>
        <v>162561613.90000001</v>
      </c>
      <c r="AA77" s="26">
        <f t="shared" si="1100"/>
        <v>162561613.90000001</v>
      </c>
      <c r="AB77" s="26">
        <f t="shared" si="1100"/>
        <v>162561613.90000001</v>
      </c>
      <c r="AC77" s="177">
        <f t="shared" si="1100"/>
        <v>162561613.90000001</v>
      </c>
      <c r="AD77" s="226">
        <f t="shared" si="1094"/>
        <v>1950739366.8000004</v>
      </c>
      <c r="AE77" s="26">
        <f t="shared" ref="AE77:AL77" si="1101">SUM(AE75:AE76)</f>
        <v>162561613.90000001</v>
      </c>
      <c r="AF77" s="26">
        <f t="shared" si="1101"/>
        <v>162561613.90000001</v>
      </c>
      <c r="AG77" s="26">
        <f t="shared" si="1101"/>
        <v>162561613.90000001</v>
      </c>
      <c r="AH77" s="26">
        <f t="shared" si="1101"/>
        <v>162561613.90000001</v>
      </c>
      <c r="AI77" s="26">
        <f t="shared" si="1101"/>
        <v>162561613.90000001</v>
      </c>
      <c r="AJ77" s="26">
        <f t="shared" si="1101"/>
        <v>162561613.90000001</v>
      </c>
      <c r="AK77" s="26">
        <f t="shared" si="1101"/>
        <v>162561613.90000001</v>
      </c>
      <c r="AL77" s="26">
        <f t="shared" si="1101"/>
        <v>162561613.90000001</v>
      </c>
      <c r="AM77" s="26">
        <f t="shared" ref="AM77" si="1102">SUM(AM75:AM76)</f>
        <v>162561613.90000001</v>
      </c>
      <c r="AN77" s="26">
        <f t="shared" ref="AN77" si="1103">SUM(AN75:AN76)</f>
        <v>162561613.90000001</v>
      </c>
      <c r="AO77" s="26">
        <f t="shared" ref="AO77" si="1104">SUM(AO75:AO76)</f>
        <v>162561613.90000001</v>
      </c>
      <c r="AP77" s="26">
        <f t="shared" ref="AP77" si="1105">SUM(AP75:AP76)</f>
        <v>162561613.90000001</v>
      </c>
      <c r="AQ77" s="169">
        <f t="shared" si="1095"/>
        <v>0</v>
      </c>
      <c r="AR77" s="26"/>
      <c r="AS77" s="26">
        <f t="shared" ref="AS77:AZ77" si="1106">SUM(AS75:AS76)</f>
        <v>162561613.90000001</v>
      </c>
      <c r="AT77" s="26">
        <f t="shared" si="1106"/>
        <v>162561613.90000001</v>
      </c>
      <c r="AU77" s="26">
        <f t="shared" si="1106"/>
        <v>162561613.90000001</v>
      </c>
      <c r="AV77" s="26">
        <f t="shared" si="1106"/>
        <v>162561613.90000001</v>
      </c>
      <c r="AW77" s="26">
        <f t="shared" si="1106"/>
        <v>162561613.90000001</v>
      </c>
      <c r="AX77" s="26">
        <f t="shared" si="1106"/>
        <v>162561613.90000001</v>
      </c>
      <c r="AY77" s="26">
        <f t="shared" si="1106"/>
        <v>162561613.90000001</v>
      </c>
      <c r="AZ77" s="26">
        <f t="shared" si="1106"/>
        <v>162561613.90000001</v>
      </c>
      <c r="BA77" s="26">
        <f t="shared" ref="BA77" si="1107">SUM(BA75:BA76)</f>
        <v>162561613.90000001</v>
      </c>
      <c r="BB77" s="26">
        <f t="shared" ref="BB77" si="1108">SUM(BB75:BB76)</f>
        <v>162561613.90000001</v>
      </c>
      <c r="BC77" s="26">
        <f t="shared" ref="BC77" si="1109">SUM(BC75:BC76)</f>
        <v>162561613.90000001</v>
      </c>
      <c r="BD77" s="177">
        <f t="shared" ref="BD77" si="1110">SUM(BD75:BD76)</f>
        <v>162561613.90000001</v>
      </c>
      <c r="BE77" s="192">
        <f t="shared" si="1096"/>
        <v>0</v>
      </c>
      <c r="BF77" s="26"/>
      <c r="BG77" s="26">
        <f t="shared" ref="BG77:BN77" si="1111">SUM(BG75:BG76)</f>
        <v>162561613.90000001</v>
      </c>
      <c r="BH77" s="26">
        <f t="shared" si="1111"/>
        <v>162561613.90000001</v>
      </c>
      <c r="BI77" s="26">
        <f t="shared" si="1111"/>
        <v>162561613.90000001</v>
      </c>
      <c r="BJ77" s="26">
        <f t="shared" si="1111"/>
        <v>162561613.90000001</v>
      </c>
      <c r="BK77" s="26">
        <f t="shared" si="1111"/>
        <v>162561613.90000001</v>
      </c>
      <c r="BL77" s="26">
        <f t="shared" si="1111"/>
        <v>162561613.90000001</v>
      </c>
      <c r="BM77" s="26">
        <f t="shared" si="1111"/>
        <v>162561613.90000001</v>
      </c>
      <c r="BN77" s="26">
        <f t="shared" si="1111"/>
        <v>162561613.90000001</v>
      </c>
      <c r="BO77" s="26">
        <f t="shared" ref="BO77" si="1112">SUM(BO75:BO76)</f>
        <v>162561613.90000001</v>
      </c>
      <c r="BP77" s="26">
        <f t="shared" ref="BP77" si="1113">SUM(BP75:BP76)</f>
        <v>162561613.90000001</v>
      </c>
      <c r="BQ77" s="26">
        <f t="shared" ref="BQ77" si="1114">SUM(BQ75:BQ76)</f>
        <v>162561613.90000001</v>
      </c>
      <c r="BR77" s="26">
        <f t="shared" ref="BR77" si="1115">SUM(BR75:BR76)</f>
        <v>162561613.90000001</v>
      </c>
    </row>
    <row r="78" spans="1:70" outlineLevel="3" x14ac:dyDescent="0.2">
      <c r="A78" s="54"/>
      <c r="B78" s="57" t="str">
        <f t="shared" si="1091"/>
        <v>Резерв на отпуск</v>
      </c>
      <c r="C78" s="56" t="str">
        <f t="shared" si="1091"/>
        <v>Accruals for unused vacations</v>
      </c>
      <c r="D78" s="168">
        <f t="shared" si="1092"/>
        <v>531265235.63999969</v>
      </c>
      <c r="E78" s="40">
        <v>44272102.969999984</v>
      </c>
      <c r="F78" s="40">
        <v>44272102.969999984</v>
      </c>
      <c r="G78" s="40">
        <v>44272102.969999984</v>
      </c>
      <c r="H78" s="40">
        <v>44272102.969999984</v>
      </c>
      <c r="I78" s="40">
        <v>44272102.969999984</v>
      </c>
      <c r="J78" s="40">
        <v>44272102.969999984</v>
      </c>
      <c r="K78" s="40">
        <v>44272102.969999984</v>
      </c>
      <c r="L78" s="40">
        <v>44272102.969999984</v>
      </c>
      <c r="M78" s="40">
        <v>44272102.969999984</v>
      </c>
      <c r="N78" s="40">
        <v>44272102.969999984</v>
      </c>
      <c r="O78" s="40">
        <v>44272102.969999984</v>
      </c>
      <c r="P78" s="176">
        <v>44272102.969999984</v>
      </c>
      <c r="Q78" s="191">
        <f t="shared" si="1093"/>
        <v>531265235.63999969</v>
      </c>
      <c r="R78" s="40">
        <v>44272102.969999984</v>
      </c>
      <c r="S78" s="40">
        <v>44272102.969999984</v>
      </c>
      <c r="T78" s="40">
        <v>44272102.969999984</v>
      </c>
      <c r="U78" s="40">
        <v>44272102.969999984</v>
      </c>
      <c r="V78" s="40">
        <v>44272102.969999984</v>
      </c>
      <c r="W78" s="40">
        <v>44272102.969999984</v>
      </c>
      <c r="X78" s="40">
        <v>44272102.969999984</v>
      </c>
      <c r="Y78" s="40">
        <v>44272102.969999984</v>
      </c>
      <c r="Z78" s="40">
        <v>44272102.969999984</v>
      </c>
      <c r="AA78" s="40">
        <v>44272102.969999984</v>
      </c>
      <c r="AB78" s="40">
        <v>44272102.969999984</v>
      </c>
      <c r="AC78" s="176">
        <v>44272102.969999984</v>
      </c>
      <c r="AD78" s="225">
        <f t="shared" si="1094"/>
        <v>531265235.63999969</v>
      </c>
      <c r="AE78" s="40">
        <v>44272102.969999984</v>
      </c>
      <c r="AF78" s="40">
        <v>44272102.969999984</v>
      </c>
      <c r="AG78" s="40">
        <v>44272102.969999984</v>
      </c>
      <c r="AH78" s="40">
        <v>44272102.969999984</v>
      </c>
      <c r="AI78" s="40">
        <v>44272102.969999984</v>
      </c>
      <c r="AJ78" s="40">
        <v>44272102.969999984</v>
      </c>
      <c r="AK78" s="40">
        <v>44272102.969999984</v>
      </c>
      <c r="AL78" s="40">
        <v>44272102.969999984</v>
      </c>
      <c r="AM78" s="40">
        <v>44272102.969999984</v>
      </c>
      <c r="AN78" s="40">
        <v>44272102.969999984</v>
      </c>
      <c r="AO78" s="40">
        <v>44272102.969999984</v>
      </c>
      <c r="AP78" s="40">
        <v>44272102.969999984</v>
      </c>
      <c r="AQ78" s="168">
        <f t="shared" si="1095"/>
        <v>0</v>
      </c>
      <c r="AR78" s="40"/>
      <c r="AS78" s="40">
        <v>44272102.969999984</v>
      </c>
      <c r="AT78" s="40">
        <v>44272102.969999984</v>
      </c>
      <c r="AU78" s="40">
        <v>44272102.969999984</v>
      </c>
      <c r="AV78" s="40">
        <v>44272102.969999984</v>
      </c>
      <c r="AW78" s="40">
        <v>44272102.969999984</v>
      </c>
      <c r="AX78" s="40">
        <v>44272102.969999984</v>
      </c>
      <c r="AY78" s="40">
        <v>44272102.969999984</v>
      </c>
      <c r="AZ78" s="40">
        <v>44272102.969999984</v>
      </c>
      <c r="BA78" s="40">
        <v>44272102.969999984</v>
      </c>
      <c r="BB78" s="40">
        <v>44272102.969999984</v>
      </c>
      <c r="BC78" s="40">
        <v>44272102.969999984</v>
      </c>
      <c r="BD78" s="176">
        <v>44272102.969999984</v>
      </c>
      <c r="BE78" s="191">
        <f t="shared" si="1096"/>
        <v>0</v>
      </c>
      <c r="BF78" s="40"/>
      <c r="BG78" s="40">
        <v>44272102.969999984</v>
      </c>
      <c r="BH78" s="40">
        <v>44272102.969999984</v>
      </c>
      <c r="BI78" s="40">
        <v>44272102.969999984</v>
      </c>
      <c r="BJ78" s="40">
        <v>44272102.969999984</v>
      </c>
      <c r="BK78" s="40">
        <v>44272102.969999984</v>
      </c>
      <c r="BL78" s="40">
        <v>44272102.969999984</v>
      </c>
      <c r="BM78" s="40">
        <v>44272102.969999984</v>
      </c>
      <c r="BN78" s="40">
        <v>44272102.969999984</v>
      </c>
      <c r="BO78" s="40">
        <v>44272102.969999984</v>
      </c>
      <c r="BP78" s="40">
        <v>44272102.969999984</v>
      </c>
      <c r="BQ78" s="40">
        <v>44272102.969999984</v>
      </c>
      <c r="BR78" s="40">
        <v>44272102.969999984</v>
      </c>
    </row>
    <row r="79" spans="1:70" outlineLevel="3" x14ac:dyDescent="0.2">
      <c r="A79" s="54"/>
      <c r="B79" s="38" t="str">
        <f t="shared" si="1091"/>
        <v>Страховые взносы резерв на отпуск</v>
      </c>
      <c r="C79" s="56" t="str">
        <f t="shared" si="1091"/>
        <v>Social Security on accruals for unused vacations</v>
      </c>
      <c r="D79" s="168">
        <f t="shared" si="1092"/>
        <v>74713637.040000021</v>
      </c>
      <c r="E79" s="40">
        <v>6226136.4200000018</v>
      </c>
      <c r="F79" s="40">
        <v>6226136.4200000018</v>
      </c>
      <c r="G79" s="40">
        <v>6226136.4200000018</v>
      </c>
      <c r="H79" s="40">
        <v>6226136.4200000018</v>
      </c>
      <c r="I79" s="40">
        <v>6226136.4200000018</v>
      </c>
      <c r="J79" s="40">
        <v>6226136.4200000018</v>
      </c>
      <c r="K79" s="40">
        <v>6226136.4200000018</v>
      </c>
      <c r="L79" s="40">
        <v>6226136.4200000018</v>
      </c>
      <c r="M79" s="40">
        <v>6226136.4200000018</v>
      </c>
      <c r="N79" s="40">
        <v>6226136.4200000018</v>
      </c>
      <c r="O79" s="40">
        <v>6226136.4200000018</v>
      </c>
      <c r="P79" s="176">
        <v>6226136.4200000018</v>
      </c>
      <c r="Q79" s="191">
        <f t="shared" si="1093"/>
        <v>74713637.040000021</v>
      </c>
      <c r="R79" s="40">
        <v>6226136.4200000018</v>
      </c>
      <c r="S79" s="40">
        <v>6226136.4200000018</v>
      </c>
      <c r="T79" s="40">
        <v>6226136.4200000018</v>
      </c>
      <c r="U79" s="40">
        <v>6226136.4200000018</v>
      </c>
      <c r="V79" s="40">
        <v>6226136.4200000018</v>
      </c>
      <c r="W79" s="40">
        <v>6226136.4200000018</v>
      </c>
      <c r="X79" s="40">
        <v>6226136.4200000018</v>
      </c>
      <c r="Y79" s="40">
        <v>6226136.4200000018</v>
      </c>
      <c r="Z79" s="40">
        <v>6226136.4200000018</v>
      </c>
      <c r="AA79" s="40">
        <v>6226136.4200000018</v>
      </c>
      <c r="AB79" s="40">
        <v>6226136.4200000018</v>
      </c>
      <c r="AC79" s="176">
        <v>6226136.4200000018</v>
      </c>
      <c r="AD79" s="225">
        <f t="shared" si="1094"/>
        <v>74713637.040000021</v>
      </c>
      <c r="AE79" s="40">
        <v>6226136.4200000018</v>
      </c>
      <c r="AF79" s="40">
        <v>6226136.4200000018</v>
      </c>
      <c r="AG79" s="40">
        <v>6226136.4200000018</v>
      </c>
      <c r="AH79" s="40">
        <v>6226136.4200000018</v>
      </c>
      <c r="AI79" s="40">
        <v>6226136.4200000018</v>
      </c>
      <c r="AJ79" s="40">
        <v>6226136.4200000018</v>
      </c>
      <c r="AK79" s="40">
        <v>6226136.4200000018</v>
      </c>
      <c r="AL79" s="40">
        <v>6226136.4200000018</v>
      </c>
      <c r="AM79" s="40">
        <v>6226136.4200000018</v>
      </c>
      <c r="AN79" s="40">
        <v>6226136.4200000018</v>
      </c>
      <c r="AO79" s="40">
        <v>6226136.4200000018</v>
      </c>
      <c r="AP79" s="40">
        <v>6226136.4200000018</v>
      </c>
      <c r="AQ79" s="168">
        <f t="shared" si="1095"/>
        <v>0</v>
      </c>
      <c r="AR79" s="40"/>
      <c r="AS79" s="40">
        <v>6226136.4200000018</v>
      </c>
      <c r="AT79" s="40">
        <v>6226136.4200000018</v>
      </c>
      <c r="AU79" s="40">
        <v>6226136.4200000018</v>
      </c>
      <c r="AV79" s="40">
        <v>6226136.4200000018</v>
      </c>
      <c r="AW79" s="40">
        <v>6226136.4200000018</v>
      </c>
      <c r="AX79" s="40">
        <v>6226136.4200000018</v>
      </c>
      <c r="AY79" s="40">
        <v>6226136.4200000018</v>
      </c>
      <c r="AZ79" s="40">
        <v>6226136.4200000018</v>
      </c>
      <c r="BA79" s="40">
        <v>6226136.4200000018</v>
      </c>
      <c r="BB79" s="40">
        <v>6226136.4200000018</v>
      </c>
      <c r="BC79" s="40">
        <v>6226136.4200000018</v>
      </c>
      <c r="BD79" s="176">
        <v>6226136.4200000018</v>
      </c>
      <c r="BE79" s="191">
        <f t="shared" si="1096"/>
        <v>0</v>
      </c>
      <c r="BF79" s="40"/>
      <c r="BG79" s="40">
        <v>6226136.4200000018</v>
      </c>
      <c r="BH79" s="40">
        <v>6226136.4200000018</v>
      </c>
      <c r="BI79" s="40">
        <v>6226136.4200000018</v>
      </c>
      <c r="BJ79" s="40">
        <v>6226136.4200000018</v>
      </c>
      <c r="BK79" s="40">
        <v>6226136.4200000018</v>
      </c>
      <c r="BL79" s="40">
        <v>6226136.4200000018</v>
      </c>
      <c r="BM79" s="40">
        <v>6226136.4200000018</v>
      </c>
      <c r="BN79" s="40">
        <v>6226136.4200000018</v>
      </c>
      <c r="BO79" s="40">
        <v>6226136.4200000018</v>
      </c>
      <c r="BP79" s="40">
        <v>6226136.4200000018</v>
      </c>
      <c r="BQ79" s="40">
        <v>6226136.4200000018</v>
      </c>
      <c r="BR79" s="40">
        <v>6226136.4200000018</v>
      </c>
    </row>
    <row r="80" spans="1:70" s="6" customFormat="1" outlineLevel="2" x14ac:dyDescent="0.2">
      <c r="A80" s="30"/>
      <c r="B80" s="29" t="str">
        <f t="shared" si="1091"/>
        <v>Итого резерв на отпуск</v>
      </c>
      <c r="C80" s="52" t="str">
        <f t="shared" si="1091"/>
        <v>Total Accruals for unused vacations</v>
      </c>
      <c r="D80" s="169">
        <f t="shared" si="1092"/>
        <v>605978872.67999983</v>
      </c>
      <c r="E80" s="26">
        <f t="shared" ref="E80:L80" si="1116">SUM(E78:E79)</f>
        <v>50498239.389999986</v>
      </c>
      <c r="F80" s="26">
        <f t="shared" si="1116"/>
        <v>50498239.389999986</v>
      </c>
      <c r="G80" s="26">
        <f t="shared" si="1116"/>
        <v>50498239.389999986</v>
      </c>
      <c r="H80" s="26">
        <f t="shared" si="1116"/>
        <v>50498239.389999986</v>
      </c>
      <c r="I80" s="26">
        <f t="shared" si="1116"/>
        <v>50498239.389999986</v>
      </c>
      <c r="J80" s="26">
        <f t="shared" si="1116"/>
        <v>50498239.389999986</v>
      </c>
      <c r="K80" s="26">
        <f t="shared" si="1116"/>
        <v>50498239.389999986</v>
      </c>
      <c r="L80" s="26">
        <f t="shared" si="1116"/>
        <v>50498239.389999986</v>
      </c>
      <c r="M80" s="26">
        <f t="shared" ref="M80:P80" si="1117">SUM(M78:M79)</f>
        <v>50498239.389999986</v>
      </c>
      <c r="N80" s="26">
        <f t="shared" si="1117"/>
        <v>50498239.389999986</v>
      </c>
      <c r="O80" s="26">
        <f t="shared" si="1117"/>
        <v>50498239.389999986</v>
      </c>
      <c r="P80" s="177">
        <f t="shared" si="1117"/>
        <v>50498239.389999986</v>
      </c>
      <c r="Q80" s="192">
        <f t="shared" si="1093"/>
        <v>605978872.67999983</v>
      </c>
      <c r="R80" s="26">
        <f t="shared" ref="R80:Y80" si="1118">SUM(R78:R79)</f>
        <v>50498239.389999986</v>
      </c>
      <c r="S80" s="26">
        <f t="shared" si="1118"/>
        <v>50498239.389999986</v>
      </c>
      <c r="T80" s="26">
        <f t="shared" si="1118"/>
        <v>50498239.389999986</v>
      </c>
      <c r="U80" s="26">
        <f t="shared" si="1118"/>
        <v>50498239.389999986</v>
      </c>
      <c r="V80" s="26">
        <f t="shared" si="1118"/>
        <v>50498239.389999986</v>
      </c>
      <c r="W80" s="26">
        <f t="shared" si="1118"/>
        <v>50498239.389999986</v>
      </c>
      <c r="X80" s="26">
        <f t="shared" si="1118"/>
        <v>50498239.389999986</v>
      </c>
      <c r="Y80" s="26">
        <f t="shared" si="1118"/>
        <v>50498239.389999986</v>
      </c>
      <c r="Z80" s="26">
        <f t="shared" ref="Z80:AC80" si="1119">SUM(Z78:Z79)</f>
        <v>50498239.389999986</v>
      </c>
      <c r="AA80" s="26">
        <f t="shared" si="1119"/>
        <v>50498239.389999986</v>
      </c>
      <c r="AB80" s="26">
        <f t="shared" si="1119"/>
        <v>50498239.389999986</v>
      </c>
      <c r="AC80" s="177">
        <f t="shared" si="1119"/>
        <v>50498239.389999986</v>
      </c>
      <c r="AD80" s="226">
        <f t="shared" si="1094"/>
        <v>605978872.67999983</v>
      </c>
      <c r="AE80" s="26">
        <f t="shared" ref="AE80:AL80" si="1120">SUM(AE78:AE79)</f>
        <v>50498239.389999986</v>
      </c>
      <c r="AF80" s="26">
        <f t="shared" si="1120"/>
        <v>50498239.389999986</v>
      </c>
      <c r="AG80" s="26">
        <f t="shared" si="1120"/>
        <v>50498239.389999986</v>
      </c>
      <c r="AH80" s="26">
        <f t="shared" si="1120"/>
        <v>50498239.389999986</v>
      </c>
      <c r="AI80" s="26">
        <f t="shared" si="1120"/>
        <v>50498239.389999986</v>
      </c>
      <c r="AJ80" s="26">
        <f t="shared" si="1120"/>
        <v>50498239.389999986</v>
      </c>
      <c r="AK80" s="26">
        <f t="shared" si="1120"/>
        <v>50498239.389999986</v>
      </c>
      <c r="AL80" s="26">
        <f t="shared" si="1120"/>
        <v>50498239.389999986</v>
      </c>
      <c r="AM80" s="26">
        <f t="shared" ref="AM80" si="1121">SUM(AM78:AM79)</f>
        <v>50498239.389999986</v>
      </c>
      <c r="AN80" s="26">
        <f t="shared" ref="AN80" si="1122">SUM(AN78:AN79)</f>
        <v>50498239.389999986</v>
      </c>
      <c r="AO80" s="26">
        <f t="shared" ref="AO80" si="1123">SUM(AO78:AO79)</f>
        <v>50498239.389999986</v>
      </c>
      <c r="AP80" s="26">
        <f t="shared" ref="AP80" si="1124">SUM(AP78:AP79)</f>
        <v>50498239.389999986</v>
      </c>
      <c r="AQ80" s="169">
        <f t="shared" si="1095"/>
        <v>0</v>
      </c>
      <c r="AR80" s="26"/>
      <c r="AS80" s="26">
        <f t="shared" ref="AS80:AZ80" si="1125">SUM(AS78:AS79)</f>
        <v>50498239.389999986</v>
      </c>
      <c r="AT80" s="26">
        <f t="shared" si="1125"/>
        <v>50498239.389999986</v>
      </c>
      <c r="AU80" s="26">
        <f t="shared" si="1125"/>
        <v>50498239.389999986</v>
      </c>
      <c r="AV80" s="26">
        <f t="shared" si="1125"/>
        <v>50498239.389999986</v>
      </c>
      <c r="AW80" s="26">
        <f t="shared" si="1125"/>
        <v>50498239.389999986</v>
      </c>
      <c r="AX80" s="26">
        <f t="shared" si="1125"/>
        <v>50498239.389999986</v>
      </c>
      <c r="AY80" s="26">
        <f t="shared" si="1125"/>
        <v>50498239.389999986</v>
      </c>
      <c r="AZ80" s="26">
        <f t="shared" si="1125"/>
        <v>50498239.389999986</v>
      </c>
      <c r="BA80" s="26">
        <f t="shared" ref="BA80" si="1126">SUM(BA78:BA79)</f>
        <v>50498239.389999986</v>
      </c>
      <c r="BB80" s="26">
        <f t="shared" ref="BB80" si="1127">SUM(BB78:BB79)</f>
        <v>50498239.389999986</v>
      </c>
      <c r="BC80" s="26">
        <f t="shared" ref="BC80" si="1128">SUM(BC78:BC79)</f>
        <v>50498239.389999986</v>
      </c>
      <c r="BD80" s="177">
        <f t="shared" ref="BD80" si="1129">SUM(BD78:BD79)</f>
        <v>50498239.389999986</v>
      </c>
      <c r="BE80" s="192">
        <f t="shared" si="1096"/>
        <v>0</v>
      </c>
      <c r="BF80" s="26"/>
      <c r="BG80" s="26">
        <f t="shared" ref="BG80:BN80" si="1130">SUM(BG78:BG79)</f>
        <v>50498239.389999986</v>
      </c>
      <c r="BH80" s="26">
        <f t="shared" si="1130"/>
        <v>50498239.389999986</v>
      </c>
      <c r="BI80" s="26">
        <f t="shared" si="1130"/>
        <v>50498239.389999986</v>
      </c>
      <c r="BJ80" s="26">
        <f t="shared" si="1130"/>
        <v>50498239.389999986</v>
      </c>
      <c r="BK80" s="26">
        <f t="shared" si="1130"/>
        <v>50498239.389999986</v>
      </c>
      <c r="BL80" s="26">
        <f t="shared" si="1130"/>
        <v>50498239.389999986</v>
      </c>
      <c r="BM80" s="26">
        <f t="shared" si="1130"/>
        <v>50498239.389999986</v>
      </c>
      <c r="BN80" s="26">
        <f t="shared" si="1130"/>
        <v>50498239.389999986</v>
      </c>
      <c r="BO80" s="26">
        <f t="shared" ref="BO80" si="1131">SUM(BO78:BO79)</f>
        <v>50498239.389999986</v>
      </c>
      <c r="BP80" s="26">
        <f t="shared" ref="BP80" si="1132">SUM(BP78:BP79)</f>
        <v>50498239.389999986</v>
      </c>
      <c r="BQ80" s="26">
        <f t="shared" ref="BQ80" si="1133">SUM(BQ78:BQ79)</f>
        <v>50498239.389999986</v>
      </c>
      <c r="BR80" s="26">
        <f t="shared" ref="BR80" si="1134">SUM(BR78:BR79)</f>
        <v>50498239.389999986</v>
      </c>
    </row>
    <row r="81" spans="1:70" outlineLevel="3" x14ac:dyDescent="0.2">
      <c r="A81" s="54"/>
      <c r="B81" s="38" t="str">
        <f t="shared" si="1091"/>
        <v>Оплата больничных листов</v>
      </c>
      <c r="C81" s="49" t="str">
        <f t="shared" si="1091"/>
        <v>Sick leave compensation</v>
      </c>
      <c r="D81" s="168">
        <f t="shared" si="1092"/>
        <v>6027598.5599999996</v>
      </c>
      <c r="E81" s="40">
        <v>502299.88</v>
      </c>
      <c r="F81" s="40">
        <v>502299.88</v>
      </c>
      <c r="G81" s="40">
        <v>502299.88</v>
      </c>
      <c r="H81" s="40">
        <v>502299.88</v>
      </c>
      <c r="I81" s="40">
        <v>502299.88</v>
      </c>
      <c r="J81" s="40">
        <v>502299.88</v>
      </c>
      <c r="K81" s="40">
        <v>502299.88</v>
      </c>
      <c r="L81" s="40">
        <v>502299.88</v>
      </c>
      <c r="M81" s="40">
        <v>502299.88</v>
      </c>
      <c r="N81" s="40">
        <v>502299.88</v>
      </c>
      <c r="O81" s="40">
        <v>502299.88</v>
      </c>
      <c r="P81" s="176">
        <v>502299.88</v>
      </c>
      <c r="Q81" s="191">
        <f t="shared" si="1093"/>
        <v>6027598.5599999996</v>
      </c>
      <c r="R81" s="40">
        <v>502299.88</v>
      </c>
      <c r="S81" s="40">
        <v>502299.88</v>
      </c>
      <c r="T81" s="40">
        <v>502299.88</v>
      </c>
      <c r="U81" s="40">
        <v>502299.88</v>
      </c>
      <c r="V81" s="40">
        <v>502299.88</v>
      </c>
      <c r="W81" s="40">
        <v>502299.88</v>
      </c>
      <c r="X81" s="40">
        <v>502299.88</v>
      </c>
      <c r="Y81" s="40">
        <v>502299.88</v>
      </c>
      <c r="Z81" s="40">
        <v>502299.88</v>
      </c>
      <c r="AA81" s="40">
        <v>502299.88</v>
      </c>
      <c r="AB81" s="40">
        <v>502299.88</v>
      </c>
      <c r="AC81" s="176">
        <v>502299.88</v>
      </c>
      <c r="AD81" s="225">
        <f t="shared" si="1094"/>
        <v>6027598.5599999996</v>
      </c>
      <c r="AE81" s="40">
        <v>502299.88</v>
      </c>
      <c r="AF81" s="40">
        <v>502299.88</v>
      </c>
      <c r="AG81" s="40">
        <v>502299.88</v>
      </c>
      <c r="AH81" s="40">
        <v>502299.88</v>
      </c>
      <c r="AI81" s="40">
        <v>502299.88</v>
      </c>
      <c r="AJ81" s="40">
        <v>502299.88</v>
      </c>
      <c r="AK81" s="40">
        <v>502299.88</v>
      </c>
      <c r="AL81" s="40">
        <v>502299.88</v>
      </c>
      <c r="AM81" s="40">
        <v>502299.88</v>
      </c>
      <c r="AN81" s="40">
        <v>502299.88</v>
      </c>
      <c r="AO81" s="40">
        <v>502299.88</v>
      </c>
      <c r="AP81" s="40">
        <v>502299.88</v>
      </c>
      <c r="AQ81" s="168">
        <f t="shared" si="1095"/>
        <v>0</v>
      </c>
      <c r="AR81" s="40"/>
      <c r="AS81" s="40">
        <v>502299.88</v>
      </c>
      <c r="AT81" s="40">
        <v>502299.88</v>
      </c>
      <c r="AU81" s="40">
        <v>502299.88</v>
      </c>
      <c r="AV81" s="40">
        <v>502299.88</v>
      </c>
      <c r="AW81" s="40">
        <v>502299.88</v>
      </c>
      <c r="AX81" s="40">
        <v>502299.88</v>
      </c>
      <c r="AY81" s="40">
        <v>502299.88</v>
      </c>
      <c r="AZ81" s="40">
        <v>502299.88</v>
      </c>
      <c r="BA81" s="40">
        <v>502299.88</v>
      </c>
      <c r="BB81" s="40">
        <v>502299.88</v>
      </c>
      <c r="BC81" s="40">
        <v>502299.88</v>
      </c>
      <c r="BD81" s="176">
        <v>502299.88</v>
      </c>
      <c r="BE81" s="191">
        <f t="shared" si="1096"/>
        <v>0</v>
      </c>
      <c r="BF81" s="40"/>
      <c r="BG81" s="40">
        <v>502299.88</v>
      </c>
      <c r="BH81" s="40">
        <v>502299.88</v>
      </c>
      <c r="BI81" s="40">
        <v>502299.88</v>
      </c>
      <c r="BJ81" s="40">
        <v>502299.88</v>
      </c>
      <c r="BK81" s="40">
        <v>502299.88</v>
      </c>
      <c r="BL81" s="40">
        <v>502299.88</v>
      </c>
      <c r="BM81" s="40">
        <v>502299.88</v>
      </c>
      <c r="BN81" s="40">
        <v>502299.88</v>
      </c>
      <c r="BO81" s="40">
        <v>502299.88</v>
      </c>
      <c r="BP81" s="40">
        <v>502299.88</v>
      </c>
      <c r="BQ81" s="40">
        <v>502299.88</v>
      </c>
      <c r="BR81" s="40">
        <v>502299.88</v>
      </c>
    </row>
    <row r="82" spans="1:70" outlineLevel="3" x14ac:dyDescent="0.2">
      <c r="A82" s="54"/>
      <c r="B82" s="38" t="str">
        <f t="shared" si="1091"/>
        <v>Страховые взносы оплата больничных листов</v>
      </c>
      <c r="C82" s="49" t="str">
        <f t="shared" si="1091"/>
        <v>Social Security on Sick leave compensation</v>
      </c>
      <c r="D82" s="168">
        <f t="shared" si="1092"/>
        <v>976073.39999999979</v>
      </c>
      <c r="E82" s="40">
        <v>81339.45</v>
      </c>
      <c r="F82" s="40">
        <v>81339.45</v>
      </c>
      <c r="G82" s="40">
        <v>81339.45</v>
      </c>
      <c r="H82" s="40">
        <v>81339.45</v>
      </c>
      <c r="I82" s="40">
        <v>81339.45</v>
      </c>
      <c r="J82" s="40">
        <v>81339.45</v>
      </c>
      <c r="K82" s="40">
        <v>81339.45</v>
      </c>
      <c r="L82" s="40">
        <v>81339.45</v>
      </c>
      <c r="M82" s="40">
        <v>81339.45</v>
      </c>
      <c r="N82" s="40">
        <v>81339.45</v>
      </c>
      <c r="O82" s="40">
        <v>81339.45</v>
      </c>
      <c r="P82" s="176">
        <v>81339.45</v>
      </c>
      <c r="Q82" s="191">
        <f t="shared" si="1093"/>
        <v>976073.39999999979</v>
      </c>
      <c r="R82" s="40">
        <v>81339.45</v>
      </c>
      <c r="S82" s="40">
        <v>81339.45</v>
      </c>
      <c r="T82" s="40">
        <v>81339.45</v>
      </c>
      <c r="U82" s="40">
        <v>81339.45</v>
      </c>
      <c r="V82" s="40">
        <v>81339.45</v>
      </c>
      <c r="W82" s="40">
        <v>81339.45</v>
      </c>
      <c r="X82" s="40">
        <v>81339.45</v>
      </c>
      <c r="Y82" s="40">
        <v>81339.45</v>
      </c>
      <c r="Z82" s="40">
        <v>81339.45</v>
      </c>
      <c r="AA82" s="40">
        <v>81339.45</v>
      </c>
      <c r="AB82" s="40">
        <v>81339.45</v>
      </c>
      <c r="AC82" s="176">
        <v>81339.45</v>
      </c>
      <c r="AD82" s="225">
        <f t="shared" si="1094"/>
        <v>976073.39999999979</v>
      </c>
      <c r="AE82" s="40">
        <v>81339.45</v>
      </c>
      <c r="AF82" s="40">
        <v>81339.45</v>
      </c>
      <c r="AG82" s="40">
        <v>81339.45</v>
      </c>
      <c r="AH82" s="40">
        <v>81339.45</v>
      </c>
      <c r="AI82" s="40">
        <v>81339.45</v>
      </c>
      <c r="AJ82" s="40">
        <v>81339.45</v>
      </c>
      <c r="AK82" s="40">
        <v>81339.45</v>
      </c>
      <c r="AL82" s="40">
        <v>81339.45</v>
      </c>
      <c r="AM82" s="40">
        <v>81339.45</v>
      </c>
      <c r="AN82" s="40">
        <v>81339.45</v>
      </c>
      <c r="AO82" s="40">
        <v>81339.45</v>
      </c>
      <c r="AP82" s="40">
        <v>81339.45</v>
      </c>
      <c r="AQ82" s="168">
        <f t="shared" si="1095"/>
        <v>0</v>
      </c>
      <c r="AR82" s="40"/>
      <c r="AS82" s="40">
        <v>81339.45</v>
      </c>
      <c r="AT82" s="40">
        <v>81339.45</v>
      </c>
      <c r="AU82" s="40">
        <v>81339.45</v>
      </c>
      <c r="AV82" s="40">
        <v>81339.45</v>
      </c>
      <c r="AW82" s="40">
        <v>81339.45</v>
      </c>
      <c r="AX82" s="40">
        <v>81339.45</v>
      </c>
      <c r="AY82" s="40">
        <v>81339.45</v>
      </c>
      <c r="AZ82" s="40">
        <v>81339.45</v>
      </c>
      <c r="BA82" s="40">
        <v>81339.45</v>
      </c>
      <c r="BB82" s="40">
        <v>81339.45</v>
      </c>
      <c r="BC82" s="40">
        <v>81339.45</v>
      </c>
      <c r="BD82" s="176">
        <v>81339.45</v>
      </c>
      <c r="BE82" s="191">
        <f t="shared" si="1096"/>
        <v>0</v>
      </c>
      <c r="BF82" s="40"/>
      <c r="BG82" s="40">
        <v>81339.45</v>
      </c>
      <c r="BH82" s="40">
        <v>81339.45</v>
      </c>
      <c r="BI82" s="40">
        <v>81339.45</v>
      </c>
      <c r="BJ82" s="40">
        <v>81339.45</v>
      </c>
      <c r="BK82" s="40">
        <v>81339.45</v>
      </c>
      <c r="BL82" s="40">
        <v>81339.45</v>
      </c>
      <c r="BM82" s="40">
        <v>81339.45</v>
      </c>
      <c r="BN82" s="40">
        <v>81339.45</v>
      </c>
      <c r="BO82" s="40">
        <v>81339.45</v>
      </c>
      <c r="BP82" s="40">
        <v>81339.45</v>
      </c>
      <c r="BQ82" s="40">
        <v>81339.45</v>
      </c>
      <c r="BR82" s="40">
        <v>81339.45</v>
      </c>
    </row>
    <row r="83" spans="1:70" s="6" customFormat="1" outlineLevel="2" x14ac:dyDescent="0.2">
      <c r="A83" s="30"/>
      <c r="B83" s="29" t="str">
        <f t="shared" si="1091"/>
        <v>Итого оплата больничных листов</v>
      </c>
      <c r="C83" s="52" t="str">
        <f t="shared" si="1091"/>
        <v>Total Sick leave compensation</v>
      </c>
      <c r="D83" s="169">
        <f t="shared" si="1092"/>
        <v>7003671.96</v>
      </c>
      <c r="E83" s="26">
        <f t="shared" ref="E83:L83" si="1135">SUM(E81:E82)</f>
        <v>583639.32999999996</v>
      </c>
      <c r="F83" s="26">
        <f t="shared" si="1135"/>
        <v>583639.32999999996</v>
      </c>
      <c r="G83" s="26">
        <f t="shared" si="1135"/>
        <v>583639.32999999996</v>
      </c>
      <c r="H83" s="26">
        <f t="shared" si="1135"/>
        <v>583639.32999999996</v>
      </c>
      <c r="I83" s="26">
        <f t="shared" si="1135"/>
        <v>583639.32999999996</v>
      </c>
      <c r="J83" s="26">
        <f t="shared" si="1135"/>
        <v>583639.32999999996</v>
      </c>
      <c r="K83" s="26">
        <f t="shared" si="1135"/>
        <v>583639.32999999996</v>
      </c>
      <c r="L83" s="26">
        <f t="shared" si="1135"/>
        <v>583639.32999999996</v>
      </c>
      <c r="M83" s="26">
        <f t="shared" ref="M83:P83" si="1136">SUM(M81:M82)</f>
        <v>583639.32999999996</v>
      </c>
      <c r="N83" s="26">
        <f t="shared" si="1136"/>
        <v>583639.32999999996</v>
      </c>
      <c r="O83" s="26">
        <f t="shared" si="1136"/>
        <v>583639.32999999996</v>
      </c>
      <c r="P83" s="177">
        <f t="shared" si="1136"/>
        <v>583639.32999999996</v>
      </c>
      <c r="Q83" s="192">
        <f t="shared" si="1093"/>
        <v>7003671.96</v>
      </c>
      <c r="R83" s="26">
        <f t="shared" ref="R83:Y83" si="1137">SUM(R81:R82)</f>
        <v>583639.32999999996</v>
      </c>
      <c r="S83" s="26">
        <f t="shared" si="1137"/>
        <v>583639.32999999996</v>
      </c>
      <c r="T83" s="26">
        <f t="shared" si="1137"/>
        <v>583639.32999999996</v>
      </c>
      <c r="U83" s="26">
        <f t="shared" si="1137"/>
        <v>583639.32999999996</v>
      </c>
      <c r="V83" s="26">
        <f t="shared" si="1137"/>
        <v>583639.32999999996</v>
      </c>
      <c r="W83" s="26">
        <f t="shared" si="1137"/>
        <v>583639.32999999996</v>
      </c>
      <c r="X83" s="26">
        <f t="shared" si="1137"/>
        <v>583639.32999999996</v>
      </c>
      <c r="Y83" s="26">
        <f t="shared" si="1137"/>
        <v>583639.32999999996</v>
      </c>
      <c r="Z83" s="26">
        <f t="shared" ref="Z83:AC83" si="1138">SUM(Z81:Z82)</f>
        <v>583639.32999999996</v>
      </c>
      <c r="AA83" s="26">
        <f t="shared" si="1138"/>
        <v>583639.32999999996</v>
      </c>
      <c r="AB83" s="26">
        <f t="shared" si="1138"/>
        <v>583639.32999999996</v>
      </c>
      <c r="AC83" s="177">
        <f t="shared" si="1138"/>
        <v>583639.32999999996</v>
      </c>
      <c r="AD83" s="226">
        <f t="shared" si="1094"/>
        <v>7003671.96</v>
      </c>
      <c r="AE83" s="26">
        <f t="shared" ref="AE83:AL83" si="1139">SUM(AE81:AE82)</f>
        <v>583639.32999999996</v>
      </c>
      <c r="AF83" s="26">
        <f t="shared" si="1139"/>
        <v>583639.32999999996</v>
      </c>
      <c r="AG83" s="26">
        <f t="shared" si="1139"/>
        <v>583639.32999999996</v>
      </c>
      <c r="AH83" s="26">
        <f t="shared" si="1139"/>
        <v>583639.32999999996</v>
      </c>
      <c r="AI83" s="26">
        <f t="shared" si="1139"/>
        <v>583639.32999999996</v>
      </c>
      <c r="AJ83" s="26">
        <f t="shared" si="1139"/>
        <v>583639.32999999996</v>
      </c>
      <c r="AK83" s="26">
        <f t="shared" si="1139"/>
        <v>583639.32999999996</v>
      </c>
      <c r="AL83" s="26">
        <f t="shared" si="1139"/>
        <v>583639.32999999996</v>
      </c>
      <c r="AM83" s="26">
        <f t="shared" ref="AM83" si="1140">SUM(AM81:AM82)</f>
        <v>583639.32999999996</v>
      </c>
      <c r="AN83" s="26">
        <f t="shared" ref="AN83" si="1141">SUM(AN81:AN82)</f>
        <v>583639.32999999996</v>
      </c>
      <c r="AO83" s="26">
        <f t="shared" ref="AO83" si="1142">SUM(AO81:AO82)</f>
        <v>583639.32999999996</v>
      </c>
      <c r="AP83" s="26">
        <f t="shared" ref="AP83" si="1143">SUM(AP81:AP82)</f>
        <v>583639.32999999996</v>
      </c>
      <c r="AQ83" s="169">
        <f t="shared" si="1095"/>
        <v>0</v>
      </c>
      <c r="AR83" s="26"/>
      <c r="AS83" s="26">
        <f t="shared" ref="AS83:AZ83" si="1144">SUM(AS81:AS82)</f>
        <v>583639.32999999996</v>
      </c>
      <c r="AT83" s="26">
        <f t="shared" si="1144"/>
        <v>583639.32999999996</v>
      </c>
      <c r="AU83" s="26">
        <f t="shared" si="1144"/>
        <v>583639.32999999996</v>
      </c>
      <c r="AV83" s="26">
        <f t="shared" si="1144"/>
        <v>583639.32999999996</v>
      </c>
      <c r="AW83" s="26">
        <f t="shared" si="1144"/>
        <v>583639.32999999996</v>
      </c>
      <c r="AX83" s="26">
        <f t="shared" si="1144"/>
        <v>583639.32999999996</v>
      </c>
      <c r="AY83" s="26">
        <f t="shared" si="1144"/>
        <v>583639.32999999996</v>
      </c>
      <c r="AZ83" s="26">
        <f t="shared" si="1144"/>
        <v>583639.32999999996</v>
      </c>
      <c r="BA83" s="26">
        <f t="shared" ref="BA83" si="1145">SUM(BA81:BA82)</f>
        <v>583639.32999999996</v>
      </c>
      <c r="BB83" s="26">
        <f t="shared" ref="BB83" si="1146">SUM(BB81:BB82)</f>
        <v>583639.32999999996</v>
      </c>
      <c r="BC83" s="26">
        <f t="shared" ref="BC83" si="1147">SUM(BC81:BC82)</f>
        <v>583639.32999999996</v>
      </c>
      <c r="BD83" s="177">
        <f t="shared" ref="BD83" si="1148">SUM(BD81:BD82)</f>
        <v>583639.32999999996</v>
      </c>
      <c r="BE83" s="192">
        <f t="shared" si="1096"/>
        <v>0</v>
      </c>
      <c r="BF83" s="26"/>
      <c r="BG83" s="26">
        <f t="shared" ref="BG83:BN83" si="1149">SUM(BG81:BG82)</f>
        <v>583639.32999999996</v>
      </c>
      <c r="BH83" s="26">
        <f t="shared" si="1149"/>
        <v>583639.32999999996</v>
      </c>
      <c r="BI83" s="26">
        <f t="shared" si="1149"/>
        <v>583639.32999999996</v>
      </c>
      <c r="BJ83" s="26">
        <f t="shared" si="1149"/>
        <v>583639.32999999996</v>
      </c>
      <c r="BK83" s="26">
        <f t="shared" si="1149"/>
        <v>583639.32999999996</v>
      </c>
      <c r="BL83" s="26">
        <f t="shared" si="1149"/>
        <v>583639.32999999996</v>
      </c>
      <c r="BM83" s="26">
        <f t="shared" si="1149"/>
        <v>583639.32999999996</v>
      </c>
      <c r="BN83" s="26">
        <f t="shared" si="1149"/>
        <v>583639.32999999996</v>
      </c>
      <c r="BO83" s="26">
        <f t="shared" ref="BO83" si="1150">SUM(BO81:BO82)</f>
        <v>583639.32999999996</v>
      </c>
      <c r="BP83" s="26">
        <f t="shared" ref="BP83" si="1151">SUM(BP81:BP82)</f>
        <v>583639.32999999996</v>
      </c>
      <c r="BQ83" s="26">
        <f t="shared" ref="BQ83" si="1152">SUM(BQ81:BQ82)</f>
        <v>583639.32999999996</v>
      </c>
      <c r="BR83" s="26">
        <f t="shared" ref="BR83" si="1153">SUM(BR81:BR82)</f>
        <v>583639.32999999996</v>
      </c>
    </row>
    <row r="84" spans="1:70" outlineLevel="3" x14ac:dyDescent="0.2">
      <c r="A84" s="54"/>
      <c r="B84" s="38" t="str">
        <f t="shared" si="1091"/>
        <v>Декрет</v>
      </c>
      <c r="C84" s="49" t="str">
        <f t="shared" si="1091"/>
        <v>Maternity leave</v>
      </c>
      <c r="D84" s="168">
        <f t="shared" si="1092"/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176">
        <v>0</v>
      </c>
      <c r="Q84" s="191">
        <f t="shared" si="1093"/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176">
        <v>0</v>
      </c>
      <c r="AD84" s="225">
        <f t="shared" si="1094"/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168">
        <f t="shared" si="1095"/>
        <v>0</v>
      </c>
      <c r="AR84" s="40"/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176">
        <v>0</v>
      </c>
      <c r="BE84" s="191">
        <f t="shared" si="1096"/>
        <v>0</v>
      </c>
      <c r="BF84" s="40"/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</row>
    <row r="85" spans="1:70" outlineLevel="3" x14ac:dyDescent="0.2">
      <c r="A85" s="54"/>
      <c r="B85" s="38" t="str">
        <f t="shared" si="1091"/>
        <v>Страховые взносы декрет</v>
      </c>
      <c r="C85" s="49" t="str">
        <f t="shared" si="1091"/>
        <v>Social Security on Maternity leave</v>
      </c>
      <c r="D85" s="168">
        <f t="shared" si="1092"/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176">
        <v>0</v>
      </c>
      <c r="Q85" s="191">
        <f t="shared" si="1093"/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176">
        <v>0</v>
      </c>
      <c r="AD85" s="225">
        <f t="shared" si="1094"/>
        <v>0</v>
      </c>
      <c r="AE85" s="40">
        <v>0</v>
      </c>
      <c r="AF85" s="40">
        <v>0</v>
      </c>
      <c r="AG85" s="40">
        <v>0</v>
      </c>
      <c r="AH85" s="40">
        <v>0</v>
      </c>
      <c r="AI85" s="40">
        <v>0</v>
      </c>
      <c r="AJ85" s="40">
        <v>0</v>
      </c>
      <c r="AK85" s="40">
        <v>0</v>
      </c>
      <c r="AL85" s="40">
        <v>0</v>
      </c>
      <c r="AM85" s="40">
        <v>0</v>
      </c>
      <c r="AN85" s="40">
        <v>0</v>
      </c>
      <c r="AO85" s="40">
        <v>0</v>
      </c>
      <c r="AP85" s="40">
        <v>0</v>
      </c>
      <c r="AQ85" s="168">
        <f t="shared" si="1095"/>
        <v>0</v>
      </c>
      <c r="AR85" s="40"/>
      <c r="AS85" s="40">
        <v>0</v>
      </c>
      <c r="AT85" s="40">
        <v>0</v>
      </c>
      <c r="AU85" s="40">
        <v>0</v>
      </c>
      <c r="AV85" s="40">
        <v>0</v>
      </c>
      <c r="AW85" s="40">
        <v>0</v>
      </c>
      <c r="AX85" s="40">
        <v>0</v>
      </c>
      <c r="AY85" s="40">
        <v>0</v>
      </c>
      <c r="AZ85" s="40">
        <v>0</v>
      </c>
      <c r="BA85" s="40">
        <v>0</v>
      </c>
      <c r="BB85" s="40">
        <v>0</v>
      </c>
      <c r="BC85" s="40">
        <v>0</v>
      </c>
      <c r="BD85" s="176">
        <v>0</v>
      </c>
      <c r="BE85" s="191">
        <f t="shared" si="1096"/>
        <v>0</v>
      </c>
      <c r="BF85" s="40"/>
      <c r="BG85" s="40">
        <v>0</v>
      </c>
      <c r="BH85" s="40">
        <v>0</v>
      </c>
      <c r="BI85" s="40">
        <v>0</v>
      </c>
      <c r="BJ85" s="40">
        <v>0</v>
      </c>
      <c r="BK85" s="40">
        <v>0</v>
      </c>
      <c r="BL85" s="40">
        <v>0</v>
      </c>
      <c r="BM85" s="40">
        <v>0</v>
      </c>
      <c r="BN85" s="40">
        <v>0</v>
      </c>
      <c r="BO85" s="40">
        <v>0</v>
      </c>
      <c r="BP85" s="40">
        <v>0</v>
      </c>
      <c r="BQ85" s="40">
        <v>0</v>
      </c>
      <c r="BR85" s="40">
        <v>0</v>
      </c>
    </row>
    <row r="86" spans="1:70" s="6" customFormat="1" outlineLevel="2" x14ac:dyDescent="0.2">
      <c r="A86" s="30"/>
      <c r="B86" s="29" t="str">
        <f t="shared" si="1091"/>
        <v>Итого декрет</v>
      </c>
      <c r="C86" s="52" t="str">
        <f t="shared" si="1091"/>
        <v>Total Maternity leave</v>
      </c>
      <c r="D86" s="169">
        <f t="shared" si="1092"/>
        <v>0</v>
      </c>
      <c r="E86" s="26">
        <f t="shared" ref="E86:L86" si="1154">SUM(E84:E85)</f>
        <v>0</v>
      </c>
      <c r="F86" s="26">
        <f t="shared" si="1154"/>
        <v>0</v>
      </c>
      <c r="G86" s="26">
        <f t="shared" si="1154"/>
        <v>0</v>
      </c>
      <c r="H86" s="26">
        <f t="shared" si="1154"/>
        <v>0</v>
      </c>
      <c r="I86" s="26">
        <f t="shared" si="1154"/>
        <v>0</v>
      </c>
      <c r="J86" s="26">
        <f t="shared" si="1154"/>
        <v>0</v>
      </c>
      <c r="K86" s="26">
        <f t="shared" si="1154"/>
        <v>0</v>
      </c>
      <c r="L86" s="26">
        <f t="shared" si="1154"/>
        <v>0</v>
      </c>
      <c r="M86" s="26">
        <f t="shared" ref="M86:P86" si="1155">SUM(M84:M85)</f>
        <v>0</v>
      </c>
      <c r="N86" s="26">
        <f t="shared" si="1155"/>
        <v>0</v>
      </c>
      <c r="O86" s="26">
        <f t="shared" si="1155"/>
        <v>0</v>
      </c>
      <c r="P86" s="177">
        <f t="shared" si="1155"/>
        <v>0</v>
      </c>
      <c r="Q86" s="192">
        <f t="shared" si="1093"/>
        <v>0</v>
      </c>
      <c r="R86" s="26">
        <f t="shared" ref="R86:Y86" si="1156">SUM(R84:R85)</f>
        <v>0</v>
      </c>
      <c r="S86" s="26">
        <f t="shared" si="1156"/>
        <v>0</v>
      </c>
      <c r="T86" s="26">
        <f t="shared" si="1156"/>
        <v>0</v>
      </c>
      <c r="U86" s="26">
        <f t="shared" si="1156"/>
        <v>0</v>
      </c>
      <c r="V86" s="26">
        <f t="shared" si="1156"/>
        <v>0</v>
      </c>
      <c r="W86" s="26">
        <f t="shared" si="1156"/>
        <v>0</v>
      </c>
      <c r="X86" s="26">
        <f t="shared" si="1156"/>
        <v>0</v>
      </c>
      <c r="Y86" s="26">
        <f t="shared" si="1156"/>
        <v>0</v>
      </c>
      <c r="Z86" s="26">
        <f t="shared" ref="Z86:AC86" si="1157">SUM(Z84:Z85)</f>
        <v>0</v>
      </c>
      <c r="AA86" s="26">
        <f t="shared" si="1157"/>
        <v>0</v>
      </c>
      <c r="AB86" s="26">
        <f t="shared" si="1157"/>
        <v>0</v>
      </c>
      <c r="AC86" s="177">
        <f t="shared" si="1157"/>
        <v>0</v>
      </c>
      <c r="AD86" s="226">
        <f t="shared" si="1094"/>
        <v>0</v>
      </c>
      <c r="AE86" s="26">
        <f t="shared" ref="AE86:AL86" si="1158">SUM(AE84:AE85)</f>
        <v>0</v>
      </c>
      <c r="AF86" s="26">
        <f t="shared" si="1158"/>
        <v>0</v>
      </c>
      <c r="AG86" s="26">
        <f t="shared" si="1158"/>
        <v>0</v>
      </c>
      <c r="AH86" s="26">
        <f t="shared" si="1158"/>
        <v>0</v>
      </c>
      <c r="AI86" s="26">
        <f t="shared" si="1158"/>
        <v>0</v>
      </c>
      <c r="AJ86" s="26">
        <f t="shared" si="1158"/>
        <v>0</v>
      </c>
      <c r="AK86" s="26">
        <f t="shared" si="1158"/>
        <v>0</v>
      </c>
      <c r="AL86" s="26">
        <f t="shared" si="1158"/>
        <v>0</v>
      </c>
      <c r="AM86" s="26">
        <f t="shared" ref="AM86" si="1159">SUM(AM84:AM85)</f>
        <v>0</v>
      </c>
      <c r="AN86" s="26">
        <f t="shared" ref="AN86" si="1160">SUM(AN84:AN85)</f>
        <v>0</v>
      </c>
      <c r="AO86" s="26">
        <f t="shared" ref="AO86" si="1161">SUM(AO84:AO85)</f>
        <v>0</v>
      </c>
      <c r="AP86" s="26">
        <f t="shared" ref="AP86" si="1162">SUM(AP84:AP85)</f>
        <v>0</v>
      </c>
      <c r="AQ86" s="169">
        <f t="shared" si="1095"/>
        <v>0</v>
      </c>
      <c r="AR86" s="26"/>
      <c r="AS86" s="26">
        <f t="shared" ref="AS86:AZ86" si="1163">SUM(AS84:AS85)</f>
        <v>0</v>
      </c>
      <c r="AT86" s="26">
        <f t="shared" si="1163"/>
        <v>0</v>
      </c>
      <c r="AU86" s="26">
        <f t="shared" si="1163"/>
        <v>0</v>
      </c>
      <c r="AV86" s="26">
        <f t="shared" si="1163"/>
        <v>0</v>
      </c>
      <c r="AW86" s="26">
        <f t="shared" si="1163"/>
        <v>0</v>
      </c>
      <c r="AX86" s="26">
        <f t="shared" si="1163"/>
        <v>0</v>
      </c>
      <c r="AY86" s="26">
        <f t="shared" si="1163"/>
        <v>0</v>
      </c>
      <c r="AZ86" s="26">
        <f t="shared" si="1163"/>
        <v>0</v>
      </c>
      <c r="BA86" s="26">
        <f t="shared" ref="BA86" si="1164">SUM(BA84:BA85)</f>
        <v>0</v>
      </c>
      <c r="BB86" s="26">
        <f t="shared" ref="BB86" si="1165">SUM(BB84:BB85)</f>
        <v>0</v>
      </c>
      <c r="BC86" s="26">
        <f t="shared" ref="BC86" si="1166">SUM(BC84:BC85)</f>
        <v>0</v>
      </c>
      <c r="BD86" s="177">
        <f t="shared" ref="BD86" si="1167">SUM(BD84:BD85)</f>
        <v>0</v>
      </c>
      <c r="BE86" s="192">
        <f t="shared" si="1096"/>
        <v>0</v>
      </c>
      <c r="BF86" s="26"/>
      <c r="BG86" s="26">
        <f t="shared" ref="BG86:BN86" si="1168">SUM(BG84:BG85)</f>
        <v>0</v>
      </c>
      <c r="BH86" s="26">
        <f t="shared" si="1168"/>
        <v>0</v>
      </c>
      <c r="BI86" s="26">
        <f t="shared" si="1168"/>
        <v>0</v>
      </c>
      <c r="BJ86" s="26">
        <f t="shared" si="1168"/>
        <v>0</v>
      </c>
      <c r="BK86" s="26">
        <f t="shared" si="1168"/>
        <v>0</v>
      </c>
      <c r="BL86" s="26">
        <f t="shared" si="1168"/>
        <v>0</v>
      </c>
      <c r="BM86" s="26">
        <f t="shared" si="1168"/>
        <v>0</v>
      </c>
      <c r="BN86" s="26">
        <f t="shared" si="1168"/>
        <v>0</v>
      </c>
      <c r="BO86" s="26">
        <f t="shared" ref="BO86" si="1169">SUM(BO84:BO85)</f>
        <v>0</v>
      </c>
      <c r="BP86" s="26">
        <f t="shared" ref="BP86" si="1170">SUM(BP84:BP85)</f>
        <v>0</v>
      </c>
      <c r="BQ86" s="26">
        <f t="shared" ref="BQ86" si="1171">SUM(BQ84:BQ85)</f>
        <v>0</v>
      </c>
      <c r="BR86" s="26">
        <f t="shared" ref="BR86" si="1172">SUM(BR84:BR85)</f>
        <v>0</v>
      </c>
    </row>
    <row r="87" spans="1:70" s="6" customFormat="1" outlineLevel="1" x14ac:dyDescent="0.2">
      <c r="A87" s="30"/>
      <c r="B87" s="48" t="str">
        <f t="shared" si="1091"/>
        <v>Фиксированное вознаграждение</v>
      </c>
      <c r="C87" s="55" t="str">
        <f t="shared" si="1091"/>
        <v>FIX compensation</v>
      </c>
      <c r="D87" s="170">
        <f t="shared" si="1092"/>
        <v>2563721911.4399996</v>
      </c>
      <c r="E87" s="45">
        <f t="shared" ref="E87:L87" si="1173">E77+E80+E83+E86</f>
        <v>213643492.62</v>
      </c>
      <c r="F87" s="45">
        <f t="shared" si="1173"/>
        <v>213643492.62</v>
      </c>
      <c r="G87" s="45">
        <f t="shared" si="1173"/>
        <v>213643492.62</v>
      </c>
      <c r="H87" s="45">
        <f t="shared" si="1173"/>
        <v>213643492.62</v>
      </c>
      <c r="I87" s="45">
        <f t="shared" si="1173"/>
        <v>213643492.62</v>
      </c>
      <c r="J87" s="45">
        <f t="shared" si="1173"/>
        <v>213643492.62</v>
      </c>
      <c r="K87" s="45">
        <f t="shared" si="1173"/>
        <v>213643492.62</v>
      </c>
      <c r="L87" s="45">
        <f t="shared" si="1173"/>
        <v>213643492.62</v>
      </c>
      <c r="M87" s="45">
        <f t="shared" ref="M87:P87" si="1174">M77+M80+M83+M86</f>
        <v>213643492.62</v>
      </c>
      <c r="N87" s="45">
        <f t="shared" si="1174"/>
        <v>213643492.62</v>
      </c>
      <c r="O87" s="45">
        <f t="shared" si="1174"/>
        <v>213643492.62</v>
      </c>
      <c r="P87" s="178">
        <f t="shared" si="1174"/>
        <v>213643492.62</v>
      </c>
      <c r="Q87" s="193">
        <f t="shared" si="1093"/>
        <v>2563721911.4399996</v>
      </c>
      <c r="R87" s="45">
        <f t="shared" ref="R87:Y87" si="1175">R77+R80+R83+R86</f>
        <v>213643492.62</v>
      </c>
      <c r="S87" s="45">
        <f t="shared" si="1175"/>
        <v>213643492.62</v>
      </c>
      <c r="T87" s="45">
        <f t="shared" si="1175"/>
        <v>213643492.62</v>
      </c>
      <c r="U87" s="45">
        <f t="shared" si="1175"/>
        <v>213643492.62</v>
      </c>
      <c r="V87" s="45">
        <f t="shared" si="1175"/>
        <v>213643492.62</v>
      </c>
      <c r="W87" s="45">
        <f t="shared" si="1175"/>
        <v>213643492.62</v>
      </c>
      <c r="X87" s="45">
        <f t="shared" si="1175"/>
        <v>213643492.62</v>
      </c>
      <c r="Y87" s="45">
        <f t="shared" si="1175"/>
        <v>213643492.62</v>
      </c>
      <c r="Z87" s="45">
        <f t="shared" ref="Z87:AC87" si="1176">Z77+Z80+Z83+Z86</f>
        <v>213643492.62</v>
      </c>
      <c r="AA87" s="45">
        <f t="shared" si="1176"/>
        <v>213643492.62</v>
      </c>
      <c r="AB87" s="45">
        <f t="shared" si="1176"/>
        <v>213643492.62</v>
      </c>
      <c r="AC87" s="178">
        <f t="shared" si="1176"/>
        <v>213643492.62</v>
      </c>
      <c r="AD87" s="227">
        <f t="shared" si="1094"/>
        <v>2563721911.4399996</v>
      </c>
      <c r="AE87" s="45">
        <f t="shared" ref="AE87:AL87" si="1177">AE77+AE80+AE83+AE86</f>
        <v>213643492.62</v>
      </c>
      <c r="AF87" s="45">
        <f t="shared" si="1177"/>
        <v>213643492.62</v>
      </c>
      <c r="AG87" s="45">
        <f t="shared" si="1177"/>
        <v>213643492.62</v>
      </c>
      <c r="AH87" s="45">
        <f t="shared" si="1177"/>
        <v>213643492.62</v>
      </c>
      <c r="AI87" s="45">
        <f t="shared" si="1177"/>
        <v>213643492.62</v>
      </c>
      <c r="AJ87" s="45">
        <f t="shared" si="1177"/>
        <v>213643492.62</v>
      </c>
      <c r="AK87" s="45">
        <f t="shared" si="1177"/>
        <v>213643492.62</v>
      </c>
      <c r="AL87" s="45">
        <f t="shared" si="1177"/>
        <v>213643492.62</v>
      </c>
      <c r="AM87" s="45">
        <f t="shared" ref="AM87" si="1178">AM77+AM80+AM83+AM86</f>
        <v>213643492.62</v>
      </c>
      <c r="AN87" s="45">
        <f t="shared" ref="AN87" si="1179">AN77+AN80+AN83+AN86</f>
        <v>213643492.62</v>
      </c>
      <c r="AO87" s="45">
        <f t="shared" ref="AO87" si="1180">AO77+AO80+AO83+AO86</f>
        <v>213643492.62</v>
      </c>
      <c r="AP87" s="45">
        <f t="shared" ref="AP87" si="1181">AP77+AP80+AP83+AP86</f>
        <v>213643492.62</v>
      </c>
      <c r="AQ87" s="170">
        <f t="shared" si="1095"/>
        <v>0</v>
      </c>
      <c r="AR87" s="45"/>
      <c r="AS87" s="45">
        <f t="shared" ref="AS87:AZ87" si="1182">AS77+AS80+AS83+AS86</f>
        <v>213643492.62</v>
      </c>
      <c r="AT87" s="45">
        <f t="shared" si="1182"/>
        <v>213643492.62</v>
      </c>
      <c r="AU87" s="45">
        <f t="shared" si="1182"/>
        <v>213643492.62</v>
      </c>
      <c r="AV87" s="45">
        <f t="shared" si="1182"/>
        <v>213643492.62</v>
      </c>
      <c r="AW87" s="45">
        <f t="shared" si="1182"/>
        <v>213643492.62</v>
      </c>
      <c r="AX87" s="45">
        <f t="shared" si="1182"/>
        <v>213643492.62</v>
      </c>
      <c r="AY87" s="45">
        <f t="shared" si="1182"/>
        <v>213643492.62</v>
      </c>
      <c r="AZ87" s="45">
        <f t="shared" si="1182"/>
        <v>213643492.62</v>
      </c>
      <c r="BA87" s="45">
        <f t="shared" ref="BA87" si="1183">BA77+BA80+BA83+BA86</f>
        <v>213643492.62</v>
      </c>
      <c r="BB87" s="45">
        <f t="shared" ref="BB87" si="1184">BB77+BB80+BB83+BB86</f>
        <v>213643492.62</v>
      </c>
      <c r="BC87" s="45">
        <f t="shared" ref="BC87" si="1185">BC77+BC80+BC83+BC86</f>
        <v>213643492.62</v>
      </c>
      <c r="BD87" s="178">
        <f t="shared" ref="BD87" si="1186">BD77+BD80+BD83+BD86</f>
        <v>213643492.62</v>
      </c>
      <c r="BE87" s="193">
        <f t="shared" si="1096"/>
        <v>0</v>
      </c>
      <c r="BF87" s="45"/>
      <c r="BG87" s="45">
        <f t="shared" ref="BG87:BN87" si="1187">BG77+BG80+BG83+BG86</f>
        <v>213643492.62</v>
      </c>
      <c r="BH87" s="45">
        <f t="shared" si="1187"/>
        <v>213643492.62</v>
      </c>
      <c r="BI87" s="45">
        <f t="shared" si="1187"/>
        <v>213643492.62</v>
      </c>
      <c r="BJ87" s="45">
        <f t="shared" si="1187"/>
        <v>213643492.62</v>
      </c>
      <c r="BK87" s="45">
        <f t="shared" si="1187"/>
        <v>213643492.62</v>
      </c>
      <c r="BL87" s="45">
        <f t="shared" si="1187"/>
        <v>213643492.62</v>
      </c>
      <c r="BM87" s="45">
        <f t="shared" si="1187"/>
        <v>213643492.62</v>
      </c>
      <c r="BN87" s="45">
        <f t="shared" si="1187"/>
        <v>213643492.62</v>
      </c>
      <c r="BO87" s="45">
        <f t="shared" ref="BO87" si="1188">BO77+BO80+BO83+BO86</f>
        <v>213643492.62</v>
      </c>
      <c r="BP87" s="45">
        <f t="shared" ref="BP87" si="1189">BP77+BP80+BP83+BP86</f>
        <v>213643492.62</v>
      </c>
      <c r="BQ87" s="45">
        <f t="shared" ref="BQ87" si="1190">BQ77+BQ80+BQ83+BQ86</f>
        <v>213643492.62</v>
      </c>
      <c r="BR87" s="45">
        <f t="shared" ref="BR87" si="1191">BR77+BR80+BR83+BR86</f>
        <v>213643492.62</v>
      </c>
    </row>
    <row r="88" spans="1:70" s="6" customFormat="1" outlineLevel="2" x14ac:dyDescent="0.2">
      <c r="B88" s="29" t="str">
        <f t="shared" si="1091"/>
        <v>Расходы на страхование (ДМС, НС)</v>
      </c>
      <c r="C88" s="52" t="str">
        <f t="shared" si="1091"/>
        <v>Health &amp; welfare</v>
      </c>
      <c r="D88" s="169">
        <f t="shared" si="1092"/>
        <v>59860100.039999992</v>
      </c>
      <c r="E88" s="26">
        <v>4988341.6699999981</v>
      </c>
      <c r="F88" s="26">
        <v>4988341.6699999981</v>
      </c>
      <c r="G88" s="26">
        <v>4988341.6699999981</v>
      </c>
      <c r="H88" s="26">
        <v>4988341.6699999981</v>
      </c>
      <c r="I88" s="26">
        <v>4988341.6699999981</v>
      </c>
      <c r="J88" s="26">
        <v>4988341.6699999981</v>
      </c>
      <c r="K88" s="26">
        <v>4988341.6699999981</v>
      </c>
      <c r="L88" s="26">
        <v>4988341.6699999981</v>
      </c>
      <c r="M88" s="26">
        <v>4988341.6699999981</v>
      </c>
      <c r="N88" s="26">
        <v>4988341.6699999981</v>
      </c>
      <c r="O88" s="26">
        <v>4988341.6699999981</v>
      </c>
      <c r="P88" s="177">
        <v>4988341.6699999981</v>
      </c>
      <c r="Q88" s="192">
        <f t="shared" si="1093"/>
        <v>59860100.039999992</v>
      </c>
      <c r="R88" s="26">
        <v>4988341.6699999981</v>
      </c>
      <c r="S88" s="26">
        <v>4988341.6699999981</v>
      </c>
      <c r="T88" s="26">
        <v>4988341.6699999981</v>
      </c>
      <c r="U88" s="26">
        <v>4988341.6699999981</v>
      </c>
      <c r="V88" s="26">
        <v>4988341.6699999981</v>
      </c>
      <c r="W88" s="26">
        <v>4988341.6699999981</v>
      </c>
      <c r="X88" s="26">
        <v>4988341.6699999981</v>
      </c>
      <c r="Y88" s="26">
        <v>4988341.6699999981</v>
      </c>
      <c r="Z88" s="26">
        <v>4988341.6699999981</v>
      </c>
      <c r="AA88" s="26">
        <v>4988341.6699999981</v>
      </c>
      <c r="AB88" s="26">
        <v>4988341.6699999981</v>
      </c>
      <c r="AC88" s="177">
        <v>4988341.6699999981</v>
      </c>
      <c r="AD88" s="226">
        <f t="shared" si="1094"/>
        <v>59860100.039999992</v>
      </c>
      <c r="AE88" s="26">
        <v>4988341.6699999981</v>
      </c>
      <c r="AF88" s="26">
        <v>4988341.6699999981</v>
      </c>
      <c r="AG88" s="26">
        <v>4988341.6699999981</v>
      </c>
      <c r="AH88" s="26">
        <v>4988341.6699999981</v>
      </c>
      <c r="AI88" s="26">
        <v>4988341.6699999981</v>
      </c>
      <c r="AJ88" s="26">
        <v>4988341.6699999981</v>
      </c>
      <c r="AK88" s="26">
        <v>4988341.6699999981</v>
      </c>
      <c r="AL88" s="26">
        <v>4988341.6699999981</v>
      </c>
      <c r="AM88" s="26">
        <v>4988341.6699999981</v>
      </c>
      <c r="AN88" s="26">
        <v>4988341.6699999981</v>
      </c>
      <c r="AO88" s="26">
        <v>4988341.6699999981</v>
      </c>
      <c r="AP88" s="26">
        <v>4988341.6699999981</v>
      </c>
      <c r="AQ88" s="169">
        <f t="shared" si="1095"/>
        <v>0</v>
      </c>
      <c r="AR88" s="26"/>
      <c r="AS88" s="26">
        <v>4988341.6699999981</v>
      </c>
      <c r="AT88" s="26">
        <v>4988341.6699999981</v>
      </c>
      <c r="AU88" s="26">
        <v>4988341.6699999981</v>
      </c>
      <c r="AV88" s="26">
        <v>4988341.6699999981</v>
      </c>
      <c r="AW88" s="26">
        <v>4988341.6699999981</v>
      </c>
      <c r="AX88" s="26">
        <v>4988341.6699999981</v>
      </c>
      <c r="AY88" s="26">
        <v>4988341.6699999981</v>
      </c>
      <c r="AZ88" s="26">
        <v>4988341.6699999981</v>
      </c>
      <c r="BA88" s="26">
        <v>4988341.6699999981</v>
      </c>
      <c r="BB88" s="26">
        <v>4988341.6699999981</v>
      </c>
      <c r="BC88" s="26">
        <v>4988341.6699999981</v>
      </c>
      <c r="BD88" s="177">
        <v>4988341.6699999981</v>
      </c>
      <c r="BE88" s="192">
        <f t="shared" si="1096"/>
        <v>0</v>
      </c>
      <c r="BF88" s="26"/>
      <c r="BG88" s="26">
        <v>4988341.6699999981</v>
      </c>
      <c r="BH88" s="26">
        <v>4988341.6699999981</v>
      </c>
      <c r="BI88" s="26">
        <v>4988341.6699999981</v>
      </c>
      <c r="BJ88" s="26">
        <v>4988341.6699999981</v>
      </c>
      <c r="BK88" s="26">
        <v>4988341.6699999981</v>
      </c>
      <c r="BL88" s="26">
        <v>4988341.6699999981</v>
      </c>
      <c r="BM88" s="26">
        <v>4988341.6699999981</v>
      </c>
      <c r="BN88" s="26">
        <v>4988341.6699999981</v>
      </c>
      <c r="BO88" s="26">
        <v>4988341.6699999981</v>
      </c>
      <c r="BP88" s="26">
        <v>4988341.6699999981</v>
      </c>
      <c r="BQ88" s="26">
        <v>4988341.6699999981</v>
      </c>
      <c r="BR88" s="26">
        <v>4988341.6699999981</v>
      </c>
    </row>
    <row r="89" spans="1:70" s="6" customFormat="1" outlineLevel="2" x14ac:dyDescent="0.2">
      <c r="B89" s="29" t="str">
        <f t="shared" si="1091"/>
        <v>Прочие бенефиты</v>
      </c>
      <c r="C89" s="52" t="str">
        <f t="shared" si="1091"/>
        <v>Other benefits - Non-state mandated</v>
      </c>
      <c r="D89" s="169">
        <f t="shared" si="1092"/>
        <v>7371742.6800000034</v>
      </c>
      <c r="E89" s="26">
        <v>614311.89000000013</v>
      </c>
      <c r="F89" s="26">
        <v>614311.89000000013</v>
      </c>
      <c r="G89" s="26">
        <v>614311.89000000013</v>
      </c>
      <c r="H89" s="26">
        <v>614311.89000000013</v>
      </c>
      <c r="I89" s="26">
        <v>614311.89000000013</v>
      </c>
      <c r="J89" s="26">
        <v>614311.89000000013</v>
      </c>
      <c r="K89" s="26">
        <v>614311.89000000013</v>
      </c>
      <c r="L89" s="26">
        <v>614311.89000000013</v>
      </c>
      <c r="M89" s="26">
        <v>614311.89000000013</v>
      </c>
      <c r="N89" s="26">
        <v>614311.89000000013</v>
      </c>
      <c r="O89" s="26">
        <v>614311.89000000013</v>
      </c>
      <c r="P89" s="177">
        <v>614311.89000000013</v>
      </c>
      <c r="Q89" s="192">
        <f t="shared" si="1093"/>
        <v>7371742.6800000034</v>
      </c>
      <c r="R89" s="26">
        <v>614311.89000000013</v>
      </c>
      <c r="S89" s="26">
        <v>614311.89000000013</v>
      </c>
      <c r="T89" s="26">
        <v>614311.89000000013</v>
      </c>
      <c r="U89" s="26">
        <v>614311.89000000013</v>
      </c>
      <c r="V89" s="26">
        <v>614311.89000000013</v>
      </c>
      <c r="W89" s="26">
        <v>614311.89000000013</v>
      </c>
      <c r="X89" s="26">
        <v>614311.89000000013</v>
      </c>
      <c r="Y89" s="26">
        <v>614311.89000000013</v>
      </c>
      <c r="Z89" s="26">
        <v>614311.89000000013</v>
      </c>
      <c r="AA89" s="26">
        <v>614311.89000000013</v>
      </c>
      <c r="AB89" s="26">
        <v>614311.89000000013</v>
      </c>
      <c r="AC89" s="177">
        <v>614311.89000000013</v>
      </c>
      <c r="AD89" s="226">
        <f t="shared" si="1094"/>
        <v>7371742.6800000034</v>
      </c>
      <c r="AE89" s="26">
        <v>614311.89000000013</v>
      </c>
      <c r="AF89" s="26">
        <v>614311.89000000013</v>
      </c>
      <c r="AG89" s="26">
        <v>614311.89000000013</v>
      </c>
      <c r="AH89" s="26">
        <v>614311.89000000013</v>
      </c>
      <c r="AI89" s="26">
        <v>614311.89000000013</v>
      </c>
      <c r="AJ89" s="26">
        <v>614311.89000000013</v>
      </c>
      <c r="AK89" s="26">
        <v>614311.89000000013</v>
      </c>
      <c r="AL89" s="26">
        <v>614311.89000000013</v>
      </c>
      <c r="AM89" s="26">
        <v>614311.89000000013</v>
      </c>
      <c r="AN89" s="26">
        <v>614311.89000000013</v>
      </c>
      <c r="AO89" s="26">
        <v>614311.89000000013</v>
      </c>
      <c r="AP89" s="26">
        <v>614311.89000000013</v>
      </c>
      <c r="AQ89" s="169">
        <f t="shared" si="1095"/>
        <v>0</v>
      </c>
      <c r="AR89" s="26"/>
      <c r="AS89" s="26">
        <v>614311.89000000013</v>
      </c>
      <c r="AT89" s="26">
        <v>614311.89000000013</v>
      </c>
      <c r="AU89" s="26">
        <v>614311.89000000013</v>
      </c>
      <c r="AV89" s="26">
        <v>614311.89000000013</v>
      </c>
      <c r="AW89" s="26">
        <v>614311.89000000013</v>
      </c>
      <c r="AX89" s="26">
        <v>614311.89000000013</v>
      </c>
      <c r="AY89" s="26">
        <v>614311.89000000013</v>
      </c>
      <c r="AZ89" s="26">
        <v>614311.89000000013</v>
      </c>
      <c r="BA89" s="26">
        <v>614311.89000000013</v>
      </c>
      <c r="BB89" s="26">
        <v>614311.89000000013</v>
      </c>
      <c r="BC89" s="26">
        <v>614311.89000000013</v>
      </c>
      <c r="BD89" s="177">
        <v>614311.89000000013</v>
      </c>
      <c r="BE89" s="192">
        <f t="shared" si="1096"/>
        <v>0</v>
      </c>
      <c r="BF89" s="26"/>
      <c r="BG89" s="26">
        <v>614311.89000000013</v>
      </c>
      <c r="BH89" s="26">
        <v>614311.89000000013</v>
      </c>
      <c r="BI89" s="26">
        <v>614311.89000000013</v>
      </c>
      <c r="BJ89" s="26">
        <v>614311.89000000013</v>
      </c>
      <c r="BK89" s="26">
        <v>614311.89000000013</v>
      </c>
      <c r="BL89" s="26">
        <v>614311.89000000013</v>
      </c>
      <c r="BM89" s="26">
        <v>614311.89000000013</v>
      </c>
      <c r="BN89" s="26">
        <v>614311.89000000013</v>
      </c>
      <c r="BO89" s="26">
        <v>614311.89000000013</v>
      </c>
      <c r="BP89" s="26">
        <v>614311.89000000013</v>
      </c>
      <c r="BQ89" s="26">
        <v>614311.89000000013</v>
      </c>
      <c r="BR89" s="26">
        <v>614311.89000000013</v>
      </c>
    </row>
    <row r="90" spans="1:70" s="6" customFormat="1" outlineLevel="1" x14ac:dyDescent="0.2">
      <c r="A90" s="30"/>
      <c r="B90" s="48" t="str">
        <f t="shared" si="1091"/>
        <v>Бенефиты</v>
      </c>
      <c r="C90" s="55" t="str">
        <f t="shared" si="1091"/>
        <v>Benefits</v>
      </c>
      <c r="D90" s="170">
        <f t="shared" si="1092"/>
        <v>67231842.719999999</v>
      </c>
      <c r="E90" s="45">
        <f t="shared" ref="E90:L90" si="1192">SUM(E88:E89)</f>
        <v>5602653.5599999987</v>
      </c>
      <c r="F90" s="45">
        <f t="shared" si="1192"/>
        <v>5602653.5599999987</v>
      </c>
      <c r="G90" s="45">
        <f t="shared" si="1192"/>
        <v>5602653.5599999987</v>
      </c>
      <c r="H90" s="45">
        <f t="shared" si="1192"/>
        <v>5602653.5599999987</v>
      </c>
      <c r="I90" s="45">
        <f t="shared" si="1192"/>
        <v>5602653.5599999987</v>
      </c>
      <c r="J90" s="45">
        <f t="shared" si="1192"/>
        <v>5602653.5599999987</v>
      </c>
      <c r="K90" s="45">
        <f t="shared" si="1192"/>
        <v>5602653.5599999987</v>
      </c>
      <c r="L90" s="45">
        <f t="shared" si="1192"/>
        <v>5602653.5599999987</v>
      </c>
      <c r="M90" s="45">
        <f t="shared" ref="M90:P90" si="1193">SUM(M88:M89)</f>
        <v>5602653.5599999987</v>
      </c>
      <c r="N90" s="45">
        <f t="shared" si="1193"/>
        <v>5602653.5599999987</v>
      </c>
      <c r="O90" s="45">
        <f t="shared" si="1193"/>
        <v>5602653.5599999987</v>
      </c>
      <c r="P90" s="178">
        <f t="shared" si="1193"/>
        <v>5602653.5599999987</v>
      </c>
      <c r="Q90" s="193">
        <f t="shared" si="1093"/>
        <v>67231842.719999999</v>
      </c>
      <c r="R90" s="45">
        <f t="shared" ref="R90:Y90" si="1194">SUM(R88:R89)</f>
        <v>5602653.5599999987</v>
      </c>
      <c r="S90" s="45">
        <f t="shared" si="1194"/>
        <v>5602653.5599999987</v>
      </c>
      <c r="T90" s="45">
        <f t="shared" si="1194"/>
        <v>5602653.5599999987</v>
      </c>
      <c r="U90" s="45">
        <f t="shared" si="1194"/>
        <v>5602653.5599999987</v>
      </c>
      <c r="V90" s="45">
        <f t="shared" si="1194"/>
        <v>5602653.5599999987</v>
      </c>
      <c r="W90" s="45">
        <f t="shared" si="1194"/>
        <v>5602653.5599999987</v>
      </c>
      <c r="X90" s="45">
        <f t="shared" si="1194"/>
        <v>5602653.5599999987</v>
      </c>
      <c r="Y90" s="45">
        <f t="shared" si="1194"/>
        <v>5602653.5599999987</v>
      </c>
      <c r="Z90" s="45">
        <f t="shared" ref="Z90:AC90" si="1195">SUM(Z88:Z89)</f>
        <v>5602653.5599999987</v>
      </c>
      <c r="AA90" s="45">
        <f t="shared" si="1195"/>
        <v>5602653.5599999987</v>
      </c>
      <c r="AB90" s="45">
        <f t="shared" si="1195"/>
        <v>5602653.5599999987</v>
      </c>
      <c r="AC90" s="178">
        <f t="shared" si="1195"/>
        <v>5602653.5599999987</v>
      </c>
      <c r="AD90" s="227">
        <f t="shared" si="1094"/>
        <v>67231842.719999999</v>
      </c>
      <c r="AE90" s="45">
        <f t="shared" ref="AE90:AL90" si="1196">SUM(AE88:AE89)</f>
        <v>5602653.5599999987</v>
      </c>
      <c r="AF90" s="45">
        <f t="shared" si="1196"/>
        <v>5602653.5599999987</v>
      </c>
      <c r="AG90" s="45">
        <f t="shared" si="1196"/>
        <v>5602653.5599999987</v>
      </c>
      <c r="AH90" s="45">
        <f t="shared" si="1196"/>
        <v>5602653.5599999987</v>
      </c>
      <c r="AI90" s="45">
        <f t="shared" si="1196"/>
        <v>5602653.5599999987</v>
      </c>
      <c r="AJ90" s="45">
        <f t="shared" si="1196"/>
        <v>5602653.5599999987</v>
      </c>
      <c r="AK90" s="45">
        <f t="shared" si="1196"/>
        <v>5602653.5599999987</v>
      </c>
      <c r="AL90" s="45">
        <f t="shared" si="1196"/>
        <v>5602653.5599999987</v>
      </c>
      <c r="AM90" s="45">
        <f t="shared" ref="AM90" si="1197">SUM(AM88:AM89)</f>
        <v>5602653.5599999987</v>
      </c>
      <c r="AN90" s="45">
        <f t="shared" ref="AN90" si="1198">SUM(AN88:AN89)</f>
        <v>5602653.5599999987</v>
      </c>
      <c r="AO90" s="45">
        <f t="shared" ref="AO90" si="1199">SUM(AO88:AO89)</f>
        <v>5602653.5599999987</v>
      </c>
      <c r="AP90" s="45">
        <f t="shared" ref="AP90" si="1200">SUM(AP88:AP89)</f>
        <v>5602653.5599999987</v>
      </c>
      <c r="AQ90" s="170">
        <f t="shared" si="1095"/>
        <v>0</v>
      </c>
      <c r="AR90" s="45"/>
      <c r="AS90" s="45">
        <f t="shared" ref="AS90:AZ90" si="1201">SUM(AS88:AS89)</f>
        <v>5602653.5599999987</v>
      </c>
      <c r="AT90" s="45">
        <f t="shared" si="1201"/>
        <v>5602653.5599999987</v>
      </c>
      <c r="AU90" s="45">
        <f t="shared" si="1201"/>
        <v>5602653.5599999987</v>
      </c>
      <c r="AV90" s="45">
        <f t="shared" si="1201"/>
        <v>5602653.5599999987</v>
      </c>
      <c r="AW90" s="45">
        <f t="shared" si="1201"/>
        <v>5602653.5599999987</v>
      </c>
      <c r="AX90" s="45">
        <f t="shared" si="1201"/>
        <v>5602653.5599999987</v>
      </c>
      <c r="AY90" s="45">
        <f t="shared" si="1201"/>
        <v>5602653.5599999987</v>
      </c>
      <c r="AZ90" s="45">
        <f t="shared" si="1201"/>
        <v>5602653.5599999987</v>
      </c>
      <c r="BA90" s="45">
        <f t="shared" ref="BA90" si="1202">SUM(BA88:BA89)</f>
        <v>5602653.5599999987</v>
      </c>
      <c r="BB90" s="45">
        <f t="shared" ref="BB90" si="1203">SUM(BB88:BB89)</f>
        <v>5602653.5599999987</v>
      </c>
      <c r="BC90" s="45">
        <f t="shared" ref="BC90" si="1204">SUM(BC88:BC89)</f>
        <v>5602653.5599999987</v>
      </c>
      <c r="BD90" s="178">
        <f t="shared" ref="BD90" si="1205">SUM(BD88:BD89)</f>
        <v>5602653.5599999987</v>
      </c>
      <c r="BE90" s="193">
        <f t="shared" si="1096"/>
        <v>0</v>
      </c>
      <c r="BF90" s="45"/>
      <c r="BG90" s="45">
        <f t="shared" ref="BG90:BN90" si="1206">SUM(BG88:BG89)</f>
        <v>5602653.5599999987</v>
      </c>
      <c r="BH90" s="45">
        <f t="shared" si="1206"/>
        <v>5602653.5599999987</v>
      </c>
      <c r="BI90" s="45">
        <f t="shared" si="1206"/>
        <v>5602653.5599999987</v>
      </c>
      <c r="BJ90" s="45">
        <f t="shared" si="1206"/>
        <v>5602653.5599999987</v>
      </c>
      <c r="BK90" s="45">
        <f t="shared" si="1206"/>
        <v>5602653.5599999987</v>
      </c>
      <c r="BL90" s="45">
        <f t="shared" si="1206"/>
        <v>5602653.5599999987</v>
      </c>
      <c r="BM90" s="45">
        <f t="shared" si="1206"/>
        <v>5602653.5599999987</v>
      </c>
      <c r="BN90" s="45">
        <f t="shared" si="1206"/>
        <v>5602653.5599999987</v>
      </c>
      <c r="BO90" s="45">
        <f t="shared" ref="BO90" si="1207">SUM(BO88:BO89)</f>
        <v>5602653.5599999987</v>
      </c>
      <c r="BP90" s="45">
        <f t="shared" ref="BP90" si="1208">SUM(BP88:BP89)</f>
        <v>5602653.5599999987</v>
      </c>
      <c r="BQ90" s="45">
        <f t="shared" ref="BQ90" si="1209">SUM(BQ88:BQ89)</f>
        <v>5602653.5599999987</v>
      </c>
      <c r="BR90" s="45">
        <f t="shared" ref="BR90" si="1210">SUM(BR88:BR89)</f>
        <v>5602653.5599999987</v>
      </c>
    </row>
    <row r="91" spans="1:70" outlineLevel="3" x14ac:dyDescent="0.2">
      <c r="A91" s="54"/>
      <c r="B91" s="38" t="str">
        <f t="shared" si="1091"/>
        <v>Прочие выплаты</v>
      </c>
      <c r="C91" s="49" t="str">
        <f t="shared" si="1091"/>
        <v>Remaining Other Compensation</v>
      </c>
      <c r="D91" s="168">
        <f t="shared" si="1092"/>
        <v>-1440000</v>
      </c>
      <c r="E91" s="40">
        <v>-120000</v>
      </c>
      <c r="F91" s="40">
        <v>-120000</v>
      </c>
      <c r="G91" s="40">
        <v>-120000</v>
      </c>
      <c r="H91" s="40">
        <v>-120000</v>
      </c>
      <c r="I91" s="40">
        <v>-120000</v>
      </c>
      <c r="J91" s="40">
        <v>-120000</v>
      </c>
      <c r="K91" s="40">
        <v>-120000</v>
      </c>
      <c r="L91" s="40">
        <v>-120000</v>
      </c>
      <c r="M91" s="40">
        <v>-120000</v>
      </c>
      <c r="N91" s="40">
        <v>-120000</v>
      </c>
      <c r="O91" s="40">
        <v>-120000</v>
      </c>
      <c r="P91" s="176">
        <v>-120000</v>
      </c>
      <c r="Q91" s="191">
        <f t="shared" si="1093"/>
        <v>-1440000</v>
      </c>
      <c r="R91" s="40">
        <v>-120000</v>
      </c>
      <c r="S91" s="40">
        <v>-120000</v>
      </c>
      <c r="T91" s="40">
        <v>-120000</v>
      </c>
      <c r="U91" s="40">
        <v>-120000</v>
      </c>
      <c r="V91" s="40">
        <v>-120000</v>
      </c>
      <c r="W91" s="40">
        <v>-120000</v>
      </c>
      <c r="X91" s="40">
        <v>-120000</v>
      </c>
      <c r="Y91" s="40">
        <v>-120000</v>
      </c>
      <c r="Z91" s="40">
        <v>-120000</v>
      </c>
      <c r="AA91" s="40">
        <v>-120000</v>
      </c>
      <c r="AB91" s="40">
        <v>-120000</v>
      </c>
      <c r="AC91" s="176">
        <v>-120000</v>
      </c>
      <c r="AD91" s="225">
        <f t="shared" si="1094"/>
        <v>-1440000</v>
      </c>
      <c r="AE91" s="40">
        <v>-120000</v>
      </c>
      <c r="AF91" s="40">
        <v>-120000</v>
      </c>
      <c r="AG91" s="40">
        <v>-120000</v>
      </c>
      <c r="AH91" s="40">
        <v>-120000</v>
      </c>
      <c r="AI91" s="40">
        <v>-120000</v>
      </c>
      <c r="AJ91" s="40">
        <v>-120000</v>
      </c>
      <c r="AK91" s="40">
        <v>-120000</v>
      </c>
      <c r="AL91" s="40">
        <v>-120000</v>
      </c>
      <c r="AM91" s="40">
        <v>-120000</v>
      </c>
      <c r="AN91" s="40">
        <v>-120000</v>
      </c>
      <c r="AO91" s="40">
        <v>-120000</v>
      </c>
      <c r="AP91" s="40">
        <v>-120000</v>
      </c>
      <c r="AQ91" s="168">
        <f t="shared" si="1095"/>
        <v>0</v>
      </c>
      <c r="AR91" s="40"/>
      <c r="AS91" s="40">
        <v>-120000</v>
      </c>
      <c r="AT91" s="40">
        <v>-120000</v>
      </c>
      <c r="AU91" s="40">
        <v>-120000</v>
      </c>
      <c r="AV91" s="40">
        <v>-120000</v>
      </c>
      <c r="AW91" s="40">
        <v>-120000</v>
      </c>
      <c r="AX91" s="40">
        <v>-120000</v>
      </c>
      <c r="AY91" s="40">
        <v>-120000</v>
      </c>
      <c r="AZ91" s="40">
        <v>-120000</v>
      </c>
      <c r="BA91" s="40">
        <v>-120000</v>
      </c>
      <c r="BB91" s="40">
        <v>-120000</v>
      </c>
      <c r="BC91" s="40">
        <v>-120000</v>
      </c>
      <c r="BD91" s="176">
        <v>-120000</v>
      </c>
      <c r="BE91" s="191">
        <f t="shared" si="1096"/>
        <v>0</v>
      </c>
      <c r="BF91" s="40"/>
      <c r="BG91" s="40">
        <v>-120000</v>
      </c>
      <c r="BH91" s="40">
        <v>-120000</v>
      </c>
      <c r="BI91" s="40">
        <v>-120000</v>
      </c>
      <c r="BJ91" s="40">
        <v>-120000</v>
      </c>
      <c r="BK91" s="40">
        <v>-120000</v>
      </c>
      <c r="BL91" s="40">
        <v>-120000</v>
      </c>
      <c r="BM91" s="40">
        <v>-120000</v>
      </c>
      <c r="BN91" s="40">
        <v>-120000</v>
      </c>
      <c r="BO91" s="40">
        <v>-120000</v>
      </c>
      <c r="BP91" s="40">
        <v>-120000</v>
      </c>
      <c r="BQ91" s="40">
        <v>-120000</v>
      </c>
      <c r="BR91" s="40">
        <v>-120000</v>
      </c>
    </row>
    <row r="92" spans="1:70" outlineLevel="3" x14ac:dyDescent="0.2">
      <c r="A92" s="54"/>
      <c r="B92" s="38" t="str">
        <f t="shared" si="1091"/>
        <v>Страховые взносы прочие выплаты</v>
      </c>
      <c r="C92" s="49" t="str">
        <f t="shared" si="1091"/>
        <v>Social Security on Remaining Other Compensation</v>
      </c>
      <c r="D92" s="168">
        <f t="shared" si="1092"/>
        <v>0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0</v>
      </c>
      <c r="P92" s="176">
        <v>0</v>
      </c>
      <c r="Q92" s="191">
        <f t="shared" si="1093"/>
        <v>0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176">
        <v>0</v>
      </c>
      <c r="AD92" s="225">
        <f t="shared" si="1094"/>
        <v>0</v>
      </c>
      <c r="AE92" s="40">
        <v>0</v>
      </c>
      <c r="AF92" s="40">
        <v>0</v>
      </c>
      <c r="AG92" s="40">
        <v>0</v>
      </c>
      <c r="AH92" s="40">
        <v>0</v>
      </c>
      <c r="AI92" s="40">
        <v>0</v>
      </c>
      <c r="AJ92" s="40">
        <v>0</v>
      </c>
      <c r="AK92" s="40">
        <v>0</v>
      </c>
      <c r="AL92" s="40">
        <v>0</v>
      </c>
      <c r="AM92" s="40">
        <v>0</v>
      </c>
      <c r="AN92" s="40">
        <v>0</v>
      </c>
      <c r="AO92" s="40">
        <v>0</v>
      </c>
      <c r="AP92" s="40">
        <v>0</v>
      </c>
      <c r="AQ92" s="168">
        <f t="shared" si="1095"/>
        <v>0</v>
      </c>
      <c r="AR92" s="40"/>
      <c r="AS92" s="40">
        <v>0</v>
      </c>
      <c r="AT92" s="40">
        <v>0</v>
      </c>
      <c r="AU92" s="40">
        <v>0</v>
      </c>
      <c r="AV92" s="40">
        <v>0</v>
      </c>
      <c r="AW92" s="40">
        <v>0</v>
      </c>
      <c r="AX92" s="40">
        <v>0</v>
      </c>
      <c r="AY92" s="40">
        <v>0</v>
      </c>
      <c r="AZ92" s="40">
        <v>0</v>
      </c>
      <c r="BA92" s="40">
        <v>0</v>
      </c>
      <c r="BB92" s="40">
        <v>0</v>
      </c>
      <c r="BC92" s="40">
        <v>0</v>
      </c>
      <c r="BD92" s="176">
        <v>0</v>
      </c>
      <c r="BE92" s="191">
        <f t="shared" si="1096"/>
        <v>0</v>
      </c>
      <c r="BF92" s="40"/>
      <c r="BG92" s="40">
        <v>0</v>
      </c>
      <c r="BH92" s="40">
        <v>0</v>
      </c>
      <c r="BI92" s="40">
        <v>0</v>
      </c>
      <c r="BJ92" s="40">
        <v>0</v>
      </c>
      <c r="BK92" s="40">
        <v>0</v>
      </c>
      <c r="BL92" s="40">
        <v>0</v>
      </c>
      <c r="BM92" s="40">
        <v>0</v>
      </c>
      <c r="BN92" s="40">
        <v>0</v>
      </c>
      <c r="BO92" s="40">
        <v>0</v>
      </c>
      <c r="BP92" s="40">
        <v>0</v>
      </c>
      <c r="BQ92" s="40">
        <v>0</v>
      </c>
      <c r="BR92" s="40">
        <v>0</v>
      </c>
    </row>
    <row r="93" spans="1:70" s="6" customFormat="1" outlineLevel="2" x14ac:dyDescent="0.2">
      <c r="A93" s="30"/>
      <c r="B93" s="29" t="str">
        <f t="shared" si="1091"/>
        <v>Итого прочие выплаты</v>
      </c>
      <c r="C93" s="52" t="str">
        <f t="shared" si="1091"/>
        <v>Total Remaining Other Compensation</v>
      </c>
      <c r="D93" s="169">
        <f t="shared" si="1092"/>
        <v>-1440000</v>
      </c>
      <c r="E93" s="26">
        <f t="shared" ref="E93:L93" si="1211">SUM(E91:E92)</f>
        <v>-120000</v>
      </c>
      <c r="F93" s="26">
        <f t="shared" si="1211"/>
        <v>-120000</v>
      </c>
      <c r="G93" s="26">
        <f t="shared" si="1211"/>
        <v>-120000</v>
      </c>
      <c r="H93" s="26">
        <f t="shared" si="1211"/>
        <v>-120000</v>
      </c>
      <c r="I93" s="26">
        <f t="shared" si="1211"/>
        <v>-120000</v>
      </c>
      <c r="J93" s="26">
        <f t="shared" si="1211"/>
        <v>-120000</v>
      </c>
      <c r="K93" s="26">
        <f t="shared" si="1211"/>
        <v>-120000</v>
      </c>
      <c r="L93" s="26">
        <f t="shared" si="1211"/>
        <v>-120000</v>
      </c>
      <c r="M93" s="26">
        <f t="shared" ref="M93:P93" si="1212">SUM(M91:M92)</f>
        <v>-120000</v>
      </c>
      <c r="N93" s="26">
        <f t="shared" si="1212"/>
        <v>-120000</v>
      </c>
      <c r="O93" s="26">
        <f t="shared" si="1212"/>
        <v>-120000</v>
      </c>
      <c r="P93" s="177">
        <f t="shared" si="1212"/>
        <v>-120000</v>
      </c>
      <c r="Q93" s="192">
        <f t="shared" si="1093"/>
        <v>-1440000</v>
      </c>
      <c r="R93" s="26">
        <f t="shared" ref="R93:Y93" si="1213">SUM(R91:R92)</f>
        <v>-120000</v>
      </c>
      <c r="S93" s="26">
        <f t="shared" si="1213"/>
        <v>-120000</v>
      </c>
      <c r="T93" s="26">
        <f t="shared" si="1213"/>
        <v>-120000</v>
      </c>
      <c r="U93" s="26">
        <f t="shared" si="1213"/>
        <v>-120000</v>
      </c>
      <c r="V93" s="26">
        <f t="shared" si="1213"/>
        <v>-120000</v>
      </c>
      <c r="W93" s="26">
        <f t="shared" si="1213"/>
        <v>-120000</v>
      </c>
      <c r="X93" s="26">
        <f t="shared" si="1213"/>
        <v>-120000</v>
      </c>
      <c r="Y93" s="26">
        <f t="shared" si="1213"/>
        <v>-120000</v>
      </c>
      <c r="Z93" s="26">
        <f t="shared" ref="Z93:AC93" si="1214">SUM(Z91:Z92)</f>
        <v>-120000</v>
      </c>
      <c r="AA93" s="26">
        <f t="shared" si="1214"/>
        <v>-120000</v>
      </c>
      <c r="AB93" s="26">
        <f t="shared" si="1214"/>
        <v>-120000</v>
      </c>
      <c r="AC93" s="177">
        <f t="shared" si="1214"/>
        <v>-120000</v>
      </c>
      <c r="AD93" s="226">
        <f t="shared" si="1094"/>
        <v>-1440000</v>
      </c>
      <c r="AE93" s="26">
        <f t="shared" ref="AE93:AL93" si="1215">SUM(AE91:AE92)</f>
        <v>-120000</v>
      </c>
      <c r="AF93" s="26">
        <f t="shared" si="1215"/>
        <v>-120000</v>
      </c>
      <c r="AG93" s="26">
        <f t="shared" si="1215"/>
        <v>-120000</v>
      </c>
      <c r="AH93" s="26">
        <f t="shared" si="1215"/>
        <v>-120000</v>
      </c>
      <c r="AI93" s="26">
        <f t="shared" si="1215"/>
        <v>-120000</v>
      </c>
      <c r="AJ93" s="26">
        <f t="shared" si="1215"/>
        <v>-120000</v>
      </c>
      <c r="AK93" s="26">
        <f t="shared" si="1215"/>
        <v>-120000</v>
      </c>
      <c r="AL93" s="26">
        <f t="shared" si="1215"/>
        <v>-120000</v>
      </c>
      <c r="AM93" s="26">
        <f t="shared" ref="AM93" si="1216">SUM(AM91:AM92)</f>
        <v>-120000</v>
      </c>
      <c r="AN93" s="26">
        <f t="shared" ref="AN93" si="1217">SUM(AN91:AN92)</f>
        <v>-120000</v>
      </c>
      <c r="AO93" s="26">
        <f t="shared" ref="AO93" si="1218">SUM(AO91:AO92)</f>
        <v>-120000</v>
      </c>
      <c r="AP93" s="26">
        <f t="shared" ref="AP93" si="1219">SUM(AP91:AP92)</f>
        <v>-120000</v>
      </c>
      <c r="AQ93" s="169">
        <f t="shared" si="1095"/>
        <v>0</v>
      </c>
      <c r="AR93" s="26"/>
      <c r="AS93" s="26">
        <f t="shared" ref="AS93:AZ93" si="1220">SUM(AS91:AS92)</f>
        <v>-120000</v>
      </c>
      <c r="AT93" s="26">
        <f t="shared" si="1220"/>
        <v>-120000</v>
      </c>
      <c r="AU93" s="26">
        <f t="shared" si="1220"/>
        <v>-120000</v>
      </c>
      <c r="AV93" s="26">
        <f t="shared" si="1220"/>
        <v>-120000</v>
      </c>
      <c r="AW93" s="26">
        <f t="shared" si="1220"/>
        <v>-120000</v>
      </c>
      <c r="AX93" s="26">
        <f t="shared" si="1220"/>
        <v>-120000</v>
      </c>
      <c r="AY93" s="26">
        <f t="shared" si="1220"/>
        <v>-120000</v>
      </c>
      <c r="AZ93" s="26">
        <f t="shared" si="1220"/>
        <v>-120000</v>
      </c>
      <c r="BA93" s="26">
        <f t="shared" ref="BA93" si="1221">SUM(BA91:BA92)</f>
        <v>-120000</v>
      </c>
      <c r="BB93" s="26">
        <f t="shared" ref="BB93" si="1222">SUM(BB91:BB92)</f>
        <v>-120000</v>
      </c>
      <c r="BC93" s="26">
        <f t="shared" ref="BC93" si="1223">SUM(BC91:BC92)</f>
        <v>-120000</v>
      </c>
      <c r="BD93" s="177">
        <f t="shared" ref="BD93" si="1224">SUM(BD91:BD92)</f>
        <v>-120000</v>
      </c>
      <c r="BE93" s="192">
        <f t="shared" si="1096"/>
        <v>0</v>
      </c>
      <c r="BF93" s="26"/>
      <c r="BG93" s="26">
        <f t="shared" ref="BG93:BN93" si="1225">SUM(BG91:BG92)</f>
        <v>-120000</v>
      </c>
      <c r="BH93" s="26">
        <f t="shared" si="1225"/>
        <v>-120000</v>
      </c>
      <c r="BI93" s="26">
        <f t="shared" si="1225"/>
        <v>-120000</v>
      </c>
      <c r="BJ93" s="26">
        <f t="shared" si="1225"/>
        <v>-120000</v>
      </c>
      <c r="BK93" s="26">
        <f t="shared" si="1225"/>
        <v>-120000</v>
      </c>
      <c r="BL93" s="26">
        <f t="shared" si="1225"/>
        <v>-120000</v>
      </c>
      <c r="BM93" s="26">
        <f t="shared" si="1225"/>
        <v>-120000</v>
      </c>
      <c r="BN93" s="26">
        <f t="shared" si="1225"/>
        <v>-120000</v>
      </c>
      <c r="BO93" s="26">
        <f t="shared" ref="BO93" si="1226">SUM(BO91:BO92)</f>
        <v>-120000</v>
      </c>
      <c r="BP93" s="26">
        <f t="shared" ref="BP93" si="1227">SUM(BP91:BP92)</f>
        <v>-120000</v>
      </c>
      <c r="BQ93" s="26">
        <f t="shared" ref="BQ93" si="1228">SUM(BQ91:BQ92)</f>
        <v>-120000</v>
      </c>
      <c r="BR93" s="26">
        <f t="shared" ref="BR93" si="1229">SUM(BR91:BR92)</f>
        <v>-120000</v>
      </c>
    </row>
    <row r="94" spans="1:70" ht="12.75" customHeight="1" outlineLevel="3" x14ac:dyDescent="0.2">
      <c r="A94" s="54"/>
      <c r="B94" s="38" t="str">
        <f t="shared" si="1091"/>
        <v>Премия разовая</v>
      </c>
      <c r="C94" s="49" t="str">
        <f t="shared" si="1091"/>
        <v>Sign-ons - cash</v>
      </c>
      <c r="D94" s="168">
        <f t="shared" si="1092"/>
        <v>228000000</v>
      </c>
      <c r="E94" s="40">
        <v>19000000</v>
      </c>
      <c r="F94" s="40">
        <v>19000000</v>
      </c>
      <c r="G94" s="40">
        <v>19000000</v>
      </c>
      <c r="H94" s="40">
        <v>19000000</v>
      </c>
      <c r="I94" s="40">
        <v>19000000</v>
      </c>
      <c r="J94" s="40">
        <v>19000000</v>
      </c>
      <c r="K94" s="40">
        <v>19000000</v>
      </c>
      <c r="L94" s="40">
        <v>19000000</v>
      </c>
      <c r="M94" s="40">
        <v>19000000</v>
      </c>
      <c r="N94" s="40">
        <v>19000000</v>
      </c>
      <c r="O94" s="40">
        <v>19000000</v>
      </c>
      <c r="P94" s="176">
        <v>19000000</v>
      </c>
      <c r="Q94" s="191">
        <f t="shared" si="1093"/>
        <v>228000000</v>
      </c>
      <c r="R94" s="40">
        <v>19000000</v>
      </c>
      <c r="S94" s="40">
        <v>19000000</v>
      </c>
      <c r="T94" s="40">
        <v>19000000</v>
      </c>
      <c r="U94" s="40">
        <v>19000000</v>
      </c>
      <c r="V94" s="40">
        <v>19000000</v>
      </c>
      <c r="W94" s="40">
        <v>19000000</v>
      </c>
      <c r="X94" s="40">
        <v>19000000</v>
      </c>
      <c r="Y94" s="40">
        <v>19000000</v>
      </c>
      <c r="Z94" s="40">
        <v>19000000</v>
      </c>
      <c r="AA94" s="40">
        <v>19000000</v>
      </c>
      <c r="AB94" s="40">
        <v>19000000</v>
      </c>
      <c r="AC94" s="176">
        <v>19000000</v>
      </c>
      <c r="AD94" s="225">
        <f t="shared" si="1094"/>
        <v>228000000</v>
      </c>
      <c r="AE94" s="40">
        <v>19000000</v>
      </c>
      <c r="AF94" s="40">
        <v>19000000</v>
      </c>
      <c r="AG94" s="40">
        <v>19000000</v>
      </c>
      <c r="AH94" s="40">
        <v>19000000</v>
      </c>
      <c r="AI94" s="40">
        <v>19000000</v>
      </c>
      <c r="AJ94" s="40">
        <v>19000000</v>
      </c>
      <c r="AK94" s="40">
        <v>19000000</v>
      </c>
      <c r="AL94" s="40">
        <v>19000000</v>
      </c>
      <c r="AM94" s="40">
        <v>19000000</v>
      </c>
      <c r="AN94" s="40">
        <v>19000000</v>
      </c>
      <c r="AO94" s="40">
        <v>19000000</v>
      </c>
      <c r="AP94" s="40">
        <v>19000000</v>
      </c>
      <c r="AQ94" s="168">
        <f t="shared" si="1095"/>
        <v>0</v>
      </c>
      <c r="AR94" s="40"/>
      <c r="AS94" s="40">
        <v>19000000</v>
      </c>
      <c r="AT94" s="40">
        <v>19000000</v>
      </c>
      <c r="AU94" s="40">
        <v>19000000</v>
      </c>
      <c r="AV94" s="40">
        <v>19000000</v>
      </c>
      <c r="AW94" s="40">
        <v>19000000</v>
      </c>
      <c r="AX94" s="40">
        <v>19000000</v>
      </c>
      <c r="AY94" s="40">
        <v>19000000</v>
      </c>
      <c r="AZ94" s="40">
        <v>19000000</v>
      </c>
      <c r="BA94" s="40">
        <v>19000000</v>
      </c>
      <c r="BB94" s="40">
        <v>19000000</v>
      </c>
      <c r="BC94" s="40">
        <v>19000000</v>
      </c>
      <c r="BD94" s="176">
        <v>19000000</v>
      </c>
      <c r="BE94" s="191">
        <f t="shared" si="1096"/>
        <v>0</v>
      </c>
      <c r="BF94" s="40"/>
      <c r="BG94" s="40">
        <v>19000000</v>
      </c>
      <c r="BH94" s="40">
        <v>19000000</v>
      </c>
      <c r="BI94" s="40">
        <v>19000000</v>
      </c>
      <c r="BJ94" s="40">
        <v>19000000</v>
      </c>
      <c r="BK94" s="40">
        <v>19000000</v>
      </c>
      <c r="BL94" s="40">
        <v>19000000</v>
      </c>
      <c r="BM94" s="40">
        <v>19000000</v>
      </c>
      <c r="BN94" s="40">
        <v>19000000</v>
      </c>
      <c r="BO94" s="40">
        <v>19000000</v>
      </c>
      <c r="BP94" s="40">
        <v>19000000</v>
      </c>
      <c r="BQ94" s="40">
        <v>19000000</v>
      </c>
      <c r="BR94" s="40">
        <v>19000000</v>
      </c>
    </row>
    <row r="95" spans="1:70" ht="12.75" customHeight="1" outlineLevel="3" x14ac:dyDescent="0.2">
      <c r="A95" s="54"/>
      <c r="B95" s="38" t="str">
        <f t="shared" ref="B95:C114" si="1230">B32</f>
        <v>Страховые взносы премия разовая</v>
      </c>
      <c r="C95" s="49" t="str">
        <f t="shared" si="1230"/>
        <v>Social Security on Sign-ons - cash</v>
      </c>
      <c r="D95" s="168">
        <f t="shared" si="1092"/>
        <v>39944124</v>
      </c>
      <c r="E95" s="40">
        <v>3328677</v>
      </c>
      <c r="F95" s="40">
        <v>3328677</v>
      </c>
      <c r="G95" s="40">
        <v>3328677</v>
      </c>
      <c r="H95" s="40">
        <v>3328677</v>
      </c>
      <c r="I95" s="40">
        <v>3328677</v>
      </c>
      <c r="J95" s="40">
        <v>3328677</v>
      </c>
      <c r="K95" s="40">
        <v>3328677</v>
      </c>
      <c r="L95" s="40">
        <v>3328677</v>
      </c>
      <c r="M95" s="40">
        <v>3328677</v>
      </c>
      <c r="N95" s="40">
        <v>3328677</v>
      </c>
      <c r="O95" s="40">
        <v>3328677</v>
      </c>
      <c r="P95" s="176">
        <v>3328677</v>
      </c>
      <c r="Q95" s="191">
        <f t="shared" si="1093"/>
        <v>39944124</v>
      </c>
      <c r="R95" s="40">
        <v>3328677</v>
      </c>
      <c r="S95" s="40">
        <v>3328677</v>
      </c>
      <c r="T95" s="40">
        <v>3328677</v>
      </c>
      <c r="U95" s="40">
        <v>3328677</v>
      </c>
      <c r="V95" s="40">
        <v>3328677</v>
      </c>
      <c r="W95" s="40">
        <v>3328677</v>
      </c>
      <c r="X95" s="40">
        <v>3328677</v>
      </c>
      <c r="Y95" s="40">
        <v>3328677</v>
      </c>
      <c r="Z95" s="40">
        <v>3328677</v>
      </c>
      <c r="AA95" s="40">
        <v>3328677</v>
      </c>
      <c r="AB95" s="40">
        <v>3328677</v>
      </c>
      <c r="AC95" s="176">
        <v>3328677</v>
      </c>
      <c r="AD95" s="225">
        <f t="shared" si="1094"/>
        <v>39944124</v>
      </c>
      <c r="AE95" s="40">
        <v>3328677</v>
      </c>
      <c r="AF95" s="40">
        <v>3328677</v>
      </c>
      <c r="AG95" s="40">
        <v>3328677</v>
      </c>
      <c r="AH95" s="40">
        <v>3328677</v>
      </c>
      <c r="AI95" s="40">
        <v>3328677</v>
      </c>
      <c r="AJ95" s="40">
        <v>3328677</v>
      </c>
      <c r="AK95" s="40">
        <v>3328677</v>
      </c>
      <c r="AL95" s="40">
        <v>3328677</v>
      </c>
      <c r="AM95" s="40">
        <v>3328677</v>
      </c>
      <c r="AN95" s="40">
        <v>3328677</v>
      </c>
      <c r="AO95" s="40">
        <v>3328677</v>
      </c>
      <c r="AP95" s="40">
        <v>3328677</v>
      </c>
      <c r="AQ95" s="168">
        <f t="shared" si="1095"/>
        <v>0</v>
      </c>
      <c r="AR95" s="40"/>
      <c r="AS95" s="40">
        <v>3328677</v>
      </c>
      <c r="AT95" s="40">
        <v>3328677</v>
      </c>
      <c r="AU95" s="40">
        <v>3328677</v>
      </c>
      <c r="AV95" s="40">
        <v>3328677</v>
      </c>
      <c r="AW95" s="40">
        <v>3328677</v>
      </c>
      <c r="AX95" s="40">
        <v>3328677</v>
      </c>
      <c r="AY95" s="40">
        <v>3328677</v>
      </c>
      <c r="AZ95" s="40">
        <v>3328677</v>
      </c>
      <c r="BA95" s="40">
        <v>3328677</v>
      </c>
      <c r="BB95" s="40">
        <v>3328677</v>
      </c>
      <c r="BC95" s="40">
        <v>3328677</v>
      </c>
      <c r="BD95" s="176">
        <v>3328677</v>
      </c>
      <c r="BE95" s="191">
        <f t="shared" si="1096"/>
        <v>0</v>
      </c>
      <c r="BF95" s="40"/>
      <c r="BG95" s="40">
        <v>3328677</v>
      </c>
      <c r="BH95" s="40">
        <v>3328677</v>
      </c>
      <c r="BI95" s="40">
        <v>3328677</v>
      </c>
      <c r="BJ95" s="40">
        <v>3328677</v>
      </c>
      <c r="BK95" s="40">
        <v>3328677</v>
      </c>
      <c r="BL95" s="40">
        <v>3328677</v>
      </c>
      <c r="BM95" s="40">
        <v>3328677</v>
      </c>
      <c r="BN95" s="40">
        <v>3328677</v>
      </c>
      <c r="BO95" s="40">
        <v>3328677</v>
      </c>
      <c r="BP95" s="40">
        <v>3328677</v>
      </c>
      <c r="BQ95" s="40">
        <v>3328677</v>
      </c>
      <c r="BR95" s="40">
        <v>3328677</v>
      </c>
    </row>
    <row r="96" spans="1:70" s="6" customFormat="1" outlineLevel="2" x14ac:dyDescent="0.2">
      <c r="A96" s="30"/>
      <c r="B96" s="29" t="str">
        <f t="shared" si="1230"/>
        <v>Итого премия разовая</v>
      </c>
      <c r="C96" s="52" t="str">
        <f t="shared" si="1230"/>
        <v>Total Sign-ons - cash</v>
      </c>
      <c r="D96" s="169">
        <f t="shared" si="1092"/>
        <v>267944124</v>
      </c>
      <c r="E96" s="26">
        <f t="shared" ref="E96:L96" si="1231">SUM(E94:E95)</f>
        <v>22328677</v>
      </c>
      <c r="F96" s="26">
        <f t="shared" si="1231"/>
        <v>22328677</v>
      </c>
      <c r="G96" s="26">
        <f t="shared" si="1231"/>
        <v>22328677</v>
      </c>
      <c r="H96" s="26">
        <f t="shared" si="1231"/>
        <v>22328677</v>
      </c>
      <c r="I96" s="26">
        <f t="shared" si="1231"/>
        <v>22328677</v>
      </c>
      <c r="J96" s="26">
        <f t="shared" si="1231"/>
        <v>22328677</v>
      </c>
      <c r="K96" s="26">
        <f t="shared" si="1231"/>
        <v>22328677</v>
      </c>
      <c r="L96" s="26">
        <f t="shared" si="1231"/>
        <v>22328677</v>
      </c>
      <c r="M96" s="26">
        <f t="shared" ref="M96:P96" si="1232">SUM(M94:M95)</f>
        <v>22328677</v>
      </c>
      <c r="N96" s="26">
        <f t="shared" si="1232"/>
        <v>22328677</v>
      </c>
      <c r="O96" s="26">
        <f t="shared" si="1232"/>
        <v>22328677</v>
      </c>
      <c r="P96" s="177">
        <f t="shared" si="1232"/>
        <v>22328677</v>
      </c>
      <c r="Q96" s="192">
        <f t="shared" si="1093"/>
        <v>267944124</v>
      </c>
      <c r="R96" s="26">
        <f t="shared" ref="R96:Y96" si="1233">SUM(R94:R95)</f>
        <v>22328677</v>
      </c>
      <c r="S96" s="26">
        <f t="shared" si="1233"/>
        <v>22328677</v>
      </c>
      <c r="T96" s="26">
        <f t="shared" si="1233"/>
        <v>22328677</v>
      </c>
      <c r="U96" s="26">
        <f t="shared" si="1233"/>
        <v>22328677</v>
      </c>
      <c r="V96" s="26">
        <f t="shared" si="1233"/>
        <v>22328677</v>
      </c>
      <c r="W96" s="26">
        <f t="shared" si="1233"/>
        <v>22328677</v>
      </c>
      <c r="X96" s="26">
        <f t="shared" si="1233"/>
        <v>22328677</v>
      </c>
      <c r="Y96" s="26">
        <f t="shared" si="1233"/>
        <v>22328677</v>
      </c>
      <c r="Z96" s="26">
        <f t="shared" ref="Z96:AC96" si="1234">SUM(Z94:Z95)</f>
        <v>22328677</v>
      </c>
      <c r="AA96" s="26">
        <f t="shared" si="1234"/>
        <v>22328677</v>
      </c>
      <c r="AB96" s="26">
        <f t="shared" si="1234"/>
        <v>22328677</v>
      </c>
      <c r="AC96" s="177">
        <f t="shared" si="1234"/>
        <v>22328677</v>
      </c>
      <c r="AD96" s="226">
        <f t="shared" si="1094"/>
        <v>267944124</v>
      </c>
      <c r="AE96" s="26">
        <f t="shared" ref="AE96:AL96" si="1235">SUM(AE94:AE95)</f>
        <v>22328677</v>
      </c>
      <c r="AF96" s="26">
        <f t="shared" si="1235"/>
        <v>22328677</v>
      </c>
      <c r="AG96" s="26">
        <f t="shared" si="1235"/>
        <v>22328677</v>
      </c>
      <c r="AH96" s="26">
        <f t="shared" si="1235"/>
        <v>22328677</v>
      </c>
      <c r="AI96" s="26">
        <f t="shared" si="1235"/>
        <v>22328677</v>
      </c>
      <c r="AJ96" s="26">
        <f t="shared" si="1235"/>
        <v>22328677</v>
      </c>
      <c r="AK96" s="26">
        <f t="shared" si="1235"/>
        <v>22328677</v>
      </c>
      <c r="AL96" s="26">
        <f t="shared" si="1235"/>
        <v>22328677</v>
      </c>
      <c r="AM96" s="26">
        <f t="shared" ref="AM96" si="1236">SUM(AM94:AM95)</f>
        <v>22328677</v>
      </c>
      <c r="AN96" s="26">
        <f t="shared" ref="AN96" si="1237">SUM(AN94:AN95)</f>
        <v>22328677</v>
      </c>
      <c r="AO96" s="26">
        <f t="shared" ref="AO96" si="1238">SUM(AO94:AO95)</f>
        <v>22328677</v>
      </c>
      <c r="AP96" s="26">
        <f t="shared" ref="AP96" si="1239">SUM(AP94:AP95)</f>
        <v>22328677</v>
      </c>
      <c r="AQ96" s="169">
        <f t="shared" si="1095"/>
        <v>0</v>
      </c>
      <c r="AR96" s="26"/>
      <c r="AS96" s="26">
        <f t="shared" ref="AS96:AZ96" si="1240">SUM(AS94:AS95)</f>
        <v>22328677</v>
      </c>
      <c r="AT96" s="26">
        <f t="shared" si="1240"/>
        <v>22328677</v>
      </c>
      <c r="AU96" s="26">
        <f t="shared" si="1240"/>
        <v>22328677</v>
      </c>
      <c r="AV96" s="26">
        <f t="shared" si="1240"/>
        <v>22328677</v>
      </c>
      <c r="AW96" s="26">
        <f t="shared" si="1240"/>
        <v>22328677</v>
      </c>
      <c r="AX96" s="26">
        <f t="shared" si="1240"/>
        <v>22328677</v>
      </c>
      <c r="AY96" s="26">
        <f t="shared" si="1240"/>
        <v>22328677</v>
      </c>
      <c r="AZ96" s="26">
        <f t="shared" si="1240"/>
        <v>22328677</v>
      </c>
      <c r="BA96" s="26">
        <f t="shared" ref="BA96" si="1241">SUM(BA94:BA95)</f>
        <v>22328677</v>
      </c>
      <c r="BB96" s="26">
        <f t="shared" ref="BB96" si="1242">SUM(BB94:BB95)</f>
        <v>22328677</v>
      </c>
      <c r="BC96" s="26">
        <f t="shared" ref="BC96" si="1243">SUM(BC94:BC95)</f>
        <v>22328677</v>
      </c>
      <c r="BD96" s="177">
        <f t="shared" ref="BD96" si="1244">SUM(BD94:BD95)</f>
        <v>22328677</v>
      </c>
      <c r="BE96" s="192">
        <f t="shared" si="1096"/>
        <v>0</v>
      </c>
      <c r="BF96" s="26"/>
      <c r="BG96" s="26">
        <f t="shared" ref="BG96:BN96" si="1245">SUM(BG94:BG95)</f>
        <v>22328677</v>
      </c>
      <c r="BH96" s="26">
        <f t="shared" si="1245"/>
        <v>22328677</v>
      </c>
      <c r="BI96" s="26">
        <f t="shared" si="1245"/>
        <v>22328677</v>
      </c>
      <c r="BJ96" s="26">
        <f t="shared" si="1245"/>
        <v>22328677</v>
      </c>
      <c r="BK96" s="26">
        <f t="shared" si="1245"/>
        <v>22328677</v>
      </c>
      <c r="BL96" s="26">
        <f t="shared" si="1245"/>
        <v>22328677</v>
      </c>
      <c r="BM96" s="26">
        <f t="shared" si="1245"/>
        <v>22328677</v>
      </c>
      <c r="BN96" s="26">
        <f t="shared" si="1245"/>
        <v>22328677</v>
      </c>
      <c r="BO96" s="26">
        <f t="shared" ref="BO96" si="1246">SUM(BO94:BO95)</f>
        <v>22328677</v>
      </c>
      <c r="BP96" s="26">
        <f t="shared" ref="BP96" si="1247">SUM(BP94:BP95)</f>
        <v>22328677</v>
      </c>
      <c r="BQ96" s="26">
        <f t="shared" ref="BQ96" si="1248">SUM(BQ94:BQ95)</f>
        <v>22328677</v>
      </c>
      <c r="BR96" s="26">
        <f t="shared" ref="BR96" si="1249">SUM(BR94:BR95)</f>
        <v>22328677</v>
      </c>
    </row>
    <row r="97" spans="1:70" ht="12.75" customHeight="1" outlineLevel="3" x14ac:dyDescent="0.2">
      <c r="A97" s="54"/>
      <c r="B97" s="38" t="str">
        <f t="shared" si="1230"/>
        <v>Выплаты при увольнении</v>
      </c>
      <c r="C97" s="49" t="str">
        <f t="shared" si="1230"/>
        <v>Direct severance payments - cash</v>
      </c>
      <c r="D97" s="168">
        <f t="shared" si="1092"/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0</v>
      </c>
      <c r="P97" s="176">
        <v>0</v>
      </c>
      <c r="Q97" s="191">
        <f t="shared" si="1093"/>
        <v>0</v>
      </c>
      <c r="R97" s="40">
        <v>0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176">
        <v>0</v>
      </c>
      <c r="AD97" s="225">
        <f t="shared" si="1094"/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0</v>
      </c>
      <c r="AP97" s="40">
        <v>0</v>
      </c>
      <c r="AQ97" s="168">
        <f t="shared" si="1095"/>
        <v>0</v>
      </c>
      <c r="AR97" s="40"/>
      <c r="AS97" s="40">
        <v>0</v>
      </c>
      <c r="AT97" s="40">
        <v>0</v>
      </c>
      <c r="AU97" s="40">
        <v>0</v>
      </c>
      <c r="AV97" s="40">
        <v>0</v>
      </c>
      <c r="AW97" s="40">
        <v>0</v>
      </c>
      <c r="AX97" s="40">
        <v>0</v>
      </c>
      <c r="AY97" s="40">
        <v>0</v>
      </c>
      <c r="AZ97" s="40">
        <v>0</v>
      </c>
      <c r="BA97" s="40">
        <v>0</v>
      </c>
      <c r="BB97" s="40">
        <v>0</v>
      </c>
      <c r="BC97" s="40">
        <v>0</v>
      </c>
      <c r="BD97" s="176">
        <v>0</v>
      </c>
      <c r="BE97" s="191">
        <f t="shared" si="1096"/>
        <v>0</v>
      </c>
      <c r="BF97" s="40"/>
      <c r="BG97" s="40">
        <v>0</v>
      </c>
      <c r="BH97" s="40">
        <v>0</v>
      </c>
      <c r="BI97" s="40">
        <v>0</v>
      </c>
      <c r="BJ97" s="40">
        <v>0</v>
      </c>
      <c r="BK97" s="40">
        <v>0</v>
      </c>
      <c r="BL97" s="40">
        <v>0</v>
      </c>
      <c r="BM97" s="40">
        <v>0</v>
      </c>
      <c r="BN97" s="40">
        <v>0</v>
      </c>
      <c r="BO97" s="40">
        <v>0</v>
      </c>
      <c r="BP97" s="40">
        <v>0</v>
      </c>
      <c r="BQ97" s="40">
        <v>0</v>
      </c>
      <c r="BR97" s="40">
        <v>0</v>
      </c>
    </row>
    <row r="98" spans="1:70" ht="12.75" customHeight="1" outlineLevel="3" x14ac:dyDescent="0.2">
      <c r="A98" s="54"/>
      <c r="B98" s="38" t="str">
        <f t="shared" si="1230"/>
        <v>Страховые взносы выплаты при увольнении</v>
      </c>
      <c r="C98" s="49" t="str">
        <f t="shared" si="1230"/>
        <v>Social Security on Severance</v>
      </c>
      <c r="D98" s="168">
        <f t="shared" si="1092"/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0</v>
      </c>
      <c r="M98" s="40">
        <v>0</v>
      </c>
      <c r="N98" s="40">
        <v>0</v>
      </c>
      <c r="O98" s="40">
        <v>0</v>
      </c>
      <c r="P98" s="176">
        <v>0</v>
      </c>
      <c r="Q98" s="191">
        <f t="shared" si="1093"/>
        <v>0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176">
        <v>0</v>
      </c>
      <c r="AD98" s="225">
        <f t="shared" si="1094"/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168">
        <f t="shared" si="1095"/>
        <v>0</v>
      </c>
      <c r="AR98" s="40"/>
      <c r="AS98" s="40">
        <v>0</v>
      </c>
      <c r="AT98" s="40">
        <v>0</v>
      </c>
      <c r="AU98" s="40">
        <v>0</v>
      </c>
      <c r="AV98" s="40">
        <v>0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176">
        <v>0</v>
      </c>
      <c r="BE98" s="191">
        <f t="shared" si="1096"/>
        <v>0</v>
      </c>
      <c r="BF98" s="40"/>
      <c r="BG98" s="40">
        <v>0</v>
      </c>
      <c r="BH98" s="40">
        <v>0</v>
      </c>
      <c r="BI98" s="40">
        <v>0</v>
      </c>
      <c r="BJ98" s="40">
        <v>0</v>
      </c>
      <c r="BK98" s="40">
        <v>0</v>
      </c>
      <c r="BL98" s="40">
        <v>0</v>
      </c>
      <c r="BM98" s="40">
        <v>0</v>
      </c>
      <c r="BN98" s="40">
        <v>0</v>
      </c>
      <c r="BO98" s="40">
        <v>0</v>
      </c>
      <c r="BP98" s="40">
        <v>0</v>
      </c>
      <c r="BQ98" s="40">
        <v>0</v>
      </c>
      <c r="BR98" s="40">
        <v>0</v>
      </c>
    </row>
    <row r="99" spans="1:70" s="6" customFormat="1" outlineLevel="2" x14ac:dyDescent="0.2">
      <c r="A99" s="30"/>
      <c r="B99" s="29" t="str">
        <f t="shared" si="1230"/>
        <v>Итого выплаты при увольнении</v>
      </c>
      <c r="C99" s="52" t="str">
        <f t="shared" si="1230"/>
        <v>Total Direct severance payments - cash</v>
      </c>
      <c r="D99" s="169">
        <f t="shared" si="1092"/>
        <v>0</v>
      </c>
      <c r="E99" s="26">
        <f t="shared" ref="E99:L99" si="1250">SUM(E97:E98)</f>
        <v>0</v>
      </c>
      <c r="F99" s="26">
        <f t="shared" si="1250"/>
        <v>0</v>
      </c>
      <c r="G99" s="26">
        <f t="shared" si="1250"/>
        <v>0</v>
      </c>
      <c r="H99" s="26">
        <f t="shared" si="1250"/>
        <v>0</v>
      </c>
      <c r="I99" s="26">
        <f t="shared" si="1250"/>
        <v>0</v>
      </c>
      <c r="J99" s="26">
        <f t="shared" si="1250"/>
        <v>0</v>
      </c>
      <c r="K99" s="26">
        <f t="shared" si="1250"/>
        <v>0</v>
      </c>
      <c r="L99" s="26">
        <f t="shared" si="1250"/>
        <v>0</v>
      </c>
      <c r="M99" s="26">
        <f t="shared" ref="M99:P99" si="1251">SUM(M97:M98)</f>
        <v>0</v>
      </c>
      <c r="N99" s="26">
        <f t="shared" si="1251"/>
        <v>0</v>
      </c>
      <c r="O99" s="26">
        <f t="shared" si="1251"/>
        <v>0</v>
      </c>
      <c r="P99" s="177">
        <f t="shared" si="1251"/>
        <v>0</v>
      </c>
      <c r="Q99" s="192">
        <f t="shared" si="1093"/>
        <v>0</v>
      </c>
      <c r="R99" s="26">
        <f t="shared" ref="R99:Y99" si="1252">SUM(R97:R98)</f>
        <v>0</v>
      </c>
      <c r="S99" s="26">
        <f t="shared" si="1252"/>
        <v>0</v>
      </c>
      <c r="T99" s="26">
        <f t="shared" si="1252"/>
        <v>0</v>
      </c>
      <c r="U99" s="26">
        <f t="shared" si="1252"/>
        <v>0</v>
      </c>
      <c r="V99" s="26">
        <f t="shared" si="1252"/>
        <v>0</v>
      </c>
      <c r="W99" s="26">
        <f t="shared" si="1252"/>
        <v>0</v>
      </c>
      <c r="X99" s="26">
        <f t="shared" si="1252"/>
        <v>0</v>
      </c>
      <c r="Y99" s="26">
        <f t="shared" si="1252"/>
        <v>0</v>
      </c>
      <c r="Z99" s="26">
        <f t="shared" ref="Z99:AC99" si="1253">SUM(Z97:Z98)</f>
        <v>0</v>
      </c>
      <c r="AA99" s="26">
        <f t="shared" si="1253"/>
        <v>0</v>
      </c>
      <c r="AB99" s="26">
        <f t="shared" si="1253"/>
        <v>0</v>
      </c>
      <c r="AC99" s="177">
        <f t="shared" si="1253"/>
        <v>0</v>
      </c>
      <c r="AD99" s="226">
        <f t="shared" si="1094"/>
        <v>0</v>
      </c>
      <c r="AE99" s="26">
        <f t="shared" ref="AE99:AL99" si="1254">SUM(AE97:AE98)</f>
        <v>0</v>
      </c>
      <c r="AF99" s="26">
        <f t="shared" si="1254"/>
        <v>0</v>
      </c>
      <c r="AG99" s="26">
        <f t="shared" si="1254"/>
        <v>0</v>
      </c>
      <c r="AH99" s="26">
        <f t="shared" si="1254"/>
        <v>0</v>
      </c>
      <c r="AI99" s="26">
        <f t="shared" si="1254"/>
        <v>0</v>
      </c>
      <c r="AJ99" s="26">
        <f t="shared" si="1254"/>
        <v>0</v>
      </c>
      <c r="AK99" s="26">
        <f t="shared" si="1254"/>
        <v>0</v>
      </c>
      <c r="AL99" s="26">
        <f t="shared" si="1254"/>
        <v>0</v>
      </c>
      <c r="AM99" s="26">
        <f t="shared" ref="AM99" si="1255">SUM(AM97:AM98)</f>
        <v>0</v>
      </c>
      <c r="AN99" s="26">
        <f t="shared" ref="AN99" si="1256">SUM(AN97:AN98)</f>
        <v>0</v>
      </c>
      <c r="AO99" s="26">
        <f t="shared" ref="AO99" si="1257">SUM(AO97:AO98)</f>
        <v>0</v>
      </c>
      <c r="AP99" s="26">
        <f t="shared" ref="AP99" si="1258">SUM(AP97:AP98)</f>
        <v>0</v>
      </c>
      <c r="AQ99" s="169">
        <f t="shared" si="1095"/>
        <v>0</v>
      </c>
      <c r="AR99" s="26"/>
      <c r="AS99" s="26">
        <f t="shared" ref="AS99:AZ99" si="1259">SUM(AS97:AS98)</f>
        <v>0</v>
      </c>
      <c r="AT99" s="26">
        <f t="shared" si="1259"/>
        <v>0</v>
      </c>
      <c r="AU99" s="26">
        <f t="shared" si="1259"/>
        <v>0</v>
      </c>
      <c r="AV99" s="26">
        <f t="shared" si="1259"/>
        <v>0</v>
      </c>
      <c r="AW99" s="26">
        <f t="shared" si="1259"/>
        <v>0</v>
      </c>
      <c r="AX99" s="26">
        <f t="shared" si="1259"/>
        <v>0</v>
      </c>
      <c r="AY99" s="26">
        <f t="shared" si="1259"/>
        <v>0</v>
      </c>
      <c r="AZ99" s="26">
        <f t="shared" si="1259"/>
        <v>0</v>
      </c>
      <c r="BA99" s="26">
        <f t="shared" ref="BA99" si="1260">SUM(BA97:BA98)</f>
        <v>0</v>
      </c>
      <c r="BB99" s="26">
        <f t="shared" ref="BB99" si="1261">SUM(BB97:BB98)</f>
        <v>0</v>
      </c>
      <c r="BC99" s="26">
        <f t="shared" ref="BC99" si="1262">SUM(BC97:BC98)</f>
        <v>0</v>
      </c>
      <c r="BD99" s="177">
        <f t="shared" ref="BD99" si="1263">SUM(BD97:BD98)</f>
        <v>0</v>
      </c>
      <c r="BE99" s="192">
        <f t="shared" si="1096"/>
        <v>0</v>
      </c>
      <c r="BF99" s="26"/>
      <c r="BG99" s="26">
        <f t="shared" ref="BG99:BN99" si="1264">SUM(BG97:BG98)</f>
        <v>0</v>
      </c>
      <c r="BH99" s="26">
        <f t="shared" si="1264"/>
        <v>0</v>
      </c>
      <c r="BI99" s="26">
        <f t="shared" si="1264"/>
        <v>0</v>
      </c>
      <c r="BJ99" s="26">
        <f t="shared" si="1264"/>
        <v>0</v>
      </c>
      <c r="BK99" s="26">
        <f t="shared" si="1264"/>
        <v>0</v>
      </c>
      <c r="BL99" s="26">
        <f t="shared" si="1264"/>
        <v>0</v>
      </c>
      <c r="BM99" s="26">
        <f t="shared" si="1264"/>
        <v>0</v>
      </c>
      <c r="BN99" s="26">
        <f t="shared" si="1264"/>
        <v>0</v>
      </c>
      <c r="BO99" s="26">
        <f t="shared" ref="BO99" si="1265">SUM(BO97:BO98)</f>
        <v>0</v>
      </c>
      <c r="BP99" s="26">
        <f t="shared" ref="BP99" si="1266">SUM(BP97:BP98)</f>
        <v>0</v>
      </c>
      <c r="BQ99" s="26">
        <f t="shared" ref="BQ99" si="1267">SUM(BQ97:BQ98)</f>
        <v>0</v>
      </c>
      <c r="BR99" s="26">
        <f t="shared" ref="BR99" si="1268">SUM(BR97:BR98)</f>
        <v>0</v>
      </c>
    </row>
    <row r="100" spans="1:70" ht="12.75" customHeight="1" outlineLevel="3" x14ac:dyDescent="0.2">
      <c r="B100" s="38" t="str">
        <f t="shared" si="1230"/>
        <v>Отложенное вознаграждение</v>
      </c>
      <c r="C100" s="49" t="str">
        <f t="shared" si="1230"/>
        <v>Deferred Compensation</v>
      </c>
      <c r="D100" s="168">
        <f t="shared" si="1092"/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176">
        <v>0</v>
      </c>
      <c r="Q100" s="191">
        <f t="shared" si="1093"/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176">
        <v>0</v>
      </c>
      <c r="AD100" s="225">
        <f t="shared" si="1094"/>
        <v>0</v>
      </c>
      <c r="AE100" s="40">
        <v>0</v>
      </c>
      <c r="AF100" s="40">
        <v>0</v>
      </c>
      <c r="AG100" s="40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168">
        <f t="shared" si="1095"/>
        <v>0</v>
      </c>
      <c r="AR100" s="40"/>
      <c r="AS100" s="40">
        <v>0</v>
      </c>
      <c r="AT100" s="40">
        <v>0</v>
      </c>
      <c r="AU100" s="40">
        <v>0</v>
      </c>
      <c r="AV100" s="40">
        <v>0</v>
      </c>
      <c r="AW100" s="40">
        <v>0</v>
      </c>
      <c r="AX100" s="40">
        <v>0</v>
      </c>
      <c r="AY100" s="40">
        <v>0</v>
      </c>
      <c r="AZ100" s="40">
        <v>0</v>
      </c>
      <c r="BA100" s="40">
        <v>0</v>
      </c>
      <c r="BB100" s="40">
        <v>0</v>
      </c>
      <c r="BC100" s="40">
        <v>0</v>
      </c>
      <c r="BD100" s="176">
        <v>0</v>
      </c>
      <c r="BE100" s="191">
        <f t="shared" si="1096"/>
        <v>0</v>
      </c>
      <c r="BF100" s="40"/>
      <c r="BG100" s="40">
        <v>0</v>
      </c>
      <c r="BH100" s="40">
        <v>0</v>
      </c>
      <c r="BI100" s="40">
        <v>0</v>
      </c>
      <c r="BJ100" s="40">
        <v>0</v>
      </c>
      <c r="BK100" s="40">
        <v>0</v>
      </c>
      <c r="BL100" s="40">
        <v>0</v>
      </c>
      <c r="BM100" s="40">
        <v>0</v>
      </c>
      <c r="BN100" s="40">
        <v>0</v>
      </c>
      <c r="BO100" s="40">
        <v>0</v>
      </c>
      <c r="BP100" s="40">
        <v>0</v>
      </c>
      <c r="BQ100" s="40">
        <v>0</v>
      </c>
      <c r="BR100" s="40">
        <v>0</v>
      </c>
    </row>
    <row r="101" spans="1:70" ht="12.75" customHeight="1" outlineLevel="3" x14ac:dyDescent="0.2">
      <c r="B101" s="38" t="str">
        <f t="shared" si="1230"/>
        <v>Страховые взносы отложенное вознаграждение</v>
      </c>
      <c r="C101" s="49" t="str">
        <f t="shared" si="1230"/>
        <v>Social Security on Deferrals</v>
      </c>
      <c r="D101" s="168">
        <f t="shared" si="1092"/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176">
        <v>0</v>
      </c>
      <c r="Q101" s="191">
        <f t="shared" si="1093"/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176">
        <v>0</v>
      </c>
      <c r="AD101" s="225">
        <f t="shared" si="1094"/>
        <v>0</v>
      </c>
      <c r="AE101" s="40">
        <v>0</v>
      </c>
      <c r="AF101" s="40">
        <v>0</v>
      </c>
      <c r="AG101" s="40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168">
        <f t="shared" si="1095"/>
        <v>0</v>
      </c>
      <c r="AR101" s="40"/>
      <c r="AS101" s="40">
        <v>0</v>
      </c>
      <c r="AT101" s="40">
        <v>0</v>
      </c>
      <c r="AU101" s="40">
        <v>0</v>
      </c>
      <c r="AV101" s="40">
        <v>0</v>
      </c>
      <c r="AW101" s="40">
        <v>0</v>
      </c>
      <c r="AX101" s="40">
        <v>0</v>
      </c>
      <c r="AY101" s="40">
        <v>0</v>
      </c>
      <c r="AZ101" s="40">
        <v>0</v>
      </c>
      <c r="BA101" s="40">
        <v>0</v>
      </c>
      <c r="BB101" s="40">
        <v>0</v>
      </c>
      <c r="BC101" s="40">
        <v>0</v>
      </c>
      <c r="BD101" s="176">
        <v>0</v>
      </c>
      <c r="BE101" s="191">
        <f t="shared" si="1096"/>
        <v>0</v>
      </c>
      <c r="BF101" s="40"/>
      <c r="BG101" s="40">
        <v>0</v>
      </c>
      <c r="BH101" s="40">
        <v>0</v>
      </c>
      <c r="BI101" s="40">
        <v>0</v>
      </c>
      <c r="BJ101" s="40">
        <v>0</v>
      </c>
      <c r="BK101" s="40">
        <v>0</v>
      </c>
      <c r="BL101" s="40">
        <v>0</v>
      </c>
      <c r="BM101" s="40">
        <v>0</v>
      </c>
      <c r="BN101" s="40">
        <v>0</v>
      </c>
      <c r="BO101" s="40">
        <v>0</v>
      </c>
      <c r="BP101" s="40">
        <v>0</v>
      </c>
      <c r="BQ101" s="40">
        <v>0</v>
      </c>
      <c r="BR101" s="40">
        <v>0</v>
      </c>
    </row>
    <row r="102" spans="1:70" s="6" customFormat="1" outlineLevel="2" x14ac:dyDescent="0.2">
      <c r="B102" s="29" t="str">
        <f t="shared" si="1230"/>
        <v>Итого отложенное вознаграждение</v>
      </c>
      <c r="C102" s="52" t="str">
        <f t="shared" si="1230"/>
        <v>Deferred Compensation</v>
      </c>
      <c r="D102" s="169">
        <f t="shared" si="1092"/>
        <v>0</v>
      </c>
      <c r="E102" s="26">
        <f t="shared" ref="E102:L102" si="1269">SUM(E100:E101)</f>
        <v>0</v>
      </c>
      <c r="F102" s="26">
        <f t="shared" si="1269"/>
        <v>0</v>
      </c>
      <c r="G102" s="26">
        <f t="shared" si="1269"/>
        <v>0</v>
      </c>
      <c r="H102" s="26">
        <f t="shared" si="1269"/>
        <v>0</v>
      </c>
      <c r="I102" s="26">
        <f t="shared" si="1269"/>
        <v>0</v>
      </c>
      <c r="J102" s="26">
        <f t="shared" si="1269"/>
        <v>0</v>
      </c>
      <c r="K102" s="26">
        <f t="shared" si="1269"/>
        <v>0</v>
      </c>
      <c r="L102" s="26">
        <f t="shared" si="1269"/>
        <v>0</v>
      </c>
      <c r="M102" s="26">
        <f t="shared" ref="M102:P102" si="1270">SUM(M100:M101)</f>
        <v>0</v>
      </c>
      <c r="N102" s="26">
        <f t="shared" si="1270"/>
        <v>0</v>
      </c>
      <c r="O102" s="26">
        <f t="shared" si="1270"/>
        <v>0</v>
      </c>
      <c r="P102" s="177">
        <f t="shared" si="1270"/>
        <v>0</v>
      </c>
      <c r="Q102" s="192">
        <f t="shared" si="1093"/>
        <v>0</v>
      </c>
      <c r="R102" s="26">
        <f t="shared" ref="R102:Y102" si="1271">SUM(R100:R101)</f>
        <v>0</v>
      </c>
      <c r="S102" s="26">
        <f t="shared" si="1271"/>
        <v>0</v>
      </c>
      <c r="T102" s="26">
        <f t="shared" si="1271"/>
        <v>0</v>
      </c>
      <c r="U102" s="26">
        <f t="shared" si="1271"/>
        <v>0</v>
      </c>
      <c r="V102" s="26">
        <f t="shared" si="1271"/>
        <v>0</v>
      </c>
      <c r="W102" s="26">
        <f t="shared" si="1271"/>
        <v>0</v>
      </c>
      <c r="X102" s="26">
        <f t="shared" si="1271"/>
        <v>0</v>
      </c>
      <c r="Y102" s="26">
        <f t="shared" si="1271"/>
        <v>0</v>
      </c>
      <c r="Z102" s="26">
        <f t="shared" ref="Z102:AC102" si="1272">SUM(Z100:Z101)</f>
        <v>0</v>
      </c>
      <c r="AA102" s="26">
        <f t="shared" si="1272"/>
        <v>0</v>
      </c>
      <c r="AB102" s="26">
        <f t="shared" si="1272"/>
        <v>0</v>
      </c>
      <c r="AC102" s="177">
        <f t="shared" si="1272"/>
        <v>0</v>
      </c>
      <c r="AD102" s="226">
        <f t="shared" si="1094"/>
        <v>0</v>
      </c>
      <c r="AE102" s="26">
        <f t="shared" ref="AE102:AL102" si="1273">SUM(AE100:AE101)</f>
        <v>0</v>
      </c>
      <c r="AF102" s="26">
        <f t="shared" si="1273"/>
        <v>0</v>
      </c>
      <c r="AG102" s="26">
        <f t="shared" si="1273"/>
        <v>0</v>
      </c>
      <c r="AH102" s="26">
        <f t="shared" si="1273"/>
        <v>0</v>
      </c>
      <c r="AI102" s="26">
        <f t="shared" si="1273"/>
        <v>0</v>
      </c>
      <c r="AJ102" s="26">
        <f t="shared" si="1273"/>
        <v>0</v>
      </c>
      <c r="AK102" s="26">
        <f t="shared" si="1273"/>
        <v>0</v>
      </c>
      <c r="AL102" s="26">
        <f t="shared" si="1273"/>
        <v>0</v>
      </c>
      <c r="AM102" s="26">
        <f t="shared" ref="AM102" si="1274">SUM(AM100:AM101)</f>
        <v>0</v>
      </c>
      <c r="AN102" s="26">
        <f t="shared" ref="AN102" si="1275">SUM(AN100:AN101)</f>
        <v>0</v>
      </c>
      <c r="AO102" s="26">
        <f t="shared" ref="AO102" si="1276">SUM(AO100:AO101)</f>
        <v>0</v>
      </c>
      <c r="AP102" s="26">
        <f t="shared" ref="AP102" si="1277">SUM(AP100:AP101)</f>
        <v>0</v>
      </c>
      <c r="AQ102" s="169">
        <f t="shared" si="1095"/>
        <v>0</v>
      </c>
      <c r="AR102" s="26"/>
      <c r="AS102" s="26">
        <f t="shared" ref="AS102:AZ102" si="1278">SUM(AS100:AS101)</f>
        <v>0</v>
      </c>
      <c r="AT102" s="26">
        <f t="shared" si="1278"/>
        <v>0</v>
      </c>
      <c r="AU102" s="26">
        <f t="shared" si="1278"/>
        <v>0</v>
      </c>
      <c r="AV102" s="26">
        <f t="shared" si="1278"/>
        <v>0</v>
      </c>
      <c r="AW102" s="26">
        <f t="shared" si="1278"/>
        <v>0</v>
      </c>
      <c r="AX102" s="26">
        <f t="shared" si="1278"/>
        <v>0</v>
      </c>
      <c r="AY102" s="26">
        <f t="shared" si="1278"/>
        <v>0</v>
      </c>
      <c r="AZ102" s="26">
        <f t="shared" si="1278"/>
        <v>0</v>
      </c>
      <c r="BA102" s="26">
        <f t="shared" ref="BA102" si="1279">SUM(BA100:BA101)</f>
        <v>0</v>
      </c>
      <c r="BB102" s="26">
        <f t="shared" ref="BB102" si="1280">SUM(BB100:BB101)</f>
        <v>0</v>
      </c>
      <c r="BC102" s="26">
        <f t="shared" ref="BC102" si="1281">SUM(BC100:BC101)</f>
        <v>0</v>
      </c>
      <c r="BD102" s="177">
        <f t="shared" ref="BD102" si="1282">SUM(BD100:BD101)</f>
        <v>0</v>
      </c>
      <c r="BE102" s="192">
        <f t="shared" si="1096"/>
        <v>0</v>
      </c>
      <c r="BF102" s="26"/>
      <c r="BG102" s="26">
        <f t="shared" ref="BG102:BN102" si="1283">SUM(BG100:BG101)</f>
        <v>0</v>
      </c>
      <c r="BH102" s="26">
        <f t="shared" si="1283"/>
        <v>0</v>
      </c>
      <c r="BI102" s="26">
        <f t="shared" si="1283"/>
        <v>0</v>
      </c>
      <c r="BJ102" s="26">
        <f t="shared" si="1283"/>
        <v>0</v>
      </c>
      <c r="BK102" s="26">
        <f t="shared" si="1283"/>
        <v>0</v>
      </c>
      <c r="BL102" s="26">
        <f t="shared" si="1283"/>
        <v>0</v>
      </c>
      <c r="BM102" s="26">
        <f t="shared" si="1283"/>
        <v>0</v>
      </c>
      <c r="BN102" s="26">
        <f t="shared" si="1283"/>
        <v>0</v>
      </c>
      <c r="BO102" s="26">
        <f t="shared" ref="BO102" si="1284">SUM(BO100:BO101)</f>
        <v>0</v>
      </c>
      <c r="BP102" s="26">
        <f t="shared" ref="BP102" si="1285">SUM(BP100:BP101)</f>
        <v>0</v>
      </c>
      <c r="BQ102" s="26">
        <f t="shared" ref="BQ102" si="1286">SUM(BQ100:BQ101)</f>
        <v>0</v>
      </c>
      <c r="BR102" s="26">
        <f t="shared" ref="BR102" si="1287">SUM(BR100:BR101)</f>
        <v>0</v>
      </c>
    </row>
    <row r="103" spans="1:70" s="6" customFormat="1" outlineLevel="1" x14ac:dyDescent="0.2">
      <c r="A103" s="30"/>
      <c r="B103" s="51" t="str">
        <f t="shared" si="1230"/>
        <v>Прочие компенсационные выплаты</v>
      </c>
      <c r="C103" s="50" t="str">
        <f t="shared" si="1230"/>
        <v>Other Compensations</v>
      </c>
      <c r="D103" s="170">
        <f t="shared" si="1092"/>
        <v>266504124</v>
      </c>
      <c r="E103" s="45">
        <f t="shared" ref="E103:L103" si="1288">E93+E96+E99+E102</f>
        <v>22208677</v>
      </c>
      <c r="F103" s="45">
        <f t="shared" si="1288"/>
        <v>22208677</v>
      </c>
      <c r="G103" s="45">
        <f t="shared" si="1288"/>
        <v>22208677</v>
      </c>
      <c r="H103" s="45">
        <f t="shared" si="1288"/>
        <v>22208677</v>
      </c>
      <c r="I103" s="45">
        <f t="shared" si="1288"/>
        <v>22208677</v>
      </c>
      <c r="J103" s="45">
        <f t="shared" si="1288"/>
        <v>22208677</v>
      </c>
      <c r="K103" s="45">
        <f t="shared" si="1288"/>
        <v>22208677</v>
      </c>
      <c r="L103" s="45">
        <f t="shared" si="1288"/>
        <v>22208677</v>
      </c>
      <c r="M103" s="45">
        <f t="shared" ref="M103:P103" si="1289">M93+M96+M99+M102</f>
        <v>22208677</v>
      </c>
      <c r="N103" s="45">
        <f t="shared" si="1289"/>
        <v>22208677</v>
      </c>
      <c r="O103" s="45">
        <f t="shared" si="1289"/>
        <v>22208677</v>
      </c>
      <c r="P103" s="178">
        <f t="shared" si="1289"/>
        <v>22208677</v>
      </c>
      <c r="Q103" s="193">
        <f t="shared" si="1093"/>
        <v>266504124</v>
      </c>
      <c r="R103" s="45">
        <f t="shared" ref="R103:Y103" si="1290">R93+R96+R99+R102</f>
        <v>22208677</v>
      </c>
      <c r="S103" s="45">
        <f t="shared" si="1290"/>
        <v>22208677</v>
      </c>
      <c r="T103" s="45">
        <f t="shared" si="1290"/>
        <v>22208677</v>
      </c>
      <c r="U103" s="45">
        <f t="shared" si="1290"/>
        <v>22208677</v>
      </c>
      <c r="V103" s="45">
        <f t="shared" si="1290"/>
        <v>22208677</v>
      </c>
      <c r="W103" s="45">
        <f t="shared" si="1290"/>
        <v>22208677</v>
      </c>
      <c r="X103" s="45">
        <f t="shared" si="1290"/>
        <v>22208677</v>
      </c>
      <c r="Y103" s="45">
        <f t="shared" si="1290"/>
        <v>22208677</v>
      </c>
      <c r="Z103" s="45">
        <f t="shared" ref="Z103:AC103" si="1291">Z93+Z96+Z99+Z102</f>
        <v>22208677</v>
      </c>
      <c r="AA103" s="45">
        <f t="shared" si="1291"/>
        <v>22208677</v>
      </c>
      <c r="AB103" s="45">
        <f t="shared" si="1291"/>
        <v>22208677</v>
      </c>
      <c r="AC103" s="178">
        <f t="shared" si="1291"/>
        <v>22208677</v>
      </c>
      <c r="AD103" s="227">
        <f t="shared" si="1094"/>
        <v>266504124</v>
      </c>
      <c r="AE103" s="45">
        <f t="shared" ref="AE103:AL103" si="1292">AE93+AE96+AE99+AE102</f>
        <v>22208677</v>
      </c>
      <c r="AF103" s="45">
        <f t="shared" si="1292"/>
        <v>22208677</v>
      </c>
      <c r="AG103" s="45">
        <f t="shared" si="1292"/>
        <v>22208677</v>
      </c>
      <c r="AH103" s="45">
        <f t="shared" si="1292"/>
        <v>22208677</v>
      </c>
      <c r="AI103" s="45">
        <f t="shared" si="1292"/>
        <v>22208677</v>
      </c>
      <c r="AJ103" s="45">
        <f t="shared" si="1292"/>
        <v>22208677</v>
      </c>
      <c r="AK103" s="45">
        <f t="shared" si="1292"/>
        <v>22208677</v>
      </c>
      <c r="AL103" s="45">
        <f t="shared" si="1292"/>
        <v>22208677</v>
      </c>
      <c r="AM103" s="45">
        <f t="shared" ref="AM103" si="1293">AM93+AM96+AM99+AM102</f>
        <v>22208677</v>
      </c>
      <c r="AN103" s="45">
        <f t="shared" ref="AN103" si="1294">AN93+AN96+AN99+AN102</f>
        <v>22208677</v>
      </c>
      <c r="AO103" s="45">
        <f t="shared" ref="AO103" si="1295">AO93+AO96+AO99+AO102</f>
        <v>22208677</v>
      </c>
      <c r="AP103" s="45">
        <f t="shared" ref="AP103" si="1296">AP93+AP96+AP99+AP102</f>
        <v>22208677</v>
      </c>
      <c r="AQ103" s="170">
        <f t="shared" si="1095"/>
        <v>0</v>
      </c>
      <c r="AR103" s="45"/>
      <c r="AS103" s="45">
        <f t="shared" ref="AS103:AZ103" si="1297">AS93+AS96+AS99+AS102</f>
        <v>22208677</v>
      </c>
      <c r="AT103" s="45">
        <f t="shared" si="1297"/>
        <v>22208677</v>
      </c>
      <c r="AU103" s="45">
        <f t="shared" si="1297"/>
        <v>22208677</v>
      </c>
      <c r="AV103" s="45">
        <f t="shared" si="1297"/>
        <v>22208677</v>
      </c>
      <c r="AW103" s="45">
        <f t="shared" si="1297"/>
        <v>22208677</v>
      </c>
      <c r="AX103" s="45">
        <f t="shared" si="1297"/>
        <v>22208677</v>
      </c>
      <c r="AY103" s="45">
        <f t="shared" si="1297"/>
        <v>22208677</v>
      </c>
      <c r="AZ103" s="45">
        <f t="shared" si="1297"/>
        <v>22208677</v>
      </c>
      <c r="BA103" s="45">
        <f t="shared" ref="BA103" si="1298">BA93+BA96+BA99+BA102</f>
        <v>22208677</v>
      </c>
      <c r="BB103" s="45">
        <f t="shared" ref="BB103" si="1299">BB93+BB96+BB99+BB102</f>
        <v>22208677</v>
      </c>
      <c r="BC103" s="45">
        <f t="shared" ref="BC103" si="1300">BC93+BC96+BC99+BC102</f>
        <v>22208677</v>
      </c>
      <c r="BD103" s="178">
        <f t="shared" ref="BD103" si="1301">BD93+BD96+BD99+BD102</f>
        <v>22208677</v>
      </c>
      <c r="BE103" s="193">
        <f t="shared" si="1096"/>
        <v>0</v>
      </c>
      <c r="BF103" s="45"/>
      <c r="BG103" s="45">
        <f t="shared" ref="BG103:BN103" si="1302">BG93+BG96+BG99+BG102</f>
        <v>22208677</v>
      </c>
      <c r="BH103" s="45">
        <f t="shared" si="1302"/>
        <v>22208677</v>
      </c>
      <c r="BI103" s="45">
        <f t="shared" si="1302"/>
        <v>22208677</v>
      </c>
      <c r="BJ103" s="45">
        <f t="shared" si="1302"/>
        <v>22208677</v>
      </c>
      <c r="BK103" s="45">
        <f t="shared" si="1302"/>
        <v>22208677</v>
      </c>
      <c r="BL103" s="45">
        <f t="shared" si="1302"/>
        <v>22208677</v>
      </c>
      <c r="BM103" s="45">
        <f t="shared" si="1302"/>
        <v>22208677</v>
      </c>
      <c r="BN103" s="45">
        <f t="shared" si="1302"/>
        <v>22208677</v>
      </c>
      <c r="BO103" s="45">
        <f t="shared" ref="BO103" si="1303">BO93+BO96+BO99+BO102</f>
        <v>22208677</v>
      </c>
      <c r="BP103" s="45">
        <f t="shared" ref="BP103" si="1304">BP93+BP96+BP99+BP102</f>
        <v>22208677</v>
      </c>
      <c r="BQ103" s="45">
        <f t="shared" ref="BQ103" si="1305">BQ93+BQ96+BQ99+BQ102</f>
        <v>22208677</v>
      </c>
      <c r="BR103" s="45">
        <f t="shared" ref="BR103" si="1306">BR93+BR96+BR99+BR102</f>
        <v>22208677</v>
      </c>
    </row>
    <row r="104" spans="1:70" ht="12.75" customHeight="1" outlineLevel="3" x14ac:dyDescent="0.2">
      <c r="B104" s="38" t="str">
        <f t="shared" si="1230"/>
        <v>Резерв квартальной премии</v>
      </c>
      <c r="C104" s="49" t="str">
        <f t="shared" si="1230"/>
        <v>Accruals for Quarterly bonus</v>
      </c>
      <c r="D104" s="168">
        <f t="shared" si="1092"/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176">
        <v>0</v>
      </c>
      <c r="Q104" s="191">
        <f t="shared" si="1093"/>
        <v>0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176">
        <v>0</v>
      </c>
      <c r="AD104" s="225">
        <f t="shared" si="1094"/>
        <v>0</v>
      </c>
      <c r="AE104" s="40">
        <v>0</v>
      </c>
      <c r="AF104" s="40">
        <v>0</v>
      </c>
      <c r="AG104" s="40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168">
        <f t="shared" si="1095"/>
        <v>0</v>
      </c>
      <c r="AR104" s="40"/>
      <c r="AS104" s="40">
        <v>0</v>
      </c>
      <c r="AT104" s="40">
        <v>0</v>
      </c>
      <c r="AU104" s="40">
        <v>0</v>
      </c>
      <c r="AV104" s="40">
        <v>0</v>
      </c>
      <c r="AW104" s="40">
        <v>0</v>
      </c>
      <c r="AX104" s="40">
        <v>0</v>
      </c>
      <c r="AY104" s="40">
        <v>0</v>
      </c>
      <c r="AZ104" s="40">
        <v>0</v>
      </c>
      <c r="BA104" s="40">
        <v>0</v>
      </c>
      <c r="BB104" s="40">
        <v>0</v>
      </c>
      <c r="BC104" s="40">
        <v>0</v>
      </c>
      <c r="BD104" s="176">
        <v>0</v>
      </c>
      <c r="BE104" s="191">
        <f t="shared" si="1096"/>
        <v>0</v>
      </c>
      <c r="BF104" s="40"/>
      <c r="BG104" s="40">
        <v>0</v>
      </c>
      <c r="BH104" s="40">
        <v>0</v>
      </c>
      <c r="BI104" s="40">
        <v>0</v>
      </c>
      <c r="BJ104" s="40">
        <v>0</v>
      </c>
      <c r="BK104" s="40">
        <v>0</v>
      </c>
      <c r="BL104" s="40">
        <v>0</v>
      </c>
      <c r="BM104" s="40">
        <v>0</v>
      </c>
      <c r="BN104" s="40">
        <v>0</v>
      </c>
      <c r="BO104" s="40">
        <v>0</v>
      </c>
      <c r="BP104" s="40">
        <v>0</v>
      </c>
      <c r="BQ104" s="40">
        <v>0</v>
      </c>
      <c r="BR104" s="40">
        <v>0</v>
      </c>
    </row>
    <row r="105" spans="1:70" ht="12.75" customHeight="1" outlineLevel="3" x14ac:dyDescent="0.2">
      <c r="B105" s="38" t="str">
        <f t="shared" si="1230"/>
        <v>Страховые взносы резерв квартальной премии</v>
      </c>
      <c r="C105" s="49" t="str">
        <f t="shared" si="1230"/>
        <v>Social Security on Accruals for Quarterly bonus</v>
      </c>
      <c r="D105" s="168">
        <f t="shared" si="1092"/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176">
        <v>0</v>
      </c>
      <c r="Q105" s="191">
        <f t="shared" si="1093"/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176">
        <v>0</v>
      </c>
      <c r="AD105" s="225">
        <f t="shared" si="1094"/>
        <v>0</v>
      </c>
      <c r="AE105" s="40">
        <v>0</v>
      </c>
      <c r="AF105" s="40">
        <v>0</v>
      </c>
      <c r="AG105" s="40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168">
        <f t="shared" si="1095"/>
        <v>0</v>
      </c>
      <c r="AR105" s="40"/>
      <c r="AS105" s="40">
        <v>0</v>
      </c>
      <c r="AT105" s="40">
        <v>0</v>
      </c>
      <c r="AU105" s="40">
        <v>0</v>
      </c>
      <c r="AV105" s="40">
        <v>0</v>
      </c>
      <c r="AW105" s="40">
        <v>0</v>
      </c>
      <c r="AX105" s="40">
        <v>0</v>
      </c>
      <c r="AY105" s="40">
        <v>0</v>
      </c>
      <c r="AZ105" s="40">
        <v>0</v>
      </c>
      <c r="BA105" s="40">
        <v>0</v>
      </c>
      <c r="BB105" s="40">
        <v>0</v>
      </c>
      <c r="BC105" s="40">
        <v>0</v>
      </c>
      <c r="BD105" s="176">
        <v>0</v>
      </c>
      <c r="BE105" s="191">
        <f t="shared" si="1096"/>
        <v>0</v>
      </c>
      <c r="BF105" s="40"/>
      <c r="BG105" s="40">
        <v>0</v>
      </c>
      <c r="BH105" s="40">
        <v>0</v>
      </c>
      <c r="BI105" s="40">
        <v>0</v>
      </c>
      <c r="BJ105" s="40">
        <v>0</v>
      </c>
      <c r="BK105" s="40">
        <v>0</v>
      </c>
      <c r="BL105" s="40">
        <v>0</v>
      </c>
      <c r="BM105" s="40">
        <v>0</v>
      </c>
      <c r="BN105" s="40">
        <v>0</v>
      </c>
      <c r="BO105" s="40">
        <v>0</v>
      </c>
      <c r="BP105" s="40">
        <v>0</v>
      </c>
      <c r="BQ105" s="40">
        <v>0</v>
      </c>
      <c r="BR105" s="40">
        <v>0</v>
      </c>
    </row>
    <row r="106" spans="1:70" s="6" customFormat="1" outlineLevel="2" x14ac:dyDescent="0.2">
      <c r="A106" s="30"/>
      <c r="B106" s="29" t="str">
        <f t="shared" si="1230"/>
        <v>Итого резерв квартальной премии</v>
      </c>
      <c r="C106" s="52" t="str">
        <f t="shared" si="1230"/>
        <v>Total Accruals for Quarterly bonus</v>
      </c>
      <c r="D106" s="169">
        <f t="shared" si="1092"/>
        <v>0</v>
      </c>
      <c r="E106" s="26">
        <f t="shared" ref="E106:L106" si="1307">SUM(E104:E105)</f>
        <v>0</v>
      </c>
      <c r="F106" s="26">
        <f t="shared" si="1307"/>
        <v>0</v>
      </c>
      <c r="G106" s="26">
        <f t="shared" si="1307"/>
        <v>0</v>
      </c>
      <c r="H106" s="26">
        <f t="shared" si="1307"/>
        <v>0</v>
      </c>
      <c r="I106" s="26">
        <f t="shared" si="1307"/>
        <v>0</v>
      </c>
      <c r="J106" s="26">
        <f t="shared" si="1307"/>
        <v>0</v>
      </c>
      <c r="K106" s="26">
        <f t="shared" si="1307"/>
        <v>0</v>
      </c>
      <c r="L106" s="26">
        <f t="shared" si="1307"/>
        <v>0</v>
      </c>
      <c r="M106" s="26">
        <f t="shared" ref="M106:P106" si="1308">SUM(M104:M105)</f>
        <v>0</v>
      </c>
      <c r="N106" s="26">
        <f t="shared" si="1308"/>
        <v>0</v>
      </c>
      <c r="O106" s="26">
        <f t="shared" si="1308"/>
        <v>0</v>
      </c>
      <c r="P106" s="177">
        <f t="shared" si="1308"/>
        <v>0</v>
      </c>
      <c r="Q106" s="192">
        <f t="shared" si="1093"/>
        <v>0</v>
      </c>
      <c r="R106" s="26">
        <f t="shared" ref="R106:Y106" si="1309">SUM(R104:R105)</f>
        <v>0</v>
      </c>
      <c r="S106" s="26">
        <f t="shared" si="1309"/>
        <v>0</v>
      </c>
      <c r="T106" s="26">
        <f t="shared" si="1309"/>
        <v>0</v>
      </c>
      <c r="U106" s="26">
        <f t="shared" si="1309"/>
        <v>0</v>
      </c>
      <c r="V106" s="26">
        <f t="shared" si="1309"/>
        <v>0</v>
      </c>
      <c r="W106" s="26">
        <f t="shared" si="1309"/>
        <v>0</v>
      </c>
      <c r="X106" s="26">
        <f t="shared" si="1309"/>
        <v>0</v>
      </c>
      <c r="Y106" s="26">
        <f t="shared" si="1309"/>
        <v>0</v>
      </c>
      <c r="Z106" s="26">
        <f t="shared" ref="Z106:AC106" si="1310">SUM(Z104:Z105)</f>
        <v>0</v>
      </c>
      <c r="AA106" s="26">
        <f t="shared" si="1310"/>
        <v>0</v>
      </c>
      <c r="AB106" s="26">
        <f t="shared" si="1310"/>
        <v>0</v>
      </c>
      <c r="AC106" s="177">
        <f t="shared" si="1310"/>
        <v>0</v>
      </c>
      <c r="AD106" s="226">
        <f t="shared" si="1094"/>
        <v>0</v>
      </c>
      <c r="AE106" s="26">
        <f t="shared" ref="AE106:AL106" si="1311">SUM(AE104:AE105)</f>
        <v>0</v>
      </c>
      <c r="AF106" s="26">
        <f t="shared" si="1311"/>
        <v>0</v>
      </c>
      <c r="AG106" s="26">
        <f t="shared" si="1311"/>
        <v>0</v>
      </c>
      <c r="AH106" s="26">
        <f t="shared" si="1311"/>
        <v>0</v>
      </c>
      <c r="AI106" s="26">
        <f t="shared" si="1311"/>
        <v>0</v>
      </c>
      <c r="AJ106" s="26">
        <f t="shared" si="1311"/>
        <v>0</v>
      </c>
      <c r="AK106" s="26">
        <f t="shared" si="1311"/>
        <v>0</v>
      </c>
      <c r="AL106" s="26">
        <f t="shared" si="1311"/>
        <v>0</v>
      </c>
      <c r="AM106" s="26">
        <f t="shared" ref="AM106" si="1312">SUM(AM104:AM105)</f>
        <v>0</v>
      </c>
      <c r="AN106" s="26">
        <f t="shared" ref="AN106" si="1313">SUM(AN104:AN105)</f>
        <v>0</v>
      </c>
      <c r="AO106" s="26">
        <f t="shared" ref="AO106" si="1314">SUM(AO104:AO105)</f>
        <v>0</v>
      </c>
      <c r="AP106" s="26">
        <f t="shared" ref="AP106" si="1315">SUM(AP104:AP105)</f>
        <v>0</v>
      </c>
      <c r="AQ106" s="169">
        <f t="shared" si="1095"/>
        <v>0</v>
      </c>
      <c r="AR106" s="26"/>
      <c r="AS106" s="26">
        <f t="shared" ref="AS106:AZ106" si="1316">SUM(AS104:AS105)</f>
        <v>0</v>
      </c>
      <c r="AT106" s="26">
        <f t="shared" si="1316"/>
        <v>0</v>
      </c>
      <c r="AU106" s="26">
        <f t="shared" si="1316"/>
        <v>0</v>
      </c>
      <c r="AV106" s="26">
        <f t="shared" si="1316"/>
        <v>0</v>
      </c>
      <c r="AW106" s="26">
        <f t="shared" si="1316"/>
        <v>0</v>
      </c>
      <c r="AX106" s="26">
        <f t="shared" si="1316"/>
        <v>0</v>
      </c>
      <c r="AY106" s="26">
        <f t="shared" si="1316"/>
        <v>0</v>
      </c>
      <c r="AZ106" s="26">
        <f t="shared" si="1316"/>
        <v>0</v>
      </c>
      <c r="BA106" s="26">
        <f t="shared" ref="BA106" si="1317">SUM(BA104:BA105)</f>
        <v>0</v>
      </c>
      <c r="BB106" s="26">
        <f t="shared" ref="BB106" si="1318">SUM(BB104:BB105)</f>
        <v>0</v>
      </c>
      <c r="BC106" s="26">
        <f t="shared" ref="BC106" si="1319">SUM(BC104:BC105)</f>
        <v>0</v>
      </c>
      <c r="BD106" s="177">
        <f t="shared" ref="BD106" si="1320">SUM(BD104:BD105)</f>
        <v>0</v>
      </c>
      <c r="BE106" s="192">
        <f t="shared" si="1096"/>
        <v>0</v>
      </c>
      <c r="BF106" s="26"/>
      <c r="BG106" s="26">
        <f t="shared" ref="BG106:BN106" si="1321">SUM(BG104:BG105)</f>
        <v>0</v>
      </c>
      <c r="BH106" s="26">
        <f t="shared" si="1321"/>
        <v>0</v>
      </c>
      <c r="BI106" s="26">
        <f t="shared" si="1321"/>
        <v>0</v>
      </c>
      <c r="BJ106" s="26">
        <f t="shared" si="1321"/>
        <v>0</v>
      </c>
      <c r="BK106" s="26">
        <f t="shared" si="1321"/>
        <v>0</v>
      </c>
      <c r="BL106" s="26">
        <f t="shared" si="1321"/>
        <v>0</v>
      </c>
      <c r="BM106" s="26">
        <f t="shared" si="1321"/>
        <v>0</v>
      </c>
      <c r="BN106" s="26">
        <f t="shared" si="1321"/>
        <v>0</v>
      </c>
      <c r="BO106" s="26">
        <f t="shared" ref="BO106" si="1322">SUM(BO104:BO105)</f>
        <v>0</v>
      </c>
      <c r="BP106" s="26">
        <f t="shared" ref="BP106" si="1323">SUM(BP104:BP105)</f>
        <v>0</v>
      </c>
      <c r="BQ106" s="26">
        <f t="shared" ref="BQ106" si="1324">SUM(BQ104:BQ105)</f>
        <v>0</v>
      </c>
      <c r="BR106" s="26">
        <f t="shared" ref="BR106" si="1325">SUM(BR104:BR105)</f>
        <v>0</v>
      </c>
    </row>
    <row r="107" spans="1:70" ht="12.75" customHeight="1" outlineLevel="3" x14ac:dyDescent="0.2">
      <c r="B107" s="38" t="str">
        <f t="shared" si="1230"/>
        <v>Сторно резерва квартальной премии</v>
      </c>
      <c r="C107" s="49" t="str">
        <f t="shared" si="1230"/>
        <v>Reverse Accruals for Quarterly bonus</v>
      </c>
      <c r="D107" s="168">
        <f t="shared" ref="D107:D129" si="1326">SUM(E107:P107)</f>
        <v>0</v>
      </c>
      <c r="E107" s="40">
        <v>0</v>
      </c>
      <c r="F107" s="40">
        <v>0</v>
      </c>
      <c r="G107" s="40">
        <v>0</v>
      </c>
      <c r="H107" s="40">
        <v>0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0</v>
      </c>
      <c r="P107" s="176">
        <v>0</v>
      </c>
      <c r="Q107" s="191">
        <f t="shared" ref="Q107:Q129" si="1327">SUM(R107:AC107)</f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176">
        <v>0</v>
      </c>
      <c r="AD107" s="225">
        <f t="shared" ref="AD107:AD129" si="1328">SUM(AE107:AP107)</f>
        <v>0</v>
      </c>
      <c r="AE107" s="40">
        <v>0</v>
      </c>
      <c r="AF107" s="40">
        <v>0</v>
      </c>
      <c r="AG107" s="40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168">
        <f t="shared" si="1095"/>
        <v>0</v>
      </c>
      <c r="AR107" s="40"/>
      <c r="AS107" s="40">
        <v>0</v>
      </c>
      <c r="AT107" s="40">
        <v>0</v>
      </c>
      <c r="AU107" s="40">
        <v>0</v>
      </c>
      <c r="AV107" s="40">
        <v>0</v>
      </c>
      <c r="AW107" s="40">
        <v>0</v>
      </c>
      <c r="AX107" s="40">
        <v>0</v>
      </c>
      <c r="AY107" s="40">
        <v>0</v>
      </c>
      <c r="AZ107" s="40">
        <v>0</v>
      </c>
      <c r="BA107" s="40">
        <v>0</v>
      </c>
      <c r="BB107" s="40">
        <v>0</v>
      </c>
      <c r="BC107" s="40">
        <v>0</v>
      </c>
      <c r="BD107" s="176">
        <v>0</v>
      </c>
      <c r="BE107" s="191">
        <f t="shared" si="1096"/>
        <v>0</v>
      </c>
      <c r="BF107" s="40"/>
      <c r="BG107" s="40">
        <v>0</v>
      </c>
      <c r="BH107" s="40">
        <v>0</v>
      </c>
      <c r="BI107" s="40">
        <v>0</v>
      </c>
      <c r="BJ107" s="40">
        <v>0</v>
      </c>
      <c r="BK107" s="40">
        <v>0</v>
      </c>
      <c r="BL107" s="40">
        <v>0</v>
      </c>
      <c r="BM107" s="40">
        <v>0</v>
      </c>
      <c r="BN107" s="40">
        <v>0</v>
      </c>
      <c r="BO107" s="40">
        <v>0</v>
      </c>
      <c r="BP107" s="40">
        <v>0</v>
      </c>
      <c r="BQ107" s="40">
        <v>0</v>
      </c>
      <c r="BR107" s="40">
        <v>0</v>
      </c>
    </row>
    <row r="108" spans="1:70" ht="12.75" customHeight="1" outlineLevel="3" x14ac:dyDescent="0.2">
      <c r="B108" s="38" t="str">
        <f t="shared" si="1230"/>
        <v>Страховые взносы, сторно резерва квартальной премии</v>
      </c>
      <c r="C108" s="49" t="str">
        <f t="shared" si="1230"/>
        <v>Social Security on Reverse Accruals for Quarterly bonus</v>
      </c>
      <c r="D108" s="168">
        <f t="shared" si="1326"/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176">
        <v>0</v>
      </c>
      <c r="Q108" s="191">
        <f t="shared" si="1327"/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176">
        <v>0</v>
      </c>
      <c r="AD108" s="225">
        <f t="shared" si="1328"/>
        <v>0</v>
      </c>
      <c r="AE108" s="40">
        <v>0</v>
      </c>
      <c r="AF108" s="40">
        <v>0</v>
      </c>
      <c r="AG108" s="40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168">
        <f t="shared" si="1095"/>
        <v>0</v>
      </c>
      <c r="AR108" s="40"/>
      <c r="AS108" s="40">
        <v>0</v>
      </c>
      <c r="AT108" s="40">
        <v>0</v>
      </c>
      <c r="AU108" s="40">
        <v>0</v>
      </c>
      <c r="AV108" s="40">
        <v>0</v>
      </c>
      <c r="AW108" s="40">
        <v>0</v>
      </c>
      <c r="AX108" s="40">
        <v>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176">
        <v>0</v>
      </c>
      <c r="BE108" s="191">
        <f t="shared" si="1096"/>
        <v>0</v>
      </c>
      <c r="BF108" s="40"/>
      <c r="BG108" s="40">
        <v>0</v>
      </c>
      <c r="BH108" s="40">
        <v>0</v>
      </c>
      <c r="BI108" s="40">
        <v>0</v>
      </c>
      <c r="BJ108" s="40">
        <v>0</v>
      </c>
      <c r="BK108" s="40">
        <v>0</v>
      </c>
      <c r="BL108" s="40">
        <v>0</v>
      </c>
      <c r="BM108" s="40">
        <v>0</v>
      </c>
      <c r="BN108" s="40">
        <v>0</v>
      </c>
      <c r="BO108" s="40">
        <v>0</v>
      </c>
      <c r="BP108" s="40">
        <v>0</v>
      </c>
      <c r="BQ108" s="40">
        <v>0</v>
      </c>
      <c r="BR108" s="40">
        <v>0</v>
      </c>
    </row>
    <row r="109" spans="1:70" s="6" customFormat="1" outlineLevel="2" x14ac:dyDescent="0.2">
      <c r="A109" s="30"/>
      <c r="B109" s="29" t="str">
        <f t="shared" si="1230"/>
        <v>Итого сторно резерва квартальной премии</v>
      </c>
      <c r="C109" s="52" t="str">
        <f t="shared" si="1230"/>
        <v>Total Reverse Accruals for Quarterly bonus</v>
      </c>
      <c r="D109" s="169">
        <f t="shared" si="1326"/>
        <v>0</v>
      </c>
      <c r="E109" s="26">
        <f t="shared" ref="E109:L109" si="1329">SUM(E107:E108)</f>
        <v>0</v>
      </c>
      <c r="F109" s="26">
        <f t="shared" si="1329"/>
        <v>0</v>
      </c>
      <c r="G109" s="26">
        <f t="shared" si="1329"/>
        <v>0</v>
      </c>
      <c r="H109" s="26">
        <f t="shared" si="1329"/>
        <v>0</v>
      </c>
      <c r="I109" s="26">
        <f t="shared" si="1329"/>
        <v>0</v>
      </c>
      <c r="J109" s="26">
        <f t="shared" si="1329"/>
        <v>0</v>
      </c>
      <c r="K109" s="26">
        <f t="shared" si="1329"/>
        <v>0</v>
      </c>
      <c r="L109" s="26">
        <f t="shared" si="1329"/>
        <v>0</v>
      </c>
      <c r="M109" s="26">
        <f t="shared" ref="M109:P109" si="1330">SUM(M107:M108)</f>
        <v>0</v>
      </c>
      <c r="N109" s="26">
        <f t="shared" si="1330"/>
        <v>0</v>
      </c>
      <c r="O109" s="26">
        <f t="shared" si="1330"/>
        <v>0</v>
      </c>
      <c r="P109" s="177">
        <f t="shared" si="1330"/>
        <v>0</v>
      </c>
      <c r="Q109" s="192">
        <f t="shared" si="1327"/>
        <v>0</v>
      </c>
      <c r="R109" s="26">
        <f t="shared" ref="R109:Y109" si="1331">SUM(R107:R108)</f>
        <v>0</v>
      </c>
      <c r="S109" s="26">
        <f t="shared" si="1331"/>
        <v>0</v>
      </c>
      <c r="T109" s="26">
        <f t="shared" si="1331"/>
        <v>0</v>
      </c>
      <c r="U109" s="26">
        <f t="shared" si="1331"/>
        <v>0</v>
      </c>
      <c r="V109" s="26">
        <f t="shared" si="1331"/>
        <v>0</v>
      </c>
      <c r="W109" s="26">
        <f t="shared" si="1331"/>
        <v>0</v>
      </c>
      <c r="X109" s="26">
        <f t="shared" si="1331"/>
        <v>0</v>
      </c>
      <c r="Y109" s="26">
        <f t="shared" si="1331"/>
        <v>0</v>
      </c>
      <c r="Z109" s="26">
        <f t="shared" ref="Z109:AC109" si="1332">SUM(Z107:Z108)</f>
        <v>0</v>
      </c>
      <c r="AA109" s="26">
        <f t="shared" si="1332"/>
        <v>0</v>
      </c>
      <c r="AB109" s="26">
        <f t="shared" si="1332"/>
        <v>0</v>
      </c>
      <c r="AC109" s="177">
        <f t="shared" si="1332"/>
        <v>0</v>
      </c>
      <c r="AD109" s="226">
        <f t="shared" si="1328"/>
        <v>0</v>
      </c>
      <c r="AE109" s="26">
        <f t="shared" ref="AE109:AL109" si="1333">SUM(AE107:AE108)</f>
        <v>0</v>
      </c>
      <c r="AF109" s="26">
        <f t="shared" si="1333"/>
        <v>0</v>
      </c>
      <c r="AG109" s="26">
        <f t="shared" si="1333"/>
        <v>0</v>
      </c>
      <c r="AH109" s="26">
        <f t="shared" si="1333"/>
        <v>0</v>
      </c>
      <c r="AI109" s="26">
        <f t="shared" si="1333"/>
        <v>0</v>
      </c>
      <c r="AJ109" s="26">
        <f t="shared" si="1333"/>
        <v>0</v>
      </c>
      <c r="AK109" s="26">
        <f t="shared" si="1333"/>
        <v>0</v>
      </c>
      <c r="AL109" s="26">
        <f t="shared" si="1333"/>
        <v>0</v>
      </c>
      <c r="AM109" s="26">
        <f t="shared" ref="AM109" si="1334">SUM(AM107:AM108)</f>
        <v>0</v>
      </c>
      <c r="AN109" s="26">
        <f t="shared" ref="AN109" si="1335">SUM(AN107:AN108)</f>
        <v>0</v>
      </c>
      <c r="AO109" s="26">
        <f t="shared" ref="AO109" si="1336">SUM(AO107:AO108)</f>
        <v>0</v>
      </c>
      <c r="AP109" s="26">
        <f t="shared" ref="AP109" si="1337">SUM(AP107:AP108)</f>
        <v>0</v>
      </c>
      <c r="AQ109" s="169">
        <f t="shared" si="1095"/>
        <v>0</v>
      </c>
      <c r="AR109" s="26"/>
      <c r="AS109" s="26">
        <f t="shared" ref="AS109:AZ109" si="1338">SUM(AS107:AS108)</f>
        <v>0</v>
      </c>
      <c r="AT109" s="26">
        <f t="shared" si="1338"/>
        <v>0</v>
      </c>
      <c r="AU109" s="26">
        <f t="shared" si="1338"/>
        <v>0</v>
      </c>
      <c r="AV109" s="26">
        <f t="shared" si="1338"/>
        <v>0</v>
      </c>
      <c r="AW109" s="26">
        <f t="shared" si="1338"/>
        <v>0</v>
      </c>
      <c r="AX109" s="26">
        <f t="shared" si="1338"/>
        <v>0</v>
      </c>
      <c r="AY109" s="26">
        <f t="shared" si="1338"/>
        <v>0</v>
      </c>
      <c r="AZ109" s="26">
        <f t="shared" si="1338"/>
        <v>0</v>
      </c>
      <c r="BA109" s="26">
        <f t="shared" ref="BA109" si="1339">SUM(BA107:BA108)</f>
        <v>0</v>
      </c>
      <c r="BB109" s="26">
        <f t="shared" ref="BB109" si="1340">SUM(BB107:BB108)</f>
        <v>0</v>
      </c>
      <c r="BC109" s="26">
        <f t="shared" ref="BC109" si="1341">SUM(BC107:BC108)</f>
        <v>0</v>
      </c>
      <c r="BD109" s="177">
        <f t="shared" ref="BD109" si="1342">SUM(BD107:BD108)</f>
        <v>0</v>
      </c>
      <c r="BE109" s="192">
        <f t="shared" si="1096"/>
        <v>0</v>
      </c>
      <c r="BF109" s="26"/>
      <c r="BG109" s="26">
        <f t="shared" ref="BG109:BN109" si="1343">SUM(BG107:BG108)</f>
        <v>0</v>
      </c>
      <c r="BH109" s="26">
        <f t="shared" si="1343"/>
        <v>0</v>
      </c>
      <c r="BI109" s="26">
        <f t="shared" si="1343"/>
        <v>0</v>
      </c>
      <c r="BJ109" s="26">
        <f t="shared" si="1343"/>
        <v>0</v>
      </c>
      <c r="BK109" s="26">
        <f t="shared" si="1343"/>
        <v>0</v>
      </c>
      <c r="BL109" s="26">
        <f t="shared" si="1343"/>
        <v>0</v>
      </c>
      <c r="BM109" s="26">
        <f t="shared" si="1343"/>
        <v>0</v>
      </c>
      <c r="BN109" s="26">
        <f t="shared" si="1343"/>
        <v>0</v>
      </c>
      <c r="BO109" s="26">
        <f t="shared" ref="BO109" si="1344">SUM(BO107:BO108)</f>
        <v>0</v>
      </c>
      <c r="BP109" s="26">
        <f t="shared" ref="BP109" si="1345">SUM(BP107:BP108)</f>
        <v>0</v>
      </c>
      <c r="BQ109" s="26">
        <f t="shared" ref="BQ109" si="1346">SUM(BQ107:BQ108)</f>
        <v>0</v>
      </c>
      <c r="BR109" s="26">
        <f t="shared" ref="BR109" si="1347">SUM(BR107:BR108)</f>
        <v>0</v>
      </c>
    </row>
    <row r="110" spans="1:70" ht="12.75" customHeight="1" outlineLevel="3" x14ac:dyDescent="0.2">
      <c r="B110" s="38" t="str">
        <f t="shared" si="1230"/>
        <v>Квартальная премия, выплата</v>
      </c>
      <c r="C110" s="49" t="str">
        <f t="shared" si="1230"/>
        <v>Quarterly bonus cash</v>
      </c>
      <c r="D110" s="168">
        <f t="shared" si="1326"/>
        <v>126860388.00000001</v>
      </c>
      <c r="E110" s="40">
        <v>10571699.000000002</v>
      </c>
      <c r="F110" s="40">
        <v>10571699.000000002</v>
      </c>
      <c r="G110" s="40">
        <v>10571699.000000002</v>
      </c>
      <c r="H110" s="40">
        <v>10571699.000000002</v>
      </c>
      <c r="I110" s="40">
        <v>10571699.000000002</v>
      </c>
      <c r="J110" s="40">
        <v>10571699.000000002</v>
      </c>
      <c r="K110" s="40">
        <v>10571699.000000002</v>
      </c>
      <c r="L110" s="40">
        <v>10571699.000000002</v>
      </c>
      <c r="M110" s="40">
        <v>10571699.000000002</v>
      </c>
      <c r="N110" s="40">
        <v>10571699.000000002</v>
      </c>
      <c r="O110" s="40">
        <v>10571699.000000002</v>
      </c>
      <c r="P110" s="176">
        <v>10571699.000000002</v>
      </c>
      <c r="Q110" s="191">
        <f t="shared" si="1327"/>
        <v>126860388.00000001</v>
      </c>
      <c r="R110" s="40">
        <v>10571699.000000002</v>
      </c>
      <c r="S110" s="40">
        <v>10571699.000000002</v>
      </c>
      <c r="T110" s="40">
        <v>10571699.000000002</v>
      </c>
      <c r="U110" s="40">
        <v>10571699.000000002</v>
      </c>
      <c r="V110" s="40">
        <v>10571699.000000002</v>
      </c>
      <c r="W110" s="40">
        <v>10571699.000000002</v>
      </c>
      <c r="X110" s="40">
        <v>10571699.000000002</v>
      </c>
      <c r="Y110" s="40">
        <v>10571699.000000002</v>
      </c>
      <c r="Z110" s="40">
        <v>10571699.000000002</v>
      </c>
      <c r="AA110" s="40">
        <v>10571699.000000002</v>
      </c>
      <c r="AB110" s="40">
        <v>10571699.000000002</v>
      </c>
      <c r="AC110" s="176">
        <v>10571699.000000002</v>
      </c>
      <c r="AD110" s="225">
        <f t="shared" si="1328"/>
        <v>126860388.00000001</v>
      </c>
      <c r="AE110" s="40">
        <v>10571699.000000002</v>
      </c>
      <c r="AF110" s="40">
        <v>10571699.000000002</v>
      </c>
      <c r="AG110" s="40">
        <v>10571699.000000002</v>
      </c>
      <c r="AH110" s="40">
        <v>10571699.000000002</v>
      </c>
      <c r="AI110" s="40">
        <v>10571699.000000002</v>
      </c>
      <c r="AJ110" s="40">
        <v>10571699.000000002</v>
      </c>
      <c r="AK110" s="40">
        <v>10571699.000000002</v>
      </c>
      <c r="AL110" s="40">
        <v>10571699.000000002</v>
      </c>
      <c r="AM110" s="40">
        <v>10571699.000000002</v>
      </c>
      <c r="AN110" s="40">
        <v>10571699.000000002</v>
      </c>
      <c r="AO110" s="40">
        <v>10571699.000000002</v>
      </c>
      <c r="AP110" s="40">
        <v>10571699.000000002</v>
      </c>
      <c r="AQ110" s="168">
        <f t="shared" si="1095"/>
        <v>0</v>
      </c>
      <c r="AR110" s="40"/>
      <c r="AS110" s="40">
        <v>10571699.000000002</v>
      </c>
      <c r="AT110" s="40">
        <v>10571699.000000002</v>
      </c>
      <c r="AU110" s="40">
        <v>10571699.000000002</v>
      </c>
      <c r="AV110" s="40">
        <v>10571699.000000002</v>
      </c>
      <c r="AW110" s="40">
        <v>10571699.000000002</v>
      </c>
      <c r="AX110" s="40">
        <v>10571699.000000002</v>
      </c>
      <c r="AY110" s="40">
        <v>10571699.000000002</v>
      </c>
      <c r="AZ110" s="40">
        <v>10571699.000000002</v>
      </c>
      <c r="BA110" s="40">
        <v>10571699.000000002</v>
      </c>
      <c r="BB110" s="40">
        <v>10571699.000000002</v>
      </c>
      <c r="BC110" s="40">
        <v>10571699.000000002</v>
      </c>
      <c r="BD110" s="176">
        <v>10571699.000000002</v>
      </c>
      <c r="BE110" s="191">
        <f t="shared" si="1096"/>
        <v>0</v>
      </c>
      <c r="BF110" s="40"/>
      <c r="BG110" s="40">
        <v>10571699.000000002</v>
      </c>
      <c r="BH110" s="40">
        <v>10571699.000000002</v>
      </c>
      <c r="BI110" s="40">
        <v>10571699.000000002</v>
      </c>
      <c r="BJ110" s="40">
        <v>10571699.000000002</v>
      </c>
      <c r="BK110" s="40">
        <v>10571699.000000002</v>
      </c>
      <c r="BL110" s="40">
        <v>10571699.000000002</v>
      </c>
      <c r="BM110" s="40">
        <v>10571699.000000002</v>
      </c>
      <c r="BN110" s="40">
        <v>10571699.000000002</v>
      </c>
      <c r="BO110" s="40">
        <v>10571699.000000002</v>
      </c>
      <c r="BP110" s="40">
        <v>10571699.000000002</v>
      </c>
      <c r="BQ110" s="40">
        <v>10571699.000000002</v>
      </c>
      <c r="BR110" s="40">
        <v>10571699.000000002</v>
      </c>
    </row>
    <row r="111" spans="1:70" ht="12.75" customHeight="1" outlineLevel="3" x14ac:dyDescent="0.2">
      <c r="B111" s="38" t="str">
        <f t="shared" si="1230"/>
        <v>Страховые взносы, квартальная премия выплата</v>
      </c>
      <c r="C111" s="49" t="str">
        <f t="shared" si="1230"/>
        <v>Social Security on quarterly cash</v>
      </c>
      <c r="D111" s="171">
        <f t="shared" si="1326"/>
        <v>3223499.9999999888</v>
      </c>
      <c r="E111" s="35">
        <v>268624.99999999907</v>
      </c>
      <c r="F111" s="35">
        <v>268624.99999999907</v>
      </c>
      <c r="G111" s="35">
        <v>268624.99999999907</v>
      </c>
      <c r="H111" s="35">
        <v>268624.99999999907</v>
      </c>
      <c r="I111" s="35">
        <v>268624.99999999907</v>
      </c>
      <c r="J111" s="35">
        <v>268624.99999999907</v>
      </c>
      <c r="K111" s="35">
        <v>268624.99999999907</v>
      </c>
      <c r="L111" s="35">
        <v>268624.99999999907</v>
      </c>
      <c r="M111" s="35">
        <v>268624.99999999907</v>
      </c>
      <c r="N111" s="35">
        <v>268624.99999999907</v>
      </c>
      <c r="O111" s="35">
        <v>268624.99999999907</v>
      </c>
      <c r="P111" s="179">
        <v>268624.99999999907</v>
      </c>
      <c r="Q111" s="194">
        <f t="shared" si="1327"/>
        <v>3223499.9999999888</v>
      </c>
      <c r="R111" s="35">
        <v>268624.99999999907</v>
      </c>
      <c r="S111" s="35">
        <v>268624.99999999907</v>
      </c>
      <c r="T111" s="35">
        <v>268624.99999999907</v>
      </c>
      <c r="U111" s="35">
        <v>268624.99999999907</v>
      </c>
      <c r="V111" s="35">
        <v>268624.99999999907</v>
      </c>
      <c r="W111" s="35">
        <v>268624.99999999907</v>
      </c>
      <c r="X111" s="35">
        <v>268624.99999999907</v>
      </c>
      <c r="Y111" s="35">
        <v>268624.99999999907</v>
      </c>
      <c r="Z111" s="35">
        <v>268624.99999999907</v>
      </c>
      <c r="AA111" s="35">
        <v>268624.99999999907</v>
      </c>
      <c r="AB111" s="35">
        <v>268624.99999999907</v>
      </c>
      <c r="AC111" s="179">
        <v>268624.99999999907</v>
      </c>
      <c r="AD111" s="225">
        <f t="shared" si="1328"/>
        <v>3223499.9999999888</v>
      </c>
      <c r="AE111" s="35">
        <v>268624.99999999907</v>
      </c>
      <c r="AF111" s="35">
        <v>268624.99999999907</v>
      </c>
      <c r="AG111" s="35">
        <v>268624.99999999907</v>
      </c>
      <c r="AH111" s="35">
        <v>268624.99999999907</v>
      </c>
      <c r="AI111" s="35">
        <v>268624.99999999907</v>
      </c>
      <c r="AJ111" s="35">
        <v>268624.99999999907</v>
      </c>
      <c r="AK111" s="35">
        <v>268624.99999999907</v>
      </c>
      <c r="AL111" s="35">
        <v>268624.99999999907</v>
      </c>
      <c r="AM111" s="35">
        <v>268624.99999999907</v>
      </c>
      <c r="AN111" s="35">
        <v>268624.99999999907</v>
      </c>
      <c r="AO111" s="35">
        <v>268624.99999999907</v>
      </c>
      <c r="AP111" s="35">
        <v>268624.99999999907</v>
      </c>
      <c r="AQ111" s="171">
        <f t="shared" si="1095"/>
        <v>0</v>
      </c>
      <c r="AR111" s="35"/>
      <c r="AS111" s="35">
        <v>268624.99999999907</v>
      </c>
      <c r="AT111" s="35">
        <v>268624.99999999907</v>
      </c>
      <c r="AU111" s="35">
        <v>268624.99999999907</v>
      </c>
      <c r="AV111" s="35">
        <v>268624.99999999907</v>
      </c>
      <c r="AW111" s="35">
        <v>268624.99999999907</v>
      </c>
      <c r="AX111" s="35">
        <v>268624.99999999907</v>
      </c>
      <c r="AY111" s="35">
        <v>268624.99999999907</v>
      </c>
      <c r="AZ111" s="35">
        <v>268624.99999999907</v>
      </c>
      <c r="BA111" s="35">
        <v>268624.99999999907</v>
      </c>
      <c r="BB111" s="35">
        <v>268624.99999999907</v>
      </c>
      <c r="BC111" s="35">
        <v>268624.99999999907</v>
      </c>
      <c r="BD111" s="179">
        <v>268624.99999999907</v>
      </c>
      <c r="BE111" s="194">
        <f t="shared" si="1096"/>
        <v>0</v>
      </c>
      <c r="BF111" s="35"/>
      <c r="BG111" s="35">
        <v>268624.99999999907</v>
      </c>
      <c r="BH111" s="35">
        <v>268624.99999999907</v>
      </c>
      <c r="BI111" s="35">
        <v>268624.99999999907</v>
      </c>
      <c r="BJ111" s="35">
        <v>268624.99999999907</v>
      </c>
      <c r="BK111" s="35">
        <v>268624.99999999907</v>
      </c>
      <c r="BL111" s="35">
        <v>268624.99999999907</v>
      </c>
      <c r="BM111" s="35">
        <v>268624.99999999907</v>
      </c>
      <c r="BN111" s="35">
        <v>268624.99999999907</v>
      </c>
      <c r="BO111" s="35">
        <v>268624.99999999907</v>
      </c>
      <c r="BP111" s="35">
        <v>268624.99999999907</v>
      </c>
      <c r="BQ111" s="35">
        <v>268624.99999999907</v>
      </c>
      <c r="BR111" s="35">
        <v>268624.99999999907</v>
      </c>
    </row>
    <row r="112" spans="1:70" s="6" customFormat="1" outlineLevel="2" x14ac:dyDescent="0.2">
      <c r="A112" s="30"/>
      <c r="B112" s="29" t="str">
        <f t="shared" si="1230"/>
        <v>Итого квртальная премия, выплата</v>
      </c>
      <c r="C112" s="52" t="str">
        <f t="shared" si="1230"/>
        <v>Total Quarterly bonus cash</v>
      </c>
      <c r="D112" s="169">
        <f t="shared" si="1326"/>
        <v>130083888</v>
      </c>
      <c r="E112" s="26">
        <f t="shared" ref="E112:L112" si="1348">SUM(E110:E111)</f>
        <v>10840324</v>
      </c>
      <c r="F112" s="26">
        <f t="shared" si="1348"/>
        <v>10840324</v>
      </c>
      <c r="G112" s="26">
        <f t="shared" si="1348"/>
        <v>10840324</v>
      </c>
      <c r="H112" s="26">
        <f t="shared" si="1348"/>
        <v>10840324</v>
      </c>
      <c r="I112" s="26">
        <f t="shared" si="1348"/>
        <v>10840324</v>
      </c>
      <c r="J112" s="26">
        <f t="shared" si="1348"/>
        <v>10840324</v>
      </c>
      <c r="K112" s="26">
        <f t="shared" si="1348"/>
        <v>10840324</v>
      </c>
      <c r="L112" s="26">
        <f t="shared" si="1348"/>
        <v>10840324</v>
      </c>
      <c r="M112" s="26">
        <f t="shared" ref="M112:P112" si="1349">SUM(M110:M111)</f>
        <v>10840324</v>
      </c>
      <c r="N112" s="26">
        <f t="shared" si="1349"/>
        <v>10840324</v>
      </c>
      <c r="O112" s="26">
        <f t="shared" si="1349"/>
        <v>10840324</v>
      </c>
      <c r="P112" s="177">
        <f t="shared" si="1349"/>
        <v>10840324</v>
      </c>
      <c r="Q112" s="192">
        <f t="shared" si="1327"/>
        <v>130083888</v>
      </c>
      <c r="R112" s="26">
        <f t="shared" ref="R112:Y112" si="1350">SUM(R110:R111)</f>
        <v>10840324</v>
      </c>
      <c r="S112" s="26">
        <f t="shared" si="1350"/>
        <v>10840324</v>
      </c>
      <c r="T112" s="26">
        <f t="shared" si="1350"/>
        <v>10840324</v>
      </c>
      <c r="U112" s="26">
        <f t="shared" si="1350"/>
        <v>10840324</v>
      </c>
      <c r="V112" s="26">
        <f t="shared" si="1350"/>
        <v>10840324</v>
      </c>
      <c r="W112" s="26">
        <f t="shared" si="1350"/>
        <v>10840324</v>
      </c>
      <c r="X112" s="26">
        <f t="shared" si="1350"/>
        <v>10840324</v>
      </c>
      <c r="Y112" s="26">
        <f t="shared" si="1350"/>
        <v>10840324</v>
      </c>
      <c r="Z112" s="26">
        <f t="shared" ref="Z112:AC112" si="1351">SUM(Z110:Z111)</f>
        <v>10840324</v>
      </c>
      <c r="AA112" s="26">
        <f t="shared" si="1351"/>
        <v>10840324</v>
      </c>
      <c r="AB112" s="26">
        <f t="shared" si="1351"/>
        <v>10840324</v>
      </c>
      <c r="AC112" s="177">
        <f t="shared" si="1351"/>
        <v>10840324</v>
      </c>
      <c r="AD112" s="226">
        <f t="shared" si="1328"/>
        <v>130083888</v>
      </c>
      <c r="AE112" s="26">
        <f t="shared" ref="AE112:AL112" si="1352">SUM(AE110:AE111)</f>
        <v>10840324</v>
      </c>
      <c r="AF112" s="26">
        <f t="shared" si="1352"/>
        <v>10840324</v>
      </c>
      <c r="AG112" s="26">
        <f t="shared" si="1352"/>
        <v>10840324</v>
      </c>
      <c r="AH112" s="26">
        <f t="shared" si="1352"/>
        <v>10840324</v>
      </c>
      <c r="AI112" s="26">
        <f t="shared" si="1352"/>
        <v>10840324</v>
      </c>
      <c r="AJ112" s="26">
        <f t="shared" si="1352"/>
        <v>10840324</v>
      </c>
      <c r="AK112" s="26">
        <f t="shared" si="1352"/>
        <v>10840324</v>
      </c>
      <c r="AL112" s="26">
        <f t="shared" si="1352"/>
        <v>10840324</v>
      </c>
      <c r="AM112" s="26">
        <f t="shared" ref="AM112" si="1353">SUM(AM110:AM111)</f>
        <v>10840324</v>
      </c>
      <c r="AN112" s="26">
        <f t="shared" ref="AN112" si="1354">SUM(AN110:AN111)</f>
        <v>10840324</v>
      </c>
      <c r="AO112" s="26">
        <f t="shared" ref="AO112" si="1355">SUM(AO110:AO111)</f>
        <v>10840324</v>
      </c>
      <c r="AP112" s="26">
        <f t="shared" ref="AP112" si="1356">SUM(AP110:AP111)</f>
        <v>10840324</v>
      </c>
      <c r="AQ112" s="169">
        <f t="shared" si="1095"/>
        <v>0</v>
      </c>
      <c r="AR112" s="26"/>
      <c r="AS112" s="26">
        <f t="shared" ref="AS112:AZ112" si="1357">SUM(AS110:AS111)</f>
        <v>10840324</v>
      </c>
      <c r="AT112" s="26">
        <f t="shared" si="1357"/>
        <v>10840324</v>
      </c>
      <c r="AU112" s="26">
        <f t="shared" si="1357"/>
        <v>10840324</v>
      </c>
      <c r="AV112" s="26">
        <f t="shared" si="1357"/>
        <v>10840324</v>
      </c>
      <c r="AW112" s="26">
        <f t="shared" si="1357"/>
        <v>10840324</v>
      </c>
      <c r="AX112" s="26">
        <f t="shared" si="1357"/>
        <v>10840324</v>
      </c>
      <c r="AY112" s="26">
        <f t="shared" si="1357"/>
        <v>10840324</v>
      </c>
      <c r="AZ112" s="26">
        <f t="shared" si="1357"/>
        <v>10840324</v>
      </c>
      <c r="BA112" s="26">
        <f t="shared" ref="BA112" si="1358">SUM(BA110:BA111)</f>
        <v>10840324</v>
      </c>
      <c r="BB112" s="26">
        <f t="shared" ref="BB112" si="1359">SUM(BB110:BB111)</f>
        <v>10840324</v>
      </c>
      <c r="BC112" s="26">
        <f t="shared" ref="BC112" si="1360">SUM(BC110:BC111)</f>
        <v>10840324</v>
      </c>
      <c r="BD112" s="177">
        <f t="shared" ref="BD112" si="1361">SUM(BD110:BD111)</f>
        <v>10840324</v>
      </c>
      <c r="BE112" s="192">
        <f t="shared" si="1096"/>
        <v>0</v>
      </c>
      <c r="BF112" s="26"/>
      <c r="BG112" s="26">
        <f t="shared" ref="BG112:BN112" si="1362">SUM(BG110:BG111)</f>
        <v>10840324</v>
      </c>
      <c r="BH112" s="26">
        <f t="shared" si="1362"/>
        <v>10840324</v>
      </c>
      <c r="BI112" s="26">
        <f t="shared" si="1362"/>
        <v>10840324</v>
      </c>
      <c r="BJ112" s="26">
        <f t="shared" si="1362"/>
        <v>10840324</v>
      </c>
      <c r="BK112" s="26">
        <f t="shared" si="1362"/>
        <v>10840324</v>
      </c>
      <c r="BL112" s="26">
        <f t="shared" si="1362"/>
        <v>10840324</v>
      </c>
      <c r="BM112" s="26">
        <f t="shared" si="1362"/>
        <v>10840324</v>
      </c>
      <c r="BN112" s="26">
        <f t="shared" si="1362"/>
        <v>10840324</v>
      </c>
      <c r="BO112" s="26">
        <f t="shared" ref="BO112" si="1363">SUM(BO110:BO111)</f>
        <v>10840324</v>
      </c>
      <c r="BP112" s="26">
        <f t="shared" ref="BP112" si="1364">SUM(BP110:BP111)</f>
        <v>10840324</v>
      </c>
      <c r="BQ112" s="26">
        <f t="shared" ref="BQ112" si="1365">SUM(BQ110:BQ111)</f>
        <v>10840324</v>
      </c>
      <c r="BR112" s="26">
        <f t="shared" ref="BR112" si="1366">SUM(BR110:BR111)</f>
        <v>10840324</v>
      </c>
    </row>
    <row r="113" spans="1:70" s="6" customFormat="1" outlineLevel="1" x14ac:dyDescent="0.2">
      <c r="A113" s="30"/>
      <c r="B113" s="48" t="str">
        <f t="shared" si="1230"/>
        <v>Квартальная премия</v>
      </c>
      <c r="C113" s="163" t="str">
        <f t="shared" si="1230"/>
        <v>Quarterly bonus</v>
      </c>
      <c r="D113" s="170">
        <f t="shared" si="1326"/>
        <v>130083888</v>
      </c>
      <c r="E113" s="45">
        <f t="shared" ref="E113:L113" si="1367">E112+E109+E106</f>
        <v>10840324</v>
      </c>
      <c r="F113" s="45">
        <f t="shared" si="1367"/>
        <v>10840324</v>
      </c>
      <c r="G113" s="45">
        <f t="shared" si="1367"/>
        <v>10840324</v>
      </c>
      <c r="H113" s="45">
        <f t="shared" si="1367"/>
        <v>10840324</v>
      </c>
      <c r="I113" s="45">
        <f t="shared" si="1367"/>
        <v>10840324</v>
      </c>
      <c r="J113" s="45">
        <f t="shared" si="1367"/>
        <v>10840324</v>
      </c>
      <c r="K113" s="45">
        <f t="shared" si="1367"/>
        <v>10840324</v>
      </c>
      <c r="L113" s="45">
        <f t="shared" si="1367"/>
        <v>10840324</v>
      </c>
      <c r="M113" s="45">
        <f t="shared" ref="M113:P113" si="1368">M112+M109+M106</f>
        <v>10840324</v>
      </c>
      <c r="N113" s="45">
        <f t="shared" si="1368"/>
        <v>10840324</v>
      </c>
      <c r="O113" s="45">
        <f t="shared" si="1368"/>
        <v>10840324</v>
      </c>
      <c r="P113" s="178">
        <f t="shared" si="1368"/>
        <v>10840324</v>
      </c>
      <c r="Q113" s="193">
        <f t="shared" si="1327"/>
        <v>130083888</v>
      </c>
      <c r="R113" s="45">
        <f t="shared" ref="R113:Y113" si="1369">R112+R109+R106</f>
        <v>10840324</v>
      </c>
      <c r="S113" s="45">
        <f t="shared" si="1369"/>
        <v>10840324</v>
      </c>
      <c r="T113" s="45">
        <f t="shared" si="1369"/>
        <v>10840324</v>
      </c>
      <c r="U113" s="45">
        <f t="shared" si="1369"/>
        <v>10840324</v>
      </c>
      <c r="V113" s="45">
        <f t="shared" si="1369"/>
        <v>10840324</v>
      </c>
      <c r="W113" s="45">
        <f t="shared" si="1369"/>
        <v>10840324</v>
      </c>
      <c r="X113" s="45">
        <f t="shared" si="1369"/>
        <v>10840324</v>
      </c>
      <c r="Y113" s="45">
        <f t="shared" si="1369"/>
        <v>10840324</v>
      </c>
      <c r="Z113" s="45">
        <f t="shared" ref="Z113:AC113" si="1370">Z112+Z109+Z106</f>
        <v>10840324</v>
      </c>
      <c r="AA113" s="45">
        <f t="shared" si="1370"/>
        <v>10840324</v>
      </c>
      <c r="AB113" s="45">
        <f t="shared" si="1370"/>
        <v>10840324</v>
      </c>
      <c r="AC113" s="178">
        <f t="shared" si="1370"/>
        <v>10840324</v>
      </c>
      <c r="AD113" s="227">
        <f t="shared" si="1328"/>
        <v>130083888</v>
      </c>
      <c r="AE113" s="45">
        <f t="shared" ref="AE113:AL113" si="1371">AE112+AE109+AE106</f>
        <v>10840324</v>
      </c>
      <c r="AF113" s="45">
        <f t="shared" si="1371"/>
        <v>10840324</v>
      </c>
      <c r="AG113" s="45">
        <f t="shared" si="1371"/>
        <v>10840324</v>
      </c>
      <c r="AH113" s="45">
        <f t="shared" si="1371"/>
        <v>10840324</v>
      </c>
      <c r="AI113" s="45">
        <f t="shared" si="1371"/>
        <v>10840324</v>
      </c>
      <c r="AJ113" s="45">
        <f t="shared" si="1371"/>
        <v>10840324</v>
      </c>
      <c r="AK113" s="45">
        <f t="shared" si="1371"/>
        <v>10840324</v>
      </c>
      <c r="AL113" s="45">
        <f t="shared" si="1371"/>
        <v>10840324</v>
      </c>
      <c r="AM113" s="45">
        <f t="shared" ref="AM113" si="1372">AM112+AM109+AM106</f>
        <v>10840324</v>
      </c>
      <c r="AN113" s="45">
        <f t="shared" ref="AN113" si="1373">AN112+AN109+AN106</f>
        <v>10840324</v>
      </c>
      <c r="AO113" s="45">
        <f t="shared" ref="AO113" si="1374">AO112+AO109+AO106</f>
        <v>10840324</v>
      </c>
      <c r="AP113" s="45">
        <f t="shared" ref="AP113" si="1375">AP112+AP109+AP106</f>
        <v>10840324</v>
      </c>
      <c r="AQ113" s="170">
        <f t="shared" si="1095"/>
        <v>0</v>
      </c>
      <c r="AR113" s="45"/>
      <c r="AS113" s="45">
        <f t="shared" ref="AS113:AZ113" si="1376">AS112+AS109+AS106</f>
        <v>10840324</v>
      </c>
      <c r="AT113" s="45">
        <f t="shared" si="1376"/>
        <v>10840324</v>
      </c>
      <c r="AU113" s="45">
        <f t="shared" si="1376"/>
        <v>10840324</v>
      </c>
      <c r="AV113" s="45">
        <f t="shared" si="1376"/>
        <v>10840324</v>
      </c>
      <c r="AW113" s="45">
        <f t="shared" si="1376"/>
        <v>10840324</v>
      </c>
      <c r="AX113" s="45">
        <f t="shared" si="1376"/>
        <v>10840324</v>
      </c>
      <c r="AY113" s="45">
        <f t="shared" si="1376"/>
        <v>10840324</v>
      </c>
      <c r="AZ113" s="45">
        <f t="shared" si="1376"/>
        <v>10840324</v>
      </c>
      <c r="BA113" s="45">
        <f t="shared" ref="BA113" si="1377">BA112+BA109+BA106</f>
        <v>10840324</v>
      </c>
      <c r="BB113" s="45">
        <f t="shared" ref="BB113" si="1378">BB112+BB109+BB106</f>
        <v>10840324</v>
      </c>
      <c r="BC113" s="45">
        <f t="shared" ref="BC113" si="1379">BC112+BC109+BC106</f>
        <v>10840324</v>
      </c>
      <c r="BD113" s="178">
        <f t="shared" ref="BD113" si="1380">BD112+BD109+BD106</f>
        <v>10840324</v>
      </c>
      <c r="BE113" s="193">
        <f t="shared" si="1096"/>
        <v>0</v>
      </c>
      <c r="BF113" s="45"/>
      <c r="BG113" s="45">
        <f t="shared" ref="BG113:BN113" si="1381">BG112+BG109+BG106</f>
        <v>10840324</v>
      </c>
      <c r="BH113" s="45">
        <f t="shared" si="1381"/>
        <v>10840324</v>
      </c>
      <c r="BI113" s="45">
        <f t="shared" si="1381"/>
        <v>10840324</v>
      </c>
      <c r="BJ113" s="45">
        <f t="shared" si="1381"/>
        <v>10840324</v>
      </c>
      <c r="BK113" s="45">
        <f t="shared" si="1381"/>
        <v>10840324</v>
      </c>
      <c r="BL113" s="45">
        <f t="shared" si="1381"/>
        <v>10840324</v>
      </c>
      <c r="BM113" s="45">
        <f t="shared" si="1381"/>
        <v>10840324</v>
      </c>
      <c r="BN113" s="45">
        <f t="shared" si="1381"/>
        <v>10840324</v>
      </c>
      <c r="BO113" s="45">
        <f t="shared" ref="BO113" si="1382">BO112+BO109+BO106</f>
        <v>10840324</v>
      </c>
      <c r="BP113" s="45">
        <f t="shared" ref="BP113" si="1383">BP112+BP109+BP106</f>
        <v>10840324</v>
      </c>
      <c r="BQ113" s="45">
        <f t="shared" ref="BQ113" si="1384">BQ112+BQ109+BQ106</f>
        <v>10840324</v>
      </c>
      <c r="BR113" s="45">
        <f t="shared" ref="BR113" si="1385">BR112+BR109+BR106</f>
        <v>10840324</v>
      </c>
    </row>
    <row r="114" spans="1:70" s="6" customFormat="1" x14ac:dyDescent="0.2">
      <c r="B114" s="21" t="str">
        <f t="shared" si="1230"/>
        <v>ФОТ до бонуса</v>
      </c>
      <c r="C114" s="164" t="str">
        <f t="shared" si="1230"/>
        <v>FIX compensation before Bonus</v>
      </c>
      <c r="D114" s="172">
        <f t="shared" si="1326"/>
        <v>3027541766.1599998</v>
      </c>
      <c r="E114" s="18">
        <f t="shared" ref="E114:L114" si="1386">E113+E103+E90+E87</f>
        <v>252295147.18000001</v>
      </c>
      <c r="F114" s="18">
        <f t="shared" si="1386"/>
        <v>252295147.18000001</v>
      </c>
      <c r="G114" s="18">
        <f t="shared" si="1386"/>
        <v>252295147.18000001</v>
      </c>
      <c r="H114" s="18">
        <f t="shared" si="1386"/>
        <v>252295147.18000001</v>
      </c>
      <c r="I114" s="18">
        <f t="shared" si="1386"/>
        <v>252295147.18000001</v>
      </c>
      <c r="J114" s="18">
        <f t="shared" si="1386"/>
        <v>252295147.18000001</v>
      </c>
      <c r="K114" s="18">
        <f t="shared" si="1386"/>
        <v>252295147.18000001</v>
      </c>
      <c r="L114" s="18">
        <f t="shared" si="1386"/>
        <v>252295147.18000001</v>
      </c>
      <c r="M114" s="18">
        <f t="shared" ref="M114:P114" si="1387">M113+M103+M90+M87</f>
        <v>252295147.18000001</v>
      </c>
      <c r="N114" s="18">
        <f t="shared" si="1387"/>
        <v>252295147.18000001</v>
      </c>
      <c r="O114" s="18">
        <f t="shared" si="1387"/>
        <v>252295147.18000001</v>
      </c>
      <c r="P114" s="180">
        <f t="shared" si="1387"/>
        <v>252295147.18000001</v>
      </c>
      <c r="Q114" s="195">
        <f t="shared" si="1327"/>
        <v>3027541766.1599998</v>
      </c>
      <c r="R114" s="18">
        <f t="shared" ref="R114:Y114" si="1388">R113+R103+R90+R87</f>
        <v>252295147.18000001</v>
      </c>
      <c r="S114" s="18">
        <f t="shared" si="1388"/>
        <v>252295147.18000001</v>
      </c>
      <c r="T114" s="18">
        <f t="shared" si="1388"/>
        <v>252295147.18000001</v>
      </c>
      <c r="U114" s="18">
        <f t="shared" si="1388"/>
        <v>252295147.18000001</v>
      </c>
      <c r="V114" s="18">
        <f t="shared" si="1388"/>
        <v>252295147.18000001</v>
      </c>
      <c r="W114" s="18">
        <f t="shared" si="1388"/>
        <v>252295147.18000001</v>
      </c>
      <c r="X114" s="18">
        <f t="shared" si="1388"/>
        <v>252295147.18000001</v>
      </c>
      <c r="Y114" s="18">
        <f t="shared" si="1388"/>
        <v>252295147.18000001</v>
      </c>
      <c r="Z114" s="18">
        <f t="shared" ref="Z114:AC114" si="1389">Z113+Z103+Z90+Z87</f>
        <v>252295147.18000001</v>
      </c>
      <c r="AA114" s="18">
        <f t="shared" si="1389"/>
        <v>252295147.18000001</v>
      </c>
      <c r="AB114" s="18">
        <f t="shared" si="1389"/>
        <v>252295147.18000001</v>
      </c>
      <c r="AC114" s="180">
        <f t="shared" si="1389"/>
        <v>252295147.18000001</v>
      </c>
      <c r="AD114" s="228">
        <f t="shared" si="1328"/>
        <v>3027541766.1599998</v>
      </c>
      <c r="AE114" s="18">
        <f t="shared" ref="AE114:AL114" si="1390">AE113+AE103+AE90+AE87</f>
        <v>252295147.18000001</v>
      </c>
      <c r="AF114" s="18">
        <f t="shared" si="1390"/>
        <v>252295147.18000001</v>
      </c>
      <c r="AG114" s="18">
        <f t="shared" si="1390"/>
        <v>252295147.18000001</v>
      </c>
      <c r="AH114" s="18">
        <f t="shared" si="1390"/>
        <v>252295147.18000001</v>
      </c>
      <c r="AI114" s="18">
        <f t="shared" si="1390"/>
        <v>252295147.18000001</v>
      </c>
      <c r="AJ114" s="18">
        <f t="shared" si="1390"/>
        <v>252295147.18000001</v>
      </c>
      <c r="AK114" s="18">
        <f t="shared" si="1390"/>
        <v>252295147.18000001</v>
      </c>
      <c r="AL114" s="18">
        <f t="shared" si="1390"/>
        <v>252295147.18000001</v>
      </c>
      <c r="AM114" s="18">
        <f t="shared" ref="AM114" si="1391">AM113+AM103+AM90+AM87</f>
        <v>252295147.18000001</v>
      </c>
      <c r="AN114" s="18">
        <f t="shared" ref="AN114" si="1392">AN113+AN103+AN90+AN87</f>
        <v>252295147.18000001</v>
      </c>
      <c r="AO114" s="18">
        <f t="shared" ref="AO114" si="1393">AO113+AO103+AO90+AO87</f>
        <v>252295147.18000001</v>
      </c>
      <c r="AP114" s="18">
        <f t="shared" ref="AP114" si="1394">AP113+AP103+AP90+AP87</f>
        <v>252295147.18000001</v>
      </c>
      <c r="AQ114" s="172">
        <f t="shared" si="1095"/>
        <v>0</v>
      </c>
      <c r="AR114" s="18"/>
      <c r="AS114" s="18">
        <f t="shared" ref="AS114:AZ114" si="1395">AS113+AS103+AS90+AS87</f>
        <v>252295147.18000001</v>
      </c>
      <c r="AT114" s="18">
        <f t="shared" si="1395"/>
        <v>252295147.18000001</v>
      </c>
      <c r="AU114" s="18">
        <f t="shared" si="1395"/>
        <v>252295147.18000001</v>
      </c>
      <c r="AV114" s="18">
        <f t="shared" si="1395"/>
        <v>252295147.18000001</v>
      </c>
      <c r="AW114" s="18">
        <f t="shared" si="1395"/>
        <v>252295147.18000001</v>
      </c>
      <c r="AX114" s="18">
        <f t="shared" si="1395"/>
        <v>252295147.18000001</v>
      </c>
      <c r="AY114" s="18">
        <f t="shared" si="1395"/>
        <v>252295147.18000001</v>
      </c>
      <c r="AZ114" s="18">
        <f t="shared" si="1395"/>
        <v>252295147.18000001</v>
      </c>
      <c r="BA114" s="18">
        <f t="shared" ref="BA114" si="1396">BA113+BA103+BA90+BA87</f>
        <v>252295147.18000001</v>
      </c>
      <c r="BB114" s="18">
        <f t="shared" ref="BB114" si="1397">BB113+BB103+BB90+BB87</f>
        <v>252295147.18000001</v>
      </c>
      <c r="BC114" s="18">
        <f t="shared" ref="BC114" si="1398">BC113+BC103+BC90+BC87</f>
        <v>252295147.18000001</v>
      </c>
      <c r="BD114" s="180">
        <f t="shared" ref="BD114" si="1399">BD113+BD103+BD90+BD87</f>
        <v>252295147.18000001</v>
      </c>
      <c r="BE114" s="195">
        <f t="shared" si="1096"/>
        <v>0</v>
      </c>
      <c r="BF114" s="18"/>
      <c r="BG114" s="18">
        <f t="shared" ref="BG114:BN114" si="1400">BG113+BG103+BG90+BG87</f>
        <v>252295147.18000001</v>
      </c>
      <c r="BH114" s="18">
        <f t="shared" si="1400"/>
        <v>252295147.18000001</v>
      </c>
      <c r="BI114" s="18">
        <f t="shared" si="1400"/>
        <v>252295147.18000001</v>
      </c>
      <c r="BJ114" s="18">
        <f t="shared" si="1400"/>
        <v>252295147.18000001</v>
      </c>
      <c r="BK114" s="18">
        <f t="shared" si="1400"/>
        <v>252295147.18000001</v>
      </c>
      <c r="BL114" s="18">
        <f t="shared" si="1400"/>
        <v>252295147.18000001</v>
      </c>
      <c r="BM114" s="18">
        <f t="shared" si="1400"/>
        <v>252295147.18000001</v>
      </c>
      <c r="BN114" s="18">
        <f t="shared" si="1400"/>
        <v>252295147.18000001</v>
      </c>
      <c r="BO114" s="18">
        <f t="shared" ref="BO114" si="1401">BO113+BO103+BO90+BO87</f>
        <v>252295147.18000001</v>
      </c>
      <c r="BP114" s="18">
        <f t="shared" ref="BP114" si="1402">BP113+BP103+BP90+BP87</f>
        <v>252295147.18000001</v>
      </c>
      <c r="BQ114" s="18">
        <f t="shared" ref="BQ114" si="1403">BQ113+BQ103+BQ90+BQ87</f>
        <v>252295147.18000001</v>
      </c>
      <c r="BR114" s="18">
        <f t="shared" ref="BR114" si="1404">BR113+BR103+BR90+BR87</f>
        <v>252295147.18000001</v>
      </c>
    </row>
    <row r="115" spans="1:70" ht="12.75" customHeight="1" outlineLevel="3" x14ac:dyDescent="0.2">
      <c r="B115" s="38" t="str">
        <f t="shared" ref="B115:C129" si="1405">B52</f>
        <v>Резерв бонуса прошлых лет</v>
      </c>
      <c r="C115" s="49" t="str">
        <f t="shared" si="1405"/>
        <v>Under-/overaccruals - cash</v>
      </c>
      <c r="D115" s="168">
        <f t="shared" si="1326"/>
        <v>0</v>
      </c>
      <c r="E115" s="40">
        <v>0</v>
      </c>
      <c r="F115" s="40">
        <v>0</v>
      </c>
      <c r="G115" s="40">
        <v>0</v>
      </c>
      <c r="H115" s="40">
        <v>0</v>
      </c>
      <c r="I115" s="40">
        <v>0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176">
        <v>0</v>
      </c>
      <c r="Q115" s="191">
        <f t="shared" si="1327"/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0">
        <v>0</v>
      </c>
      <c r="X115" s="40">
        <v>0</v>
      </c>
      <c r="Y115" s="40">
        <v>0</v>
      </c>
      <c r="Z115" s="40">
        <v>0</v>
      </c>
      <c r="AA115" s="40">
        <v>0</v>
      </c>
      <c r="AB115" s="40">
        <v>0</v>
      </c>
      <c r="AC115" s="176">
        <v>0</v>
      </c>
      <c r="AD115" s="225">
        <f t="shared" si="1328"/>
        <v>0</v>
      </c>
      <c r="AE115" s="40">
        <v>0</v>
      </c>
      <c r="AF115" s="40">
        <v>0</v>
      </c>
      <c r="AG115" s="40">
        <v>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40">
        <v>0</v>
      </c>
      <c r="AP115" s="40">
        <v>0</v>
      </c>
      <c r="AQ115" s="168">
        <f t="shared" si="1095"/>
        <v>0</v>
      </c>
      <c r="AR115" s="40"/>
      <c r="AS115" s="40">
        <v>0</v>
      </c>
      <c r="AT115" s="40">
        <v>0</v>
      </c>
      <c r="AU115" s="40">
        <v>0</v>
      </c>
      <c r="AV115" s="40">
        <v>0</v>
      </c>
      <c r="AW115" s="40">
        <v>0</v>
      </c>
      <c r="AX115" s="40">
        <v>0</v>
      </c>
      <c r="AY115" s="40">
        <v>0</v>
      </c>
      <c r="AZ115" s="40">
        <v>0</v>
      </c>
      <c r="BA115" s="40">
        <v>0</v>
      </c>
      <c r="BB115" s="40">
        <v>0</v>
      </c>
      <c r="BC115" s="40">
        <v>0</v>
      </c>
      <c r="BD115" s="176">
        <v>0</v>
      </c>
      <c r="BE115" s="191">
        <f t="shared" si="1096"/>
        <v>0</v>
      </c>
      <c r="BF115" s="40"/>
      <c r="BG115" s="40">
        <v>0</v>
      </c>
      <c r="BH115" s="40">
        <v>0</v>
      </c>
      <c r="BI115" s="40">
        <v>0</v>
      </c>
      <c r="BJ115" s="40">
        <v>0</v>
      </c>
      <c r="BK115" s="40">
        <v>0</v>
      </c>
      <c r="BL115" s="40">
        <v>0</v>
      </c>
      <c r="BM115" s="40">
        <v>0</v>
      </c>
      <c r="BN115" s="40">
        <v>0</v>
      </c>
      <c r="BO115" s="40">
        <v>0</v>
      </c>
      <c r="BP115" s="40">
        <v>0</v>
      </c>
      <c r="BQ115" s="40">
        <v>0</v>
      </c>
      <c r="BR115" s="40">
        <v>0</v>
      </c>
    </row>
    <row r="116" spans="1:70" ht="12.75" customHeight="1" outlineLevel="3" x14ac:dyDescent="0.2">
      <c r="B116" s="38" t="str">
        <f t="shared" si="1405"/>
        <v>Страховые взносы, резерв бонуса прошлых лет</v>
      </c>
      <c r="C116" s="49" t="str">
        <f t="shared" si="1405"/>
        <v>Under-/overaccruals - contribution to social secur</v>
      </c>
      <c r="D116" s="168">
        <f t="shared" si="1326"/>
        <v>0</v>
      </c>
      <c r="E116" s="40">
        <v>0</v>
      </c>
      <c r="F116" s="40">
        <v>0</v>
      </c>
      <c r="G116" s="40">
        <v>0</v>
      </c>
      <c r="H116" s="40">
        <v>0</v>
      </c>
      <c r="I116" s="40">
        <v>0</v>
      </c>
      <c r="J116" s="40">
        <v>0</v>
      </c>
      <c r="K116" s="40">
        <v>0</v>
      </c>
      <c r="L116" s="40">
        <v>0</v>
      </c>
      <c r="M116" s="40">
        <v>0</v>
      </c>
      <c r="N116" s="40">
        <v>0</v>
      </c>
      <c r="O116" s="40">
        <v>0</v>
      </c>
      <c r="P116" s="176">
        <v>0</v>
      </c>
      <c r="Q116" s="191">
        <f t="shared" si="1327"/>
        <v>0</v>
      </c>
      <c r="R116" s="40">
        <v>0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176">
        <v>0</v>
      </c>
      <c r="AD116" s="225">
        <f t="shared" si="1328"/>
        <v>0</v>
      </c>
      <c r="AE116" s="40">
        <v>0</v>
      </c>
      <c r="AF116" s="40">
        <v>0</v>
      </c>
      <c r="AG116" s="40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168">
        <f t="shared" si="1095"/>
        <v>0</v>
      </c>
      <c r="AR116" s="40"/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176">
        <v>0</v>
      </c>
      <c r="BE116" s="191">
        <f t="shared" si="1096"/>
        <v>0</v>
      </c>
      <c r="BF116" s="40"/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</row>
    <row r="117" spans="1:70" s="6" customFormat="1" ht="14.45" customHeight="1" outlineLevel="1" x14ac:dyDescent="0.2">
      <c r="A117" s="30"/>
      <c r="B117" s="48" t="str">
        <f t="shared" si="1405"/>
        <v>Итого Резерв бонуса прошлых лет</v>
      </c>
      <c r="C117" s="163" t="str">
        <f t="shared" si="1405"/>
        <v>Total Under-/overaccruals - cash</v>
      </c>
      <c r="D117" s="170">
        <f t="shared" si="1326"/>
        <v>0</v>
      </c>
      <c r="E117" s="45">
        <f t="shared" ref="E117:L117" si="1406">SUM(E115:E116)</f>
        <v>0</v>
      </c>
      <c r="F117" s="45">
        <f t="shared" si="1406"/>
        <v>0</v>
      </c>
      <c r="G117" s="45">
        <f t="shared" si="1406"/>
        <v>0</v>
      </c>
      <c r="H117" s="45">
        <f t="shared" si="1406"/>
        <v>0</v>
      </c>
      <c r="I117" s="45">
        <f t="shared" si="1406"/>
        <v>0</v>
      </c>
      <c r="J117" s="45">
        <f t="shared" si="1406"/>
        <v>0</v>
      </c>
      <c r="K117" s="45">
        <f t="shared" si="1406"/>
        <v>0</v>
      </c>
      <c r="L117" s="45">
        <f t="shared" si="1406"/>
        <v>0</v>
      </c>
      <c r="M117" s="45">
        <f t="shared" ref="M117:P117" si="1407">SUM(M115:M116)</f>
        <v>0</v>
      </c>
      <c r="N117" s="45">
        <f t="shared" si="1407"/>
        <v>0</v>
      </c>
      <c r="O117" s="45">
        <f t="shared" si="1407"/>
        <v>0</v>
      </c>
      <c r="P117" s="178">
        <f t="shared" si="1407"/>
        <v>0</v>
      </c>
      <c r="Q117" s="193">
        <f t="shared" si="1327"/>
        <v>0</v>
      </c>
      <c r="R117" s="45">
        <f t="shared" ref="R117:Y117" si="1408">SUM(R115:R116)</f>
        <v>0</v>
      </c>
      <c r="S117" s="45">
        <f t="shared" si="1408"/>
        <v>0</v>
      </c>
      <c r="T117" s="45">
        <f t="shared" si="1408"/>
        <v>0</v>
      </c>
      <c r="U117" s="45">
        <f t="shared" si="1408"/>
        <v>0</v>
      </c>
      <c r="V117" s="45">
        <f t="shared" si="1408"/>
        <v>0</v>
      </c>
      <c r="W117" s="45">
        <f t="shared" si="1408"/>
        <v>0</v>
      </c>
      <c r="X117" s="45">
        <f t="shared" si="1408"/>
        <v>0</v>
      </c>
      <c r="Y117" s="45">
        <f t="shared" si="1408"/>
        <v>0</v>
      </c>
      <c r="Z117" s="45">
        <f t="shared" ref="Z117:AC117" si="1409">SUM(Z115:Z116)</f>
        <v>0</v>
      </c>
      <c r="AA117" s="45">
        <f t="shared" si="1409"/>
        <v>0</v>
      </c>
      <c r="AB117" s="45">
        <f t="shared" si="1409"/>
        <v>0</v>
      </c>
      <c r="AC117" s="178">
        <f t="shared" si="1409"/>
        <v>0</v>
      </c>
      <c r="AD117" s="227">
        <f t="shared" si="1328"/>
        <v>0</v>
      </c>
      <c r="AE117" s="45">
        <f t="shared" ref="AE117:AL117" si="1410">SUM(AE115:AE116)</f>
        <v>0</v>
      </c>
      <c r="AF117" s="45">
        <f t="shared" si="1410"/>
        <v>0</v>
      </c>
      <c r="AG117" s="45">
        <f t="shared" si="1410"/>
        <v>0</v>
      </c>
      <c r="AH117" s="45">
        <f t="shared" si="1410"/>
        <v>0</v>
      </c>
      <c r="AI117" s="45">
        <f t="shared" si="1410"/>
        <v>0</v>
      </c>
      <c r="AJ117" s="45">
        <f t="shared" si="1410"/>
        <v>0</v>
      </c>
      <c r="AK117" s="45">
        <f t="shared" si="1410"/>
        <v>0</v>
      </c>
      <c r="AL117" s="45">
        <f t="shared" si="1410"/>
        <v>0</v>
      </c>
      <c r="AM117" s="45">
        <f t="shared" ref="AM117" si="1411">SUM(AM115:AM116)</f>
        <v>0</v>
      </c>
      <c r="AN117" s="45">
        <f t="shared" ref="AN117" si="1412">SUM(AN115:AN116)</f>
        <v>0</v>
      </c>
      <c r="AO117" s="45">
        <f t="shared" ref="AO117" si="1413">SUM(AO115:AO116)</f>
        <v>0</v>
      </c>
      <c r="AP117" s="45">
        <f t="shared" ref="AP117" si="1414">SUM(AP115:AP116)</f>
        <v>0</v>
      </c>
      <c r="AQ117" s="170">
        <f t="shared" si="1095"/>
        <v>0</v>
      </c>
      <c r="AR117" s="45"/>
      <c r="AS117" s="45">
        <f t="shared" ref="AS117:AZ117" si="1415">SUM(AS115:AS116)</f>
        <v>0</v>
      </c>
      <c r="AT117" s="45">
        <f t="shared" si="1415"/>
        <v>0</v>
      </c>
      <c r="AU117" s="45">
        <f t="shared" si="1415"/>
        <v>0</v>
      </c>
      <c r="AV117" s="45">
        <f t="shared" si="1415"/>
        <v>0</v>
      </c>
      <c r="AW117" s="45">
        <f t="shared" si="1415"/>
        <v>0</v>
      </c>
      <c r="AX117" s="45">
        <f t="shared" si="1415"/>
        <v>0</v>
      </c>
      <c r="AY117" s="45">
        <f t="shared" si="1415"/>
        <v>0</v>
      </c>
      <c r="AZ117" s="45">
        <f t="shared" si="1415"/>
        <v>0</v>
      </c>
      <c r="BA117" s="45">
        <f t="shared" ref="BA117" si="1416">SUM(BA115:BA116)</f>
        <v>0</v>
      </c>
      <c r="BB117" s="45">
        <f t="shared" ref="BB117" si="1417">SUM(BB115:BB116)</f>
        <v>0</v>
      </c>
      <c r="BC117" s="45">
        <f t="shared" ref="BC117" si="1418">SUM(BC115:BC116)</f>
        <v>0</v>
      </c>
      <c r="BD117" s="178">
        <f t="shared" ref="BD117" si="1419">SUM(BD115:BD116)</f>
        <v>0</v>
      </c>
      <c r="BE117" s="193">
        <f t="shared" si="1096"/>
        <v>0</v>
      </c>
      <c r="BF117" s="45"/>
      <c r="BG117" s="45">
        <f t="shared" ref="BG117:BN117" si="1420">SUM(BG115:BG116)</f>
        <v>0</v>
      </c>
      <c r="BH117" s="45">
        <f t="shared" si="1420"/>
        <v>0</v>
      </c>
      <c r="BI117" s="45">
        <f t="shared" si="1420"/>
        <v>0</v>
      </c>
      <c r="BJ117" s="45">
        <f t="shared" si="1420"/>
        <v>0</v>
      </c>
      <c r="BK117" s="45">
        <f t="shared" si="1420"/>
        <v>0</v>
      </c>
      <c r="BL117" s="45">
        <f t="shared" si="1420"/>
        <v>0</v>
      </c>
      <c r="BM117" s="45">
        <f t="shared" si="1420"/>
        <v>0</v>
      </c>
      <c r="BN117" s="45">
        <f t="shared" si="1420"/>
        <v>0</v>
      </c>
      <c r="BO117" s="45">
        <f t="shared" ref="BO117" si="1421">SUM(BO115:BO116)</f>
        <v>0</v>
      </c>
      <c r="BP117" s="45">
        <f t="shared" ref="BP117" si="1422">SUM(BP115:BP116)</f>
        <v>0</v>
      </c>
      <c r="BQ117" s="45">
        <f t="shared" ref="BQ117" si="1423">SUM(BQ115:BQ116)</f>
        <v>0</v>
      </c>
      <c r="BR117" s="45">
        <f t="shared" ref="BR117" si="1424">SUM(BR115:BR116)</f>
        <v>0</v>
      </c>
    </row>
    <row r="118" spans="1:70" s="6" customFormat="1" x14ac:dyDescent="0.2">
      <c r="B118" s="21" t="str">
        <f t="shared" si="1405"/>
        <v>Резерв бонуса прошлых лет</v>
      </c>
      <c r="C118" s="164" t="str">
        <f t="shared" si="1405"/>
        <v>Under-/overaccruals - cash</v>
      </c>
      <c r="D118" s="172">
        <f t="shared" si="1326"/>
        <v>0</v>
      </c>
      <c r="E118" s="18">
        <f t="shared" ref="E118:L118" si="1425">E117</f>
        <v>0</v>
      </c>
      <c r="F118" s="18">
        <f t="shared" si="1425"/>
        <v>0</v>
      </c>
      <c r="G118" s="18">
        <f t="shared" si="1425"/>
        <v>0</v>
      </c>
      <c r="H118" s="18">
        <f t="shared" si="1425"/>
        <v>0</v>
      </c>
      <c r="I118" s="18">
        <f t="shared" si="1425"/>
        <v>0</v>
      </c>
      <c r="J118" s="18">
        <f t="shared" si="1425"/>
        <v>0</v>
      </c>
      <c r="K118" s="18">
        <f t="shared" si="1425"/>
        <v>0</v>
      </c>
      <c r="L118" s="18">
        <f t="shared" si="1425"/>
        <v>0</v>
      </c>
      <c r="M118" s="18">
        <f t="shared" ref="M118:P118" si="1426">M117</f>
        <v>0</v>
      </c>
      <c r="N118" s="18">
        <f t="shared" si="1426"/>
        <v>0</v>
      </c>
      <c r="O118" s="18">
        <f t="shared" si="1426"/>
        <v>0</v>
      </c>
      <c r="P118" s="180">
        <f t="shared" si="1426"/>
        <v>0</v>
      </c>
      <c r="Q118" s="195">
        <f t="shared" si="1327"/>
        <v>0</v>
      </c>
      <c r="R118" s="18">
        <f t="shared" ref="R118:Y118" si="1427">R117</f>
        <v>0</v>
      </c>
      <c r="S118" s="18">
        <f t="shared" si="1427"/>
        <v>0</v>
      </c>
      <c r="T118" s="18">
        <f t="shared" si="1427"/>
        <v>0</v>
      </c>
      <c r="U118" s="18">
        <f t="shared" si="1427"/>
        <v>0</v>
      </c>
      <c r="V118" s="18">
        <f t="shared" si="1427"/>
        <v>0</v>
      </c>
      <c r="W118" s="18">
        <f t="shared" si="1427"/>
        <v>0</v>
      </c>
      <c r="X118" s="18">
        <f t="shared" si="1427"/>
        <v>0</v>
      </c>
      <c r="Y118" s="18">
        <f t="shared" si="1427"/>
        <v>0</v>
      </c>
      <c r="Z118" s="18">
        <f t="shared" ref="Z118:AC118" si="1428">Z117</f>
        <v>0</v>
      </c>
      <c r="AA118" s="18">
        <f t="shared" si="1428"/>
        <v>0</v>
      </c>
      <c r="AB118" s="18">
        <f t="shared" si="1428"/>
        <v>0</v>
      </c>
      <c r="AC118" s="180">
        <f t="shared" si="1428"/>
        <v>0</v>
      </c>
      <c r="AD118" s="228">
        <f t="shared" si="1328"/>
        <v>0</v>
      </c>
      <c r="AE118" s="18">
        <f t="shared" ref="AE118:AL118" si="1429">AE117</f>
        <v>0</v>
      </c>
      <c r="AF118" s="18">
        <f t="shared" si="1429"/>
        <v>0</v>
      </c>
      <c r="AG118" s="18">
        <f t="shared" si="1429"/>
        <v>0</v>
      </c>
      <c r="AH118" s="18">
        <f t="shared" si="1429"/>
        <v>0</v>
      </c>
      <c r="AI118" s="18">
        <f t="shared" si="1429"/>
        <v>0</v>
      </c>
      <c r="AJ118" s="18">
        <f t="shared" si="1429"/>
        <v>0</v>
      </c>
      <c r="AK118" s="18">
        <f t="shared" si="1429"/>
        <v>0</v>
      </c>
      <c r="AL118" s="18">
        <f t="shared" si="1429"/>
        <v>0</v>
      </c>
      <c r="AM118" s="18">
        <f t="shared" ref="AM118" si="1430">AM117</f>
        <v>0</v>
      </c>
      <c r="AN118" s="18">
        <f t="shared" ref="AN118" si="1431">AN117</f>
        <v>0</v>
      </c>
      <c r="AO118" s="18">
        <f t="shared" ref="AO118" si="1432">AO117</f>
        <v>0</v>
      </c>
      <c r="AP118" s="18">
        <f t="shared" ref="AP118" si="1433">AP117</f>
        <v>0</v>
      </c>
      <c r="AQ118" s="172">
        <f t="shared" si="1095"/>
        <v>0</v>
      </c>
      <c r="AR118" s="18"/>
      <c r="AS118" s="18">
        <f t="shared" ref="AS118:AZ118" si="1434">AS117</f>
        <v>0</v>
      </c>
      <c r="AT118" s="18">
        <f t="shared" si="1434"/>
        <v>0</v>
      </c>
      <c r="AU118" s="18">
        <f t="shared" si="1434"/>
        <v>0</v>
      </c>
      <c r="AV118" s="18">
        <f t="shared" si="1434"/>
        <v>0</v>
      </c>
      <c r="AW118" s="18">
        <f t="shared" si="1434"/>
        <v>0</v>
      </c>
      <c r="AX118" s="18">
        <f t="shared" si="1434"/>
        <v>0</v>
      </c>
      <c r="AY118" s="18">
        <f t="shared" si="1434"/>
        <v>0</v>
      </c>
      <c r="AZ118" s="18">
        <f t="shared" si="1434"/>
        <v>0</v>
      </c>
      <c r="BA118" s="18">
        <f t="shared" ref="BA118" si="1435">BA117</f>
        <v>0</v>
      </c>
      <c r="BB118" s="18">
        <f t="shared" ref="BB118" si="1436">BB117</f>
        <v>0</v>
      </c>
      <c r="BC118" s="18">
        <f t="shared" ref="BC118" si="1437">BC117</f>
        <v>0</v>
      </c>
      <c r="BD118" s="180">
        <f t="shared" ref="BD118" si="1438">BD117</f>
        <v>0</v>
      </c>
      <c r="BE118" s="195">
        <f t="shared" si="1096"/>
        <v>0</v>
      </c>
      <c r="BF118" s="18"/>
      <c r="BG118" s="18">
        <f t="shared" ref="BG118:BN118" si="1439">BG117</f>
        <v>0</v>
      </c>
      <c r="BH118" s="18">
        <f t="shared" si="1439"/>
        <v>0</v>
      </c>
      <c r="BI118" s="18">
        <f t="shared" si="1439"/>
        <v>0</v>
      </c>
      <c r="BJ118" s="18">
        <f t="shared" si="1439"/>
        <v>0</v>
      </c>
      <c r="BK118" s="18">
        <f t="shared" si="1439"/>
        <v>0</v>
      </c>
      <c r="BL118" s="18">
        <f t="shared" si="1439"/>
        <v>0</v>
      </c>
      <c r="BM118" s="18">
        <f t="shared" si="1439"/>
        <v>0</v>
      </c>
      <c r="BN118" s="18">
        <f t="shared" si="1439"/>
        <v>0</v>
      </c>
      <c r="BO118" s="18">
        <f t="shared" ref="BO118" si="1440">BO117</f>
        <v>0</v>
      </c>
      <c r="BP118" s="18">
        <f t="shared" ref="BP118" si="1441">BP117</f>
        <v>0</v>
      </c>
      <c r="BQ118" s="18">
        <f t="shared" ref="BQ118" si="1442">BQ117</f>
        <v>0</v>
      </c>
      <c r="BR118" s="18">
        <f t="shared" ref="BR118" si="1443">BR117</f>
        <v>0</v>
      </c>
    </row>
    <row r="119" spans="1:70" ht="12.75" customHeight="1" outlineLevel="3" x14ac:dyDescent="0.2">
      <c r="B119" s="38" t="str">
        <f t="shared" si="1405"/>
        <v>Резерв годового бонуса</v>
      </c>
      <c r="C119" s="49" t="str">
        <f t="shared" si="1405"/>
        <v>Bonus discretionary Accrual</v>
      </c>
      <c r="D119" s="168">
        <f t="shared" si="1326"/>
        <v>0</v>
      </c>
      <c r="E119" s="40">
        <v>0</v>
      </c>
      <c r="F119" s="40">
        <v>0</v>
      </c>
      <c r="G119" s="40">
        <v>0</v>
      </c>
      <c r="H119" s="40">
        <v>0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  <c r="P119" s="176">
        <v>0</v>
      </c>
      <c r="Q119" s="191">
        <f t="shared" si="1327"/>
        <v>0</v>
      </c>
      <c r="R119" s="40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176">
        <v>0</v>
      </c>
      <c r="AD119" s="225">
        <f t="shared" si="1328"/>
        <v>0</v>
      </c>
      <c r="AE119" s="40">
        <v>0</v>
      </c>
      <c r="AF119" s="40">
        <v>0</v>
      </c>
      <c r="AG119" s="40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168">
        <f t="shared" si="1095"/>
        <v>0</v>
      </c>
      <c r="AR119" s="40"/>
      <c r="AS119" s="40">
        <v>0</v>
      </c>
      <c r="AT119" s="40">
        <v>0</v>
      </c>
      <c r="AU119" s="40">
        <v>0</v>
      </c>
      <c r="AV119" s="40">
        <v>0</v>
      </c>
      <c r="AW119" s="40">
        <v>0</v>
      </c>
      <c r="AX119" s="40">
        <v>0</v>
      </c>
      <c r="AY119" s="40">
        <v>0</v>
      </c>
      <c r="AZ119" s="40">
        <v>0</v>
      </c>
      <c r="BA119" s="40">
        <v>0</v>
      </c>
      <c r="BB119" s="40">
        <v>0</v>
      </c>
      <c r="BC119" s="40">
        <v>0</v>
      </c>
      <c r="BD119" s="176">
        <v>0</v>
      </c>
      <c r="BE119" s="191">
        <f t="shared" si="1096"/>
        <v>0</v>
      </c>
      <c r="BF119" s="40"/>
      <c r="BG119" s="40">
        <v>0</v>
      </c>
      <c r="BH119" s="40">
        <v>0</v>
      </c>
      <c r="BI119" s="40">
        <v>0</v>
      </c>
      <c r="BJ119" s="40">
        <v>0</v>
      </c>
      <c r="BK119" s="40">
        <v>0</v>
      </c>
      <c r="BL119" s="40">
        <v>0</v>
      </c>
      <c r="BM119" s="40">
        <v>0</v>
      </c>
      <c r="BN119" s="40">
        <v>0</v>
      </c>
      <c r="BO119" s="40">
        <v>0</v>
      </c>
      <c r="BP119" s="40">
        <v>0</v>
      </c>
      <c r="BQ119" s="40">
        <v>0</v>
      </c>
      <c r="BR119" s="40">
        <v>0</v>
      </c>
    </row>
    <row r="120" spans="1:70" ht="12.75" customHeight="1" outlineLevel="3" x14ac:dyDescent="0.2">
      <c r="B120" s="38" t="str">
        <f t="shared" si="1405"/>
        <v>Страховые взносы, резерв годового бонуса</v>
      </c>
      <c r="C120" s="49" t="str">
        <f t="shared" si="1405"/>
        <v>Social Security on discretionary Bonus Accrual</v>
      </c>
      <c r="D120" s="168">
        <f t="shared" si="1326"/>
        <v>0</v>
      </c>
      <c r="E120" s="40">
        <v>0</v>
      </c>
      <c r="F120" s="40">
        <v>0</v>
      </c>
      <c r="G120" s="40">
        <v>0</v>
      </c>
      <c r="H120" s="40">
        <v>0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176">
        <v>0</v>
      </c>
      <c r="Q120" s="191">
        <f t="shared" si="1327"/>
        <v>0</v>
      </c>
      <c r="R120" s="40">
        <v>0</v>
      </c>
      <c r="S120" s="40">
        <v>0</v>
      </c>
      <c r="T120" s="40">
        <v>0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176">
        <v>0</v>
      </c>
      <c r="AD120" s="225">
        <f t="shared" si="1328"/>
        <v>0</v>
      </c>
      <c r="AE120" s="40">
        <v>0</v>
      </c>
      <c r="AF120" s="40">
        <v>0</v>
      </c>
      <c r="AG120" s="40">
        <v>0</v>
      </c>
      <c r="AH120" s="40">
        <v>0</v>
      </c>
      <c r="AI120" s="40">
        <v>0</v>
      </c>
      <c r="AJ120" s="40">
        <v>0</v>
      </c>
      <c r="AK120" s="40">
        <v>0</v>
      </c>
      <c r="AL120" s="40">
        <v>0</v>
      </c>
      <c r="AM120" s="40">
        <v>0</v>
      </c>
      <c r="AN120" s="40">
        <v>0</v>
      </c>
      <c r="AO120" s="40">
        <v>0</v>
      </c>
      <c r="AP120" s="40">
        <v>0</v>
      </c>
      <c r="AQ120" s="168">
        <f t="shared" si="1095"/>
        <v>0</v>
      </c>
      <c r="AR120" s="40"/>
      <c r="AS120" s="40">
        <v>0</v>
      </c>
      <c r="AT120" s="40">
        <v>0</v>
      </c>
      <c r="AU120" s="40">
        <v>0</v>
      </c>
      <c r="AV120" s="40">
        <v>0</v>
      </c>
      <c r="AW120" s="40">
        <v>0</v>
      </c>
      <c r="AX120" s="40">
        <v>0</v>
      </c>
      <c r="AY120" s="40">
        <v>0</v>
      </c>
      <c r="AZ120" s="40">
        <v>0</v>
      </c>
      <c r="BA120" s="40">
        <v>0</v>
      </c>
      <c r="BB120" s="40">
        <v>0</v>
      </c>
      <c r="BC120" s="40">
        <v>0</v>
      </c>
      <c r="BD120" s="176">
        <v>0</v>
      </c>
      <c r="BE120" s="191">
        <f t="shared" si="1096"/>
        <v>0</v>
      </c>
      <c r="BF120" s="40"/>
      <c r="BG120" s="40">
        <v>0</v>
      </c>
      <c r="BH120" s="40">
        <v>0</v>
      </c>
      <c r="BI120" s="40">
        <v>0</v>
      </c>
      <c r="BJ120" s="40">
        <v>0</v>
      </c>
      <c r="BK120" s="40">
        <v>0</v>
      </c>
      <c r="BL120" s="40">
        <v>0</v>
      </c>
      <c r="BM120" s="40">
        <v>0</v>
      </c>
      <c r="BN120" s="40">
        <v>0</v>
      </c>
      <c r="BO120" s="40">
        <v>0</v>
      </c>
      <c r="BP120" s="40">
        <v>0</v>
      </c>
      <c r="BQ120" s="40">
        <v>0</v>
      </c>
      <c r="BR120" s="40">
        <v>0</v>
      </c>
    </row>
    <row r="121" spans="1:70" s="6" customFormat="1" outlineLevel="2" x14ac:dyDescent="0.2">
      <c r="A121" s="30"/>
      <c r="B121" s="29" t="str">
        <f t="shared" si="1405"/>
        <v>Итого резерв годового бонуса</v>
      </c>
      <c r="C121" s="52" t="str">
        <f t="shared" si="1405"/>
        <v>Total Bonus discretionary Accrual</v>
      </c>
      <c r="D121" s="169">
        <f t="shared" si="1326"/>
        <v>0</v>
      </c>
      <c r="E121" s="26">
        <f t="shared" ref="E121:L121" si="1444">SUM(E119:E120)</f>
        <v>0</v>
      </c>
      <c r="F121" s="26">
        <f t="shared" si="1444"/>
        <v>0</v>
      </c>
      <c r="G121" s="26">
        <f t="shared" si="1444"/>
        <v>0</v>
      </c>
      <c r="H121" s="26">
        <f t="shared" si="1444"/>
        <v>0</v>
      </c>
      <c r="I121" s="26">
        <f t="shared" si="1444"/>
        <v>0</v>
      </c>
      <c r="J121" s="26">
        <f t="shared" si="1444"/>
        <v>0</v>
      </c>
      <c r="K121" s="26">
        <f t="shared" si="1444"/>
        <v>0</v>
      </c>
      <c r="L121" s="26">
        <f t="shared" si="1444"/>
        <v>0</v>
      </c>
      <c r="M121" s="26">
        <f t="shared" ref="M121:P121" si="1445">SUM(M119:M120)</f>
        <v>0</v>
      </c>
      <c r="N121" s="26">
        <f t="shared" si="1445"/>
        <v>0</v>
      </c>
      <c r="O121" s="26">
        <f t="shared" si="1445"/>
        <v>0</v>
      </c>
      <c r="P121" s="177">
        <f t="shared" si="1445"/>
        <v>0</v>
      </c>
      <c r="Q121" s="192">
        <f t="shared" si="1327"/>
        <v>0</v>
      </c>
      <c r="R121" s="26">
        <f t="shared" ref="R121:Y121" si="1446">SUM(R119:R120)</f>
        <v>0</v>
      </c>
      <c r="S121" s="26">
        <f t="shared" si="1446"/>
        <v>0</v>
      </c>
      <c r="T121" s="26">
        <f t="shared" si="1446"/>
        <v>0</v>
      </c>
      <c r="U121" s="26">
        <f t="shared" si="1446"/>
        <v>0</v>
      </c>
      <c r="V121" s="26">
        <f t="shared" si="1446"/>
        <v>0</v>
      </c>
      <c r="W121" s="26">
        <f t="shared" si="1446"/>
        <v>0</v>
      </c>
      <c r="X121" s="26">
        <f t="shared" si="1446"/>
        <v>0</v>
      </c>
      <c r="Y121" s="26">
        <f t="shared" si="1446"/>
        <v>0</v>
      </c>
      <c r="Z121" s="26">
        <f t="shared" ref="Z121:AC121" si="1447">SUM(Z119:Z120)</f>
        <v>0</v>
      </c>
      <c r="AA121" s="26">
        <f t="shared" si="1447"/>
        <v>0</v>
      </c>
      <c r="AB121" s="26">
        <f t="shared" si="1447"/>
        <v>0</v>
      </c>
      <c r="AC121" s="177">
        <f t="shared" si="1447"/>
        <v>0</v>
      </c>
      <c r="AD121" s="226">
        <f t="shared" si="1328"/>
        <v>0</v>
      </c>
      <c r="AE121" s="26">
        <f t="shared" ref="AE121:AL121" si="1448">SUM(AE119:AE120)</f>
        <v>0</v>
      </c>
      <c r="AF121" s="26">
        <f t="shared" si="1448"/>
        <v>0</v>
      </c>
      <c r="AG121" s="26">
        <f t="shared" si="1448"/>
        <v>0</v>
      </c>
      <c r="AH121" s="26">
        <f t="shared" si="1448"/>
        <v>0</v>
      </c>
      <c r="AI121" s="26">
        <f t="shared" si="1448"/>
        <v>0</v>
      </c>
      <c r="AJ121" s="26">
        <f t="shared" si="1448"/>
        <v>0</v>
      </c>
      <c r="AK121" s="26">
        <f t="shared" si="1448"/>
        <v>0</v>
      </c>
      <c r="AL121" s="26">
        <f t="shared" si="1448"/>
        <v>0</v>
      </c>
      <c r="AM121" s="26">
        <f t="shared" ref="AM121" si="1449">SUM(AM119:AM120)</f>
        <v>0</v>
      </c>
      <c r="AN121" s="26">
        <f t="shared" ref="AN121" si="1450">SUM(AN119:AN120)</f>
        <v>0</v>
      </c>
      <c r="AO121" s="26">
        <f t="shared" ref="AO121" si="1451">SUM(AO119:AO120)</f>
        <v>0</v>
      </c>
      <c r="AP121" s="26">
        <f t="shared" ref="AP121" si="1452">SUM(AP119:AP120)</f>
        <v>0</v>
      </c>
      <c r="AQ121" s="169">
        <f t="shared" si="1095"/>
        <v>0</v>
      </c>
      <c r="AR121" s="26"/>
      <c r="AS121" s="26">
        <f t="shared" ref="AS121:AZ121" si="1453">SUM(AS119:AS120)</f>
        <v>0</v>
      </c>
      <c r="AT121" s="26">
        <f t="shared" si="1453"/>
        <v>0</v>
      </c>
      <c r="AU121" s="26">
        <f t="shared" si="1453"/>
        <v>0</v>
      </c>
      <c r="AV121" s="26">
        <f t="shared" si="1453"/>
        <v>0</v>
      </c>
      <c r="AW121" s="26">
        <f t="shared" si="1453"/>
        <v>0</v>
      </c>
      <c r="AX121" s="26">
        <f t="shared" si="1453"/>
        <v>0</v>
      </c>
      <c r="AY121" s="26">
        <f t="shared" si="1453"/>
        <v>0</v>
      </c>
      <c r="AZ121" s="26">
        <f t="shared" si="1453"/>
        <v>0</v>
      </c>
      <c r="BA121" s="26">
        <f t="shared" ref="BA121" si="1454">SUM(BA119:BA120)</f>
        <v>0</v>
      </c>
      <c r="BB121" s="26">
        <f t="shared" ref="BB121" si="1455">SUM(BB119:BB120)</f>
        <v>0</v>
      </c>
      <c r="BC121" s="26">
        <f t="shared" ref="BC121" si="1456">SUM(BC119:BC120)</f>
        <v>0</v>
      </c>
      <c r="BD121" s="177">
        <f t="shared" ref="BD121" si="1457">SUM(BD119:BD120)</f>
        <v>0</v>
      </c>
      <c r="BE121" s="192">
        <f t="shared" si="1096"/>
        <v>0</v>
      </c>
      <c r="BF121" s="26"/>
      <c r="BG121" s="26">
        <f t="shared" ref="BG121:BN121" si="1458">SUM(BG119:BG120)</f>
        <v>0</v>
      </c>
      <c r="BH121" s="26">
        <f t="shared" si="1458"/>
        <v>0</v>
      </c>
      <c r="BI121" s="26">
        <f t="shared" si="1458"/>
        <v>0</v>
      </c>
      <c r="BJ121" s="26">
        <f t="shared" si="1458"/>
        <v>0</v>
      </c>
      <c r="BK121" s="26">
        <f t="shared" si="1458"/>
        <v>0</v>
      </c>
      <c r="BL121" s="26">
        <f t="shared" si="1458"/>
        <v>0</v>
      </c>
      <c r="BM121" s="26">
        <f t="shared" si="1458"/>
        <v>0</v>
      </c>
      <c r="BN121" s="26">
        <f t="shared" si="1458"/>
        <v>0</v>
      </c>
      <c r="BO121" s="26">
        <f t="shared" ref="BO121" si="1459">SUM(BO119:BO120)</f>
        <v>0</v>
      </c>
      <c r="BP121" s="26">
        <f t="shared" ref="BP121" si="1460">SUM(BP119:BP120)</f>
        <v>0</v>
      </c>
      <c r="BQ121" s="26">
        <f t="shared" ref="BQ121" si="1461">SUM(BQ119:BQ120)</f>
        <v>0</v>
      </c>
      <c r="BR121" s="26">
        <f t="shared" ref="BR121" si="1462">SUM(BR119:BR120)</f>
        <v>0</v>
      </c>
    </row>
    <row r="122" spans="1:70" ht="12.75" customHeight="1" outlineLevel="3" x14ac:dyDescent="0.2">
      <c r="B122" s="38" t="str">
        <f t="shared" si="1405"/>
        <v>Сторно резерва годового бонуса бонуса</v>
      </c>
      <c r="C122" s="49" t="str">
        <f t="shared" si="1405"/>
        <v>Reverse Bonus discretionary Accrual</v>
      </c>
      <c r="D122" s="168">
        <f t="shared" si="1326"/>
        <v>0</v>
      </c>
      <c r="E122" s="40">
        <v>0</v>
      </c>
      <c r="F122" s="40">
        <v>0</v>
      </c>
      <c r="G122" s="40">
        <v>0</v>
      </c>
      <c r="H122" s="40">
        <v>0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176">
        <v>0</v>
      </c>
      <c r="Q122" s="191">
        <f t="shared" si="1327"/>
        <v>0</v>
      </c>
      <c r="R122" s="40">
        <v>0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176">
        <v>0</v>
      </c>
      <c r="AD122" s="225">
        <f t="shared" si="1328"/>
        <v>0</v>
      </c>
      <c r="AE122" s="40">
        <v>0</v>
      </c>
      <c r="AF122" s="40">
        <v>0</v>
      </c>
      <c r="AG122" s="40">
        <v>0</v>
      </c>
      <c r="AH122" s="40">
        <v>0</v>
      </c>
      <c r="AI122" s="40">
        <v>0</v>
      </c>
      <c r="AJ122" s="40">
        <v>0</v>
      </c>
      <c r="AK122" s="40">
        <v>0</v>
      </c>
      <c r="AL122" s="40">
        <v>0</v>
      </c>
      <c r="AM122" s="40">
        <v>0</v>
      </c>
      <c r="AN122" s="40">
        <v>0</v>
      </c>
      <c r="AO122" s="40">
        <v>0</v>
      </c>
      <c r="AP122" s="40">
        <v>0</v>
      </c>
      <c r="AQ122" s="168">
        <f t="shared" si="1095"/>
        <v>0</v>
      </c>
      <c r="AR122" s="40"/>
      <c r="AS122" s="40">
        <v>0</v>
      </c>
      <c r="AT122" s="40">
        <v>0</v>
      </c>
      <c r="AU122" s="40">
        <v>0</v>
      </c>
      <c r="AV122" s="40">
        <v>0</v>
      </c>
      <c r="AW122" s="40">
        <v>0</v>
      </c>
      <c r="AX122" s="40">
        <v>0</v>
      </c>
      <c r="AY122" s="40">
        <v>0</v>
      </c>
      <c r="AZ122" s="40">
        <v>0</v>
      </c>
      <c r="BA122" s="40">
        <v>0</v>
      </c>
      <c r="BB122" s="40">
        <v>0</v>
      </c>
      <c r="BC122" s="40">
        <v>0</v>
      </c>
      <c r="BD122" s="176">
        <v>0</v>
      </c>
      <c r="BE122" s="191">
        <f t="shared" si="1096"/>
        <v>0</v>
      </c>
      <c r="BF122" s="40"/>
      <c r="BG122" s="40">
        <v>0</v>
      </c>
      <c r="BH122" s="40">
        <v>0</v>
      </c>
      <c r="BI122" s="40">
        <v>0</v>
      </c>
      <c r="BJ122" s="40">
        <v>0</v>
      </c>
      <c r="BK122" s="40">
        <v>0</v>
      </c>
      <c r="BL122" s="40">
        <v>0</v>
      </c>
      <c r="BM122" s="40">
        <v>0</v>
      </c>
      <c r="BN122" s="40">
        <v>0</v>
      </c>
      <c r="BO122" s="40">
        <v>0</v>
      </c>
      <c r="BP122" s="40">
        <v>0</v>
      </c>
      <c r="BQ122" s="40">
        <v>0</v>
      </c>
      <c r="BR122" s="40">
        <v>0</v>
      </c>
    </row>
    <row r="123" spans="1:70" ht="12.75" customHeight="1" outlineLevel="3" x14ac:dyDescent="0.2">
      <c r="B123" s="38" t="str">
        <f t="shared" si="1405"/>
        <v>Страховые взносы, сторно резерва годового бонуса</v>
      </c>
      <c r="C123" s="49" t="str">
        <f t="shared" si="1405"/>
        <v>Social Security on Bonus discretionary Accrual</v>
      </c>
      <c r="D123" s="168">
        <f t="shared" si="1326"/>
        <v>0</v>
      </c>
      <c r="E123" s="40">
        <v>0</v>
      </c>
      <c r="F123" s="40">
        <v>0</v>
      </c>
      <c r="G123" s="40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176">
        <v>0</v>
      </c>
      <c r="Q123" s="191">
        <f t="shared" si="1327"/>
        <v>0</v>
      </c>
      <c r="R123" s="40">
        <v>0</v>
      </c>
      <c r="S123" s="40">
        <v>0</v>
      </c>
      <c r="T123" s="40">
        <v>0</v>
      </c>
      <c r="U123" s="40">
        <v>0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176">
        <v>0</v>
      </c>
      <c r="AD123" s="225">
        <f t="shared" si="1328"/>
        <v>0</v>
      </c>
      <c r="AE123" s="40">
        <v>0</v>
      </c>
      <c r="AF123" s="40">
        <v>0</v>
      </c>
      <c r="AG123" s="40">
        <v>0</v>
      </c>
      <c r="AH123" s="40">
        <v>0</v>
      </c>
      <c r="AI123" s="40">
        <v>0</v>
      </c>
      <c r="AJ123" s="40">
        <v>0</v>
      </c>
      <c r="AK123" s="40">
        <v>0</v>
      </c>
      <c r="AL123" s="40">
        <v>0</v>
      </c>
      <c r="AM123" s="40">
        <v>0</v>
      </c>
      <c r="AN123" s="40">
        <v>0</v>
      </c>
      <c r="AO123" s="40">
        <v>0</v>
      </c>
      <c r="AP123" s="40">
        <v>0</v>
      </c>
      <c r="AQ123" s="168">
        <f t="shared" si="1095"/>
        <v>0</v>
      </c>
      <c r="AR123" s="40"/>
      <c r="AS123" s="40">
        <v>0</v>
      </c>
      <c r="AT123" s="40">
        <v>0</v>
      </c>
      <c r="AU123" s="40">
        <v>0</v>
      </c>
      <c r="AV123" s="40">
        <v>0</v>
      </c>
      <c r="AW123" s="40">
        <v>0</v>
      </c>
      <c r="AX123" s="40">
        <v>0</v>
      </c>
      <c r="AY123" s="40">
        <v>0</v>
      </c>
      <c r="AZ123" s="40">
        <v>0</v>
      </c>
      <c r="BA123" s="40">
        <v>0</v>
      </c>
      <c r="BB123" s="40">
        <v>0</v>
      </c>
      <c r="BC123" s="40">
        <v>0</v>
      </c>
      <c r="BD123" s="176">
        <v>0</v>
      </c>
      <c r="BE123" s="191">
        <f t="shared" si="1096"/>
        <v>0</v>
      </c>
      <c r="BF123" s="40"/>
      <c r="BG123" s="40">
        <v>0</v>
      </c>
      <c r="BH123" s="40">
        <v>0</v>
      </c>
      <c r="BI123" s="40">
        <v>0</v>
      </c>
      <c r="BJ123" s="40">
        <v>0</v>
      </c>
      <c r="BK123" s="40">
        <v>0</v>
      </c>
      <c r="BL123" s="40">
        <v>0</v>
      </c>
      <c r="BM123" s="40">
        <v>0</v>
      </c>
      <c r="BN123" s="40">
        <v>0</v>
      </c>
      <c r="BO123" s="40">
        <v>0</v>
      </c>
      <c r="BP123" s="40">
        <v>0</v>
      </c>
      <c r="BQ123" s="40">
        <v>0</v>
      </c>
      <c r="BR123" s="40">
        <v>0</v>
      </c>
    </row>
    <row r="124" spans="1:70" s="6" customFormat="1" outlineLevel="2" x14ac:dyDescent="0.2">
      <c r="A124" s="30"/>
      <c r="B124" s="29" t="str">
        <f t="shared" si="1405"/>
        <v>Итого сторно резерва годового бонуса</v>
      </c>
      <c r="C124" s="52" t="str">
        <f t="shared" si="1405"/>
        <v>Total  Reverse Bonus discretionary Accrual</v>
      </c>
      <c r="D124" s="169">
        <f t="shared" si="1326"/>
        <v>0</v>
      </c>
      <c r="E124" s="26">
        <f t="shared" ref="E124:L124" si="1463">SUM(E122:E123)</f>
        <v>0</v>
      </c>
      <c r="F124" s="26">
        <f t="shared" si="1463"/>
        <v>0</v>
      </c>
      <c r="G124" s="26">
        <f t="shared" si="1463"/>
        <v>0</v>
      </c>
      <c r="H124" s="26">
        <f t="shared" si="1463"/>
        <v>0</v>
      </c>
      <c r="I124" s="26">
        <f t="shared" si="1463"/>
        <v>0</v>
      </c>
      <c r="J124" s="26">
        <f t="shared" si="1463"/>
        <v>0</v>
      </c>
      <c r="K124" s="26">
        <f t="shared" si="1463"/>
        <v>0</v>
      </c>
      <c r="L124" s="26">
        <f t="shared" si="1463"/>
        <v>0</v>
      </c>
      <c r="M124" s="26">
        <f t="shared" ref="M124:P124" si="1464">SUM(M122:M123)</f>
        <v>0</v>
      </c>
      <c r="N124" s="26">
        <f t="shared" si="1464"/>
        <v>0</v>
      </c>
      <c r="O124" s="26">
        <f t="shared" si="1464"/>
        <v>0</v>
      </c>
      <c r="P124" s="177">
        <f t="shared" si="1464"/>
        <v>0</v>
      </c>
      <c r="Q124" s="192">
        <f t="shared" si="1327"/>
        <v>0</v>
      </c>
      <c r="R124" s="26">
        <f t="shared" ref="R124:Y124" si="1465">SUM(R122:R123)</f>
        <v>0</v>
      </c>
      <c r="S124" s="26">
        <f t="shared" si="1465"/>
        <v>0</v>
      </c>
      <c r="T124" s="26">
        <f t="shared" si="1465"/>
        <v>0</v>
      </c>
      <c r="U124" s="26">
        <f t="shared" si="1465"/>
        <v>0</v>
      </c>
      <c r="V124" s="26">
        <f t="shared" si="1465"/>
        <v>0</v>
      </c>
      <c r="W124" s="26">
        <f t="shared" si="1465"/>
        <v>0</v>
      </c>
      <c r="X124" s="26">
        <f t="shared" si="1465"/>
        <v>0</v>
      </c>
      <c r="Y124" s="26">
        <f t="shared" si="1465"/>
        <v>0</v>
      </c>
      <c r="Z124" s="26">
        <f t="shared" ref="Z124:AC124" si="1466">SUM(Z122:Z123)</f>
        <v>0</v>
      </c>
      <c r="AA124" s="26">
        <f t="shared" si="1466"/>
        <v>0</v>
      </c>
      <c r="AB124" s="26">
        <f t="shared" si="1466"/>
        <v>0</v>
      </c>
      <c r="AC124" s="177">
        <f t="shared" si="1466"/>
        <v>0</v>
      </c>
      <c r="AD124" s="226">
        <f t="shared" si="1328"/>
        <v>0</v>
      </c>
      <c r="AE124" s="26">
        <f t="shared" ref="AE124:AL124" si="1467">SUM(AE122:AE123)</f>
        <v>0</v>
      </c>
      <c r="AF124" s="26">
        <f t="shared" si="1467"/>
        <v>0</v>
      </c>
      <c r="AG124" s="26">
        <f t="shared" si="1467"/>
        <v>0</v>
      </c>
      <c r="AH124" s="26">
        <f t="shared" si="1467"/>
        <v>0</v>
      </c>
      <c r="AI124" s="26">
        <f t="shared" si="1467"/>
        <v>0</v>
      </c>
      <c r="AJ124" s="26">
        <f t="shared" si="1467"/>
        <v>0</v>
      </c>
      <c r="AK124" s="26">
        <f t="shared" si="1467"/>
        <v>0</v>
      </c>
      <c r="AL124" s="26">
        <f t="shared" si="1467"/>
        <v>0</v>
      </c>
      <c r="AM124" s="26">
        <f t="shared" ref="AM124" si="1468">SUM(AM122:AM123)</f>
        <v>0</v>
      </c>
      <c r="AN124" s="26">
        <f t="shared" ref="AN124" si="1469">SUM(AN122:AN123)</f>
        <v>0</v>
      </c>
      <c r="AO124" s="26">
        <f t="shared" ref="AO124" si="1470">SUM(AO122:AO123)</f>
        <v>0</v>
      </c>
      <c r="AP124" s="26">
        <f t="shared" ref="AP124" si="1471">SUM(AP122:AP123)</f>
        <v>0</v>
      </c>
      <c r="AQ124" s="169">
        <f t="shared" si="1095"/>
        <v>0</v>
      </c>
      <c r="AR124" s="26"/>
      <c r="AS124" s="26">
        <f t="shared" ref="AS124:AZ124" si="1472">SUM(AS122:AS123)</f>
        <v>0</v>
      </c>
      <c r="AT124" s="26">
        <f t="shared" si="1472"/>
        <v>0</v>
      </c>
      <c r="AU124" s="26">
        <f t="shared" si="1472"/>
        <v>0</v>
      </c>
      <c r="AV124" s="26">
        <f t="shared" si="1472"/>
        <v>0</v>
      </c>
      <c r="AW124" s="26">
        <f t="shared" si="1472"/>
        <v>0</v>
      </c>
      <c r="AX124" s="26">
        <f t="shared" si="1472"/>
        <v>0</v>
      </c>
      <c r="AY124" s="26">
        <f t="shared" si="1472"/>
        <v>0</v>
      </c>
      <c r="AZ124" s="26">
        <f t="shared" si="1472"/>
        <v>0</v>
      </c>
      <c r="BA124" s="26">
        <f t="shared" ref="BA124" si="1473">SUM(BA122:BA123)</f>
        <v>0</v>
      </c>
      <c r="BB124" s="26">
        <f t="shared" ref="BB124" si="1474">SUM(BB122:BB123)</f>
        <v>0</v>
      </c>
      <c r="BC124" s="26">
        <f t="shared" ref="BC124" si="1475">SUM(BC122:BC123)</f>
        <v>0</v>
      </c>
      <c r="BD124" s="177">
        <f t="shared" ref="BD124" si="1476">SUM(BD122:BD123)</f>
        <v>0</v>
      </c>
      <c r="BE124" s="192">
        <f t="shared" si="1096"/>
        <v>0</v>
      </c>
      <c r="BF124" s="26"/>
      <c r="BG124" s="26">
        <f t="shared" ref="BG124:BN124" si="1477">SUM(BG122:BG123)</f>
        <v>0</v>
      </c>
      <c r="BH124" s="26">
        <f t="shared" si="1477"/>
        <v>0</v>
      </c>
      <c r="BI124" s="26">
        <f t="shared" si="1477"/>
        <v>0</v>
      </c>
      <c r="BJ124" s="26">
        <f t="shared" si="1477"/>
        <v>0</v>
      </c>
      <c r="BK124" s="26">
        <f t="shared" si="1477"/>
        <v>0</v>
      </c>
      <c r="BL124" s="26">
        <f t="shared" si="1477"/>
        <v>0</v>
      </c>
      <c r="BM124" s="26">
        <f t="shared" si="1477"/>
        <v>0</v>
      </c>
      <c r="BN124" s="26">
        <f t="shared" si="1477"/>
        <v>0</v>
      </c>
      <c r="BO124" s="26">
        <f t="shared" ref="BO124" si="1478">SUM(BO122:BO123)</f>
        <v>0</v>
      </c>
      <c r="BP124" s="26">
        <f t="shared" ref="BP124" si="1479">SUM(BP122:BP123)</f>
        <v>0</v>
      </c>
      <c r="BQ124" s="26">
        <f t="shared" ref="BQ124" si="1480">SUM(BQ122:BQ123)</f>
        <v>0</v>
      </c>
      <c r="BR124" s="26">
        <f t="shared" ref="BR124" si="1481">SUM(BR122:BR123)</f>
        <v>0</v>
      </c>
    </row>
    <row r="125" spans="1:70" ht="12.75" customHeight="1" outlineLevel="3" x14ac:dyDescent="0.2">
      <c r="B125" s="38" t="str">
        <f t="shared" si="1405"/>
        <v>Годовой бонус</v>
      </c>
      <c r="C125" s="49" t="str">
        <f t="shared" si="1405"/>
        <v>Bonus discretionary cash</v>
      </c>
      <c r="D125" s="168">
        <f t="shared" si="1326"/>
        <v>2631062065.8431091</v>
      </c>
      <c r="E125" s="40">
        <v>-603093921</v>
      </c>
      <c r="F125" s="40">
        <f t="shared" ref="F125:L125" si="1482">3528170167.46521*1/12</f>
        <v>294014180.62210083</v>
      </c>
      <c r="G125" s="40">
        <f t="shared" si="1482"/>
        <v>294014180.62210083</v>
      </c>
      <c r="H125" s="40">
        <f t="shared" si="1482"/>
        <v>294014180.62210083</v>
      </c>
      <c r="I125" s="40">
        <f t="shared" si="1482"/>
        <v>294014180.62210083</v>
      </c>
      <c r="J125" s="40">
        <f t="shared" si="1482"/>
        <v>294014180.62210083</v>
      </c>
      <c r="K125" s="40">
        <f t="shared" si="1482"/>
        <v>294014180.62210083</v>
      </c>
      <c r="L125" s="40">
        <f t="shared" si="1482"/>
        <v>294014180.62210083</v>
      </c>
      <c r="M125" s="40">
        <f t="shared" ref="M125:P125" si="1483">3528170167.46521*1/12</f>
        <v>294014180.62210083</v>
      </c>
      <c r="N125" s="40">
        <f t="shared" si="1483"/>
        <v>294014180.62210083</v>
      </c>
      <c r="O125" s="40">
        <f t="shared" si="1483"/>
        <v>294014180.62210083</v>
      </c>
      <c r="P125" s="176">
        <f t="shared" si="1483"/>
        <v>294014180.62210083</v>
      </c>
      <c r="Q125" s="191">
        <f t="shared" si="1327"/>
        <v>2631062065.8431091</v>
      </c>
      <c r="R125" s="40">
        <v>-603093921</v>
      </c>
      <c r="S125" s="40">
        <f t="shared" ref="S125:Y125" si="1484">3528170167.46521*1/12</f>
        <v>294014180.62210083</v>
      </c>
      <c r="T125" s="40">
        <f t="shared" si="1484"/>
        <v>294014180.62210083</v>
      </c>
      <c r="U125" s="40">
        <f t="shared" si="1484"/>
        <v>294014180.62210083</v>
      </c>
      <c r="V125" s="40">
        <f t="shared" si="1484"/>
        <v>294014180.62210083</v>
      </c>
      <c r="W125" s="40">
        <f t="shared" si="1484"/>
        <v>294014180.62210083</v>
      </c>
      <c r="X125" s="40">
        <f t="shared" si="1484"/>
        <v>294014180.62210083</v>
      </c>
      <c r="Y125" s="40">
        <f t="shared" si="1484"/>
        <v>294014180.62210083</v>
      </c>
      <c r="Z125" s="40">
        <f t="shared" ref="Z125:AC125" si="1485">3528170167.46521*1/12</f>
        <v>294014180.62210083</v>
      </c>
      <c r="AA125" s="40">
        <f t="shared" si="1485"/>
        <v>294014180.62210083</v>
      </c>
      <c r="AB125" s="40">
        <f t="shared" si="1485"/>
        <v>294014180.62210083</v>
      </c>
      <c r="AC125" s="176">
        <f t="shared" si="1485"/>
        <v>294014180.62210083</v>
      </c>
      <c r="AD125" s="225">
        <f t="shared" si="1328"/>
        <v>2631062065.8431091</v>
      </c>
      <c r="AE125" s="40">
        <v>-603093921</v>
      </c>
      <c r="AF125" s="40">
        <f t="shared" ref="AF125:AL125" si="1486">3528170167.46521*1/12</f>
        <v>294014180.62210083</v>
      </c>
      <c r="AG125" s="40">
        <f t="shared" si="1486"/>
        <v>294014180.62210083</v>
      </c>
      <c r="AH125" s="40">
        <f t="shared" si="1486"/>
        <v>294014180.62210083</v>
      </c>
      <c r="AI125" s="40">
        <f t="shared" si="1486"/>
        <v>294014180.62210083</v>
      </c>
      <c r="AJ125" s="40">
        <f t="shared" si="1486"/>
        <v>294014180.62210083</v>
      </c>
      <c r="AK125" s="40">
        <f t="shared" si="1486"/>
        <v>294014180.62210083</v>
      </c>
      <c r="AL125" s="40">
        <f t="shared" si="1486"/>
        <v>294014180.62210083</v>
      </c>
      <c r="AM125" s="40">
        <f t="shared" ref="AM125:AP125" si="1487">3528170167.46521*1/12</f>
        <v>294014180.62210083</v>
      </c>
      <c r="AN125" s="40">
        <f t="shared" si="1487"/>
        <v>294014180.62210083</v>
      </c>
      <c r="AO125" s="40">
        <f t="shared" si="1487"/>
        <v>294014180.62210083</v>
      </c>
      <c r="AP125" s="40">
        <f t="shared" si="1487"/>
        <v>294014180.62210083</v>
      </c>
      <c r="AQ125" s="168">
        <f t="shared" si="1095"/>
        <v>0</v>
      </c>
      <c r="AR125" s="40"/>
      <c r="AS125" s="40">
        <v>-603093921</v>
      </c>
      <c r="AT125" s="40">
        <f t="shared" ref="AT125:AZ125" si="1488">3528170167.46521*1/12</f>
        <v>294014180.62210083</v>
      </c>
      <c r="AU125" s="40">
        <f t="shared" si="1488"/>
        <v>294014180.62210083</v>
      </c>
      <c r="AV125" s="40">
        <f t="shared" si="1488"/>
        <v>294014180.62210083</v>
      </c>
      <c r="AW125" s="40">
        <f t="shared" si="1488"/>
        <v>294014180.62210083</v>
      </c>
      <c r="AX125" s="40">
        <f t="shared" si="1488"/>
        <v>294014180.62210083</v>
      </c>
      <c r="AY125" s="40">
        <f t="shared" si="1488"/>
        <v>294014180.62210083</v>
      </c>
      <c r="AZ125" s="40">
        <f t="shared" si="1488"/>
        <v>294014180.62210083</v>
      </c>
      <c r="BA125" s="40">
        <f t="shared" ref="BA125:BD125" si="1489">3528170167.46521*1/12</f>
        <v>294014180.62210083</v>
      </c>
      <c r="BB125" s="40">
        <f t="shared" si="1489"/>
        <v>294014180.62210083</v>
      </c>
      <c r="BC125" s="40">
        <f t="shared" si="1489"/>
        <v>294014180.62210083</v>
      </c>
      <c r="BD125" s="176">
        <f t="shared" si="1489"/>
        <v>294014180.62210083</v>
      </c>
      <c r="BE125" s="191">
        <f t="shared" si="1096"/>
        <v>0</v>
      </c>
      <c r="BF125" s="40"/>
      <c r="BG125" s="40">
        <v>-603093921</v>
      </c>
      <c r="BH125" s="40">
        <f t="shared" ref="BH125:BN125" si="1490">3528170167.46521*1/12</f>
        <v>294014180.62210083</v>
      </c>
      <c r="BI125" s="40">
        <f t="shared" si="1490"/>
        <v>294014180.62210083</v>
      </c>
      <c r="BJ125" s="40">
        <f t="shared" si="1490"/>
        <v>294014180.62210083</v>
      </c>
      <c r="BK125" s="40">
        <f t="shared" si="1490"/>
        <v>294014180.62210083</v>
      </c>
      <c r="BL125" s="40">
        <f t="shared" si="1490"/>
        <v>294014180.62210083</v>
      </c>
      <c r="BM125" s="40">
        <f t="shared" si="1490"/>
        <v>294014180.62210083</v>
      </c>
      <c r="BN125" s="40">
        <f t="shared" si="1490"/>
        <v>294014180.62210083</v>
      </c>
      <c r="BO125" s="40">
        <f t="shared" ref="BO125:BR125" si="1491">3528170167.46521*1/12</f>
        <v>294014180.62210083</v>
      </c>
      <c r="BP125" s="40">
        <f t="shared" si="1491"/>
        <v>294014180.62210083</v>
      </c>
      <c r="BQ125" s="40">
        <f t="shared" si="1491"/>
        <v>294014180.62210083</v>
      </c>
      <c r="BR125" s="40">
        <f t="shared" si="1491"/>
        <v>294014180.62210083</v>
      </c>
    </row>
    <row r="126" spans="1:70" ht="12.75" customHeight="1" outlineLevel="3" x14ac:dyDescent="0.2">
      <c r="B126" s="38" t="str">
        <f t="shared" si="1405"/>
        <v>Страховые взносы, годовой бонус</v>
      </c>
      <c r="C126" s="49" t="str">
        <f t="shared" si="1405"/>
        <v>Social Security on discretionary Bonus cash</v>
      </c>
      <c r="D126" s="171">
        <f t="shared" si="1326"/>
        <v>558819216.56597638</v>
      </c>
      <c r="E126" s="35">
        <v>-39499641</v>
      </c>
      <c r="F126" s="35">
        <f t="shared" ref="F126:L126" si="1492">652711480.981065*1/12</f>
        <v>54392623.41508875</v>
      </c>
      <c r="G126" s="35">
        <f t="shared" si="1492"/>
        <v>54392623.41508875</v>
      </c>
      <c r="H126" s="35">
        <f t="shared" si="1492"/>
        <v>54392623.41508875</v>
      </c>
      <c r="I126" s="35">
        <f t="shared" si="1492"/>
        <v>54392623.41508875</v>
      </c>
      <c r="J126" s="35">
        <f t="shared" si="1492"/>
        <v>54392623.41508875</v>
      </c>
      <c r="K126" s="35">
        <f t="shared" si="1492"/>
        <v>54392623.41508875</v>
      </c>
      <c r="L126" s="35">
        <f t="shared" si="1492"/>
        <v>54392623.41508875</v>
      </c>
      <c r="M126" s="35">
        <f t="shared" ref="M126:P126" si="1493">652711480.981065*1/12</f>
        <v>54392623.41508875</v>
      </c>
      <c r="N126" s="35">
        <f t="shared" si="1493"/>
        <v>54392623.41508875</v>
      </c>
      <c r="O126" s="35">
        <f t="shared" si="1493"/>
        <v>54392623.41508875</v>
      </c>
      <c r="P126" s="179">
        <f t="shared" si="1493"/>
        <v>54392623.41508875</v>
      </c>
      <c r="Q126" s="194">
        <f t="shared" si="1327"/>
        <v>558819216.56597638</v>
      </c>
      <c r="R126" s="35">
        <v>-39499641</v>
      </c>
      <c r="S126" s="35">
        <f t="shared" ref="S126:Y126" si="1494">652711480.981065*1/12</f>
        <v>54392623.41508875</v>
      </c>
      <c r="T126" s="35">
        <f t="shared" si="1494"/>
        <v>54392623.41508875</v>
      </c>
      <c r="U126" s="35">
        <f t="shared" si="1494"/>
        <v>54392623.41508875</v>
      </c>
      <c r="V126" s="35">
        <f t="shared" si="1494"/>
        <v>54392623.41508875</v>
      </c>
      <c r="W126" s="35">
        <f t="shared" si="1494"/>
        <v>54392623.41508875</v>
      </c>
      <c r="X126" s="35">
        <f t="shared" si="1494"/>
        <v>54392623.41508875</v>
      </c>
      <c r="Y126" s="35">
        <f t="shared" si="1494"/>
        <v>54392623.41508875</v>
      </c>
      <c r="Z126" s="35">
        <f t="shared" ref="Z126:AC126" si="1495">652711480.981065*1/12</f>
        <v>54392623.41508875</v>
      </c>
      <c r="AA126" s="35">
        <f t="shared" si="1495"/>
        <v>54392623.41508875</v>
      </c>
      <c r="AB126" s="35">
        <f t="shared" si="1495"/>
        <v>54392623.41508875</v>
      </c>
      <c r="AC126" s="179">
        <f t="shared" si="1495"/>
        <v>54392623.41508875</v>
      </c>
      <c r="AD126" s="225">
        <f t="shared" si="1328"/>
        <v>558819216.56597638</v>
      </c>
      <c r="AE126" s="35">
        <v>-39499641</v>
      </c>
      <c r="AF126" s="35">
        <f t="shared" ref="AF126:AL126" si="1496">652711480.981065*1/12</f>
        <v>54392623.41508875</v>
      </c>
      <c r="AG126" s="35">
        <f t="shared" si="1496"/>
        <v>54392623.41508875</v>
      </c>
      <c r="AH126" s="35">
        <f t="shared" si="1496"/>
        <v>54392623.41508875</v>
      </c>
      <c r="AI126" s="35">
        <f t="shared" si="1496"/>
        <v>54392623.41508875</v>
      </c>
      <c r="AJ126" s="35">
        <f t="shared" si="1496"/>
        <v>54392623.41508875</v>
      </c>
      <c r="AK126" s="35">
        <f t="shared" si="1496"/>
        <v>54392623.41508875</v>
      </c>
      <c r="AL126" s="35">
        <f t="shared" si="1496"/>
        <v>54392623.41508875</v>
      </c>
      <c r="AM126" s="35">
        <f t="shared" ref="AM126:AP126" si="1497">652711480.981065*1/12</f>
        <v>54392623.41508875</v>
      </c>
      <c r="AN126" s="35">
        <f t="shared" si="1497"/>
        <v>54392623.41508875</v>
      </c>
      <c r="AO126" s="35">
        <f t="shared" si="1497"/>
        <v>54392623.41508875</v>
      </c>
      <c r="AP126" s="35">
        <f t="shared" si="1497"/>
        <v>54392623.41508875</v>
      </c>
      <c r="AQ126" s="171">
        <f t="shared" si="1095"/>
        <v>0</v>
      </c>
      <c r="AR126" s="35"/>
      <c r="AS126" s="35">
        <v>-39499641</v>
      </c>
      <c r="AT126" s="35">
        <f t="shared" ref="AT126:AZ126" si="1498">652711480.981065*1/12</f>
        <v>54392623.41508875</v>
      </c>
      <c r="AU126" s="35">
        <f t="shared" si="1498"/>
        <v>54392623.41508875</v>
      </c>
      <c r="AV126" s="35">
        <f t="shared" si="1498"/>
        <v>54392623.41508875</v>
      </c>
      <c r="AW126" s="35">
        <f t="shared" si="1498"/>
        <v>54392623.41508875</v>
      </c>
      <c r="AX126" s="35">
        <f t="shared" si="1498"/>
        <v>54392623.41508875</v>
      </c>
      <c r="AY126" s="35">
        <f t="shared" si="1498"/>
        <v>54392623.41508875</v>
      </c>
      <c r="AZ126" s="35">
        <f t="shared" si="1498"/>
        <v>54392623.41508875</v>
      </c>
      <c r="BA126" s="35">
        <f t="shared" ref="BA126:BD126" si="1499">652711480.981065*1/12</f>
        <v>54392623.41508875</v>
      </c>
      <c r="BB126" s="35">
        <f t="shared" si="1499"/>
        <v>54392623.41508875</v>
      </c>
      <c r="BC126" s="35">
        <f t="shared" si="1499"/>
        <v>54392623.41508875</v>
      </c>
      <c r="BD126" s="179">
        <f t="shared" si="1499"/>
        <v>54392623.41508875</v>
      </c>
      <c r="BE126" s="194">
        <f t="shared" si="1096"/>
        <v>0</v>
      </c>
      <c r="BF126" s="35"/>
      <c r="BG126" s="35">
        <v>-39499641</v>
      </c>
      <c r="BH126" s="35">
        <f t="shared" ref="BH126:BN126" si="1500">652711480.981065*1/12</f>
        <v>54392623.41508875</v>
      </c>
      <c r="BI126" s="35">
        <f t="shared" si="1500"/>
        <v>54392623.41508875</v>
      </c>
      <c r="BJ126" s="35">
        <f t="shared" si="1500"/>
        <v>54392623.41508875</v>
      </c>
      <c r="BK126" s="35">
        <f t="shared" si="1500"/>
        <v>54392623.41508875</v>
      </c>
      <c r="BL126" s="35">
        <f t="shared" si="1500"/>
        <v>54392623.41508875</v>
      </c>
      <c r="BM126" s="35">
        <f t="shared" si="1500"/>
        <v>54392623.41508875</v>
      </c>
      <c r="BN126" s="35">
        <f t="shared" si="1500"/>
        <v>54392623.41508875</v>
      </c>
      <c r="BO126" s="35">
        <f t="shared" ref="BO126:BR126" si="1501">652711480.981065*1/12</f>
        <v>54392623.41508875</v>
      </c>
      <c r="BP126" s="35">
        <f t="shared" si="1501"/>
        <v>54392623.41508875</v>
      </c>
      <c r="BQ126" s="35">
        <f t="shared" si="1501"/>
        <v>54392623.41508875</v>
      </c>
      <c r="BR126" s="35">
        <f t="shared" si="1501"/>
        <v>54392623.41508875</v>
      </c>
    </row>
    <row r="127" spans="1:70" s="6" customFormat="1" outlineLevel="2" x14ac:dyDescent="0.2">
      <c r="A127" s="30"/>
      <c r="B127" s="29" t="str">
        <f t="shared" si="1405"/>
        <v>Итого годовой бонус</v>
      </c>
      <c r="C127" s="165" t="str">
        <f t="shared" si="1405"/>
        <v>Total Bonus discretionary cash</v>
      </c>
      <c r="D127" s="169">
        <f t="shared" si="1326"/>
        <v>3189881282.4090848</v>
      </c>
      <c r="E127" s="26">
        <f>SUM(E119:E126)</f>
        <v>-642593562</v>
      </c>
      <c r="F127" s="26">
        <f t="shared" ref="F127:L127" si="1502">SUM(F125:F126)</f>
        <v>348406804.0371896</v>
      </c>
      <c r="G127" s="26">
        <f t="shared" si="1502"/>
        <v>348406804.0371896</v>
      </c>
      <c r="H127" s="26">
        <f t="shared" si="1502"/>
        <v>348406804.0371896</v>
      </c>
      <c r="I127" s="26">
        <f t="shared" si="1502"/>
        <v>348406804.0371896</v>
      </c>
      <c r="J127" s="26">
        <f t="shared" si="1502"/>
        <v>348406804.0371896</v>
      </c>
      <c r="K127" s="26">
        <f t="shared" si="1502"/>
        <v>348406804.0371896</v>
      </c>
      <c r="L127" s="26">
        <f t="shared" si="1502"/>
        <v>348406804.0371896</v>
      </c>
      <c r="M127" s="26">
        <f t="shared" ref="M127:P127" si="1503">SUM(M125:M126)</f>
        <v>348406804.0371896</v>
      </c>
      <c r="N127" s="26">
        <f t="shared" si="1503"/>
        <v>348406804.0371896</v>
      </c>
      <c r="O127" s="26">
        <f t="shared" si="1503"/>
        <v>348406804.0371896</v>
      </c>
      <c r="P127" s="177">
        <f t="shared" si="1503"/>
        <v>348406804.0371896</v>
      </c>
      <c r="Q127" s="192">
        <f t="shared" si="1327"/>
        <v>3189881282.4090848</v>
      </c>
      <c r="R127" s="26">
        <f>SUM(R119:R126)</f>
        <v>-642593562</v>
      </c>
      <c r="S127" s="26">
        <f t="shared" ref="S127:Y127" si="1504">SUM(S125:S126)</f>
        <v>348406804.0371896</v>
      </c>
      <c r="T127" s="26">
        <f t="shared" si="1504"/>
        <v>348406804.0371896</v>
      </c>
      <c r="U127" s="26">
        <f t="shared" si="1504"/>
        <v>348406804.0371896</v>
      </c>
      <c r="V127" s="26">
        <f t="shared" si="1504"/>
        <v>348406804.0371896</v>
      </c>
      <c r="W127" s="26">
        <f t="shared" si="1504"/>
        <v>348406804.0371896</v>
      </c>
      <c r="X127" s="26">
        <f t="shared" si="1504"/>
        <v>348406804.0371896</v>
      </c>
      <c r="Y127" s="26">
        <f t="shared" si="1504"/>
        <v>348406804.0371896</v>
      </c>
      <c r="Z127" s="26">
        <f t="shared" ref="Z127:AC127" si="1505">SUM(Z125:Z126)</f>
        <v>348406804.0371896</v>
      </c>
      <c r="AA127" s="26">
        <f t="shared" si="1505"/>
        <v>348406804.0371896</v>
      </c>
      <c r="AB127" s="26">
        <f t="shared" si="1505"/>
        <v>348406804.0371896</v>
      </c>
      <c r="AC127" s="177">
        <f t="shared" si="1505"/>
        <v>348406804.0371896</v>
      </c>
      <c r="AD127" s="226">
        <f t="shared" si="1328"/>
        <v>3189881282.4090848</v>
      </c>
      <c r="AE127" s="26">
        <f>SUM(AE119:AE126)</f>
        <v>-642593562</v>
      </c>
      <c r="AF127" s="26">
        <f t="shared" ref="AF127:AL127" si="1506">SUM(AF125:AF126)</f>
        <v>348406804.0371896</v>
      </c>
      <c r="AG127" s="26">
        <f t="shared" si="1506"/>
        <v>348406804.0371896</v>
      </c>
      <c r="AH127" s="26">
        <f t="shared" si="1506"/>
        <v>348406804.0371896</v>
      </c>
      <c r="AI127" s="26">
        <f t="shared" si="1506"/>
        <v>348406804.0371896</v>
      </c>
      <c r="AJ127" s="26">
        <f t="shared" si="1506"/>
        <v>348406804.0371896</v>
      </c>
      <c r="AK127" s="26">
        <f t="shared" si="1506"/>
        <v>348406804.0371896</v>
      </c>
      <c r="AL127" s="26">
        <f t="shared" si="1506"/>
        <v>348406804.0371896</v>
      </c>
      <c r="AM127" s="26">
        <f t="shared" ref="AM127" si="1507">SUM(AM125:AM126)</f>
        <v>348406804.0371896</v>
      </c>
      <c r="AN127" s="26">
        <f t="shared" ref="AN127" si="1508">SUM(AN125:AN126)</f>
        <v>348406804.0371896</v>
      </c>
      <c r="AO127" s="26">
        <f t="shared" ref="AO127" si="1509">SUM(AO125:AO126)</f>
        <v>348406804.0371896</v>
      </c>
      <c r="AP127" s="26">
        <f t="shared" ref="AP127" si="1510">SUM(AP125:AP126)</f>
        <v>348406804.0371896</v>
      </c>
      <c r="AQ127" s="169">
        <f t="shared" si="1095"/>
        <v>0</v>
      </c>
      <c r="AR127" s="26"/>
      <c r="AS127" s="26">
        <f>SUM(AS119:AS126)</f>
        <v>-642593562</v>
      </c>
      <c r="AT127" s="26">
        <f t="shared" ref="AT127:AZ127" si="1511">SUM(AT125:AT126)</f>
        <v>348406804.0371896</v>
      </c>
      <c r="AU127" s="26">
        <f t="shared" si="1511"/>
        <v>348406804.0371896</v>
      </c>
      <c r="AV127" s="26">
        <f t="shared" si="1511"/>
        <v>348406804.0371896</v>
      </c>
      <c r="AW127" s="26">
        <f t="shared" si="1511"/>
        <v>348406804.0371896</v>
      </c>
      <c r="AX127" s="26">
        <f t="shared" si="1511"/>
        <v>348406804.0371896</v>
      </c>
      <c r="AY127" s="26">
        <f t="shared" si="1511"/>
        <v>348406804.0371896</v>
      </c>
      <c r="AZ127" s="26">
        <f t="shared" si="1511"/>
        <v>348406804.0371896</v>
      </c>
      <c r="BA127" s="26">
        <f t="shared" ref="BA127" si="1512">SUM(BA125:BA126)</f>
        <v>348406804.0371896</v>
      </c>
      <c r="BB127" s="26">
        <f t="shared" ref="BB127" si="1513">SUM(BB125:BB126)</f>
        <v>348406804.0371896</v>
      </c>
      <c r="BC127" s="26">
        <f t="shared" ref="BC127" si="1514">SUM(BC125:BC126)</f>
        <v>348406804.0371896</v>
      </c>
      <c r="BD127" s="177">
        <f t="shared" ref="BD127" si="1515">SUM(BD125:BD126)</f>
        <v>348406804.0371896</v>
      </c>
      <c r="BE127" s="192">
        <f t="shared" si="1096"/>
        <v>0</v>
      </c>
      <c r="BF127" s="26"/>
      <c r="BG127" s="26">
        <f>SUM(BG119:BG126)</f>
        <v>-642593562</v>
      </c>
      <c r="BH127" s="26">
        <f t="shared" ref="BH127:BN127" si="1516">SUM(BH125:BH126)</f>
        <v>348406804.0371896</v>
      </c>
      <c r="BI127" s="26">
        <f t="shared" si="1516"/>
        <v>348406804.0371896</v>
      </c>
      <c r="BJ127" s="26">
        <f t="shared" si="1516"/>
        <v>348406804.0371896</v>
      </c>
      <c r="BK127" s="26">
        <f t="shared" si="1516"/>
        <v>348406804.0371896</v>
      </c>
      <c r="BL127" s="26">
        <f t="shared" si="1516"/>
        <v>348406804.0371896</v>
      </c>
      <c r="BM127" s="26">
        <f t="shared" si="1516"/>
        <v>348406804.0371896</v>
      </c>
      <c r="BN127" s="26">
        <f t="shared" si="1516"/>
        <v>348406804.0371896</v>
      </c>
      <c r="BO127" s="26">
        <f t="shared" ref="BO127" si="1517">SUM(BO125:BO126)</f>
        <v>348406804.0371896</v>
      </c>
      <c r="BP127" s="26">
        <f t="shared" ref="BP127" si="1518">SUM(BP125:BP126)</f>
        <v>348406804.0371896</v>
      </c>
      <c r="BQ127" s="26">
        <f t="shared" ref="BQ127" si="1519">SUM(BQ125:BQ126)</f>
        <v>348406804.0371896</v>
      </c>
      <c r="BR127" s="26">
        <f t="shared" ref="BR127" si="1520">SUM(BR125:BR126)</f>
        <v>348406804.0371896</v>
      </c>
    </row>
    <row r="128" spans="1:70" ht="15.75" customHeight="1" x14ac:dyDescent="0.2">
      <c r="B128" s="21" t="str">
        <f t="shared" si="1405"/>
        <v>Годовой бонус</v>
      </c>
      <c r="C128" s="164" t="str">
        <f t="shared" si="1405"/>
        <v>Bonus discretionary</v>
      </c>
      <c r="D128" s="172">
        <f t="shared" si="1326"/>
        <v>3189881282.4090848</v>
      </c>
      <c r="E128" s="18">
        <f t="shared" ref="E128:L128" si="1521">E127+E124+E121</f>
        <v>-642593562</v>
      </c>
      <c r="F128" s="18">
        <f t="shared" si="1521"/>
        <v>348406804.0371896</v>
      </c>
      <c r="G128" s="18">
        <f t="shared" si="1521"/>
        <v>348406804.0371896</v>
      </c>
      <c r="H128" s="18">
        <f t="shared" si="1521"/>
        <v>348406804.0371896</v>
      </c>
      <c r="I128" s="18">
        <f t="shared" si="1521"/>
        <v>348406804.0371896</v>
      </c>
      <c r="J128" s="18">
        <f t="shared" si="1521"/>
        <v>348406804.0371896</v>
      </c>
      <c r="K128" s="18">
        <f t="shared" si="1521"/>
        <v>348406804.0371896</v>
      </c>
      <c r="L128" s="18">
        <f t="shared" si="1521"/>
        <v>348406804.0371896</v>
      </c>
      <c r="M128" s="18">
        <f t="shared" ref="M128:P128" si="1522">M127+M124+M121</f>
        <v>348406804.0371896</v>
      </c>
      <c r="N128" s="18">
        <f t="shared" si="1522"/>
        <v>348406804.0371896</v>
      </c>
      <c r="O128" s="18">
        <f t="shared" si="1522"/>
        <v>348406804.0371896</v>
      </c>
      <c r="P128" s="180">
        <f t="shared" si="1522"/>
        <v>348406804.0371896</v>
      </c>
      <c r="Q128" s="195">
        <f t="shared" si="1327"/>
        <v>3189881282.4090848</v>
      </c>
      <c r="R128" s="18">
        <f t="shared" ref="R128:Y128" si="1523">R127+R124+R121</f>
        <v>-642593562</v>
      </c>
      <c r="S128" s="18">
        <f t="shared" si="1523"/>
        <v>348406804.0371896</v>
      </c>
      <c r="T128" s="18">
        <f t="shared" si="1523"/>
        <v>348406804.0371896</v>
      </c>
      <c r="U128" s="18">
        <f t="shared" si="1523"/>
        <v>348406804.0371896</v>
      </c>
      <c r="V128" s="18">
        <f t="shared" si="1523"/>
        <v>348406804.0371896</v>
      </c>
      <c r="W128" s="18">
        <f t="shared" si="1523"/>
        <v>348406804.0371896</v>
      </c>
      <c r="X128" s="18">
        <f t="shared" si="1523"/>
        <v>348406804.0371896</v>
      </c>
      <c r="Y128" s="18">
        <f t="shared" si="1523"/>
        <v>348406804.0371896</v>
      </c>
      <c r="Z128" s="18">
        <f t="shared" ref="Z128:AC128" si="1524">Z127+Z124+Z121</f>
        <v>348406804.0371896</v>
      </c>
      <c r="AA128" s="18">
        <f t="shared" si="1524"/>
        <v>348406804.0371896</v>
      </c>
      <c r="AB128" s="18">
        <f t="shared" si="1524"/>
        <v>348406804.0371896</v>
      </c>
      <c r="AC128" s="180">
        <f t="shared" si="1524"/>
        <v>348406804.0371896</v>
      </c>
      <c r="AD128" s="228">
        <f t="shared" si="1328"/>
        <v>3189881282.4090848</v>
      </c>
      <c r="AE128" s="18">
        <f t="shared" ref="AE128:AL128" si="1525">AE127+AE124+AE121</f>
        <v>-642593562</v>
      </c>
      <c r="AF128" s="18">
        <f t="shared" si="1525"/>
        <v>348406804.0371896</v>
      </c>
      <c r="AG128" s="18">
        <f t="shared" si="1525"/>
        <v>348406804.0371896</v>
      </c>
      <c r="AH128" s="18">
        <f t="shared" si="1525"/>
        <v>348406804.0371896</v>
      </c>
      <c r="AI128" s="18">
        <f t="shared" si="1525"/>
        <v>348406804.0371896</v>
      </c>
      <c r="AJ128" s="18">
        <f t="shared" si="1525"/>
        <v>348406804.0371896</v>
      </c>
      <c r="AK128" s="18">
        <f t="shared" si="1525"/>
        <v>348406804.0371896</v>
      </c>
      <c r="AL128" s="18">
        <f t="shared" si="1525"/>
        <v>348406804.0371896</v>
      </c>
      <c r="AM128" s="18">
        <f t="shared" ref="AM128" si="1526">AM127+AM124+AM121</f>
        <v>348406804.0371896</v>
      </c>
      <c r="AN128" s="18">
        <f t="shared" ref="AN128" si="1527">AN127+AN124+AN121</f>
        <v>348406804.0371896</v>
      </c>
      <c r="AO128" s="18">
        <f t="shared" ref="AO128" si="1528">AO127+AO124+AO121</f>
        <v>348406804.0371896</v>
      </c>
      <c r="AP128" s="18">
        <f t="shared" ref="AP128" si="1529">AP127+AP124+AP121</f>
        <v>348406804.0371896</v>
      </c>
      <c r="AQ128" s="172">
        <f t="shared" si="1095"/>
        <v>0</v>
      </c>
      <c r="AR128" s="18"/>
      <c r="AS128" s="18">
        <f t="shared" ref="AS128:AZ128" si="1530">AS127+AS124+AS121</f>
        <v>-642593562</v>
      </c>
      <c r="AT128" s="18">
        <f t="shared" si="1530"/>
        <v>348406804.0371896</v>
      </c>
      <c r="AU128" s="18">
        <f t="shared" si="1530"/>
        <v>348406804.0371896</v>
      </c>
      <c r="AV128" s="18">
        <f t="shared" si="1530"/>
        <v>348406804.0371896</v>
      </c>
      <c r="AW128" s="18">
        <f t="shared" si="1530"/>
        <v>348406804.0371896</v>
      </c>
      <c r="AX128" s="18">
        <f t="shared" si="1530"/>
        <v>348406804.0371896</v>
      </c>
      <c r="AY128" s="18">
        <f t="shared" si="1530"/>
        <v>348406804.0371896</v>
      </c>
      <c r="AZ128" s="18">
        <f t="shared" si="1530"/>
        <v>348406804.0371896</v>
      </c>
      <c r="BA128" s="18">
        <f t="shared" ref="BA128" si="1531">BA127+BA124+BA121</f>
        <v>348406804.0371896</v>
      </c>
      <c r="BB128" s="18">
        <f t="shared" ref="BB128" si="1532">BB127+BB124+BB121</f>
        <v>348406804.0371896</v>
      </c>
      <c r="BC128" s="18">
        <f t="shared" ref="BC128" si="1533">BC127+BC124+BC121</f>
        <v>348406804.0371896</v>
      </c>
      <c r="BD128" s="180">
        <f t="shared" ref="BD128" si="1534">BD127+BD124+BD121</f>
        <v>348406804.0371896</v>
      </c>
      <c r="BE128" s="195">
        <f t="shared" si="1096"/>
        <v>0</v>
      </c>
      <c r="BF128" s="18"/>
      <c r="BG128" s="18">
        <f t="shared" ref="BG128:BN128" si="1535">BG127+BG124+BG121</f>
        <v>-642593562</v>
      </c>
      <c r="BH128" s="18">
        <f t="shared" si="1535"/>
        <v>348406804.0371896</v>
      </c>
      <c r="BI128" s="18">
        <f t="shared" si="1535"/>
        <v>348406804.0371896</v>
      </c>
      <c r="BJ128" s="18">
        <f t="shared" si="1535"/>
        <v>348406804.0371896</v>
      </c>
      <c r="BK128" s="18">
        <f t="shared" si="1535"/>
        <v>348406804.0371896</v>
      </c>
      <c r="BL128" s="18">
        <f t="shared" si="1535"/>
        <v>348406804.0371896</v>
      </c>
      <c r="BM128" s="18">
        <f t="shared" si="1535"/>
        <v>348406804.0371896</v>
      </c>
      <c r="BN128" s="18">
        <f t="shared" si="1535"/>
        <v>348406804.0371896</v>
      </c>
      <c r="BO128" s="18">
        <f t="shared" ref="BO128" si="1536">BO127+BO124+BO121</f>
        <v>348406804.0371896</v>
      </c>
      <c r="BP128" s="18">
        <f t="shared" ref="BP128" si="1537">BP127+BP124+BP121</f>
        <v>348406804.0371896</v>
      </c>
      <c r="BQ128" s="18">
        <f t="shared" ref="BQ128" si="1538">BQ127+BQ124+BQ121</f>
        <v>348406804.0371896</v>
      </c>
      <c r="BR128" s="18">
        <f t="shared" ref="BR128" si="1539">BR127+BR124+BR121</f>
        <v>348406804.0371896</v>
      </c>
    </row>
    <row r="129" spans="1:70" s="6" customFormat="1" ht="18.75" customHeight="1" x14ac:dyDescent="0.2">
      <c r="B129" s="13" t="str">
        <f t="shared" si="1405"/>
        <v>Итого компенсации и льготы</v>
      </c>
      <c r="C129" s="156" t="str">
        <f t="shared" si="1405"/>
        <v>Total Compencation &amp; Benefits</v>
      </c>
      <c r="D129" s="157">
        <f t="shared" si="1326"/>
        <v>6217423048.5690861</v>
      </c>
      <c r="E129" s="11">
        <f t="shared" ref="E129:L129" si="1540">E114+E128+E118</f>
        <v>-390298414.81999999</v>
      </c>
      <c r="F129" s="11">
        <f t="shared" si="1540"/>
        <v>600701951.21718955</v>
      </c>
      <c r="G129" s="11">
        <f t="shared" si="1540"/>
        <v>600701951.21718955</v>
      </c>
      <c r="H129" s="11">
        <f t="shared" si="1540"/>
        <v>600701951.21718955</v>
      </c>
      <c r="I129" s="11">
        <f t="shared" si="1540"/>
        <v>600701951.21718955</v>
      </c>
      <c r="J129" s="11">
        <f t="shared" si="1540"/>
        <v>600701951.21718955</v>
      </c>
      <c r="K129" s="11">
        <f t="shared" si="1540"/>
        <v>600701951.21718955</v>
      </c>
      <c r="L129" s="11">
        <f t="shared" si="1540"/>
        <v>600701951.21718955</v>
      </c>
      <c r="M129" s="11">
        <f t="shared" ref="M129:P129" si="1541">M114+M128+M118</f>
        <v>600701951.21718955</v>
      </c>
      <c r="N129" s="11">
        <f t="shared" si="1541"/>
        <v>600701951.21718955</v>
      </c>
      <c r="O129" s="11">
        <f t="shared" si="1541"/>
        <v>600701951.21718955</v>
      </c>
      <c r="P129" s="181">
        <f t="shared" si="1541"/>
        <v>600701951.21718955</v>
      </c>
      <c r="Q129" s="196">
        <f t="shared" si="1327"/>
        <v>6217423048.5690861</v>
      </c>
      <c r="R129" s="11">
        <f t="shared" ref="R129:Y129" si="1542">R114+R128+R118</f>
        <v>-390298414.81999999</v>
      </c>
      <c r="S129" s="11">
        <f t="shared" si="1542"/>
        <v>600701951.21718955</v>
      </c>
      <c r="T129" s="11">
        <f t="shared" si="1542"/>
        <v>600701951.21718955</v>
      </c>
      <c r="U129" s="11">
        <f t="shared" si="1542"/>
        <v>600701951.21718955</v>
      </c>
      <c r="V129" s="11">
        <f t="shared" si="1542"/>
        <v>600701951.21718955</v>
      </c>
      <c r="W129" s="11">
        <f t="shared" si="1542"/>
        <v>600701951.21718955</v>
      </c>
      <c r="X129" s="11">
        <f t="shared" si="1542"/>
        <v>600701951.21718955</v>
      </c>
      <c r="Y129" s="11">
        <f t="shared" si="1542"/>
        <v>600701951.21718955</v>
      </c>
      <c r="Z129" s="11">
        <f t="shared" ref="Z129:AC129" si="1543">Z114+Z128+Z118</f>
        <v>600701951.21718955</v>
      </c>
      <c r="AA129" s="11">
        <f t="shared" si="1543"/>
        <v>600701951.21718955</v>
      </c>
      <c r="AB129" s="11">
        <f t="shared" si="1543"/>
        <v>600701951.21718955</v>
      </c>
      <c r="AC129" s="181">
        <f t="shared" si="1543"/>
        <v>600701951.21718955</v>
      </c>
      <c r="AD129" s="196">
        <f t="shared" si="1328"/>
        <v>6217423048.5690861</v>
      </c>
      <c r="AE129" s="11">
        <f t="shared" ref="AE129:AL129" si="1544">AE114+AE128+AE118</f>
        <v>-390298414.81999999</v>
      </c>
      <c r="AF129" s="11">
        <f t="shared" si="1544"/>
        <v>600701951.21718955</v>
      </c>
      <c r="AG129" s="11">
        <f t="shared" si="1544"/>
        <v>600701951.21718955</v>
      </c>
      <c r="AH129" s="11">
        <f t="shared" si="1544"/>
        <v>600701951.21718955</v>
      </c>
      <c r="AI129" s="11">
        <f t="shared" si="1544"/>
        <v>600701951.21718955</v>
      </c>
      <c r="AJ129" s="11">
        <f t="shared" si="1544"/>
        <v>600701951.21718955</v>
      </c>
      <c r="AK129" s="11">
        <f t="shared" si="1544"/>
        <v>600701951.21718955</v>
      </c>
      <c r="AL129" s="11">
        <f t="shared" si="1544"/>
        <v>600701951.21718955</v>
      </c>
      <c r="AM129" s="11">
        <f t="shared" ref="AM129" si="1545">AM114+AM128+AM118</f>
        <v>600701951.21718955</v>
      </c>
      <c r="AN129" s="11">
        <f t="shared" ref="AN129" si="1546">AN114+AN128+AN118</f>
        <v>600701951.21718955</v>
      </c>
      <c r="AO129" s="11">
        <f t="shared" ref="AO129" si="1547">AO114+AO128+AO118</f>
        <v>600701951.21718955</v>
      </c>
      <c r="AP129" s="11">
        <f t="shared" ref="AP129" si="1548">AP114+AP128+AP118</f>
        <v>600701951.21718955</v>
      </c>
      <c r="AQ129" s="157">
        <f t="shared" si="1095"/>
        <v>0</v>
      </c>
      <c r="AR129" s="11"/>
      <c r="AS129" s="11">
        <f t="shared" ref="AS129:AZ129" si="1549">AS114+AS128+AS118</f>
        <v>-390298414.81999999</v>
      </c>
      <c r="AT129" s="11">
        <f t="shared" si="1549"/>
        <v>600701951.21718955</v>
      </c>
      <c r="AU129" s="11">
        <f t="shared" si="1549"/>
        <v>600701951.21718955</v>
      </c>
      <c r="AV129" s="11">
        <f t="shared" si="1549"/>
        <v>600701951.21718955</v>
      </c>
      <c r="AW129" s="11">
        <f t="shared" si="1549"/>
        <v>600701951.21718955</v>
      </c>
      <c r="AX129" s="11">
        <f t="shared" si="1549"/>
        <v>600701951.21718955</v>
      </c>
      <c r="AY129" s="11">
        <f t="shared" si="1549"/>
        <v>600701951.21718955</v>
      </c>
      <c r="AZ129" s="11">
        <f t="shared" si="1549"/>
        <v>600701951.21718955</v>
      </c>
      <c r="BA129" s="11">
        <f t="shared" ref="BA129" si="1550">BA114+BA128+BA118</f>
        <v>600701951.21718955</v>
      </c>
      <c r="BB129" s="11">
        <f t="shared" ref="BB129" si="1551">BB114+BB128+BB118</f>
        <v>600701951.21718955</v>
      </c>
      <c r="BC129" s="11">
        <f t="shared" ref="BC129" si="1552">BC114+BC128+BC118</f>
        <v>600701951.21718955</v>
      </c>
      <c r="BD129" s="181">
        <f t="shared" ref="BD129" si="1553">BD114+BD128+BD118</f>
        <v>600701951.21718955</v>
      </c>
      <c r="BE129" s="196">
        <f t="shared" si="1096"/>
        <v>0</v>
      </c>
      <c r="BF129" s="11"/>
      <c r="BG129" s="11">
        <f t="shared" ref="BG129:BN129" si="1554">BG114+BG128+BG118</f>
        <v>-390298414.81999999</v>
      </c>
      <c r="BH129" s="11">
        <f t="shared" si="1554"/>
        <v>600701951.21718955</v>
      </c>
      <c r="BI129" s="11">
        <f t="shared" si="1554"/>
        <v>600701951.21718955</v>
      </c>
      <c r="BJ129" s="11">
        <f t="shared" si="1554"/>
        <v>600701951.21718955</v>
      </c>
      <c r="BK129" s="11">
        <f t="shared" si="1554"/>
        <v>600701951.21718955</v>
      </c>
      <c r="BL129" s="11">
        <f t="shared" si="1554"/>
        <v>600701951.21718955</v>
      </c>
      <c r="BM129" s="11">
        <f t="shared" si="1554"/>
        <v>600701951.21718955</v>
      </c>
      <c r="BN129" s="11">
        <f t="shared" si="1554"/>
        <v>600701951.21718955</v>
      </c>
      <c r="BO129" s="11">
        <f t="shared" ref="BO129" si="1555">BO114+BO128+BO118</f>
        <v>600701951.21718955</v>
      </c>
      <c r="BP129" s="11">
        <f t="shared" ref="BP129" si="1556">BP114+BP128+BP118</f>
        <v>600701951.21718955</v>
      </c>
      <c r="BQ129" s="11">
        <f t="shared" ref="BQ129" si="1557">BQ114+BQ128+BQ118</f>
        <v>600701951.21718955</v>
      </c>
      <c r="BR129" s="11">
        <f t="shared" ref="BR129" si="1558">BR114+BR128+BR118</f>
        <v>600701951.21718955</v>
      </c>
    </row>
    <row r="130" spans="1:70" x14ac:dyDescent="0.2">
      <c r="I130" s="1"/>
      <c r="P130" s="204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I130" s="1"/>
      <c r="AW130" s="1"/>
      <c r="BK130" s="1"/>
    </row>
    <row r="131" spans="1:70" ht="16.5" customHeight="1" thickBot="1" x14ac:dyDescent="0.25">
      <c r="A131" s="54"/>
      <c r="B131" s="70" t="s">
        <v>8</v>
      </c>
      <c r="C131" s="144" t="s">
        <v>7</v>
      </c>
      <c r="D131" s="166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189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189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166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189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</row>
    <row r="132" spans="1:70" ht="13.5" outlineLevel="3" thickTop="1" x14ac:dyDescent="0.2">
      <c r="A132" s="54"/>
      <c r="B132" s="38" t="str">
        <f t="shared" ref="B132:C151" si="1559">B12</f>
        <v xml:space="preserve">Оклад </v>
      </c>
      <c r="C132" s="62" t="str">
        <f t="shared" si="1559"/>
        <v>Salary</v>
      </c>
      <c r="D132" s="167">
        <f t="shared" ref="D132:F133" si="1560">D12-D75</f>
        <v>114754145.98999953</v>
      </c>
      <c r="E132" s="60">
        <f t="shared" si="1560"/>
        <v>-67804.110000014305</v>
      </c>
      <c r="F132" s="60">
        <f t="shared" si="1560"/>
        <v>10438359.099999994</v>
      </c>
      <c r="G132" s="60">
        <f t="shared" ref="G132:P133" si="1561">G12-G75</f>
        <v>10438359.099999994</v>
      </c>
      <c r="H132" s="60">
        <f t="shared" si="1561"/>
        <v>10438359.099999994</v>
      </c>
      <c r="I132" s="60">
        <f t="shared" si="1561"/>
        <v>10438359.099999994</v>
      </c>
      <c r="J132" s="60">
        <f t="shared" si="1561"/>
        <v>10438359.099999994</v>
      </c>
      <c r="K132" s="60">
        <f t="shared" si="1561"/>
        <v>10438359.099999994</v>
      </c>
      <c r="L132" s="60">
        <f t="shared" si="1561"/>
        <v>10438359.099999994</v>
      </c>
      <c r="M132" s="60">
        <f t="shared" si="1561"/>
        <v>10438359.099999994</v>
      </c>
      <c r="N132" s="60">
        <f t="shared" si="1561"/>
        <v>10438359.099999994</v>
      </c>
      <c r="O132" s="60">
        <f t="shared" si="1561"/>
        <v>10438359.099999994</v>
      </c>
      <c r="P132" s="175">
        <f t="shared" si="1561"/>
        <v>10438359.099999994</v>
      </c>
      <c r="Q132" s="190">
        <f t="shared" ref="Q132:S133" si="1562">Q12-Q75</f>
        <v>114754145.98999953</v>
      </c>
      <c r="R132" s="60">
        <f t="shared" si="1562"/>
        <v>-67804.110000014305</v>
      </c>
      <c r="S132" s="60">
        <f t="shared" si="1562"/>
        <v>10438359.099999994</v>
      </c>
      <c r="T132" s="60">
        <f t="shared" ref="T132:AC132" si="1563">T12-T75</f>
        <v>10438359.099999994</v>
      </c>
      <c r="U132" s="60">
        <f t="shared" si="1563"/>
        <v>10438359.099999994</v>
      </c>
      <c r="V132" s="60">
        <f t="shared" si="1563"/>
        <v>10438359.099999994</v>
      </c>
      <c r="W132" s="60">
        <f t="shared" si="1563"/>
        <v>10438359.099999994</v>
      </c>
      <c r="X132" s="60">
        <f t="shared" si="1563"/>
        <v>10438359.099999994</v>
      </c>
      <c r="Y132" s="60">
        <f t="shared" si="1563"/>
        <v>10438359.099999994</v>
      </c>
      <c r="Z132" s="60">
        <f t="shared" si="1563"/>
        <v>10438359.099999994</v>
      </c>
      <c r="AA132" s="60">
        <f t="shared" si="1563"/>
        <v>10438359.099999994</v>
      </c>
      <c r="AB132" s="60">
        <f t="shared" si="1563"/>
        <v>10438359.099999994</v>
      </c>
      <c r="AC132" s="175">
        <f t="shared" si="1563"/>
        <v>10438359.099999994</v>
      </c>
      <c r="AD132" s="224">
        <f t="shared" ref="AD132:AF133" si="1564">AD12-AD75</f>
        <v>114754145.98999953</v>
      </c>
      <c r="AE132" s="60">
        <f t="shared" si="1564"/>
        <v>-67804.110000014305</v>
      </c>
      <c r="AF132" s="60">
        <f t="shared" si="1564"/>
        <v>10438359.099999994</v>
      </c>
      <c r="AG132" s="60">
        <f t="shared" ref="AG132:AP132" si="1565">AG12-AG75</f>
        <v>10438359.099999994</v>
      </c>
      <c r="AH132" s="60">
        <f t="shared" si="1565"/>
        <v>10438359.099999994</v>
      </c>
      <c r="AI132" s="60">
        <f t="shared" si="1565"/>
        <v>10438359.099999994</v>
      </c>
      <c r="AJ132" s="60">
        <f t="shared" si="1565"/>
        <v>10438359.099999994</v>
      </c>
      <c r="AK132" s="60">
        <f t="shared" si="1565"/>
        <v>10438359.099999994</v>
      </c>
      <c r="AL132" s="60">
        <f t="shared" si="1565"/>
        <v>10438359.099999994</v>
      </c>
      <c r="AM132" s="60">
        <f t="shared" si="1565"/>
        <v>10438359.099999994</v>
      </c>
      <c r="AN132" s="60">
        <f t="shared" si="1565"/>
        <v>10438359.099999994</v>
      </c>
      <c r="AO132" s="60">
        <f t="shared" si="1565"/>
        <v>10438359.099999994</v>
      </c>
      <c r="AP132" s="60">
        <f t="shared" si="1565"/>
        <v>10438359.099999994</v>
      </c>
      <c r="AQ132" s="167">
        <f>AQ12-AQ75</f>
        <v>0</v>
      </c>
      <c r="AR132" s="60"/>
      <c r="AS132" s="60">
        <f>AS12-AS75</f>
        <v>-67804.110000014305</v>
      </c>
      <c r="AT132" s="60">
        <f>AT12-AT75</f>
        <v>10438359.099999994</v>
      </c>
      <c r="AU132" s="60">
        <f t="shared" ref="AU132:BD132" si="1566">AU12-AU75</f>
        <v>10438359.099999994</v>
      </c>
      <c r="AV132" s="60">
        <f t="shared" si="1566"/>
        <v>10438359.099999994</v>
      </c>
      <c r="AW132" s="60">
        <f t="shared" si="1566"/>
        <v>10438359.099999994</v>
      </c>
      <c r="AX132" s="60">
        <f t="shared" si="1566"/>
        <v>10438359.099999994</v>
      </c>
      <c r="AY132" s="60">
        <f t="shared" si="1566"/>
        <v>10438359.099999994</v>
      </c>
      <c r="AZ132" s="60">
        <f t="shared" si="1566"/>
        <v>10438359.099999994</v>
      </c>
      <c r="BA132" s="60">
        <f t="shared" si="1566"/>
        <v>10438359.099999994</v>
      </c>
      <c r="BB132" s="60">
        <f t="shared" si="1566"/>
        <v>10438359.099999994</v>
      </c>
      <c r="BC132" s="60">
        <f t="shared" si="1566"/>
        <v>10438359.099999994</v>
      </c>
      <c r="BD132" s="175">
        <f t="shared" si="1566"/>
        <v>10438359.099999994</v>
      </c>
      <c r="BE132" s="190">
        <f t="shared" ref="BE132:BE186" si="1567">Q132-AD132</f>
        <v>0</v>
      </c>
      <c r="BF132" s="60"/>
      <c r="BG132" s="60">
        <f>BG12-BG75</f>
        <v>-67804.110000014305</v>
      </c>
      <c r="BH132" s="60">
        <f>BH12-BH75</f>
        <v>10438359.099999994</v>
      </c>
      <c r="BI132" s="60">
        <f t="shared" ref="BI132:BR132" si="1568">BI12-BI75</f>
        <v>10438359.099999994</v>
      </c>
      <c r="BJ132" s="60">
        <f t="shared" si="1568"/>
        <v>10438359.099999994</v>
      </c>
      <c r="BK132" s="60">
        <f t="shared" si="1568"/>
        <v>10438359.099999994</v>
      </c>
      <c r="BL132" s="60">
        <f t="shared" si="1568"/>
        <v>10438359.099999994</v>
      </c>
      <c r="BM132" s="60">
        <f t="shared" si="1568"/>
        <v>10438359.099999994</v>
      </c>
      <c r="BN132" s="60">
        <f t="shared" si="1568"/>
        <v>10438359.099999994</v>
      </c>
      <c r="BO132" s="60">
        <f t="shared" si="1568"/>
        <v>10438359.099999994</v>
      </c>
      <c r="BP132" s="60">
        <f t="shared" si="1568"/>
        <v>10438359.099999994</v>
      </c>
      <c r="BQ132" s="60">
        <f t="shared" si="1568"/>
        <v>10438359.099999994</v>
      </c>
      <c r="BR132" s="60">
        <f t="shared" si="1568"/>
        <v>10438359.099999994</v>
      </c>
    </row>
    <row r="133" spans="1:70" outlineLevel="3" x14ac:dyDescent="0.2">
      <c r="A133" s="54"/>
      <c r="B133" s="38" t="str">
        <f t="shared" si="1559"/>
        <v>Страховые взносы оклад</v>
      </c>
      <c r="C133" s="49" t="str">
        <f t="shared" si="1559"/>
        <v>Social securities on salaries</v>
      </c>
      <c r="D133" s="168">
        <f t="shared" si="1560"/>
        <v>-3705931.1200000644</v>
      </c>
      <c r="E133" s="40">
        <f t="shared" si="1560"/>
        <v>71460.629999995232</v>
      </c>
      <c r="F133" s="40">
        <f t="shared" si="1560"/>
        <v>-343399.25000000373</v>
      </c>
      <c r="G133" s="40">
        <f t="shared" si="1561"/>
        <v>-343399.25000000373</v>
      </c>
      <c r="H133" s="40">
        <f t="shared" si="1561"/>
        <v>-343399.25000000373</v>
      </c>
      <c r="I133" s="40">
        <f t="shared" si="1561"/>
        <v>-343399.25000000373</v>
      </c>
      <c r="J133" s="40">
        <f t="shared" si="1561"/>
        <v>-343399.25000000373</v>
      </c>
      <c r="K133" s="40">
        <f t="shared" si="1561"/>
        <v>-343399.25000000373</v>
      </c>
      <c r="L133" s="40">
        <f t="shared" si="1561"/>
        <v>-343399.25000000373</v>
      </c>
      <c r="M133" s="40">
        <f t="shared" si="1561"/>
        <v>-343399.25000000373</v>
      </c>
      <c r="N133" s="40">
        <f t="shared" si="1561"/>
        <v>-343399.25000000373</v>
      </c>
      <c r="O133" s="40">
        <f t="shared" si="1561"/>
        <v>-343399.25000000373</v>
      </c>
      <c r="P133" s="176">
        <f t="shared" si="1561"/>
        <v>-343399.25000000373</v>
      </c>
      <c r="Q133" s="191">
        <f t="shared" si="1562"/>
        <v>-3705931.1200000644</v>
      </c>
      <c r="R133" s="40">
        <f t="shared" si="1562"/>
        <v>71460.629999995232</v>
      </c>
      <c r="S133" s="40">
        <f t="shared" si="1562"/>
        <v>-343399.25000000373</v>
      </c>
      <c r="T133" s="40">
        <f t="shared" ref="T133:AC133" si="1569">T13-T76</f>
        <v>-343399.25000000373</v>
      </c>
      <c r="U133" s="40">
        <f t="shared" si="1569"/>
        <v>-343399.25000000373</v>
      </c>
      <c r="V133" s="40">
        <f t="shared" si="1569"/>
        <v>-343399.25000000373</v>
      </c>
      <c r="W133" s="40">
        <f t="shared" si="1569"/>
        <v>-343399.25000000373</v>
      </c>
      <c r="X133" s="40">
        <f t="shared" si="1569"/>
        <v>-343399.25000000373</v>
      </c>
      <c r="Y133" s="40">
        <f t="shared" si="1569"/>
        <v>-343399.25000000373</v>
      </c>
      <c r="Z133" s="40">
        <f t="shared" si="1569"/>
        <v>-343399.25000000373</v>
      </c>
      <c r="AA133" s="40">
        <f t="shared" si="1569"/>
        <v>-343399.25000000373</v>
      </c>
      <c r="AB133" s="40">
        <f t="shared" si="1569"/>
        <v>-343399.25000000373</v>
      </c>
      <c r="AC133" s="176">
        <f t="shared" si="1569"/>
        <v>-343399.25000000373</v>
      </c>
      <c r="AD133" s="225">
        <f t="shared" si="1564"/>
        <v>-3705931.1200000644</v>
      </c>
      <c r="AE133" s="40">
        <f t="shared" si="1564"/>
        <v>71460.629999995232</v>
      </c>
      <c r="AF133" s="40">
        <f t="shared" si="1564"/>
        <v>-343399.25000000373</v>
      </c>
      <c r="AG133" s="40">
        <f t="shared" ref="AG133:AP133" si="1570">AG13-AG76</f>
        <v>-343399.25000000373</v>
      </c>
      <c r="AH133" s="40">
        <f t="shared" si="1570"/>
        <v>-343399.25000000373</v>
      </c>
      <c r="AI133" s="40">
        <f t="shared" si="1570"/>
        <v>-343399.25000000373</v>
      </c>
      <c r="AJ133" s="40">
        <f t="shared" si="1570"/>
        <v>-343399.25000000373</v>
      </c>
      <c r="AK133" s="40">
        <f t="shared" si="1570"/>
        <v>-343399.25000000373</v>
      </c>
      <c r="AL133" s="40">
        <f t="shared" si="1570"/>
        <v>-343399.25000000373</v>
      </c>
      <c r="AM133" s="40">
        <f t="shared" si="1570"/>
        <v>-343399.25000000373</v>
      </c>
      <c r="AN133" s="40">
        <f t="shared" si="1570"/>
        <v>-343399.25000000373</v>
      </c>
      <c r="AO133" s="40">
        <f t="shared" si="1570"/>
        <v>-343399.25000000373</v>
      </c>
      <c r="AP133" s="40">
        <f t="shared" si="1570"/>
        <v>-343399.25000000373</v>
      </c>
      <c r="AQ133" s="168">
        <f>AQ13-AQ76</f>
        <v>0</v>
      </c>
      <c r="AR133" s="40"/>
      <c r="AS133" s="40">
        <f>AS13-AS76</f>
        <v>71460.629999995232</v>
      </c>
      <c r="AT133" s="40">
        <f>AT13-AT76</f>
        <v>-343399.25000000373</v>
      </c>
      <c r="AU133" s="40">
        <f t="shared" ref="AU133:BD133" si="1571">AU13-AU76</f>
        <v>-343399.25000000373</v>
      </c>
      <c r="AV133" s="40">
        <f t="shared" si="1571"/>
        <v>-343399.25000000373</v>
      </c>
      <c r="AW133" s="40">
        <f t="shared" si="1571"/>
        <v>-343399.25000000373</v>
      </c>
      <c r="AX133" s="40">
        <f t="shared" si="1571"/>
        <v>-343399.25000000373</v>
      </c>
      <c r="AY133" s="40">
        <f t="shared" si="1571"/>
        <v>-343399.25000000373</v>
      </c>
      <c r="AZ133" s="40">
        <f t="shared" si="1571"/>
        <v>-343399.25000000373</v>
      </c>
      <c r="BA133" s="40">
        <f t="shared" si="1571"/>
        <v>-343399.25000000373</v>
      </c>
      <c r="BB133" s="40">
        <f t="shared" si="1571"/>
        <v>-343399.25000000373</v>
      </c>
      <c r="BC133" s="40">
        <f t="shared" si="1571"/>
        <v>-343399.25000000373</v>
      </c>
      <c r="BD133" s="176">
        <f t="shared" si="1571"/>
        <v>-343399.25000000373</v>
      </c>
      <c r="BE133" s="191">
        <f t="shared" si="1567"/>
        <v>0</v>
      </c>
      <c r="BF133" s="40"/>
      <c r="BG133" s="40">
        <f>BG13-BG76</f>
        <v>71460.629999995232</v>
      </c>
      <c r="BH133" s="40">
        <f>BH13-BH76</f>
        <v>-343399.25000000373</v>
      </c>
      <c r="BI133" s="40">
        <f t="shared" ref="BI133:BR133" si="1572">BI13-BI76</f>
        <v>-343399.25000000373</v>
      </c>
      <c r="BJ133" s="40">
        <f t="shared" si="1572"/>
        <v>-343399.25000000373</v>
      </c>
      <c r="BK133" s="40">
        <f t="shared" si="1572"/>
        <v>-343399.25000000373</v>
      </c>
      <c r="BL133" s="40">
        <f t="shared" si="1572"/>
        <v>-343399.25000000373</v>
      </c>
      <c r="BM133" s="40">
        <f t="shared" si="1572"/>
        <v>-343399.25000000373</v>
      </c>
      <c r="BN133" s="40">
        <f t="shared" si="1572"/>
        <v>-343399.25000000373</v>
      </c>
      <c r="BO133" s="40">
        <f t="shared" si="1572"/>
        <v>-343399.25000000373</v>
      </c>
      <c r="BP133" s="40">
        <f t="shared" si="1572"/>
        <v>-343399.25000000373</v>
      </c>
      <c r="BQ133" s="40">
        <f t="shared" si="1572"/>
        <v>-343399.25000000373</v>
      </c>
      <c r="BR133" s="40">
        <f t="shared" si="1572"/>
        <v>-343399.25000000373</v>
      </c>
    </row>
    <row r="134" spans="1:70" s="6" customFormat="1" outlineLevel="2" x14ac:dyDescent="0.2">
      <c r="A134" s="30"/>
      <c r="B134" s="29" t="str">
        <f t="shared" si="1559"/>
        <v>Итого оклад</v>
      </c>
      <c r="C134" s="52" t="str">
        <f t="shared" si="1559"/>
        <v>Total Salary</v>
      </c>
      <c r="D134" s="169">
        <f>SUM(D132:D133)</f>
        <v>111048214.86999947</v>
      </c>
      <c r="E134" s="26">
        <f>SUM(E132:E133)</f>
        <v>3656.5199999809265</v>
      </c>
      <c r="F134" s="26">
        <f>SUM(F132:F133)</f>
        <v>10094959.84999999</v>
      </c>
      <c r="G134" s="26">
        <f t="shared" ref="G134:P134" si="1573">SUM(G132:G133)</f>
        <v>10094959.84999999</v>
      </c>
      <c r="H134" s="26">
        <f t="shared" si="1573"/>
        <v>10094959.84999999</v>
      </c>
      <c r="I134" s="26">
        <f t="shared" si="1573"/>
        <v>10094959.84999999</v>
      </c>
      <c r="J134" s="26">
        <f t="shared" si="1573"/>
        <v>10094959.84999999</v>
      </c>
      <c r="K134" s="26">
        <f t="shared" si="1573"/>
        <v>10094959.84999999</v>
      </c>
      <c r="L134" s="26">
        <f t="shared" si="1573"/>
        <v>10094959.84999999</v>
      </c>
      <c r="M134" s="26">
        <f t="shared" si="1573"/>
        <v>10094959.84999999</v>
      </c>
      <c r="N134" s="26">
        <f t="shared" si="1573"/>
        <v>10094959.84999999</v>
      </c>
      <c r="O134" s="26">
        <f t="shared" si="1573"/>
        <v>10094959.84999999</v>
      </c>
      <c r="P134" s="177">
        <f t="shared" si="1573"/>
        <v>10094959.84999999</v>
      </c>
      <c r="Q134" s="192">
        <f>SUM(Q132:Q133)</f>
        <v>111048214.86999947</v>
      </c>
      <c r="R134" s="26">
        <f>SUM(R132:R133)</f>
        <v>3656.5199999809265</v>
      </c>
      <c r="S134" s="26">
        <f>SUM(S132:S133)</f>
        <v>10094959.84999999</v>
      </c>
      <c r="T134" s="26">
        <f t="shared" ref="T134" si="1574">SUM(T132:T133)</f>
        <v>10094959.84999999</v>
      </c>
      <c r="U134" s="26">
        <f t="shared" ref="U134" si="1575">SUM(U132:U133)</f>
        <v>10094959.84999999</v>
      </c>
      <c r="V134" s="26">
        <f t="shared" ref="V134" si="1576">SUM(V132:V133)</f>
        <v>10094959.84999999</v>
      </c>
      <c r="W134" s="26">
        <f t="shared" ref="W134" si="1577">SUM(W132:W133)</f>
        <v>10094959.84999999</v>
      </c>
      <c r="X134" s="26">
        <f t="shared" ref="X134" si="1578">SUM(X132:X133)</f>
        <v>10094959.84999999</v>
      </c>
      <c r="Y134" s="26">
        <f t="shared" ref="Y134" si="1579">SUM(Y132:Y133)</f>
        <v>10094959.84999999</v>
      </c>
      <c r="Z134" s="26">
        <f t="shared" ref="Z134" si="1580">SUM(Z132:Z133)</f>
        <v>10094959.84999999</v>
      </c>
      <c r="AA134" s="26">
        <f t="shared" ref="AA134" si="1581">SUM(AA132:AA133)</f>
        <v>10094959.84999999</v>
      </c>
      <c r="AB134" s="26">
        <f t="shared" ref="AB134" si="1582">SUM(AB132:AB133)</f>
        <v>10094959.84999999</v>
      </c>
      <c r="AC134" s="177">
        <f t="shared" ref="AC134" si="1583">SUM(AC132:AC133)</f>
        <v>10094959.84999999</v>
      </c>
      <c r="AD134" s="226">
        <f>SUM(AD132:AD133)</f>
        <v>111048214.86999947</v>
      </c>
      <c r="AE134" s="26">
        <f>SUM(AE132:AE133)</f>
        <v>3656.5199999809265</v>
      </c>
      <c r="AF134" s="26">
        <f>SUM(AF132:AF133)</f>
        <v>10094959.84999999</v>
      </c>
      <c r="AG134" s="26">
        <f t="shared" ref="AG134" si="1584">SUM(AG132:AG133)</f>
        <v>10094959.84999999</v>
      </c>
      <c r="AH134" s="26">
        <f t="shared" ref="AH134" si="1585">SUM(AH132:AH133)</f>
        <v>10094959.84999999</v>
      </c>
      <c r="AI134" s="26">
        <f t="shared" ref="AI134" si="1586">SUM(AI132:AI133)</f>
        <v>10094959.84999999</v>
      </c>
      <c r="AJ134" s="26">
        <f t="shared" ref="AJ134" si="1587">SUM(AJ132:AJ133)</f>
        <v>10094959.84999999</v>
      </c>
      <c r="AK134" s="26">
        <f t="shared" ref="AK134" si="1588">SUM(AK132:AK133)</f>
        <v>10094959.84999999</v>
      </c>
      <c r="AL134" s="26">
        <f t="shared" ref="AL134" si="1589">SUM(AL132:AL133)</f>
        <v>10094959.84999999</v>
      </c>
      <c r="AM134" s="26">
        <f t="shared" ref="AM134" si="1590">SUM(AM132:AM133)</f>
        <v>10094959.84999999</v>
      </c>
      <c r="AN134" s="26">
        <f t="shared" ref="AN134" si="1591">SUM(AN132:AN133)</f>
        <v>10094959.84999999</v>
      </c>
      <c r="AO134" s="26">
        <f t="shared" ref="AO134" si="1592">SUM(AO132:AO133)</f>
        <v>10094959.84999999</v>
      </c>
      <c r="AP134" s="26">
        <f t="shared" ref="AP134" si="1593">SUM(AP132:AP133)</f>
        <v>10094959.84999999</v>
      </c>
      <c r="AQ134" s="169">
        <f>SUM(AQ132:AQ133)</f>
        <v>0</v>
      </c>
      <c r="AR134" s="26"/>
      <c r="AS134" s="26">
        <f>SUM(AS132:AS133)</f>
        <v>3656.5199999809265</v>
      </c>
      <c r="AT134" s="26">
        <f>SUM(AT132:AT133)</f>
        <v>10094959.84999999</v>
      </c>
      <c r="AU134" s="26">
        <f t="shared" ref="AU134" si="1594">SUM(AU132:AU133)</f>
        <v>10094959.84999999</v>
      </c>
      <c r="AV134" s="26">
        <f t="shared" ref="AV134" si="1595">SUM(AV132:AV133)</f>
        <v>10094959.84999999</v>
      </c>
      <c r="AW134" s="26">
        <f t="shared" ref="AW134" si="1596">SUM(AW132:AW133)</f>
        <v>10094959.84999999</v>
      </c>
      <c r="AX134" s="26">
        <f t="shared" ref="AX134" si="1597">SUM(AX132:AX133)</f>
        <v>10094959.84999999</v>
      </c>
      <c r="AY134" s="26">
        <f t="shared" ref="AY134" si="1598">SUM(AY132:AY133)</f>
        <v>10094959.84999999</v>
      </c>
      <c r="AZ134" s="26">
        <f t="shared" ref="AZ134" si="1599">SUM(AZ132:AZ133)</f>
        <v>10094959.84999999</v>
      </c>
      <c r="BA134" s="26">
        <f t="shared" ref="BA134" si="1600">SUM(BA132:BA133)</f>
        <v>10094959.84999999</v>
      </c>
      <c r="BB134" s="26">
        <f t="shared" ref="BB134" si="1601">SUM(BB132:BB133)</f>
        <v>10094959.84999999</v>
      </c>
      <c r="BC134" s="26">
        <f t="shared" ref="BC134" si="1602">SUM(BC132:BC133)</f>
        <v>10094959.84999999</v>
      </c>
      <c r="BD134" s="177">
        <f t="shared" ref="BD134" si="1603">SUM(BD132:BD133)</f>
        <v>10094959.84999999</v>
      </c>
      <c r="BE134" s="192">
        <f t="shared" si="1567"/>
        <v>0</v>
      </c>
      <c r="BF134" s="26"/>
      <c r="BG134" s="26">
        <f>SUM(BG132:BG133)</f>
        <v>3656.5199999809265</v>
      </c>
      <c r="BH134" s="26">
        <f>SUM(BH132:BH133)</f>
        <v>10094959.84999999</v>
      </c>
      <c r="BI134" s="26">
        <f t="shared" ref="BI134" si="1604">SUM(BI132:BI133)</f>
        <v>10094959.84999999</v>
      </c>
      <c r="BJ134" s="26">
        <f t="shared" ref="BJ134" si="1605">SUM(BJ132:BJ133)</f>
        <v>10094959.84999999</v>
      </c>
      <c r="BK134" s="26">
        <f t="shared" ref="BK134" si="1606">SUM(BK132:BK133)</f>
        <v>10094959.84999999</v>
      </c>
      <c r="BL134" s="26">
        <f t="shared" ref="BL134" si="1607">SUM(BL132:BL133)</f>
        <v>10094959.84999999</v>
      </c>
      <c r="BM134" s="26">
        <f t="shared" ref="BM134" si="1608">SUM(BM132:BM133)</f>
        <v>10094959.84999999</v>
      </c>
      <c r="BN134" s="26">
        <f t="shared" ref="BN134" si="1609">SUM(BN132:BN133)</f>
        <v>10094959.84999999</v>
      </c>
      <c r="BO134" s="26">
        <f t="shared" ref="BO134" si="1610">SUM(BO132:BO133)</f>
        <v>10094959.84999999</v>
      </c>
      <c r="BP134" s="26">
        <f t="shared" ref="BP134" si="1611">SUM(BP132:BP133)</f>
        <v>10094959.84999999</v>
      </c>
      <c r="BQ134" s="26">
        <f t="shared" ref="BQ134" si="1612">SUM(BQ132:BQ133)</f>
        <v>10094959.84999999</v>
      </c>
      <c r="BR134" s="26">
        <f t="shared" ref="BR134" si="1613">SUM(BR132:BR133)</f>
        <v>10094959.84999999</v>
      </c>
    </row>
    <row r="135" spans="1:70" outlineLevel="3" x14ac:dyDescent="0.2">
      <c r="A135" s="54"/>
      <c r="B135" s="57" t="str">
        <f t="shared" si="1559"/>
        <v>Резерв на отпуск</v>
      </c>
      <c r="C135" s="56" t="str">
        <f t="shared" si="1559"/>
        <v>Accruals for unused vacations</v>
      </c>
      <c r="D135" s="168">
        <f t="shared" ref="D135:F136" si="1614">D15-D78</f>
        <v>-32594745.502610028</v>
      </c>
      <c r="E135" s="40">
        <f t="shared" si="1614"/>
        <v>-3656.5199999809265</v>
      </c>
      <c r="F135" s="40">
        <f t="shared" si="1614"/>
        <v>-2962826.2711463869</v>
      </c>
      <c r="G135" s="40">
        <f t="shared" ref="G135:P136" si="1615">G15-G78</f>
        <v>-2962826.2711463869</v>
      </c>
      <c r="H135" s="40">
        <f t="shared" si="1615"/>
        <v>-2962826.2711463869</v>
      </c>
      <c r="I135" s="40">
        <f t="shared" si="1615"/>
        <v>-2962826.2711463869</v>
      </c>
      <c r="J135" s="40">
        <f t="shared" si="1615"/>
        <v>-2962826.2711463869</v>
      </c>
      <c r="K135" s="40">
        <f t="shared" si="1615"/>
        <v>-2962826.2711463869</v>
      </c>
      <c r="L135" s="40">
        <f t="shared" si="1615"/>
        <v>-2962826.2711463869</v>
      </c>
      <c r="M135" s="40">
        <f t="shared" si="1615"/>
        <v>-2962826.2711463869</v>
      </c>
      <c r="N135" s="40">
        <f t="shared" si="1615"/>
        <v>-2962826.2711463869</v>
      </c>
      <c r="O135" s="40">
        <f t="shared" si="1615"/>
        <v>-2962826.2711463869</v>
      </c>
      <c r="P135" s="176">
        <f t="shared" si="1615"/>
        <v>-2962826.2711463869</v>
      </c>
      <c r="Q135" s="191">
        <f t="shared" ref="Q135:S136" si="1616">Q15-Q78</f>
        <v>-32594745.502610028</v>
      </c>
      <c r="R135" s="40">
        <f t="shared" si="1616"/>
        <v>-3656.5199999809265</v>
      </c>
      <c r="S135" s="40">
        <f t="shared" si="1616"/>
        <v>-2962826.2711463869</v>
      </c>
      <c r="T135" s="40">
        <f t="shared" ref="T135:AC135" si="1617">T15-T78</f>
        <v>-2962826.2711463869</v>
      </c>
      <c r="U135" s="40">
        <f t="shared" si="1617"/>
        <v>-2962826.2711463869</v>
      </c>
      <c r="V135" s="40">
        <f t="shared" si="1617"/>
        <v>-2962826.2711463869</v>
      </c>
      <c r="W135" s="40">
        <f t="shared" si="1617"/>
        <v>-2962826.2711463869</v>
      </c>
      <c r="X135" s="40">
        <f t="shared" si="1617"/>
        <v>-2962826.2711463869</v>
      </c>
      <c r="Y135" s="40">
        <f t="shared" si="1617"/>
        <v>-2962826.2711463869</v>
      </c>
      <c r="Z135" s="40">
        <f t="shared" si="1617"/>
        <v>-2962826.2711463869</v>
      </c>
      <c r="AA135" s="40">
        <f t="shared" si="1617"/>
        <v>-2962826.2711463869</v>
      </c>
      <c r="AB135" s="40">
        <f t="shared" si="1617"/>
        <v>-2962826.2711463869</v>
      </c>
      <c r="AC135" s="176">
        <f t="shared" si="1617"/>
        <v>-2962826.2711463869</v>
      </c>
      <c r="AD135" s="225">
        <f t="shared" ref="AD135:AF136" si="1618">AD15-AD78</f>
        <v>-32594745.502610028</v>
      </c>
      <c r="AE135" s="40">
        <f t="shared" si="1618"/>
        <v>-3656.5199999809265</v>
      </c>
      <c r="AF135" s="40">
        <f t="shared" si="1618"/>
        <v>-2962826.2711463869</v>
      </c>
      <c r="AG135" s="40">
        <f t="shared" ref="AG135:AP135" si="1619">AG15-AG78</f>
        <v>-2962826.2711463869</v>
      </c>
      <c r="AH135" s="40">
        <f t="shared" si="1619"/>
        <v>-2962826.2711463869</v>
      </c>
      <c r="AI135" s="40">
        <f t="shared" si="1619"/>
        <v>-2962826.2711463869</v>
      </c>
      <c r="AJ135" s="40">
        <f t="shared" si="1619"/>
        <v>-2962826.2711463869</v>
      </c>
      <c r="AK135" s="40">
        <f t="shared" si="1619"/>
        <v>-2962826.2711463869</v>
      </c>
      <c r="AL135" s="40">
        <f t="shared" si="1619"/>
        <v>-2962826.2711463869</v>
      </c>
      <c r="AM135" s="40">
        <f t="shared" si="1619"/>
        <v>-2962826.2711463869</v>
      </c>
      <c r="AN135" s="40">
        <f t="shared" si="1619"/>
        <v>-2962826.2711463869</v>
      </c>
      <c r="AO135" s="40">
        <f t="shared" si="1619"/>
        <v>-2962826.2711463869</v>
      </c>
      <c r="AP135" s="40">
        <f t="shared" si="1619"/>
        <v>-2962826.2711463869</v>
      </c>
      <c r="AQ135" s="168">
        <f>AQ15-AQ78</f>
        <v>0</v>
      </c>
      <c r="AR135" s="40"/>
      <c r="AS135" s="40">
        <f>AS15-AS78</f>
        <v>-3656.5199999809265</v>
      </c>
      <c r="AT135" s="40">
        <f>AT15-AT78</f>
        <v>-2962826.2711463869</v>
      </c>
      <c r="AU135" s="40">
        <f t="shared" ref="AU135:BD135" si="1620">AU15-AU78</f>
        <v>-2962826.2711463869</v>
      </c>
      <c r="AV135" s="40">
        <f t="shared" si="1620"/>
        <v>-2962826.2711463869</v>
      </c>
      <c r="AW135" s="40">
        <f t="shared" si="1620"/>
        <v>-2962826.2711463869</v>
      </c>
      <c r="AX135" s="40">
        <f t="shared" si="1620"/>
        <v>-2962826.2711463869</v>
      </c>
      <c r="AY135" s="40">
        <f t="shared" si="1620"/>
        <v>-2962826.2711463869</v>
      </c>
      <c r="AZ135" s="40">
        <f t="shared" si="1620"/>
        <v>-2962826.2711463869</v>
      </c>
      <c r="BA135" s="40">
        <f t="shared" si="1620"/>
        <v>-2962826.2711463869</v>
      </c>
      <c r="BB135" s="40">
        <f t="shared" si="1620"/>
        <v>-2962826.2711463869</v>
      </c>
      <c r="BC135" s="40">
        <f t="shared" si="1620"/>
        <v>-2962826.2711463869</v>
      </c>
      <c r="BD135" s="176">
        <f t="shared" si="1620"/>
        <v>-2962826.2711463869</v>
      </c>
      <c r="BE135" s="191">
        <f t="shared" si="1567"/>
        <v>0</v>
      </c>
      <c r="BF135" s="40"/>
      <c r="BG135" s="40">
        <f>BG15-BG78</f>
        <v>-3656.5199999809265</v>
      </c>
      <c r="BH135" s="40">
        <f>BH15-BH78</f>
        <v>-2962826.2711463869</v>
      </c>
      <c r="BI135" s="40">
        <f t="shared" ref="BI135:BR135" si="1621">BI15-BI78</f>
        <v>-2962826.2711463869</v>
      </c>
      <c r="BJ135" s="40">
        <f t="shared" si="1621"/>
        <v>-2962826.2711463869</v>
      </c>
      <c r="BK135" s="40">
        <f t="shared" si="1621"/>
        <v>-2962826.2711463869</v>
      </c>
      <c r="BL135" s="40">
        <f t="shared" si="1621"/>
        <v>-2962826.2711463869</v>
      </c>
      <c r="BM135" s="40">
        <f t="shared" si="1621"/>
        <v>-2962826.2711463869</v>
      </c>
      <c r="BN135" s="40">
        <f t="shared" si="1621"/>
        <v>-2962826.2711463869</v>
      </c>
      <c r="BO135" s="40">
        <f t="shared" si="1621"/>
        <v>-2962826.2711463869</v>
      </c>
      <c r="BP135" s="40">
        <f t="shared" si="1621"/>
        <v>-2962826.2711463869</v>
      </c>
      <c r="BQ135" s="40">
        <f t="shared" si="1621"/>
        <v>-2962826.2711463869</v>
      </c>
      <c r="BR135" s="40">
        <f t="shared" si="1621"/>
        <v>-2962826.2711463869</v>
      </c>
    </row>
    <row r="136" spans="1:70" outlineLevel="3" x14ac:dyDescent="0.2">
      <c r="A136" s="54"/>
      <c r="B136" s="38" t="str">
        <f t="shared" si="1559"/>
        <v>Страховые взносы резерв на отпуск</v>
      </c>
      <c r="C136" s="56" t="str">
        <f t="shared" si="1559"/>
        <v>Social Security on accruals for unused vacations</v>
      </c>
      <c r="D136" s="168">
        <f t="shared" si="1614"/>
        <v>15576877.462166995</v>
      </c>
      <c r="E136" s="40">
        <f t="shared" si="1614"/>
        <v>0</v>
      </c>
      <c r="F136" s="40">
        <f t="shared" si="1614"/>
        <v>1416079.7692879084</v>
      </c>
      <c r="G136" s="40">
        <f t="shared" si="1615"/>
        <v>1416079.7692879084</v>
      </c>
      <c r="H136" s="40">
        <f t="shared" si="1615"/>
        <v>1416079.7692879084</v>
      </c>
      <c r="I136" s="40">
        <f t="shared" si="1615"/>
        <v>1416079.7692879084</v>
      </c>
      <c r="J136" s="40">
        <f t="shared" si="1615"/>
        <v>1416079.7692879084</v>
      </c>
      <c r="K136" s="40">
        <f t="shared" si="1615"/>
        <v>1416079.7692879084</v>
      </c>
      <c r="L136" s="40">
        <f t="shared" si="1615"/>
        <v>1416079.7692879084</v>
      </c>
      <c r="M136" s="40">
        <f t="shared" si="1615"/>
        <v>1416079.7692879084</v>
      </c>
      <c r="N136" s="40">
        <f t="shared" si="1615"/>
        <v>1416079.7692879084</v>
      </c>
      <c r="O136" s="40">
        <f t="shared" si="1615"/>
        <v>1416079.7692879084</v>
      </c>
      <c r="P136" s="176">
        <f t="shared" si="1615"/>
        <v>1416079.7692879084</v>
      </c>
      <c r="Q136" s="191">
        <f t="shared" si="1616"/>
        <v>15576877.462166995</v>
      </c>
      <c r="R136" s="40">
        <f t="shared" si="1616"/>
        <v>0</v>
      </c>
      <c r="S136" s="40">
        <f t="shared" si="1616"/>
        <v>1416079.7692879084</v>
      </c>
      <c r="T136" s="40">
        <f t="shared" ref="T136:AC136" si="1622">T16-T79</f>
        <v>1416079.7692879084</v>
      </c>
      <c r="U136" s="40">
        <f t="shared" si="1622"/>
        <v>1416079.7692879084</v>
      </c>
      <c r="V136" s="40">
        <f t="shared" si="1622"/>
        <v>1416079.7692879084</v>
      </c>
      <c r="W136" s="40">
        <f t="shared" si="1622"/>
        <v>1416079.7692879084</v>
      </c>
      <c r="X136" s="40">
        <f t="shared" si="1622"/>
        <v>1416079.7692879084</v>
      </c>
      <c r="Y136" s="40">
        <f t="shared" si="1622"/>
        <v>1416079.7692879084</v>
      </c>
      <c r="Z136" s="40">
        <f t="shared" si="1622"/>
        <v>1416079.7692879084</v>
      </c>
      <c r="AA136" s="40">
        <f t="shared" si="1622"/>
        <v>1416079.7692879084</v>
      </c>
      <c r="AB136" s="40">
        <f t="shared" si="1622"/>
        <v>1416079.7692879084</v>
      </c>
      <c r="AC136" s="176">
        <f t="shared" si="1622"/>
        <v>1416079.7692879084</v>
      </c>
      <c r="AD136" s="225">
        <f t="shared" si="1618"/>
        <v>15576877.462166995</v>
      </c>
      <c r="AE136" s="40">
        <f t="shared" si="1618"/>
        <v>0</v>
      </c>
      <c r="AF136" s="40">
        <f t="shared" si="1618"/>
        <v>1416079.7692879084</v>
      </c>
      <c r="AG136" s="40">
        <f t="shared" ref="AG136:AP136" si="1623">AG16-AG79</f>
        <v>1416079.7692879084</v>
      </c>
      <c r="AH136" s="40">
        <f t="shared" si="1623"/>
        <v>1416079.7692879084</v>
      </c>
      <c r="AI136" s="40">
        <f t="shared" si="1623"/>
        <v>1416079.7692879084</v>
      </c>
      <c r="AJ136" s="40">
        <f t="shared" si="1623"/>
        <v>1416079.7692879084</v>
      </c>
      <c r="AK136" s="40">
        <f t="shared" si="1623"/>
        <v>1416079.7692879084</v>
      </c>
      <c r="AL136" s="40">
        <f t="shared" si="1623"/>
        <v>1416079.7692879084</v>
      </c>
      <c r="AM136" s="40">
        <f t="shared" si="1623"/>
        <v>1416079.7692879084</v>
      </c>
      <c r="AN136" s="40">
        <f t="shared" si="1623"/>
        <v>1416079.7692879084</v>
      </c>
      <c r="AO136" s="40">
        <f t="shared" si="1623"/>
        <v>1416079.7692879084</v>
      </c>
      <c r="AP136" s="40">
        <f t="shared" si="1623"/>
        <v>1416079.7692879084</v>
      </c>
      <c r="AQ136" s="168">
        <f>AQ16-AQ79</f>
        <v>0</v>
      </c>
      <c r="AR136" s="40"/>
      <c r="AS136" s="40">
        <f>AS16-AS79</f>
        <v>0</v>
      </c>
      <c r="AT136" s="40">
        <f>AT16-AT79</f>
        <v>1416079.7692879084</v>
      </c>
      <c r="AU136" s="40">
        <f t="shared" ref="AU136:BD136" si="1624">AU16-AU79</f>
        <v>1416079.7692879084</v>
      </c>
      <c r="AV136" s="40">
        <f t="shared" si="1624"/>
        <v>1416079.7692879084</v>
      </c>
      <c r="AW136" s="40">
        <f t="shared" si="1624"/>
        <v>1416079.7692879084</v>
      </c>
      <c r="AX136" s="40">
        <f t="shared" si="1624"/>
        <v>1416079.7692879084</v>
      </c>
      <c r="AY136" s="40">
        <f t="shared" si="1624"/>
        <v>1416079.7692879084</v>
      </c>
      <c r="AZ136" s="40">
        <f t="shared" si="1624"/>
        <v>1416079.7692879084</v>
      </c>
      <c r="BA136" s="40">
        <f t="shared" si="1624"/>
        <v>1416079.7692879084</v>
      </c>
      <c r="BB136" s="40">
        <f t="shared" si="1624"/>
        <v>1416079.7692879084</v>
      </c>
      <c r="BC136" s="40">
        <f t="shared" si="1624"/>
        <v>1416079.7692879084</v>
      </c>
      <c r="BD136" s="176">
        <f t="shared" si="1624"/>
        <v>1416079.7692879084</v>
      </c>
      <c r="BE136" s="191">
        <f t="shared" si="1567"/>
        <v>0</v>
      </c>
      <c r="BF136" s="40"/>
      <c r="BG136" s="40">
        <f>BG16-BG79</f>
        <v>0</v>
      </c>
      <c r="BH136" s="40">
        <f>BH16-BH79</f>
        <v>1416079.7692879084</v>
      </c>
      <c r="BI136" s="40">
        <f t="shared" ref="BI136:BR136" si="1625">BI16-BI79</f>
        <v>1416079.7692879084</v>
      </c>
      <c r="BJ136" s="40">
        <f t="shared" si="1625"/>
        <v>1416079.7692879084</v>
      </c>
      <c r="BK136" s="40">
        <f t="shared" si="1625"/>
        <v>1416079.7692879084</v>
      </c>
      <c r="BL136" s="40">
        <f t="shared" si="1625"/>
        <v>1416079.7692879084</v>
      </c>
      <c r="BM136" s="40">
        <f t="shared" si="1625"/>
        <v>1416079.7692879084</v>
      </c>
      <c r="BN136" s="40">
        <f t="shared" si="1625"/>
        <v>1416079.7692879084</v>
      </c>
      <c r="BO136" s="40">
        <f t="shared" si="1625"/>
        <v>1416079.7692879084</v>
      </c>
      <c r="BP136" s="40">
        <f t="shared" si="1625"/>
        <v>1416079.7692879084</v>
      </c>
      <c r="BQ136" s="40">
        <f t="shared" si="1625"/>
        <v>1416079.7692879084</v>
      </c>
      <c r="BR136" s="40">
        <f t="shared" si="1625"/>
        <v>1416079.7692879084</v>
      </c>
    </row>
    <row r="137" spans="1:70" s="6" customFormat="1" outlineLevel="2" x14ac:dyDescent="0.2">
      <c r="A137" s="30"/>
      <c r="B137" s="29" t="str">
        <f t="shared" si="1559"/>
        <v>Итого резерв на отпуск</v>
      </c>
      <c r="C137" s="52" t="str">
        <f t="shared" si="1559"/>
        <v>Total Accruals for unused vacations</v>
      </c>
      <c r="D137" s="169">
        <f>SUM(D135:D136)</f>
        <v>-17017868.040443033</v>
      </c>
      <c r="E137" s="26">
        <f>SUM(E135:E136)</f>
        <v>-3656.5199999809265</v>
      </c>
      <c r="F137" s="26">
        <f>SUM(F135:F136)</f>
        <v>-1546746.5018584784</v>
      </c>
      <c r="G137" s="26">
        <f t="shared" ref="G137:P137" si="1626">SUM(G135:G136)</f>
        <v>-1546746.5018584784</v>
      </c>
      <c r="H137" s="26">
        <f t="shared" si="1626"/>
        <v>-1546746.5018584784</v>
      </c>
      <c r="I137" s="26">
        <f t="shared" si="1626"/>
        <v>-1546746.5018584784</v>
      </c>
      <c r="J137" s="26">
        <f t="shared" si="1626"/>
        <v>-1546746.5018584784</v>
      </c>
      <c r="K137" s="26">
        <f t="shared" si="1626"/>
        <v>-1546746.5018584784</v>
      </c>
      <c r="L137" s="26">
        <f t="shared" si="1626"/>
        <v>-1546746.5018584784</v>
      </c>
      <c r="M137" s="26">
        <f t="shared" si="1626"/>
        <v>-1546746.5018584784</v>
      </c>
      <c r="N137" s="26">
        <f t="shared" si="1626"/>
        <v>-1546746.5018584784</v>
      </c>
      <c r="O137" s="26">
        <f t="shared" si="1626"/>
        <v>-1546746.5018584784</v>
      </c>
      <c r="P137" s="177">
        <f t="shared" si="1626"/>
        <v>-1546746.5018584784</v>
      </c>
      <c r="Q137" s="192">
        <f>SUM(Q135:Q136)</f>
        <v>-17017868.040443033</v>
      </c>
      <c r="R137" s="26">
        <f>SUM(R135:R136)</f>
        <v>-3656.5199999809265</v>
      </c>
      <c r="S137" s="26">
        <f>SUM(S135:S136)</f>
        <v>-1546746.5018584784</v>
      </c>
      <c r="T137" s="26">
        <f t="shared" ref="T137" si="1627">SUM(T135:T136)</f>
        <v>-1546746.5018584784</v>
      </c>
      <c r="U137" s="26">
        <f t="shared" ref="U137" si="1628">SUM(U135:U136)</f>
        <v>-1546746.5018584784</v>
      </c>
      <c r="V137" s="26">
        <f t="shared" ref="V137" si="1629">SUM(V135:V136)</f>
        <v>-1546746.5018584784</v>
      </c>
      <c r="W137" s="26">
        <f t="shared" ref="W137" si="1630">SUM(W135:W136)</f>
        <v>-1546746.5018584784</v>
      </c>
      <c r="X137" s="26">
        <f t="shared" ref="X137" si="1631">SUM(X135:X136)</f>
        <v>-1546746.5018584784</v>
      </c>
      <c r="Y137" s="26">
        <f t="shared" ref="Y137" si="1632">SUM(Y135:Y136)</f>
        <v>-1546746.5018584784</v>
      </c>
      <c r="Z137" s="26">
        <f t="shared" ref="Z137" si="1633">SUM(Z135:Z136)</f>
        <v>-1546746.5018584784</v>
      </c>
      <c r="AA137" s="26">
        <f t="shared" ref="AA137" si="1634">SUM(AA135:AA136)</f>
        <v>-1546746.5018584784</v>
      </c>
      <c r="AB137" s="26">
        <f t="shared" ref="AB137" si="1635">SUM(AB135:AB136)</f>
        <v>-1546746.5018584784</v>
      </c>
      <c r="AC137" s="177">
        <f t="shared" ref="AC137" si="1636">SUM(AC135:AC136)</f>
        <v>-1546746.5018584784</v>
      </c>
      <c r="AD137" s="226">
        <f>SUM(AD135:AD136)</f>
        <v>-17017868.040443033</v>
      </c>
      <c r="AE137" s="26">
        <f>SUM(AE135:AE136)</f>
        <v>-3656.5199999809265</v>
      </c>
      <c r="AF137" s="26">
        <f>SUM(AF135:AF136)</f>
        <v>-1546746.5018584784</v>
      </c>
      <c r="AG137" s="26">
        <f t="shared" ref="AG137" si="1637">SUM(AG135:AG136)</f>
        <v>-1546746.5018584784</v>
      </c>
      <c r="AH137" s="26">
        <f t="shared" ref="AH137" si="1638">SUM(AH135:AH136)</f>
        <v>-1546746.5018584784</v>
      </c>
      <c r="AI137" s="26">
        <f t="shared" ref="AI137" si="1639">SUM(AI135:AI136)</f>
        <v>-1546746.5018584784</v>
      </c>
      <c r="AJ137" s="26">
        <f t="shared" ref="AJ137" si="1640">SUM(AJ135:AJ136)</f>
        <v>-1546746.5018584784</v>
      </c>
      <c r="AK137" s="26">
        <f t="shared" ref="AK137" si="1641">SUM(AK135:AK136)</f>
        <v>-1546746.5018584784</v>
      </c>
      <c r="AL137" s="26">
        <f t="shared" ref="AL137" si="1642">SUM(AL135:AL136)</f>
        <v>-1546746.5018584784</v>
      </c>
      <c r="AM137" s="26">
        <f t="shared" ref="AM137" si="1643">SUM(AM135:AM136)</f>
        <v>-1546746.5018584784</v>
      </c>
      <c r="AN137" s="26">
        <f t="shared" ref="AN137" si="1644">SUM(AN135:AN136)</f>
        <v>-1546746.5018584784</v>
      </c>
      <c r="AO137" s="26">
        <f t="shared" ref="AO137" si="1645">SUM(AO135:AO136)</f>
        <v>-1546746.5018584784</v>
      </c>
      <c r="AP137" s="26">
        <f t="shared" ref="AP137" si="1646">SUM(AP135:AP136)</f>
        <v>-1546746.5018584784</v>
      </c>
      <c r="AQ137" s="169">
        <f>SUM(AQ135:AQ136)</f>
        <v>0</v>
      </c>
      <c r="AR137" s="26"/>
      <c r="AS137" s="26">
        <f>SUM(AS135:AS136)</f>
        <v>-3656.5199999809265</v>
      </c>
      <c r="AT137" s="26">
        <f>SUM(AT135:AT136)</f>
        <v>-1546746.5018584784</v>
      </c>
      <c r="AU137" s="26">
        <f t="shared" ref="AU137" si="1647">SUM(AU135:AU136)</f>
        <v>-1546746.5018584784</v>
      </c>
      <c r="AV137" s="26">
        <f t="shared" ref="AV137" si="1648">SUM(AV135:AV136)</f>
        <v>-1546746.5018584784</v>
      </c>
      <c r="AW137" s="26">
        <f t="shared" ref="AW137" si="1649">SUM(AW135:AW136)</f>
        <v>-1546746.5018584784</v>
      </c>
      <c r="AX137" s="26">
        <f t="shared" ref="AX137" si="1650">SUM(AX135:AX136)</f>
        <v>-1546746.5018584784</v>
      </c>
      <c r="AY137" s="26">
        <f t="shared" ref="AY137" si="1651">SUM(AY135:AY136)</f>
        <v>-1546746.5018584784</v>
      </c>
      <c r="AZ137" s="26">
        <f t="shared" ref="AZ137" si="1652">SUM(AZ135:AZ136)</f>
        <v>-1546746.5018584784</v>
      </c>
      <c r="BA137" s="26">
        <f t="shared" ref="BA137" si="1653">SUM(BA135:BA136)</f>
        <v>-1546746.5018584784</v>
      </c>
      <c r="BB137" s="26">
        <f t="shared" ref="BB137" si="1654">SUM(BB135:BB136)</f>
        <v>-1546746.5018584784</v>
      </c>
      <c r="BC137" s="26">
        <f t="shared" ref="BC137" si="1655">SUM(BC135:BC136)</f>
        <v>-1546746.5018584784</v>
      </c>
      <c r="BD137" s="177">
        <f t="shared" ref="BD137" si="1656">SUM(BD135:BD136)</f>
        <v>-1546746.5018584784</v>
      </c>
      <c r="BE137" s="192">
        <f t="shared" si="1567"/>
        <v>0</v>
      </c>
      <c r="BF137" s="26"/>
      <c r="BG137" s="26">
        <f>SUM(BG135:BG136)</f>
        <v>-3656.5199999809265</v>
      </c>
      <c r="BH137" s="26">
        <f>SUM(BH135:BH136)</f>
        <v>-1546746.5018584784</v>
      </c>
      <c r="BI137" s="26">
        <f t="shared" ref="BI137" si="1657">SUM(BI135:BI136)</f>
        <v>-1546746.5018584784</v>
      </c>
      <c r="BJ137" s="26">
        <f t="shared" ref="BJ137" si="1658">SUM(BJ135:BJ136)</f>
        <v>-1546746.5018584784</v>
      </c>
      <c r="BK137" s="26">
        <f t="shared" ref="BK137" si="1659">SUM(BK135:BK136)</f>
        <v>-1546746.5018584784</v>
      </c>
      <c r="BL137" s="26">
        <f t="shared" ref="BL137" si="1660">SUM(BL135:BL136)</f>
        <v>-1546746.5018584784</v>
      </c>
      <c r="BM137" s="26">
        <f t="shared" ref="BM137" si="1661">SUM(BM135:BM136)</f>
        <v>-1546746.5018584784</v>
      </c>
      <c r="BN137" s="26">
        <f t="shared" ref="BN137" si="1662">SUM(BN135:BN136)</f>
        <v>-1546746.5018584784</v>
      </c>
      <c r="BO137" s="26">
        <f t="shared" ref="BO137" si="1663">SUM(BO135:BO136)</f>
        <v>-1546746.5018584784</v>
      </c>
      <c r="BP137" s="26">
        <f t="shared" ref="BP137" si="1664">SUM(BP135:BP136)</f>
        <v>-1546746.5018584784</v>
      </c>
      <c r="BQ137" s="26">
        <f t="shared" ref="BQ137" si="1665">SUM(BQ135:BQ136)</f>
        <v>-1546746.5018584784</v>
      </c>
      <c r="BR137" s="26">
        <f t="shared" ref="BR137" si="1666">SUM(BR135:BR136)</f>
        <v>-1546746.5018584784</v>
      </c>
    </row>
    <row r="138" spans="1:70" outlineLevel="3" x14ac:dyDescent="0.2">
      <c r="A138" s="54"/>
      <c r="B138" s="38" t="str">
        <f t="shared" si="1559"/>
        <v>Оплата больничных листов</v>
      </c>
      <c r="C138" s="49" t="str">
        <f t="shared" si="1559"/>
        <v>Sick leave compensation</v>
      </c>
      <c r="D138" s="168">
        <f t="shared" ref="D138:F139" si="1667">D18-D81</f>
        <v>-5525298.6799999997</v>
      </c>
      <c r="E138" s="40">
        <f t="shared" si="1667"/>
        <v>0</v>
      </c>
      <c r="F138" s="40">
        <f t="shared" si="1667"/>
        <v>-502299.88</v>
      </c>
      <c r="G138" s="40">
        <f t="shared" ref="G138:P139" si="1668">G18-G81</f>
        <v>-502299.88</v>
      </c>
      <c r="H138" s="40">
        <f t="shared" si="1668"/>
        <v>-502299.88</v>
      </c>
      <c r="I138" s="40">
        <f t="shared" si="1668"/>
        <v>-502299.88</v>
      </c>
      <c r="J138" s="40">
        <f t="shared" si="1668"/>
        <v>-502299.88</v>
      </c>
      <c r="K138" s="40">
        <f t="shared" si="1668"/>
        <v>-502299.88</v>
      </c>
      <c r="L138" s="40">
        <f t="shared" si="1668"/>
        <v>-502299.88</v>
      </c>
      <c r="M138" s="40">
        <f t="shared" si="1668"/>
        <v>-502299.88</v>
      </c>
      <c r="N138" s="40">
        <f t="shared" si="1668"/>
        <v>-502299.88</v>
      </c>
      <c r="O138" s="40">
        <f t="shared" si="1668"/>
        <v>-502299.88</v>
      </c>
      <c r="P138" s="176">
        <f t="shared" si="1668"/>
        <v>-502299.88</v>
      </c>
      <c r="Q138" s="191">
        <f t="shared" ref="Q138:S139" si="1669">Q18-Q81</f>
        <v>-5525298.6799999997</v>
      </c>
      <c r="R138" s="40">
        <f t="shared" si="1669"/>
        <v>0</v>
      </c>
      <c r="S138" s="40">
        <f t="shared" si="1669"/>
        <v>-502299.88</v>
      </c>
      <c r="T138" s="40">
        <f t="shared" ref="T138:AC138" si="1670">T18-T81</f>
        <v>-502299.88</v>
      </c>
      <c r="U138" s="40">
        <f t="shared" si="1670"/>
        <v>-502299.88</v>
      </c>
      <c r="V138" s="40">
        <f t="shared" si="1670"/>
        <v>-502299.88</v>
      </c>
      <c r="W138" s="40">
        <f t="shared" si="1670"/>
        <v>-502299.88</v>
      </c>
      <c r="X138" s="40">
        <f t="shared" si="1670"/>
        <v>-502299.88</v>
      </c>
      <c r="Y138" s="40">
        <f t="shared" si="1670"/>
        <v>-502299.88</v>
      </c>
      <c r="Z138" s="40">
        <f t="shared" si="1670"/>
        <v>-502299.88</v>
      </c>
      <c r="AA138" s="40">
        <f t="shared" si="1670"/>
        <v>-502299.88</v>
      </c>
      <c r="AB138" s="40">
        <f t="shared" si="1670"/>
        <v>-502299.88</v>
      </c>
      <c r="AC138" s="176">
        <f t="shared" si="1670"/>
        <v>-502299.88</v>
      </c>
      <c r="AD138" s="225">
        <f t="shared" ref="AD138:AF139" si="1671">AD18-AD81</f>
        <v>-5525298.6799999997</v>
      </c>
      <c r="AE138" s="40">
        <f t="shared" si="1671"/>
        <v>0</v>
      </c>
      <c r="AF138" s="40">
        <f t="shared" si="1671"/>
        <v>-502299.88</v>
      </c>
      <c r="AG138" s="40">
        <f t="shared" ref="AG138:AP138" si="1672">AG18-AG81</f>
        <v>-502299.88</v>
      </c>
      <c r="AH138" s="40">
        <f t="shared" si="1672"/>
        <v>-502299.88</v>
      </c>
      <c r="AI138" s="40">
        <f t="shared" si="1672"/>
        <v>-502299.88</v>
      </c>
      <c r="AJ138" s="40">
        <f t="shared" si="1672"/>
        <v>-502299.88</v>
      </c>
      <c r="AK138" s="40">
        <f t="shared" si="1672"/>
        <v>-502299.88</v>
      </c>
      <c r="AL138" s="40">
        <f t="shared" si="1672"/>
        <v>-502299.88</v>
      </c>
      <c r="AM138" s="40">
        <f t="shared" si="1672"/>
        <v>-502299.88</v>
      </c>
      <c r="AN138" s="40">
        <f t="shared" si="1672"/>
        <v>-502299.88</v>
      </c>
      <c r="AO138" s="40">
        <f t="shared" si="1672"/>
        <v>-502299.88</v>
      </c>
      <c r="AP138" s="40">
        <f t="shared" si="1672"/>
        <v>-502299.88</v>
      </c>
      <c r="AQ138" s="168">
        <f>AQ18-AQ81</f>
        <v>0</v>
      </c>
      <c r="AR138" s="40"/>
      <c r="AS138" s="40">
        <f>AS18-AS81</f>
        <v>0</v>
      </c>
      <c r="AT138" s="40">
        <f>AT18-AT81</f>
        <v>-502299.88</v>
      </c>
      <c r="AU138" s="40">
        <f t="shared" ref="AU138:BD138" si="1673">AU18-AU81</f>
        <v>-502299.88</v>
      </c>
      <c r="AV138" s="40">
        <f t="shared" si="1673"/>
        <v>-502299.88</v>
      </c>
      <c r="AW138" s="40">
        <f t="shared" si="1673"/>
        <v>-502299.88</v>
      </c>
      <c r="AX138" s="40">
        <f t="shared" si="1673"/>
        <v>-502299.88</v>
      </c>
      <c r="AY138" s="40">
        <f t="shared" si="1673"/>
        <v>-502299.88</v>
      </c>
      <c r="AZ138" s="40">
        <f t="shared" si="1673"/>
        <v>-502299.88</v>
      </c>
      <c r="BA138" s="40">
        <f t="shared" si="1673"/>
        <v>-502299.88</v>
      </c>
      <c r="BB138" s="40">
        <f t="shared" si="1673"/>
        <v>-502299.88</v>
      </c>
      <c r="BC138" s="40">
        <f t="shared" si="1673"/>
        <v>-502299.88</v>
      </c>
      <c r="BD138" s="176">
        <f t="shared" si="1673"/>
        <v>-502299.88</v>
      </c>
      <c r="BE138" s="191">
        <f t="shared" si="1567"/>
        <v>0</v>
      </c>
      <c r="BF138" s="40"/>
      <c r="BG138" s="40">
        <f>BG18-BG81</f>
        <v>0</v>
      </c>
      <c r="BH138" s="40">
        <f>BH18-BH81</f>
        <v>-502299.88</v>
      </c>
      <c r="BI138" s="40">
        <f t="shared" ref="BI138:BR138" si="1674">BI18-BI81</f>
        <v>-502299.88</v>
      </c>
      <c r="BJ138" s="40">
        <f t="shared" si="1674"/>
        <v>-502299.88</v>
      </c>
      <c r="BK138" s="40">
        <f t="shared" si="1674"/>
        <v>-502299.88</v>
      </c>
      <c r="BL138" s="40">
        <f t="shared" si="1674"/>
        <v>-502299.88</v>
      </c>
      <c r="BM138" s="40">
        <f t="shared" si="1674"/>
        <v>-502299.88</v>
      </c>
      <c r="BN138" s="40">
        <f t="shared" si="1674"/>
        <v>-502299.88</v>
      </c>
      <c r="BO138" s="40">
        <f t="shared" si="1674"/>
        <v>-502299.88</v>
      </c>
      <c r="BP138" s="40">
        <f t="shared" si="1674"/>
        <v>-502299.88</v>
      </c>
      <c r="BQ138" s="40">
        <f t="shared" si="1674"/>
        <v>-502299.88</v>
      </c>
      <c r="BR138" s="40">
        <f t="shared" si="1674"/>
        <v>-502299.88</v>
      </c>
    </row>
    <row r="139" spans="1:70" outlineLevel="3" x14ac:dyDescent="0.2">
      <c r="A139" s="54"/>
      <c r="B139" s="38" t="str">
        <f t="shared" si="1559"/>
        <v>Страховые взносы оплата больничных листов</v>
      </c>
      <c r="C139" s="49" t="str">
        <f t="shared" si="1559"/>
        <v>Social Security on Sick leave compensation</v>
      </c>
      <c r="D139" s="168">
        <f t="shared" si="1667"/>
        <v>-894733.94999999984</v>
      </c>
      <c r="E139" s="40">
        <f t="shared" si="1667"/>
        <v>0</v>
      </c>
      <c r="F139" s="40">
        <f t="shared" si="1667"/>
        <v>-81339.45</v>
      </c>
      <c r="G139" s="40">
        <f t="shared" si="1668"/>
        <v>-81339.45</v>
      </c>
      <c r="H139" s="40">
        <f t="shared" si="1668"/>
        <v>-81339.45</v>
      </c>
      <c r="I139" s="40">
        <f t="shared" si="1668"/>
        <v>-81339.45</v>
      </c>
      <c r="J139" s="40">
        <f t="shared" si="1668"/>
        <v>-81339.45</v>
      </c>
      <c r="K139" s="40">
        <f t="shared" si="1668"/>
        <v>-81339.45</v>
      </c>
      <c r="L139" s="40">
        <f t="shared" si="1668"/>
        <v>-81339.45</v>
      </c>
      <c r="M139" s="40">
        <f t="shared" si="1668"/>
        <v>-81339.45</v>
      </c>
      <c r="N139" s="40">
        <f t="shared" si="1668"/>
        <v>-81339.45</v>
      </c>
      <c r="O139" s="40">
        <f t="shared" si="1668"/>
        <v>-81339.45</v>
      </c>
      <c r="P139" s="176">
        <f t="shared" si="1668"/>
        <v>-81339.45</v>
      </c>
      <c r="Q139" s="191">
        <f t="shared" si="1669"/>
        <v>-894733.94999999984</v>
      </c>
      <c r="R139" s="40">
        <f t="shared" si="1669"/>
        <v>0</v>
      </c>
      <c r="S139" s="40">
        <f t="shared" si="1669"/>
        <v>-81339.45</v>
      </c>
      <c r="T139" s="40">
        <f t="shared" ref="T139:AC139" si="1675">T19-T82</f>
        <v>-81339.45</v>
      </c>
      <c r="U139" s="40">
        <f t="shared" si="1675"/>
        <v>-81339.45</v>
      </c>
      <c r="V139" s="40">
        <f t="shared" si="1675"/>
        <v>-81339.45</v>
      </c>
      <c r="W139" s="40">
        <f t="shared" si="1675"/>
        <v>-81339.45</v>
      </c>
      <c r="X139" s="40">
        <f t="shared" si="1675"/>
        <v>-81339.45</v>
      </c>
      <c r="Y139" s="40">
        <f t="shared" si="1675"/>
        <v>-81339.45</v>
      </c>
      <c r="Z139" s="40">
        <f t="shared" si="1675"/>
        <v>-81339.45</v>
      </c>
      <c r="AA139" s="40">
        <f t="shared" si="1675"/>
        <v>-81339.45</v>
      </c>
      <c r="AB139" s="40">
        <f t="shared" si="1675"/>
        <v>-81339.45</v>
      </c>
      <c r="AC139" s="176">
        <f t="shared" si="1675"/>
        <v>-81339.45</v>
      </c>
      <c r="AD139" s="225">
        <f t="shared" si="1671"/>
        <v>-894733.94999999984</v>
      </c>
      <c r="AE139" s="40">
        <f t="shared" si="1671"/>
        <v>0</v>
      </c>
      <c r="AF139" s="40">
        <f t="shared" si="1671"/>
        <v>-81339.45</v>
      </c>
      <c r="AG139" s="40">
        <f t="shared" ref="AG139:AP139" si="1676">AG19-AG82</f>
        <v>-81339.45</v>
      </c>
      <c r="AH139" s="40">
        <f t="shared" si="1676"/>
        <v>-81339.45</v>
      </c>
      <c r="AI139" s="40">
        <f t="shared" si="1676"/>
        <v>-81339.45</v>
      </c>
      <c r="AJ139" s="40">
        <f t="shared" si="1676"/>
        <v>-81339.45</v>
      </c>
      <c r="AK139" s="40">
        <f t="shared" si="1676"/>
        <v>-81339.45</v>
      </c>
      <c r="AL139" s="40">
        <f t="shared" si="1676"/>
        <v>-81339.45</v>
      </c>
      <c r="AM139" s="40">
        <f t="shared" si="1676"/>
        <v>-81339.45</v>
      </c>
      <c r="AN139" s="40">
        <f t="shared" si="1676"/>
        <v>-81339.45</v>
      </c>
      <c r="AO139" s="40">
        <f t="shared" si="1676"/>
        <v>-81339.45</v>
      </c>
      <c r="AP139" s="40">
        <f t="shared" si="1676"/>
        <v>-81339.45</v>
      </c>
      <c r="AQ139" s="168">
        <f>AQ19-AQ82</f>
        <v>0</v>
      </c>
      <c r="AR139" s="40"/>
      <c r="AS139" s="40">
        <f>AS19-AS82</f>
        <v>0</v>
      </c>
      <c r="AT139" s="40">
        <f>AT19-AT82</f>
        <v>-81339.45</v>
      </c>
      <c r="AU139" s="40">
        <f t="shared" ref="AU139:BD139" si="1677">AU19-AU82</f>
        <v>-81339.45</v>
      </c>
      <c r="AV139" s="40">
        <f t="shared" si="1677"/>
        <v>-81339.45</v>
      </c>
      <c r="AW139" s="40">
        <f t="shared" si="1677"/>
        <v>-81339.45</v>
      </c>
      <c r="AX139" s="40">
        <f t="shared" si="1677"/>
        <v>-81339.45</v>
      </c>
      <c r="AY139" s="40">
        <f t="shared" si="1677"/>
        <v>-81339.45</v>
      </c>
      <c r="AZ139" s="40">
        <f t="shared" si="1677"/>
        <v>-81339.45</v>
      </c>
      <c r="BA139" s="40">
        <f t="shared" si="1677"/>
        <v>-81339.45</v>
      </c>
      <c r="BB139" s="40">
        <f t="shared" si="1677"/>
        <v>-81339.45</v>
      </c>
      <c r="BC139" s="40">
        <f t="shared" si="1677"/>
        <v>-81339.45</v>
      </c>
      <c r="BD139" s="176">
        <f t="shared" si="1677"/>
        <v>-81339.45</v>
      </c>
      <c r="BE139" s="191">
        <f t="shared" si="1567"/>
        <v>0</v>
      </c>
      <c r="BF139" s="40"/>
      <c r="BG139" s="40">
        <f>BG19-BG82</f>
        <v>0</v>
      </c>
      <c r="BH139" s="40">
        <f>BH19-BH82</f>
        <v>-81339.45</v>
      </c>
      <c r="BI139" s="40">
        <f t="shared" ref="BI139:BR139" si="1678">BI19-BI82</f>
        <v>-81339.45</v>
      </c>
      <c r="BJ139" s="40">
        <f t="shared" si="1678"/>
        <v>-81339.45</v>
      </c>
      <c r="BK139" s="40">
        <f t="shared" si="1678"/>
        <v>-81339.45</v>
      </c>
      <c r="BL139" s="40">
        <f t="shared" si="1678"/>
        <v>-81339.45</v>
      </c>
      <c r="BM139" s="40">
        <f t="shared" si="1678"/>
        <v>-81339.45</v>
      </c>
      <c r="BN139" s="40">
        <f t="shared" si="1678"/>
        <v>-81339.45</v>
      </c>
      <c r="BO139" s="40">
        <f t="shared" si="1678"/>
        <v>-81339.45</v>
      </c>
      <c r="BP139" s="40">
        <f t="shared" si="1678"/>
        <v>-81339.45</v>
      </c>
      <c r="BQ139" s="40">
        <f t="shared" si="1678"/>
        <v>-81339.45</v>
      </c>
      <c r="BR139" s="40">
        <f t="shared" si="1678"/>
        <v>-81339.45</v>
      </c>
    </row>
    <row r="140" spans="1:70" s="6" customFormat="1" outlineLevel="2" x14ac:dyDescent="0.2">
      <c r="A140" s="30"/>
      <c r="B140" s="29" t="str">
        <f t="shared" si="1559"/>
        <v>Итого оплата больничных листов</v>
      </c>
      <c r="C140" s="52" t="str">
        <f t="shared" si="1559"/>
        <v>Total Sick leave compensation</v>
      </c>
      <c r="D140" s="169">
        <f>SUM(D138:D139)</f>
        <v>-6420032.6299999999</v>
      </c>
      <c r="E140" s="26">
        <f>SUM(E138:E139)</f>
        <v>0</v>
      </c>
      <c r="F140" s="26">
        <f>SUM(F138:F139)</f>
        <v>-583639.32999999996</v>
      </c>
      <c r="G140" s="26">
        <f t="shared" ref="G140:P140" si="1679">SUM(G138:G139)</f>
        <v>-583639.32999999996</v>
      </c>
      <c r="H140" s="26">
        <f t="shared" si="1679"/>
        <v>-583639.32999999996</v>
      </c>
      <c r="I140" s="26">
        <f t="shared" si="1679"/>
        <v>-583639.32999999996</v>
      </c>
      <c r="J140" s="26">
        <f t="shared" si="1679"/>
        <v>-583639.32999999996</v>
      </c>
      <c r="K140" s="26">
        <f t="shared" si="1679"/>
        <v>-583639.32999999996</v>
      </c>
      <c r="L140" s="26">
        <f t="shared" si="1679"/>
        <v>-583639.32999999996</v>
      </c>
      <c r="M140" s="26">
        <f t="shared" si="1679"/>
        <v>-583639.32999999996</v>
      </c>
      <c r="N140" s="26">
        <f t="shared" si="1679"/>
        <v>-583639.32999999996</v>
      </c>
      <c r="O140" s="26">
        <f t="shared" si="1679"/>
        <v>-583639.32999999996</v>
      </c>
      <c r="P140" s="177">
        <f t="shared" si="1679"/>
        <v>-583639.32999999996</v>
      </c>
      <c r="Q140" s="192">
        <f>SUM(Q138:Q139)</f>
        <v>-6420032.6299999999</v>
      </c>
      <c r="R140" s="26">
        <f>SUM(R138:R139)</f>
        <v>0</v>
      </c>
      <c r="S140" s="26">
        <f>SUM(S138:S139)</f>
        <v>-583639.32999999996</v>
      </c>
      <c r="T140" s="26">
        <f t="shared" ref="T140" si="1680">SUM(T138:T139)</f>
        <v>-583639.32999999996</v>
      </c>
      <c r="U140" s="26">
        <f t="shared" ref="U140" si="1681">SUM(U138:U139)</f>
        <v>-583639.32999999996</v>
      </c>
      <c r="V140" s="26">
        <f t="shared" ref="V140" si="1682">SUM(V138:V139)</f>
        <v>-583639.32999999996</v>
      </c>
      <c r="W140" s="26">
        <f t="shared" ref="W140" si="1683">SUM(W138:W139)</f>
        <v>-583639.32999999996</v>
      </c>
      <c r="X140" s="26">
        <f t="shared" ref="X140" si="1684">SUM(X138:X139)</f>
        <v>-583639.32999999996</v>
      </c>
      <c r="Y140" s="26">
        <f t="shared" ref="Y140" si="1685">SUM(Y138:Y139)</f>
        <v>-583639.32999999996</v>
      </c>
      <c r="Z140" s="26">
        <f t="shared" ref="Z140" si="1686">SUM(Z138:Z139)</f>
        <v>-583639.32999999996</v>
      </c>
      <c r="AA140" s="26">
        <f t="shared" ref="AA140" si="1687">SUM(AA138:AA139)</f>
        <v>-583639.32999999996</v>
      </c>
      <c r="AB140" s="26">
        <f t="shared" ref="AB140" si="1688">SUM(AB138:AB139)</f>
        <v>-583639.32999999996</v>
      </c>
      <c r="AC140" s="177">
        <f t="shared" ref="AC140" si="1689">SUM(AC138:AC139)</f>
        <v>-583639.32999999996</v>
      </c>
      <c r="AD140" s="226">
        <f>SUM(AD138:AD139)</f>
        <v>-6420032.6299999999</v>
      </c>
      <c r="AE140" s="26">
        <f>SUM(AE138:AE139)</f>
        <v>0</v>
      </c>
      <c r="AF140" s="26">
        <f>SUM(AF138:AF139)</f>
        <v>-583639.32999999996</v>
      </c>
      <c r="AG140" s="26">
        <f t="shared" ref="AG140" si="1690">SUM(AG138:AG139)</f>
        <v>-583639.32999999996</v>
      </c>
      <c r="AH140" s="26">
        <f t="shared" ref="AH140" si="1691">SUM(AH138:AH139)</f>
        <v>-583639.32999999996</v>
      </c>
      <c r="AI140" s="26">
        <f t="shared" ref="AI140" si="1692">SUM(AI138:AI139)</f>
        <v>-583639.32999999996</v>
      </c>
      <c r="AJ140" s="26">
        <f t="shared" ref="AJ140" si="1693">SUM(AJ138:AJ139)</f>
        <v>-583639.32999999996</v>
      </c>
      <c r="AK140" s="26">
        <f t="shared" ref="AK140" si="1694">SUM(AK138:AK139)</f>
        <v>-583639.32999999996</v>
      </c>
      <c r="AL140" s="26">
        <f t="shared" ref="AL140" si="1695">SUM(AL138:AL139)</f>
        <v>-583639.32999999996</v>
      </c>
      <c r="AM140" s="26">
        <f t="shared" ref="AM140" si="1696">SUM(AM138:AM139)</f>
        <v>-583639.32999999996</v>
      </c>
      <c r="AN140" s="26">
        <f t="shared" ref="AN140" si="1697">SUM(AN138:AN139)</f>
        <v>-583639.32999999996</v>
      </c>
      <c r="AO140" s="26">
        <f t="shared" ref="AO140" si="1698">SUM(AO138:AO139)</f>
        <v>-583639.32999999996</v>
      </c>
      <c r="AP140" s="26">
        <f t="shared" ref="AP140" si="1699">SUM(AP138:AP139)</f>
        <v>-583639.32999999996</v>
      </c>
      <c r="AQ140" s="169">
        <f>SUM(AQ138:AQ139)</f>
        <v>0</v>
      </c>
      <c r="AR140" s="26"/>
      <c r="AS140" s="26">
        <f>SUM(AS138:AS139)</f>
        <v>0</v>
      </c>
      <c r="AT140" s="26">
        <f>SUM(AT138:AT139)</f>
        <v>-583639.32999999996</v>
      </c>
      <c r="AU140" s="26">
        <f t="shared" ref="AU140" si="1700">SUM(AU138:AU139)</f>
        <v>-583639.32999999996</v>
      </c>
      <c r="AV140" s="26">
        <f t="shared" ref="AV140" si="1701">SUM(AV138:AV139)</f>
        <v>-583639.32999999996</v>
      </c>
      <c r="AW140" s="26">
        <f t="shared" ref="AW140" si="1702">SUM(AW138:AW139)</f>
        <v>-583639.32999999996</v>
      </c>
      <c r="AX140" s="26">
        <f t="shared" ref="AX140" si="1703">SUM(AX138:AX139)</f>
        <v>-583639.32999999996</v>
      </c>
      <c r="AY140" s="26">
        <f t="shared" ref="AY140" si="1704">SUM(AY138:AY139)</f>
        <v>-583639.32999999996</v>
      </c>
      <c r="AZ140" s="26">
        <f t="shared" ref="AZ140" si="1705">SUM(AZ138:AZ139)</f>
        <v>-583639.32999999996</v>
      </c>
      <c r="BA140" s="26">
        <f t="shared" ref="BA140" si="1706">SUM(BA138:BA139)</f>
        <v>-583639.32999999996</v>
      </c>
      <c r="BB140" s="26">
        <f t="shared" ref="BB140" si="1707">SUM(BB138:BB139)</f>
        <v>-583639.32999999996</v>
      </c>
      <c r="BC140" s="26">
        <f t="shared" ref="BC140" si="1708">SUM(BC138:BC139)</f>
        <v>-583639.32999999996</v>
      </c>
      <c r="BD140" s="177">
        <f t="shared" ref="BD140" si="1709">SUM(BD138:BD139)</f>
        <v>-583639.32999999996</v>
      </c>
      <c r="BE140" s="192">
        <f t="shared" si="1567"/>
        <v>0</v>
      </c>
      <c r="BF140" s="26"/>
      <c r="BG140" s="26">
        <f>SUM(BG138:BG139)</f>
        <v>0</v>
      </c>
      <c r="BH140" s="26">
        <f>SUM(BH138:BH139)</f>
        <v>-583639.32999999996</v>
      </c>
      <c r="BI140" s="26">
        <f t="shared" ref="BI140" si="1710">SUM(BI138:BI139)</f>
        <v>-583639.32999999996</v>
      </c>
      <c r="BJ140" s="26">
        <f t="shared" ref="BJ140" si="1711">SUM(BJ138:BJ139)</f>
        <v>-583639.32999999996</v>
      </c>
      <c r="BK140" s="26">
        <f t="shared" ref="BK140" si="1712">SUM(BK138:BK139)</f>
        <v>-583639.32999999996</v>
      </c>
      <c r="BL140" s="26">
        <f t="shared" ref="BL140" si="1713">SUM(BL138:BL139)</f>
        <v>-583639.32999999996</v>
      </c>
      <c r="BM140" s="26">
        <f t="shared" ref="BM140" si="1714">SUM(BM138:BM139)</f>
        <v>-583639.32999999996</v>
      </c>
      <c r="BN140" s="26">
        <f t="shared" ref="BN140" si="1715">SUM(BN138:BN139)</f>
        <v>-583639.32999999996</v>
      </c>
      <c r="BO140" s="26">
        <f t="shared" ref="BO140" si="1716">SUM(BO138:BO139)</f>
        <v>-583639.32999999996</v>
      </c>
      <c r="BP140" s="26">
        <f t="shared" ref="BP140" si="1717">SUM(BP138:BP139)</f>
        <v>-583639.32999999996</v>
      </c>
      <c r="BQ140" s="26">
        <f t="shared" ref="BQ140" si="1718">SUM(BQ138:BQ139)</f>
        <v>-583639.32999999996</v>
      </c>
      <c r="BR140" s="26">
        <f t="shared" ref="BR140" si="1719">SUM(BR138:BR139)</f>
        <v>-583639.32999999996</v>
      </c>
    </row>
    <row r="141" spans="1:70" outlineLevel="3" x14ac:dyDescent="0.2">
      <c r="A141" s="54"/>
      <c r="B141" s="38" t="str">
        <f t="shared" si="1559"/>
        <v>Декрет</v>
      </c>
      <c r="C141" s="49" t="str">
        <f t="shared" si="1559"/>
        <v>Maternity leave</v>
      </c>
      <c r="D141" s="168">
        <f t="shared" ref="D141:F142" si="1720">D21-D84</f>
        <v>0</v>
      </c>
      <c r="E141" s="40">
        <f t="shared" si="1720"/>
        <v>0</v>
      </c>
      <c r="F141" s="40">
        <f t="shared" si="1720"/>
        <v>0</v>
      </c>
      <c r="G141" s="40">
        <f t="shared" ref="G141:P142" si="1721">G21-G84</f>
        <v>0</v>
      </c>
      <c r="H141" s="40">
        <f t="shared" si="1721"/>
        <v>0</v>
      </c>
      <c r="I141" s="40">
        <f t="shared" si="1721"/>
        <v>0</v>
      </c>
      <c r="J141" s="40">
        <f t="shared" si="1721"/>
        <v>0</v>
      </c>
      <c r="K141" s="40">
        <f t="shared" si="1721"/>
        <v>0</v>
      </c>
      <c r="L141" s="40">
        <f t="shared" si="1721"/>
        <v>0</v>
      </c>
      <c r="M141" s="40">
        <f t="shared" si="1721"/>
        <v>0</v>
      </c>
      <c r="N141" s="40">
        <f t="shared" si="1721"/>
        <v>0</v>
      </c>
      <c r="O141" s="40">
        <f t="shared" si="1721"/>
        <v>0</v>
      </c>
      <c r="P141" s="176">
        <f t="shared" si="1721"/>
        <v>0</v>
      </c>
      <c r="Q141" s="191">
        <f t="shared" ref="Q141:S142" si="1722">Q21-Q84</f>
        <v>0</v>
      </c>
      <c r="R141" s="40">
        <f t="shared" si="1722"/>
        <v>0</v>
      </c>
      <c r="S141" s="40">
        <f t="shared" si="1722"/>
        <v>0</v>
      </c>
      <c r="T141" s="40">
        <f t="shared" ref="T141:AC141" si="1723">T21-T84</f>
        <v>0</v>
      </c>
      <c r="U141" s="40">
        <f t="shared" si="1723"/>
        <v>0</v>
      </c>
      <c r="V141" s="40">
        <f t="shared" si="1723"/>
        <v>0</v>
      </c>
      <c r="W141" s="40">
        <f t="shared" si="1723"/>
        <v>0</v>
      </c>
      <c r="X141" s="40">
        <f t="shared" si="1723"/>
        <v>0</v>
      </c>
      <c r="Y141" s="40">
        <f t="shared" si="1723"/>
        <v>0</v>
      </c>
      <c r="Z141" s="40">
        <f t="shared" si="1723"/>
        <v>0</v>
      </c>
      <c r="AA141" s="40">
        <f t="shared" si="1723"/>
        <v>0</v>
      </c>
      <c r="AB141" s="40">
        <f t="shared" si="1723"/>
        <v>0</v>
      </c>
      <c r="AC141" s="176">
        <f t="shared" si="1723"/>
        <v>0</v>
      </c>
      <c r="AD141" s="225">
        <f t="shared" ref="AD141:AF142" si="1724">AD21-AD84</f>
        <v>0</v>
      </c>
      <c r="AE141" s="40">
        <f t="shared" si="1724"/>
        <v>0</v>
      </c>
      <c r="AF141" s="40">
        <f t="shared" si="1724"/>
        <v>0</v>
      </c>
      <c r="AG141" s="40">
        <f t="shared" ref="AG141:AP141" si="1725">AG21-AG84</f>
        <v>0</v>
      </c>
      <c r="AH141" s="40">
        <f t="shared" si="1725"/>
        <v>0</v>
      </c>
      <c r="AI141" s="40">
        <f t="shared" si="1725"/>
        <v>0</v>
      </c>
      <c r="AJ141" s="40">
        <f t="shared" si="1725"/>
        <v>0</v>
      </c>
      <c r="AK141" s="40">
        <f t="shared" si="1725"/>
        <v>0</v>
      </c>
      <c r="AL141" s="40">
        <f t="shared" si="1725"/>
        <v>0</v>
      </c>
      <c r="AM141" s="40">
        <f t="shared" si="1725"/>
        <v>0</v>
      </c>
      <c r="AN141" s="40">
        <f t="shared" si="1725"/>
        <v>0</v>
      </c>
      <c r="AO141" s="40">
        <f t="shared" si="1725"/>
        <v>0</v>
      </c>
      <c r="AP141" s="40">
        <f t="shared" si="1725"/>
        <v>0</v>
      </c>
      <c r="AQ141" s="168">
        <f>AQ21-AQ84</f>
        <v>0</v>
      </c>
      <c r="AR141" s="40"/>
      <c r="AS141" s="40">
        <f>AS21-AS84</f>
        <v>0</v>
      </c>
      <c r="AT141" s="40">
        <f>AT21-AT84</f>
        <v>0</v>
      </c>
      <c r="AU141" s="40">
        <f t="shared" ref="AU141:BD141" si="1726">AU21-AU84</f>
        <v>0</v>
      </c>
      <c r="AV141" s="40">
        <f t="shared" si="1726"/>
        <v>0</v>
      </c>
      <c r="AW141" s="40">
        <f t="shared" si="1726"/>
        <v>0</v>
      </c>
      <c r="AX141" s="40">
        <f t="shared" si="1726"/>
        <v>0</v>
      </c>
      <c r="AY141" s="40">
        <f t="shared" si="1726"/>
        <v>0</v>
      </c>
      <c r="AZ141" s="40">
        <f t="shared" si="1726"/>
        <v>0</v>
      </c>
      <c r="BA141" s="40">
        <f t="shared" si="1726"/>
        <v>0</v>
      </c>
      <c r="BB141" s="40">
        <f t="shared" si="1726"/>
        <v>0</v>
      </c>
      <c r="BC141" s="40">
        <f t="shared" si="1726"/>
        <v>0</v>
      </c>
      <c r="BD141" s="176">
        <f t="shared" si="1726"/>
        <v>0</v>
      </c>
      <c r="BE141" s="191">
        <f t="shared" si="1567"/>
        <v>0</v>
      </c>
      <c r="BF141" s="40"/>
      <c r="BG141" s="40">
        <f>BG21-BG84</f>
        <v>0</v>
      </c>
      <c r="BH141" s="40">
        <f>BH21-BH84</f>
        <v>0</v>
      </c>
      <c r="BI141" s="40">
        <f t="shared" ref="BI141:BR141" si="1727">BI21-BI84</f>
        <v>0</v>
      </c>
      <c r="BJ141" s="40">
        <f t="shared" si="1727"/>
        <v>0</v>
      </c>
      <c r="BK141" s="40">
        <f t="shared" si="1727"/>
        <v>0</v>
      </c>
      <c r="BL141" s="40">
        <f t="shared" si="1727"/>
        <v>0</v>
      </c>
      <c r="BM141" s="40">
        <f t="shared" si="1727"/>
        <v>0</v>
      </c>
      <c r="BN141" s="40">
        <f t="shared" si="1727"/>
        <v>0</v>
      </c>
      <c r="BO141" s="40">
        <f t="shared" si="1727"/>
        <v>0</v>
      </c>
      <c r="BP141" s="40">
        <f t="shared" si="1727"/>
        <v>0</v>
      </c>
      <c r="BQ141" s="40">
        <f t="shared" si="1727"/>
        <v>0</v>
      </c>
      <c r="BR141" s="40">
        <f t="shared" si="1727"/>
        <v>0</v>
      </c>
    </row>
    <row r="142" spans="1:70" outlineLevel="3" x14ac:dyDescent="0.2">
      <c r="A142" s="54"/>
      <c r="B142" s="38" t="str">
        <f t="shared" si="1559"/>
        <v>Страховые взносы декрет</v>
      </c>
      <c r="C142" s="49" t="str">
        <f t="shared" si="1559"/>
        <v>Social Security on Maternity leave</v>
      </c>
      <c r="D142" s="168">
        <f t="shared" si="1720"/>
        <v>0</v>
      </c>
      <c r="E142" s="40">
        <f t="shared" si="1720"/>
        <v>0</v>
      </c>
      <c r="F142" s="40">
        <f t="shared" si="1720"/>
        <v>0</v>
      </c>
      <c r="G142" s="40">
        <f t="shared" si="1721"/>
        <v>0</v>
      </c>
      <c r="H142" s="40">
        <f t="shared" si="1721"/>
        <v>0</v>
      </c>
      <c r="I142" s="40">
        <f t="shared" si="1721"/>
        <v>0</v>
      </c>
      <c r="J142" s="40">
        <f t="shared" si="1721"/>
        <v>0</v>
      </c>
      <c r="K142" s="40">
        <f t="shared" si="1721"/>
        <v>0</v>
      </c>
      <c r="L142" s="40">
        <f t="shared" si="1721"/>
        <v>0</v>
      </c>
      <c r="M142" s="40">
        <f t="shared" si="1721"/>
        <v>0</v>
      </c>
      <c r="N142" s="40">
        <f t="shared" si="1721"/>
        <v>0</v>
      </c>
      <c r="O142" s="40">
        <f t="shared" si="1721"/>
        <v>0</v>
      </c>
      <c r="P142" s="176">
        <f t="shared" si="1721"/>
        <v>0</v>
      </c>
      <c r="Q142" s="191">
        <f t="shared" si="1722"/>
        <v>0</v>
      </c>
      <c r="R142" s="40">
        <f t="shared" si="1722"/>
        <v>0</v>
      </c>
      <c r="S142" s="40">
        <f t="shared" si="1722"/>
        <v>0</v>
      </c>
      <c r="T142" s="40">
        <f t="shared" ref="T142:AC142" si="1728">T22-T85</f>
        <v>0</v>
      </c>
      <c r="U142" s="40">
        <f t="shared" si="1728"/>
        <v>0</v>
      </c>
      <c r="V142" s="40">
        <f t="shared" si="1728"/>
        <v>0</v>
      </c>
      <c r="W142" s="40">
        <f t="shared" si="1728"/>
        <v>0</v>
      </c>
      <c r="X142" s="40">
        <f t="shared" si="1728"/>
        <v>0</v>
      </c>
      <c r="Y142" s="40">
        <f t="shared" si="1728"/>
        <v>0</v>
      </c>
      <c r="Z142" s="40">
        <f t="shared" si="1728"/>
        <v>0</v>
      </c>
      <c r="AA142" s="40">
        <f t="shared" si="1728"/>
        <v>0</v>
      </c>
      <c r="AB142" s="40">
        <f t="shared" si="1728"/>
        <v>0</v>
      </c>
      <c r="AC142" s="176">
        <f t="shared" si="1728"/>
        <v>0</v>
      </c>
      <c r="AD142" s="225">
        <f t="shared" si="1724"/>
        <v>0</v>
      </c>
      <c r="AE142" s="40">
        <f t="shared" si="1724"/>
        <v>0</v>
      </c>
      <c r="AF142" s="40">
        <f t="shared" si="1724"/>
        <v>0</v>
      </c>
      <c r="AG142" s="40">
        <f t="shared" ref="AG142:AP142" si="1729">AG22-AG85</f>
        <v>0</v>
      </c>
      <c r="AH142" s="40">
        <f t="shared" si="1729"/>
        <v>0</v>
      </c>
      <c r="AI142" s="40">
        <f t="shared" si="1729"/>
        <v>0</v>
      </c>
      <c r="AJ142" s="40">
        <f t="shared" si="1729"/>
        <v>0</v>
      </c>
      <c r="AK142" s="40">
        <f t="shared" si="1729"/>
        <v>0</v>
      </c>
      <c r="AL142" s="40">
        <f t="shared" si="1729"/>
        <v>0</v>
      </c>
      <c r="AM142" s="40">
        <f t="shared" si="1729"/>
        <v>0</v>
      </c>
      <c r="AN142" s="40">
        <f t="shared" si="1729"/>
        <v>0</v>
      </c>
      <c r="AO142" s="40">
        <f t="shared" si="1729"/>
        <v>0</v>
      </c>
      <c r="AP142" s="40">
        <f t="shared" si="1729"/>
        <v>0</v>
      </c>
      <c r="AQ142" s="168">
        <f>AQ22-AQ85</f>
        <v>0</v>
      </c>
      <c r="AR142" s="40"/>
      <c r="AS142" s="40">
        <f>AS22-AS85</f>
        <v>0</v>
      </c>
      <c r="AT142" s="40">
        <f>AT22-AT85</f>
        <v>0</v>
      </c>
      <c r="AU142" s="40">
        <f t="shared" ref="AU142:BD142" si="1730">AU22-AU85</f>
        <v>0</v>
      </c>
      <c r="AV142" s="40">
        <f t="shared" si="1730"/>
        <v>0</v>
      </c>
      <c r="AW142" s="40">
        <f t="shared" si="1730"/>
        <v>0</v>
      </c>
      <c r="AX142" s="40">
        <f t="shared" si="1730"/>
        <v>0</v>
      </c>
      <c r="AY142" s="40">
        <f t="shared" si="1730"/>
        <v>0</v>
      </c>
      <c r="AZ142" s="40">
        <f t="shared" si="1730"/>
        <v>0</v>
      </c>
      <c r="BA142" s="40">
        <f t="shared" si="1730"/>
        <v>0</v>
      </c>
      <c r="BB142" s="40">
        <f t="shared" si="1730"/>
        <v>0</v>
      </c>
      <c r="BC142" s="40">
        <f t="shared" si="1730"/>
        <v>0</v>
      </c>
      <c r="BD142" s="176">
        <f t="shared" si="1730"/>
        <v>0</v>
      </c>
      <c r="BE142" s="191">
        <f t="shared" si="1567"/>
        <v>0</v>
      </c>
      <c r="BF142" s="40"/>
      <c r="BG142" s="40">
        <f>BG22-BG85</f>
        <v>0</v>
      </c>
      <c r="BH142" s="40">
        <f>BH22-BH85</f>
        <v>0</v>
      </c>
      <c r="BI142" s="40">
        <f t="shared" ref="BI142:BR142" si="1731">BI22-BI85</f>
        <v>0</v>
      </c>
      <c r="BJ142" s="40">
        <f t="shared" si="1731"/>
        <v>0</v>
      </c>
      <c r="BK142" s="40">
        <f t="shared" si="1731"/>
        <v>0</v>
      </c>
      <c r="BL142" s="40">
        <f t="shared" si="1731"/>
        <v>0</v>
      </c>
      <c r="BM142" s="40">
        <f t="shared" si="1731"/>
        <v>0</v>
      </c>
      <c r="BN142" s="40">
        <f t="shared" si="1731"/>
        <v>0</v>
      </c>
      <c r="BO142" s="40">
        <f t="shared" si="1731"/>
        <v>0</v>
      </c>
      <c r="BP142" s="40">
        <f t="shared" si="1731"/>
        <v>0</v>
      </c>
      <c r="BQ142" s="40">
        <f t="shared" si="1731"/>
        <v>0</v>
      </c>
      <c r="BR142" s="40">
        <f t="shared" si="1731"/>
        <v>0</v>
      </c>
    </row>
    <row r="143" spans="1:70" s="6" customFormat="1" outlineLevel="2" x14ac:dyDescent="0.2">
      <c r="A143" s="30"/>
      <c r="B143" s="29" t="str">
        <f t="shared" si="1559"/>
        <v>Итого декрет</v>
      </c>
      <c r="C143" s="52" t="str">
        <f t="shared" si="1559"/>
        <v>Total Maternity leave</v>
      </c>
      <c r="D143" s="169">
        <f>SUM(D141:D142)</f>
        <v>0</v>
      </c>
      <c r="E143" s="26">
        <f>SUM(E141:E142)</f>
        <v>0</v>
      </c>
      <c r="F143" s="26">
        <f>SUM(F141:F142)</f>
        <v>0</v>
      </c>
      <c r="G143" s="26">
        <f t="shared" ref="G143:P143" si="1732">SUM(G141:G142)</f>
        <v>0</v>
      </c>
      <c r="H143" s="26">
        <f t="shared" si="1732"/>
        <v>0</v>
      </c>
      <c r="I143" s="26">
        <f t="shared" si="1732"/>
        <v>0</v>
      </c>
      <c r="J143" s="26">
        <f t="shared" si="1732"/>
        <v>0</v>
      </c>
      <c r="K143" s="26">
        <f t="shared" si="1732"/>
        <v>0</v>
      </c>
      <c r="L143" s="26">
        <f t="shared" si="1732"/>
        <v>0</v>
      </c>
      <c r="M143" s="26">
        <f t="shared" si="1732"/>
        <v>0</v>
      </c>
      <c r="N143" s="26">
        <f t="shared" si="1732"/>
        <v>0</v>
      </c>
      <c r="O143" s="26">
        <f t="shared" si="1732"/>
        <v>0</v>
      </c>
      <c r="P143" s="177">
        <f t="shared" si="1732"/>
        <v>0</v>
      </c>
      <c r="Q143" s="192">
        <f>SUM(Q141:Q142)</f>
        <v>0</v>
      </c>
      <c r="R143" s="26">
        <f>SUM(R141:R142)</f>
        <v>0</v>
      </c>
      <c r="S143" s="26">
        <f>SUM(S141:S142)</f>
        <v>0</v>
      </c>
      <c r="T143" s="26">
        <f t="shared" ref="T143" si="1733">SUM(T141:T142)</f>
        <v>0</v>
      </c>
      <c r="U143" s="26">
        <f t="shared" ref="U143" si="1734">SUM(U141:U142)</f>
        <v>0</v>
      </c>
      <c r="V143" s="26">
        <f t="shared" ref="V143" si="1735">SUM(V141:V142)</f>
        <v>0</v>
      </c>
      <c r="W143" s="26">
        <f t="shared" ref="W143" si="1736">SUM(W141:W142)</f>
        <v>0</v>
      </c>
      <c r="X143" s="26">
        <f t="shared" ref="X143" si="1737">SUM(X141:X142)</f>
        <v>0</v>
      </c>
      <c r="Y143" s="26">
        <f t="shared" ref="Y143" si="1738">SUM(Y141:Y142)</f>
        <v>0</v>
      </c>
      <c r="Z143" s="26">
        <f t="shared" ref="Z143" si="1739">SUM(Z141:Z142)</f>
        <v>0</v>
      </c>
      <c r="AA143" s="26">
        <f t="shared" ref="AA143" si="1740">SUM(AA141:AA142)</f>
        <v>0</v>
      </c>
      <c r="AB143" s="26">
        <f t="shared" ref="AB143" si="1741">SUM(AB141:AB142)</f>
        <v>0</v>
      </c>
      <c r="AC143" s="177">
        <f t="shared" ref="AC143" si="1742">SUM(AC141:AC142)</f>
        <v>0</v>
      </c>
      <c r="AD143" s="226">
        <f>SUM(AD141:AD142)</f>
        <v>0</v>
      </c>
      <c r="AE143" s="26">
        <f>SUM(AE141:AE142)</f>
        <v>0</v>
      </c>
      <c r="AF143" s="26">
        <f>SUM(AF141:AF142)</f>
        <v>0</v>
      </c>
      <c r="AG143" s="26">
        <f t="shared" ref="AG143" si="1743">SUM(AG141:AG142)</f>
        <v>0</v>
      </c>
      <c r="AH143" s="26">
        <f t="shared" ref="AH143" si="1744">SUM(AH141:AH142)</f>
        <v>0</v>
      </c>
      <c r="AI143" s="26">
        <f t="shared" ref="AI143" si="1745">SUM(AI141:AI142)</f>
        <v>0</v>
      </c>
      <c r="AJ143" s="26">
        <f t="shared" ref="AJ143" si="1746">SUM(AJ141:AJ142)</f>
        <v>0</v>
      </c>
      <c r="AK143" s="26">
        <f t="shared" ref="AK143" si="1747">SUM(AK141:AK142)</f>
        <v>0</v>
      </c>
      <c r="AL143" s="26">
        <f t="shared" ref="AL143" si="1748">SUM(AL141:AL142)</f>
        <v>0</v>
      </c>
      <c r="AM143" s="26">
        <f t="shared" ref="AM143" si="1749">SUM(AM141:AM142)</f>
        <v>0</v>
      </c>
      <c r="AN143" s="26">
        <f t="shared" ref="AN143" si="1750">SUM(AN141:AN142)</f>
        <v>0</v>
      </c>
      <c r="AO143" s="26">
        <f t="shared" ref="AO143" si="1751">SUM(AO141:AO142)</f>
        <v>0</v>
      </c>
      <c r="AP143" s="26">
        <f t="shared" ref="AP143" si="1752">SUM(AP141:AP142)</f>
        <v>0</v>
      </c>
      <c r="AQ143" s="169">
        <f>SUM(AQ141:AQ142)</f>
        <v>0</v>
      </c>
      <c r="AR143" s="26"/>
      <c r="AS143" s="26">
        <f>SUM(AS141:AS142)</f>
        <v>0</v>
      </c>
      <c r="AT143" s="26">
        <f>SUM(AT141:AT142)</f>
        <v>0</v>
      </c>
      <c r="AU143" s="26">
        <f t="shared" ref="AU143" si="1753">SUM(AU141:AU142)</f>
        <v>0</v>
      </c>
      <c r="AV143" s="26">
        <f t="shared" ref="AV143" si="1754">SUM(AV141:AV142)</f>
        <v>0</v>
      </c>
      <c r="AW143" s="26">
        <f t="shared" ref="AW143" si="1755">SUM(AW141:AW142)</f>
        <v>0</v>
      </c>
      <c r="AX143" s="26">
        <f t="shared" ref="AX143" si="1756">SUM(AX141:AX142)</f>
        <v>0</v>
      </c>
      <c r="AY143" s="26">
        <f t="shared" ref="AY143" si="1757">SUM(AY141:AY142)</f>
        <v>0</v>
      </c>
      <c r="AZ143" s="26">
        <f t="shared" ref="AZ143" si="1758">SUM(AZ141:AZ142)</f>
        <v>0</v>
      </c>
      <c r="BA143" s="26">
        <f t="shared" ref="BA143" si="1759">SUM(BA141:BA142)</f>
        <v>0</v>
      </c>
      <c r="BB143" s="26">
        <f t="shared" ref="BB143" si="1760">SUM(BB141:BB142)</f>
        <v>0</v>
      </c>
      <c r="BC143" s="26">
        <f t="shared" ref="BC143" si="1761">SUM(BC141:BC142)</f>
        <v>0</v>
      </c>
      <c r="BD143" s="177">
        <f t="shared" ref="BD143" si="1762">SUM(BD141:BD142)</f>
        <v>0</v>
      </c>
      <c r="BE143" s="192">
        <f t="shared" si="1567"/>
        <v>0</v>
      </c>
      <c r="BF143" s="26"/>
      <c r="BG143" s="26">
        <f>SUM(BG141:BG142)</f>
        <v>0</v>
      </c>
      <c r="BH143" s="26">
        <f>SUM(BH141:BH142)</f>
        <v>0</v>
      </c>
      <c r="BI143" s="26">
        <f t="shared" ref="BI143" si="1763">SUM(BI141:BI142)</f>
        <v>0</v>
      </c>
      <c r="BJ143" s="26">
        <f t="shared" ref="BJ143" si="1764">SUM(BJ141:BJ142)</f>
        <v>0</v>
      </c>
      <c r="BK143" s="26">
        <f t="shared" ref="BK143" si="1765">SUM(BK141:BK142)</f>
        <v>0</v>
      </c>
      <c r="BL143" s="26">
        <f t="shared" ref="BL143" si="1766">SUM(BL141:BL142)</f>
        <v>0</v>
      </c>
      <c r="BM143" s="26">
        <f t="shared" ref="BM143" si="1767">SUM(BM141:BM142)</f>
        <v>0</v>
      </c>
      <c r="BN143" s="26">
        <f t="shared" ref="BN143" si="1768">SUM(BN141:BN142)</f>
        <v>0</v>
      </c>
      <c r="BO143" s="26">
        <f t="shared" ref="BO143" si="1769">SUM(BO141:BO142)</f>
        <v>0</v>
      </c>
      <c r="BP143" s="26">
        <f t="shared" ref="BP143" si="1770">SUM(BP141:BP142)</f>
        <v>0</v>
      </c>
      <c r="BQ143" s="26">
        <f t="shared" ref="BQ143" si="1771">SUM(BQ141:BQ142)</f>
        <v>0</v>
      </c>
      <c r="BR143" s="26">
        <f t="shared" ref="BR143" si="1772">SUM(BR141:BR142)</f>
        <v>0</v>
      </c>
    </row>
    <row r="144" spans="1:70" s="6" customFormat="1" outlineLevel="1" x14ac:dyDescent="0.2">
      <c r="A144" s="30"/>
      <c r="B144" s="48" t="str">
        <f t="shared" si="1559"/>
        <v>Фиксированное вознаграждение</v>
      </c>
      <c r="C144" s="55" t="str">
        <f t="shared" si="1559"/>
        <v>FIX compensation</v>
      </c>
      <c r="D144" s="170">
        <f>D134+D137+D140+D143</f>
        <v>87610314.19955644</v>
      </c>
      <c r="E144" s="45">
        <f>E134+E137+E140+E143</f>
        <v>0</v>
      </c>
      <c r="F144" s="45">
        <f>F134+F137+F140+F143</f>
        <v>7964574.0181415118</v>
      </c>
      <c r="G144" s="45">
        <f t="shared" ref="G144:P144" si="1773">G134+G137+G140+G143</f>
        <v>7964574.0181415118</v>
      </c>
      <c r="H144" s="45">
        <f t="shared" si="1773"/>
        <v>7964574.0181415118</v>
      </c>
      <c r="I144" s="45">
        <f t="shared" si="1773"/>
        <v>7964574.0181415118</v>
      </c>
      <c r="J144" s="45">
        <f t="shared" si="1773"/>
        <v>7964574.0181415118</v>
      </c>
      <c r="K144" s="45">
        <f t="shared" si="1773"/>
        <v>7964574.0181415118</v>
      </c>
      <c r="L144" s="45">
        <f t="shared" si="1773"/>
        <v>7964574.0181415118</v>
      </c>
      <c r="M144" s="45">
        <f t="shared" si="1773"/>
        <v>7964574.0181415118</v>
      </c>
      <c r="N144" s="45">
        <f t="shared" si="1773"/>
        <v>7964574.0181415118</v>
      </c>
      <c r="O144" s="45">
        <f t="shared" si="1773"/>
        <v>7964574.0181415118</v>
      </c>
      <c r="P144" s="178">
        <f t="shared" si="1773"/>
        <v>7964574.0181415118</v>
      </c>
      <c r="Q144" s="193">
        <f>Q134+Q137+Q140+Q143</f>
        <v>87610314.19955644</v>
      </c>
      <c r="R144" s="45">
        <f>R134+R137+R140+R143</f>
        <v>0</v>
      </c>
      <c r="S144" s="45">
        <f>S134+S137+S140+S143</f>
        <v>7964574.0181415118</v>
      </c>
      <c r="T144" s="45">
        <f t="shared" ref="T144" si="1774">T134+T137+T140+T143</f>
        <v>7964574.0181415118</v>
      </c>
      <c r="U144" s="45">
        <f t="shared" ref="U144" si="1775">U134+U137+U140+U143</f>
        <v>7964574.0181415118</v>
      </c>
      <c r="V144" s="45">
        <f t="shared" ref="V144" si="1776">V134+V137+V140+V143</f>
        <v>7964574.0181415118</v>
      </c>
      <c r="W144" s="45">
        <f t="shared" ref="W144" si="1777">W134+W137+W140+W143</f>
        <v>7964574.0181415118</v>
      </c>
      <c r="X144" s="45">
        <f t="shared" ref="X144" si="1778">X134+X137+X140+X143</f>
        <v>7964574.0181415118</v>
      </c>
      <c r="Y144" s="45">
        <f t="shared" ref="Y144" si="1779">Y134+Y137+Y140+Y143</f>
        <v>7964574.0181415118</v>
      </c>
      <c r="Z144" s="45">
        <f t="shared" ref="Z144" si="1780">Z134+Z137+Z140+Z143</f>
        <v>7964574.0181415118</v>
      </c>
      <c r="AA144" s="45">
        <f t="shared" ref="AA144" si="1781">AA134+AA137+AA140+AA143</f>
        <v>7964574.0181415118</v>
      </c>
      <c r="AB144" s="45">
        <f t="shared" ref="AB144" si="1782">AB134+AB137+AB140+AB143</f>
        <v>7964574.0181415118</v>
      </c>
      <c r="AC144" s="178">
        <f t="shared" ref="AC144" si="1783">AC134+AC137+AC140+AC143</f>
        <v>7964574.0181415118</v>
      </c>
      <c r="AD144" s="227">
        <f>AD134+AD137+AD140+AD143</f>
        <v>87610314.19955644</v>
      </c>
      <c r="AE144" s="45">
        <f>AE134+AE137+AE140+AE143</f>
        <v>0</v>
      </c>
      <c r="AF144" s="45">
        <f>AF134+AF137+AF140+AF143</f>
        <v>7964574.0181415118</v>
      </c>
      <c r="AG144" s="45">
        <f t="shared" ref="AG144" si="1784">AG134+AG137+AG140+AG143</f>
        <v>7964574.0181415118</v>
      </c>
      <c r="AH144" s="45">
        <f t="shared" ref="AH144" si="1785">AH134+AH137+AH140+AH143</f>
        <v>7964574.0181415118</v>
      </c>
      <c r="AI144" s="45">
        <f t="shared" ref="AI144" si="1786">AI134+AI137+AI140+AI143</f>
        <v>7964574.0181415118</v>
      </c>
      <c r="AJ144" s="45">
        <f t="shared" ref="AJ144" si="1787">AJ134+AJ137+AJ140+AJ143</f>
        <v>7964574.0181415118</v>
      </c>
      <c r="AK144" s="45">
        <f t="shared" ref="AK144" si="1788">AK134+AK137+AK140+AK143</f>
        <v>7964574.0181415118</v>
      </c>
      <c r="AL144" s="45">
        <f t="shared" ref="AL144" si="1789">AL134+AL137+AL140+AL143</f>
        <v>7964574.0181415118</v>
      </c>
      <c r="AM144" s="45">
        <f t="shared" ref="AM144" si="1790">AM134+AM137+AM140+AM143</f>
        <v>7964574.0181415118</v>
      </c>
      <c r="AN144" s="45">
        <f t="shared" ref="AN144" si="1791">AN134+AN137+AN140+AN143</f>
        <v>7964574.0181415118</v>
      </c>
      <c r="AO144" s="45">
        <f t="shared" ref="AO144" si="1792">AO134+AO137+AO140+AO143</f>
        <v>7964574.0181415118</v>
      </c>
      <c r="AP144" s="45">
        <f t="shared" ref="AP144" si="1793">AP134+AP137+AP140+AP143</f>
        <v>7964574.0181415118</v>
      </c>
      <c r="AQ144" s="170">
        <f>AQ134+AQ137+AQ140+AQ143</f>
        <v>0</v>
      </c>
      <c r="AR144" s="45"/>
      <c r="AS144" s="45">
        <f>AS134+AS137+AS140+AS143</f>
        <v>0</v>
      </c>
      <c r="AT144" s="45">
        <f>AT134+AT137+AT140+AT143</f>
        <v>7964574.0181415118</v>
      </c>
      <c r="AU144" s="45">
        <f t="shared" ref="AU144" si="1794">AU134+AU137+AU140+AU143</f>
        <v>7964574.0181415118</v>
      </c>
      <c r="AV144" s="45">
        <f t="shared" ref="AV144" si="1795">AV134+AV137+AV140+AV143</f>
        <v>7964574.0181415118</v>
      </c>
      <c r="AW144" s="45">
        <f t="shared" ref="AW144" si="1796">AW134+AW137+AW140+AW143</f>
        <v>7964574.0181415118</v>
      </c>
      <c r="AX144" s="45">
        <f t="shared" ref="AX144" si="1797">AX134+AX137+AX140+AX143</f>
        <v>7964574.0181415118</v>
      </c>
      <c r="AY144" s="45">
        <f t="shared" ref="AY144" si="1798">AY134+AY137+AY140+AY143</f>
        <v>7964574.0181415118</v>
      </c>
      <c r="AZ144" s="45">
        <f t="shared" ref="AZ144" si="1799">AZ134+AZ137+AZ140+AZ143</f>
        <v>7964574.0181415118</v>
      </c>
      <c r="BA144" s="45">
        <f t="shared" ref="BA144" si="1800">BA134+BA137+BA140+BA143</f>
        <v>7964574.0181415118</v>
      </c>
      <c r="BB144" s="45">
        <f t="shared" ref="BB144" si="1801">BB134+BB137+BB140+BB143</f>
        <v>7964574.0181415118</v>
      </c>
      <c r="BC144" s="45">
        <f t="shared" ref="BC144" si="1802">BC134+BC137+BC140+BC143</f>
        <v>7964574.0181415118</v>
      </c>
      <c r="BD144" s="178">
        <f t="shared" ref="BD144" si="1803">BD134+BD137+BD140+BD143</f>
        <v>7964574.0181415118</v>
      </c>
      <c r="BE144" s="193">
        <f t="shared" si="1567"/>
        <v>0</v>
      </c>
      <c r="BF144" s="45"/>
      <c r="BG144" s="45">
        <f>BG134+BG137+BG140+BG143</f>
        <v>0</v>
      </c>
      <c r="BH144" s="45">
        <f>BH134+BH137+BH140+BH143</f>
        <v>7964574.0181415118</v>
      </c>
      <c r="BI144" s="45">
        <f t="shared" ref="BI144" si="1804">BI134+BI137+BI140+BI143</f>
        <v>7964574.0181415118</v>
      </c>
      <c r="BJ144" s="45">
        <f t="shared" ref="BJ144" si="1805">BJ134+BJ137+BJ140+BJ143</f>
        <v>7964574.0181415118</v>
      </c>
      <c r="BK144" s="45">
        <f t="shared" ref="BK144" si="1806">BK134+BK137+BK140+BK143</f>
        <v>7964574.0181415118</v>
      </c>
      <c r="BL144" s="45">
        <f t="shared" ref="BL144" si="1807">BL134+BL137+BL140+BL143</f>
        <v>7964574.0181415118</v>
      </c>
      <c r="BM144" s="45">
        <f t="shared" ref="BM144" si="1808">BM134+BM137+BM140+BM143</f>
        <v>7964574.0181415118</v>
      </c>
      <c r="BN144" s="45">
        <f t="shared" ref="BN144" si="1809">BN134+BN137+BN140+BN143</f>
        <v>7964574.0181415118</v>
      </c>
      <c r="BO144" s="45">
        <f t="shared" ref="BO144" si="1810">BO134+BO137+BO140+BO143</f>
        <v>7964574.0181415118</v>
      </c>
      <c r="BP144" s="45">
        <f t="shared" ref="BP144" si="1811">BP134+BP137+BP140+BP143</f>
        <v>7964574.0181415118</v>
      </c>
      <c r="BQ144" s="45">
        <f t="shared" ref="BQ144" si="1812">BQ134+BQ137+BQ140+BQ143</f>
        <v>7964574.0181415118</v>
      </c>
      <c r="BR144" s="45">
        <f t="shared" ref="BR144" si="1813">BR134+BR137+BR140+BR143</f>
        <v>7964574.0181415118</v>
      </c>
    </row>
    <row r="145" spans="1:70" s="6" customFormat="1" outlineLevel="2" x14ac:dyDescent="0.2">
      <c r="B145" s="29" t="str">
        <f t="shared" si="1559"/>
        <v>Расходы на страхование (ДМС, НС)</v>
      </c>
      <c r="C145" s="52" t="str">
        <f t="shared" si="1559"/>
        <v>Health &amp; welfare</v>
      </c>
      <c r="D145" s="169">
        <f t="shared" ref="D145:F146" si="1814">D25-D88</f>
        <v>8427756.3366021216</v>
      </c>
      <c r="E145" s="26">
        <f t="shared" si="1814"/>
        <v>11658.330000001937</v>
      </c>
      <c r="F145" s="26">
        <f t="shared" si="1814"/>
        <v>765099.81878201105</v>
      </c>
      <c r="G145" s="26">
        <f t="shared" ref="G145:P146" si="1815">G25-G88</f>
        <v>765099.81878201105</v>
      </c>
      <c r="H145" s="26">
        <f t="shared" si="1815"/>
        <v>765099.81878201105</v>
      </c>
      <c r="I145" s="26">
        <f t="shared" si="1815"/>
        <v>765099.81878201105</v>
      </c>
      <c r="J145" s="26">
        <f t="shared" si="1815"/>
        <v>765099.81878201105</v>
      </c>
      <c r="K145" s="26">
        <f t="shared" si="1815"/>
        <v>765099.81878201105</v>
      </c>
      <c r="L145" s="26">
        <f t="shared" si="1815"/>
        <v>765099.81878201105</v>
      </c>
      <c r="M145" s="26">
        <f t="shared" si="1815"/>
        <v>765099.81878201105</v>
      </c>
      <c r="N145" s="26">
        <f t="shared" si="1815"/>
        <v>765099.81878201105</v>
      </c>
      <c r="O145" s="26">
        <f t="shared" si="1815"/>
        <v>765099.81878201105</v>
      </c>
      <c r="P145" s="177">
        <f t="shared" si="1815"/>
        <v>765099.81878201105</v>
      </c>
      <c r="Q145" s="192">
        <f t="shared" ref="Q145:S146" si="1816">Q25-Q88</f>
        <v>8427756.3366021216</v>
      </c>
      <c r="R145" s="26">
        <f t="shared" si="1816"/>
        <v>11658.330000001937</v>
      </c>
      <c r="S145" s="26">
        <f t="shared" si="1816"/>
        <v>765099.81878201105</v>
      </c>
      <c r="T145" s="26">
        <f t="shared" ref="T145:AC145" si="1817">T25-T88</f>
        <v>765099.81878201105</v>
      </c>
      <c r="U145" s="26">
        <f t="shared" si="1817"/>
        <v>765099.81878201105</v>
      </c>
      <c r="V145" s="26">
        <f t="shared" si="1817"/>
        <v>765099.81878201105</v>
      </c>
      <c r="W145" s="26">
        <f t="shared" si="1817"/>
        <v>765099.81878201105</v>
      </c>
      <c r="X145" s="26">
        <f t="shared" si="1817"/>
        <v>765099.81878201105</v>
      </c>
      <c r="Y145" s="26">
        <f t="shared" si="1817"/>
        <v>765099.81878201105</v>
      </c>
      <c r="Z145" s="26">
        <f t="shared" si="1817"/>
        <v>765099.81878201105</v>
      </c>
      <c r="AA145" s="26">
        <f t="shared" si="1817"/>
        <v>765099.81878201105</v>
      </c>
      <c r="AB145" s="26">
        <f t="shared" si="1817"/>
        <v>765099.81878201105</v>
      </c>
      <c r="AC145" s="177">
        <f t="shared" si="1817"/>
        <v>765099.81878201105</v>
      </c>
      <c r="AD145" s="226">
        <f t="shared" ref="AD145:AF146" si="1818">AD25-AD88</f>
        <v>8427756.3366021216</v>
      </c>
      <c r="AE145" s="26">
        <f t="shared" si="1818"/>
        <v>11658.330000001937</v>
      </c>
      <c r="AF145" s="26">
        <f t="shared" si="1818"/>
        <v>765099.81878201105</v>
      </c>
      <c r="AG145" s="26">
        <f t="shared" ref="AG145:AP145" si="1819">AG25-AG88</f>
        <v>765099.81878201105</v>
      </c>
      <c r="AH145" s="26">
        <f t="shared" si="1819"/>
        <v>765099.81878201105</v>
      </c>
      <c r="AI145" s="26">
        <f t="shared" si="1819"/>
        <v>765099.81878201105</v>
      </c>
      <c r="AJ145" s="26">
        <f t="shared" si="1819"/>
        <v>765099.81878201105</v>
      </c>
      <c r="AK145" s="26">
        <f t="shared" si="1819"/>
        <v>765099.81878201105</v>
      </c>
      <c r="AL145" s="26">
        <f t="shared" si="1819"/>
        <v>765099.81878201105</v>
      </c>
      <c r="AM145" s="26">
        <f t="shared" si="1819"/>
        <v>765099.81878201105</v>
      </c>
      <c r="AN145" s="26">
        <f t="shared" si="1819"/>
        <v>765099.81878201105</v>
      </c>
      <c r="AO145" s="26">
        <f t="shared" si="1819"/>
        <v>765099.81878201105</v>
      </c>
      <c r="AP145" s="26">
        <f t="shared" si="1819"/>
        <v>765099.81878201105</v>
      </c>
      <c r="AQ145" s="169">
        <f>AQ25-AQ88</f>
        <v>0</v>
      </c>
      <c r="AR145" s="26"/>
      <c r="AS145" s="26">
        <f>AS25-AS88</f>
        <v>11658.330000001937</v>
      </c>
      <c r="AT145" s="26">
        <f>AT25-AT88</f>
        <v>765099.81878201105</v>
      </c>
      <c r="AU145" s="26">
        <f t="shared" ref="AU145:BD145" si="1820">AU25-AU88</f>
        <v>765099.81878201105</v>
      </c>
      <c r="AV145" s="26">
        <f t="shared" si="1820"/>
        <v>765099.81878201105</v>
      </c>
      <c r="AW145" s="26">
        <f t="shared" si="1820"/>
        <v>765099.81878201105</v>
      </c>
      <c r="AX145" s="26">
        <f t="shared" si="1820"/>
        <v>765099.81878201105</v>
      </c>
      <c r="AY145" s="26">
        <f t="shared" si="1820"/>
        <v>765099.81878201105</v>
      </c>
      <c r="AZ145" s="26">
        <f t="shared" si="1820"/>
        <v>765099.81878201105</v>
      </c>
      <c r="BA145" s="26">
        <f t="shared" si="1820"/>
        <v>765099.81878201105</v>
      </c>
      <c r="BB145" s="26">
        <f t="shared" si="1820"/>
        <v>765099.81878201105</v>
      </c>
      <c r="BC145" s="26">
        <f t="shared" si="1820"/>
        <v>765099.81878201105</v>
      </c>
      <c r="BD145" s="177">
        <f t="shared" si="1820"/>
        <v>765099.81878201105</v>
      </c>
      <c r="BE145" s="192">
        <f t="shared" si="1567"/>
        <v>0</v>
      </c>
      <c r="BF145" s="26"/>
      <c r="BG145" s="26">
        <f>BG25-BG88</f>
        <v>11658.330000001937</v>
      </c>
      <c r="BH145" s="26">
        <f>BH25-BH88</f>
        <v>765099.81878201105</v>
      </c>
      <c r="BI145" s="26">
        <f t="shared" ref="BI145:BR145" si="1821">BI25-BI88</f>
        <v>765099.81878201105</v>
      </c>
      <c r="BJ145" s="26">
        <f t="shared" si="1821"/>
        <v>765099.81878201105</v>
      </c>
      <c r="BK145" s="26">
        <f t="shared" si="1821"/>
        <v>765099.81878201105</v>
      </c>
      <c r="BL145" s="26">
        <f t="shared" si="1821"/>
        <v>765099.81878201105</v>
      </c>
      <c r="BM145" s="26">
        <f t="shared" si="1821"/>
        <v>765099.81878201105</v>
      </c>
      <c r="BN145" s="26">
        <f t="shared" si="1821"/>
        <v>765099.81878201105</v>
      </c>
      <c r="BO145" s="26">
        <f t="shared" si="1821"/>
        <v>765099.81878201105</v>
      </c>
      <c r="BP145" s="26">
        <f t="shared" si="1821"/>
        <v>765099.81878201105</v>
      </c>
      <c r="BQ145" s="26">
        <f t="shared" si="1821"/>
        <v>765099.81878201105</v>
      </c>
      <c r="BR145" s="26">
        <f t="shared" si="1821"/>
        <v>765099.81878201105</v>
      </c>
    </row>
    <row r="146" spans="1:70" s="6" customFormat="1" outlineLevel="2" x14ac:dyDescent="0.2">
      <c r="B146" s="29" t="str">
        <f t="shared" si="1559"/>
        <v>Прочие бенефиты</v>
      </c>
      <c r="C146" s="52" t="str">
        <f t="shared" si="1559"/>
        <v>Other benefits - Non-state mandated</v>
      </c>
      <c r="D146" s="169">
        <f t="shared" si="1814"/>
        <v>-7371742.6800000034</v>
      </c>
      <c r="E146" s="26">
        <f t="shared" si="1814"/>
        <v>-614311.89000000013</v>
      </c>
      <c r="F146" s="26">
        <f t="shared" si="1814"/>
        <v>-614311.89000000013</v>
      </c>
      <c r="G146" s="26">
        <f t="shared" si="1815"/>
        <v>-614311.89000000013</v>
      </c>
      <c r="H146" s="26">
        <f t="shared" si="1815"/>
        <v>-614311.89000000013</v>
      </c>
      <c r="I146" s="26">
        <f t="shared" si="1815"/>
        <v>-614311.89000000013</v>
      </c>
      <c r="J146" s="26">
        <f t="shared" si="1815"/>
        <v>-614311.89000000013</v>
      </c>
      <c r="K146" s="26">
        <f t="shared" si="1815"/>
        <v>-614311.89000000013</v>
      </c>
      <c r="L146" s="26">
        <f t="shared" si="1815"/>
        <v>-614311.89000000013</v>
      </c>
      <c r="M146" s="26">
        <f t="shared" si="1815"/>
        <v>-614311.89000000013</v>
      </c>
      <c r="N146" s="26">
        <f t="shared" si="1815"/>
        <v>-614311.89000000013</v>
      </c>
      <c r="O146" s="26">
        <f t="shared" si="1815"/>
        <v>-614311.89000000013</v>
      </c>
      <c r="P146" s="177">
        <f t="shared" si="1815"/>
        <v>-614311.89000000013</v>
      </c>
      <c r="Q146" s="192">
        <f t="shared" si="1816"/>
        <v>-7371742.6800000034</v>
      </c>
      <c r="R146" s="26">
        <f t="shared" si="1816"/>
        <v>-614311.89000000013</v>
      </c>
      <c r="S146" s="26">
        <f t="shared" si="1816"/>
        <v>-614311.89000000013</v>
      </c>
      <c r="T146" s="26">
        <f t="shared" ref="T146:AC146" si="1822">T26-T89</f>
        <v>-614311.89000000013</v>
      </c>
      <c r="U146" s="26">
        <f t="shared" si="1822"/>
        <v>-614311.89000000013</v>
      </c>
      <c r="V146" s="26">
        <f t="shared" si="1822"/>
        <v>-614311.89000000013</v>
      </c>
      <c r="W146" s="26">
        <f t="shared" si="1822"/>
        <v>-614311.89000000013</v>
      </c>
      <c r="X146" s="26">
        <f t="shared" si="1822"/>
        <v>-614311.89000000013</v>
      </c>
      <c r="Y146" s="26">
        <f t="shared" si="1822"/>
        <v>-614311.89000000013</v>
      </c>
      <c r="Z146" s="26">
        <f t="shared" si="1822"/>
        <v>-614311.89000000013</v>
      </c>
      <c r="AA146" s="26">
        <f t="shared" si="1822"/>
        <v>-614311.89000000013</v>
      </c>
      <c r="AB146" s="26">
        <f t="shared" si="1822"/>
        <v>-614311.89000000013</v>
      </c>
      <c r="AC146" s="177">
        <f t="shared" si="1822"/>
        <v>-614311.89000000013</v>
      </c>
      <c r="AD146" s="226">
        <f t="shared" si="1818"/>
        <v>-7371742.6800000034</v>
      </c>
      <c r="AE146" s="26">
        <f t="shared" si="1818"/>
        <v>-614311.89000000013</v>
      </c>
      <c r="AF146" s="26">
        <f t="shared" si="1818"/>
        <v>-614311.89000000013</v>
      </c>
      <c r="AG146" s="26">
        <f t="shared" ref="AG146:AP146" si="1823">AG26-AG89</f>
        <v>-614311.89000000013</v>
      </c>
      <c r="AH146" s="26">
        <f t="shared" si="1823"/>
        <v>-614311.89000000013</v>
      </c>
      <c r="AI146" s="26">
        <f t="shared" si="1823"/>
        <v>-614311.89000000013</v>
      </c>
      <c r="AJ146" s="26">
        <f t="shared" si="1823"/>
        <v>-614311.89000000013</v>
      </c>
      <c r="AK146" s="26">
        <f t="shared" si="1823"/>
        <v>-614311.89000000013</v>
      </c>
      <c r="AL146" s="26">
        <f t="shared" si="1823"/>
        <v>-614311.89000000013</v>
      </c>
      <c r="AM146" s="26">
        <f t="shared" si="1823"/>
        <v>-614311.89000000013</v>
      </c>
      <c r="AN146" s="26">
        <f t="shared" si="1823"/>
        <v>-614311.89000000013</v>
      </c>
      <c r="AO146" s="26">
        <f t="shared" si="1823"/>
        <v>-614311.89000000013</v>
      </c>
      <c r="AP146" s="26">
        <f t="shared" si="1823"/>
        <v>-614311.89000000013</v>
      </c>
      <c r="AQ146" s="169">
        <f>AQ26-AQ89</f>
        <v>0</v>
      </c>
      <c r="AR146" s="26"/>
      <c r="AS146" s="26">
        <f>AS26-AS89</f>
        <v>-614311.89000000013</v>
      </c>
      <c r="AT146" s="26">
        <f>AT26-AT89</f>
        <v>-614311.89000000013</v>
      </c>
      <c r="AU146" s="26">
        <f t="shared" ref="AU146:BD146" si="1824">AU26-AU89</f>
        <v>-614311.89000000013</v>
      </c>
      <c r="AV146" s="26">
        <f t="shared" si="1824"/>
        <v>-614311.89000000013</v>
      </c>
      <c r="AW146" s="26">
        <f t="shared" si="1824"/>
        <v>-614311.89000000013</v>
      </c>
      <c r="AX146" s="26">
        <f t="shared" si="1824"/>
        <v>-614311.89000000013</v>
      </c>
      <c r="AY146" s="26">
        <f t="shared" si="1824"/>
        <v>-614311.89000000013</v>
      </c>
      <c r="AZ146" s="26">
        <f t="shared" si="1824"/>
        <v>-614311.89000000013</v>
      </c>
      <c r="BA146" s="26">
        <f t="shared" si="1824"/>
        <v>-614311.89000000013</v>
      </c>
      <c r="BB146" s="26">
        <f t="shared" si="1824"/>
        <v>-614311.89000000013</v>
      </c>
      <c r="BC146" s="26">
        <f t="shared" si="1824"/>
        <v>-614311.89000000013</v>
      </c>
      <c r="BD146" s="177">
        <f t="shared" si="1824"/>
        <v>-614311.89000000013</v>
      </c>
      <c r="BE146" s="192">
        <f t="shared" si="1567"/>
        <v>0</v>
      </c>
      <c r="BF146" s="26"/>
      <c r="BG146" s="26">
        <f>BG26-BG89</f>
        <v>-614311.89000000013</v>
      </c>
      <c r="BH146" s="26">
        <f>BH26-BH89</f>
        <v>-614311.89000000013</v>
      </c>
      <c r="BI146" s="26">
        <f t="shared" ref="BI146:BR146" si="1825">BI26-BI89</f>
        <v>-614311.89000000013</v>
      </c>
      <c r="BJ146" s="26">
        <f t="shared" si="1825"/>
        <v>-614311.89000000013</v>
      </c>
      <c r="BK146" s="26">
        <f t="shared" si="1825"/>
        <v>-614311.89000000013</v>
      </c>
      <c r="BL146" s="26">
        <f t="shared" si="1825"/>
        <v>-614311.89000000013</v>
      </c>
      <c r="BM146" s="26">
        <f t="shared" si="1825"/>
        <v>-614311.89000000013</v>
      </c>
      <c r="BN146" s="26">
        <f t="shared" si="1825"/>
        <v>-614311.89000000013</v>
      </c>
      <c r="BO146" s="26">
        <f t="shared" si="1825"/>
        <v>-614311.89000000013</v>
      </c>
      <c r="BP146" s="26">
        <f t="shared" si="1825"/>
        <v>-614311.89000000013</v>
      </c>
      <c r="BQ146" s="26">
        <f t="shared" si="1825"/>
        <v>-614311.89000000013</v>
      </c>
      <c r="BR146" s="26">
        <f t="shared" si="1825"/>
        <v>-614311.89000000013</v>
      </c>
    </row>
    <row r="147" spans="1:70" s="6" customFormat="1" outlineLevel="1" x14ac:dyDescent="0.2">
      <c r="A147" s="30"/>
      <c r="B147" s="48" t="str">
        <f t="shared" si="1559"/>
        <v>Бенефиты</v>
      </c>
      <c r="C147" s="55" t="str">
        <f t="shared" si="1559"/>
        <v>Benefits</v>
      </c>
      <c r="D147" s="170">
        <f>SUM(D145:D146)</f>
        <v>1056013.6566021182</v>
      </c>
      <c r="E147" s="45">
        <f>SUM(E145:E146)</f>
        <v>-602653.55999999819</v>
      </c>
      <c r="F147" s="45">
        <f>SUM(F145:F146)</f>
        <v>150787.92878201092</v>
      </c>
      <c r="G147" s="45">
        <f t="shared" ref="G147:P147" si="1826">SUM(G145:G146)</f>
        <v>150787.92878201092</v>
      </c>
      <c r="H147" s="45">
        <f t="shared" si="1826"/>
        <v>150787.92878201092</v>
      </c>
      <c r="I147" s="45">
        <f t="shared" si="1826"/>
        <v>150787.92878201092</v>
      </c>
      <c r="J147" s="45">
        <f t="shared" si="1826"/>
        <v>150787.92878201092</v>
      </c>
      <c r="K147" s="45">
        <f t="shared" si="1826"/>
        <v>150787.92878201092</v>
      </c>
      <c r="L147" s="45">
        <f t="shared" si="1826"/>
        <v>150787.92878201092</v>
      </c>
      <c r="M147" s="45">
        <f t="shared" si="1826"/>
        <v>150787.92878201092</v>
      </c>
      <c r="N147" s="45">
        <f t="shared" si="1826"/>
        <v>150787.92878201092</v>
      </c>
      <c r="O147" s="45">
        <f t="shared" si="1826"/>
        <v>150787.92878201092</v>
      </c>
      <c r="P147" s="178">
        <f t="shared" si="1826"/>
        <v>150787.92878201092</v>
      </c>
      <c r="Q147" s="193">
        <f>SUM(Q145:Q146)</f>
        <v>1056013.6566021182</v>
      </c>
      <c r="R147" s="45">
        <f>SUM(R145:R146)</f>
        <v>-602653.55999999819</v>
      </c>
      <c r="S147" s="45">
        <f>SUM(S145:S146)</f>
        <v>150787.92878201092</v>
      </c>
      <c r="T147" s="45">
        <f t="shared" ref="T147" si="1827">SUM(T145:T146)</f>
        <v>150787.92878201092</v>
      </c>
      <c r="U147" s="45">
        <f t="shared" ref="U147" si="1828">SUM(U145:U146)</f>
        <v>150787.92878201092</v>
      </c>
      <c r="V147" s="45">
        <f t="shared" ref="V147" si="1829">SUM(V145:V146)</f>
        <v>150787.92878201092</v>
      </c>
      <c r="W147" s="45">
        <f t="shared" ref="W147" si="1830">SUM(W145:W146)</f>
        <v>150787.92878201092</v>
      </c>
      <c r="X147" s="45">
        <f t="shared" ref="X147" si="1831">SUM(X145:X146)</f>
        <v>150787.92878201092</v>
      </c>
      <c r="Y147" s="45">
        <f t="shared" ref="Y147" si="1832">SUM(Y145:Y146)</f>
        <v>150787.92878201092</v>
      </c>
      <c r="Z147" s="45">
        <f t="shared" ref="Z147" si="1833">SUM(Z145:Z146)</f>
        <v>150787.92878201092</v>
      </c>
      <c r="AA147" s="45">
        <f t="shared" ref="AA147" si="1834">SUM(AA145:AA146)</f>
        <v>150787.92878201092</v>
      </c>
      <c r="AB147" s="45">
        <f t="shared" ref="AB147" si="1835">SUM(AB145:AB146)</f>
        <v>150787.92878201092</v>
      </c>
      <c r="AC147" s="178">
        <f t="shared" ref="AC147" si="1836">SUM(AC145:AC146)</f>
        <v>150787.92878201092</v>
      </c>
      <c r="AD147" s="227">
        <f>SUM(AD145:AD146)</f>
        <v>1056013.6566021182</v>
      </c>
      <c r="AE147" s="45">
        <f>SUM(AE145:AE146)</f>
        <v>-602653.55999999819</v>
      </c>
      <c r="AF147" s="45">
        <f>SUM(AF145:AF146)</f>
        <v>150787.92878201092</v>
      </c>
      <c r="AG147" s="45">
        <f t="shared" ref="AG147" si="1837">SUM(AG145:AG146)</f>
        <v>150787.92878201092</v>
      </c>
      <c r="AH147" s="45">
        <f t="shared" ref="AH147" si="1838">SUM(AH145:AH146)</f>
        <v>150787.92878201092</v>
      </c>
      <c r="AI147" s="45">
        <f t="shared" ref="AI147" si="1839">SUM(AI145:AI146)</f>
        <v>150787.92878201092</v>
      </c>
      <c r="AJ147" s="45">
        <f t="shared" ref="AJ147" si="1840">SUM(AJ145:AJ146)</f>
        <v>150787.92878201092</v>
      </c>
      <c r="AK147" s="45">
        <f t="shared" ref="AK147" si="1841">SUM(AK145:AK146)</f>
        <v>150787.92878201092</v>
      </c>
      <c r="AL147" s="45">
        <f t="shared" ref="AL147" si="1842">SUM(AL145:AL146)</f>
        <v>150787.92878201092</v>
      </c>
      <c r="AM147" s="45">
        <f t="shared" ref="AM147" si="1843">SUM(AM145:AM146)</f>
        <v>150787.92878201092</v>
      </c>
      <c r="AN147" s="45">
        <f t="shared" ref="AN147" si="1844">SUM(AN145:AN146)</f>
        <v>150787.92878201092</v>
      </c>
      <c r="AO147" s="45">
        <f t="shared" ref="AO147" si="1845">SUM(AO145:AO146)</f>
        <v>150787.92878201092</v>
      </c>
      <c r="AP147" s="45">
        <f t="shared" ref="AP147" si="1846">SUM(AP145:AP146)</f>
        <v>150787.92878201092</v>
      </c>
      <c r="AQ147" s="170">
        <f>SUM(AQ145:AQ146)</f>
        <v>0</v>
      </c>
      <c r="AR147" s="45"/>
      <c r="AS147" s="45">
        <f>SUM(AS145:AS146)</f>
        <v>-602653.55999999819</v>
      </c>
      <c r="AT147" s="45">
        <f>SUM(AT145:AT146)</f>
        <v>150787.92878201092</v>
      </c>
      <c r="AU147" s="45">
        <f t="shared" ref="AU147" si="1847">SUM(AU145:AU146)</f>
        <v>150787.92878201092</v>
      </c>
      <c r="AV147" s="45">
        <f t="shared" ref="AV147" si="1848">SUM(AV145:AV146)</f>
        <v>150787.92878201092</v>
      </c>
      <c r="AW147" s="45">
        <f t="shared" ref="AW147" si="1849">SUM(AW145:AW146)</f>
        <v>150787.92878201092</v>
      </c>
      <c r="AX147" s="45">
        <f t="shared" ref="AX147" si="1850">SUM(AX145:AX146)</f>
        <v>150787.92878201092</v>
      </c>
      <c r="AY147" s="45">
        <f t="shared" ref="AY147" si="1851">SUM(AY145:AY146)</f>
        <v>150787.92878201092</v>
      </c>
      <c r="AZ147" s="45">
        <f t="shared" ref="AZ147" si="1852">SUM(AZ145:AZ146)</f>
        <v>150787.92878201092</v>
      </c>
      <c r="BA147" s="45">
        <f t="shared" ref="BA147" si="1853">SUM(BA145:BA146)</f>
        <v>150787.92878201092</v>
      </c>
      <c r="BB147" s="45">
        <f t="shared" ref="BB147" si="1854">SUM(BB145:BB146)</f>
        <v>150787.92878201092</v>
      </c>
      <c r="BC147" s="45">
        <f t="shared" ref="BC147" si="1855">SUM(BC145:BC146)</f>
        <v>150787.92878201092</v>
      </c>
      <c r="BD147" s="178">
        <f t="shared" ref="BD147" si="1856">SUM(BD145:BD146)</f>
        <v>150787.92878201092</v>
      </c>
      <c r="BE147" s="193">
        <f t="shared" si="1567"/>
        <v>0</v>
      </c>
      <c r="BF147" s="45"/>
      <c r="BG147" s="45">
        <f>SUM(BG145:BG146)</f>
        <v>-602653.55999999819</v>
      </c>
      <c r="BH147" s="45">
        <f>SUM(BH145:BH146)</f>
        <v>150787.92878201092</v>
      </c>
      <c r="BI147" s="45">
        <f t="shared" ref="BI147" si="1857">SUM(BI145:BI146)</f>
        <v>150787.92878201092</v>
      </c>
      <c r="BJ147" s="45">
        <f t="shared" ref="BJ147" si="1858">SUM(BJ145:BJ146)</f>
        <v>150787.92878201092</v>
      </c>
      <c r="BK147" s="45">
        <f t="shared" ref="BK147" si="1859">SUM(BK145:BK146)</f>
        <v>150787.92878201092</v>
      </c>
      <c r="BL147" s="45">
        <f t="shared" ref="BL147" si="1860">SUM(BL145:BL146)</f>
        <v>150787.92878201092</v>
      </c>
      <c r="BM147" s="45">
        <f t="shared" ref="BM147" si="1861">SUM(BM145:BM146)</f>
        <v>150787.92878201092</v>
      </c>
      <c r="BN147" s="45">
        <f t="shared" ref="BN147" si="1862">SUM(BN145:BN146)</f>
        <v>150787.92878201092</v>
      </c>
      <c r="BO147" s="45">
        <f t="shared" ref="BO147" si="1863">SUM(BO145:BO146)</f>
        <v>150787.92878201092</v>
      </c>
      <c r="BP147" s="45">
        <f t="shared" ref="BP147" si="1864">SUM(BP145:BP146)</f>
        <v>150787.92878201092</v>
      </c>
      <c r="BQ147" s="45">
        <f t="shared" ref="BQ147" si="1865">SUM(BQ145:BQ146)</f>
        <v>150787.92878201092</v>
      </c>
      <c r="BR147" s="45">
        <f t="shared" ref="BR147" si="1866">SUM(BR145:BR146)</f>
        <v>150787.92878201092</v>
      </c>
    </row>
    <row r="148" spans="1:70" outlineLevel="3" x14ac:dyDescent="0.2">
      <c r="A148" s="54"/>
      <c r="B148" s="38" t="str">
        <f t="shared" si="1559"/>
        <v>Прочие выплаты</v>
      </c>
      <c r="C148" s="49" t="str">
        <f t="shared" si="1559"/>
        <v>Remaining Other Compensation</v>
      </c>
      <c r="D148" s="168">
        <f t="shared" ref="D148:F149" si="1867">D28-D91</f>
        <v>1560000</v>
      </c>
      <c r="E148" s="40">
        <f t="shared" si="1867"/>
        <v>240000</v>
      </c>
      <c r="F148" s="40">
        <f t="shared" si="1867"/>
        <v>120000</v>
      </c>
      <c r="G148" s="40">
        <f t="shared" ref="G148:P149" si="1868">G28-G91</f>
        <v>120000</v>
      </c>
      <c r="H148" s="40">
        <f t="shared" si="1868"/>
        <v>120000</v>
      </c>
      <c r="I148" s="40">
        <f t="shared" si="1868"/>
        <v>120000</v>
      </c>
      <c r="J148" s="40">
        <f t="shared" si="1868"/>
        <v>120000</v>
      </c>
      <c r="K148" s="40">
        <f t="shared" si="1868"/>
        <v>120000</v>
      </c>
      <c r="L148" s="40">
        <f t="shared" si="1868"/>
        <v>120000</v>
      </c>
      <c r="M148" s="40">
        <f t="shared" si="1868"/>
        <v>120000</v>
      </c>
      <c r="N148" s="40">
        <f t="shared" si="1868"/>
        <v>120000</v>
      </c>
      <c r="O148" s="40">
        <f t="shared" si="1868"/>
        <v>120000</v>
      </c>
      <c r="P148" s="176">
        <f t="shared" si="1868"/>
        <v>120000</v>
      </c>
      <c r="Q148" s="191">
        <f t="shared" ref="Q148:S149" si="1869">Q28-Q91</f>
        <v>1560000</v>
      </c>
      <c r="R148" s="40">
        <f t="shared" si="1869"/>
        <v>240000</v>
      </c>
      <c r="S148" s="40">
        <f t="shared" si="1869"/>
        <v>120000</v>
      </c>
      <c r="T148" s="40">
        <f t="shared" ref="T148:AC148" si="1870">T28-T91</f>
        <v>120000</v>
      </c>
      <c r="U148" s="40">
        <f t="shared" si="1870"/>
        <v>120000</v>
      </c>
      <c r="V148" s="40">
        <f t="shared" si="1870"/>
        <v>120000</v>
      </c>
      <c r="W148" s="40">
        <f t="shared" si="1870"/>
        <v>120000</v>
      </c>
      <c r="X148" s="40">
        <f t="shared" si="1870"/>
        <v>120000</v>
      </c>
      <c r="Y148" s="40">
        <f t="shared" si="1870"/>
        <v>120000</v>
      </c>
      <c r="Z148" s="40">
        <f t="shared" si="1870"/>
        <v>120000</v>
      </c>
      <c r="AA148" s="40">
        <f t="shared" si="1870"/>
        <v>120000</v>
      </c>
      <c r="AB148" s="40">
        <f t="shared" si="1870"/>
        <v>120000</v>
      </c>
      <c r="AC148" s="176">
        <f t="shared" si="1870"/>
        <v>120000</v>
      </c>
      <c r="AD148" s="225">
        <f t="shared" ref="AD148:AF149" si="1871">AD28-AD91</f>
        <v>1560000</v>
      </c>
      <c r="AE148" s="40">
        <f t="shared" si="1871"/>
        <v>240000</v>
      </c>
      <c r="AF148" s="40">
        <f t="shared" si="1871"/>
        <v>120000</v>
      </c>
      <c r="AG148" s="40">
        <f t="shared" ref="AG148:AP148" si="1872">AG28-AG91</f>
        <v>120000</v>
      </c>
      <c r="AH148" s="40">
        <f t="shared" si="1872"/>
        <v>120000</v>
      </c>
      <c r="AI148" s="40">
        <f t="shared" si="1872"/>
        <v>120000</v>
      </c>
      <c r="AJ148" s="40">
        <f t="shared" si="1872"/>
        <v>120000</v>
      </c>
      <c r="AK148" s="40">
        <f t="shared" si="1872"/>
        <v>120000</v>
      </c>
      <c r="AL148" s="40">
        <f t="shared" si="1872"/>
        <v>120000</v>
      </c>
      <c r="AM148" s="40">
        <f t="shared" si="1872"/>
        <v>120000</v>
      </c>
      <c r="AN148" s="40">
        <f t="shared" si="1872"/>
        <v>120000</v>
      </c>
      <c r="AO148" s="40">
        <f t="shared" si="1872"/>
        <v>120000</v>
      </c>
      <c r="AP148" s="40">
        <f t="shared" si="1872"/>
        <v>120000</v>
      </c>
      <c r="AQ148" s="168">
        <f>AQ28-AQ91</f>
        <v>0</v>
      </c>
      <c r="AR148" s="40"/>
      <c r="AS148" s="40">
        <f>AS28-AS91</f>
        <v>240000</v>
      </c>
      <c r="AT148" s="40">
        <f>AT28-AT91</f>
        <v>120000</v>
      </c>
      <c r="AU148" s="40">
        <f t="shared" ref="AU148:BD148" si="1873">AU28-AU91</f>
        <v>120000</v>
      </c>
      <c r="AV148" s="40">
        <f t="shared" si="1873"/>
        <v>120000</v>
      </c>
      <c r="AW148" s="40">
        <f t="shared" si="1873"/>
        <v>120000</v>
      </c>
      <c r="AX148" s="40">
        <f t="shared" si="1873"/>
        <v>120000</v>
      </c>
      <c r="AY148" s="40">
        <f t="shared" si="1873"/>
        <v>120000</v>
      </c>
      <c r="AZ148" s="40">
        <f t="shared" si="1873"/>
        <v>120000</v>
      </c>
      <c r="BA148" s="40">
        <f t="shared" si="1873"/>
        <v>120000</v>
      </c>
      <c r="BB148" s="40">
        <f t="shared" si="1873"/>
        <v>120000</v>
      </c>
      <c r="BC148" s="40">
        <f t="shared" si="1873"/>
        <v>120000</v>
      </c>
      <c r="BD148" s="176">
        <f t="shared" si="1873"/>
        <v>120000</v>
      </c>
      <c r="BE148" s="191">
        <f t="shared" si="1567"/>
        <v>0</v>
      </c>
      <c r="BF148" s="40"/>
      <c r="BG148" s="40">
        <f>BG28-BG91</f>
        <v>240000</v>
      </c>
      <c r="BH148" s="40">
        <f>BH28-BH91</f>
        <v>120000</v>
      </c>
      <c r="BI148" s="40">
        <f t="shared" ref="BI148:BR148" si="1874">BI28-BI91</f>
        <v>120000</v>
      </c>
      <c r="BJ148" s="40">
        <f t="shared" si="1874"/>
        <v>120000</v>
      </c>
      <c r="BK148" s="40">
        <f t="shared" si="1874"/>
        <v>120000</v>
      </c>
      <c r="BL148" s="40">
        <f t="shared" si="1874"/>
        <v>120000</v>
      </c>
      <c r="BM148" s="40">
        <f t="shared" si="1874"/>
        <v>120000</v>
      </c>
      <c r="BN148" s="40">
        <f t="shared" si="1874"/>
        <v>120000</v>
      </c>
      <c r="BO148" s="40">
        <f t="shared" si="1874"/>
        <v>120000</v>
      </c>
      <c r="BP148" s="40">
        <f t="shared" si="1874"/>
        <v>120000</v>
      </c>
      <c r="BQ148" s="40">
        <f t="shared" si="1874"/>
        <v>120000</v>
      </c>
      <c r="BR148" s="40">
        <f t="shared" si="1874"/>
        <v>120000</v>
      </c>
    </row>
    <row r="149" spans="1:70" outlineLevel="3" x14ac:dyDescent="0.2">
      <c r="A149" s="54"/>
      <c r="B149" s="38" t="str">
        <f t="shared" si="1559"/>
        <v>Страховые взносы прочие выплаты</v>
      </c>
      <c r="C149" s="49" t="str">
        <f t="shared" si="1559"/>
        <v>Social Security on Remaining Other Compensation</v>
      </c>
      <c r="D149" s="168">
        <f t="shared" si="1867"/>
        <v>0</v>
      </c>
      <c r="E149" s="40">
        <f t="shared" si="1867"/>
        <v>0</v>
      </c>
      <c r="F149" s="40">
        <f t="shared" si="1867"/>
        <v>0</v>
      </c>
      <c r="G149" s="40">
        <f t="shared" si="1868"/>
        <v>0</v>
      </c>
      <c r="H149" s="40">
        <f t="shared" si="1868"/>
        <v>0</v>
      </c>
      <c r="I149" s="40">
        <f t="shared" si="1868"/>
        <v>0</v>
      </c>
      <c r="J149" s="40">
        <f t="shared" si="1868"/>
        <v>0</v>
      </c>
      <c r="K149" s="40">
        <f t="shared" si="1868"/>
        <v>0</v>
      </c>
      <c r="L149" s="40">
        <f t="shared" si="1868"/>
        <v>0</v>
      </c>
      <c r="M149" s="40">
        <f t="shared" si="1868"/>
        <v>0</v>
      </c>
      <c r="N149" s="40">
        <f t="shared" si="1868"/>
        <v>0</v>
      </c>
      <c r="O149" s="40">
        <f t="shared" si="1868"/>
        <v>0</v>
      </c>
      <c r="P149" s="176">
        <f t="shared" si="1868"/>
        <v>0</v>
      </c>
      <c r="Q149" s="191">
        <f t="shared" si="1869"/>
        <v>0</v>
      </c>
      <c r="R149" s="40">
        <f t="shared" si="1869"/>
        <v>0</v>
      </c>
      <c r="S149" s="40">
        <f t="shared" si="1869"/>
        <v>0</v>
      </c>
      <c r="T149" s="40">
        <f t="shared" ref="T149:AC149" si="1875">T29-T92</f>
        <v>0</v>
      </c>
      <c r="U149" s="40">
        <f t="shared" si="1875"/>
        <v>0</v>
      </c>
      <c r="V149" s="40">
        <f t="shared" si="1875"/>
        <v>0</v>
      </c>
      <c r="W149" s="40">
        <f t="shared" si="1875"/>
        <v>0</v>
      </c>
      <c r="X149" s="40">
        <f t="shared" si="1875"/>
        <v>0</v>
      </c>
      <c r="Y149" s="40">
        <f t="shared" si="1875"/>
        <v>0</v>
      </c>
      <c r="Z149" s="40">
        <f t="shared" si="1875"/>
        <v>0</v>
      </c>
      <c r="AA149" s="40">
        <f t="shared" si="1875"/>
        <v>0</v>
      </c>
      <c r="AB149" s="40">
        <f t="shared" si="1875"/>
        <v>0</v>
      </c>
      <c r="AC149" s="176">
        <f t="shared" si="1875"/>
        <v>0</v>
      </c>
      <c r="AD149" s="225">
        <f t="shared" si="1871"/>
        <v>0</v>
      </c>
      <c r="AE149" s="40">
        <f t="shared" si="1871"/>
        <v>0</v>
      </c>
      <c r="AF149" s="40">
        <f t="shared" si="1871"/>
        <v>0</v>
      </c>
      <c r="AG149" s="40">
        <f t="shared" ref="AG149:AP149" si="1876">AG29-AG92</f>
        <v>0</v>
      </c>
      <c r="AH149" s="40">
        <f t="shared" si="1876"/>
        <v>0</v>
      </c>
      <c r="AI149" s="40">
        <f t="shared" si="1876"/>
        <v>0</v>
      </c>
      <c r="AJ149" s="40">
        <f t="shared" si="1876"/>
        <v>0</v>
      </c>
      <c r="AK149" s="40">
        <f t="shared" si="1876"/>
        <v>0</v>
      </c>
      <c r="AL149" s="40">
        <f t="shared" si="1876"/>
        <v>0</v>
      </c>
      <c r="AM149" s="40">
        <f t="shared" si="1876"/>
        <v>0</v>
      </c>
      <c r="AN149" s="40">
        <f t="shared" si="1876"/>
        <v>0</v>
      </c>
      <c r="AO149" s="40">
        <f t="shared" si="1876"/>
        <v>0</v>
      </c>
      <c r="AP149" s="40">
        <f t="shared" si="1876"/>
        <v>0</v>
      </c>
      <c r="AQ149" s="168">
        <f>AQ29-AQ92</f>
        <v>0</v>
      </c>
      <c r="AR149" s="40"/>
      <c r="AS149" s="40">
        <f>AS29-AS92</f>
        <v>0</v>
      </c>
      <c r="AT149" s="40">
        <f>AT29-AT92</f>
        <v>0</v>
      </c>
      <c r="AU149" s="40">
        <f t="shared" ref="AU149:BD149" si="1877">AU29-AU92</f>
        <v>0</v>
      </c>
      <c r="AV149" s="40">
        <f t="shared" si="1877"/>
        <v>0</v>
      </c>
      <c r="AW149" s="40">
        <f t="shared" si="1877"/>
        <v>0</v>
      </c>
      <c r="AX149" s="40">
        <f t="shared" si="1877"/>
        <v>0</v>
      </c>
      <c r="AY149" s="40">
        <f t="shared" si="1877"/>
        <v>0</v>
      </c>
      <c r="AZ149" s="40">
        <f t="shared" si="1877"/>
        <v>0</v>
      </c>
      <c r="BA149" s="40">
        <f t="shared" si="1877"/>
        <v>0</v>
      </c>
      <c r="BB149" s="40">
        <f t="shared" si="1877"/>
        <v>0</v>
      </c>
      <c r="BC149" s="40">
        <f t="shared" si="1877"/>
        <v>0</v>
      </c>
      <c r="BD149" s="176">
        <f t="shared" si="1877"/>
        <v>0</v>
      </c>
      <c r="BE149" s="191">
        <f t="shared" si="1567"/>
        <v>0</v>
      </c>
      <c r="BF149" s="40"/>
      <c r="BG149" s="40">
        <f>BG29-BG92</f>
        <v>0</v>
      </c>
      <c r="BH149" s="40">
        <f>BH29-BH92</f>
        <v>0</v>
      </c>
      <c r="BI149" s="40">
        <f t="shared" ref="BI149:BR149" si="1878">BI29-BI92</f>
        <v>0</v>
      </c>
      <c r="BJ149" s="40">
        <f t="shared" si="1878"/>
        <v>0</v>
      </c>
      <c r="BK149" s="40">
        <f t="shared" si="1878"/>
        <v>0</v>
      </c>
      <c r="BL149" s="40">
        <f t="shared" si="1878"/>
        <v>0</v>
      </c>
      <c r="BM149" s="40">
        <f t="shared" si="1878"/>
        <v>0</v>
      </c>
      <c r="BN149" s="40">
        <f t="shared" si="1878"/>
        <v>0</v>
      </c>
      <c r="BO149" s="40">
        <f t="shared" si="1878"/>
        <v>0</v>
      </c>
      <c r="BP149" s="40">
        <f t="shared" si="1878"/>
        <v>0</v>
      </c>
      <c r="BQ149" s="40">
        <f t="shared" si="1878"/>
        <v>0</v>
      </c>
      <c r="BR149" s="40">
        <f t="shared" si="1878"/>
        <v>0</v>
      </c>
    </row>
    <row r="150" spans="1:70" s="6" customFormat="1" outlineLevel="2" x14ac:dyDescent="0.2">
      <c r="A150" s="30"/>
      <c r="B150" s="29" t="str">
        <f t="shared" si="1559"/>
        <v>Итого прочие выплаты</v>
      </c>
      <c r="C150" s="52" t="str">
        <f t="shared" si="1559"/>
        <v>Total Remaining Other Compensation</v>
      </c>
      <c r="D150" s="169">
        <f>SUM(D148:D149)</f>
        <v>1560000</v>
      </c>
      <c r="E150" s="26">
        <f>SUM(E148:E149)</f>
        <v>240000</v>
      </c>
      <c r="F150" s="26">
        <f>SUM(F148:F149)</f>
        <v>120000</v>
      </c>
      <c r="G150" s="26">
        <f t="shared" ref="G150:P150" si="1879">SUM(G148:G149)</f>
        <v>120000</v>
      </c>
      <c r="H150" s="26">
        <f t="shared" si="1879"/>
        <v>120000</v>
      </c>
      <c r="I150" s="26">
        <f t="shared" si="1879"/>
        <v>120000</v>
      </c>
      <c r="J150" s="26">
        <f t="shared" si="1879"/>
        <v>120000</v>
      </c>
      <c r="K150" s="26">
        <f t="shared" si="1879"/>
        <v>120000</v>
      </c>
      <c r="L150" s="26">
        <f t="shared" si="1879"/>
        <v>120000</v>
      </c>
      <c r="M150" s="26">
        <f t="shared" si="1879"/>
        <v>120000</v>
      </c>
      <c r="N150" s="26">
        <f t="shared" si="1879"/>
        <v>120000</v>
      </c>
      <c r="O150" s="26">
        <f t="shared" si="1879"/>
        <v>120000</v>
      </c>
      <c r="P150" s="177">
        <f t="shared" si="1879"/>
        <v>120000</v>
      </c>
      <c r="Q150" s="192">
        <f>SUM(Q148:Q149)</f>
        <v>1560000</v>
      </c>
      <c r="R150" s="26">
        <f>SUM(R148:R149)</f>
        <v>240000</v>
      </c>
      <c r="S150" s="26">
        <f>SUM(S148:S149)</f>
        <v>120000</v>
      </c>
      <c r="T150" s="26">
        <f t="shared" ref="T150" si="1880">SUM(T148:T149)</f>
        <v>120000</v>
      </c>
      <c r="U150" s="26">
        <f t="shared" ref="U150" si="1881">SUM(U148:U149)</f>
        <v>120000</v>
      </c>
      <c r="V150" s="26">
        <f t="shared" ref="V150" si="1882">SUM(V148:V149)</f>
        <v>120000</v>
      </c>
      <c r="W150" s="26">
        <f t="shared" ref="W150" si="1883">SUM(W148:W149)</f>
        <v>120000</v>
      </c>
      <c r="X150" s="26">
        <f t="shared" ref="X150" si="1884">SUM(X148:X149)</f>
        <v>120000</v>
      </c>
      <c r="Y150" s="26">
        <f t="shared" ref="Y150" si="1885">SUM(Y148:Y149)</f>
        <v>120000</v>
      </c>
      <c r="Z150" s="26">
        <f t="shared" ref="Z150" si="1886">SUM(Z148:Z149)</f>
        <v>120000</v>
      </c>
      <c r="AA150" s="26">
        <f t="shared" ref="AA150" si="1887">SUM(AA148:AA149)</f>
        <v>120000</v>
      </c>
      <c r="AB150" s="26">
        <f t="shared" ref="AB150" si="1888">SUM(AB148:AB149)</f>
        <v>120000</v>
      </c>
      <c r="AC150" s="177">
        <f t="shared" ref="AC150" si="1889">SUM(AC148:AC149)</f>
        <v>120000</v>
      </c>
      <c r="AD150" s="226">
        <f>SUM(AD148:AD149)</f>
        <v>1560000</v>
      </c>
      <c r="AE150" s="26">
        <f>SUM(AE148:AE149)</f>
        <v>240000</v>
      </c>
      <c r="AF150" s="26">
        <f>SUM(AF148:AF149)</f>
        <v>120000</v>
      </c>
      <c r="AG150" s="26">
        <f t="shared" ref="AG150" si="1890">SUM(AG148:AG149)</f>
        <v>120000</v>
      </c>
      <c r="AH150" s="26">
        <f t="shared" ref="AH150" si="1891">SUM(AH148:AH149)</f>
        <v>120000</v>
      </c>
      <c r="AI150" s="26">
        <f t="shared" ref="AI150" si="1892">SUM(AI148:AI149)</f>
        <v>120000</v>
      </c>
      <c r="AJ150" s="26">
        <f t="shared" ref="AJ150" si="1893">SUM(AJ148:AJ149)</f>
        <v>120000</v>
      </c>
      <c r="AK150" s="26">
        <f t="shared" ref="AK150" si="1894">SUM(AK148:AK149)</f>
        <v>120000</v>
      </c>
      <c r="AL150" s="26">
        <f t="shared" ref="AL150" si="1895">SUM(AL148:AL149)</f>
        <v>120000</v>
      </c>
      <c r="AM150" s="26">
        <f t="shared" ref="AM150" si="1896">SUM(AM148:AM149)</f>
        <v>120000</v>
      </c>
      <c r="AN150" s="26">
        <f t="shared" ref="AN150" si="1897">SUM(AN148:AN149)</f>
        <v>120000</v>
      </c>
      <c r="AO150" s="26">
        <f t="shared" ref="AO150" si="1898">SUM(AO148:AO149)</f>
        <v>120000</v>
      </c>
      <c r="AP150" s="26">
        <f t="shared" ref="AP150" si="1899">SUM(AP148:AP149)</f>
        <v>120000</v>
      </c>
      <c r="AQ150" s="169">
        <f>SUM(AQ148:AQ149)</f>
        <v>0</v>
      </c>
      <c r="AR150" s="26"/>
      <c r="AS150" s="26">
        <f>SUM(AS148:AS149)</f>
        <v>240000</v>
      </c>
      <c r="AT150" s="26">
        <f>SUM(AT148:AT149)</f>
        <v>120000</v>
      </c>
      <c r="AU150" s="26">
        <f t="shared" ref="AU150" si="1900">SUM(AU148:AU149)</f>
        <v>120000</v>
      </c>
      <c r="AV150" s="26">
        <f t="shared" ref="AV150" si="1901">SUM(AV148:AV149)</f>
        <v>120000</v>
      </c>
      <c r="AW150" s="26">
        <f t="shared" ref="AW150" si="1902">SUM(AW148:AW149)</f>
        <v>120000</v>
      </c>
      <c r="AX150" s="26">
        <f t="shared" ref="AX150" si="1903">SUM(AX148:AX149)</f>
        <v>120000</v>
      </c>
      <c r="AY150" s="26">
        <f t="shared" ref="AY150" si="1904">SUM(AY148:AY149)</f>
        <v>120000</v>
      </c>
      <c r="AZ150" s="26">
        <f t="shared" ref="AZ150" si="1905">SUM(AZ148:AZ149)</f>
        <v>120000</v>
      </c>
      <c r="BA150" s="26">
        <f t="shared" ref="BA150" si="1906">SUM(BA148:BA149)</f>
        <v>120000</v>
      </c>
      <c r="BB150" s="26">
        <f t="shared" ref="BB150" si="1907">SUM(BB148:BB149)</f>
        <v>120000</v>
      </c>
      <c r="BC150" s="26">
        <f t="shared" ref="BC150" si="1908">SUM(BC148:BC149)</f>
        <v>120000</v>
      </c>
      <c r="BD150" s="177">
        <f t="shared" ref="BD150" si="1909">SUM(BD148:BD149)</f>
        <v>120000</v>
      </c>
      <c r="BE150" s="192">
        <f t="shared" si="1567"/>
        <v>0</v>
      </c>
      <c r="BF150" s="26"/>
      <c r="BG150" s="26">
        <f>SUM(BG148:BG149)</f>
        <v>240000</v>
      </c>
      <c r="BH150" s="26">
        <f>SUM(BH148:BH149)</f>
        <v>120000</v>
      </c>
      <c r="BI150" s="26">
        <f t="shared" ref="BI150" si="1910">SUM(BI148:BI149)</f>
        <v>120000</v>
      </c>
      <c r="BJ150" s="26">
        <f t="shared" ref="BJ150" si="1911">SUM(BJ148:BJ149)</f>
        <v>120000</v>
      </c>
      <c r="BK150" s="26">
        <f t="shared" ref="BK150" si="1912">SUM(BK148:BK149)</f>
        <v>120000</v>
      </c>
      <c r="BL150" s="26">
        <f t="shared" ref="BL150" si="1913">SUM(BL148:BL149)</f>
        <v>120000</v>
      </c>
      <c r="BM150" s="26">
        <f t="shared" ref="BM150" si="1914">SUM(BM148:BM149)</f>
        <v>120000</v>
      </c>
      <c r="BN150" s="26">
        <f t="shared" ref="BN150" si="1915">SUM(BN148:BN149)</f>
        <v>120000</v>
      </c>
      <c r="BO150" s="26">
        <f t="shared" ref="BO150" si="1916">SUM(BO148:BO149)</f>
        <v>120000</v>
      </c>
      <c r="BP150" s="26">
        <f t="shared" ref="BP150" si="1917">SUM(BP148:BP149)</f>
        <v>120000</v>
      </c>
      <c r="BQ150" s="26">
        <f t="shared" ref="BQ150" si="1918">SUM(BQ148:BQ149)</f>
        <v>120000</v>
      </c>
      <c r="BR150" s="26">
        <f t="shared" ref="BR150" si="1919">SUM(BR148:BR149)</f>
        <v>120000</v>
      </c>
    </row>
    <row r="151" spans="1:70" ht="12.75" customHeight="1" outlineLevel="3" x14ac:dyDescent="0.2">
      <c r="A151" s="54"/>
      <c r="B151" s="38" t="str">
        <f t="shared" si="1559"/>
        <v>Премия разовая</v>
      </c>
      <c r="C151" s="49" t="str">
        <f t="shared" si="1559"/>
        <v>Sign-ons - cash</v>
      </c>
      <c r="D151" s="168">
        <f t="shared" ref="D151:F152" si="1920">D31-D94</f>
        <v>-209000000</v>
      </c>
      <c r="E151" s="40">
        <f t="shared" si="1920"/>
        <v>0</v>
      </c>
      <c r="F151" s="40">
        <f t="shared" si="1920"/>
        <v>-19000000</v>
      </c>
      <c r="G151" s="40">
        <f t="shared" ref="G151:P152" si="1921">G31-G94</f>
        <v>-19000000</v>
      </c>
      <c r="H151" s="40">
        <f t="shared" si="1921"/>
        <v>-19000000</v>
      </c>
      <c r="I151" s="40">
        <f t="shared" si="1921"/>
        <v>-19000000</v>
      </c>
      <c r="J151" s="40">
        <f t="shared" si="1921"/>
        <v>-19000000</v>
      </c>
      <c r="K151" s="40">
        <f t="shared" si="1921"/>
        <v>-19000000</v>
      </c>
      <c r="L151" s="40">
        <f t="shared" si="1921"/>
        <v>-19000000</v>
      </c>
      <c r="M151" s="40">
        <f t="shared" si="1921"/>
        <v>-19000000</v>
      </c>
      <c r="N151" s="40">
        <f t="shared" si="1921"/>
        <v>-19000000</v>
      </c>
      <c r="O151" s="40">
        <f t="shared" si="1921"/>
        <v>-19000000</v>
      </c>
      <c r="P151" s="176">
        <f t="shared" si="1921"/>
        <v>-19000000</v>
      </c>
      <c r="Q151" s="191">
        <f t="shared" ref="Q151:S152" si="1922">Q31-Q94</f>
        <v>-209000000</v>
      </c>
      <c r="R151" s="40">
        <f t="shared" si="1922"/>
        <v>0</v>
      </c>
      <c r="S151" s="40">
        <f t="shared" si="1922"/>
        <v>-19000000</v>
      </c>
      <c r="T151" s="40">
        <f t="shared" ref="T151:AC151" si="1923">T31-T94</f>
        <v>-19000000</v>
      </c>
      <c r="U151" s="40">
        <f t="shared" si="1923"/>
        <v>-19000000</v>
      </c>
      <c r="V151" s="40">
        <f t="shared" si="1923"/>
        <v>-19000000</v>
      </c>
      <c r="W151" s="40">
        <f t="shared" si="1923"/>
        <v>-19000000</v>
      </c>
      <c r="X151" s="40">
        <f t="shared" si="1923"/>
        <v>-19000000</v>
      </c>
      <c r="Y151" s="40">
        <f t="shared" si="1923"/>
        <v>-19000000</v>
      </c>
      <c r="Z151" s="40">
        <f t="shared" si="1923"/>
        <v>-19000000</v>
      </c>
      <c r="AA151" s="40">
        <f t="shared" si="1923"/>
        <v>-19000000</v>
      </c>
      <c r="AB151" s="40">
        <f t="shared" si="1923"/>
        <v>-19000000</v>
      </c>
      <c r="AC151" s="176">
        <f t="shared" si="1923"/>
        <v>-19000000</v>
      </c>
      <c r="AD151" s="225">
        <f t="shared" ref="AD151:AF152" si="1924">AD31-AD94</f>
        <v>-209000000</v>
      </c>
      <c r="AE151" s="40">
        <f t="shared" si="1924"/>
        <v>0</v>
      </c>
      <c r="AF151" s="40">
        <f t="shared" si="1924"/>
        <v>-19000000</v>
      </c>
      <c r="AG151" s="40">
        <f t="shared" ref="AG151:AP151" si="1925">AG31-AG94</f>
        <v>-19000000</v>
      </c>
      <c r="AH151" s="40">
        <f t="shared" si="1925"/>
        <v>-19000000</v>
      </c>
      <c r="AI151" s="40">
        <f t="shared" si="1925"/>
        <v>-19000000</v>
      </c>
      <c r="AJ151" s="40">
        <f t="shared" si="1925"/>
        <v>-19000000</v>
      </c>
      <c r="AK151" s="40">
        <f t="shared" si="1925"/>
        <v>-19000000</v>
      </c>
      <c r="AL151" s="40">
        <f t="shared" si="1925"/>
        <v>-19000000</v>
      </c>
      <c r="AM151" s="40">
        <f t="shared" si="1925"/>
        <v>-19000000</v>
      </c>
      <c r="AN151" s="40">
        <f t="shared" si="1925"/>
        <v>-19000000</v>
      </c>
      <c r="AO151" s="40">
        <f t="shared" si="1925"/>
        <v>-19000000</v>
      </c>
      <c r="AP151" s="40">
        <f t="shared" si="1925"/>
        <v>-19000000</v>
      </c>
      <c r="AQ151" s="168">
        <f>AQ31-AQ94</f>
        <v>0</v>
      </c>
      <c r="AR151" s="40"/>
      <c r="AS151" s="40">
        <f>AS31-AS94</f>
        <v>0</v>
      </c>
      <c r="AT151" s="40">
        <f>AT31-AT94</f>
        <v>-19000000</v>
      </c>
      <c r="AU151" s="40">
        <f t="shared" ref="AU151:BD151" si="1926">AU31-AU94</f>
        <v>-19000000</v>
      </c>
      <c r="AV151" s="40">
        <f t="shared" si="1926"/>
        <v>-19000000</v>
      </c>
      <c r="AW151" s="40">
        <f t="shared" si="1926"/>
        <v>-19000000</v>
      </c>
      <c r="AX151" s="40">
        <f t="shared" si="1926"/>
        <v>-19000000</v>
      </c>
      <c r="AY151" s="40">
        <f t="shared" si="1926"/>
        <v>-19000000</v>
      </c>
      <c r="AZ151" s="40">
        <f t="shared" si="1926"/>
        <v>-19000000</v>
      </c>
      <c r="BA151" s="40">
        <f t="shared" si="1926"/>
        <v>-19000000</v>
      </c>
      <c r="BB151" s="40">
        <f t="shared" si="1926"/>
        <v>-19000000</v>
      </c>
      <c r="BC151" s="40">
        <f t="shared" si="1926"/>
        <v>-19000000</v>
      </c>
      <c r="BD151" s="176">
        <f t="shared" si="1926"/>
        <v>-19000000</v>
      </c>
      <c r="BE151" s="191">
        <f t="shared" si="1567"/>
        <v>0</v>
      </c>
      <c r="BF151" s="40"/>
      <c r="BG151" s="40">
        <f>BG31-BG94</f>
        <v>0</v>
      </c>
      <c r="BH151" s="40">
        <f>BH31-BH94</f>
        <v>-19000000</v>
      </c>
      <c r="BI151" s="40">
        <f t="shared" ref="BI151:BR151" si="1927">BI31-BI94</f>
        <v>-19000000</v>
      </c>
      <c r="BJ151" s="40">
        <f t="shared" si="1927"/>
        <v>-19000000</v>
      </c>
      <c r="BK151" s="40">
        <f t="shared" si="1927"/>
        <v>-19000000</v>
      </c>
      <c r="BL151" s="40">
        <f t="shared" si="1927"/>
        <v>-19000000</v>
      </c>
      <c r="BM151" s="40">
        <f t="shared" si="1927"/>
        <v>-19000000</v>
      </c>
      <c r="BN151" s="40">
        <f t="shared" si="1927"/>
        <v>-19000000</v>
      </c>
      <c r="BO151" s="40">
        <f t="shared" si="1927"/>
        <v>-19000000</v>
      </c>
      <c r="BP151" s="40">
        <f t="shared" si="1927"/>
        <v>-19000000</v>
      </c>
      <c r="BQ151" s="40">
        <f t="shared" si="1927"/>
        <v>-19000000</v>
      </c>
      <c r="BR151" s="40">
        <f t="shared" si="1927"/>
        <v>-19000000</v>
      </c>
    </row>
    <row r="152" spans="1:70" ht="12.75" customHeight="1" outlineLevel="3" x14ac:dyDescent="0.2">
      <c r="A152" s="54"/>
      <c r="B152" s="38" t="str">
        <f t="shared" ref="B152:C171" si="1928">B32</f>
        <v>Страховые взносы премия разовая</v>
      </c>
      <c r="C152" s="49" t="str">
        <f t="shared" si="1928"/>
        <v>Social Security on Sign-ons - cash</v>
      </c>
      <c r="D152" s="168">
        <f t="shared" si="1920"/>
        <v>-36615447</v>
      </c>
      <c r="E152" s="40">
        <f t="shared" si="1920"/>
        <v>0</v>
      </c>
      <c r="F152" s="40">
        <f t="shared" si="1920"/>
        <v>-3328677</v>
      </c>
      <c r="G152" s="40">
        <f t="shared" si="1921"/>
        <v>-3328677</v>
      </c>
      <c r="H152" s="40">
        <f t="shared" si="1921"/>
        <v>-3328677</v>
      </c>
      <c r="I152" s="40">
        <f t="shared" si="1921"/>
        <v>-3328677</v>
      </c>
      <c r="J152" s="40">
        <f t="shared" si="1921"/>
        <v>-3328677</v>
      </c>
      <c r="K152" s="40">
        <f t="shared" si="1921"/>
        <v>-3328677</v>
      </c>
      <c r="L152" s="40">
        <f t="shared" si="1921"/>
        <v>-3328677</v>
      </c>
      <c r="M152" s="40">
        <f t="shared" si="1921"/>
        <v>-3328677</v>
      </c>
      <c r="N152" s="40">
        <f t="shared" si="1921"/>
        <v>-3328677</v>
      </c>
      <c r="O152" s="40">
        <f t="shared" si="1921"/>
        <v>-3328677</v>
      </c>
      <c r="P152" s="176">
        <f t="shared" si="1921"/>
        <v>-3328677</v>
      </c>
      <c r="Q152" s="191">
        <f t="shared" si="1922"/>
        <v>-36615447</v>
      </c>
      <c r="R152" s="40">
        <f t="shared" si="1922"/>
        <v>0</v>
      </c>
      <c r="S152" s="40">
        <f t="shared" si="1922"/>
        <v>-3328677</v>
      </c>
      <c r="T152" s="40">
        <f t="shared" ref="T152:AC152" si="1929">T32-T95</f>
        <v>-3328677</v>
      </c>
      <c r="U152" s="40">
        <f t="shared" si="1929"/>
        <v>-3328677</v>
      </c>
      <c r="V152" s="40">
        <f t="shared" si="1929"/>
        <v>-3328677</v>
      </c>
      <c r="W152" s="40">
        <f t="shared" si="1929"/>
        <v>-3328677</v>
      </c>
      <c r="X152" s="40">
        <f t="shared" si="1929"/>
        <v>-3328677</v>
      </c>
      <c r="Y152" s="40">
        <f t="shared" si="1929"/>
        <v>-3328677</v>
      </c>
      <c r="Z152" s="40">
        <f t="shared" si="1929"/>
        <v>-3328677</v>
      </c>
      <c r="AA152" s="40">
        <f t="shared" si="1929"/>
        <v>-3328677</v>
      </c>
      <c r="AB152" s="40">
        <f t="shared" si="1929"/>
        <v>-3328677</v>
      </c>
      <c r="AC152" s="176">
        <f t="shared" si="1929"/>
        <v>-3328677</v>
      </c>
      <c r="AD152" s="225">
        <f t="shared" si="1924"/>
        <v>-36615447</v>
      </c>
      <c r="AE152" s="40">
        <f t="shared" si="1924"/>
        <v>0</v>
      </c>
      <c r="AF152" s="40">
        <f t="shared" si="1924"/>
        <v>-3328677</v>
      </c>
      <c r="AG152" s="40">
        <f t="shared" ref="AG152:AP152" si="1930">AG32-AG95</f>
        <v>-3328677</v>
      </c>
      <c r="AH152" s="40">
        <f t="shared" si="1930"/>
        <v>-3328677</v>
      </c>
      <c r="AI152" s="40">
        <f t="shared" si="1930"/>
        <v>-3328677</v>
      </c>
      <c r="AJ152" s="40">
        <f t="shared" si="1930"/>
        <v>-3328677</v>
      </c>
      <c r="AK152" s="40">
        <f t="shared" si="1930"/>
        <v>-3328677</v>
      </c>
      <c r="AL152" s="40">
        <f t="shared" si="1930"/>
        <v>-3328677</v>
      </c>
      <c r="AM152" s="40">
        <f t="shared" si="1930"/>
        <v>-3328677</v>
      </c>
      <c r="AN152" s="40">
        <f t="shared" si="1930"/>
        <v>-3328677</v>
      </c>
      <c r="AO152" s="40">
        <f t="shared" si="1930"/>
        <v>-3328677</v>
      </c>
      <c r="AP152" s="40">
        <f t="shared" si="1930"/>
        <v>-3328677</v>
      </c>
      <c r="AQ152" s="168">
        <f>AQ32-AQ95</f>
        <v>0</v>
      </c>
      <c r="AR152" s="40"/>
      <c r="AS152" s="40">
        <f>AS32-AS95</f>
        <v>0</v>
      </c>
      <c r="AT152" s="40">
        <f>AT32-AT95</f>
        <v>-3328677</v>
      </c>
      <c r="AU152" s="40">
        <f t="shared" ref="AU152:BD152" si="1931">AU32-AU95</f>
        <v>-3328677</v>
      </c>
      <c r="AV152" s="40">
        <f t="shared" si="1931"/>
        <v>-3328677</v>
      </c>
      <c r="AW152" s="40">
        <f t="shared" si="1931"/>
        <v>-3328677</v>
      </c>
      <c r="AX152" s="40">
        <f t="shared" si="1931"/>
        <v>-3328677</v>
      </c>
      <c r="AY152" s="40">
        <f t="shared" si="1931"/>
        <v>-3328677</v>
      </c>
      <c r="AZ152" s="40">
        <f t="shared" si="1931"/>
        <v>-3328677</v>
      </c>
      <c r="BA152" s="40">
        <f t="shared" si="1931"/>
        <v>-3328677</v>
      </c>
      <c r="BB152" s="40">
        <f t="shared" si="1931"/>
        <v>-3328677</v>
      </c>
      <c r="BC152" s="40">
        <f t="shared" si="1931"/>
        <v>-3328677</v>
      </c>
      <c r="BD152" s="176">
        <f t="shared" si="1931"/>
        <v>-3328677</v>
      </c>
      <c r="BE152" s="191">
        <f t="shared" si="1567"/>
        <v>0</v>
      </c>
      <c r="BF152" s="40"/>
      <c r="BG152" s="40">
        <f>BG32-BG95</f>
        <v>0</v>
      </c>
      <c r="BH152" s="40">
        <f>BH32-BH95</f>
        <v>-3328677</v>
      </c>
      <c r="BI152" s="40">
        <f t="shared" ref="BI152:BR152" si="1932">BI32-BI95</f>
        <v>-3328677</v>
      </c>
      <c r="BJ152" s="40">
        <f t="shared" si="1932"/>
        <v>-3328677</v>
      </c>
      <c r="BK152" s="40">
        <f t="shared" si="1932"/>
        <v>-3328677</v>
      </c>
      <c r="BL152" s="40">
        <f t="shared" si="1932"/>
        <v>-3328677</v>
      </c>
      <c r="BM152" s="40">
        <f t="shared" si="1932"/>
        <v>-3328677</v>
      </c>
      <c r="BN152" s="40">
        <f t="shared" si="1932"/>
        <v>-3328677</v>
      </c>
      <c r="BO152" s="40">
        <f t="shared" si="1932"/>
        <v>-3328677</v>
      </c>
      <c r="BP152" s="40">
        <f t="shared" si="1932"/>
        <v>-3328677</v>
      </c>
      <c r="BQ152" s="40">
        <f t="shared" si="1932"/>
        <v>-3328677</v>
      </c>
      <c r="BR152" s="40">
        <f t="shared" si="1932"/>
        <v>-3328677</v>
      </c>
    </row>
    <row r="153" spans="1:70" s="6" customFormat="1" outlineLevel="2" x14ac:dyDescent="0.2">
      <c r="A153" s="30"/>
      <c r="B153" s="29" t="str">
        <f t="shared" si="1928"/>
        <v>Итого премия разовая</v>
      </c>
      <c r="C153" s="52" t="str">
        <f t="shared" si="1928"/>
        <v>Total Sign-ons - cash</v>
      </c>
      <c r="D153" s="169">
        <f>SUM(D151:D152)</f>
        <v>-245615447</v>
      </c>
      <c r="E153" s="26">
        <f>SUM(E151:E152)</f>
        <v>0</v>
      </c>
      <c r="F153" s="26">
        <f>SUM(F151:F152)</f>
        <v>-22328677</v>
      </c>
      <c r="G153" s="26">
        <f t="shared" ref="G153:P153" si="1933">SUM(G151:G152)</f>
        <v>-22328677</v>
      </c>
      <c r="H153" s="26">
        <f t="shared" si="1933"/>
        <v>-22328677</v>
      </c>
      <c r="I153" s="26">
        <f t="shared" si="1933"/>
        <v>-22328677</v>
      </c>
      <c r="J153" s="26">
        <f t="shared" si="1933"/>
        <v>-22328677</v>
      </c>
      <c r="K153" s="26">
        <f t="shared" si="1933"/>
        <v>-22328677</v>
      </c>
      <c r="L153" s="26">
        <f t="shared" si="1933"/>
        <v>-22328677</v>
      </c>
      <c r="M153" s="26">
        <f t="shared" si="1933"/>
        <v>-22328677</v>
      </c>
      <c r="N153" s="26">
        <f t="shared" si="1933"/>
        <v>-22328677</v>
      </c>
      <c r="O153" s="26">
        <f t="shared" si="1933"/>
        <v>-22328677</v>
      </c>
      <c r="P153" s="177">
        <f t="shared" si="1933"/>
        <v>-22328677</v>
      </c>
      <c r="Q153" s="192">
        <f>SUM(Q151:Q152)</f>
        <v>-245615447</v>
      </c>
      <c r="R153" s="26">
        <f>SUM(R151:R152)</f>
        <v>0</v>
      </c>
      <c r="S153" s="26">
        <f>SUM(S151:S152)</f>
        <v>-22328677</v>
      </c>
      <c r="T153" s="26">
        <f t="shared" ref="T153" si="1934">SUM(T151:T152)</f>
        <v>-22328677</v>
      </c>
      <c r="U153" s="26">
        <f t="shared" ref="U153" si="1935">SUM(U151:U152)</f>
        <v>-22328677</v>
      </c>
      <c r="V153" s="26">
        <f t="shared" ref="V153" si="1936">SUM(V151:V152)</f>
        <v>-22328677</v>
      </c>
      <c r="W153" s="26">
        <f t="shared" ref="W153" si="1937">SUM(W151:W152)</f>
        <v>-22328677</v>
      </c>
      <c r="X153" s="26">
        <f t="shared" ref="X153" si="1938">SUM(X151:X152)</f>
        <v>-22328677</v>
      </c>
      <c r="Y153" s="26">
        <f t="shared" ref="Y153" si="1939">SUM(Y151:Y152)</f>
        <v>-22328677</v>
      </c>
      <c r="Z153" s="26">
        <f t="shared" ref="Z153" si="1940">SUM(Z151:Z152)</f>
        <v>-22328677</v>
      </c>
      <c r="AA153" s="26">
        <f t="shared" ref="AA153" si="1941">SUM(AA151:AA152)</f>
        <v>-22328677</v>
      </c>
      <c r="AB153" s="26">
        <f t="shared" ref="AB153" si="1942">SUM(AB151:AB152)</f>
        <v>-22328677</v>
      </c>
      <c r="AC153" s="177">
        <f t="shared" ref="AC153" si="1943">SUM(AC151:AC152)</f>
        <v>-22328677</v>
      </c>
      <c r="AD153" s="226">
        <f>SUM(AD151:AD152)</f>
        <v>-245615447</v>
      </c>
      <c r="AE153" s="26">
        <f>SUM(AE151:AE152)</f>
        <v>0</v>
      </c>
      <c r="AF153" s="26">
        <f>SUM(AF151:AF152)</f>
        <v>-22328677</v>
      </c>
      <c r="AG153" s="26">
        <f t="shared" ref="AG153" si="1944">SUM(AG151:AG152)</f>
        <v>-22328677</v>
      </c>
      <c r="AH153" s="26">
        <f t="shared" ref="AH153" si="1945">SUM(AH151:AH152)</f>
        <v>-22328677</v>
      </c>
      <c r="AI153" s="26">
        <f t="shared" ref="AI153" si="1946">SUM(AI151:AI152)</f>
        <v>-22328677</v>
      </c>
      <c r="AJ153" s="26">
        <f t="shared" ref="AJ153" si="1947">SUM(AJ151:AJ152)</f>
        <v>-22328677</v>
      </c>
      <c r="AK153" s="26">
        <f t="shared" ref="AK153" si="1948">SUM(AK151:AK152)</f>
        <v>-22328677</v>
      </c>
      <c r="AL153" s="26">
        <f t="shared" ref="AL153" si="1949">SUM(AL151:AL152)</f>
        <v>-22328677</v>
      </c>
      <c r="AM153" s="26">
        <f t="shared" ref="AM153" si="1950">SUM(AM151:AM152)</f>
        <v>-22328677</v>
      </c>
      <c r="AN153" s="26">
        <f t="shared" ref="AN153" si="1951">SUM(AN151:AN152)</f>
        <v>-22328677</v>
      </c>
      <c r="AO153" s="26">
        <f t="shared" ref="AO153" si="1952">SUM(AO151:AO152)</f>
        <v>-22328677</v>
      </c>
      <c r="AP153" s="26">
        <f t="shared" ref="AP153" si="1953">SUM(AP151:AP152)</f>
        <v>-22328677</v>
      </c>
      <c r="AQ153" s="169">
        <f>SUM(AQ151:AQ152)</f>
        <v>0</v>
      </c>
      <c r="AR153" s="26"/>
      <c r="AS153" s="26">
        <f>SUM(AS151:AS152)</f>
        <v>0</v>
      </c>
      <c r="AT153" s="26">
        <f>SUM(AT151:AT152)</f>
        <v>-22328677</v>
      </c>
      <c r="AU153" s="26">
        <f t="shared" ref="AU153" si="1954">SUM(AU151:AU152)</f>
        <v>-22328677</v>
      </c>
      <c r="AV153" s="26">
        <f t="shared" ref="AV153" si="1955">SUM(AV151:AV152)</f>
        <v>-22328677</v>
      </c>
      <c r="AW153" s="26">
        <f t="shared" ref="AW153" si="1956">SUM(AW151:AW152)</f>
        <v>-22328677</v>
      </c>
      <c r="AX153" s="26">
        <f t="shared" ref="AX153" si="1957">SUM(AX151:AX152)</f>
        <v>-22328677</v>
      </c>
      <c r="AY153" s="26">
        <f t="shared" ref="AY153" si="1958">SUM(AY151:AY152)</f>
        <v>-22328677</v>
      </c>
      <c r="AZ153" s="26">
        <f t="shared" ref="AZ153" si="1959">SUM(AZ151:AZ152)</f>
        <v>-22328677</v>
      </c>
      <c r="BA153" s="26">
        <f t="shared" ref="BA153" si="1960">SUM(BA151:BA152)</f>
        <v>-22328677</v>
      </c>
      <c r="BB153" s="26">
        <f t="shared" ref="BB153" si="1961">SUM(BB151:BB152)</f>
        <v>-22328677</v>
      </c>
      <c r="BC153" s="26">
        <f t="shared" ref="BC153" si="1962">SUM(BC151:BC152)</f>
        <v>-22328677</v>
      </c>
      <c r="BD153" s="177">
        <f t="shared" ref="BD153" si="1963">SUM(BD151:BD152)</f>
        <v>-22328677</v>
      </c>
      <c r="BE153" s="192">
        <f t="shared" si="1567"/>
        <v>0</v>
      </c>
      <c r="BF153" s="26"/>
      <c r="BG153" s="26">
        <f>SUM(BG151:BG152)</f>
        <v>0</v>
      </c>
      <c r="BH153" s="26">
        <f>SUM(BH151:BH152)</f>
        <v>-22328677</v>
      </c>
      <c r="BI153" s="26">
        <f t="shared" ref="BI153" si="1964">SUM(BI151:BI152)</f>
        <v>-22328677</v>
      </c>
      <c r="BJ153" s="26">
        <f t="shared" ref="BJ153" si="1965">SUM(BJ151:BJ152)</f>
        <v>-22328677</v>
      </c>
      <c r="BK153" s="26">
        <f t="shared" ref="BK153" si="1966">SUM(BK151:BK152)</f>
        <v>-22328677</v>
      </c>
      <c r="BL153" s="26">
        <f t="shared" ref="BL153" si="1967">SUM(BL151:BL152)</f>
        <v>-22328677</v>
      </c>
      <c r="BM153" s="26">
        <f t="shared" ref="BM153" si="1968">SUM(BM151:BM152)</f>
        <v>-22328677</v>
      </c>
      <c r="BN153" s="26">
        <f t="shared" ref="BN153" si="1969">SUM(BN151:BN152)</f>
        <v>-22328677</v>
      </c>
      <c r="BO153" s="26">
        <f t="shared" ref="BO153" si="1970">SUM(BO151:BO152)</f>
        <v>-22328677</v>
      </c>
      <c r="BP153" s="26">
        <f t="shared" ref="BP153" si="1971">SUM(BP151:BP152)</f>
        <v>-22328677</v>
      </c>
      <c r="BQ153" s="26">
        <f t="shared" ref="BQ153" si="1972">SUM(BQ151:BQ152)</f>
        <v>-22328677</v>
      </c>
      <c r="BR153" s="26">
        <f t="shared" ref="BR153" si="1973">SUM(BR151:BR152)</f>
        <v>-22328677</v>
      </c>
    </row>
    <row r="154" spans="1:70" ht="12.75" customHeight="1" outlineLevel="3" x14ac:dyDescent="0.2">
      <c r="A154" s="54"/>
      <c r="B154" s="38" t="str">
        <f t="shared" si="1928"/>
        <v>Выплаты при увольнении</v>
      </c>
      <c r="C154" s="49" t="str">
        <f t="shared" si="1928"/>
        <v>Direct severance payments - cash</v>
      </c>
      <c r="D154" s="168">
        <f t="shared" ref="D154:F155" si="1974">D34-D97</f>
        <v>0</v>
      </c>
      <c r="E154" s="40">
        <f t="shared" si="1974"/>
        <v>0</v>
      </c>
      <c r="F154" s="40">
        <f t="shared" si="1974"/>
        <v>0</v>
      </c>
      <c r="G154" s="40">
        <f t="shared" ref="G154:P155" si="1975">G34-G97</f>
        <v>0</v>
      </c>
      <c r="H154" s="40">
        <f t="shared" si="1975"/>
        <v>0</v>
      </c>
      <c r="I154" s="40">
        <f t="shared" si="1975"/>
        <v>0</v>
      </c>
      <c r="J154" s="40">
        <f t="shared" si="1975"/>
        <v>0</v>
      </c>
      <c r="K154" s="40">
        <f t="shared" si="1975"/>
        <v>0</v>
      </c>
      <c r="L154" s="40">
        <f t="shared" si="1975"/>
        <v>0</v>
      </c>
      <c r="M154" s="40">
        <f t="shared" si="1975"/>
        <v>0</v>
      </c>
      <c r="N154" s="40">
        <f t="shared" si="1975"/>
        <v>0</v>
      </c>
      <c r="O154" s="40">
        <f t="shared" si="1975"/>
        <v>0</v>
      </c>
      <c r="P154" s="176">
        <f t="shared" si="1975"/>
        <v>0</v>
      </c>
      <c r="Q154" s="191">
        <f t="shared" ref="Q154:S155" si="1976">Q34-Q97</f>
        <v>0</v>
      </c>
      <c r="R154" s="40">
        <f t="shared" si="1976"/>
        <v>0</v>
      </c>
      <c r="S154" s="40">
        <f t="shared" si="1976"/>
        <v>0</v>
      </c>
      <c r="T154" s="40">
        <f t="shared" ref="T154:AC154" si="1977">T34-T97</f>
        <v>0</v>
      </c>
      <c r="U154" s="40">
        <f t="shared" si="1977"/>
        <v>0</v>
      </c>
      <c r="V154" s="40">
        <f t="shared" si="1977"/>
        <v>0</v>
      </c>
      <c r="W154" s="40">
        <f t="shared" si="1977"/>
        <v>0</v>
      </c>
      <c r="X154" s="40">
        <f t="shared" si="1977"/>
        <v>0</v>
      </c>
      <c r="Y154" s="40">
        <f t="shared" si="1977"/>
        <v>0</v>
      </c>
      <c r="Z154" s="40">
        <f t="shared" si="1977"/>
        <v>0</v>
      </c>
      <c r="AA154" s="40">
        <f t="shared" si="1977"/>
        <v>0</v>
      </c>
      <c r="AB154" s="40">
        <f t="shared" si="1977"/>
        <v>0</v>
      </c>
      <c r="AC154" s="176">
        <f t="shared" si="1977"/>
        <v>0</v>
      </c>
      <c r="AD154" s="225">
        <f t="shared" ref="AD154:AF155" si="1978">AD34-AD97</f>
        <v>0</v>
      </c>
      <c r="AE154" s="40">
        <f t="shared" si="1978"/>
        <v>0</v>
      </c>
      <c r="AF154" s="40">
        <f t="shared" si="1978"/>
        <v>0</v>
      </c>
      <c r="AG154" s="40">
        <f t="shared" ref="AG154:AP154" si="1979">AG34-AG97</f>
        <v>0</v>
      </c>
      <c r="AH154" s="40">
        <f t="shared" si="1979"/>
        <v>0</v>
      </c>
      <c r="AI154" s="40">
        <f t="shared" si="1979"/>
        <v>0</v>
      </c>
      <c r="AJ154" s="40">
        <f t="shared" si="1979"/>
        <v>0</v>
      </c>
      <c r="AK154" s="40">
        <f t="shared" si="1979"/>
        <v>0</v>
      </c>
      <c r="AL154" s="40">
        <f t="shared" si="1979"/>
        <v>0</v>
      </c>
      <c r="AM154" s="40">
        <f t="shared" si="1979"/>
        <v>0</v>
      </c>
      <c r="AN154" s="40">
        <f t="shared" si="1979"/>
        <v>0</v>
      </c>
      <c r="AO154" s="40">
        <f t="shared" si="1979"/>
        <v>0</v>
      </c>
      <c r="AP154" s="40">
        <f t="shared" si="1979"/>
        <v>0</v>
      </c>
      <c r="AQ154" s="168">
        <f>AQ34-AQ97</f>
        <v>0</v>
      </c>
      <c r="AR154" s="40"/>
      <c r="AS154" s="40">
        <f>AS34-AS97</f>
        <v>0</v>
      </c>
      <c r="AT154" s="40">
        <f>AT34-AT97</f>
        <v>0</v>
      </c>
      <c r="AU154" s="40">
        <f t="shared" ref="AU154:BD154" si="1980">AU34-AU97</f>
        <v>0</v>
      </c>
      <c r="AV154" s="40">
        <f t="shared" si="1980"/>
        <v>0</v>
      </c>
      <c r="AW154" s="40">
        <f t="shared" si="1980"/>
        <v>0</v>
      </c>
      <c r="AX154" s="40">
        <f t="shared" si="1980"/>
        <v>0</v>
      </c>
      <c r="AY154" s="40">
        <f t="shared" si="1980"/>
        <v>0</v>
      </c>
      <c r="AZ154" s="40">
        <f t="shared" si="1980"/>
        <v>0</v>
      </c>
      <c r="BA154" s="40">
        <f t="shared" si="1980"/>
        <v>0</v>
      </c>
      <c r="BB154" s="40">
        <f t="shared" si="1980"/>
        <v>0</v>
      </c>
      <c r="BC154" s="40">
        <f t="shared" si="1980"/>
        <v>0</v>
      </c>
      <c r="BD154" s="176">
        <f t="shared" si="1980"/>
        <v>0</v>
      </c>
      <c r="BE154" s="191">
        <f t="shared" si="1567"/>
        <v>0</v>
      </c>
      <c r="BF154" s="40"/>
      <c r="BG154" s="40">
        <f>BG34-BG97</f>
        <v>0</v>
      </c>
      <c r="BH154" s="40">
        <f>BH34-BH97</f>
        <v>0</v>
      </c>
      <c r="BI154" s="40">
        <f t="shared" ref="BI154:BR154" si="1981">BI34-BI97</f>
        <v>0</v>
      </c>
      <c r="BJ154" s="40">
        <f t="shared" si="1981"/>
        <v>0</v>
      </c>
      <c r="BK154" s="40">
        <f t="shared" si="1981"/>
        <v>0</v>
      </c>
      <c r="BL154" s="40">
        <f t="shared" si="1981"/>
        <v>0</v>
      </c>
      <c r="BM154" s="40">
        <f t="shared" si="1981"/>
        <v>0</v>
      </c>
      <c r="BN154" s="40">
        <f t="shared" si="1981"/>
        <v>0</v>
      </c>
      <c r="BO154" s="40">
        <f t="shared" si="1981"/>
        <v>0</v>
      </c>
      <c r="BP154" s="40">
        <f t="shared" si="1981"/>
        <v>0</v>
      </c>
      <c r="BQ154" s="40">
        <f t="shared" si="1981"/>
        <v>0</v>
      </c>
      <c r="BR154" s="40">
        <f t="shared" si="1981"/>
        <v>0</v>
      </c>
    </row>
    <row r="155" spans="1:70" ht="12.75" customHeight="1" outlineLevel="3" x14ac:dyDescent="0.2">
      <c r="A155" s="54"/>
      <c r="B155" s="38" t="str">
        <f t="shared" si="1928"/>
        <v>Страховые взносы выплаты при увольнении</v>
      </c>
      <c r="C155" s="49" t="str">
        <f t="shared" si="1928"/>
        <v>Social Security on Severance</v>
      </c>
      <c r="D155" s="168">
        <f t="shared" si="1974"/>
        <v>0</v>
      </c>
      <c r="E155" s="40">
        <f t="shared" si="1974"/>
        <v>0</v>
      </c>
      <c r="F155" s="40">
        <f t="shared" si="1974"/>
        <v>0</v>
      </c>
      <c r="G155" s="40">
        <f t="shared" si="1975"/>
        <v>0</v>
      </c>
      <c r="H155" s="40">
        <f t="shared" si="1975"/>
        <v>0</v>
      </c>
      <c r="I155" s="40">
        <f t="shared" si="1975"/>
        <v>0</v>
      </c>
      <c r="J155" s="40">
        <f t="shared" si="1975"/>
        <v>0</v>
      </c>
      <c r="K155" s="40">
        <f t="shared" si="1975"/>
        <v>0</v>
      </c>
      <c r="L155" s="40">
        <f t="shared" si="1975"/>
        <v>0</v>
      </c>
      <c r="M155" s="40">
        <f t="shared" si="1975"/>
        <v>0</v>
      </c>
      <c r="N155" s="40">
        <f t="shared" si="1975"/>
        <v>0</v>
      </c>
      <c r="O155" s="40">
        <f t="shared" si="1975"/>
        <v>0</v>
      </c>
      <c r="P155" s="176">
        <f t="shared" si="1975"/>
        <v>0</v>
      </c>
      <c r="Q155" s="191">
        <f t="shared" si="1976"/>
        <v>0</v>
      </c>
      <c r="R155" s="40">
        <f t="shared" si="1976"/>
        <v>0</v>
      </c>
      <c r="S155" s="40">
        <f t="shared" si="1976"/>
        <v>0</v>
      </c>
      <c r="T155" s="40">
        <f t="shared" ref="T155:AC155" si="1982">T35-T98</f>
        <v>0</v>
      </c>
      <c r="U155" s="40">
        <f t="shared" si="1982"/>
        <v>0</v>
      </c>
      <c r="V155" s="40">
        <f t="shared" si="1982"/>
        <v>0</v>
      </c>
      <c r="W155" s="40">
        <f t="shared" si="1982"/>
        <v>0</v>
      </c>
      <c r="X155" s="40">
        <f t="shared" si="1982"/>
        <v>0</v>
      </c>
      <c r="Y155" s="40">
        <f t="shared" si="1982"/>
        <v>0</v>
      </c>
      <c r="Z155" s="40">
        <f t="shared" si="1982"/>
        <v>0</v>
      </c>
      <c r="AA155" s="40">
        <f t="shared" si="1982"/>
        <v>0</v>
      </c>
      <c r="AB155" s="40">
        <f t="shared" si="1982"/>
        <v>0</v>
      </c>
      <c r="AC155" s="176">
        <f t="shared" si="1982"/>
        <v>0</v>
      </c>
      <c r="AD155" s="225">
        <f t="shared" si="1978"/>
        <v>0</v>
      </c>
      <c r="AE155" s="40">
        <f t="shared" si="1978"/>
        <v>0</v>
      </c>
      <c r="AF155" s="40">
        <f t="shared" si="1978"/>
        <v>0</v>
      </c>
      <c r="AG155" s="40">
        <f t="shared" ref="AG155:AP155" si="1983">AG35-AG98</f>
        <v>0</v>
      </c>
      <c r="AH155" s="40">
        <f t="shared" si="1983"/>
        <v>0</v>
      </c>
      <c r="AI155" s="40">
        <f t="shared" si="1983"/>
        <v>0</v>
      </c>
      <c r="AJ155" s="40">
        <f t="shared" si="1983"/>
        <v>0</v>
      </c>
      <c r="AK155" s="40">
        <f t="shared" si="1983"/>
        <v>0</v>
      </c>
      <c r="AL155" s="40">
        <f t="shared" si="1983"/>
        <v>0</v>
      </c>
      <c r="AM155" s="40">
        <f t="shared" si="1983"/>
        <v>0</v>
      </c>
      <c r="AN155" s="40">
        <f t="shared" si="1983"/>
        <v>0</v>
      </c>
      <c r="AO155" s="40">
        <f t="shared" si="1983"/>
        <v>0</v>
      </c>
      <c r="AP155" s="40">
        <f t="shared" si="1983"/>
        <v>0</v>
      </c>
      <c r="AQ155" s="168">
        <f>AQ35-AQ98</f>
        <v>0</v>
      </c>
      <c r="AR155" s="40"/>
      <c r="AS155" s="40">
        <f>AS35-AS98</f>
        <v>0</v>
      </c>
      <c r="AT155" s="40">
        <f>AT35-AT98</f>
        <v>0</v>
      </c>
      <c r="AU155" s="40">
        <f t="shared" ref="AU155:BD155" si="1984">AU35-AU98</f>
        <v>0</v>
      </c>
      <c r="AV155" s="40">
        <f t="shared" si="1984"/>
        <v>0</v>
      </c>
      <c r="AW155" s="40">
        <f t="shared" si="1984"/>
        <v>0</v>
      </c>
      <c r="AX155" s="40">
        <f t="shared" si="1984"/>
        <v>0</v>
      </c>
      <c r="AY155" s="40">
        <f t="shared" si="1984"/>
        <v>0</v>
      </c>
      <c r="AZ155" s="40">
        <f t="shared" si="1984"/>
        <v>0</v>
      </c>
      <c r="BA155" s="40">
        <f t="shared" si="1984"/>
        <v>0</v>
      </c>
      <c r="BB155" s="40">
        <f t="shared" si="1984"/>
        <v>0</v>
      </c>
      <c r="BC155" s="40">
        <f t="shared" si="1984"/>
        <v>0</v>
      </c>
      <c r="BD155" s="176">
        <f t="shared" si="1984"/>
        <v>0</v>
      </c>
      <c r="BE155" s="191">
        <f t="shared" si="1567"/>
        <v>0</v>
      </c>
      <c r="BF155" s="40"/>
      <c r="BG155" s="40">
        <f>BG35-BG98</f>
        <v>0</v>
      </c>
      <c r="BH155" s="40">
        <f>BH35-BH98</f>
        <v>0</v>
      </c>
      <c r="BI155" s="40">
        <f t="shared" ref="BI155:BR155" si="1985">BI35-BI98</f>
        <v>0</v>
      </c>
      <c r="BJ155" s="40">
        <f t="shared" si="1985"/>
        <v>0</v>
      </c>
      <c r="BK155" s="40">
        <f t="shared" si="1985"/>
        <v>0</v>
      </c>
      <c r="BL155" s="40">
        <f t="shared" si="1985"/>
        <v>0</v>
      </c>
      <c r="BM155" s="40">
        <f t="shared" si="1985"/>
        <v>0</v>
      </c>
      <c r="BN155" s="40">
        <f t="shared" si="1985"/>
        <v>0</v>
      </c>
      <c r="BO155" s="40">
        <f t="shared" si="1985"/>
        <v>0</v>
      </c>
      <c r="BP155" s="40">
        <f t="shared" si="1985"/>
        <v>0</v>
      </c>
      <c r="BQ155" s="40">
        <f t="shared" si="1985"/>
        <v>0</v>
      </c>
      <c r="BR155" s="40">
        <f t="shared" si="1985"/>
        <v>0</v>
      </c>
    </row>
    <row r="156" spans="1:70" s="6" customFormat="1" outlineLevel="2" x14ac:dyDescent="0.2">
      <c r="A156" s="30"/>
      <c r="B156" s="29" t="str">
        <f t="shared" si="1928"/>
        <v>Итого выплаты при увольнении</v>
      </c>
      <c r="C156" s="52" t="str">
        <f t="shared" si="1928"/>
        <v>Total Direct severance payments - cash</v>
      </c>
      <c r="D156" s="169">
        <f>SUM(D154:D155)</f>
        <v>0</v>
      </c>
      <c r="E156" s="26">
        <f>SUM(E154:E155)</f>
        <v>0</v>
      </c>
      <c r="F156" s="26">
        <f>SUM(F154:F155)</f>
        <v>0</v>
      </c>
      <c r="G156" s="26">
        <f t="shared" ref="G156:P156" si="1986">SUM(G154:G155)</f>
        <v>0</v>
      </c>
      <c r="H156" s="26">
        <f t="shared" si="1986"/>
        <v>0</v>
      </c>
      <c r="I156" s="26">
        <f t="shared" si="1986"/>
        <v>0</v>
      </c>
      <c r="J156" s="26">
        <f t="shared" si="1986"/>
        <v>0</v>
      </c>
      <c r="K156" s="26">
        <f t="shared" si="1986"/>
        <v>0</v>
      </c>
      <c r="L156" s="26">
        <f t="shared" si="1986"/>
        <v>0</v>
      </c>
      <c r="M156" s="26">
        <f t="shared" si="1986"/>
        <v>0</v>
      </c>
      <c r="N156" s="26">
        <f t="shared" si="1986"/>
        <v>0</v>
      </c>
      <c r="O156" s="26">
        <f t="shared" si="1986"/>
        <v>0</v>
      </c>
      <c r="P156" s="177">
        <f t="shared" si="1986"/>
        <v>0</v>
      </c>
      <c r="Q156" s="192">
        <f>SUM(Q154:Q155)</f>
        <v>0</v>
      </c>
      <c r="R156" s="26">
        <f>SUM(R154:R155)</f>
        <v>0</v>
      </c>
      <c r="S156" s="26">
        <f>SUM(S154:S155)</f>
        <v>0</v>
      </c>
      <c r="T156" s="26">
        <f t="shared" ref="T156" si="1987">SUM(T154:T155)</f>
        <v>0</v>
      </c>
      <c r="U156" s="26">
        <f t="shared" ref="U156" si="1988">SUM(U154:U155)</f>
        <v>0</v>
      </c>
      <c r="V156" s="26">
        <f t="shared" ref="V156" si="1989">SUM(V154:V155)</f>
        <v>0</v>
      </c>
      <c r="W156" s="26">
        <f t="shared" ref="W156" si="1990">SUM(W154:W155)</f>
        <v>0</v>
      </c>
      <c r="X156" s="26">
        <f t="shared" ref="X156" si="1991">SUM(X154:X155)</f>
        <v>0</v>
      </c>
      <c r="Y156" s="26">
        <f t="shared" ref="Y156" si="1992">SUM(Y154:Y155)</f>
        <v>0</v>
      </c>
      <c r="Z156" s="26">
        <f t="shared" ref="Z156" si="1993">SUM(Z154:Z155)</f>
        <v>0</v>
      </c>
      <c r="AA156" s="26">
        <f t="shared" ref="AA156" si="1994">SUM(AA154:AA155)</f>
        <v>0</v>
      </c>
      <c r="AB156" s="26">
        <f t="shared" ref="AB156" si="1995">SUM(AB154:AB155)</f>
        <v>0</v>
      </c>
      <c r="AC156" s="177">
        <f t="shared" ref="AC156" si="1996">SUM(AC154:AC155)</f>
        <v>0</v>
      </c>
      <c r="AD156" s="226">
        <f>SUM(AD154:AD155)</f>
        <v>0</v>
      </c>
      <c r="AE156" s="26">
        <f>SUM(AE154:AE155)</f>
        <v>0</v>
      </c>
      <c r="AF156" s="26">
        <f>SUM(AF154:AF155)</f>
        <v>0</v>
      </c>
      <c r="AG156" s="26">
        <f t="shared" ref="AG156" si="1997">SUM(AG154:AG155)</f>
        <v>0</v>
      </c>
      <c r="AH156" s="26">
        <f t="shared" ref="AH156" si="1998">SUM(AH154:AH155)</f>
        <v>0</v>
      </c>
      <c r="AI156" s="26">
        <f t="shared" ref="AI156" si="1999">SUM(AI154:AI155)</f>
        <v>0</v>
      </c>
      <c r="AJ156" s="26">
        <f t="shared" ref="AJ156" si="2000">SUM(AJ154:AJ155)</f>
        <v>0</v>
      </c>
      <c r="AK156" s="26">
        <f t="shared" ref="AK156" si="2001">SUM(AK154:AK155)</f>
        <v>0</v>
      </c>
      <c r="AL156" s="26">
        <f t="shared" ref="AL156" si="2002">SUM(AL154:AL155)</f>
        <v>0</v>
      </c>
      <c r="AM156" s="26">
        <f t="shared" ref="AM156" si="2003">SUM(AM154:AM155)</f>
        <v>0</v>
      </c>
      <c r="AN156" s="26">
        <f t="shared" ref="AN156" si="2004">SUM(AN154:AN155)</f>
        <v>0</v>
      </c>
      <c r="AO156" s="26">
        <f t="shared" ref="AO156" si="2005">SUM(AO154:AO155)</f>
        <v>0</v>
      </c>
      <c r="AP156" s="26">
        <f t="shared" ref="AP156" si="2006">SUM(AP154:AP155)</f>
        <v>0</v>
      </c>
      <c r="AQ156" s="169">
        <f>SUM(AQ154:AQ155)</f>
        <v>0</v>
      </c>
      <c r="AR156" s="26"/>
      <c r="AS156" s="26">
        <f>SUM(AS154:AS155)</f>
        <v>0</v>
      </c>
      <c r="AT156" s="26">
        <f>SUM(AT154:AT155)</f>
        <v>0</v>
      </c>
      <c r="AU156" s="26">
        <f t="shared" ref="AU156" si="2007">SUM(AU154:AU155)</f>
        <v>0</v>
      </c>
      <c r="AV156" s="26">
        <f t="shared" ref="AV156" si="2008">SUM(AV154:AV155)</f>
        <v>0</v>
      </c>
      <c r="AW156" s="26">
        <f t="shared" ref="AW156" si="2009">SUM(AW154:AW155)</f>
        <v>0</v>
      </c>
      <c r="AX156" s="26">
        <f t="shared" ref="AX156" si="2010">SUM(AX154:AX155)</f>
        <v>0</v>
      </c>
      <c r="AY156" s="26">
        <f t="shared" ref="AY156" si="2011">SUM(AY154:AY155)</f>
        <v>0</v>
      </c>
      <c r="AZ156" s="26">
        <f t="shared" ref="AZ156" si="2012">SUM(AZ154:AZ155)</f>
        <v>0</v>
      </c>
      <c r="BA156" s="26">
        <f t="shared" ref="BA156" si="2013">SUM(BA154:BA155)</f>
        <v>0</v>
      </c>
      <c r="BB156" s="26">
        <f t="shared" ref="BB156" si="2014">SUM(BB154:BB155)</f>
        <v>0</v>
      </c>
      <c r="BC156" s="26">
        <f t="shared" ref="BC156" si="2015">SUM(BC154:BC155)</f>
        <v>0</v>
      </c>
      <c r="BD156" s="177">
        <f t="shared" ref="BD156" si="2016">SUM(BD154:BD155)</f>
        <v>0</v>
      </c>
      <c r="BE156" s="192">
        <f t="shared" si="1567"/>
        <v>0</v>
      </c>
      <c r="BF156" s="26"/>
      <c r="BG156" s="26">
        <f>SUM(BG154:BG155)</f>
        <v>0</v>
      </c>
      <c r="BH156" s="26">
        <f>SUM(BH154:BH155)</f>
        <v>0</v>
      </c>
      <c r="BI156" s="26">
        <f t="shared" ref="BI156" si="2017">SUM(BI154:BI155)</f>
        <v>0</v>
      </c>
      <c r="BJ156" s="26">
        <f t="shared" ref="BJ156" si="2018">SUM(BJ154:BJ155)</f>
        <v>0</v>
      </c>
      <c r="BK156" s="26">
        <f t="shared" ref="BK156" si="2019">SUM(BK154:BK155)</f>
        <v>0</v>
      </c>
      <c r="BL156" s="26">
        <f t="shared" ref="BL156" si="2020">SUM(BL154:BL155)</f>
        <v>0</v>
      </c>
      <c r="BM156" s="26">
        <f t="shared" ref="BM156" si="2021">SUM(BM154:BM155)</f>
        <v>0</v>
      </c>
      <c r="BN156" s="26">
        <f t="shared" ref="BN156" si="2022">SUM(BN154:BN155)</f>
        <v>0</v>
      </c>
      <c r="BO156" s="26">
        <f t="shared" ref="BO156" si="2023">SUM(BO154:BO155)</f>
        <v>0</v>
      </c>
      <c r="BP156" s="26">
        <f t="shared" ref="BP156" si="2024">SUM(BP154:BP155)</f>
        <v>0</v>
      </c>
      <c r="BQ156" s="26">
        <f t="shared" ref="BQ156" si="2025">SUM(BQ154:BQ155)</f>
        <v>0</v>
      </c>
      <c r="BR156" s="26">
        <f t="shared" ref="BR156" si="2026">SUM(BR154:BR155)</f>
        <v>0</v>
      </c>
    </row>
    <row r="157" spans="1:70" ht="12.75" customHeight="1" outlineLevel="3" x14ac:dyDescent="0.2">
      <c r="B157" s="38" t="str">
        <f t="shared" si="1928"/>
        <v>Отложенное вознаграждение</v>
      </c>
      <c r="C157" s="49" t="str">
        <f t="shared" si="1928"/>
        <v>Deferred Compensation</v>
      </c>
      <c r="D157" s="168">
        <f t="shared" ref="D157:F158" si="2027">D37-D100</f>
        <v>0</v>
      </c>
      <c r="E157" s="40">
        <f t="shared" si="2027"/>
        <v>0</v>
      </c>
      <c r="F157" s="40">
        <f t="shared" si="2027"/>
        <v>0</v>
      </c>
      <c r="G157" s="40">
        <f t="shared" ref="G157:P158" si="2028">G37-G100</f>
        <v>0</v>
      </c>
      <c r="H157" s="40">
        <f t="shared" si="2028"/>
        <v>0</v>
      </c>
      <c r="I157" s="40">
        <f t="shared" si="2028"/>
        <v>0</v>
      </c>
      <c r="J157" s="40">
        <f t="shared" si="2028"/>
        <v>0</v>
      </c>
      <c r="K157" s="40">
        <f t="shared" si="2028"/>
        <v>0</v>
      </c>
      <c r="L157" s="40">
        <f t="shared" si="2028"/>
        <v>0</v>
      </c>
      <c r="M157" s="40">
        <f t="shared" si="2028"/>
        <v>0</v>
      </c>
      <c r="N157" s="40">
        <f t="shared" si="2028"/>
        <v>0</v>
      </c>
      <c r="O157" s="40">
        <f t="shared" si="2028"/>
        <v>0</v>
      </c>
      <c r="P157" s="176">
        <f t="shared" si="2028"/>
        <v>0</v>
      </c>
      <c r="Q157" s="191">
        <f t="shared" ref="Q157:S158" si="2029">Q37-Q100</f>
        <v>0</v>
      </c>
      <c r="R157" s="40">
        <f t="shared" si="2029"/>
        <v>0</v>
      </c>
      <c r="S157" s="40">
        <f t="shared" si="2029"/>
        <v>0</v>
      </c>
      <c r="T157" s="40">
        <f t="shared" ref="T157:AC157" si="2030">T37-T100</f>
        <v>0</v>
      </c>
      <c r="U157" s="40">
        <f t="shared" si="2030"/>
        <v>0</v>
      </c>
      <c r="V157" s="40">
        <f t="shared" si="2030"/>
        <v>0</v>
      </c>
      <c r="W157" s="40">
        <f t="shared" si="2030"/>
        <v>0</v>
      </c>
      <c r="X157" s="40">
        <f t="shared" si="2030"/>
        <v>0</v>
      </c>
      <c r="Y157" s="40">
        <f t="shared" si="2030"/>
        <v>0</v>
      </c>
      <c r="Z157" s="40">
        <f t="shared" si="2030"/>
        <v>0</v>
      </c>
      <c r="AA157" s="40">
        <f t="shared" si="2030"/>
        <v>0</v>
      </c>
      <c r="AB157" s="40">
        <f t="shared" si="2030"/>
        <v>0</v>
      </c>
      <c r="AC157" s="176">
        <f t="shared" si="2030"/>
        <v>0</v>
      </c>
      <c r="AD157" s="225">
        <f t="shared" ref="AD157:AF158" si="2031">AD37-AD100</f>
        <v>0</v>
      </c>
      <c r="AE157" s="40">
        <f t="shared" si="2031"/>
        <v>0</v>
      </c>
      <c r="AF157" s="40">
        <f t="shared" si="2031"/>
        <v>0</v>
      </c>
      <c r="AG157" s="40">
        <f t="shared" ref="AG157:AP157" si="2032">AG37-AG100</f>
        <v>0</v>
      </c>
      <c r="AH157" s="40">
        <f t="shared" si="2032"/>
        <v>0</v>
      </c>
      <c r="AI157" s="40">
        <f t="shared" si="2032"/>
        <v>0</v>
      </c>
      <c r="AJ157" s="40">
        <f t="shared" si="2032"/>
        <v>0</v>
      </c>
      <c r="AK157" s="40">
        <f t="shared" si="2032"/>
        <v>0</v>
      </c>
      <c r="AL157" s="40">
        <f t="shared" si="2032"/>
        <v>0</v>
      </c>
      <c r="AM157" s="40">
        <f t="shared" si="2032"/>
        <v>0</v>
      </c>
      <c r="AN157" s="40">
        <f t="shared" si="2032"/>
        <v>0</v>
      </c>
      <c r="AO157" s="40">
        <f t="shared" si="2032"/>
        <v>0</v>
      </c>
      <c r="AP157" s="40">
        <f t="shared" si="2032"/>
        <v>0</v>
      </c>
      <c r="AQ157" s="168">
        <f>AQ37-AQ100</f>
        <v>0</v>
      </c>
      <c r="AR157" s="40"/>
      <c r="AS157" s="40">
        <f>AS37-AS100</f>
        <v>0</v>
      </c>
      <c r="AT157" s="40">
        <f>AT37-AT100</f>
        <v>0</v>
      </c>
      <c r="AU157" s="40">
        <f t="shared" ref="AU157:BD157" si="2033">AU37-AU100</f>
        <v>0</v>
      </c>
      <c r="AV157" s="40">
        <f t="shared" si="2033"/>
        <v>0</v>
      </c>
      <c r="AW157" s="40">
        <f t="shared" si="2033"/>
        <v>0</v>
      </c>
      <c r="AX157" s="40">
        <f t="shared" si="2033"/>
        <v>0</v>
      </c>
      <c r="AY157" s="40">
        <f t="shared" si="2033"/>
        <v>0</v>
      </c>
      <c r="AZ157" s="40">
        <f t="shared" si="2033"/>
        <v>0</v>
      </c>
      <c r="BA157" s="40">
        <f t="shared" si="2033"/>
        <v>0</v>
      </c>
      <c r="BB157" s="40">
        <f t="shared" si="2033"/>
        <v>0</v>
      </c>
      <c r="BC157" s="40">
        <f t="shared" si="2033"/>
        <v>0</v>
      </c>
      <c r="BD157" s="176">
        <f t="shared" si="2033"/>
        <v>0</v>
      </c>
      <c r="BE157" s="191">
        <f t="shared" si="1567"/>
        <v>0</v>
      </c>
      <c r="BF157" s="40"/>
      <c r="BG157" s="40">
        <f>BG37-BG100</f>
        <v>0</v>
      </c>
      <c r="BH157" s="40">
        <f>BH37-BH100</f>
        <v>0</v>
      </c>
      <c r="BI157" s="40">
        <f t="shared" ref="BI157:BR157" si="2034">BI37-BI100</f>
        <v>0</v>
      </c>
      <c r="BJ157" s="40">
        <f t="shared" si="2034"/>
        <v>0</v>
      </c>
      <c r="BK157" s="40">
        <f t="shared" si="2034"/>
        <v>0</v>
      </c>
      <c r="BL157" s="40">
        <f t="shared" si="2034"/>
        <v>0</v>
      </c>
      <c r="BM157" s="40">
        <f t="shared" si="2034"/>
        <v>0</v>
      </c>
      <c r="BN157" s="40">
        <f t="shared" si="2034"/>
        <v>0</v>
      </c>
      <c r="BO157" s="40">
        <f t="shared" si="2034"/>
        <v>0</v>
      </c>
      <c r="BP157" s="40">
        <f t="shared" si="2034"/>
        <v>0</v>
      </c>
      <c r="BQ157" s="40">
        <f t="shared" si="2034"/>
        <v>0</v>
      </c>
      <c r="BR157" s="40">
        <f t="shared" si="2034"/>
        <v>0</v>
      </c>
    </row>
    <row r="158" spans="1:70" ht="12.75" customHeight="1" outlineLevel="3" x14ac:dyDescent="0.2">
      <c r="B158" s="38" t="str">
        <f t="shared" si="1928"/>
        <v>Страховые взносы отложенное вознаграждение</v>
      </c>
      <c r="C158" s="49" t="str">
        <f t="shared" si="1928"/>
        <v>Social Security on Deferrals</v>
      </c>
      <c r="D158" s="168">
        <f t="shared" si="2027"/>
        <v>0</v>
      </c>
      <c r="E158" s="40">
        <f t="shared" si="2027"/>
        <v>0</v>
      </c>
      <c r="F158" s="40">
        <f t="shared" si="2027"/>
        <v>0</v>
      </c>
      <c r="G158" s="40">
        <f t="shared" si="2028"/>
        <v>0</v>
      </c>
      <c r="H158" s="40">
        <f t="shared" si="2028"/>
        <v>0</v>
      </c>
      <c r="I158" s="40">
        <f t="shared" si="2028"/>
        <v>0</v>
      </c>
      <c r="J158" s="40">
        <f t="shared" si="2028"/>
        <v>0</v>
      </c>
      <c r="K158" s="40">
        <f t="shared" si="2028"/>
        <v>0</v>
      </c>
      <c r="L158" s="40">
        <f t="shared" si="2028"/>
        <v>0</v>
      </c>
      <c r="M158" s="40">
        <f t="shared" si="2028"/>
        <v>0</v>
      </c>
      <c r="N158" s="40">
        <f t="shared" si="2028"/>
        <v>0</v>
      </c>
      <c r="O158" s="40">
        <f t="shared" si="2028"/>
        <v>0</v>
      </c>
      <c r="P158" s="176">
        <f t="shared" si="2028"/>
        <v>0</v>
      </c>
      <c r="Q158" s="191">
        <f t="shared" si="2029"/>
        <v>0</v>
      </c>
      <c r="R158" s="40">
        <f t="shared" si="2029"/>
        <v>0</v>
      </c>
      <c r="S158" s="40">
        <f t="shared" si="2029"/>
        <v>0</v>
      </c>
      <c r="T158" s="40">
        <f t="shared" ref="T158:AC158" si="2035">T38-T101</f>
        <v>0</v>
      </c>
      <c r="U158" s="40">
        <f t="shared" si="2035"/>
        <v>0</v>
      </c>
      <c r="V158" s="40">
        <f t="shared" si="2035"/>
        <v>0</v>
      </c>
      <c r="W158" s="40">
        <f t="shared" si="2035"/>
        <v>0</v>
      </c>
      <c r="X158" s="40">
        <f t="shared" si="2035"/>
        <v>0</v>
      </c>
      <c r="Y158" s="40">
        <f t="shared" si="2035"/>
        <v>0</v>
      </c>
      <c r="Z158" s="40">
        <f t="shared" si="2035"/>
        <v>0</v>
      </c>
      <c r="AA158" s="40">
        <f t="shared" si="2035"/>
        <v>0</v>
      </c>
      <c r="AB158" s="40">
        <f t="shared" si="2035"/>
        <v>0</v>
      </c>
      <c r="AC158" s="176">
        <f t="shared" si="2035"/>
        <v>0</v>
      </c>
      <c r="AD158" s="225">
        <f t="shared" si="2031"/>
        <v>0</v>
      </c>
      <c r="AE158" s="40">
        <f t="shared" si="2031"/>
        <v>0</v>
      </c>
      <c r="AF158" s="40">
        <f t="shared" si="2031"/>
        <v>0</v>
      </c>
      <c r="AG158" s="40">
        <f t="shared" ref="AG158:AP158" si="2036">AG38-AG101</f>
        <v>0</v>
      </c>
      <c r="AH158" s="40">
        <f t="shared" si="2036"/>
        <v>0</v>
      </c>
      <c r="AI158" s="40">
        <f t="shared" si="2036"/>
        <v>0</v>
      </c>
      <c r="AJ158" s="40">
        <f t="shared" si="2036"/>
        <v>0</v>
      </c>
      <c r="AK158" s="40">
        <f t="shared" si="2036"/>
        <v>0</v>
      </c>
      <c r="AL158" s="40">
        <f t="shared" si="2036"/>
        <v>0</v>
      </c>
      <c r="AM158" s="40">
        <f t="shared" si="2036"/>
        <v>0</v>
      </c>
      <c r="AN158" s="40">
        <f t="shared" si="2036"/>
        <v>0</v>
      </c>
      <c r="AO158" s="40">
        <f t="shared" si="2036"/>
        <v>0</v>
      </c>
      <c r="AP158" s="40">
        <f t="shared" si="2036"/>
        <v>0</v>
      </c>
      <c r="AQ158" s="168">
        <f>AQ38-AQ101</f>
        <v>0</v>
      </c>
      <c r="AR158" s="40"/>
      <c r="AS158" s="40">
        <f>AS38-AS101</f>
        <v>0</v>
      </c>
      <c r="AT158" s="40">
        <f>AT38-AT101</f>
        <v>0</v>
      </c>
      <c r="AU158" s="40">
        <f t="shared" ref="AU158:BD158" si="2037">AU38-AU101</f>
        <v>0</v>
      </c>
      <c r="AV158" s="40">
        <f t="shared" si="2037"/>
        <v>0</v>
      </c>
      <c r="AW158" s="40">
        <f t="shared" si="2037"/>
        <v>0</v>
      </c>
      <c r="AX158" s="40">
        <f t="shared" si="2037"/>
        <v>0</v>
      </c>
      <c r="AY158" s="40">
        <f t="shared" si="2037"/>
        <v>0</v>
      </c>
      <c r="AZ158" s="40">
        <f t="shared" si="2037"/>
        <v>0</v>
      </c>
      <c r="BA158" s="40">
        <f t="shared" si="2037"/>
        <v>0</v>
      </c>
      <c r="BB158" s="40">
        <f t="shared" si="2037"/>
        <v>0</v>
      </c>
      <c r="BC158" s="40">
        <f t="shared" si="2037"/>
        <v>0</v>
      </c>
      <c r="BD158" s="176">
        <f t="shared" si="2037"/>
        <v>0</v>
      </c>
      <c r="BE158" s="191">
        <f t="shared" si="1567"/>
        <v>0</v>
      </c>
      <c r="BF158" s="40"/>
      <c r="BG158" s="40">
        <f>BG38-BG101</f>
        <v>0</v>
      </c>
      <c r="BH158" s="40">
        <f>BH38-BH101</f>
        <v>0</v>
      </c>
      <c r="BI158" s="40">
        <f t="shared" ref="BI158:BR158" si="2038">BI38-BI101</f>
        <v>0</v>
      </c>
      <c r="BJ158" s="40">
        <f t="shared" si="2038"/>
        <v>0</v>
      </c>
      <c r="BK158" s="40">
        <f t="shared" si="2038"/>
        <v>0</v>
      </c>
      <c r="BL158" s="40">
        <f t="shared" si="2038"/>
        <v>0</v>
      </c>
      <c r="BM158" s="40">
        <f t="shared" si="2038"/>
        <v>0</v>
      </c>
      <c r="BN158" s="40">
        <f t="shared" si="2038"/>
        <v>0</v>
      </c>
      <c r="BO158" s="40">
        <f t="shared" si="2038"/>
        <v>0</v>
      </c>
      <c r="BP158" s="40">
        <f t="shared" si="2038"/>
        <v>0</v>
      </c>
      <c r="BQ158" s="40">
        <f t="shared" si="2038"/>
        <v>0</v>
      </c>
      <c r="BR158" s="40">
        <f t="shared" si="2038"/>
        <v>0</v>
      </c>
    </row>
    <row r="159" spans="1:70" s="6" customFormat="1" outlineLevel="2" x14ac:dyDescent="0.2">
      <c r="B159" s="29" t="str">
        <f t="shared" si="1928"/>
        <v>Итого отложенное вознаграждение</v>
      </c>
      <c r="C159" s="52" t="str">
        <f t="shared" si="1928"/>
        <v>Deferred Compensation</v>
      </c>
      <c r="D159" s="169">
        <f>SUM(D157:D158)</f>
        <v>0</v>
      </c>
      <c r="E159" s="26">
        <f>SUM(E157:E158)</f>
        <v>0</v>
      </c>
      <c r="F159" s="26">
        <f>SUM(F157:F158)</f>
        <v>0</v>
      </c>
      <c r="G159" s="26">
        <f t="shared" ref="G159:P159" si="2039">SUM(G157:G158)</f>
        <v>0</v>
      </c>
      <c r="H159" s="26">
        <f t="shared" si="2039"/>
        <v>0</v>
      </c>
      <c r="I159" s="26">
        <f t="shared" si="2039"/>
        <v>0</v>
      </c>
      <c r="J159" s="26">
        <f t="shared" si="2039"/>
        <v>0</v>
      </c>
      <c r="K159" s="26">
        <f t="shared" si="2039"/>
        <v>0</v>
      </c>
      <c r="L159" s="26">
        <f t="shared" si="2039"/>
        <v>0</v>
      </c>
      <c r="M159" s="26">
        <f t="shared" si="2039"/>
        <v>0</v>
      </c>
      <c r="N159" s="26">
        <f t="shared" si="2039"/>
        <v>0</v>
      </c>
      <c r="O159" s="26">
        <f t="shared" si="2039"/>
        <v>0</v>
      </c>
      <c r="P159" s="177">
        <f t="shared" si="2039"/>
        <v>0</v>
      </c>
      <c r="Q159" s="192">
        <f>SUM(Q157:Q158)</f>
        <v>0</v>
      </c>
      <c r="R159" s="26">
        <f>SUM(R157:R158)</f>
        <v>0</v>
      </c>
      <c r="S159" s="26">
        <f>SUM(S157:S158)</f>
        <v>0</v>
      </c>
      <c r="T159" s="26">
        <f t="shared" ref="T159" si="2040">SUM(T157:T158)</f>
        <v>0</v>
      </c>
      <c r="U159" s="26">
        <f t="shared" ref="U159" si="2041">SUM(U157:U158)</f>
        <v>0</v>
      </c>
      <c r="V159" s="26">
        <f t="shared" ref="V159" si="2042">SUM(V157:V158)</f>
        <v>0</v>
      </c>
      <c r="W159" s="26">
        <f t="shared" ref="W159" si="2043">SUM(W157:W158)</f>
        <v>0</v>
      </c>
      <c r="X159" s="26">
        <f t="shared" ref="X159" si="2044">SUM(X157:X158)</f>
        <v>0</v>
      </c>
      <c r="Y159" s="26">
        <f t="shared" ref="Y159" si="2045">SUM(Y157:Y158)</f>
        <v>0</v>
      </c>
      <c r="Z159" s="26">
        <f t="shared" ref="Z159" si="2046">SUM(Z157:Z158)</f>
        <v>0</v>
      </c>
      <c r="AA159" s="26">
        <f t="shared" ref="AA159" si="2047">SUM(AA157:AA158)</f>
        <v>0</v>
      </c>
      <c r="AB159" s="26">
        <f t="shared" ref="AB159" si="2048">SUM(AB157:AB158)</f>
        <v>0</v>
      </c>
      <c r="AC159" s="177">
        <f t="shared" ref="AC159" si="2049">SUM(AC157:AC158)</f>
        <v>0</v>
      </c>
      <c r="AD159" s="226">
        <f>SUM(AD157:AD158)</f>
        <v>0</v>
      </c>
      <c r="AE159" s="26">
        <f>SUM(AE157:AE158)</f>
        <v>0</v>
      </c>
      <c r="AF159" s="26">
        <f>SUM(AF157:AF158)</f>
        <v>0</v>
      </c>
      <c r="AG159" s="26">
        <f t="shared" ref="AG159" si="2050">SUM(AG157:AG158)</f>
        <v>0</v>
      </c>
      <c r="AH159" s="26">
        <f t="shared" ref="AH159" si="2051">SUM(AH157:AH158)</f>
        <v>0</v>
      </c>
      <c r="AI159" s="26">
        <f t="shared" ref="AI159" si="2052">SUM(AI157:AI158)</f>
        <v>0</v>
      </c>
      <c r="AJ159" s="26">
        <f t="shared" ref="AJ159" si="2053">SUM(AJ157:AJ158)</f>
        <v>0</v>
      </c>
      <c r="AK159" s="26">
        <f t="shared" ref="AK159" si="2054">SUM(AK157:AK158)</f>
        <v>0</v>
      </c>
      <c r="AL159" s="26">
        <f t="shared" ref="AL159" si="2055">SUM(AL157:AL158)</f>
        <v>0</v>
      </c>
      <c r="AM159" s="26">
        <f t="shared" ref="AM159" si="2056">SUM(AM157:AM158)</f>
        <v>0</v>
      </c>
      <c r="AN159" s="26">
        <f t="shared" ref="AN159" si="2057">SUM(AN157:AN158)</f>
        <v>0</v>
      </c>
      <c r="AO159" s="26">
        <f t="shared" ref="AO159" si="2058">SUM(AO157:AO158)</f>
        <v>0</v>
      </c>
      <c r="AP159" s="26">
        <f t="shared" ref="AP159" si="2059">SUM(AP157:AP158)</f>
        <v>0</v>
      </c>
      <c r="AQ159" s="169">
        <f>SUM(AQ157:AQ158)</f>
        <v>0</v>
      </c>
      <c r="AR159" s="26"/>
      <c r="AS159" s="26">
        <f>SUM(AS157:AS158)</f>
        <v>0</v>
      </c>
      <c r="AT159" s="26">
        <f>SUM(AT157:AT158)</f>
        <v>0</v>
      </c>
      <c r="AU159" s="26">
        <f t="shared" ref="AU159" si="2060">SUM(AU157:AU158)</f>
        <v>0</v>
      </c>
      <c r="AV159" s="26">
        <f t="shared" ref="AV159" si="2061">SUM(AV157:AV158)</f>
        <v>0</v>
      </c>
      <c r="AW159" s="26">
        <f t="shared" ref="AW159" si="2062">SUM(AW157:AW158)</f>
        <v>0</v>
      </c>
      <c r="AX159" s="26">
        <f t="shared" ref="AX159" si="2063">SUM(AX157:AX158)</f>
        <v>0</v>
      </c>
      <c r="AY159" s="26">
        <f t="shared" ref="AY159" si="2064">SUM(AY157:AY158)</f>
        <v>0</v>
      </c>
      <c r="AZ159" s="26">
        <f t="shared" ref="AZ159" si="2065">SUM(AZ157:AZ158)</f>
        <v>0</v>
      </c>
      <c r="BA159" s="26">
        <f t="shared" ref="BA159" si="2066">SUM(BA157:BA158)</f>
        <v>0</v>
      </c>
      <c r="BB159" s="26">
        <f t="shared" ref="BB159" si="2067">SUM(BB157:BB158)</f>
        <v>0</v>
      </c>
      <c r="BC159" s="26">
        <f t="shared" ref="BC159" si="2068">SUM(BC157:BC158)</f>
        <v>0</v>
      </c>
      <c r="BD159" s="177">
        <f t="shared" ref="BD159" si="2069">SUM(BD157:BD158)</f>
        <v>0</v>
      </c>
      <c r="BE159" s="192">
        <f t="shared" si="1567"/>
        <v>0</v>
      </c>
      <c r="BF159" s="26"/>
      <c r="BG159" s="26">
        <f>SUM(BG157:BG158)</f>
        <v>0</v>
      </c>
      <c r="BH159" s="26">
        <f>SUM(BH157:BH158)</f>
        <v>0</v>
      </c>
      <c r="BI159" s="26">
        <f t="shared" ref="BI159" si="2070">SUM(BI157:BI158)</f>
        <v>0</v>
      </c>
      <c r="BJ159" s="26">
        <f t="shared" ref="BJ159" si="2071">SUM(BJ157:BJ158)</f>
        <v>0</v>
      </c>
      <c r="BK159" s="26">
        <f t="shared" ref="BK159" si="2072">SUM(BK157:BK158)</f>
        <v>0</v>
      </c>
      <c r="BL159" s="26">
        <f t="shared" ref="BL159" si="2073">SUM(BL157:BL158)</f>
        <v>0</v>
      </c>
      <c r="BM159" s="26">
        <f t="shared" ref="BM159" si="2074">SUM(BM157:BM158)</f>
        <v>0</v>
      </c>
      <c r="BN159" s="26">
        <f t="shared" ref="BN159" si="2075">SUM(BN157:BN158)</f>
        <v>0</v>
      </c>
      <c r="BO159" s="26">
        <f t="shared" ref="BO159" si="2076">SUM(BO157:BO158)</f>
        <v>0</v>
      </c>
      <c r="BP159" s="26">
        <f t="shared" ref="BP159" si="2077">SUM(BP157:BP158)</f>
        <v>0</v>
      </c>
      <c r="BQ159" s="26">
        <f t="shared" ref="BQ159" si="2078">SUM(BQ157:BQ158)</f>
        <v>0</v>
      </c>
      <c r="BR159" s="26">
        <f t="shared" ref="BR159" si="2079">SUM(BR157:BR158)</f>
        <v>0</v>
      </c>
    </row>
    <row r="160" spans="1:70" s="6" customFormat="1" outlineLevel="1" x14ac:dyDescent="0.2">
      <c r="A160" s="30"/>
      <c r="B160" s="51" t="str">
        <f t="shared" si="1928"/>
        <v>Прочие компенсационные выплаты</v>
      </c>
      <c r="C160" s="50" t="str">
        <f t="shared" si="1928"/>
        <v>Other Compensations</v>
      </c>
      <c r="D160" s="170">
        <f>D150+D153+D156+D159</f>
        <v>-244055447</v>
      </c>
      <c r="E160" s="45">
        <f>E150+E153+E156+E159</f>
        <v>240000</v>
      </c>
      <c r="F160" s="45">
        <f>F150+F153+F156+F159</f>
        <v>-22208677</v>
      </c>
      <c r="G160" s="45">
        <f t="shared" ref="G160:P160" si="2080">G150+G153+G156+G159</f>
        <v>-22208677</v>
      </c>
      <c r="H160" s="45">
        <f t="shared" si="2080"/>
        <v>-22208677</v>
      </c>
      <c r="I160" s="45">
        <f t="shared" si="2080"/>
        <v>-22208677</v>
      </c>
      <c r="J160" s="45">
        <f t="shared" si="2080"/>
        <v>-22208677</v>
      </c>
      <c r="K160" s="45">
        <f t="shared" si="2080"/>
        <v>-22208677</v>
      </c>
      <c r="L160" s="45">
        <f t="shared" si="2080"/>
        <v>-22208677</v>
      </c>
      <c r="M160" s="45">
        <f t="shared" si="2080"/>
        <v>-22208677</v>
      </c>
      <c r="N160" s="45">
        <f t="shared" si="2080"/>
        <v>-22208677</v>
      </c>
      <c r="O160" s="45">
        <f t="shared" si="2080"/>
        <v>-22208677</v>
      </c>
      <c r="P160" s="178">
        <f t="shared" si="2080"/>
        <v>-22208677</v>
      </c>
      <c r="Q160" s="193">
        <f>Q150+Q153+Q156+Q159</f>
        <v>-244055447</v>
      </c>
      <c r="R160" s="45">
        <f>R150+R153+R156+R159</f>
        <v>240000</v>
      </c>
      <c r="S160" s="45">
        <f>S150+S153+S156+S159</f>
        <v>-22208677</v>
      </c>
      <c r="T160" s="45">
        <f t="shared" ref="T160" si="2081">T150+T153+T156+T159</f>
        <v>-22208677</v>
      </c>
      <c r="U160" s="45">
        <f t="shared" ref="U160" si="2082">U150+U153+U156+U159</f>
        <v>-22208677</v>
      </c>
      <c r="V160" s="45">
        <f t="shared" ref="V160" si="2083">V150+V153+V156+V159</f>
        <v>-22208677</v>
      </c>
      <c r="W160" s="45">
        <f t="shared" ref="W160" si="2084">W150+W153+W156+W159</f>
        <v>-22208677</v>
      </c>
      <c r="X160" s="45">
        <f t="shared" ref="X160" si="2085">X150+X153+X156+X159</f>
        <v>-22208677</v>
      </c>
      <c r="Y160" s="45">
        <f t="shared" ref="Y160" si="2086">Y150+Y153+Y156+Y159</f>
        <v>-22208677</v>
      </c>
      <c r="Z160" s="45">
        <f t="shared" ref="Z160" si="2087">Z150+Z153+Z156+Z159</f>
        <v>-22208677</v>
      </c>
      <c r="AA160" s="45">
        <f t="shared" ref="AA160" si="2088">AA150+AA153+AA156+AA159</f>
        <v>-22208677</v>
      </c>
      <c r="AB160" s="45">
        <f t="shared" ref="AB160" si="2089">AB150+AB153+AB156+AB159</f>
        <v>-22208677</v>
      </c>
      <c r="AC160" s="178">
        <f t="shared" ref="AC160" si="2090">AC150+AC153+AC156+AC159</f>
        <v>-22208677</v>
      </c>
      <c r="AD160" s="227">
        <f>AD150+AD153+AD156+AD159</f>
        <v>-244055447</v>
      </c>
      <c r="AE160" s="45">
        <f>AE150+AE153+AE156+AE159</f>
        <v>240000</v>
      </c>
      <c r="AF160" s="45">
        <f>AF150+AF153+AF156+AF159</f>
        <v>-22208677</v>
      </c>
      <c r="AG160" s="45">
        <f t="shared" ref="AG160" si="2091">AG150+AG153+AG156+AG159</f>
        <v>-22208677</v>
      </c>
      <c r="AH160" s="45">
        <f t="shared" ref="AH160" si="2092">AH150+AH153+AH156+AH159</f>
        <v>-22208677</v>
      </c>
      <c r="AI160" s="45">
        <f t="shared" ref="AI160" si="2093">AI150+AI153+AI156+AI159</f>
        <v>-22208677</v>
      </c>
      <c r="AJ160" s="45">
        <f t="shared" ref="AJ160" si="2094">AJ150+AJ153+AJ156+AJ159</f>
        <v>-22208677</v>
      </c>
      <c r="AK160" s="45">
        <f t="shared" ref="AK160" si="2095">AK150+AK153+AK156+AK159</f>
        <v>-22208677</v>
      </c>
      <c r="AL160" s="45">
        <f t="shared" ref="AL160" si="2096">AL150+AL153+AL156+AL159</f>
        <v>-22208677</v>
      </c>
      <c r="AM160" s="45">
        <f t="shared" ref="AM160" si="2097">AM150+AM153+AM156+AM159</f>
        <v>-22208677</v>
      </c>
      <c r="AN160" s="45">
        <f t="shared" ref="AN160" si="2098">AN150+AN153+AN156+AN159</f>
        <v>-22208677</v>
      </c>
      <c r="AO160" s="45">
        <f t="shared" ref="AO160" si="2099">AO150+AO153+AO156+AO159</f>
        <v>-22208677</v>
      </c>
      <c r="AP160" s="45">
        <f t="shared" ref="AP160" si="2100">AP150+AP153+AP156+AP159</f>
        <v>-22208677</v>
      </c>
      <c r="AQ160" s="170">
        <f>AQ150+AQ153+AQ156+AQ159</f>
        <v>0</v>
      </c>
      <c r="AR160" s="45"/>
      <c r="AS160" s="45">
        <f>AS150+AS153+AS156+AS159</f>
        <v>240000</v>
      </c>
      <c r="AT160" s="45">
        <f>AT150+AT153+AT156+AT159</f>
        <v>-22208677</v>
      </c>
      <c r="AU160" s="45">
        <f t="shared" ref="AU160" si="2101">AU150+AU153+AU156+AU159</f>
        <v>-22208677</v>
      </c>
      <c r="AV160" s="45">
        <f t="shared" ref="AV160" si="2102">AV150+AV153+AV156+AV159</f>
        <v>-22208677</v>
      </c>
      <c r="AW160" s="45">
        <f t="shared" ref="AW160" si="2103">AW150+AW153+AW156+AW159</f>
        <v>-22208677</v>
      </c>
      <c r="AX160" s="45">
        <f t="shared" ref="AX160" si="2104">AX150+AX153+AX156+AX159</f>
        <v>-22208677</v>
      </c>
      <c r="AY160" s="45">
        <f t="shared" ref="AY160" si="2105">AY150+AY153+AY156+AY159</f>
        <v>-22208677</v>
      </c>
      <c r="AZ160" s="45">
        <f t="shared" ref="AZ160" si="2106">AZ150+AZ153+AZ156+AZ159</f>
        <v>-22208677</v>
      </c>
      <c r="BA160" s="45">
        <f t="shared" ref="BA160" si="2107">BA150+BA153+BA156+BA159</f>
        <v>-22208677</v>
      </c>
      <c r="BB160" s="45">
        <f t="shared" ref="BB160" si="2108">BB150+BB153+BB156+BB159</f>
        <v>-22208677</v>
      </c>
      <c r="BC160" s="45">
        <f t="shared" ref="BC160" si="2109">BC150+BC153+BC156+BC159</f>
        <v>-22208677</v>
      </c>
      <c r="BD160" s="178">
        <f t="shared" ref="BD160" si="2110">BD150+BD153+BD156+BD159</f>
        <v>-22208677</v>
      </c>
      <c r="BE160" s="193">
        <f t="shared" si="1567"/>
        <v>0</v>
      </c>
      <c r="BF160" s="45"/>
      <c r="BG160" s="45">
        <f>BG150+BG153+BG156+BG159</f>
        <v>240000</v>
      </c>
      <c r="BH160" s="45">
        <f>BH150+BH153+BH156+BH159</f>
        <v>-22208677</v>
      </c>
      <c r="BI160" s="45">
        <f t="shared" ref="BI160" si="2111">BI150+BI153+BI156+BI159</f>
        <v>-22208677</v>
      </c>
      <c r="BJ160" s="45">
        <f t="shared" ref="BJ160" si="2112">BJ150+BJ153+BJ156+BJ159</f>
        <v>-22208677</v>
      </c>
      <c r="BK160" s="45">
        <f t="shared" ref="BK160" si="2113">BK150+BK153+BK156+BK159</f>
        <v>-22208677</v>
      </c>
      <c r="BL160" s="45">
        <f t="shared" ref="BL160" si="2114">BL150+BL153+BL156+BL159</f>
        <v>-22208677</v>
      </c>
      <c r="BM160" s="45">
        <f t="shared" ref="BM160" si="2115">BM150+BM153+BM156+BM159</f>
        <v>-22208677</v>
      </c>
      <c r="BN160" s="45">
        <f t="shared" ref="BN160" si="2116">BN150+BN153+BN156+BN159</f>
        <v>-22208677</v>
      </c>
      <c r="BO160" s="45">
        <f t="shared" ref="BO160" si="2117">BO150+BO153+BO156+BO159</f>
        <v>-22208677</v>
      </c>
      <c r="BP160" s="45">
        <f t="shared" ref="BP160" si="2118">BP150+BP153+BP156+BP159</f>
        <v>-22208677</v>
      </c>
      <c r="BQ160" s="45">
        <f t="shared" ref="BQ160" si="2119">BQ150+BQ153+BQ156+BQ159</f>
        <v>-22208677</v>
      </c>
      <c r="BR160" s="45">
        <f t="shared" ref="BR160" si="2120">BR150+BR153+BR156+BR159</f>
        <v>-22208677</v>
      </c>
    </row>
    <row r="161" spans="1:70" ht="12.75" customHeight="1" outlineLevel="3" x14ac:dyDescent="0.2">
      <c r="B161" s="38" t="str">
        <f t="shared" si="1928"/>
        <v>Резерв квартальной премии</v>
      </c>
      <c r="C161" s="49" t="str">
        <f t="shared" si="1928"/>
        <v>Accruals for Quarterly bonus</v>
      </c>
      <c r="D161" s="168">
        <f t="shared" ref="D161:F162" si="2121">D41-D104</f>
        <v>11215250</v>
      </c>
      <c r="E161" s="40">
        <f t="shared" si="2121"/>
        <v>11215250</v>
      </c>
      <c r="F161" s="40">
        <f t="shared" si="2121"/>
        <v>0</v>
      </c>
      <c r="G161" s="40">
        <f t="shared" ref="G161:P162" si="2122">G41-G104</f>
        <v>0</v>
      </c>
      <c r="H161" s="40">
        <f t="shared" si="2122"/>
        <v>0</v>
      </c>
      <c r="I161" s="40">
        <f t="shared" si="2122"/>
        <v>0</v>
      </c>
      <c r="J161" s="40">
        <f t="shared" si="2122"/>
        <v>0</v>
      </c>
      <c r="K161" s="40">
        <f t="shared" si="2122"/>
        <v>0</v>
      </c>
      <c r="L161" s="40">
        <f t="shared" si="2122"/>
        <v>0</v>
      </c>
      <c r="M161" s="40">
        <f t="shared" si="2122"/>
        <v>0</v>
      </c>
      <c r="N161" s="40">
        <f t="shared" si="2122"/>
        <v>0</v>
      </c>
      <c r="O161" s="40">
        <f t="shared" si="2122"/>
        <v>0</v>
      </c>
      <c r="P161" s="176">
        <f t="shared" si="2122"/>
        <v>0</v>
      </c>
      <c r="Q161" s="191">
        <f t="shared" ref="Q161:S162" si="2123">Q41-Q104</f>
        <v>11215250</v>
      </c>
      <c r="R161" s="40">
        <f t="shared" si="2123"/>
        <v>11215250</v>
      </c>
      <c r="S161" s="40">
        <f t="shared" si="2123"/>
        <v>0</v>
      </c>
      <c r="T161" s="40">
        <f t="shared" ref="T161:AC161" si="2124">T41-T104</f>
        <v>0</v>
      </c>
      <c r="U161" s="40">
        <f t="shared" si="2124"/>
        <v>0</v>
      </c>
      <c r="V161" s="40">
        <f t="shared" si="2124"/>
        <v>0</v>
      </c>
      <c r="W161" s="40">
        <f t="shared" si="2124"/>
        <v>0</v>
      </c>
      <c r="X161" s="40">
        <f t="shared" si="2124"/>
        <v>0</v>
      </c>
      <c r="Y161" s="40">
        <f t="shared" si="2124"/>
        <v>0</v>
      </c>
      <c r="Z161" s="40">
        <f t="shared" si="2124"/>
        <v>0</v>
      </c>
      <c r="AA161" s="40">
        <f t="shared" si="2124"/>
        <v>0</v>
      </c>
      <c r="AB161" s="40">
        <f t="shared" si="2124"/>
        <v>0</v>
      </c>
      <c r="AC161" s="176">
        <f t="shared" si="2124"/>
        <v>0</v>
      </c>
      <c r="AD161" s="225">
        <f t="shared" ref="AD161:AF162" si="2125">AD41-AD104</f>
        <v>11215250</v>
      </c>
      <c r="AE161" s="40">
        <f t="shared" si="2125"/>
        <v>11215250</v>
      </c>
      <c r="AF161" s="40">
        <f t="shared" si="2125"/>
        <v>0</v>
      </c>
      <c r="AG161" s="40">
        <f t="shared" ref="AG161:AP161" si="2126">AG41-AG104</f>
        <v>0</v>
      </c>
      <c r="AH161" s="40">
        <f t="shared" si="2126"/>
        <v>0</v>
      </c>
      <c r="AI161" s="40">
        <f t="shared" si="2126"/>
        <v>0</v>
      </c>
      <c r="AJ161" s="40">
        <f t="shared" si="2126"/>
        <v>0</v>
      </c>
      <c r="AK161" s="40">
        <f t="shared" si="2126"/>
        <v>0</v>
      </c>
      <c r="AL161" s="40">
        <f t="shared" si="2126"/>
        <v>0</v>
      </c>
      <c r="AM161" s="40">
        <f t="shared" si="2126"/>
        <v>0</v>
      </c>
      <c r="AN161" s="40">
        <f t="shared" si="2126"/>
        <v>0</v>
      </c>
      <c r="AO161" s="40">
        <f t="shared" si="2126"/>
        <v>0</v>
      </c>
      <c r="AP161" s="40">
        <f t="shared" si="2126"/>
        <v>0</v>
      </c>
      <c r="AQ161" s="168">
        <f>AQ41-AQ104</f>
        <v>0</v>
      </c>
      <c r="AR161" s="40"/>
      <c r="AS161" s="40">
        <f>AS41-AS104</f>
        <v>11215250</v>
      </c>
      <c r="AT161" s="40">
        <f>AT41-AT104</f>
        <v>0</v>
      </c>
      <c r="AU161" s="40">
        <f t="shared" ref="AU161:BD161" si="2127">AU41-AU104</f>
        <v>0</v>
      </c>
      <c r="AV161" s="40">
        <f t="shared" si="2127"/>
        <v>0</v>
      </c>
      <c r="AW161" s="40">
        <f t="shared" si="2127"/>
        <v>0</v>
      </c>
      <c r="AX161" s="40">
        <f t="shared" si="2127"/>
        <v>0</v>
      </c>
      <c r="AY161" s="40">
        <f t="shared" si="2127"/>
        <v>0</v>
      </c>
      <c r="AZ161" s="40">
        <f t="shared" si="2127"/>
        <v>0</v>
      </c>
      <c r="BA161" s="40">
        <f t="shared" si="2127"/>
        <v>0</v>
      </c>
      <c r="BB161" s="40">
        <f t="shared" si="2127"/>
        <v>0</v>
      </c>
      <c r="BC161" s="40">
        <f t="shared" si="2127"/>
        <v>0</v>
      </c>
      <c r="BD161" s="176">
        <f t="shared" si="2127"/>
        <v>0</v>
      </c>
      <c r="BE161" s="191">
        <f t="shared" si="1567"/>
        <v>0</v>
      </c>
      <c r="BF161" s="40"/>
      <c r="BG161" s="40">
        <f>BG41-BG104</f>
        <v>11215250</v>
      </c>
      <c r="BH161" s="40">
        <f>BH41-BH104</f>
        <v>0</v>
      </c>
      <c r="BI161" s="40">
        <f t="shared" ref="BI161:BR161" si="2128">BI41-BI104</f>
        <v>0</v>
      </c>
      <c r="BJ161" s="40">
        <f t="shared" si="2128"/>
        <v>0</v>
      </c>
      <c r="BK161" s="40">
        <f t="shared" si="2128"/>
        <v>0</v>
      </c>
      <c r="BL161" s="40">
        <f t="shared" si="2128"/>
        <v>0</v>
      </c>
      <c r="BM161" s="40">
        <f t="shared" si="2128"/>
        <v>0</v>
      </c>
      <c r="BN161" s="40">
        <f t="shared" si="2128"/>
        <v>0</v>
      </c>
      <c r="BO161" s="40">
        <f t="shared" si="2128"/>
        <v>0</v>
      </c>
      <c r="BP161" s="40">
        <f t="shared" si="2128"/>
        <v>0</v>
      </c>
      <c r="BQ161" s="40">
        <f t="shared" si="2128"/>
        <v>0</v>
      </c>
      <c r="BR161" s="40">
        <f t="shared" si="2128"/>
        <v>0</v>
      </c>
    </row>
    <row r="162" spans="1:70" ht="12.75" customHeight="1" outlineLevel="3" x14ac:dyDescent="0.2">
      <c r="B162" s="38" t="str">
        <f t="shared" si="1928"/>
        <v>Страховые взносы резерв квартальной премии</v>
      </c>
      <c r="C162" s="49" t="str">
        <f t="shared" si="1928"/>
        <v>Social Security on Accruals for Quarterly bonus</v>
      </c>
      <c r="D162" s="168">
        <f t="shared" si="2121"/>
        <v>2074821.25</v>
      </c>
      <c r="E162" s="40">
        <f t="shared" si="2121"/>
        <v>2074821.25</v>
      </c>
      <c r="F162" s="40">
        <f t="shared" si="2121"/>
        <v>0</v>
      </c>
      <c r="G162" s="40">
        <f t="shared" si="2122"/>
        <v>0</v>
      </c>
      <c r="H162" s="40">
        <f t="shared" si="2122"/>
        <v>0</v>
      </c>
      <c r="I162" s="40">
        <f t="shared" si="2122"/>
        <v>0</v>
      </c>
      <c r="J162" s="40">
        <f t="shared" si="2122"/>
        <v>0</v>
      </c>
      <c r="K162" s="40">
        <f t="shared" si="2122"/>
        <v>0</v>
      </c>
      <c r="L162" s="40">
        <f t="shared" si="2122"/>
        <v>0</v>
      </c>
      <c r="M162" s="40">
        <f t="shared" si="2122"/>
        <v>0</v>
      </c>
      <c r="N162" s="40">
        <f t="shared" si="2122"/>
        <v>0</v>
      </c>
      <c r="O162" s="40">
        <f t="shared" si="2122"/>
        <v>0</v>
      </c>
      <c r="P162" s="176">
        <f t="shared" si="2122"/>
        <v>0</v>
      </c>
      <c r="Q162" s="191">
        <f t="shared" si="2123"/>
        <v>2074821.25</v>
      </c>
      <c r="R162" s="40">
        <f t="shared" si="2123"/>
        <v>2074821.25</v>
      </c>
      <c r="S162" s="40">
        <f t="shared" si="2123"/>
        <v>0</v>
      </c>
      <c r="T162" s="40">
        <f t="shared" ref="T162:AC162" si="2129">T42-T105</f>
        <v>0</v>
      </c>
      <c r="U162" s="40">
        <f t="shared" si="2129"/>
        <v>0</v>
      </c>
      <c r="V162" s="40">
        <f t="shared" si="2129"/>
        <v>0</v>
      </c>
      <c r="W162" s="40">
        <f t="shared" si="2129"/>
        <v>0</v>
      </c>
      <c r="X162" s="40">
        <f t="shared" si="2129"/>
        <v>0</v>
      </c>
      <c r="Y162" s="40">
        <f t="shared" si="2129"/>
        <v>0</v>
      </c>
      <c r="Z162" s="40">
        <f t="shared" si="2129"/>
        <v>0</v>
      </c>
      <c r="AA162" s="40">
        <f t="shared" si="2129"/>
        <v>0</v>
      </c>
      <c r="AB162" s="40">
        <f t="shared" si="2129"/>
        <v>0</v>
      </c>
      <c r="AC162" s="176">
        <f t="shared" si="2129"/>
        <v>0</v>
      </c>
      <c r="AD162" s="225">
        <f t="shared" si="2125"/>
        <v>2074821.25</v>
      </c>
      <c r="AE162" s="40">
        <f t="shared" si="2125"/>
        <v>2074821.25</v>
      </c>
      <c r="AF162" s="40">
        <f t="shared" si="2125"/>
        <v>0</v>
      </c>
      <c r="AG162" s="40">
        <f t="shared" ref="AG162:AP162" si="2130">AG42-AG105</f>
        <v>0</v>
      </c>
      <c r="AH162" s="40">
        <f t="shared" si="2130"/>
        <v>0</v>
      </c>
      <c r="AI162" s="40">
        <f t="shared" si="2130"/>
        <v>0</v>
      </c>
      <c r="AJ162" s="40">
        <f t="shared" si="2130"/>
        <v>0</v>
      </c>
      <c r="AK162" s="40">
        <f t="shared" si="2130"/>
        <v>0</v>
      </c>
      <c r="AL162" s="40">
        <f t="shared" si="2130"/>
        <v>0</v>
      </c>
      <c r="AM162" s="40">
        <f t="shared" si="2130"/>
        <v>0</v>
      </c>
      <c r="AN162" s="40">
        <f t="shared" si="2130"/>
        <v>0</v>
      </c>
      <c r="AO162" s="40">
        <f t="shared" si="2130"/>
        <v>0</v>
      </c>
      <c r="AP162" s="40">
        <f t="shared" si="2130"/>
        <v>0</v>
      </c>
      <c r="AQ162" s="168">
        <f>AQ42-AQ105</f>
        <v>0</v>
      </c>
      <c r="AR162" s="40"/>
      <c r="AS162" s="40">
        <f>AS42-AS105</f>
        <v>2074821.25</v>
      </c>
      <c r="AT162" s="40">
        <f>AT42-AT105</f>
        <v>0</v>
      </c>
      <c r="AU162" s="40">
        <f t="shared" ref="AU162:BD162" si="2131">AU42-AU105</f>
        <v>0</v>
      </c>
      <c r="AV162" s="40">
        <f t="shared" si="2131"/>
        <v>0</v>
      </c>
      <c r="AW162" s="40">
        <f t="shared" si="2131"/>
        <v>0</v>
      </c>
      <c r="AX162" s="40">
        <f t="shared" si="2131"/>
        <v>0</v>
      </c>
      <c r="AY162" s="40">
        <f t="shared" si="2131"/>
        <v>0</v>
      </c>
      <c r="AZ162" s="40">
        <f t="shared" si="2131"/>
        <v>0</v>
      </c>
      <c r="BA162" s="40">
        <f t="shared" si="2131"/>
        <v>0</v>
      </c>
      <c r="BB162" s="40">
        <f t="shared" si="2131"/>
        <v>0</v>
      </c>
      <c r="BC162" s="40">
        <f t="shared" si="2131"/>
        <v>0</v>
      </c>
      <c r="BD162" s="176">
        <f t="shared" si="2131"/>
        <v>0</v>
      </c>
      <c r="BE162" s="191">
        <f t="shared" si="1567"/>
        <v>0</v>
      </c>
      <c r="BF162" s="40"/>
      <c r="BG162" s="40">
        <f>BG42-BG105</f>
        <v>2074821.25</v>
      </c>
      <c r="BH162" s="40">
        <f>BH42-BH105</f>
        <v>0</v>
      </c>
      <c r="BI162" s="40">
        <f t="shared" ref="BI162:BR162" si="2132">BI42-BI105</f>
        <v>0</v>
      </c>
      <c r="BJ162" s="40">
        <f t="shared" si="2132"/>
        <v>0</v>
      </c>
      <c r="BK162" s="40">
        <f t="shared" si="2132"/>
        <v>0</v>
      </c>
      <c r="BL162" s="40">
        <f t="shared" si="2132"/>
        <v>0</v>
      </c>
      <c r="BM162" s="40">
        <f t="shared" si="2132"/>
        <v>0</v>
      </c>
      <c r="BN162" s="40">
        <f t="shared" si="2132"/>
        <v>0</v>
      </c>
      <c r="BO162" s="40">
        <f t="shared" si="2132"/>
        <v>0</v>
      </c>
      <c r="BP162" s="40">
        <f t="shared" si="2132"/>
        <v>0</v>
      </c>
      <c r="BQ162" s="40">
        <f t="shared" si="2132"/>
        <v>0</v>
      </c>
      <c r="BR162" s="40">
        <f t="shared" si="2132"/>
        <v>0</v>
      </c>
    </row>
    <row r="163" spans="1:70" s="6" customFormat="1" outlineLevel="2" x14ac:dyDescent="0.2">
      <c r="A163" s="30"/>
      <c r="B163" s="29" t="str">
        <f t="shared" si="1928"/>
        <v>Итого резерв квартальной премии</v>
      </c>
      <c r="C163" s="52" t="str">
        <f t="shared" si="1928"/>
        <v>Total Accruals for Quarterly bonus</v>
      </c>
      <c r="D163" s="169">
        <f>SUM(D161:D162)</f>
        <v>13290071.25</v>
      </c>
      <c r="E163" s="26">
        <f>SUM(E161:E162)</f>
        <v>13290071.25</v>
      </c>
      <c r="F163" s="26">
        <f>SUM(F161:F162)</f>
        <v>0</v>
      </c>
      <c r="G163" s="26">
        <f t="shared" ref="G163:P163" si="2133">SUM(G161:G162)</f>
        <v>0</v>
      </c>
      <c r="H163" s="26">
        <f t="shared" si="2133"/>
        <v>0</v>
      </c>
      <c r="I163" s="26">
        <f t="shared" si="2133"/>
        <v>0</v>
      </c>
      <c r="J163" s="26">
        <f t="shared" si="2133"/>
        <v>0</v>
      </c>
      <c r="K163" s="26">
        <f t="shared" si="2133"/>
        <v>0</v>
      </c>
      <c r="L163" s="26">
        <f t="shared" si="2133"/>
        <v>0</v>
      </c>
      <c r="M163" s="26">
        <f t="shared" si="2133"/>
        <v>0</v>
      </c>
      <c r="N163" s="26">
        <f t="shared" si="2133"/>
        <v>0</v>
      </c>
      <c r="O163" s="26">
        <f t="shared" si="2133"/>
        <v>0</v>
      </c>
      <c r="P163" s="177">
        <f t="shared" si="2133"/>
        <v>0</v>
      </c>
      <c r="Q163" s="192">
        <f>SUM(Q161:Q162)</f>
        <v>13290071.25</v>
      </c>
      <c r="R163" s="26">
        <f>SUM(R161:R162)</f>
        <v>13290071.25</v>
      </c>
      <c r="S163" s="26">
        <f>SUM(S161:S162)</f>
        <v>0</v>
      </c>
      <c r="T163" s="26">
        <f t="shared" ref="T163" si="2134">SUM(T161:T162)</f>
        <v>0</v>
      </c>
      <c r="U163" s="26">
        <f t="shared" ref="U163" si="2135">SUM(U161:U162)</f>
        <v>0</v>
      </c>
      <c r="V163" s="26">
        <f t="shared" ref="V163" si="2136">SUM(V161:V162)</f>
        <v>0</v>
      </c>
      <c r="W163" s="26">
        <f t="shared" ref="W163" si="2137">SUM(W161:W162)</f>
        <v>0</v>
      </c>
      <c r="X163" s="26">
        <f t="shared" ref="X163" si="2138">SUM(X161:X162)</f>
        <v>0</v>
      </c>
      <c r="Y163" s="26">
        <f t="shared" ref="Y163" si="2139">SUM(Y161:Y162)</f>
        <v>0</v>
      </c>
      <c r="Z163" s="26">
        <f t="shared" ref="Z163" si="2140">SUM(Z161:Z162)</f>
        <v>0</v>
      </c>
      <c r="AA163" s="26">
        <f t="shared" ref="AA163" si="2141">SUM(AA161:AA162)</f>
        <v>0</v>
      </c>
      <c r="AB163" s="26">
        <f t="shared" ref="AB163" si="2142">SUM(AB161:AB162)</f>
        <v>0</v>
      </c>
      <c r="AC163" s="177">
        <f t="shared" ref="AC163" si="2143">SUM(AC161:AC162)</f>
        <v>0</v>
      </c>
      <c r="AD163" s="226">
        <f>SUM(AD161:AD162)</f>
        <v>13290071.25</v>
      </c>
      <c r="AE163" s="26">
        <f>SUM(AE161:AE162)</f>
        <v>13290071.25</v>
      </c>
      <c r="AF163" s="26">
        <f>SUM(AF161:AF162)</f>
        <v>0</v>
      </c>
      <c r="AG163" s="26">
        <f t="shared" ref="AG163" si="2144">SUM(AG161:AG162)</f>
        <v>0</v>
      </c>
      <c r="AH163" s="26">
        <f t="shared" ref="AH163" si="2145">SUM(AH161:AH162)</f>
        <v>0</v>
      </c>
      <c r="AI163" s="26">
        <f t="shared" ref="AI163" si="2146">SUM(AI161:AI162)</f>
        <v>0</v>
      </c>
      <c r="AJ163" s="26">
        <f t="shared" ref="AJ163" si="2147">SUM(AJ161:AJ162)</f>
        <v>0</v>
      </c>
      <c r="AK163" s="26">
        <f t="shared" ref="AK163" si="2148">SUM(AK161:AK162)</f>
        <v>0</v>
      </c>
      <c r="AL163" s="26">
        <f t="shared" ref="AL163" si="2149">SUM(AL161:AL162)</f>
        <v>0</v>
      </c>
      <c r="AM163" s="26">
        <f t="shared" ref="AM163" si="2150">SUM(AM161:AM162)</f>
        <v>0</v>
      </c>
      <c r="AN163" s="26">
        <f t="shared" ref="AN163" si="2151">SUM(AN161:AN162)</f>
        <v>0</v>
      </c>
      <c r="AO163" s="26">
        <f t="shared" ref="AO163" si="2152">SUM(AO161:AO162)</f>
        <v>0</v>
      </c>
      <c r="AP163" s="26">
        <f t="shared" ref="AP163" si="2153">SUM(AP161:AP162)</f>
        <v>0</v>
      </c>
      <c r="AQ163" s="169">
        <f>SUM(AQ161:AQ162)</f>
        <v>0</v>
      </c>
      <c r="AR163" s="26"/>
      <c r="AS163" s="26">
        <f>SUM(AS161:AS162)</f>
        <v>13290071.25</v>
      </c>
      <c r="AT163" s="26">
        <f>SUM(AT161:AT162)</f>
        <v>0</v>
      </c>
      <c r="AU163" s="26">
        <f t="shared" ref="AU163" si="2154">SUM(AU161:AU162)</f>
        <v>0</v>
      </c>
      <c r="AV163" s="26">
        <f t="shared" ref="AV163" si="2155">SUM(AV161:AV162)</f>
        <v>0</v>
      </c>
      <c r="AW163" s="26">
        <f t="shared" ref="AW163" si="2156">SUM(AW161:AW162)</f>
        <v>0</v>
      </c>
      <c r="AX163" s="26">
        <f t="shared" ref="AX163" si="2157">SUM(AX161:AX162)</f>
        <v>0</v>
      </c>
      <c r="AY163" s="26">
        <f t="shared" ref="AY163" si="2158">SUM(AY161:AY162)</f>
        <v>0</v>
      </c>
      <c r="AZ163" s="26">
        <f t="shared" ref="AZ163" si="2159">SUM(AZ161:AZ162)</f>
        <v>0</v>
      </c>
      <c r="BA163" s="26">
        <f t="shared" ref="BA163" si="2160">SUM(BA161:BA162)</f>
        <v>0</v>
      </c>
      <c r="BB163" s="26">
        <f t="shared" ref="BB163" si="2161">SUM(BB161:BB162)</f>
        <v>0</v>
      </c>
      <c r="BC163" s="26">
        <f t="shared" ref="BC163" si="2162">SUM(BC161:BC162)</f>
        <v>0</v>
      </c>
      <c r="BD163" s="177">
        <f t="shared" ref="BD163" si="2163">SUM(BD161:BD162)</f>
        <v>0</v>
      </c>
      <c r="BE163" s="192">
        <f t="shared" si="1567"/>
        <v>0</v>
      </c>
      <c r="BF163" s="26"/>
      <c r="BG163" s="26">
        <f>SUM(BG161:BG162)</f>
        <v>13290071.25</v>
      </c>
      <c r="BH163" s="26">
        <f>SUM(BH161:BH162)</f>
        <v>0</v>
      </c>
      <c r="BI163" s="26">
        <f t="shared" ref="BI163" si="2164">SUM(BI161:BI162)</f>
        <v>0</v>
      </c>
      <c r="BJ163" s="26">
        <f t="shared" ref="BJ163" si="2165">SUM(BJ161:BJ162)</f>
        <v>0</v>
      </c>
      <c r="BK163" s="26">
        <f t="shared" ref="BK163" si="2166">SUM(BK161:BK162)</f>
        <v>0</v>
      </c>
      <c r="BL163" s="26">
        <f t="shared" ref="BL163" si="2167">SUM(BL161:BL162)</f>
        <v>0</v>
      </c>
      <c r="BM163" s="26">
        <f t="shared" ref="BM163" si="2168">SUM(BM161:BM162)</f>
        <v>0</v>
      </c>
      <c r="BN163" s="26">
        <f t="shared" ref="BN163" si="2169">SUM(BN161:BN162)</f>
        <v>0</v>
      </c>
      <c r="BO163" s="26">
        <f t="shared" ref="BO163" si="2170">SUM(BO161:BO162)</f>
        <v>0</v>
      </c>
      <c r="BP163" s="26">
        <f t="shared" ref="BP163" si="2171">SUM(BP161:BP162)</f>
        <v>0</v>
      </c>
      <c r="BQ163" s="26">
        <f t="shared" ref="BQ163" si="2172">SUM(BQ161:BQ162)</f>
        <v>0</v>
      </c>
      <c r="BR163" s="26">
        <f t="shared" ref="BR163" si="2173">SUM(BR161:BR162)</f>
        <v>0</v>
      </c>
    </row>
    <row r="164" spans="1:70" ht="12.75" customHeight="1" outlineLevel="3" x14ac:dyDescent="0.2">
      <c r="B164" s="38" t="str">
        <f t="shared" si="1928"/>
        <v>Сторно резерва квартальной премии</v>
      </c>
      <c r="C164" s="49" t="str">
        <f t="shared" si="1928"/>
        <v>Reverse Accruals for Quarterly bonus</v>
      </c>
      <c r="D164" s="168">
        <f t="shared" ref="D164:F165" si="2174">D44-D107</f>
        <v>0</v>
      </c>
      <c r="E164" s="40">
        <f t="shared" si="2174"/>
        <v>0</v>
      </c>
      <c r="F164" s="40">
        <f t="shared" si="2174"/>
        <v>0</v>
      </c>
      <c r="G164" s="40">
        <f t="shared" ref="G164:P165" si="2175">G44-G107</f>
        <v>0</v>
      </c>
      <c r="H164" s="40">
        <f t="shared" si="2175"/>
        <v>0</v>
      </c>
      <c r="I164" s="40">
        <f t="shared" si="2175"/>
        <v>0</v>
      </c>
      <c r="J164" s="40">
        <f t="shared" si="2175"/>
        <v>0</v>
      </c>
      <c r="K164" s="40">
        <f t="shared" si="2175"/>
        <v>0</v>
      </c>
      <c r="L164" s="40">
        <f t="shared" si="2175"/>
        <v>0</v>
      </c>
      <c r="M164" s="40">
        <f t="shared" si="2175"/>
        <v>0</v>
      </c>
      <c r="N164" s="40">
        <f t="shared" si="2175"/>
        <v>0</v>
      </c>
      <c r="O164" s="40">
        <f t="shared" si="2175"/>
        <v>0</v>
      </c>
      <c r="P164" s="176">
        <f t="shared" si="2175"/>
        <v>0</v>
      </c>
      <c r="Q164" s="191">
        <f t="shared" ref="Q164:S165" si="2176">Q44-Q107</f>
        <v>0</v>
      </c>
      <c r="R164" s="40">
        <f t="shared" si="2176"/>
        <v>0</v>
      </c>
      <c r="S164" s="40">
        <f t="shared" si="2176"/>
        <v>0</v>
      </c>
      <c r="T164" s="40">
        <f t="shared" ref="T164:AC164" si="2177">T44-T107</f>
        <v>0</v>
      </c>
      <c r="U164" s="40">
        <f t="shared" si="2177"/>
        <v>0</v>
      </c>
      <c r="V164" s="40">
        <f t="shared" si="2177"/>
        <v>0</v>
      </c>
      <c r="W164" s="40">
        <f t="shared" si="2177"/>
        <v>0</v>
      </c>
      <c r="X164" s="40">
        <f t="shared" si="2177"/>
        <v>0</v>
      </c>
      <c r="Y164" s="40">
        <f t="shared" si="2177"/>
        <v>0</v>
      </c>
      <c r="Z164" s="40">
        <f t="shared" si="2177"/>
        <v>0</v>
      </c>
      <c r="AA164" s="40">
        <f t="shared" si="2177"/>
        <v>0</v>
      </c>
      <c r="AB164" s="40">
        <f t="shared" si="2177"/>
        <v>0</v>
      </c>
      <c r="AC164" s="176">
        <f t="shared" si="2177"/>
        <v>0</v>
      </c>
      <c r="AD164" s="225">
        <f t="shared" ref="AD164:AF165" si="2178">AD44-AD107</f>
        <v>0</v>
      </c>
      <c r="AE164" s="40">
        <f t="shared" si="2178"/>
        <v>0</v>
      </c>
      <c r="AF164" s="40">
        <f t="shared" si="2178"/>
        <v>0</v>
      </c>
      <c r="AG164" s="40">
        <f t="shared" ref="AG164:AP164" si="2179">AG44-AG107</f>
        <v>0</v>
      </c>
      <c r="AH164" s="40">
        <f t="shared" si="2179"/>
        <v>0</v>
      </c>
      <c r="AI164" s="40">
        <f t="shared" si="2179"/>
        <v>0</v>
      </c>
      <c r="AJ164" s="40">
        <f t="shared" si="2179"/>
        <v>0</v>
      </c>
      <c r="AK164" s="40">
        <f t="shared" si="2179"/>
        <v>0</v>
      </c>
      <c r="AL164" s="40">
        <f t="shared" si="2179"/>
        <v>0</v>
      </c>
      <c r="AM164" s="40">
        <f t="shared" si="2179"/>
        <v>0</v>
      </c>
      <c r="AN164" s="40">
        <f t="shared" si="2179"/>
        <v>0</v>
      </c>
      <c r="AO164" s="40">
        <f t="shared" si="2179"/>
        <v>0</v>
      </c>
      <c r="AP164" s="40">
        <f t="shared" si="2179"/>
        <v>0</v>
      </c>
      <c r="AQ164" s="168">
        <f>AQ44-AQ107</f>
        <v>0</v>
      </c>
      <c r="AR164" s="40"/>
      <c r="AS164" s="40">
        <f>AS44-AS107</f>
        <v>0</v>
      </c>
      <c r="AT164" s="40">
        <f>AT44-AT107</f>
        <v>0</v>
      </c>
      <c r="AU164" s="40">
        <f t="shared" ref="AU164:BD164" si="2180">AU44-AU107</f>
        <v>0</v>
      </c>
      <c r="AV164" s="40">
        <f t="shared" si="2180"/>
        <v>0</v>
      </c>
      <c r="AW164" s="40">
        <f t="shared" si="2180"/>
        <v>0</v>
      </c>
      <c r="AX164" s="40">
        <f t="shared" si="2180"/>
        <v>0</v>
      </c>
      <c r="AY164" s="40">
        <f t="shared" si="2180"/>
        <v>0</v>
      </c>
      <c r="AZ164" s="40">
        <f t="shared" si="2180"/>
        <v>0</v>
      </c>
      <c r="BA164" s="40">
        <f t="shared" si="2180"/>
        <v>0</v>
      </c>
      <c r="BB164" s="40">
        <f t="shared" si="2180"/>
        <v>0</v>
      </c>
      <c r="BC164" s="40">
        <f t="shared" si="2180"/>
        <v>0</v>
      </c>
      <c r="BD164" s="176">
        <f t="shared" si="2180"/>
        <v>0</v>
      </c>
      <c r="BE164" s="191">
        <f t="shared" si="1567"/>
        <v>0</v>
      </c>
      <c r="BF164" s="40"/>
      <c r="BG164" s="40">
        <f>BG44-BG107</f>
        <v>0</v>
      </c>
      <c r="BH164" s="40">
        <f>BH44-BH107</f>
        <v>0</v>
      </c>
      <c r="BI164" s="40">
        <f t="shared" ref="BI164:BR164" si="2181">BI44-BI107</f>
        <v>0</v>
      </c>
      <c r="BJ164" s="40">
        <f t="shared" si="2181"/>
        <v>0</v>
      </c>
      <c r="BK164" s="40">
        <f t="shared" si="2181"/>
        <v>0</v>
      </c>
      <c r="BL164" s="40">
        <f t="shared" si="2181"/>
        <v>0</v>
      </c>
      <c r="BM164" s="40">
        <f t="shared" si="2181"/>
        <v>0</v>
      </c>
      <c r="BN164" s="40">
        <f t="shared" si="2181"/>
        <v>0</v>
      </c>
      <c r="BO164" s="40">
        <f t="shared" si="2181"/>
        <v>0</v>
      </c>
      <c r="BP164" s="40">
        <f t="shared" si="2181"/>
        <v>0</v>
      </c>
      <c r="BQ164" s="40">
        <f t="shared" si="2181"/>
        <v>0</v>
      </c>
      <c r="BR164" s="40">
        <f t="shared" si="2181"/>
        <v>0</v>
      </c>
    </row>
    <row r="165" spans="1:70" ht="12.75" customHeight="1" outlineLevel="3" x14ac:dyDescent="0.2">
      <c r="B165" s="38" t="str">
        <f t="shared" si="1928"/>
        <v>Страховые взносы, сторно резерва квартальной премии</v>
      </c>
      <c r="C165" s="49" t="str">
        <f t="shared" si="1928"/>
        <v>Social Security on Reverse Accruals for Quarterly bonus</v>
      </c>
      <c r="D165" s="168">
        <f t="shared" si="2174"/>
        <v>0</v>
      </c>
      <c r="E165" s="40">
        <f t="shared" si="2174"/>
        <v>0</v>
      </c>
      <c r="F165" s="40">
        <f t="shared" si="2174"/>
        <v>0</v>
      </c>
      <c r="G165" s="40">
        <f t="shared" si="2175"/>
        <v>0</v>
      </c>
      <c r="H165" s="40">
        <f t="shared" si="2175"/>
        <v>0</v>
      </c>
      <c r="I165" s="40">
        <f t="shared" si="2175"/>
        <v>0</v>
      </c>
      <c r="J165" s="40">
        <f t="shared" si="2175"/>
        <v>0</v>
      </c>
      <c r="K165" s="40">
        <f t="shared" si="2175"/>
        <v>0</v>
      </c>
      <c r="L165" s="40">
        <f t="shared" si="2175"/>
        <v>0</v>
      </c>
      <c r="M165" s="40">
        <f t="shared" si="2175"/>
        <v>0</v>
      </c>
      <c r="N165" s="40">
        <f t="shared" si="2175"/>
        <v>0</v>
      </c>
      <c r="O165" s="40">
        <f t="shared" si="2175"/>
        <v>0</v>
      </c>
      <c r="P165" s="176">
        <f t="shared" si="2175"/>
        <v>0</v>
      </c>
      <c r="Q165" s="191">
        <f t="shared" si="2176"/>
        <v>0</v>
      </c>
      <c r="R165" s="40">
        <f t="shared" si="2176"/>
        <v>0</v>
      </c>
      <c r="S165" s="40">
        <f t="shared" si="2176"/>
        <v>0</v>
      </c>
      <c r="T165" s="40">
        <f t="shared" ref="T165:AC165" si="2182">T45-T108</f>
        <v>0</v>
      </c>
      <c r="U165" s="40">
        <f t="shared" si="2182"/>
        <v>0</v>
      </c>
      <c r="V165" s="40">
        <f t="shared" si="2182"/>
        <v>0</v>
      </c>
      <c r="W165" s="40">
        <f t="shared" si="2182"/>
        <v>0</v>
      </c>
      <c r="X165" s="40">
        <f t="shared" si="2182"/>
        <v>0</v>
      </c>
      <c r="Y165" s="40">
        <f t="shared" si="2182"/>
        <v>0</v>
      </c>
      <c r="Z165" s="40">
        <f t="shared" si="2182"/>
        <v>0</v>
      </c>
      <c r="AA165" s="40">
        <f t="shared" si="2182"/>
        <v>0</v>
      </c>
      <c r="AB165" s="40">
        <f t="shared" si="2182"/>
        <v>0</v>
      </c>
      <c r="AC165" s="176">
        <f t="shared" si="2182"/>
        <v>0</v>
      </c>
      <c r="AD165" s="225">
        <f t="shared" si="2178"/>
        <v>0</v>
      </c>
      <c r="AE165" s="40">
        <f t="shared" si="2178"/>
        <v>0</v>
      </c>
      <c r="AF165" s="40">
        <f t="shared" si="2178"/>
        <v>0</v>
      </c>
      <c r="AG165" s="40">
        <f t="shared" ref="AG165:AP165" si="2183">AG45-AG108</f>
        <v>0</v>
      </c>
      <c r="AH165" s="40">
        <f t="shared" si="2183"/>
        <v>0</v>
      </c>
      <c r="AI165" s="40">
        <f t="shared" si="2183"/>
        <v>0</v>
      </c>
      <c r="AJ165" s="40">
        <f t="shared" si="2183"/>
        <v>0</v>
      </c>
      <c r="AK165" s="40">
        <f t="shared" si="2183"/>
        <v>0</v>
      </c>
      <c r="AL165" s="40">
        <f t="shared" si="2183"/>
        <v>0</v>
      </c>
      <c r="AM165" s="40">
        <f t="shared" si="2183"/>
        <v>0</v>
      </c>
      <c r="AN165" s="40">
        <f t="shared" si="2183"/>
        <v>0</v>
      </c>
      <c r="AO165" s="40">
        <f t="shared" si="2183"/>
        <v>0</v>
      </c>
      <c r="AP165" s="40">
        <f t="shared" si="2183"/>
        <v>0</v>
      </c>
      <c r="AQ165" s="168">
        <f>AQ45-AQ108</f>
        <v>0</v>
      </c>
      <c r="AR165" s="40"/>
      <c r="AS165" s="40">
        <f>AS45-AS108</f>
        <v>0</v>
      </c>
      <c r="AT165" s="40">
        <f>AT45-AT108</f>
        <v>0</v>
      </c>
      <c r="AU165" s="40">
        <f t="shared" ref="AU165:BD165" si="2184">AU45-AU108</f>
        <v>0</v>
      </c>
      <c r="AV165" s="40">
        <f t="shared" si="2184"/>
        <v>0</v>
      </c>
      <c r="AW165" s="40">
        <f t="shared" si="2184"/>
        <v>0</v>
      </c>
      <c r="AX165" s="40">
        <f t="shared" si="2184"/>
        <v>0</v>
      </c>
      <c r="AY165" s="40">
        <f t="shared" si="2184"/>
        <v>0</v>
      </c>
      <c r="AZ165" s="40">
        <f t="shared" si="2184"/>
        <v>0</v>
      </c>
      <c r="BA165" s="40">
        <f t="shared" si="2184"/>
        <v>0</v>
      </c>
      <c r="BB165" s="40">
        <f t="shared" si="2184"/>
        <v>0</v>
      </c>
      <c r="BC165" s="40">
        <f t="shared" si="2184"/>
        <v>0</v>
      </c>
      <c r="BD165" s="176">
        <f t="shared" si="2184"/>
        <v>0</v>
      </c>
      <c r="BE165" s="191">
        <f t="shared" si="1567"/>
        <v>0</v>
      </c>
      <c r="BF165" s="40"/>
      <c r="BG165" s="40">
        <f>BG45-BG108</f>
        <v>0</v>
      </c>
      <c r="BH165" s="40">
        <f>BH45-BH108</f>
        <v>0</v>
      </c>
      <c r="BI165" s="40">
        <f t="shared" ref="BI165:BR165" si="2185">BI45-BI108</f>
        <v>0</v>
      </c>
      <c r="BJ165" s="40">
        <f t="shared" si="2185"/>
        <v>0</v>
      </c>
      <c r="BK165" s="40">
        <f t="shared" si="2185"/>
        <v>0</v>
      </c>
      <c r="BL165" s="40">
        <f t="shared" si="2185"/>
        <v>0</v>
      </c>
      <c r="BM165" s="40">
        <f t="shared" si="2185"/>
        <v>0</v>
      </c>
      <c r="BN165" s="40">
        <f t="shared" si="2185"/>
        <v>0</v>
      </c>
      <c r="BO165" s="40">
        <f t="shared" si="2185"/>
        <v>0</v>
      </c>
      <c r="BP165" s="40">
        <f t="shared" si="2185"/>
        <v>0</v>
      </c>
      <c r="BQ165" s="40">
        <f t="shared" si="2185"/>
        <v>0</v>
      </c>
      <c r="BR165" s="40">
        <f t="shared" si="2185"/>
        <v>0</v>
      </c>
    </row>
    <row r="166" spans="1:70" s="6" customFormat="1" outlineLevel="2" x14ac:dyDescent="0.2">
      <c r="A166" s="30"/>
      <c r="B166" s="29" t="str">
        <f t="shared" si="1928"/>
        <v>Итого сторно резерва квартальной премии</v>
      </c>
      <c r="C166" s="52" t="str">
        <f t="shared" si="1928"/>
        <v>Total Reverse Accruals for Quarterly bonus</v>
      </c>
      <c r="D166" s="169">
        <f>SUM(D164:D165)</f>
        <v>0</v>
      </c>
      <c r="E166" s="26">
        <f>SUM(E164:E165)</f>
        <v>0</v>
      </c>
      <c r="F166" s="26">
        <f>SUM(F164:F165)</f>
        <v>0</v>
      </c>
      <c r="G166" s="26">
        <f t="shared" ref="G166:P166" si="2186">SUM(G164:G165)</f>
        <v>0</v>
      </c>
      <c r="H166" s="26">
        <f t="shared" si="2186"/>
        <v>0</v>
      </c>
      <c r="I166" s="26">
        <f t="shared" si="2186"/>
        <v>0</v>
      </c>
      <c r="J166" s="26">
        <f t="shared" si="2186"/>
        <v>0</v>
      </c>
      <c r="K166" s="26">
        <f t="shared" si="2186"/>
        <v>0</v>
      </c>
      <c r="L166" s="26">
        <f t="shared" si="2186"/>
        <v>0</v>
      </c>
      <c r="M166" s="26">
        <f t="shared" si="2186"/>
        <v>0</v>
      </c>
      <c r="N166" s="26">
        <f t="shared" si="2186"/>
        <v>0</v>
      </c>
      <c r="O166" s="26">
        <f t="shared" si="2186"/>
        <v>0</v>
      </c>
      <c r="P166" s="177">
        <f t="shared" si="2186"/>
        <v>0</v>
      </c>
      <c r="Q166" s="192">
        <f>SUM(Q164:Q165)</f>
        <v>0</v>
      </c>
      <c r="R166" s="26">
        <f>SUM(R164:R165)</f>
        <v>0</v>
      </c>
      <c r="S166" s="26">
        <f>SUM(S164:S165)</f>
        <v>0</v>
      </c>
      <c r="T166" s="26">
        <f t="shared" ref="T166" si="2187">SUM(T164:T165)</f>
        <v>0</v>
      </c>
      <c r="U166" s="26">
        <f t="shared" ref="U166" si="2188">SUM(U164:U165)</f>
        <v>0</v>
      </c>
      <c r="V166" s="26">
        <f t="shared" ref="V166" si="2189">SUM(V164:V165)</f>
        <v>0</v>
      </c>
      <c r="W166" s="26">
        <f t="shared" ref="W166" si="2190">SUM(W164:W165)</f>
        <v>0</v>
      </c>
      <c r="X166" s="26">
        <f t="shared" ref="X166" si="2191">SUM(X164:X165)</f>
        <v>0</v>
      </c>
      <c r="Y166" s="26">
        <f t="shared" ref="Y166" si="2192">SUM(Y164:Y165)</f>
        <v>0</v>
      </c>
      <c r="Z166" s="26">
        <f t="shared" ref="Z166" si="2193">SUM(Z164:Z165)</f>
        <v>0</v>
      </c>
      <c r="AA166" s="26">
        <f t="shared" ref="AA166" si="2194">SUM(AA164:AA165)</f>
        <v>0</v>
      </c>
      <c r="AB166" s="26">
        <f t="shared" ref="AB166" si="2195">SUM(AB164:AB165)</f>
        <v>0</v>
      </c>
      <c r="AC166" s="177">
        <f t="shared" ref="AC166" si="2196">SUM(AC164:AC165)</f>
        <v>0</v>
      </c>
      <c r="AD166" s="226">
        <f>SUM(AD164:AD165)</f>
        <v>0</v>
      </c>
      <c r="AE166" s="26">
        <f>SUM(AE164:AE165)</f>
        <v>0</v>
      </c>
      <c r="AF166" s="26">
        <f>SUM(AF164:AF165)</f>
        <v>0</v>
      </c>
      <c r="AG166" s="26">
        <f t="shared" ref="AG166" si="2197">SUM(AG164:AG165)</f>
        <v>0</v>
      </c>
      <c r="AH166" s="26">
        <f t="shared" ref="AH166" si="2198">SUM(AH164:AH165)</f>
        <v>0</v>
      </c>
      <c r="AI166" s="26">
        <f t="shared" ref="AI166" si="2199">SUM(AI164:AI165)</f>
        <v>0</v>
      </c>
      <c r="AJ166" s="26">
        <f t="shared" ref="AJ166" si="2200">SUM(AJ164:AJ165)</f>
        <v>0</v>
      </c>
      <c r="AK166" s="26">
        <f t="shared" ref="AK166" si="2201">SUM(AK164:AK165)</f>
        <v>0</v>
      </c>
      <c r="AL166" s="26">
        <f t="shared" ref="AL166" si="2202">SUM(AL164:AL165)</f>
        <v>0</v>
      </c>
      <c r="AM166" s="26">
        <f t="shared" ref="AM166" si="2203">SUM(AM164:AM165)</f>
        <v>0</v>
      </c>
      <c r="AN166" s="26">
        <f t="shared" ref="AN166" si="2204">SUM(AN164:AN165)</f>
        <v>0</v>
      </c>
      <c r="AO166" s="26">
        <f t="shared" ref="AO166" si="2205">SUM(AO164:AO165)</f>
        <v>0</v>
      </c>
      <c r="AP166" s="26">
        <f t="shared" ref="AP166" si="2206">SUM(AP164:AP165)</f>
        <v>0</v>
      </c>
      <c r="AQ166" s="169">
        <f>SUM(AQ164:AQ165)</f>
        <v>0</v>
      </c>
      <c r="AR166" s="26"/>
      <c r="AS166" s="26">
        <f>SUM(AS164:AS165)</f>
        <v>0</v>
      </c>
      <c r="AT166" s="26">
        <f>SUM(AT164:AT165)</f>
        <v>0</v>
      </c>
      <c r="AU166" s="26">
        <f t="shared" ref="AU166" si="2207">SUM(AU164:AU165)</f>
        <v>0</v>
      </c>
      <c r="AV166" s="26">
        <f t="shared" ref="AV166" si="2208">SUM(AV164:AV165)</f>
        <v>0</v>
      </c>
      <c r="AW166" s="26">
        <f t="shared" ref="AW166" si="2209">SUM(AW164:AW165)</f>
        <v>0</v>
      </c>
      <c r="AX166" s="26">
        <f t="shared" ref="AX166" si="2210">SUM(AX164:AX165)</f>
        <v>0</v>
      </c>
      <c r="AY166" s="26">
        <f t="shared" ref="AY166" si="2211">SUM(AY164:AY165)</f>
        <v>0</v>
      </c>
      <c r="AZ166" s="26">
        <f t="shared" ref="AZ166" si="2212">SUM(AZ164:AZ165)</f>
        <v>0</v>
      </c>
      <c r="BA166" s="26">
        <f t="shared" ref="BA166" si="2213">SUM(BA164:BA165)</f>
        <v>0</v>
      </c>
      <c r="BB166" s="26">
        <f t="shared" ref="BB166" si="2214">SUM(BB164:BB165)</f>
        <v>0</v>
      </c>
      <c r="BC166" s="26">
        <f t="shared" ref="BC166" si="2215">SUM(BC164:BC165)</f>
        <v>0</v>
      </c>
      <c r="BD166" s="177">
        <f t="shared" ref="BD166" si="2216">SUM(BD164:BD165)</f>
        <v>0</v>
      </c>
      <c r="BE166" s="192">
        <f t="shared" si="1567"/>
        <v>0</v>
      </c>
      <c r="BF166" s="26"/>
      <c r="BG166" s="26">
        <f>SUM(BG164:BG165)</f>
        <v>0</v>
      </c>
      <c r="BH166" s="26">
        <f>SUM(BH164:BH165)</f>
        <v>0</v>
      </c>
      <c r="BI166" s="26">
        <f t="shared" ref="BI166" si="2217">SUM(BI164:BI165)</f>
        <v>0</v>
      </c>
      <c r="BJ166" s="26">
        <f t="shared" ref="BJ166" si="2218">SUM(BJ164:BJ165)</f>
        <v>0</v>
      </c>
      <c r="BK166" s="26">
        <f t="shared" ref="BK166" si="2219">SUM(BK164:BK165)</f>
        <v>0</v>
      </c>
      <c r="BL166" s="26">
        <f t="shared" ref="BL166" si="2220">SUM(BL164:BL165)</f>
        <v>0</v>
      </c>
      <c r="BM166" s="26">
        <f t="shared" ref="BM166" si="2221">SUM(BM164:BM165)</f>
        <v>0</v>
      </c>
      <c r="BN166" s="26">
        <f t="shared" ref="BN166" si="2222">SUM(BN164:BN165)</f>
        <v>0</v>
      </c>
      <c r="BO166" s="26">
        <f t="shared" ref="BO166" si="2223">SUM(BO164:BO165)</f>
        <v>0</v>
      </c>
      <c r="BP166" s="26">
        <f t="shared" ref="BP166" si="2224">SUM(BP164:BP165)</f>
        <v>0</v>
      </c>
      <c r="BQ166" s="26">
        <f t="shared" ref="BQ166" si="2225">SUM(BQ164:BQ165)</f>
        <v>0</v>
      </c>
      <c r="BR166" s="26">
        <f t="shared" ref="BR166" si="2226">SUM(BR164:BR165)</f>
        <v>0</v>
      </c>
    </row>
    <row r="167" spans="1:70" ht="12.75" customHeight="1" outlineLevel="3" x14ac:dyDescent="0.2">
      <c r="B167" s="38" t="str">
        <f t="shared" si="1928"/>
        <v>Квартальная премия, выплата</v>
      </c>
      <c r="C167" s="49" t="str">
        <f t="shared" si="1928"/>
        <v>Quarterly bonus cash</v>
      </c>
      <c r="D167" s="168">
        <f t="shared" ref="D167:F168" si="2227">D47-D110</f>
        <v>-3492638.0000000149</v>
      </c>
      <c r="E167" s="40">
        <f t="shared" si="2227"/>
        <v>-10571699.000000002</v>
      </c>
      <c r="F167" s="40">
        <f t="shared" si="2227"/>
        <v>643550.99999999814</v>
      </c>
      <c r="G167" s="40">
        <f t="shared" ref="G167:P168" si="2228">G47-G110</f>
        <v>643550.99999999814</v>
      </c>
      <c r="H167" s="40">
        <f t="shared" si="2228"/>
        <v>643550.99999999814</v>
      </c>
      <c r="I167" s="40">
        <f t="shared" si="2228"/>
        <v>643550.99999999814</v>
      </c>
      <c r="J167" s="40">
        <f t="shared" si="2228"/>
        <v>643550.99999999814</v>
      </c>
      <c r="K167" s="40">
        <f t="shared" si="2228"/>
        <v>643550.99999999814</v>
      </c>
      <c r="L167" s="40">
        <f t="shared" si="2228"/>
        <v>643550.99999999814</v>
      </c>
      <c r="M167" s="40">
        <f t="shared" si="2228"/>
        <v>643550.99999999814</v>
      </c>
      <c r="N167" s="40">
        <f t="shared" si="2228"/>
        <v>643550.99999999814</v>
      </c>
      <c r="O167" s="40">
        <f t="shared" si="2228"/>
        <v>643550.99999999814</v>
      </c>
      <c r="P167" s="176">
        <f t="shared" si="2228"/>
        <v>643550.99999999814</v>
      </c>
      <c r="Q167" s="191">
        <f t="shared" ref="Q167:S168" si="2229">Q47-Q110</f>
        <v>-3492638.0000000149</v>
      </c>
      <c r="R167" s="40">
        <f t="shared" si="2229"/>
        <v>-10571699.000000002</v>
      </c>
      <c r="S167" s="40">
        <f t="shared" si="2229"/>
        <v>643550.99999999814</v>
      </c>
      <c r="T167" s="40">
        <f t="shared" ref="T167:AC167" si="2230">T47-T110</f>
        <v>643550.99999999814</v>
      </c>
      <c r="U167" s="40">
        <f t="shared" si="2230"/>
        <v>643550.99999999814</v>
      </c>
      <c r="V167" s="40">
        <f t="shared" si="2230"/>
        <v>643550.99999999814</v>
      </c>
      <c r="W167" s="40">
        <f t="shared" si="2230"/>
        <v>643550.99999999814</v>
      </c>
      <c r="X167" s="40">
        <f t="shared" si="2230"/>
        <v>643550.99999999814</v>
      </c>
      <c r="Y167" s="40">
        <f t="shared" si="2230"/>
        <v>643550.99999999814</v>
      </c>
      <c r="Z167" s="40">
        <f t="shared" si="2230"/>
        <v>643550.99999999814</v>
      </c>
      <c r="AA167" s="40">
        <f t="shared" si="2230"/>
        <v>643550.99999999814</v>
      </c>
      <c r="AB167" s="40">
        <f t="shared" si="2230"/>
        <v>643550.99999999814</v>
      </c>
      <c r="AC167" s="176">
        <f t="shared" si="2230"/>
        <v>643550.99999999814</v>
      </c>
      <c r="AD167" s="225">
        <f t="shared" ref="AD167:AF168" si="2231">AD47-AD110</f>
        <v>-3492638.0000000149</v>
      </c>
      <c r="AE167" s="40">
        <f t="shared" si="2231"/>
        <v>-10571699.000000002</v>
      </c>
      <c r="AF167" s="40">
        <f t="shared" si="2231"/>
        <v>643550.99999999814</v>
      </c>
      <c r="AG167" s="40">
        <f t="shared" ref="AG167:AP167" si="2232">AG47-AG110</f>
        <v>643550.99999999814</v>
      </c>
      <c r="AH167" s="40">
        <f t="shared" si="2232"/>
        <v>643550.99999999814</v>
      </c>
      <c r="AI167" s="40">
        <f t="shared" si="2232"/>
        <v>643550.99999999814</v>
      </c>
      <c r="AJ167" s="40">
        <f t="shared" si="2232"/>
        <v>643550.99999999814</v>
      </c>
      <c r="AK167" s="40">
        <f t="shared" si="2232"/>
        <v>643550.99999999814</v>
      </c>
      <c r="AL167" s="40">
        <f t="shared" si="2232"/>
        <v>643550.99999999814</v>
      </c>
      <c r="AM167" s="40">
        <f t="shared" si="2232"/>
        <v>643550.99999999814</v>
      </c>
      <c r="AN167" s="40">
        <f t="shared" si="2232"/>
        <v>643550.99999999814</v>
      </c>
      <c r="AO167" s="40">
        <f t="shared" si="2232"/>
        <v>643550.99999999814</v>
      </c>
      <c r="AP167" s="40">
        <f t="shared" si="2232"/>
        <v>643550.99999999814</v>
      </c>
      <c r="AQ167" s="168">
        <f>AQ47-AQ110</f>
        <v>0</v>
      </c>
      <c r="AR167" s="40"/>
      <c r="AS167" s="40">
        <f>AS47-AS110</f>
        <v>-10571699.000000002</v>
      </c>
      <c r="AT167" s="40">
        <f>AT47-AT110</f>
        <v>643550.99999999814</v>
      </c>
      <c r="AU167" s="40">
        <f t="shared" ref="AU167:BD167" si="2233">AU47-AU110</f>
        <v>643550.99999999814</v>
      </c>
      <c r="AV167" s="40">
        <f t="shared" si="2233"/>
        <v>643550.99999999814</v>
      </c>
      <c r="AW167" s="40">
        <f t="shared" si="2233"/>
        <v>643550.99999999814</v>
      </c>
      <c r="AX167" s="40">
        <f t="shared" si="2233"/>
        <v>643550.99999999814</v>
      </c>
      <c r="AY167" s="40">
        <f t="shared" si="2233"/>
        <v>643550.99999999814</v>
      </c>
      <c r="AZ167" s="40">
        <f t="shared" si="2233"/>
        <v>643550.99999999814</v>
      </c>
      <c r="BA167" s="40">
        <f t="shared" si="2233"/>
        <v>643550.99999999814</v>
      </c>
      <c r="BB167" s="40">
        <f t="shared" si="2233"/>
        <v>643550.99999999814</v>
      </c>
      <c r="BC167" s="40">
        <f t="shared" si="2233"/>
        <v>643550.99999999814</v>
      </c>
      <c r="BD167" s="176">
        <f t="shared" si="2233"/>
        <v>643550.99999999814</v>
      </c>
      <c r="BE167" s="191">
        <f t="shared" si="1567"/>
        <v>0</v>
      </c>
      <c r="BF167" s="40"/>
      <c r="BG167" s="40">
        <f>BG47-BG110</f>
        <v>-10571699.000000002</v>
      </c>
      <c r="BH167" s="40">
        <f>BH47-BH110</f>
        <v>643550.99999999814</v>
      </c>
      <c r="BI167" s="40">
        <f t="shared" ref="BI167:BR167" si="2234">BI47-BI110</f>
        <v>643550.99999999814</v>
      </c>
      <c r="BJ167" s="40">
        <f t="shared" si="2234"/>
        <v>643550.99999999814</v>
      </c>
      <c r="BK167" s="40">
        <f t="shared" si="2234"/>
        <v>643550.99999999814</v>
      </c>
      <c r="BL167" s="40">
        <f t="shared" si="2234"/>
        <v>643550.99999999814</v>
      </c>
      <c r="BM167" s="40">
        <f t="shared" si="2234"/>
        <v>643550.99999999814</v>
      </c>
      <c r="BN167" s="40">
        <f t="shared" si="2234"/>
        <v>643550.99999999814</v>
      </c>
      <c r="BO167" s="40">
        <f t="shared" si="2234"/>
        <v>643550.99999999814</v>
      </c>
      <c r="BP167" s="40">
        <f t="shared" si="2234"/>
        <v>643550.99999999814</v>
      </c>
      <c r="BQ167" s="40">
        <f t="shared" si="2234"/>
        <v>643550.99999999814</v>
      </c>
      <c r="BR167" s="40">
        <f t="shared" si="2234"/>
        <v>643550.99999999814</v>
      </c>
    </row>
    <row r="168" spans="1:70" ht="12.75" customHeight="1" outlineLevel="3" x14ac:dyDescent="0.2">
      <c r="B168" s="38" t="str">
        <f t="shared" si="1928"/>
        <v>Страховые взносы, квартальная премия выплата</v>
      </c>
      <c r="C168" s="49" t="str">
        <f t="shared" si="1928"/>
        <v>Social Security on quarterly cash</v>
      </c>
      <c r="D168" s="171">
        <f t="shared" si="2227"/>
        <v>19599533.750000011</v>
      </c>
      <c r="E168" s="35">
        <f t="shared" si="2227"/>
        <v>-268624.99999999907</v>
      </c>
      <c r="F168" s="35">
        <f t="shared" si="2227"/>
        <v>1806196.2500000009</v>
      </c>
      <c r="G168" s="35">
        <f t="shared" si="2228"/>
        <v>1806196.2500000009</v>
      </c>
      <c r="H168" s="35">
        <f t="shared" si="2228"/>
        <v>1806196.2500000009</v>
      </c>
      <c r="I168" s="35">
        <f t="shared" si="2228"/>
        <v>1806196.2500000009</v>
      </c>
      <c r="J168" s="35">
        <f t="shared" si="2228"/>
        <v>1806196.2500000009</v>
      </c>
      <c r="K168" s="35">
        <f t="shared" si="2228"/>
        <v>1806196.2500000009</v>
      </c>
      <c r="L168" s="35">
        <f t="shared" si="2228"/>
        <v>1806196.2500000009</v>
      </c>
      <c r="M168" s="35">
        <f t="shared" si="2228"/>
        <v>1806196.2500000009</v>
      </c>
      <c r="N168" s="35">
        <f t="shared" si="2228"/>
        <v>1806196.2500000009</v>
      </c>
      <c r="O168" s="35">
        <f t="shared" si="2228"/>
        <v>1806196.2500000009</v>
      </c>
      <c r="P168" s="179">
        <f t="shared" si="2228"/>
        <v>1806196.2500000009</v>
      </c>
      <c r="Q168" s="194">
        <f t="shared" si="2229"/>
        <v>19599533.750000011</v>
      </c>
      <c r="R168" s="35">
        <f t="shared" si="2229"/>
        <v>-268624.99999999907</v>
      </c>
      <c r="S168" s="35">
        <f t="shared" si="2229"/>
        <v>1806196.2500000009</v>
      </c>
      <c r="T168" s="35">
        <f t="shared" ref="T168:AC168" si="2235">T48-T111</f>
        <v>1806196.2500000009</v>
      </c>
      <c r="U168" s="35">
        <f t="shared" si="2235"/>
        <v>1806196.2500000009</v>
      </c>
      <c r="V168" s="35">
        <f t="shared" si="2235"/>
        <v>1806196.2500000009</v>
      </c>
      <c r="W168" s="35">
        <f t="shared" si="2235"/>
        <v>1806196.2500000009</v>
      </c>
      <c r="X168" s="35">
        <f t="shared" si="2235"/>
        <v>1806196.2500000009</v>
      </c>
      <c r="Y168" s="35">
        <f t="shared" si="2235"/>
        <v>1806196.2500000009</v>
      </c>
      <c r="Z168" s="35">
        <f t="shared" si="2235"/>
        <v>1806196.2500000009</v>
      </c>
      <c r="AA168" s="35">
        <f t="shared" si="2235"/>
        <v>1806196.2500000009</v>
      </c>
      <c r="AB168" s="35">
        <f t="shared" si="2235"/>
        <v>1806196.2500000009</v>
      </c>
      <c r="AC168" s="179">
        <f t="shared" si="2235"/>
        <v>1806196.2500000009</v>
      </c>
      <c r="AD168" s="225">
        <f t="shared" si="2231"/>
        <v>19599533.750000011</v>
      </c>
      <c r="AE168" s="35">
        <f t="shared" si="2231"/>
        <v>-268624.99999999907</v>
      </c>
      <c r="AF168" s="35">
        <f t="shared" si="2231"/>
        <v>1806196.2500000009</v>
      </c>
      <c r="AG168" s="35">
        <f t="shared" ref="AG168:AP168" si="2236">AG48-AG111</f>
        <v>1806196.2500000009</v>
      </c>
      <c r="AH168" s="35">
        <f t="shared" si="2236"/>
        <v>1806196.2500000009</v>
      </c>
      <c r="AI168" s="35">
        <f t="shared" si="2236"/>
        <v>1806196.2500000009</v>
      </c>
      <c r="AJ168" s="35">
        <f t="shared" si="2236"/>
        <v>1806196.2500000009</v>
      </c>
      <c r="AK168" s="35">
        <f t="shared" si="2236"/>
        <v>1806196.2500000009</v>
      </c>
      <c r="AL168" s="35">
        <f t="shared" si="2236"/>
        <v>1806196.2500000009</v>
      </c>
      <c r="AM168" s="35">
        <f t="shared" si="2236"/>
        <v>1806196.2500000009</v>
      </c>
      <c r="AN168" s="35">
        <f t="shared" si="2236"/>
        <v>1806196.2500000009</v>
      </c>
      <c r="AO168" s="35">
        <f t="shared" si="2236"/>
        <v>1806196.2500000009</v>
      </c>
      <c r="AP168" s="35">
        <f t="shared" si="2236"/>
        <v>1806196.2500000009</v>
      </c>
      <c r="AQ168" s="171">
        <f>AQ48-AQ111</f>
        <v>0</v>
      </c>
      <c r="AR168" s="35"/>
      <c r="AS168" s="35">
        <f>AS48-AS111</f>
        <v>-268624.99999999907</v>
      </c>
      <c r="AT168" s="35">
        <f>AT48-AT111</f>
        <v>1806196.2500000009</v>
      </c>
      <c r="AU168" s="35">
        <f t="shared" ref="AU168:BD168" si="2237">AU48-AU111</f>
        <v>1806196.2500000009</v>
      </c>
      <c r="AV168" s="35">
        <f t="shared" si="2237"/>
        <v>1806196.2500000009</v>
      </c>
      <c r="AW168" s="35">
        <f t="shared" si="2237"/>
        <v>1806196.2500000009</v>
      </c>
      <c r="AX168" s="35">
        <f t="shared" si="2237"/>
        <v>1806196.2500000009</v>
      </c>
      <c r="AY168" s="35">
        <f t="shared" si="2237"/>
        <v>1806196.2500000009</v>
      </c>
      <c r="AZ168" s="35">
        <f t="shared" si="2237"/>
        <v>1806196.2500000009</v>
      </c>
      <c r="BA168" s="35">
        <f t="shared" si="2237"/>
        <v>1806196.2500000009</v>
      </c>
      <c r="BB168" s="35">
        <f t="shared" si="2237"/>
        <v>1806196.2500000009</v>
      </c>
      <c r="BC168" s="35">
        <f t="shared" si="2237"/>
        <v>1806196.2500000009</v>
      </c>
      <c r="BD168" s="179">
        <f t="shared" si="2237"/>
        <v>1806196.2500000009</v>
      </c>
      <c r="BE168" s="194">
        <f t="shared" si="1567"/>
        <v>0</v>
      </c>
      <c r="BF168" s="35"/>
      <c r="BG168" s="35">
        <f>BG48-BG111</f>
        <v>-268624.99999999907</v>
      </c>
      <c r="BH168" s="35">
        <f>BH48-BH111</f>
        <v>1806196.2500000009</v>
      </c>
      <c r="BI168" s="35">
        <f t="shared" ref="BI168:BR168" si="2238">BI48-BI111</f>
        <v>1806196.2500000009</v>
      </c>
      <c r="BJ168" s="35">
        <f t="shared" si="2238"/>
        <v>1806196.2500000009</v>
      </c>
      <c r="BK168" s="35">
        <f t="shared" si="2238"/>
        <v>1806196.2500000009</v>
      </c>
      <c r="BL168" s="35">
        <f t="shared" si="2238"/>
        <v>1806196.2500000009</v>
      </c>
      <c r="BM168" s="35">
        <f t="shared" si="2238"/>
        <v>1806196.2500000009</v>
      </c>
      <c r="BN168" s="35">
        <f t="shared" si="2238"/>
        <v>1806196.2500000009</v>
      </c>
      <c r="BO168" s="35">
        <f t="shared" si="2238"/>
        <v>1806196.2500000009</v>
      </c>
      <c r="BP168" s="35">
        <f t="shared" si="2238"/>
        <v>1806196.2500000009</v>
      </c>
      <c r="BQ168" s="35">
        <f t="shared" si="2238"/>
        <v>1806196.2500000009</v>
      </c>
      <c r="BR168" s="35">
        <f t="shared" si="2238"/>
        <v>1806196.2500000009</v>
      </c>
    </row>
    <row r="169" spans="1:70" s="6" customFormat="1" outlineLevel="2" x14ac:dyDescent="0.2">
      <c r="A169" s="30"/>
      <c r="B169" s="29" t="str">
        <f t="shared" si="1928"/>
        <v>Итого квртальная премия, выплата</v>
      </c>
      <c r="C169" s="52" t="str">
        <f t="shared" si="1928"/>
        <v>Total Quarterly bonus cash</v>
      </c>
      <c r="D169" s="169">
        <f>SUM(D167:D168)</f>
        <v>16106895.749999996</v>
      </c>
      <c r="E169" s="26">
        <f>SUM(E167:E168)</f>
        <v>-10840324</v>
      </c>
      <c r="F169" s="26">
        <f>SUM(F167:F168)</f>
        <v>2449747.2499999991</v>
      </c>
      <c r="G169" s="26">
        <f t="shared" ref="G169:P169" si="2239">SUM(G167:G168)</f>
        <v>2449747.2499999991</v>
      </c>
      <c r="H169" s="26">
        <f t="shared" si="2239"/>
        <v>2449747.2499999991</v>
      </c>
      <c r="I169" s="26">
        <f t="shared" si="2239"/>
        <v>2449747.2499999991</v>
      </c>
      <c r="J169" s="26">
        <f t="shared" si="2239"/>
        <v>2449747.2499999991</v>
      </c>
      <c r="K169" s="26">
        <f t="shared" si="2239"/>
        <v>2449747.2499999991</v>
      </c>
      <c r="L169" s="26">
        <f t="shared" si="2239"/>
        <v>2449747.2499999991</v>
      </c>
      <c r="M169" s="26">
        <f t="shared" si="2239"/>
        <v>2449747.2499999991</v>
      </c>
      <c r="N169" s="26">
        <f t="shared" si="2239"/>
        <v>2449747.2499999991</v>
      </c>
      <c r="O169" s="26">
        <f t="shared" si="2239"/>
        <v>2449747.2499999991</v>
      </c>
      <c r="P169" s="177">
        <f t="shared" si="2239"/>
        <v>2449747.2499999991</v>
      </c>
      <c r="Q169" s="192">
        <f>SUM(Q167:Q168)</f>
        <v>16106895.749999996</v>
      </c>
      <c r="R169" s="26">
        <f>SUM(R167:R168)</f>
        <v>-10840324</v>
      </c>
      <c r="S169" s="26">
        <f>SUM(S167:S168)</f>
        <v>2449747.2499999991</v>
      </c>
      <c r="T169" s="26">
        <f t="shared" ref="T169" si="2240">SUM(T167:T168)</f>
        <v>2449747.2499999991</v>
      </c>
      <c r="U169" s="26">
        <f t="shared" ref="U169" si="2241">SUM(U167:U168)</f>
        <v>2449747.2499999991</v>
      </c>
      <c r="V169" s="26">
        <f t="shared" ref="V169" si="2242">SUM(V167:V168)</f>
        <v>2449747.2499999991</v>
      </c>
      <c r="W169" s="26">
        <f t="shared" ref="W169" si="2243">SUM(W167:W168)</f>
        <v>2449747.2499999991</v>
      </c>
      <c r="X169" s="26">
        <f t="shared" ref="X169" si="2244">SUM(X167:X168)</f>
        <v>2449747.2499999991</v>
      </c>
      <c r="Y169" s="26">
        <f t="shared" ref="Y169" si="2245">SUM(Y167:Y168)</f>
        <v>2449747.2499999991</v>
      </c>
      <c r="Z169" s="26">
        <f t="shared" ref="Z169" si="2246">SUM(Z167:Z168)</f>
        <v>2449747.2499999991</v>
      </c>
      <c r="AA169" s="26">
        <f t="shared" ref="AA169" si="2247">SUM(AA167:AA168)</f>
        <v>2449747.2499999991</v>
      </c>
      <c r="AB169" s="26">
        <f t="shared" ref="AB169" si="2248">SUM(AB167:AB168)</f>
        <v>2449747.2499999991</v>
      </c>
      <c r="AC169" s="177">
        <f t="shared" ref="AC169" si="2249">SUM(AC167:AC168)</f>
        <v>2449747.2499999991</v>
      </c>
      <c r="AD169" s="226">
        <f>SUM(AD167:AD168)</f>
        <v>16106895.749999996</v>
      </c>
      <c r="AE169" s="26">
        <f>SUM(AE167:AE168)</f>
        <v>-10840324</v>
      </c>
      <c r="AF169" s="26">
        <f>SUM(AF167:AF168)</f>
        <v>2449747.2499999991</v>
      </c>
      <c r="AG169" s="26">
        <f t="shared" ref="AG169" si="2250">SUM(AG167:AG168)</f>
        <v>2449747.2499999991</v>
      </c>
      <c r="AH169" s="26">
        <f t="shared" ref="AH169" si="2251">SUM(AH167:AH168)</f>
        <v>2449747.2499999991</v>
      </c>
      <c r="AI169" s="26">
        <f t="shared" ref="AI169" si="2252">SUM(AI167:AI168)</f>
        <v>2449747.2499999991</v>
      </c>
      <c r="AJ169" s="26">
        <f t="shared" ref="AJ169" si="2253">SUM(AJ167:AJ168)</f>
        <v>2449747.2499999991</v>
      </c>
      <c r="AK169" s="26">
        <f t="shared" ref="AK169" si="2254">SUM(AK167:AK168)</f>
        <v>2449747.2499999991</v>
      </c>
      <c r="AL169" s="26">
        <f t="shared" ref="AL169" si="2255">SUM(AL167:AL168)</f>
        <v>2449747.2499999991</v>
      </c>
      <c r="AM169" s="26">
        <f t="shared" ref="AM169" si="2256">SUM(AM167:AM168)</f>
        <v>2449747.2499999991</v>
      </c>
      <c r="AN169" s="26">
        <f t="shared" ref="AN169" si="2257">SUM(AN167:AN168)</f>
        <v>2449747.2499999991</v>
      </c>
      <c r="AO169" s="26">
        <f t="shared" ref="AO169" si="2258">SUM(AO167:AO168)</f>
        <v>2449747.2499999991</v>
      </c>
      <c r="AP169" s="26">
        <f t="shared" ref="AP169" si="2259">SUM(AP167:AP168)</f>
        <v>2449747.2499999991</v>
      </c>
      <c r="AQ169" s="169">
        <f>SUM(AQ167:AQ168)</f>
        <v>0</v>
      </c>
      <c r="AR169" s="26"/>
      <c r="AS169" s="26">
        <f>SUM(AS167:AS168)</f>
        <v>-10840324</v>
      </c>
      <c r="AT169" s="26">
        <f>SUM(AT167:AT168)</f>
        <v>2449747.2499999991</v>
      </c>
      <c r="AU169" s="26">
        <f t="shared" ref="AU169" si="2260">SUM(AU167:AU168)</f>
        <v>2449747.2499999991</v>
      </c>
      <c r="AV169" s="26">
        <f t="shared" ref="AV169" si="2261">SUM(AV167:AV168)</f>
        <v>2449747.2499999991</v>
      </c>
      <c r="AW169" s="26">
        <f t="shared" ref="AW169" si="2262">SUM(AW167:AW168)</f>
        <v>2449747.2499999991</v>
      </c>
      <c r="AX169" s="26">
        <f t="shared" ref="AX169" si="2263">SUM(AX167:AX168)</f>
        <v>2449747.2499999991</v>
      </c>
      <c r="AY169" s="26">
        <f t="shared" ref="AY169" si="2264">SUM(AY167:AY168)</f>
        <v>2449747.2499999991</v>
      </c>
      <c r="AZ169" s="26">
        <f t="shared" ref="AZ169" si="2265">SUM(AZ167:AZ168)</f>
        <v>2449747.2499999991</v>
      </c>
      <c r="BA169" s="26">
        <f t="shared" ref="BA169" si="2266">SUM(BA167:BA168)</f>
        <v>2449747.2499999991</v>
      </c>
      <c r="BB169" s="26">
        <f t="shared" ref="BB169" si="2267">SUM(BB167:BB168)</f>
        <v>2449747.2499999991</v>
      </c>
      <c r="BC169" s="26">
        <f t="shared" ref="BC169" si="2268">SUM(BC167:BC168)</f>
        <v>2449747.2499999991</v>
      </c>
      <c r="BD169" s="177">
        <f t="shared" ref="BD169" si="2269">SUM(BD167:BD168)</f>
        <v>2449747.2499999991</v>
      </c>
      <c r="BE169" s="192">
        <f t="shared" si="1567"/>
        <v>0</v>
      </c>
      <c r="BF169" s="26"/>
      <c r="BG169" s="26">
        <f>SUM(BG167:BG168)</f>
        <v>-10840324</v>
      </c>
      <c r="BH169" s="26">
        <f>SUM(BH167:BH168)</f>
        <v>2449747.2499999991</v>
      </c>
      <c r="BI169" s="26">
        <f t="shared" ref="BI169" si="2270">SUM(BI167:BI168)</f>
        <v>2449747.2499999991</v>
      </c>
      <c r="BJ169" s="26">
        <f t="shared" ref="BJ169" si="2271">SUM(BJ167:BJ168)</f>
        <v>2449747.2499999991</v>
      </c>
      <c r="BK169" s="26">
        <f t="shared" ref="BK169" si="2272">SUM(BK167:BK168)</f>
        <v>2449747.2499999991</v>
      </c>
      <c r="BL169" s="26">
        <f t="shared" ref="BL169" si="2273">SUM(BL167:BL168)</f>
        <v>2449747.2499999991</v>
      </c>
      <c r="BM169" s="26">
        <f t="shared" ref="BM169" si="2274">SUM(BM167:BM168)</f>
        <v>2449747.2499999991</v>
      </c>
      <c r="BN169" s="26">
        <f t="shared" ref="BN169" si="2275">SUM(BN167:BN168)</f>
        <v>2449747.2499999991</v>
      </c>
      <c r="BO169" s="26">
        <f t="shared" ref="BO169" si="2276">SUM(BO167:BO168)</f>
        <v>2449747.2499999991</v>
      </c>
      <c r="BP169" s="26">
        <f t="shared" ref="BP169" si="2277">SUM(BP167:BP168)</f>
        <v>2449747.2499999991</v>
      </c>
      <c r="BQ169" s="26">
        <f t="shared" ref="BQ169" si="2278">SUM(BQ167:BQ168)</f>
        <v>2449747.2499999991</v>
      </c>
      <c r="BR169" s="26">
        <f t="shared" ref="BR169" si="2279">SUM(BR167:BR168)</f>
        <v>2449747.2499999991</v>
      </c>
    </row>
    <row r="170" spans="1:70" s="6" customFormat="1" outlineLevel="1" x14ac:dyDescent="0.2">
      <c r="A170" s="30"/>
      <c r="B170" s="48" t="str">
        <f t="shared" si="1928"/>
        <v>Квартальная премия</v>
      </c>
      <c r="C170" s="163" t="str">
        <f t="shared" si="1928"/>
        <v>Quarterly bonus</v>
      </c>
      <c r="D170" s="170">
        <f>D169+D166+D163</f>
        <v>29396966.999999996</v>
      </c>
      <c r="E170" s="45">
        <f>E169+E166+E163</f>
        <v>2449747.25</v>
      </c>
      <c r="F170" s="45">
        <f>F169+F166+F163</f>
        <v>2449747.2499999991</v>
      </c>
      <c r="G170" s="45">
        <f t="shared" ref="G170:P170" si="2280">G169+G166+G163</f>
        <v>2449747.2499999991</v>
      </c>
      <c r="H170" s="45">
        <f t="shared" si="2280"/>
        <v>2449747.2499999991</v>
      </c>
      <c r="I170" s="45">
        <f t="shared" si="2280"/>
        <v>2449747.2499999991</v>
      </c>
      <c r="J170" s="45">
        <f t="shared" si="2280"/>
        <v>2449747.2499999991</v>
      </c>
      <c r="K170" s="45">
        <f t="shared" si="2280"/>
        <v>2449747.2499999991</v>
      </c>
      <c r="L170" s="45">
        <f t="shared" si="2280"/>
        <v>2449747.2499999991</v>
      </c>
      <c r="M170" s="45">
        <f t="shared" si="2280"/>
        <v>2449747.2499999991</v>
      </c>
      <c r="N170" s="45">
        <f t="shared" si="2280"/>
        <v>2449747.2499999991</v>
      </c>
      <c r="O170" s="45">
        <f t="shared" si="2280"/>
        <v>2449747.2499999991</v>
      </c>
      <c r="P170" s="178">
        <f t="shared" si="2280"/>
        <v>2449747.2499999991</v>
      </c>
      <c r="Q170" s="193">
        <f>Q169+Q166+Q163</f>
        <v>29396966.999999996</v>
      </c>
      <c r="R170" s="45">
        <f>R169+R166+R163</f>
        <v>2449747.25</v>
      </c>
      <c r="S170" s="45">
        <f>S169+S166+S163</f>
        <v>2449747.2499999991</v>
      </c>
      <c r="T170" s="45">
        <f t="shared" ref="T170" si="2281">T169+T166+T163</f>
        <v>2449747.2499999991</v>
      </c>
      <c r="U170" s="45">
        <f t="shared" ref="U170" si="2282">U169+U166+U163</f>
        <v>2449747.2499999991</v>
      </c>
      <c r="V170" s="45">
        <f t="shared" ref="V170" si="2283">V169+V166+V163</f>
        <v>2449747.2499999991</v>
      </c>
      <c r="W170" s="45">
        <f t="shared" ref="W170" si="2284">W169+W166+W163</f>
        <v>2449747.2499999991</v>
      </c>
      <c r="X170" s="45">
        <f t="shared" ref="X170" si="2285">X169+X166+X163</f>
        <v>2449747.2499999991</v>
      </c>
      <c r="Y170" s="45">
        <f t="shared" ref="Y170" si="2286">Y169+Y166+Y163</f>
        <v>2449747.2499999991</v>
      </c>
      <c r="Z170" s="45">
        <f t="shared" ref="Z170" si="2287">Z169+Z166+Z163</f>
        <v>2449747.2499999991</v>
      </c>
      <c r="AA170" s="45">
        <f t="shared" ref="AA170" si="2288">AA169+AA166+AA163</f>
        <v>2449747.2499999991</v>
      </c>
      <c r="AB170" s="45">
        <f t="shared" ref="AB170" si="2289">AB169+AB166+AB163</f>
        <v>2449747.2499999991</v>
      </c>
      <c r="AC170" s="178">
        <f t="shared" ref="AC170" si="2290">AC169+AC166+AC163</f>
        <v>2449747.2499999991</v>
      </c>
      <c r="AD170" s="227">
        <f>AD169+AD166+AD163</f>
        <v>29396966.999999996</v>
      </c>
      <c r="AE170" s="45">
        <f>AE169+AE166+AE163</f>
        <v>2449747.25</v>
      </c>
      <c r="AF170" s="45">
        <f>AF169+AF166+AF163</f>
        <v>2449747.2499999991</v>
      </c>
      <c r="AG170" s="45">
        <f t="shared" ref="AG170" si="2291">AG169+AG166+AG163</f>
        <v>2449747.2499999991</v>
      </c>
      <c r="AH170" s="45">
        <f t="shared" ref="AH170" si="2292">AH169+AH166+AH163</f>
        <v>2449747.2499999991</v>
      </c>
      <c r="AI170" s="45">
        <f t="shared" ref="AI170" si="2293">AI169+AI166+AI163</f>
        <v>2449747.2499999991</v>
      </c>
      <c r="AJ170" s="45">
        <f t="shared" ref="AJ170" si="2294">AJ169+AJ166+AJ163</f>
        <v>2449747.2499999991</v>
      </c>
      <c r="AK170" s="45">
        <f t="shared" ref="AK170" si="2295">AK169+AK166+AK163</f>
        <v>2449747.2499999991</v>
      </c>
      <c r="AL170" s="45">
        <f t="shared" ref="AL170" si="2296">AL169+AL166+AL163</f>
        <v>2449747.2499999991</v>
      </c>
      <c r="AM170" s="45">
        <f t="shared" ref="AM170" si="2297">AM169+AM166+AM163</f>
        <v>2449747.2499999991</v>
      </c>
      <c r="AN170" s="45">
        <f t="shared" ref="AN170" si="2298">AN169+AN166+AN163</f>
        <v>2449747.2499999991</v>
      </c>
      <c r="AO170" s="45">
        <f t="shared" ref="AO170" si="2299">AO169+AO166+AO163</f>
        <v>2449747.2499999991</v>
      </c>
      <c r="AP170" s="45">
        <f t="shared" ref="AP170" si="2300">AP169+AP166+AP163</f>
        <v>2449747.2499999991</v>
      </c>
      <c r="AQ170" s="170">
        <f>AQ169+AQ166+AQ163</f>
        <v>0</v>
      </c>
      <c r="AR170" s="45"/>
      <c r="AS170" s="45">
        <f>AS169+AS166+AS163</f>
        <v>2449747.25</v>
      </c>
      <c r="AT170" s="45">
        <f>AT169+AT166+AT163</f>
        <v>2449747.2499999991</v>
      </c>
      <c r="AU170" s="45">
        <f t="shared" ref="AU170" si="2301">AU169+AU166+AU163</f>
        <v>2449747.2499999991</v>
      </c>
      <c r="AV170" s="45">
        <f t="shared" ref="AV170" si="2302">AV169+AV166+AV163</f>
        <v>2449747.2499999991</v>
      </c>
      <c r="AW170" s="45">
        <f t="shared" ref="AW170" si="2303">AW169+AW166+AW163</f>
        <v>2449747.2499999991</v>
      </c>
      <c r="AX170" s="45">
        <f t="shared" ref="AX170" si="2304">AX169+AX166+AX163</f>
        <v>2449747.2499999991</v>
      </c>
      <c r="AY170" s="45">
        <f t="shared" ref="AY170" si="2305">AY169+AY166+AY163</f>
        <v>2449747.2499999991</v>
      </c>
      <c r="AZ170" s="45">
        <f t="shared" ref="AZ170" si="2306">AZ169+AZ166+AZ163</f>
        <v>2449747.2499999991</v>
      </c>
      <c r="BA170" s="45">
        <f t="shared" ref="BA170" si="2307">BA169+BA166+BA163</f>
        <v>2449747.2499999991</v>
      </c>
      <c r="BB170" s="45">
        <f t="shared" ref="BB170" si="2308">BB169+BB166+BB163</f>
        <v>2449747.2499999991</v>
      </c>
      <c r="BC170" s="45">
        <f t="shared" ref="BC170" si="2309">BC169+BC166+BC163</f>
        <v>2449747.2499999991</v>
      </c>
      <c r="BD170" s="178">
        <f t="shared" ref="BD170" si="2310">BD169+BD166+BD163</f>
        <v>2449747.2499999991</v>
      </c>
      <c r="BE170" s="193">
        <f t="shared" si="1567"/>
        <v>0</v>
      </c>
      <c r="BF170" s="45"/>
      <c r="BG170" s="45">
        <f>BG169+BG166+BG163</f>
        <v>2449747.25</v>
      </c>
      <c r="BH170" s="45">
        <f>BH169+BH166+BH163</f>
        <v>2449747.2499999991</v>
      </c>
      <c r="BI170" s="45">
        <f t="shared" ref="BI170" si="2311">BI169+BI166+BI163</f>
        <v>2449747.2499999991</v>
      </c>
      <c r="BJ170" s="45">
        <f t="shared" ref="BJ170" si="2312">BJ169+BJ166+BJ163</f>
        <v>2449747.2499999991</v>
      </c>
      <c r="BK170" s="45">
        <f t="shared" ref="BK170" si="2313">BK169+BK166+BK163</f>
        <v>2449747.2499999991</v>
      </c>
      <c r="BL170" s="45">
        <f t="shared" ref="BL170" si="2314">BL169+BL166+BL163</f>
        <v>2449747.2499999991</v>
      </c>
      <c r="BM170" s="45">
        <f t="shared" ref="BM170" si="2315">BM169+BM166+BM163</f>
        <v>2449747.2499999991</v>
      </c>
      <c r="BN170" s="45">
        <f t="shared" ref="BN170" si="2316">BN169+BN166+BN163</f>
        <v>2449747.2499999991</v>
      </c>
      <c r="BO170" s="45">
        <f t="shared" ref="BO170" si="2317">BO169+BO166+BO163</f>
        <v>2449747.2499999991</v>
      </c>
      <c r="BP170" s="45">
        <f t="shared" ref="BP170" si="2318">BP169+BP166+BP163</f>
        <v>2449747.2499999991</v>
      </c>
      <c r="BQ170" s="45">
        <f t="shared" ref="BQ170" si="2319">BQ169+BQ166+BQ163</f>
        <v>2449747.2499999991</v>
      </c>
      <c r="BR170" s="45">
        <f t="shared" ref="BR170" si="2320">BR169+BR166+BR163</f>
        <v>2449747.2499999991</v>
      </c>
    </row>
    <row r="171" spans="1:70" s="6" customFormat="1" x14ac:dyDescent="0.2">
      <c r="B171" s="21" t="str">
        <f t="shared" si="1928"/>
        <v>ФОТ до бонуса</v>
      </c>
      <c r="C171" s="164" t="str">
        <f t="shared" si="1928"/>
        <v>FIX compensation before Bonus</v>
      </c>
      <c r="D171" s="172">
        <f>D170+D160+D147+D144</f>
        <v>-125992152.14384145</v>
      </c>
      <c r="E171" s="18">
        <f>E170+E160+E147+E144</f>
        <v>2087093.6900000018</v>
      </c>
      <c r="F171" s="18">
        <f>F170+F160+F147+F144</f>
        <v>-11643567.803076476</v>
      </c>
      <c r="G171" s="18">
        <f t="shared" ref="G171:P171" si="2321">G170+G160+G147+G144</f>
        <v>-11643567.803076476</v>
      </c>
      <c r="H171" s="18">
        <f t="shared" si="2321"/>
        <v>-11643567.803076476</v>
      </c>
      <c r="I171" s="18">
        <f t="shared" si="2321"/>
        <v>-11643567.803076476</v>
      </c>
      <c r="J171" s="18">
        <f t="shared" si="2321"/>
        <v>-11643567.803076476</v>
      </c>
      <c r="K171" s="18">
        <f t="shared" si="2321"/>
        <v>-11643567.803076476</v>
      </c>
      <c r="L171" s="18">
        <f t="shared" si="2321"/>
        <v>-11643567.803076476</v>
      </c>
      <c r="M171" s="18">
        <f t="shared" si="2321"/>
        <v>-11643567.803076476</v>
      </c>
      <c r="N171" s="18">
        <f t="shared" si="2321"/>
        <v>-11643567.803076476</v>
      </c>
      <c r="O171" s="18">
        <f t="shared" si="2321"/>
        <v>-11643567.803076476</v>
      </c>
      <c r="P171" s="180">
        <f t="shared" si="2321"/>
        <v>-11643567.803076476</v>
      </c>
      <c r="Q171" s="195">
        <f>Q170+Q160+Q147+Q144</f>
        <v>-125992152.14384145</v>
      </c>
      <c r="R171" s="18">
        <f>R170+R160+R147+R144</f>
        <v>2087093.6900000018</v>
      </c>
      <c r="S171" s="18">
        <f>S170+S160+S147+S144</f>
        <v>-11643567.803076476</v>
      </c>
      <c r="T171" s="18">
        <f t="shared" ref="T171" si="2322">T170+T160+T147+T144</f>
        <v>-11643567.803076476</v>
      </c>
      <c r="U171" s="18">
        <f t="shared" ref="U171" si="2323">U170+U160+U147+U144</f>
        <v>-11643567.803076476</v>
      </c>
      <c r="V171" s="18">
        <f t="shared" ref="V171" si="2324">V170+V160+V147+V144</f>
        <v>-11643567.803076476</v>
      </c>
      <c r="W171" s="18">
        <f t="shared" ref="W171" si="2325">W170+W160+W147+W144</f>
        <v>-11643567.803076476</v>
      </c>
      <c r="X171" s="18">
        <f t="shared" ref="X171" si="2326">X170+X160+X147+X144</f>
        <v>-11643567.803076476</v>
      </c>
      <c r="Y171" s="18">
        <f t="shared" ref="Y171" si="2327">Y170+Y160+Y147+Y144</f>
        <v>-11643567.803076476</v>
      </c>
      <c r="Z171" s="18">
        <f t="shared" ref="Z171" si="2328">Z170+Z160+Z147+Z144</f>
        <v>-11643567.803076476</v>
      </c>
      <c r="AA171" s="18">
        <f t="shared" ref="AA171" si="2329">AA170+AA160+AA147+AA144</f>
        <v>-11643567.803076476</v>
      </c>
      <c r="AB171" s="18">
        <f t="shared" ref="AB171" si="2330">AB170+AB160+AB147+AB144</f>
        <v>-11643567.803076476</v>
      </c>
      <c r="AC171" s="180">
        <f t="shared" ref="AC171" si="2331">AC170+AC160+AC147+AC144</f>
        <v>-11643567.803076476</v>
      </c>
      <c r="AD171" s="228">
        <f>AD170+AD160+AD147+AD144</f>
        <v>-125992152.14384145</v>
      </c>
      <c r="AE171" s="18">
        <f>AE170+AE160+AE147+AE144</f>
        <v>2087093.6900000018</v>
      </c>
      <c r="AF171" s="18">
        <f>AF170+AF160+AF147+AF144</f>
        <v>-11643567.803076476</v>
      </c>
      <c r="AG171" s="18">
        <f t="shared" ref="AG171" si="2332">AG170+AG160+AG147+AG144</f>
        <v>-11643567.803076476</v>
      </c>
      <c r="AH171" s="18">
        <f t="shared" ref="AH171" si="2333">AH170+AH160+AH147+AH144</f>
        <v>-11643567.803076476</v>
      </c>
      <c r="AI171" s="18">
        <f t="shared" ref="AI171" si="2334">AI170+AI160+AI147+AI144</f>
        <v>-11643567.803076476</v>
      </c>
      <c r="AJ171" s="18">
        <f t="shared" ref="AJ171" si="2335">AJ170+AJ160+AJ147+AJ144</f>
        <v>-11643567.803076476</v>
      </c>
      <c r="AK171" s="18">
        <f t="shared" ref="AK171" si="2336">AK170+AK160+AK147+AK144</f>
        <v>-11643567.803076476</v>
      </c>
      <c r="AL171" s="18">
        <f t="shared" ref="AL171" si="2337">AL170+AL160+AL147+AL144</f>
        <v>-11643567.803076476</v>
      </c>
      <c r="AM171" s="18">
        <f t="shared" ref="AM171" si="2338">AM170+AM160+AM147+AM144</f>
        <v>-11643567.803076476</v>
      </c>
      <c r="AN171" s="18">
        <f t="shared" ref="AN171" si="2339">AN170+AN160+AN147+AN144</f>
        <v>-11643567.803076476</v>
      </c>
      <c r="AO171" s="18">
        <f t="shared" ref="AO171" si="2340">AO170+AO160+AO147+AO144</f>
        <v>-11643567.803076476</v>
      </c>
      <c r="AP171" s="18">
        <f t="shared" ref="AP171" si="2341">AP170+AP160+AP147+AP144</f>
        <v>-11643567.803076476</v>
      </c>
      <c r="AQ171" s="172">
        <f>AQ170+AQ160+AQ147+AQ144</f>
        <v>0</v>
      </c>
      <c r="AR171" s="18"/>
      <c r="AS171" s="18">
        <f>AS170+AS160+AS147+AS144</f>
        <v>2087093.6900000018</v>
      </c>
      <c r="AT171" s="18">
        <f>AT170+AT160+AT147+AT144</f>
        <v>-11643567.803076476</v>
      </c>
      <c r="AU171" s="18">
        <f t="shared" ref="AU171" si="2342">AU170+AU160+AU147+AU144</f>
        <v>-11643567.803076476</v>
      </c>
      <c r="AV171" s="18">
        <f t="shared" ref="AV171" si="2343">AV170+AV160+AV147+AV144</f>
        <v>-11643567.803076476</v>
      </c>
      <c r="AW171" s="18">
        <f t="shared" ref="AW171" si="2344">AW170+AW160+AW147+AW144</f>
        <v>-11643567.803076476</v>
      </c>
      <c r="AX171" s="18">
        <f t="shared" ref="AX171" si="2345">AX170+AX160+AX147+AX144</f>
        <v>-11643567.803076476</v>
      </c>
      <c r="AY171" s="18">
        <f t="shared" ref="AY171" si="2346">AY170+AY160+AY147+AY144</f>
        <v>-11643567.803076476</v>
      </c>
      <c r="AZ171" s="18">
        <f t="shared" ref="AZ171" si="2347">AZ170+AZ160+AZ147+AZ144</f>
        <v>-11643567.803076476</v>
      </c>
      <c r="BA171" s="18">
        <f t="shared" ref="BA171" si="2348">BA170+BA160+BA147+BA144</f>
        <v>-11643567.803076476</v>
      </c>
      <c r="BB171" s="18">
        <f t="shared" ref="BB171" si="2349">BB170+BB160+BB147+BB144</f>
        <v>-11643567.803076476</v>
      </c>
      <c r="BC171" s="18">
        <f t="shared" ref="BC171" si="2350">BC170+BC160+BC147+BC144</f>
        <v>-11643567.803076476</v>
      </c>
      <c r="BD171" s="180">
        <f t="shared" ref="BD171" si="2351">BD170+BD160+BD147+BD144</f>
        <v>-11643567.803076476</v>
      </c>
      <c r="BE171" s="195">
        <f t="shared" si="1567"/>
        <v>0</v>
      </c>
      <c r="BF171" s="18"/>
      <c r="BG171" s="18">
        <f>BG170+BG160+BG147+BG144</f>
        <v>2087093.6900000018</v>
      </c>
      <c r="BH171" s="18">
        <f>BH170+BH160+BH147+BH144</f>
        <v>-11643567.803076476</v>
      </c>
      <c r="BI171" s="18">
        <f t="shared" ref="BI171" si="2352">BI170+BI160+BI147+BI144</f>
        <v>-11643567.803076476</v>
      </c>
      <c r="BJ171" s="18">
        <f t="shared" ref="BJ171" si="2353">BJ170+BJ160+BJ147+BJ144</f>
        <v>-11643567.803076476</v>
      </c>
      <c r="BK171" s="18">
        <f t="shared" ref="BK171" si="2354">BK170+BK160+BK147+BK144</f>
        <v>-11643567.803076476</v>
      </c>
      <c r="BL171" s="18">
        <f t="shared" ref="BL171" si="2355">BL170+BL160+BL147+BL144</f>
        <v>-11643567.803076476</v>
      </c>
      <c r="BM171" s="18">
        <f t="shared" ref="BM171" si="2356">BM170+BM160+BM147+BM144</f>
        <v>-11643567.803076476</v>
      </c>
      <c r="BN171" s="18">
        <f t="shared" ref="BN171" si="2357">BN170+BN160+BN147+BN144</f>
        <v>-11643567.803076476</v>
      </c>
      <c r="BO171" s="18">
        <f t="shared" ref="BO171" si="2358">BO170+BO160+BO147+BO144</f>
        <v>-11643567.803076476</v>
      </c>
      <c r="BP171" s="18">
        <f t="shared" ref="BP171" si="2359">BP170+BP160+BP147+BP144</f>
        <v>-11643567.803076476</v>
      </c>
      <c r="BQ171" s="18">
        <f t="shared" ref="BQ171" si="2360">BQ170+BQ160+BQ147+BQ144</f>
        <v>-11643567.803076476</v>
      </c>
      <c r="BR171" s="18">
        <f t="shared" ref="BR171" si="2361">BR170+BR160+BR147+BR144</f>
        <v>-11643567.803076476</v>
      </c>
    </row>
    <row r="172" spans="1:70" ht="12.75" customHeight="1" outlineLevel="3" x14ac:dyDescent="0.2">
      <c r="B172" s="38" t="str">
        <f t="shared" ref="B172:C186" si="2362">B52</f>
        <v>Резерв бонуса прошлых лет</v>
      </c>
      <c r="C172" s="49" t="str">
        <f t="shared" si="2362"/>
        <v>Under-/overaccruals - cash</v>
      </c>
      <c r="D172" s="168">
        <f t="shared" ref="D172:F173" si="2363">D52-D115</f>
        <v>0</v>
      </c>
      <c r="E172" s="40">
        <f t="shared" si="2363"/>
        <v>0</v>
      </c>
      <c r="F172" s="40">
        <f t="shared" si="2363"/>
        <v>0</v>
      </c>
      <c r="G172" s="40">
        <f t="shared" ref="G172:P173" si="2364">G52-G115</f>
        <v>0</v>
      </c>
      <c r="H172" s="40">
        <f t="shared" si="2364"/>
        <v>0</v>
      </c>
      <c r="I172" s="40">
        <f t="shared" si="2364"/>
        <v>0</v>
      </c>
      <c r="J172" s="40">
        <f t="shared" si="2364"/>
        <v>0</v>
      </c>
      <c r="K172" s="40">
        <f t="shared" si="2364"/>
        <v>0</v>
      </c>
      <c r="L172" s="40">
        <f t="shared" si="2364"/>
        <v>0</v>
      </c>
      <c r="M172" s="40">
        <f t="shared" si="2364"/>
        <v>0</v>
      </c>
      <c r="N172" s="40">
        <f t="shared" si="2364"/>
        <v>0</v>
      </c>
      <c r="O172" s="40">
        <f t="shared" si="2364"/>
        <v>0</v>
      </c>
      <c r="P172" s="176">
        <f t="shared" si="2364"/>
        <v>0</v>
      </c>
      <c r="Q172" s="191">
        <f t="shared" ref="Q172:S173" si="2365">Q52-Q115</f>
        <v>0</v>
      </c>
      <c r="R172" s="40">
        <f t="shared" si="2365"/>
        <v>0</v>
      </c>
      <c r="S172" s="40">
        <f t="shared" si="2365"/>
        <v>0</v>
      </c>
      <c r="T172" s="40">
        <f t="shared" ref="T172:AC172" si="2366">T52-T115</f>
        <v>0</v>
      </c>
      <c r="U172" s="40">
        <f t="shared" si="2366"/>
        <v>0</v>
      </c>
      <c r="V172" s="40">
        <f t="shared" si="2366"/>
        <v>0</v>
      </c>
      <c r="W172" s="40">
        <f t="shared" si="2366"/>
        <v>0</v>
      </c>
      <c r="X172" s="40">
        <f t="shared" si="2366"/>
        <v>0</v>
      </c>
      <c r="Y172" s="40">
        <f t="shared" si="2366"/>
        <v>0</v>
      </c>
      <c r="Z172" s="40">
        <f t="shared" si="2366"/>
        <v>0</v>
      </c>
      <c r="AA172" s="40">
        <f t="shared" si="2366"/>
        <v>0</v>
      </c>
      <c r="AB172" s="40">
        <f t="shared" si="2366"/>
        <v>0</v>
      </c>
      <c r="AC172" s="176">
        <f t="shared" si="2366"/>
        <v>0</v>
      </c>
      <c r="AD172" s="225">
        <f t="shared" ref="AD172:AF173" si="2367">AD52-AD115</f>
        <v>0</v>
      </c>
      <c r="AE172" s="40">
        <f t="shared" si="2367"/>
        <v>0</v>
      </c>
      <c r="AF172" s="40">
        <f t="shared" si="2367"/>
        <v>0</v>
      </c>
      <c r="AG172" s="40">
        <f t="shared" ref="AG172:AP172" si="2368">AG52-AG115</f>
        <v>0</v>
      </c>
      <c r="AH172" s="40">
        <f t="shared" si="2368"/>
        <v>0</v>
      </c>
      <c r="AI172" s="40">
        <f t="shared" si="2368"/>
        <v>0</v>
      </c>
      <c r="AJ172" s="40">
        <f t="shared" si="2368"/>
        <v>0</v>
      </c>
      <c r="AK172" s="40">
        <f t="shared" si="2368"/>
        <v>0</v>
      </c>
      <c r="AL172" s="40">
        <f t="shared" si="2368"/>
        <v>0</v>
      </c>
      <c r="AM172" s="40">
        <f t="shared" si="2368"/>
        <v>0</v>
      </c>
      <c r="AN172" s="40">
        <f t="shared" si="2368"/>
        <v>0</v>
      </c>
      <c r="AO172" s="40">
        <f t="shared" si="2368"/>
        <v>0</v>
      </c>
      <c r="AP172" s="40">
        <f t="shared" si="2368"/>
        <v>0</v>
      </c>
      <c r="AQ172" s="168">
        <f>AQ52-AQ115</f>
        <v>0</v>
      </c>
      <c r="AR172" s="40"/>
      <c r="AS172" s="40">
        <f>AS52-AS115</f>
        <v>0</v>
      </c>
      <c r="AT172" s="40">
        <f>AT52-AT115</f>
        <v>0</v>
      </c>
      <c r="AU172" s="40">
        <f t="shared" ref="AU172:BD172" si="2369">AU52-AU115</f>
        <v>0</v>
      </c>
      <c r="AV172" s="40">
        <f t="shared" si="2369"/>
        <v>0</v>
      </c>
      <c r="AW172" s="40">
        <f t="shared" si="2369"/>
        <v>0</v>
      </c>
      <c r="AX172" s="40">
        <f t="shared" si="2369"/>
        <v>0</v>
      </c>
      <c r="AY172" s="40">
        <f t="shared" si="2369"/>
        <v>0</v>
      </c>
      <c r="AZ172" s="40">
        <f t="shared" si="2369"/>
        <v>0</v>
      </c>
      <c r="BA172" s="40">
        <f t="shared" si="2369"/>
        <v>0</v>
      </c>
      <c r="BB172" s="40">
        <f t="shared" si="2369"/>
        <v>0</v>
      </c>
      <c r="BC172" s="40">
        <f t="shared" si="2369"/>
        <v>0</v>
      </c>
      <c r="BD172" s="176">
        <f t="shared" si="2369"/>
        <v>0</v>
      </c>
      <c r="BE172" s="191">
        <f t="shared" si="1567"/>
        <v>0</v>
      </c>
      <c r="BF172" s="40"/>
      <c r="BG172" s="40">
        <f>BG52-BG115</f>
        <v>0</v>
      </c>
      <c r="BH172" s="40">
        <f>BH52-BH115</f>
        <v>0</v>
      </c>
      <c r="BI172" s="40">
        <f t="shared" ref="BI172:BR172" si="2370">BI52-BI115</f>
        <v>0</v>
      </c>
      <c r="BJ172" s="40">
        <f t="shared" si="2370"/>
        <v>0</v>
      </c>
      <c r="BK172" s="40">
        <f t="shared" si="2370"/>
        <v>0</v>
      </c>
      <c r="BL172" s="40">
        <f t="shared" si="2370"/>
        <v>0</v>
      </c>
      <c r="BM172" s="40">
        <f t="shared" si="2370"/>
        <v>0</v>
      </c>
      <c r="BN172" s="40">
        <f t="shared" si="2370"/>
        <v>0</v>
      </c>
      <c r="BO172" s="40">
        <f t="shared" si="2370"/>
        <v>0</v>
      </c>
      <c r="BP172" s="40">
        <f t="shared" si="2370"/>
        <v>0</v>
      </c>
      <c r="BQ172" s="40">
        <f t="shared" si="2370"/>
        <v>0</v>
      </c>
      <c r="BR172" s="40">
        <f t="shared" si="2370"/>
        <v>0</v>
      </c>
    </row>
    <row r="173" spans="1:70" ht="12.75" customHeight="1" outlineLevel="3" x14ac:dyDescent="0.2">
      <c r="B173" s="38" t="str">
        <f t="shared" si="2362"/>
        <v>Страховые взносы, резерв бонуса прошлых лет</v>
      </c>
      <c r="C173" s="49" t="str">
        <f t="shared" si="2362"/>
        <v>Under-/overaccruals - contribution to social secur</v>
      </c>
      <c r="D173" s="168">
        <f t="shared" si="2363"/>
        <v>0</v>
      </c>
      <c r="E173" s="40">
        <f t="shared" si="2363"/>
        <v>0</v>
      </c>
      <c r="F173" s="40">
        <f t="shared" si="2363"/>
        <v>0</v>
      </c>
      <c r="G173" s="40">
        <f t="shared" si="2364"/>
        <v>0</v>
      </c>
      <c r="H173" s="40">
        <f t="shared" si="2364"/>
        <v>0</v>
      </c>
      <c r="I173" s="40">
        <f t="shared" si="2364"/>
        <v>0</v>
      </c>
      <c r="J173" s="40">
        <f t="shared" si="2364"/>
        <v>0</v>
      </c>
      <c r="K173" s="40">
        <f t="shared" si="2364"/>
        <v>0</v>
      </c>
      <c r="L173" s="40">
        <f t="shared" si="2364"/>
        <v>0</v>
      </c>
      <c r="M173" s="40">
        <f t="shared" si="2364"/>
        <v>0</v>
      </c>
      <c r="N173" s="40">
        <f t="shared" si="2364"/>
        <v>0</v>
      </c>
      <c r="O173" s="40">
        <f t="shared" si="2364"/>
        <v>0</v>
      </c>
      <c r="P173" s="176">
        <f t="shared" si="2364"/>
        <v>0</v>
      </c>
      <c r="Q173" s="191">
        <f t="shared" si="2365"/>
        <v>0</v>
      </c>
      <c r="R173" s="40">
        <f t="shared" si="2365"/>
        <v>0</v>
      </c>
      <c r="S173" s="40">
        <f t="shared" si="2365"/>
        <v>0</v>
      </c>
      <c r="T173" s="40">
        <f t="shared" ref="T173:AC173" si="2371">T53-T116</f>
        <v>0</v>
      </c>
      <c r="U173" s="40">
        <f t="shared" si="2371"/>
        <v>0</v>
      </c>
      <c r="V173" s="40">
        <f t="shared" si="2371"/>
        <v>0</v>
      </c>
      <c r="W173" s="40">
        <f t="shared" si="2371"/>
        <v>0</v>
      </c>
      <c r="X173" s="40">
        <f t="shared" si="2371"/>
        <v>0</v>
      </c>
      <c r="Y173" s="40">
        <f t="shared" si="2371"/>
        <v>0</v>
      </c>
      <c r="Z173" s="40">
        <f t="shared" si="2371"/>
        <v>0</v>
      </c>
      <c r="AA173" s="40">
        <f t="shared" si="2371"/>
        <v>0</v>
      </c>
      <c r="AB173" s="40">
        <f t="shared" si="2371"/>
        <v>0</v>
      </c>
      <c r="AC173" s="176">
        <f t="shared" si="2371"/>
        <v>0</v>
      </c>
      <c r="AD173" s="225">
        <f t="shared" si="2367"/>
        <v>0</v>
      </c>
      <c r="AE173" s="40">
        <f t="shared" si="2367"/>
        <v>0</v>
      </c>
      <c r="AF173" s="40">
        <f t="shared" si="2367"/>
        <v>0</v>
      </c>
      <c r="AG173" s="40">
        <f t="shared" ref="AG173:AP173" si="2372">AG53-AG116</f>
        <v>0</v>
      </c>
      <c r="AH173" s="40">
        <f t="shared" si="2372"/>
        <v>0</v>
      </c>
      <c r="AI173" s="40">
        <f t="shared" si="2372"/>
        <v>0</v>
      </c>
      <c r="AJ173" s="40">
        <f t="shared" si="2372"/>
        <v>0</v>
      </c>
      <c r="AK173" s="40">
        <f t="shared" si="2372"/>
        <v>0</v>
      </c>
      <c r="AL173" s="40">
        <f t="shared" si="2372"/>
        <v>0</v>
      </c>
      <c r="AM173" s="40">
        <f t="shared" si="2372"/>
        <v>0</v>
      </c>
      <c r="AN173" s="40">
        <f t="shared" si="2372"/>
        <v>0</v>
      </c>
      <c r="AO173" s="40">
        <f t="shared" si="2372"/>
        <v>0</v>
      </c>
      <c r="AP173" s="40">
        <f t="shared" si="2372"/>
        <v>0</v>
      </c>
      <c r="AQ173" s="168">
        <f>AQ53-AQ116</f>
        <v>0</v>
      </c>
      <c r="AR173" s="40"/>
      <c r="AS173" s="40">
        <f>AS53-AS116</f>
        <v>0</v>
      </c>
      <c r="AT173" s="40">
        <f>AT53-AT116</f>
        <v>0</v>
      </c>
      <c r="AU173" s="40">
        <f t="shared" ref="AU173:BD173" si="2373">AU53-AU116</f>
        <v>0</v>
      </c>
      <c r="AV173" s="40">
        <f t="shared" si="2373"/>
        <v>0</v>
      </c>
      <c r="AW173" s="40">
        <f t="shared" si="2373"/>
        <v>0</v>
      </c>
      <c r="AX173" s="40">
        <f t="shared" si="2373"/>
        <v>0</v>
      </c>
      <c r="AY173" s="40">
        <f t="shared" si="2373"/>
        <v>0</v>
      </c>
      <c r="AZ173" s="40">
        <f t="shared" si="2373"/>
        <v>0</v>
      </c>
      <c r="BA173" s="40">
        <f t="shared" si="2373"/>
        <v>0</v>
      </c>
      <c r="BB173" s="40">
        <f t="shared" si="2373"/>
        <v>0</v>
      </c>
      <c r="BC173" s="40">
        <f t="shared" si="2373"/>
        <v>0</v>
      </c>
      <c r="BD173" s="176">
        <f t="shared" si="2373"/>
        <v>0</v>
      </c>
      <c r="BE173" s="191">
        <f t="shared" si="1567"/>
        <v>0</v>
      </c>
      <c r="BF173" s="40"/>
      <c r="BG173" s="40">
        <f>BG53-BG116</f>
        <v>0</v>
      </c>
      <c r="BH173" s="40">
        <f>BH53-BH116</f>
        <v>0</v>
      </c>
      <c r="BI173" s="40">
        <f t="shared" ref="BI173:BR173" si="2374">BI53-BI116</f>
        <v>0</v>
      </c>
      <c r="BJ173" s="40">
        <f t="shared" si="2374"/>
        <v>0</v>
      </c>
      <c r="BK173" s="40">
        <f t="shared" si="2374"/>
        <v>0</v>
      </c>
      <c r="BL173" s="40">
        <f t="shared" si="2374"/>
        <v>0</v>
      </c>
      <c r="BM173" s="40">
        <f t="shared" si="2374"/>
        <v>0</v>
      </c>
      <c r="BN173" s="40">
        <f t="shared" si="2374"/>
        <v>0</v>
      </c>
      <c r="BO173" s="40">
        <f t="shared" si="2374"/>
        <v>0</v>
      </c>
      <c r="BP173" s="40">
        <f t="shared" si="2374"/>
        <v>0</v>
      </c>
      <c r="BQ173" s="40">
        <f t="shared" si="2374"/>
        <v>0</v>
      </c>
      <c r="BR173" s="40">
        <f t="shared" si="2374"/>
        <v>0</v>
      </c>
    </row>
    <row r="174" spans="1:70" s="6" customFormat="1" outlineLevel="1" x14ac:dyDescent="0.2">
      <c r="A174" s="30"/>
      <c r="B174" s="48" t="str">
        <f t="shared" si="2362"/>
        <v>Итого Резерв бонуса прошлых лет</v>
      </c>
      <c r="C174" s="163" t="str">
        <f t="shared" si="2362"/>
        <v>Total Under-/overaccruals - cash</v>
      </c>
      <c r="D174" s="170">
        <f>SUM(D172:D173)</f>
        <v>0</v>
      </c>
      <c r="E174" s="45">
        <f>SUM(E172:E173)</f>
        <v>0</v>
      </c>
      <c r="F174" s="45">
        <f>SUM(F172:F173)</f>
        <v>0</v>
      </c>
      <c r="G174" s="45">
        <f t="shared" ref="G174:P174" si="2375">SUM(G172:G173)</f>
        <v>0</v>
      </c>
      <c r="H174" s="45">
        <f t="shared" si="2375"/>
        <v>0</v>
      </c>
      <c r="I174" s="45">
        <f t="shared" si="2375"/>
        <v>0</v>
      </c>
      <c r="J174" s="45">
        <f t="shared" si="2375"/>
        <v>0</v>
      </c>
      <c r="K174" s="45">
        <f t="shared" si="2375"/>
        <v>0</v>
      </c>
      <c r="L174" s="45">
        <f t="shared" si="2375"/>
        <v>0</v>
      </c>
      <c r="M174" s="45">
        <f t="shared" si="2375"/>
        <v>0</v>
      </c>
      <c r="N174" s="45">
        <f t="shared" si="2375"/>
        <v>0</v>
      </c>
      <c r="O174" s="45">
        <f t="shared" si="2375"/>
        <v>0</v>
      </c>
      <c r="P174" s="178">
        <f t="shared" si="2375"/>
        <v>0</v>
      </c>
      <c r="Q174" s="193">
        <f>SUM(Q172:Q173)</f>
        <v>0</v>
      </c>
      <c r="R174" s="45">
        <f>SUM(R172:R173)</f>
        <v>0</v>
      </c>
      <c r="S174" s="45">
        <f>SUM(S172:S173)</f>
        <v>0</v>
      </c>
      <c r="T174" s="45">
        <f t="shared" ref="T174" si="2376">SUM(T172:T173)</f>
        <v>0</v>
      </c>
      <c r="U174" s="45">
        <f t="shared" ref="U174" si="2377">SUM(U172:U173)</f>
        <v>0</v>
      </c>
      <c r="V174" s="45">
        <f t="shared" ref="V174" si="2378">SUM(V172:V173)</f>
        <v>0</v>
      </c>
      <c r="W174" s="45">
        <f t="shared" ref="W174" si="2379">SUM(W172:W173)</f>
        <v>0</v>
      </c>
      <c r="X174" s="45">
        <f t="shared" ref="X174" si="2380">SUM(X172:X173)</f>
        <v>0</v>
      </c>
      <c r="Y174" s="45">
        <f t="shared" ref="Y174" si="2381">SUM(Y172:Y173)</f>
        <v>0</v>
      </c>
      <c r="Z174" s="45">
        <f t="shared" ref="Z174" si="2382">SUM(Z172:Z173)</f>
        <v>0</v>
      </c>
      <c r="AA174" s="45">
        <f t="shared" ref="AA174" si="2383">SUM(AA172:AA173)</f>
        <v>0</v>
      </c>
      <c r="AB174" s="45">
        <f t="shared" ref="AB174" si="2384">SUM(AB172:AB173)</f>
        <v>0</v>
      </c>
      <c r="AC174" s="178">
        <f t="shared" ref="AC174" si="2385">SUM(AC172:AC173)</f>
        <v>0</v>
      </c>
      <c r="AD174" s="227">
        <f>SUM(AD172:AD173)</f>
        <v>0</v>
      </c>
      <c r="AE174" s="45">
        <f>SUM(AE172:AE173)</f>
        <v>0</v>
      </c>
      <c r="AF174" s="45">
        <f>SUM(AF172:AF173)</f>
        <v>0</v>
      </c>
      <c r="AG174" s="45">
        <f t="shared" ref="AG174" si="2386">SUM(AG172:AG173)</f>
        <v>0</v>
      </c>
      <c r="AH174" s="45">
        <f t="shared" ref="AH174" si="2387">SUM(AH172:AH173)</f>
        <v>0</v>
      </c>
      <c r="AI174" s="45">
        <f t="shared" ref="AI174" si="2388">SUM(AI172:AI173)</f>
        <v>0</v>
      </c>
      <c r="AJ174" s="45">
        <f t="shared" ref="AJ174" si="2389">SUM(AJ172:AJ173)</f>
        <v>0</v>
      </c>
      <c r="AK174" s="45">
        <f t="shared" ref="AK174" si="2390">SUM(AK172:AK173)</f>
        <v>0</v>
      </c>
      <c r="AL174" s="45">
        <f t="shared" ref="AL174" si="2391">SUM(AL172:AL173)</f>
        <v>0</v>
      </c>
      <c r="AM174" s="45">
        <f t="shared" ref="AM174" si="2392">SUM(AM172:AM173)</f>
        <v>0</v>
      </c>
      <c r="AN174" s="45">
        <f t="shared" ref="AN174" si="2393">SUM(AN172:AN173)</f>
        <v>0</v>
      </c>
      <c r="AO174" s="45">
        <f t="shared" ref="AO174" si="2394">SUM(AO172:AO173)</f>
        <v>0</v>
      </c>
      <c r="AP174" s="45">
        <f t="shared" ref="AP174" si="2395">SUM(AP172:AP173)</f>
        <v>0</v>
      </c>
      <c r="AQ174" s="170">
        <f>SUM(AQ172:AQ173)</f>
        <v>0</v>
      </c>
      <c r="AR174" s="45"/>
      <c r="AS174" s="45">
        <f>SUM(AS172:AS173)</f>
        <v>0</v>
      </c>
      <c r="AT174" s="45">
        <f>SUM(AT172:AT173)</f>
        <v>0</v>
      </c>
      <c r="AU174" s="45">
        <f t="shared" ref="AU174" si="2396">SUM(AU172:AU173)</f>
        <v>0</v>
      </c>
      <c r="AV174" s="45">
        <f t="shared" ref="AV174" si="2397">SUM(AV172:AV173)</f>
        <v>0</v>
      </c>
      <c r="AW174" s="45">
        <f t="shared" ref="AW174" si="2398">SUM(AW172:AW173)</f>
        <v>0</v>
      </c>
      <c r="AX174" s="45">
        <f t="shared" ref="AX174" si="2399">SUM(AX172:AX173)</f>
        <v>0</v>
      </c>
      <c r="AY174" s="45">
        <f t="shared" ref="AY174" si="2400">SUM(AY172:AY173)</f>
        <v>0</v>
      </c>
      <c r="AZ174" s="45">
        <f t="shared" ref="AZ174" si="2401">SUM(AZ172:AZ173)</f>
        <v>0</v>
      </c>
      <c r="BA174" s="45">
        <f t="shared" ref="BA174" si="2402">SUM(BA172:BA173)</f>
        <v>0</v>
      </c>
      <c r="BB174" s="45">
        <f t="shared" ref="BB174" si="2403">SUM(BB172:BB173)</f>
        <v>0</v>
      </c>
      <c r="BC174" s="45">
        <f t="shared" ref="BC174" si="2404">SUM(BC172:BC173)</f>
        <v>0</v>
      </c>
      <c r="BD174" s="178">
        <f t="shared" ref="BD174" si="2405">SUM(BD172:BD173)</f>
        <v>0</v>
      </c>
      <c r="BE174" s="193">
        <f t="shared" si="1567"/>
        <v>0</v>
      </c>
      <c r="BF174" s="45"/>
      <c r="BG174" s="45">
        <f>SUM(BG172:BG173)</f>
        <v>0</v>
      </c>
      <c r="BH174" s="45">
        <f>SUM(BH172:BH173)</f>
        <v>0</v>
      </c>
      <c r="BI174" s="45">
        <f t="shared" ref="BI174" si="2406">SUM(BI172:BI173)</f>
        <v>0</v>
      </c>
      <c r="BJ174" s="45">
        <f t="shared" ref="BJ174" si="2407">SUM(BJ172:BJ173)</f>
        <v>0</v>
      </c>
      <c r="BK174" s="45">
        <f t="shared" ref="BK174" si="2408">SUM(BK172:BK173)</f>
        <v>0</v>
      </c>
      <c r="BL174" s="45">
        <f t="shared" ref="BL174" si="2409">SUM(BL172:BL173)</f>
        <v>0</v>
      </c>
      <c r="BM174" s="45">
        <f t="shared" ref="BM174" si="2410">SUM(BM172:BM173)</f>
        <v>0</v>
      </c>
      <c r="BN174" s="45">
        <f t="shared" ref="BN174" si="2411">SUM(BN172:BN173)</f>
        <v>0</v>
      </c>
      <c r="BO174" s="45">
        <f t="shared" ref="BO174" si="2412">SUM(BO172:BO173)</f>
        <v>0</v>
      </c>
      <c r="BP174" s="45">
        <f t="shared" ref="BP174" si="2413">SUM(BP172:BP173)</f>
        <v>0</v>
      </c>
      <c r="BQ174" s="45">
        <f t="shared" ref="BQ174" si="2414">SUM(BQ172:BQ173)</f>
        <v>0</v>
      </c>
      <c r="BR174" s="45">
        <f t="shared" ref="BR174" si="2415">SUM(BR172:BR173)</f>
        <v>0</v>
      </c>
    </row>
    <row r="175" spans="1:70" s="6" customFormat="1" x14ac:dyDescent="0.2">
      <c r="B175" s="21" t="str">
        <f t="shared" si="2362"/>
        <v>Резерв бонуса прошлых лет</v>
      </c>
      <c r="C175" s="164" t="str">
        <f t="shared" si="2362"/>
        <v>Under-/overaccruals - cash</v>
      </c>
      <c r="D175" s="172">
        <f>D174</f>
        <v>0</v>
      </c>
      <c r="E175" s="18">
        <f>E174</f>
        <v>0</v>
      </c>
      <c r="F175" s="18">
        <f>F174</f>
        <v>0</v>
      </c>
      <c r="G175" s="18">
        <f t="shared" ref="G175:P175" si="2416">G174</f>
        <v>0</v>
      </c>
      <c r="H175" s="18">
        <f t="shared" si="2416"/>
        <v>0</v>
      </c>
      <c r="I175" s="18">
        <f t="shared" si="2416"/>
        <v>0</v>
      </c>
      <c r="J175" s="18">
        <f t="shared" si="2416"/>
        <v>0</v>
      </c>
      <c r="K175" s="18">
        <f t="shared" si="2416"/>
        <v>0</v>
      </c>
      <c r="L175" s="18">
        <f t="shared" si="2416"/>
        <v>0</v>
      </c>
      <c r="M175" s="18">
        <f t="shared" si="2416"/>
        <v>0</v>
      </c>
      <c r="N175" s="18">
        <f t="shared" si="2416"/>
        <v>0</v>
      </c>
      <c r="O175" s="18">
        <f t="shared" si="2416"/>
        <v>0</v>
      </c>
      <c r="P175" s="180">
        <f t="shared" si="2416"/>
        <v>0</v>
      </c>
      <c r="Q175" s="195">
        <f>Q174</f>
        <v>0</v>
      </c>
      <c r="R175" s="18">
        <f>R174</f>
        <v>0</v>
      </c>
      <c r="S175" s="18">
        <f>S174</f>
        <v>0</v>
      </c>
      <c r="T175" s="18">
        <f t="shared" ref="T175" si="2417">T174</f>
        <v>0</v>
      </c>
      <c r="U175" s="18">
        <f t="shared" ref="U175" si="2418">U174</f>
        <v>0</v>
      </c>
      <c r="V175" s="18">
        <f t="shared" ref="V175" si="2419">V174</f>
        <v>0</v>
      </c>
      <c r="W175" s="18">
        <f t="shared" ref="W175" si="2420">W174</f>
        <v>0</v>
      </c>
      <c r="X175" s="18">
        <f t="shared" ref="X175" si="2421">X174</f>
        <v>0</v>
      </c>
      <c r="Y175" s="18">
        <f t="shared" ref="Y175" si="2422">Y174</f>
        <v>0</v>
      </c>
      <c r="Z175" s="18">
        <f t="shared" ref="Z175" si="2423">Z174</f>
        <v>0</v>
      </c>
      <c r="AA175" s="18">
        <f t="shared" ref="AA175" si="2424">AA174</f>
        <v>0</v>
      </c>
      <c r="AB175" s="18">
        <f t="shared" ref="AB175" si="2425">AB174</f>
        <v>0</v>
      </c>
      <c r="AC175" s="180">
        <f t="shared" ref="AC175" si="2426">AC174</f>
        <v>0</v>
      </c>
      <c r="AD175" s="228">
        <f>AD174</f>
        <v>0</v>
      </c>
      <c r="AE175" s="18">
        <f>AE174</f>
        <v>0</v>
      </c>
      <c r="AF175" s="18">
        <f>AF174</f>
        <v>0</v>
      </c>
      <c r="AG175" s="18">
        <f t="shared" ref="AG175" si="2427">AG174</f>
        <v>0</v>
      </c>
      <c r="AH175" s="18">
        <f t="shared" ref="AH175" si="2428">AH174</f>
        <v>0</v>
      </c>
      <c r="AI175" s="18">
        <f t="shared" ref="AI175" si="2429">AI174</f>
        <v>0</v>
      </c>
      <c r="AJ175" s="18">
        <f t="shared" ref="AJ175" si="2430">AJ174</f>
        <v>0</v>
      </c>
      <c r="AK175" s="18">
        <f t="shared" ref="AK175" si="2431">AK174</f>
        <v>0</v>
      </c>
      <c r="AL175" s="18">
        <f t="shared" ref="AL175" si="2432">AL174</f>
        <v>0</v>
      </c>
      <c r="AM175" s="18">
        <f t="shared" ref="AM175" si="2433">AM174</f>
        <v>0</v>
      </c>
      <c r="AN175" s="18">
        <f t="shared" ref="AN175" si="2434">AN174</f>
        <v>0</v>
      </c>
      <c r="AO175" s="18">
        <f t="shared" ref="AO175" si="2435">AO174</f>
        <v>0</v>
      </c>
      <c r="AP175" s="18">
        <f t="shared" ref="AP175" si="2436">AP174</f>
        <v>0</v>
      </c>
      <c r="AQ175" s="172">
        <f>AQ174</f>
        <v>0</v>
      </c>
      <c r="AR175" s="18"/>
      <c r="AS175" s="18">
        <f>AS174</f>
        <v>0</v>
      </c>
      <c r="AT175" s="18">
        <f>AT174</f>
        <v>0</v>
      </c>
      <c r="AU175" s="18">
        <f t="shared" ref="AU175" si="2437">AU174</f>
        <v>0</v>
      </c>
      <c r="AV175" s="18">
        <f t="shared" ref="AV175" si="2438">AV174</f>
        <v>0</v>
      </c>
      <c r="AW175" s="18">
        <f t="shared" ref="AW175" si="2439">AW174</f>
        <v>0</v>
      </c>
      <c r="AX175" s="18">
        <f t="shared" ref="AX175" si="2440">AX174</f>
        <v>0</v>
      </c>
      <c r="AY175" s="18">
        <f t="shared" ref="AY175" si="2441">AY174</f>
        <v>0</v>
      </c>
      <c r="AZ175" s="18">
        <f t="shared" ref="AZ175" si="2442">AZ174</f>
        <v>0</v>
      </c>
      <c r="BA175" s="18">
        <f t="shared" ref="BA175" si="2443">BA174</f>
        <v>0</v>
      </c>
      <c r="BB175" s="18">
        <f t="shared" ref="BB175" si="2444">BB174</f>
        <v>0</v>
      </c>
      <c r="BC175" s="18">
        <f t="shared" ref="BC175" si="2445">BC174</f>
        <v>0</v>
      </c>
      <c r="BD175" s="180">
        <f t="shared" ref="BD175" si="2446">BD174</f>
        <v>0</v>
      </c>
      <c r="BE175" s="195">
        <f t="shared" si="1567"/>
        <v>0</v>
      </c>
      <c r="BF175" s="18"/>
      <c r="BG175" s="18">
        <f>BG174</f>
        <v>0</v>
      </c>
      <c r="BH175" s="18">
        <f>BH174</f>
        <v>0</v>
      </c>
      <c r="BI175" s="18">
        <f t="shared" ref="BI175" si="2447">BI174</f>
        <v>0</v>
      </c>
      <c r="BJ175" s="18">
        <f t="shared" ref="BJ175" si="2448">BJ174</f>
        <v>0</v>
      </c>
      <c r="BK175" s="18">
        <f t="shared" ref="BK175" si="2449">BK174</f>
        <v>0</v>
      </c>
      <c r="BL175" s="18">
        <f t="shared" ref="BL175" si="2450">BL174</f>
        <v>0</v>
      </c>
      <c r="BM175" s="18">
        <f t="shared" ref="BM175" si="2451">BM174</f>
        <v>0</v>
      </c>
      <c r="BN175" s="18">
        <f t="shared" ref="BN175" si="2452">BN174</f>
        <v>0</v>
      </c>
      <c r="BO175" s="18">
        <f t="shared" ref="BO175" si="2453">BO174</f>
        <v>0</v>
      </c>
      <c r="BP175" s="18">
        <f t="shared" ref="BP175" si="2454">BP174</f>
        <v>0</v>
      </c>
      <c r="BQ175" s="18">
        <f t="shared" ref="BQ175" si="2455">BQ174</f>
        <v>0</v>
      </c>
      <c r="BR175" s="18">
        <f t="shared" ref="BR175" si="2456">BR174</f>
        <v>0</v>
      </c>
    </row>
    <row r="176" spans="1:70" ht="12.75" customHeight="1" outlineLevel="3" x14ac:dyDescent="0.2">
      <c r="B176" s="38" t="str">
        <f t="shared" si="2362"/>
        <v>Резерв годового бонуса</v>
      </c>
      <c r="C176" s="49" t="str">
        <f t="shared" si="2362"/>
        <v>Bonus discretionary Accrual</v>
      </c>
      <c r="D176" s="168">
        <f t="shared" ref="D176:F177" si="2457">D56-D119</f>
        <v>294014180.62210083</v>
      </c>
      <c r="E176" s="40">
        <f t="shared" si="2457"/>
        <v>294014180.62210083</v>
      </c>
      <c r="F176" s="40">
        <f t="shared" si="2457"/>
        <v>0</v>
      </c>
      <c r="G176" s="40">
        <f t="shared" ref="G176:P177" si="2458">G56-G119</f>
        <v>0</v>
      </c>
      <c r="H176" s="40">
        <f t="shared" si="2458"/>
        <v>0</v>
      </c>
      <c r="I176" s="40">
        <f t="shared" si="2458"/>
        <v>0</v>
      </c>
      <c r="J176" s="40">
        <f t="shared" si="2458"/>
        <v>0</v>
      </c>
      <c r="K176" s="40">
        <f t="shared" si="2458"/>
        <v>0</v>
      </c>
      <c r="L176" s="40">
        <f t="shared" si="2458"/>
        <v>0</v>
      </c>
      <c r="M176" s="40">
        <f t="shared" si="2458"/>
        <v>0</v>
      </c>
      <c r="N176" s="40">
        <f t="shared" si="2458"/>
        <v>0</v>
      </c>
      <c r="O176" s="40">
        <f t="shared" si="2458"/>
        <v>0</v>
      </c>
      <c r="P176" s="176">
        <f t="shared" si="2458"/>
        <v>0</v>
      </c>
      <c r="Q176" s="191">
        <f t="shared" ref="Q176:S177" si="2459">Q56-Q119</f>
        <v>294014180.62210083</v>
      </c>
      <c r="R176" s="40">
        <f t="shared" si="2459"/>
        <v>294014180.62210083</v>
      </c>
      <c r="S176" s="40">
        <f t="shared" si="2459"/>
        <v>0</v>
      </c>
      <c r="T176" s="40">
        <f t="shared" ref="T176:AC176" si="2460">T56-T119</f>
        <v>0</v>
      </c>
      <c r="U176" s="40">
        <f t="shared" si="2460"/>
        <v>0</v>
      </c>
      <c r="V176" s="40">
        <f t="shared" si="2460"/>
        <v>0</v>
      </c>
      <c r="W176" s="40">
        <f t="shared" si="2460"/>
        <v>0</v>
      </c>
      <c r="X176" s="40">
        <f t="shared" si="2460"/>
        <v>0</v>
      </c>
      <c r="Y176" s="40">
        <f t="shared" si="2460"/>
        <v>0</v>
      </c>
      <c r="Z176" s="40">
        <f t="shared" si="2460"/>
        <v>0</v>
      </c>
      <c r="AA176" s="40">
        <f t="shared" si="2460"/>
        <v>0</v>
      </c>
      <c r="AB176" s="40">
        <f t="shared" si="2460"/>
        <v>0</v>
      </c>
      <c r="AC176" s="176">
        <f t="shared" si="2460"/>
        <v>0</v>
      </c>
      <c r="AD176" s="225">
        <f t="shared" ref="AD176:AF177" si="2461">AD56-AD119</f>
        <v>294014180.62210083</v>
      </c>
      <c r="AE176" s="40">
        <f t="shared" si="2461"/>
        <v>294014180.62210083</v>
      </c>
      <c r="AF176" s="40">
        <f t="shared" si="2461"/>
        <v>0</v>
      </c>
      <c r="AG176" s="40">
        <f t="shared" ref="AG176:AP176" si="2462">AG56-AG119</f>
        <v>0</v>
      </c>
      <c r="AH176" s="40">
        <f t="shared" si="2462"/>
        <v>0</v>
      </c>
      <c r="AI176" s="40">
        <f t="shared" si="2462"/>
        <v>0</v>
      </c>
      <c r="AJ176" s="40">
        <f t="shared" si="2462"/>
        <v>0</v>
      </c>
      <c r="AK176" s="40">
        <f t="shared" si="2462"/>
        <v>0</v>
      </c>
      <c r="AL176" s="40">
        <f t="shared" si="2462"/>
        <v>0</v>
      </c>
      <c r="AM176" s="40">
        <f t="shared" si="2462"/>
        <v>0</v>
      </c>
      <c r="AN176" s="40">
        <f t="shared" si="2462"/>
        <v>0</v>
      </c>
      <c r="AO176" s="40">
        <f t="shared" si="2462"/>
        <v>0</v>
      </c>
      <c r="AP176" s="40">
        <f t="shared" si="2462"/>
        <v>0</v>
      </c>
      <c r="AQ176" s="168">
        <f>AQ56-AQ119</f>
        <v>0</v>
      </c>
      <c r="AR176" s="40"/>
      <c r="AS176" s="40">
        <f>AS56-AS119</f>
        <v>294014180.62210083</v>
      </c>
      <c r="AT176" s="40">
        <f>AT56-AT119</f>
        <v>0</v>
      </c>
      <c r="AU176" s="40">
        <f t="shared" ref="AU176:BD176" si="2463">AU56-AU119</f>
        <v>0</v>
      </c>
      <c r="AV176" s="40">
        <f t="shared" si="2463"/>
        <v>0</v>
      </c>
      <c r="AW176" s="40">
        <f t="shared" si="2463"/>
        <v>0</v>
      </c>
      <c r="AX176" s="40">
        <f t="shared" si="2463"/>
        <v>0</v>
      </c>
      <c r="AY176" s="40">
        <f t="shared" si="2463"/>
        <v>0</v>
      </c>
      <c r="AZ176" s="40">
        <f t="shared" si="2463"/>
        <v>0</v>
      </c>
      <c r="BA176" s="40">
        <f t="shared" si="2463"/>
        <v>0</v>
      </c>
      <c r="BB176" s="40">
        <f t="shared" si="2463"/>
        <v>0</v>
      </c>
      <c r="BC176" s="40">
        <f t="shared" si="2463"/>
        <v>0</v>
      </c>
      <c r="BD176" s="176">
        <f t="shared" si="2463"/>
        <v>0</v>
      </c>
      <c r="BE176" s="191">
        <f t="shared" si="1567"/>
        <v>0</v>
      </c>
      <c r="BF176" s="40"/>
      <c r="BG176" s="40">
        <f>BG56-BG119</f>
        <v>294014180.62210083</v>
      </c>
      <c r="BH176" s="40">
        <f>BH56-BH119</f>
        <v>0</v>
      </c>
      <c r="BI176" s="40">
        <f t="shared" ref="BI176:BR176" si="2464">BI56-BI119</f>
        <v>0</v>
      </c>
      <c r="BJ176" s="40">
        <f t="shared" si="2464"/>
        <v>0</v>
      </c>
      <c r="BK176" s="40">
        <f t="shared" si="2464"/>
        <v>0</v>
      </c>
      <c r="BL176" s="40">
        <f t="shared" si="2464"/>
        <v>0</v>
      </c>
      <c r="BM176" s="40">
        <f t="shared" si="2464"/>
        <v>0</v>
      </c>
      <c r="BN176" s="40">
        <f t="shared" si="2464"/>
        <v>0</v>
      </c>
      <c r="BO176" s="40">
        <f t="shared" si="2464"/>
        <v>0</v>
      </c>
      <c r="BP176" s="40">
        <f t="shared" si="2464"/>
        <v>0</v>
      </c>
      <c r="BQ176" s="40">
        <f t="shared" si="2464"/>
        <v>0</v>
      </c>
      <c r="BR176" s="40">
        <f t="shared" si="2464"/>
        <v>0</v>
      </c>
    </row>
    <row r="177" spans="1:70" ht="12.75" customHeight="1" outlineLevel="3" x14ac:dyDescent="0.2">
      <c r="B177" s="38" t="str">
        <f t="shared" si="2362"/>
        <v>Страховые взносы, резерв годового бонуса</v>
      </c>
      <c r="C177" s="49" t="str">
        <f t="shared" si="2362"/>
        <v>Social Security on discretionary Bonus Accrual</v>
      </c>
      <c r="D177" s="168">
        <f t="shared" si="2457"/>
        <v>54392623.41508875</v>
      </c>
      <c r="E177" s="40">
        <f t="shared" si="2457"/>
        <v>54392623.41508875</v>
      </c>
      <c r="F177" s="40">
        <f t="shared" si="2457"/>
        <v>0</v>
      </c>
      <c r="G177" s="40">
        <f t="shared" si="2458"/>
        <v>0</v>
      </c>
      <c r="H177" s="40">
        <f t="shared" si="2458"/>
        <v>0</v>
      </c>
      <c r="I177" s="40">
        <f t="shared" si="2458"/>
        <v>0</v>
      </c>
      <c r="J177" s="40">
        <f t="shared" si="2458"/>
        <v>0</v>
      </c>
      <c r="K177" s="40">
        <f t="shared" si="2458"/>
        <v>0</v>
      </c>
      <c r="L177" s="40">
        <f t="shared" si="2458"/>
        <v>0</v>
      </c>
      <c r="M177" s="40">
        <f t="shared" si="2458"/>
        <v>0</v>
      </c>
      <c r="N177" s="40">
        <f t="shared" si="2458"/>
        <v>0</v>
      </c>
      <c r="O177" s="40">
        <f t="shared" si="2458"/>
        <v>0</v>
      </c>
      <c r="P177" s="176">
        <f t="shared" si="2458"/>
        <v>0</v>
      </c>
      <c r="Q177" s="191">
        <f t="shared" si="2459"/>
        <v>54392623.41508875</v>
      </c>
      <c r="R177" s="40">
        <f t="shared" si="2459"/>
        <v>54392623.41508875</v>
      </c>
      <c r="S177" s="40">
        <f t="shared" si="2459"/>
        <v>0</v>
      </c>
      <c r="T177" s="40">
        <f t="shared" ref="T177:AC177" si="2465">T57-T120</f>
        <v>0</v>
      </c>
      <c r="U177" s="40">
        <f t="shared" si="2465"/>
        <v>0</v>
      </c>
      <c r="V177" s="40">
        <f t="shared" si="2465"/>
        <v>0</v>
      </c>
      <c r="W177" s="40">
        <f t="shared" si="2465"/>
        <v>0</v>
      </c>
      <c r="X177" s="40">
        <f t="shared" si="2465"/>
        <v>0</v>
      </c>
      <c r="Y177" s="40">
        <f t="shared" si="2465"/>
        <v>0</v>
      </c>
      <c r="Z177" s="40">
        <f t="shared" si="2465"/>
        <v>0</v>
      </c>
      <c r="AA177" s="40">
        <f t="shared" si="2465"/>
        <v>0</v>
      </c>
      <c r="AB177" s="40">
        <f t="shared" si="2465"/>
        <v>0</v>
      </c>
      <c r="AC177" s="176">
        <f t="shared" si="2465"/>
        <v>0</v>
      </c>
      <c r="AD177" s="225">
        <f t="shared" si="2461"/>
        <v>54392623.41508875</v>
      </c>
      <c r="AE177" s="40">
        <f t="shared" si="2461"/>
        <v>54392623.41508875</v>
      </c>
      <c r="AF177" s="40">
        <f t="shared" si="2461"/>
        <v>0</v>
      </c>
      <c r="AG177" s="40">
        <f t="shared" ref="AG177:AP177" si="2466">AG57-AG120</f>
        <v>0</v>
      </c>
      <c r="AH177" s="40">
        <f t="shared" si="2466"/>
        <v>0</v>
      </c>
      <c r="AI177" s="40">
        <f t="shared" si="2466"/>
        <v>0</v>
      </c>
      <c r="AJ177" s="40">
        <f t="shared" si="2466"/>
        <v>0</v>
      </c>
      <c r="AK177" s="40">
        <f t="shared" si="2466"/>
        <v>0</v>
      </c>
      <c r="AL177" s="40">
        <f t="shared" si="2466"/>
        <v>0</v>
      </c>
      <c r="AM177" s="40">
        <f t="shared" si="2466"/>
        <v>0</v>
      </c>
      <c r="AN177" s="40">
        <f t="shared" si="2466"/>
        <v>0</v>
      </c>
      <c r="AO177" s="40">
        <f t="shared" si="2466"/>
        <v>0</v>
      </c>
      <c r="AP177" s="40">
        <f t="shared" si="2466"/>
        <v>0</v>
      </c>
      <c r="AQ177" s="168">
        <f>AQ57-AQ120</f>
        <v>0</v>
      </c>
      <c r="AR177" s="40"/>
      <c r="AS177" s="40">
        <f>AS57-AS120</f>
        <v>54392623.41508875</v>
      </c>
      <c r="AT177" s="40">
        <f>AT57-AT120</f>
        <v>0</v>
      </c>
      <c r="AU177" s="40">
        <f t="shared" ref="AU177:BD177" si="2467">AU57-AU120</f>
        <v>0</v>
      </c>
      <c r="AV177" s="40">
        <f t="shared" si="2467"/>
        <v>0</v>
      </c>
      <c r="AW177" s="40">
        <f t="shared" si="2467"/>
        <v>0</v>
      </c>
      <c r="AX177" s="40">
        <f t="shared" si="2467"/>
        <v>0</v>
      </c>
      <c r="AY177" s="40">
        <f t="shared" si="2467"/>
        <v>0</v>
      </c>
      <c r="AZ177" s="40">
        <f t="shared" si="2467"/>
        <v>0</v>
      </c>
      <c r="BA177" s="40">
        <f t="shared" si="2467"/>
        <v>0</v>
      </c>
      <c r="BB177" s="40">
        <f t="shared" si="2467"/>
        <v>0</v>
      </c>
      <c r="BC177" s="40">
        <f t="shared" si="2467"/>
        <v>0</v>
      </c>
      <c r="BD177" s="176">
        <f t="shared" si="2467"/>
        <v>0</v>
      </c>
      <c r="BE177" s="191">
        <f t="shared" si="1567"/>
        <v>0</v>
      </c>
      <c r="BF177" s="40"/>
      <c r="BG177" s="40">
        <f>BG57-BG120</f>
        <v>54392623.41508875</v>
      </c>
      <c r="BH177" s="40">
        <f>BH57-BH120</f>
        <v>0</v>
      </c>
      <c r="BI177" s="40">
        <f t="shared" ref="BI177:BR177" si="2468">BI57-BI120</f>
        <v>0</v>
      </c>
      <c r="BJ177" s="40">
        <f t="shared" si="2468"/>
        <v>0</v>
      </c>
      <c r="BK177" s="40">
        <f t="shared" si="2468"/>
        <v>0</v>
      </c>
      <c r="BL177" s="40">
        <f t="shared" si="2468"/>
        <v>0</v>
      </c>
      <c r="BM177" s="40">
        <f t="shared" si="2468"/>
        <v>0</v>
      </c>
      <c r="BN177" s="40">
        <f t="shared" si="2468"/>
        <v>0</v>
      </c>
      <c r="BO177" s="40">
        <f t="shared" si="2468"/>
        <v>0</v>
      </c>
      <c r="BP177" s="40">
        <f t="shared" si="2468"/>
        <v>0</v>
      </c>
      <c r="BQ177" s="40">
        <f t="shared" si="2468"/>
        <v>0</v>
      </c>
      <c r="BR177" s="40">
        <f t="shared" si="2468"/>
        <v>0</v>
      </c>
    </row>
    <row r="178" spans="1:70" s="6" customFormat="1" outlineLevel="2" x14ac:dyDescent="0.2">
      <c r="A178" s="30"/>
      <c r="B178" s="29" t="str">
        <f t="shared" si="2362"/>
        <v>Итого резерв годового бонуса</v>
      </c>
      <c r="C178" s="52" t="str">
        <f t="shared" si="2362"/>
        <v>Total Bonus discretionary Accrual</v>
      </c>
      <c r="D178" s="169">
        <f>SUM(D176:D177)</f>
        <v>348406804.0371896</v>
      </c>
      <c r="E178" s="26">
        <f>SUM(E176:E177)</f>
        <v>348406804.0371896</v>
      </c>
      <c r="F178" s="26">
        <f>SUM(F176:F177)</f>
        <v>0</v>
      </c>
      <c r="G178" s="26">
        <f t="shared" ref="G178:P178" si="2469">SUM(G176:G177)</f>
        <v>0</v>
      </c>
      <c r="H178" s="26">
        <f t="shared" si="2469"/>
        <v>0</v>
      </c>
      <c r="I178" s="26">
        <f t="shared" si="2469"/>
        <v>0</v>
      </c>
      <c r="J178" s="26">
        <f t="shared" si="2469"/>
        <v>0</v>
      </c>
      <c r="K178" s="26">
        <f t="shared" si="2469"/>
        <v>0</v>
      </c>
      <c r="L178" s="26">
        <f t="shared" si="2469"/>
        <v>0</v>
      </c>
      <c r="M178" s="26">
        <f t="shared" si="2469"/>
        <v>0</v>
      </c>
      <c r="N178" s="26">
        <f t="shared" si="2469"/>
        <v>0</v>
      </c>
      <c r="O178" s="26">
        <f t="shared" si="2469"/>
        <v>0</v>
      </c>
      <c r="P178" s="177">
        <f t="shared" si="2469"/>
        <v>0</v>
      </c>
      <c r="Q178" s="192">
        <f>SUM(Q176:Q177)</f>
        <v>348406804.0371896</v>
      </c>
      <c r="R178" s="26">
        <f>SUM(R176:R177)</f>
        <v>348406804.0371896</v>
      </c>
      <c r="S178" s="26">
        <f>SUM(S176:S177)</f>
        <v>0</v>
      </c>
      <c r="T178" s="26">
        <f t="shared" ref="T178" si="2470">SUM(T176:T177)</f>
        <v>0</v>
      </c>
      <c r="U178" s="26">
        <f t="shared" ref="U178" si="2471">SUM(U176:U177)</f>
        <v>0</v>
      </c>
      <c r="V178" s="26">
        <f t="shared" ref="V178" si="2472">SUM(V176:V177)</f>
        <v>0</v>
      </c>
      <c r="W178" s="26">
        <f t="shared" ref="W178" si="2473">SUM(W176:W177)</f>
        <v>0</v>
      </c>
      <c r="X178" s="26">
        <f t="shared" ref="X178" si="2474">SUM(X176:X177)</f>
        <v>0</v>
      </c>
      <c r="Y178" s="26">
        <f t="shared" ref="Y178" si="2475">SUM(Y176:Y177)</f>
        <v>0</v>
      </c>
      <c r="Z178" s="26">
        <f t="shared" ref="Z178" si="2476">SUM(Z176:Z177)</f>
        <v>0</v>
      </c>
      <c r="AA178" s="26">
        <f t="shared" ref="AA178" si="2477">SUM(AA176:AA177)</f>
        <v>0</v>
      </c>
      <c r="AB178" s="26">
        <f t="shared" ref="AB178" si="2478">SUM(AB176:AB177)</f>
        <v>0</v>
      </c>
      <c r="AC178" s="177">
        <f t="shared" ref="AC178" si="2479">SUM(AC176:AC177)</f>
        <v>0</v>
      </c>
      <c r="AD178" s="226">
        <f>SUM(AD176:AD177)</f>
        <v>348406804.0371896</v>
      </c>
      <c r="AE178" s="26">
        <f>SUM(AE176:AE177)</f>
        <v>348406804.0371896</v>
      </c>
      <c r="AF178" s="26">
        <f>SUM(AF176:AF177)</f>
        <v>0</v>
      </c>
      <c r="AG178" s="26">
        <f t="shared" ref="AG178" si="2480">SUM(AG176:AG177)</f>
        <v>0</v>
      </c>
      <c r="AH178" s="26">
        <f t="shared" ref="AH178" si="2481">SUM(AH176:AH177)</f>
        <v>0</v>
      </c>
      <c r="AI178" s="26">
        <f t="shared" ref="AI178" si="2482">SUM(AI176:AI177)</f>
        <v>0</v>
      </c>
      <c r="AJ178" s="26">
        <f t="shared" ref="AJ178" si="2483">SUM(AJ176:AJ177)</f>
        <v>0</v>
      </c>
      <c r="AK178" s="26">
        <f t="shared" ref="AK178" si="2484">SUM(AK176:AK177)</f>
        <v>0</v>
      </c>
      <c r="AL178" s="26">
        <f t="shared" ref="AL178" si="2485">SUM(AL176:AL177)</f>
        <v>0</v>
      </c>
      <c r="AM178" s="26">
        <f t="shared" ref="AM178" si="2486">SUM(AM176:AM177)</f>
        <v>0</v>
      </c>
      <c r="AN178" s="26">
        <f t="shared" ref="AN178" si="2487">SUM(AN176:AN177)</f>
        <v>0</v>
      </c>
      <c r="AO178" s="26">
        <f t="shared" ref="AO178" si="2488">SUM(AO176:AO177)</f>
        <v>0</v>
      </c>
      <c r="AP178" s="26">
        <f t="shared" ref="AP178" si="2489">SUM(AP176:AP177)</f>
        <v>0</v>
      </c>
      <c r="AQ178" s="169">
        <f>SUM(AQ176:AQ177)</f>
        <v>0</v>
      </c>
      <c r="AR178" s="26"/>
      <c r="AS178" s="26">
        <f>SUM(AS176:AS177)</f>
        <v>348406804.0371896</v>
      </c>
      <c r="AT178" s="26">
        <f>SUM(AT176:AT177)</f>
        <v>0</v>
      </c>
      <c r="AU178" s="26">
        <f t="shared" ref="AU178" si="2490">SUM(AU176:AU177)</f>
        <v>0</v>
      </c>
      <c r="AV178" s="26">
        <f t="shared" ref="AV178" si="2491">SUM(AV176:AV177)</f>
        <v>0</v>
      </c>
      <c r="AW178" s="26">
        <f t="shared" ref="AW178" si="2492">SUM(AW176:AW177)</f>
        <v>0</v>
      </c>
      <c r="AX178" s="26">
        <f t="shared" ref="AX178" si="2493">SUM(AX176:AX177)</f>
        <v>0</v>
      </c>
      <c r="AY178" s="26">
        <f t="shared" ref="AY178" si="2494">SUM(AY176:AY177)</f>
        <v>0</v>
      </c>
      <c r="AZ178" s="26">
        <f t="shared" ref="AZ178" si="2495">SUM(AZ176:AZ177)</f>
        <v>0</v>
      </c>
      <c r="BA178" s="26">
        <f t="shared" ref="BA178" si="2496">SUM(BA176:BA177)</f>
        <v>0</v>
      </c>
      <c r="BB178" s="26">
        <f t="shared" ref="BB178" si="2497">SUM(BB176:BB177)</f>
        <v>0</v>
      </c>
      <c r="BC178" s="26">
        <f t="shared" ref="BC178" si="2498">SUM(BC176:BC177)</f>
        <v>0</v>
      </c>
      <c r="BD178" s="177">
        <f t="shared" ref="BD178" si="2499">SUM(BD176:BD177)</f>
        <v>0</v>
      </c>
      <c r="BE178" s="192">
        <f t="shared" si="1567"/>
        <v>0</v>
      </c>
      <c r="BF178" s="26"/>
      <c r="BG178" s="26">
        <f>SUM(BG176:BG177)</f>
        <v>348406804.0371896</v>
      </c>
      <c r="BH178" s="26">
        <f>SUM(BH176:BH177)</f>
        <v>0</v>
      </c>
      <c r="BI178" s="26">
        <f t="shared" ref="BI178" si="2500">SUM(BI176:BI177)</f>
        <v>0</v>
      </c>
      <c r="BJ178" s="26">
        <f t="shared" ref="BJ178" si="2501">SUM(BJ176:BJ177)</f>
        <v>0</v>
      </c>
      <c r="BK178" s="26">
        <f t="shared" ref="BK178" si="2502">SUM(BK176:BK177)</f>
        <v>0</v>
      </c>
      <c r="BL178" s="26">
        <f t="shared" ref="BL178" si="2503">SUM(BL176:BL177)</f>
        <v>0</v>
      </c>
      <c r="BM178" s="26">
        <f t="shared" ref="BM178" si="2504">SUM(BM176:BM177)</f>
        <v>0</v>
      </c>
      <c r="BN178" s="26">
        <f t="shared" ref="BN178" si="2505">SUM(BN176:BN177)</f>
        <v>0</v>
      </c>
      <c r="BO178" s="26">
        <f t="shared" ref="BO178" si="2506">SUM(BO176:BO177)</f>
        <v>0</v>
      </c>
      <c r="BP178" s="26">
        <f t="shared" ref="BP178" si="2507">SUM(BP176:BP177)</f>
        <v>0</v>
      </c>
      <c r="BQ178" s="26">
        <f t="shared" ref="BQ178" si="2508">SUM(BQ176:BQ177)</f>
        <v>0</v>
      </c>
      <c r="BR178" s="26">
        <f t="shared" ref="BR178" si="2509">SUM(BR176:BR177)</f>
        <v>0</v>
      </c>
    </row>
    <row r="179" spans="1:70" ht="12.75" customHeight="1" outlineLevel="3" x14ac:dyDescent="0.2">
      <c r="B179" s="38" t="str">
        <f t="shared" si="2362"/>
        <v>Сторно резерва годового бонуса бонуса</v>
      </c>
      <c r="C179" s="49" t="str">
        <f t="shared" si="2362"/>
        <v>Reverse Bonus discretionary Accrual</v>
      </c>
      <c r="D179" s="168">
        <f t="shared" ref="D179:F180" si="2510">D59-D122</f>
        <v>0</v>
      </c>
      <c r="E179" s="40">
        <f t="shared" si="2510"/>
        <v>0</v>
      </c>
      <c r="F179" s="40">
        <f t="shared" si="2510"/>
        <v>0</v>
      </c>
      <c r="G179" s="40">
        <f t="shared" ref="G179:P180" si="2511">G59-G122</f>
        <v>0</v>
      </c>
      <c r="H179" s="40">
        <f t="shared" si="2511"/>
        <v>0</v>
      </c>
      <c r="I179" s="40">
        <f t="shared" si="2511"/>
        <v>0</v>
      </c>
      <c r="J179" s="40">
        <f t="shared" si="2511"/>
        <v>0</v>
      </c>
      <c r="K179" s="40">
        <f t="shared" si="2511"/>
        <v>0</v>
      </c>
      <c r="L179" s="40">
        <f t="shared" si="2511"/>
        <v>0</v>
      </c>
      <c r="M179" s="40">
        <f t="shared" si="2511"/>
        <v>0</v>
      </c>
      <c r="N179" s="40">
        <f t="shared" si="2511"/>
        <v>0</v>
      </c>
      <c r="O179" s="40">
        <f t="shared" si="2511"/>
        <v>0</v>
      </c>
      <c r="P179" s="176">
        <f t="shared" si="2511"/>
        <v>0</v>
      </c>
      <c r="Q179" s="191">
        <f t="shared" ref="Q179:S180" si="2512">Q59-Q122</f>
        <v>0</v>
      </c>
      <c r="R179" s="40">
        <f t="shared" si="2512"/>
        <v>0</v>
      </c>
      <c r="S179" s="40">
        <f t="shared" si="2512"/>
        <v>0</v>
      </c>
      <c r="T179" s="40">
        <f t="shared" ref="T179:AC179" si="2513">T59-T122</f>
        <v>0</v>
      </c>
      <c r="U179" s="40">
        <f t="shared" si="2513"/>
        <v>0</v>
      </c>
      <c r="V179" s="40">
        <f t="shared" si="2513"/>
        <v>0</v>
      </c>
      <c r="W179" s="40">
        <f t="shared" si="2513"/>
        <v>0</v>
      </c>
      <c r="X179" s="40">
        <f t="shared" si="2513"/>
        <v>0</v>
      </c>
      <c r="Y179" s="40">
        <f t="shared" si="2513"/>
        <v>0</v>
      </c>
      <c r="Z179" s="40">
        <f t="shared" si="2513"/>
        <v>0</v>
      </c>
      <c r="AA179" s="40">
        <f t="shared" si="2513"/>
        <v>0</v>
      </c>
      <c r="AB179" s="40">
        <f t="shared" si="2513"/>
        <v>0</v>
      </c>
      <c r="AC179" s="176">
        <f t="shared" si="2513"/>
        <v>0</v>
      </c>
      <c r="AD179" s="225">
        <f t="shared" ref="AD179:AF180" si="2514">AD59-AD122</f>
        <v>0</v>
      </c>
      <c r="AE179" s="40">
        <f t="shared" si="2514"/>
        <v>0</v>
      </c>
      <c r="AF179" s="40">
        <f t="shared" si="2514"/>
        <v>0</v>
      </c>
      <c r="AG179" s="40">
        <f t="shared" ref="AG179:AP179" si="2515">AG59-AG122</f>
        <v>0</v>
      </c>
      <c r="AH179" s="40">
        <f t="shared" si="2515"/>
        <v>0</v>
      </c>
      <c r="AI179" s="40">
        <f t="shared" si="2515"/>
        <v>0</v>
      </c>
      <c r="AJ179" s="40">
        <f t="shared" si="2515"/>
        <v>0</v>
      </c>
      <c r="AK179" s="40">
        <f t="shared" si="2515"/>
        <v>0</v>
      </c>
      <c r="AL179" s="40">
        <f t="shared" si="2515"/>
        <v>0</v>
      </c>
      <c r="AM179" s="40">
        <f t="shared" si="2515"/>
        <v>0</v>
      </c>
      <c r="AN179" s="40">
        <f t="shared" si="2515"/>
        <v>0</v>
      </c>
      <c r="AO179" s="40">
        <f t="shared" si="2515"/>
        <v>0</v>
      </c>
      <c r="AP179" s="40">
        <f t="shared" si="2515"/>
        <v>0</v>
      </c>
      <c r="AQ179" s="168">
        <f>AQ59-AQ122</f>
        <v>0</v>
      </c>
      <c r="AR179" s="40"/>
      <c r="AS179" s="40">
        <f>AS59-AS122</f>
        <v>0</v>
      </c>
      <c r="AT179" s="40">
        <f>AT59-AT122</f>
        <v>0</v>
      </c>
      <c r="AU179" s="40">
        <f t="shared" ref="AU179:BD179" si="2516">AU59-AU122</f>
        <v>0</v>
      </c>
      <c r="AV179" s="40">
        <f t="shared" si="2516"/>
        <v>0</v>
      </c>
      <c r="AW179" s="40">
        <f t="shared" si="2516"/>
        <v>0</v>
      </c>
      <c r="AX179" s="40">
        <f t="shared" si="2516"/>
        <v>0</v>
      </c>
      <c r="AY179" s="40">
        <f t="shared" si="2516"/>
        <v>0</v>
      </c>
      <c r="AZ179" s="40">
        <f t="shared" si="2516"/>
        <v>0</v>
      </c>
      <c r="BA179" s="40">
        <f t="shared" si="2516"/>
        <v>0</v>
      </c>
      <c r="BB179" s="40">
        <f t="shared" si="2516"/>
        <v>0</v>
      </c>
      <c r="BC179" s="40">
        <f t="shared" si="2516"/>
        <v>0</v>
      </c>
      <c r="BD179" s="176">
        <f t="shared" si="2516"/>
        <v>0</v>
      </c>
      <c r="BE179" s="191">
        <f t="shared" si="1567"/>
        <v>0</v>
      </c>
      <c r="BF179" s="40"/>
      <c r="BG179" s="40">
        <f>BG59-BG122</f>
        <v>0</v>
      </c>
      <c r="BH179" s="40">
        <f>BH59-BH122</f>
        <v>0</v>
      </c>
      <c r="BI179" s="40">
        <f t="shared" ref="BI179:BR179" si="2517">BI59-BI122</f>
        <v>0</v>
      </c>
      <c r="BJ179" s="40">
        <f t="shared" si="2517"/>
        <v>0</v>
      </c>
      <c r="BK179" s="40">
        <f t="shared" si="2517"/>
        <v>0</v>
      </c>
      <c r="BL179" s="40">
        <f t="shared" si="2517"/>
        <v>0</v>
      </c>
      <c r="BM179" s="40">
        <f t="shared" si="2517"/>
        <v>0</v>
      </c>
      <c r="BN179" s="40">
        <f t="shared" si="2517"/>
        <v>0</v>
      </c>
      <c r="BO179" s="40">
        <f t="shared" si="2517"/>
        <v>0</v>
      </c>
      <c r="BP179" s="40">
        <f t="shared" si="2517"/>
        <v>0</v>
      </c>
      <c r="BQ179" s="40">
        <f t="shared" si="2517"/>
        <v>0</v>
      </c>
      <c r="BR179" s="40">
        <f t="shared" si="2517"/>
        <v>0</v>
      </c>
    </row>
    <row r="180" spans="1:70" ht="12.75" customHeight="1" outlineLevel="3" x14ac:dyDescent="0.2">
      <c r="B180" s="38" t="str">
        <f t="shared" si="2362"/>
        <v>Страховые взносы, сторно резерва годового бонуса</v>
      </c>
      <c r="C180" s="49" t="str">
        <f t="shared" si="2362"/>
        <v>Social Security on Bonus discretionary Accrual</v>
      </c>
      <c r="D180" s="168">
        <f t="shared" si="2510"/>
        <v>0</v>
      </c>
      <c r="E180" s="40">
        <f t="shared" si="2510"/>
        <v>0</v>
      </c>
      <c r="F180" s="40">
        <f t="shared" si="2510"/>
        <v>0</v>
      </c>
      <c r="G180" s="40">
        <f t="shared" si="2511"/>
        <v>0</v>
      </c>
      <c r="H180" s="40">
        <f t="shared" si="2511"/>
        <v>0</v>
      </c>
      <c r="I180" s="40">
        <f t="shared" si="2511"/>
        <v>0</v>
      </c>
      <c r="J180" s="40">
        <f t="shared" si="2511"/>
        <v>0</v>
      </c>
      <c r="K180" s="40">
        <f t="shared" si="2511"/>
        <v>0</v>
      </c>
      <c r="L180" s="40">
        <f t="shared" si="2511"/>
        <v>0</v>
      </c>
      <c r="M180" s="40">
        <f t="shared" si="2511"/>
        <v>0</v>
      </c>
      <c r="N180" s="40">
        <f t="shared" si="2511"/>
        <v>0</v>
      </c>
      <c r="O180" s="40">
        <f t="shared" si="2511"/>
        <v>0</v>
      </c>
      <c r="P180" s="176">
        <f t="shared" si="2511"/>
        <v>0</v>
      </c>
      <c r="Q180" s="191">
        <f t="shared" si="2512"/>
        <v>0</v>
      </c>
      <c r="R180" s="40">
        <f t="shared" si="2512"/>
        <v>0</v>
      </c>
      <c r="S180" s="40">
        <f t="shared" si="2512"/>
        <v>0</v>
      </c>
      <c r="T180" s="40">
        <f t="shared" ref="T180:AC180" si="2518">T60-T123</f>
        <v>0</v>
      </c>
      <c r="U180" s="40">
        <f t="shared" si="2518"/>
        <v>0</v>
      </c>
      <c r="V180" s="40">
        <f t="shared" si="2518"/>
        <v>0</v>
      </c>
      <c r="W180" s="40">
        <f t="shared" si="2518"/>
        <v>0</v>
      </c>
      <c r="X180" s="40">
        <f t="shared" si="2518"/>
        <v>0</v>
      </c>
      <c r="Y180" s="40">
        <f t="shared" si="2518"/>
        <v>0</v>
      </c>
      <c r="Z180" s="40">
        <f t="shared" si="2518"/>
        <v>0</v>
      </c>
      <c r="AA180" s="40">
        <f t="shared" si="2518"/>
        <v>0</v>
      </c>
      <c r="AB180" s="40">
        <f t="shared" si="2518"/>
        <v>0</v>
      </c>
      <c r="AC180" s="176">
        <f t="shared" si="2518"/>
        <v>0</v>
      </c>
      <c r="AD180" s="225">
        <f t="shared" si="2514"/>
        <v>0</v>
      </c>
      <c r="AE180" s="40">
        <f t="shared" si="2514"/>
        <v>0</v>
      </c>
      <c r="AF180" s="40">
        <f t="shared" si="2514"/>
        <v>0</v>
      </c>
      <c r="AG180" s="40">
        <f t="shared" ref="AG180:AP180" si="2519">AG60-AG123</f>
        <v>0</v>
      </c>
      <c r="AH180" s="40">
        <f t="shared" si="2519"/>
        <v>0</v>
      </c>
      <c r="AI180" s="40">
        <f t="shared" si="2519"/>
        <v>0</v>
      </c>
      <c r="AJ180" s="40">
        <f t="shared" si="2519"/>
        <v>0</v>
      </c>
      <c r="AK180" s="40">
        <f t="shared" si="2519"/>
        <v>0</v>
      </c>
      <c r="AL180" s="40">
        <f t="shared" si="2519"/>
        <v>0</v>
      </c>
      <c r="AM180" s="40">
        <f t="shared" si="2519"/>
        <v>0</v>
      </c>
      <c r="AN180" s="40">
        <f t="shared" si="2519"/>
        <v>0</v>
      </c>
      <c r="AO180" s="40">
        <f t="shared" si="2519"/>
        <v>0</v>
      </c>
      <c r="AP180" s="40">
        <f t="shared" si="2519"/>
        <v>0</v>
      </c>
      <c r="AQ180" s="168">
        <f>AQ60-AQ123</f>
        <v>0</v>
      </c>
      <c r="AR180" s="40"/>
      <c r="AS180" s="40">
        <f>AS60-AS123</f>
        <v>0</v>
      </c>
      <c r="AT180" s="40">
        <f>AT60-AT123</f>
        <v>0</v>
      </c>
      <c r="AU180" s="40">
        <f t="shared" ref="AU180:BD180" si="2520">AU60-AU123</f>
        <v>0</v>
      </c>
      <c r="AV180" s="40">
        <f t="shared" si="2520"/>
        <v>0</v>
      </c>
      <c r="AW180" s="40">
        <f t="shared" si="2520"/>
        <v>0</v>
      </c>
      <c r="AX180" s="40">
        <f t="shared" si="2520"/>
        <v>0</v>
      </c>
      <c r="AY180" s="40">
        <f t="shared" si="2520"/>
        <v>0</v>
      </c>
      <c r="AZ180" s="40">
        <f t="shared" si="2520"/>
        <v>0</v>
      </c>
      <c r="BA180" s="40">
        <f t="shared" si="2520"/>
        <v>0</v>
      </c>
      <c r="BB180" s="40">
        <f t="shared" si="2520"/>
        <v>0</v>
      </c>
      <c r="BC180" s="40">
        <f t="shared" si="2520"/>
        <v>0</v>
      </c>
      <c r="BD180" s="176">
        <f t="shared" si="2520"/>
        <v>0</v>
      </c>
      <c r="BE180" s="191">
        <f t="shared" si="1567"/>
        <v>0</v>
      </c>
      <c r="BF180" s="40"/>
      <c r="BG180" s="40">
        <f>BG60-BG123</f>
        <v>0</v>
      </c>
      <c r="BH180" s="40">
        <f>BH60-BH123</f>
        <v>0</v>
      </c>
      <c r="BI180" s="40">
        <f t="shared" ref="BI180:BR180" si="2521">BI60-BI123</f>
        <v>0</v>
      </c>
      <c r="BJ180" s="40">
        <f t="shared" si="2521"/>
        <v>0</v>
      </c>
      <c r="BK180" s="40">
        <f t="shared" si="2521"/>
        <v>0</v>
      </c>
      <c r="BL180" s="40">
        <f t="shared" si="2521"/>
        <v>0</v>
      </c>
      <c r="BM180" s="40">
        <f t="shared" si="2521"/>
        <v>0</v>
      </c>
      <c r="BN180" s="40">
        <f t="shared" si="2521"/>
        <v>0</v>
      </c>
      <c r="BO180" s="40">
        <f t="shared" si="2521"/>
        <v>0</v>
      </c>
      <c r="BP180" s="40">
        <f t="shared" si="2521"/>
        <v>0</v>
      </c>
      <c r="BQ180" s="40">
        <f t="shared" si="2521"/>
        <v>0</v>
      </c>
      <c r="BR180" s="40">
        <f t="shared" si="2521"/>
        <v>0</v>
      </c>
    </row>
    <row r="181" spans="1:70" s="6" customFormat="1" outlineLevel="2" x14ac:dyDescent="0.2">
      <c r="A181" s="30"/>
      <c r="B181" s="29" t="str">
        <f t="shared" si="2362"/>
        <v>Итого сторно резерва годового бонуса</v>
      </c>
      <c r="C181" s="52" t="str">
        <f t="shared" si="2362"/>
        <v>Total  Reverse Bonus discretionary Accrual</v>
      </c>
      <c r="D181" s="169">
        <f>SUM(D179:D180)</f>
        <v>0</v>
      </c>
      <c r="E181" s="26">
        <f>SUM(E179:E180)</f>
        <v>0</v>
      </c>
      <c r="F181" s="26">
        <f>SUM(F179:F180)</f>
        <v>0</v>
      </c>
      <c r="G181" s="26">
        <f t="shared" ref="G181:P181" si="2522">SUM(G179:G180)</f>
        <v>0</v>
      </c>
      <c r="H181" s="26">
        <f t="shared" si="2522"/>
        <v>0</v>
      </c>
      <c r="I181" s="26">
        <f t="shared" si="2522"/>
        <v>0</v>
      </c>
      <c r="J181" s="26">
        <f t="shared" si="2522"/>
        <v>0</v>
      </c>
      <c r="K181" s="26">
        <f t="shared" si="2522"/>
        <v>0</v>
      </c>
      <c r="L181" s="26">
        <f t="shared" si="2522"/>
        <v>0</v>
      </c>
      <c r="M181" s="26">
        <f t="shared" si="2522"/>
        <v>0</v>
      </c>
      <c r="N181" s="26">
        <f t="shared" si="2522"/>
        <v>0</v>
      </c>
      <c r="O181" s="26">
        <f t="shared" si="2522"/>
        <v>0</v>
      </c>
      <c r="P181" s="177">
        <f t="shared" si="2522"/>
        <v>0</v>
      </c>
      <c r="Q181" s="192">
        <f>SUM(Q179:Q180)</f>
        <v>0</v>
      </c>
      <c r="R181" s="26">
        <f>SUM(R179:R180)</f>
        <v>0</v>
      </c>
      <c r="S181" s="26">
        <f>SUM(S179:S180)</f>
        <v>0</v>
      </c>
      <c r="T181" s="26">
        <f t="shared" ref="T181" si="2523">SUM(T179:T180)</f>
        <v>0</v>
      </c>
      <c r="U181" s="26">
        <f t="shared" ref="U181" si="2524">SUM(U179:U180)</f>
        <v>0</v>
      </c>
      <c r="V181" s="26">
        <f t="shared" ref="V181" si="2525">SUM(V179:V180)</f>
        <v>0</v>
      </c>
      <c r="W181" s="26">
        <f t="shared" ref="W181" si="2526">SUM(W179:W180)</f>
        <v>0</v>
      </c>
      <c r="X181" s="26">
        <f t="shared" ref="X181" si="2527">SUM(X179:X180)</f>
        <v>0</v>
      </c>
      <c r="Y181" s="26">
        <f t="shared" ref="Y181" si="2528">SUM(Y179:Y180)</f>
        <v>0</v>
      </c>
      <c r="Z181" s="26">
        <f t="shared" ref="Z181" si="2529">SUM(Z179:Z180)</f>
        <v>0</v>
      </c>
      <c r="AA181" s="26">
        <f t="shared" ref="AA181" si="2530">SUM(AA179:AA180)</f>
        <v>0</v>
      </c>
      <c r="AB181" s="26">
        <f t="shared" ref="AB181" si="2531">SUM(AB179:AB180)</f>
        <v>0</v>
      </c>
      <c r="AC181" s="177">
        <f t="shared" ref="AC181" si="2532">SUM(AC179:AC180)</f>
        <v>0</v>
      </c>
      <c r="AD181" s="226">
        <f>SUM(AD179:AD180)</f>
        <v>0</v>
      </c>
      <c r="AE181" s="26">
        <f>SUM(AE179:AE180)</f>
        <v>0</v>
      </c>
      <c r="AF181" s="26">
        <f>SUM(AF179:AF180)</f>
        <v>0</v>
      </c>
      <c r="AG181" s="26">
        <f t="shared" ref="AG181" si="2533">SUM(AG179:AG180)</f>
        <v>0</v>
      </c>
      <c r="AH181" s="26">
        <f t="shared" ref="AH181" si="2534">SUM(AH179:AH180)</f>
        <v>0</v>
      </c>
      <c r="AI181" s="26">
        <f t="shared" ref="AI181" si="2535">SUM(AI179:AI180)</f>
        <v>0</v>
      </c>
      <c r="AJ181" s="26">
        <f t="shared" ref="AJ181" si="2536">SUM(AJ179:AJ180)</f>
        <v>0</v>
      </c>
      <c r="AK181" s="26">
        <f t="shared" ref="AK181" si="2537">SUM(AK179:AK180)</f>
        <v>0</v>
      </c>
      <c r="AL181" s="26">
        <f t="shared" ref="AL181" si="2538">SUM(AL179:AL180)</f>
        <v>0</v>
      </c>
      <c r="AM181" s="26">
        <f t="shared" ref="AM181" si="2539">SUM(AM179:AM180)</f>
        <v>0</v>
      </c>
      <c r="AN181" s="26">
        <f t="shared" ref="AN181" si="2540">SUM(AN179:AN180)</f>
        <v>0</v>
      </c>
      <c r="AO181" s="26">
        <f t="shared" ref="AO181" si="2541">SUM(AO179:AO180)</f>
        <v>0</v>
      </c>
      <c r="AP181" s="26">
        <f t="shared" ref="AP181" si="2542">SUM(AP179:AP180)</f>
        <v>0</v>
      </c>
      <c r="AQ181" s="169">
        <f>SUM(AQ179:AQ180)</f>
        <v>0</v>
      </c>
      <c r="AR181" s="26"/>
      <c r="AS181" s="26">
        <f>SUM(AS179:AS180)</f>
        <v>0</v>
      </c>
      <c r="AT181" s="26">
        <f>SUM(AT179:AT180)</f>
        <v>0</v>
      </c>
      <c r="AU181" s="26">
        <f t="shared" ref="AU181" si="2543">SUM(AU179:AU180)</f>
        <v>0</v>
      </c>
      <c r="AV181" s="26">
        <f t="shared" ref="AV181" si="2544">SUM(AV179:AV180)</f>
        <v>0</v>
      </c>
      <c r="AW181" s="26">
        <f t="shared" ref="AW181" si="2545">SUM(AW179:AW180)</f>
        <v>0</v>
      </c>
      <c r="AX181" s="26">
        <f t="shared" ref="AX181" si="2546">SUM(AX179:AX180)</f>
        <v>0</v>
      </c>
      <c r="AY181" s="26">
        <f t="shared" ref="AY181" si="2547">SUM(AY179:AY180)</f>
        <v>0</v>
      </c>
      <c r="AZ181" s="26">
        <f t="shared" ref="AZ181" si="2548">SUM(AZ179:AZ180)</f>
        <v>0</v>
      </c>
      <c r="BA181" s="26">
        <f t="shared" ref="BA181" si="2549">SUM(BA179:BA180)</f>
        <v>0</v>
      </c>
      <c r="BB181" s="26">
        <f t="shared" ref="BB181" si="2550">SUM(BB179:BB180)</f>
        <v>0</v>
      </c>
      <c r="BC181" s="26">
        <f t="shared" ref="BC181" si="2551">SUM(BC179:BC180)</f>
        <v>0</v>
      </c>
      <c r="BD181" s="177">
        <f t="shared" ref="BD181" si="2552">SUM(BD179:BD180)</f>
        <v>0</v>
      </c>
      <c r="BE181" s="192">
        <f t="shared" si="1567"/>
        <v>0</v>
      </c>
      <c r="BF181" s="26"/>
      <c r="BG181" s="26">
        <f>SUM(BG179:BG180)</f>
        <v>0</v>
      </c>
      <c r="BH181" s="26">
        <f>SUM(BH179:BH180)</f>
        <v>0</v>
      </c>
      <c r="BI181" s="26">
        <f t="shared" ref="BI181" si="2553">SUM(BI179:BI180)</f>
        <v>0</v>
      </c>
      <c r="BJ181" s="26">
        <f t="shared" ref="BJ181" si="2554">SUM(BJ179:BJ180)</f>
        <v>0</v>
      </c>
      <c r="BK181" s="26">
        <f t="shared" ref="BK181" si="2555">SUM(BK179:BK180)</f>
        <v>0</v>
      </c>
      <c r="BL181" s="26">
        <f t="shared" ref="BL181" si="2556">SUM(BL179:BL180)</f>
        <v>0</v>
      </c>
      <c r="BM181" s="26">
        <f t="shared" ref="BM181" si="2557">SUM(BM179:BM180)</f>
        <v>0</v>
      </c>
      <c r="BN181" s="26">
        <f t="shared" ref="BN181" si="2558">SUM(BN179:BN180)</f>
        <v>0</v>
      </c>
      <c r="BO181" s="26">
        <f t="shared" ref="BO181" si="2559">SUM(BO179:BO180)</f>
        <v>0</v>
      </c>
      <c r="BP181" s="26">
        <f t="shared" ref="BP181" si="2560">SUM(BP179:BP180)</f>
        <v>0</v>
      </c>
      <c r="BQ181" s="26">
        <f t="shared" ref="BQ181" si="2561">SUM(BQ179:BQ180)</f>
        <v>0</v>
      </c>
      <c r="BR181" s="26">
        <f t="shared" ref="BR181" si="2562">SUM(BR179:BR180)</f>
        <v>0</v>
      </c>
    </row>
    <row r="182" spans="1:70" ht="12.75" customHeight="1" outlineLevel="3" x14ac:dyDescent="0.2">
      <c r="B182" s="38" t="str">
        <f t="shared" si="2362"/>
        <v>Годовой бонус</v>
      </c>
      <c r="C182" s="49" t="str">
        <f t="shared" si="2362"/>
        <v>Bonus discretionary cash</v>
      </c>
      <c r="D182" s="168">
        <f t="shared" ref="D182:F183" si="2563">D62-D125</f>
        <v>701098647.87403393</v>
      </c>
      <c r="E182" s="40">
        <f t="shared" si="2563"/>
        <v>701098647.87403357</v>
      </c>
      <c r="F182" s="40">
        <f t="shared" si="2563"/>
        <v>0</v>
      </c>
      <c r="G182" s="40">
        <f t="shared" ref="G182:P183" si="2564">G62-G125</f>
        <v>0</v>
      </c>
      <c r="H182" s="40">
        <f t="shared" si="2564"/>
        <v>0</v>
      </c>
      <c r="I182" s="40">
        <f t="shared" si="2564"/>
        <v>0</v>
      </c>
      <c r="J182" s="40">
        <f t="shared" si="2564"/>
        <v>0</v>
      </c>
      <c r="K182" s="40">
        <f t="shared" si="2564"/>
        <v>0</v>
      </c>
      <c r="L182" s="40">
        <f t="shared" si="2564"/>
        <v>0</v>
      </c>
      <c r="M182" s="40">
        <f t="shared" si="2564"/>
        <v>0</v>
      </c>
      <c r="N182" s="40">
        <f t="shared" si="2564"/>
        <v>0</v>
      </c>
      <c r="O182" s="40">
        <f t="shared" si="2564"/>
        <v>0</v>
      </c>
      <c r="P182" s="176">
        <f t="shared" si="2564"/>
        <v>0</v>
      </c>
      <c r="Q182" s="191">
        <f t="shared" ref="Q182:S183" si="2565">Q62-Q125</f>
        <v>701098647.87403393</v>
      </c>
      <c r="R182" s="40">
        <f t="shared" si="2565"/>
        <v>701098647.87403357</v>
      </c>
      <c r="S182" s="40">
        <f t="shared" si="2565"/>
        <v>0</v>
      </c>
      <c r="T182" s="40">
        <f t="shared" ref="T182:AC182" si="2566">T62-T125</f>
        <v>0</v>
      </c>
      <c r="U182" s="40">
        <f t="shared" si="2566"/>
        <v>0</v>
      </c>
      <c r="V182" s="40">
        <f t="shared" si="2566"/>
        <v>0</v>
      </c>
      <c r="W182" s="40">
        <f t="shared" si="2566"/>
        <v>0</v>
      </c>
      <c r="X182" s="40">
        <f t="shared" si="2566"/>
        <v>0</v>
      </c>
      <c r="Y182" s="40">
        <f t="shared" si="2566"/>
        <v>0</v>
      </c>
      <c r="Z182" s="40">
        <f t="shared" si="2566"/>
        <v>0</v>
      </c>
      <c r="AA182" s="40">
        <f t="shared" si="2566"/>
        <v>0</v>
      </c>
      <c r="AB182" s="40">
        <f t="shared" si="2566"/>
        <v>0</v>
      </c>
      <c r="AC182" s="176">
        <f t="shared" si="2566"/>
        <v>0</v>
      </c>
      <c r="AD182" s="225">
        <f t="shared" ref="AD182:AF183" si="2567">AD62-AD125</f>
        <v>701098647.87403393</v>
      </c>
      <c r="AE182" s="40">
        <f t="shared" si="2567"/>
        <v>701098647.87403357</v>
      </c>
      <c r="AF182" s="40">
        <f t="shared" si="2567"/>
        <v>0</v>
      </c>
      <c r="AG182" s="40">
        <f t="shared" ref="AG182:AP182" si="2568">AG62-AG125</f>
        <v>0</v>
      </c>
      <c r="AH182" s="40">
        <f t="shared" si="2568"/>
        <v>0</v>
      </c>
      <c r="AI182" s="40">
        <f t="shared" si="2568"/>
        <v>0</v>
      </c>
      <c r="AJ182" s="40">
        <f t="shared" si="2568"/>
        <v>0</v>
      </c>
      <c r="AK182" s="40">
        <f t="shared" si="2568"/>
        <v>0</v>
      </c>
      <c r="AL182" s="40">
        <f t="shared" si="2568"/>
        <v>0</v>
      </c>
      <c r="AM182" s="40">
        <f t="shared" si="2568"/>
        <v>0</v>
      </c>
      <c r="AN182" s="40">
        <f t="shared" si="2568"/>
        <v>0</v>
      </c>
      <c r="AO182" s="40">
        <f t="shared" si="2568"/>
        <v>0</v>
      </c>
      <c r="AP182" s="40">
        <f t="shared" si="2568"/>
        <v>0</v>
      </c>
      <c r="AQ182" s="168">
        <f>AQ62-AQ125</f>
        <v>0</v>
      </c>
      <c r="AR182" s="40"/>
      <c r="AS182" s="40">
        <f>AS62-AS125</f>
        <v>701098647.87403357</v>
      </c>
      <c r="AT182" s="40">
        <f>AT62-AT125</f>
        <v>0</v>
      </c>
      <c r="AU182" s="40">
        <f t="shared" ref="AU182:BD182" si="2569">AU62-AU125</f>
        <v>0</v>
      </c>
      <c r="AV182" s="40">
        <f t="shared" si="2569"/>
        <v>0</v>
      </c>
      <c r="AW182" s="40">
        <f t="shared" si="2569"/>
        <v>0</v>
      </c>
      <c r="AX182" s="40">
        <f t="shared" si="2569"/>
        <v>0</v>
      </c>
      <c r="AY182" s="40">
        <f t="shared" si="2569"/>
        <v>0</v>
      </c>
      <c r="AZ182" s="40">
        <f t="shared" si="2569"/>
        <v>0</v>
      </c>
      <c r="BA182" s="40">
        <f t="shared" si="2569"/>
        <v>0</v>
      </c>
      <c r="BB182" s="40">
        <f t="shared" si="2569"/>
        <v>0</v>
      </c>
      <c r="BC182" s="40">
        <f t="shared" si="2569"/>
        <v>0</v>
      </c>
      <c r="BD182" s="176">
        <f t="shared" si="2569"/>
        <v>0</v>
      </c>
      <c r="BE182" s="191">
        <f t="shared" si="1567"/>
        <v>0</v>
      </c>
      <c r="BF182" s="40"/>
      <c r="BG182" s="40">
        <f>BG62-BG125</f>
        <v>701098647.87403357</v>
      </c>
      <c r="BH182" s="40">
        <f>BH62-BH125</f>
        <v>0</v>
      </c>
      <c r="BI182" s="40">
        <f t="shared" ref="BI182:BR182" si="2570">BI62-BI125</f>
        <v>0</v>
      </c>
      <c r="BJ182" s="40">
        <f t="shared" si="2570"/>
        <v>0</v>
      </c>
      <c r="BK182" s="40">
        <f t="shared" si="2570"/>
        <v>0</v>
      </c>
      <c r="BL182" s="40">
        <f t="shared" si="2570"/>
        <v>0</v>
      </c>
      <c r="BM182" s="40">
        <f t="shared" si="2570"/>
        <v>0</v>
      </c>
      <c r="BN182" s="40">
        <f t="shared" si="2570"/>
        <v>0</v>
      </c>
      <c r="BO182" s="40">
        <f t="shared" si="2570"/>
        <v>0</v>
      </c>
      <c r="BP182" s="40">
        <f t="shared" si="2570"/>
        <v>0</v>
      </c>
      <c r="BQ182" s="40">
        <f t="shared" si="2570"/>
        <v>0</v>
      </c>
      <c r="BR182" s="40">
        <f t="shared" si="2570"/>
        <v>0</v>
      </c>
    </row>
    <row r="183" spans="1:70" ht="12.75" customHeight="1" outlineLevel="3" x14ac:dyDescent="0.2">
      <c r="B183" s="38" t="str">
        <f t="shared" si="2362"/>
        <v>Страховые взносы, годовой бонус</v>
      </c>
      <c r="C183" s="49" t="str">
        <f t="shared" si="2362"/>
        <v>Social Security on discretionary Bonus cash</v>
      </c>
      <c r="D183" s="171">
        <f t="shared" si="2563"/>
        <v>57630515.471694231</v>
      </c>
      <c r="E183" s="35">
        <f t="shared" si="2563"/>
        <v>57630515.471696198</v>
      </c>
      <c r="F183" s="35">
        <f t="shared" si="2563"/>
        <v>-1.6391277313232422E-7</v>
      </c>
      <c r="G183" s="35">
        <f t="shared" si="2564"/>
        <v>-1.6391277313232422E-7</v>
      </c>
      <c r="H183" s="35">
        <f t="shared" si="2564"/>
        <v>-1.6391277313232422E-7</v>
      </c>
      <c r="I183" s="35">
        <f t="shared" si="2564"/>
        <v>-1.6391277313232422E-7</v>
      </c>
      <c r="J183" s="35">
        <f t="shared" si="2564"/>
        <v>-1.6391277313232422E-7</v>
      </c>
      <c r="K183" s="35">
        <f t="shared" si="2564"/>
        <v>-1.6391277313232422E-7</v>
      </c>
      <c r="L183" s="35">
        <f t="shared" si="2564"/>
        <v>-1.6391277313232422E-7</v>
      </c>
      <c r="M183" s="35">
        <f t="shared" si="2564"/>
        <v>-1.6391277313232422E-7</v>
      </c>
      <c r="N183" s="35">
        <f t="shared" si="2564"/>
        <v>-1.6391277313232422E-7</v>
      </c>
      <c r="O183" s="35">
        <f t="shared" si="2564"/>
        <v>-1.6391277313232422E-7</v>
      </c>
      <c r="P183" s="179">
        <f t="shared" si="2564"/>
        <v>-1.6391277313232422E-7</v>
      </c>
      <c r="Q183" s="194">
        <f t="shared" si="2565"/>
        <v>57630515.471694231</v>
      </c>
      <c r="R183" s="35">
        <f t="shared" si="2565"/>
        <v>57630515.471696198</v>
      </c>
      <c r="S183" s="35">
        <f t="shared" si="2565"/>
        <v>-1.6391277313232422E-7</v>
      </c>
      <c r="T183" s="35">
        <f t="shared" ref="T183:AC183" si="2571">T63-T126</f>
        <v>-1.6391277313232422E-7</v>
      </c>
      <c r="U183" s="35">
        <f t="shared" si="2571"/>
        <v>-1.6391277313232422E-7</v>
      </c>
      <c r="V183" s="35">
        <f t="shared" si="2571"/>
        <v>-1.6391277313232422E-7</v>
      </c>
      <c r="W183" s="35">
        <f t="shared" si="2571"/>
        <v>-1.6391277313232422E-7</v>
      </c>
      <c r="X183" s="35">
        <f t="shared" si="2571"/>
        <v>-1.6391277313232422E-7</v>
      </c>
      <c r="Y183" s="35">
        <f t="shared" si="2571"/>
        <v>-1.6391277313232422E-7</v>
      </c>
      <c r="Z183" s="35">
        <f t="shared" si="2571"/>
        <v>-1.6391277313232422E-7</v>
      </c>
      <c r="AA183" s="35">
        <f t="shared" si="2571"/>
        <v>-1.6391277313232422E-7</v>
      </c>
      <c r="AB183" s="35">
        <f t="shared" si="2571"/>
        <v>-1.6391277313232422E-7</v>
      </c>
      <c r="AC183" s="179">
        <f t="shared" si="2571"/>
        <v>-1.6391277313232422E-7</v>
      </c>
      <c r="AD183" s="225">
        <f t="shared" si="2567"/>
        <v>57630515.471694231</v>
      </c>
      <c r="AE183" s="35">
        <f t="shared" si="2567"/>
        <v>57630515.471696198</v>
      </c>
      <c r="AF183" s="35">
        <f t="shared" si="2567"/>
        <v>-1.6391277313232422E-7</v>
      </c>
      <c r="AG183" s="35">
        <f t="shared" ref="AG183:AP183" si="2572">AG63-AG126</f>
        <v>-1.6391277313232422E-7</v>
      </c>
      <c r="AH183" s="35">
        <f t="shared" si="2572"/>
        <v>-1.6391277313232422E-7</v>
      </c>
      <c r="AI183" s="35">
        <f t="shared" si="2572"/>
        <v>-1.6391277313232422E-7</v>
      </c>
      <c r="AJ183" s="35">
        <f t="shared" si="2572"/>
        <v>-1.6391277313232422E-7</v>
      </c>
      <c r="AK183" s="35">
        <f t="shared" si="2572"/>
        <v>-1.6391277313232422E-7</v>
      </c>
      <c r="AL183" s="35">
        <f t="shared" si="2572"/>
        <v>-1.6391277313232422E-7</v>
      </c>
      <c r="AM183" s="35">
        <f t="shared" si="2572"/>
        <v>-1.6391277313232422E-7</v>
      </c>
      <c r="AN183" s="35">
        <f t="shared" si="2572"/>
        <v>-1.6391277313232422E-7</v>
      </c>
      <c r="AO183" s="35">
        <f t="shared" si="2572"/>
        <v>-1.6391277313232422E-7</v>
      </c>
      <c r="AP183" s="35">
        <f t="shared" si="2572"/>
        <v>-1.6391277313232422E-7</v>
      </c>
      <c r="AQ183" s="171">
        <f>AQ63-AQ126</f>
        <v>0</v>
      </c>
      <c r="AR183" s="35"/>
      <c r="AS183" s="35">
        <f>AS63-AS126</f>
        <v>57630515.471696198</v>
      </c>
      <c r="AT183" s="35">
        <f>AT63-AT126</f>
        <v>-1.6391277313232422E-7</v>
      </c>
      <c r="AU183" s="35">
        <f t="shared" ref="AU183:BD183" si="2573">AU63-AU126</f>
        <v>-1.6391277313232422E-7</v>
      </c>
      <c r="AV183" s="35">
        <f t="shared" si="2573"/>
        <v>-1.6391277313232422E-7</v>
      </c>
      <c r="AW183" s="35">
        <f t="shared" si="2573"/>
        <v>-1.6391277313232422E-7</v>
      </c>
      <c r="AX183" s="35">
        <f t="shared" si="2573"/>
        <v>-1.6391277313232422E-7</v>
      </c>
      <c r="AY183" s="35">
        <f t="shared" si="2573"/>
        <v>-1.6391277313232422E-7</v>
      </c>
      <c r="AZ183" s="35">
        <f t="shared" si="2573"/>
        <v>-1.6391277313232422E-7</v>
      </c>
      <c r="BA183" s="35">
        <f t="shared" si="2573"/>
        <v>-1.6391277313232422E-7</v>
      </c>
      <c r="BB183" s="35">
        <f t="shared" si="2573"/>
        <v>-1.6391277313232422E-7</v>
      </c>
      <c r="BC183" s="35">
        <f t="shared" si="2573"/>
        <v>-1.6391277313232422E-7</v>
      </c>
      <c r="BD183" s="179">
        <f t="shared" si="2573"/>
        <v>-1.6391277313232422E-7</v>
      </c>
      <c r="BE183" s="194">
        <f t="shared" si="1567"/>
        <v>0</v>
      </c>
      <c r="BF183" s="35"/>
      <c r="BG183" s="35">
        <f>BG63-BG126</f>
        <v>57630515.471696198</v>
      </c>
      <c r="BH183" s="35">
        <f>BH63-BH126</f>
        <v>-1.6391277313232422E-7</v>
      </c>
      <c r="BI183" s="35">
        <f t="shared" ref="BI183:BR183" si="2574">BI63-BI126</f>
        <v>-1.6391277313232422E-7</v>
      </c>
      <c r="BJ183" s="35">
        <f t="shared" si="2574"/>
        <v>-1.6391277313232422E-7</v>
      </c>
      <c r="BK183" s="35">
        <f t="shared" si="2574"/>
        <v>-1.6391277313232422E-7</v>
      </c>
      <c r="BL183" s="35">
        <f t="shared" si="2574"/>
        <v>-1.6391277313232422E-7</v>
      </c>
      <c r="BM183" s="35">
        <f t="shared" si="2574"/>
        <v>-1.6391277313232422E-7</v>
      </c>
      <c r="BN183" s="35">
        <f t="shared" si="2574"/>
        <v>-1.6391277313232422E-7</v>
      </c>
      <c r="BO183" s="35">
        <f t="shared" si="2574"/>
        <v>-1.6391277313232422E-7</v>
      </c>
      <c r="BP183" s="35">
        <f t="shared" si="2574"/>
        <v>-1.6391277313232422E-7</v>
      </c>
      <c r="BQ183" s="35">
        <f t="shared" si="2574"/>
        <v>-1.6391277313232422E-7</v>
      </c>
      <c r="BR183" s="35">
        <f t="shared" si="2574"/>
        <v>-1.6391277313232422E-7</v>
      </c>
    </row>
    <row r="184" spans="1:70" s="6" customFormat="1" outlineLevel="2" x14ac:dyDescent="0.2">
      <c r="A184" s="30"/>
      <c r="B184" s="29" t="str">
        <f t="shared" si="2362"/>
        <v>Итого годовой бонус</v>
      </c>
      <c r="C184" s="165" t="str">
        <f t="shared" si="2362"/>
        <v>Total Bonus discretionary cash</v>
      </c>
      <c r="D184" s="169">
        <f>SUM(D182:D183)</f>
        <v>758729163.34572816</v>
      </c>
      <c r="E184" s="26">
        <f>SUM(E182:E183)</f>
        <v>758729163.34572983</v>
      </c>
      <c r="F184" s="26">
        <f>SUM(F182:F183)</f>
        <v>-1.6391277313232422E-7</v>
      </c>
      <c r="G184" s="26">
        <f t="shared" ref="G184:P184" si="2575">SUM(G182:G183)</f>
        <v>-1.6391277313232422E-7</v>
      </c>
      <c r="H184" s="26">
        <f t="shared" si="2575"/>
        <v>-1.6391277313232422E-7</v>
      </c>
      <c r="I184" s="26">
        <f t="shared" si="2575"/>
        <v>-1.6391277313232422E-7</v>
      </c>
      <c r="J184" s="26">
        <f t="shared" si="2575"/>
        <v>-1.6391277313232422E-7</v>
      </c>
      <c r="K184" s="26">
        <f t="shared" si="2575"/>
        <v>-1.6391277313232422E-7</v>
      </c>
      <c r="L184" s="26">
        <f t="shared" si="2575"/>
        <v>-1.6391277313232422E-7</v>
      </c>
      <c r="M184" s="26">
        <f t="shared" si="2575"/>
        <v>-1.6391277313232422E-7</v>
      </c>
      <c r="N184" s="26">
        <f t="shared" si="2575"/>
        <v>-1.6391277313232422E-7</v>
      </c>
      <c r="O184" s="26">
        <f t="shared" si="2575"/>
        <v>-1.6391277313232422E-7</v>
      </c>
      <c r="P184" s="177">
        <f t="shared" si="2575"/>
        <v>-1.6391277313232422E-7</v>
      </c>
      <c r="Q184" s="192">
        <f>SUM(Q182:Q183)</f>
        <v>758729163.34572816</v>
      </c>
      <c r="R184" s="26">
        <f>SUM(R182:R183)</f>
        <v>758729163.34572983</v>
      </c>
      <c r="S184" s="26">
        <f>SUM(S182:S183)</f>
        <v>-1.6391277313232422E-7</v>
      </c>
      <c r="T184" s="26">
        <f t="shared" ref="T184" si="2576">SUM(T182:T183)</f>
        <v>-1.6391277313232422E-7</v>
      </c>
      <c r="U184" s="26">
        <f t="shared" ref="U184" si="2577">SUM(U182:U183)</f>
        <v>-1.6391277313232422E-7</v>
      </c>
      <c r="V184" s="26">
        <f t="shared" ref="V184" si="2578">SUM(V182:V183)</f>
        <v>-1.6391277313232422E-7</v>
      </c>
      <c r="W184" s="26">
        <f t="shared" ref="W184" si="2579">SUM(W182:W183)</f>
        <v>-1.6391277313232422E-7</v>
      </c>
      <c r="X184" s="26">
        <f t="shared" ref="X184" si="2580">SUM(X182:X183)</f>
        <v>-1.6391277313232422E-7</v>
      </c>
      <c r="Y184" s="26">
        <f t="shared" ref="Y184" si="2581">SUM(Y182:Y183)</f>
        <v>-1.6391277313232422E-7</v>
      </c>
      <c r="Z184" s="26">
        <f t="shared" ref="Z184" si="2582">SUM(Z182:Z183)</f>
        <v>-1.6391277313232422E-7</v>
      </c>
      <c r="AA184" s="26">
        <f t="shared" ref="AA184" si="2583">SUM(AA182:AA183)</f>
        <v>-1.6391277313232422E-7</v>
      </c>
      <c r="AB184" s="26">
        <f t="shared" ref="AB184" si="2584">SUM(AB182:AB183)</f>
        <v>-1.6391277313232422E-7</v>
      </c>
      <c r="AC184" s="177">
        <f t="shared" ref="AC184" si="2585">SUM(AC182:AC183)</f>
        <v>-1.6391277313232422E-7</v>
      </c>
      <c r="AD184" s="226">
        <f>SUM(AD182:AD183)</f>
        <v>758729163.34572816</v>
      </c>
      <c r="AE184" s="26">
        <f>SUM(AE182:AE183)</f>
        <v>758729163.34572983</v>
      </c>
      <c r="AF184" s="26">
        <f>SUM(AF182:AF183)</f>
        <v>-1.6391277313232422E-7</v>
      </c>
      <c r="AG184" s="26">
        <f t="shared" ref="AG184" si="2586">SUM(AG182:AG183)</f>
        <v>-1.6391277313232422E-7</v>
      </c>
      <c r="AH184" s="26">
        <f t="shared" ref="AH184" si="2587">SUM(AH182:AH183)</f>
        <v>-1.6391277313232422E-7</v>
      </c>
      <c r="AI184" s="26">
        <f t="shared" ref="AI184" si="2588">SUM(AI182:AI183)</f>
        <v>-1.6391277313232422E-7</v>
      </c>
      <c r="AJ184" s="26">
        <f t="shared" ref="AJ184" si="2589">SUM(AJ182:AJ183)</f>
        <v>-1.6391277313232422E-7</v>
      </c>
      <c r="AK184" s="26">
        <f t="shared" ref="AK184" si="2590">SUM(AK182:AK183)</f>
        <v>-1.6391277313232422E-7</v>
      </c>
      <c r="AL184" s="26">
        <f t="shared" ref="AL184" si="2591">SUM(AL182:AL183)</f>
        <v>-1.6391277313232422E-7</v>
      </c>
      <c r="AM184" s="26">
        <f t="shared" ref="AM184" si="2592">SUM(AM182:AM183)</f>
        <v>-1.6391277313232422E-7</v>
      </c>
      <c r="AN184" s="26">
        <f t="shared" ref="AN184" si="2593">SUM(AN182:AN183)</f>
        <v>-1.6391277313232422E-7</v>
      </c>
      <c r="AO184" s="26">
        <f t="shared" ref="AO184" si="2594">SUM(AO182:AO183)</f>
        <v>-1.6391277313232422E-7</v>
      </c>
      <c r="AP184" s="26">
        <f t="shared" ref="AP184" si="2595">SUM(AP182:AP183)</f>
        <v>-1.6391277313232422E-7</v>
      </c>
      <c r="AQ184" s="169">
        <f>SUM(AQ182:AQ183)</f>
        <v>0</v>
      </c>
      <c r="AR184" s="26"/>
      <c r="AS184" s="26">
        <f>SUM(AS182:AS183)</f>
        <v>758729163.34572983</v>
      </c>
      <c r="AT184" s="26">
        <f>SUM(AT182:AT183)</f>
        <v>-1.6391277313232422E-7</v>
      </c>
      <c r="AU184" s="26">
        <f t="shared" ref="AU184" si="2596">SUM(AU182:AU183)</f>
        <v>-1.6391277313232422E-7</v>
      </c>
      <c r="AV184" s="26">
        <f t="shared" ref="AV184" si="2597">SUM(AV182:AV183)</f>
        <v>-1.6391277313232422E-7</v>
      </c>
      <c r="AW184" s="26">
        <f t="shared" ref="AW184" si="2598">SUM(AW182:AW183)</f>
        <v>-1.6391277313232422E-7</v>
      </c>
      <c r="AX184" s="26">
        <f t="shared" ref="AX184" si="2599">SUM(AX182:AX183)</f>
        <v>-1.6391277313232422E-7</v>
      </c>
      <c r="AY184" s="26">
        <f t="shared" ref="AY184" si="2600">SUM(AY182:AY183)</f>
        <v>-1.6391277313232422E-7</v>
      </c>
      <c r="AZ184" s="26">
        <f t="shared" ref="AZ184" si="2601">SUM(AZ182:AZ183)</f>
        <v>-1.6391277313232422E-7</v>
      </c>
      <c r="BA184" s="26">
        <f t="shared" ref="BA184" si="2602">SUM(BA182:BA183)</f>
        <v>-1.6391277313232422E-7</v>
      </c>
      <c r="BB184" s="26">
        <f t="shared" ref="BB184" si="2603">SUM(BB182:BB183)</f>
        <v>-1.6391277313232422E-7</v>
      </c>
      <c r="BC184" s="26">
        <f t="shared" ref="BC184" si="2604">SUM(BC182:BC183)</f>
        <v>-1.6391277313232422E-7</v>
      </c>
      <c r="BD184" s="177">
        <f t="shared" ref="BD184" si="2605">SUM(BD182:BD183)</f>
        <v>-1.6391277313232422E-7</v>
      </c>
      <c r="BE184" s="192">
        <f t="shared" si="1567"/>
        <v>0</v>
      </c>
      <c r="BF184" s="26"/>
      <c r="BG184" s="26">
        <f>SUM(BG182:BG183)</f>
        <v>758729163.34572983</v>
      </c>
      <c r="BH184" s="26">
        <f>SUM(BH182:BH183)</f>
        <v>-1.6391277313232422E-7</v>
      </c>
      <c r="BI184" s="26">
        <f t="shared" ref="BI184" si="2606">SUM(BI182:BI183)</f>
        <v>-1.6391277313232422E-7</v>
      </c>
      <c r="BJ184" s="26">
        <f t="shared" ref="BJ184" si="2607">SUM(BJ182:BJ183)</f>
        <v>-1.6391277313232422E-7</v>
      </c>
      <c r="BK184" s="26">
        <f t="shared" ref="BK184" si="2608">SUM(BK182:BK183)</f>
        <v>-1.6391277313232422E-7</v>
      </c>
      <c r="BL184" s="26">
        <f t="shared" ref="BL184" si="2609">SUM(BL182:BL183)</f>
        <v>-1.6391277313232422E-7</v>
      </c>
      <c r="BM184" s="26">
        <f t="shared" ref="BM184" si="2610">SUM(BM182:BM183)</f>
        <v>-1.6391277313232422E-7</v>
      </c>
      <c r="BN184" s="26">
        <f t="shared" ref="BN184" si="2611">SUM(BN182:BN183)</f>
        <v>-1.6391277313232422E-7</v>
      </c>
      <c r="BO184" s="26">
        <f t="shared" ref="BO184" si="2612">SUM(BO182:BO183)</f>
        <v>-1.6391277313232422E-7</v>
      </c>
      <c r="BP184" s="26">
        <f t="shared" ref="BP184" si="2613">SUM(BP182:BP183)</f>
        <v>-1.6391277313232422E-7</v>
      </c>
      <c r="BQ184" s="26">
        <f t="shared" ref="BQ184" si="2614">SUM(BQ182:BQ183)</f>
        <v>-1.6391277313232422E-7</v>
      </c>
      <c r="BR184" s="26">
        <f t="shared" ref="BR184" si="2615">SUM(BR182:BR183)</f>
        <v>-1.6391277313232422E-7</v>
      </c>
    </row>
    <row r="185" spans="1:70" ht="15.75" customHeight="1" x14ac:dyDescent="0.2">
      <c r="B185" s="21" t="str">
        <f t="shared" si="2362"/>
        <v>Годовой бонус</v>
      </c>
      <c r="C185" s="164" t="str">
        <f t="shared" si="2362"/>
        <v>Bonus discretionary</v>
      </c>
      <c r="D185" s="172">
        <f>D184+D181+D178</f>
        <v>1107135967.3829179</v>
      </c>
      <c r="E185" s="18">
        <f>E184+E181+E178</f>
        <v>1107135967.3829193</v>
      </c>
      <c r="F185" s="18">
        <f>F184+F181+F178</f>
        <v>-1.6391277313232422E-7</v>
      </c>
      <c r="G185" s="18">
        <f t="shared" ref="G185:P185" si="2616">G184+G181+G178</f>
        <v>-1.6391277313232422E-7</v>
      </c>
      <c r="H185" s="18">
        <f t="shared" si="2616"/>
        <v>-1.6391277313232422E-7</v>
      </c>
      <c r="I185" s="18">
        <f t="shared" si="2616"/>
        <v>-1.6391277313232422E-7</v>
      </c>
      <c r="J185" s="18">
        <f t="shared" si="2616"/>
        <v>-1.6391277313232422E-7</v>
      </c>
      <c r="K185" s="18">
        <f t="shared" si="2616"/>
        <v>-1.6391277313232422E-7</v>
      </c>
      <c r="L185" s="18">
        <f t="shared" si="2616"/>
        <v>-1.6391277313232422E-7</v>
      </c>
      <c r="M185" s="18">
        <f t="shared" si="2616"/>
        <v>-1.6391277313232422E-7</v>
      </c>
      <c r="N185" s="18">
        <f t="shared" si="2616"/>
        <v>-1.6391277313232422E-7</v>
      </c>
      <c r="O185" s="18">
        <f t="shared" si="2616"/>
        <v>-1.6391277313232422E-7</v>
      </c>
      <c r="P185" s="180">
        <f t="shared" si="2616"/>
        <v>-1.6391277313232422E-7</v>
      </c>
      <c r="Q185" s="195">
        <f>Q184+Q181+Q178</f>
        <v>1107135967.3829179</v>
      </c>
      <c r="R185" s="18">
        <f>R184+R181+R178</f>
        <v>1107135967.3829193</v>
      </c>
      <c r="S185" s="18">
        <f>S184+S181+S178</f>
        <v>-1.6391277313232422E-7</v>
      </c>
      <c r="T185" s="18">
        <f t="shared" ref="T185" si="2617">T184+T181+T178</f>
        <v>-1.6391277313232422E-7</v>
      </c>
      <c r="U185" s="18">
        <f t="shared" ref="U185" si="2618">U184+U181+U178</f>
        <v>-1.6391277313232422E-7</v>
      </c>
      <c r="V185" s="18">
        <f t="shared" ref="V185" si="2619">V184+V181+V178</f>
        <v>-1.6391277313232422E-7</v>
      </c>
      <c r="W185" s="18">
        <f t="shared" ref="W185" si="2620">W184+W181+W178</f>
        <v>-1.6391277313232422E-7</v>
      </c>
      <c r="X185" s="18">
        <f t="shared" ref="X185" si="2621">X184+X181+X178</f>
        <v>-1.6391277313232422E-7</v>
      </c>
      <c r="Y185" s="18">
        <f t="shared" ref="Y185" si="2622">Y184+Y181+Y178</f>
        <v>-1.6391277313232422E-7</v>
      </c>
      <c r="Z185" s="18">
        <f t="shared" ref="Z185" si="2623">Z184+Z181+Z178</f>
        <v>-1.6391277313232422E-7</v>
      </c>
      <c r="AA185" s="18">
        <f t="shared" ref="AA185" si="2624">AA184+AA181+AA178</f>
        <v>-1.6391277313232422E-7</v>
      </c>
      <c r="AB185" s="18">
        <f t="shared" ref="AB185" si="2625">AB184+AB181+AB178</f>
        <v>-1.6391277313232422E-7</v>
      </c>
      <c r="AC185" s="180">
        <f t="shared" ref="AC185" si="2626">AC184+AC181+AC178</f>
        <v>-1.6391277313232422E-7</v>
      </c>
      <c r="AD185" s="228">
        <f>AD184+AD181+AD178</f>
        <v>1107135967.3829179</v>
      </c>
      <c r="AE185" s="18">
        <f>AE184+AE181+AE178</f>
        <v>1107135967.3829193</v>
      </c>
      <c r="AF185" s="18">
        <f>AF184+AF181+AF178</f>
        <v>-1.6391277313232422E-7</v>
      </c>
      <c r="AG185" s="18">
        <f t="shared" ref="AG185" si="2627">AG184+AG181+AG178</f>
        <v>-1.6391277313232422E-7</v>
      </c>
      <c r="AH185" s="18">
        <f t="shared" ref="AH185" si="2628">AH184+AH181+AH178</f>
        <v>-1.6391277313232422E-7</v>
      </c>
      <c r="AI185" s="18">
        <f t="shared" ref="AI185" si="2629">AI184+AI181+AI178</f>
        <v>-1.6391277313232422E-7</v>
      </c>
      <c r="AJ185" s="18">
        <f t="shared" ref="AJ185" si="2630">AJ184+AJ181+AJ178</f>
        <v>-1.6391277313232422E-7</v>
      </c>
      <c r="AK185" s="18">
        <f t="shared" ref="AK185" si="2631">AK184+AK181+AK178</f>
        <v>-1.6391277313232422E-7</v>
      </c>
      <c r="AL185" s="18">
        <f t="shared" ref="AL185" si="2632">AL184+AL181+AL178</f>
        <v>-1.6391277313232422E-7</v>
      </c>
      <c r="AM185" s="18">
        <f t="shared" ref="AM185" si="2633">AM184+AM181+AM178</f>
        <v>-1.6391277313232422E-7</v>
      </c>
      <c r="AN185" s="18">
        <f t="shared" ref="AN185" si="2634">AN184+AN181+AN178</f>
        <v>-1.6391277313232422E-7</v>
      </c>
      <c r="AO185" s="18">
        <f t="shared" ref="AO185" si="2635">AO184+AO181+AO178</f>
        <v>-1.6391277313232422E-7</v>
      </c>
      <c r="AP185" s="18">
        <f t="shared" ref="AP185" si="2636">AP184+AP181+AP178</f>
        <v>-1.6391277313232422E-7</v>
      </c>
      <c r="AQ185" s="172">
        <f>AQ184+AQ181+AQ178</f>
        <v>0</v>
      </c>
      <c r="AR185" s="18"/>
      <c r="AS185" s="18">
        <f>AS184+AS181+AS178</f>
        <v>1107135967.3829193</v>
      </c>
      <c r="AT185" s="18">
        <f>AT184+AT181+AT178</f>
        <v>-1.6391277313232422E-7</v>
      </c>
      <c r="AU185" s="18">
        <f t="shared" ref="AU185" si="2637">AU184+AU181+AU178</f>
        <v>-1.6391277313232422E-7</v>
      </c>
      <c r="AV185" s="18">
        <f t="shared" ref="AV185" si="2638">AV184+AV181+AV178</f>
        <v>-1.6391277313232422E-7</v>
      </c>
      <c r="AW185" s="18">
        <f t="shared" ref="AW185" si="2639">AW184+AW181+AW178</f>
        <v>-1.6391277313232422E-7</v>
      </c>
      <c r="AX185" s="18">
        <f t="shared" ref="AX185" si="2640">AX184+AX181+AX178</f>
        <v>-1.6391277313232422E-7</v>
      </c>
      <c r="AY185" s="18">
        <f t="shared" ref="AY185" si="2641">AY184+AY181+AY178</f>
        <v>-1.6391277313232422E-7</v>
      </c>
      <c r="AZ185" s="18">
        <f t="shared" ref="AZ185" si="2642">AZ184+AZ181+AZ178</f>
        <v>-1.6391277313232422E-7</v>
      </c>
      <c r="BA185" s="18">
        <f t="shared" ref="BA185" si="2643">BA184+BA181+BA178</f>
        <v>-1.6391277313232422E-7</v>
      </c>
      <c r="BB185" s="18">
        <f t="shared" ref="BB185" si="2644">BB184+BB181+BB178</f>
        <v>-1.6391277313232422E-7</v>
      </c>
      <c r="BC185" s="18">
        <f t="shared" ref="BC185" si="2645">BC184+BC181+BC178</f>
        <v>-1.6391277313232422E-7</v>
      </c>
      <c r="BD185" s="180">
        <f t="shared" ref="BD185" si="2646">BD184+BD181+BD178</f>
        <v>-1.6391277313232422E-7</v>
      </c>
      <c r="BE185" s="195">
        <f t="shared" si="1567"/>
        <v>0</v>
      </c>
      <c r="BF185" s="18"/>
      <c r="BG185" s="18">
        <f>BG184+BG181+BG178</f>
        <v>1107135967.3829193</v>
      </c>
      <c r="BH185" s="18">
        <f>BH184+BH181+BH178</f>
        <v>-1.6391277313232422E-7</v>
      </c>
      <c r="BI185" s="18">
        <f t="shared" ref="BI185" si="2647">BI184+BI181+BI178</f>
        <v>-1.6391277313232422E-7</v>
      </c>
      <c r="BJ185" s="18">
        <f t="shared" ref="BJ185" si="2648">BJ184+BJ181+BJ178</f>
        <v>-1.6391277313232422E-7</v>
      </c>
      <c r="BK185" s="18">
        <f t="shared" ref="BK185" si="2649">BK184+BK181+BK178</f>
        <v>-1.6391277313232422E-7</v>
      </c>
      <c r="BL185" s="18">
        <f t="shared" ref="BL185" si="2650">BL184+BL181+BL178</f>
        <v>-1.6391277313232422E-7</v>
      </c>
      <c r="BM185" s="18">
        <f t="shared" ref="BM185" si="2651">BM184+BM181+BM178</f>
        <v>-1.6391277313232422E-7</v>
      </c>
      <c r="BN185" s="18">
        <f t="shared" ref="BN185" si="2652">BN184+BN181+BN178</f>
        <v>-1.6391277313232422E-7</v>
      </c>
      <c r="BO185" s="18">
        <f t="shared" ref="BO185" si="2653">BO184+BO181+BO178</f>
        <v>-1.6391277313232422E-7</v>
      </c>
      <c r="BP185" s="18">
        <f t="shared" ref="BP185" si="2654">BP184+BP181+BP178</f>
        <v>-1.6391277313232422E-7</v>
      </c>
      <c r="BQ185" s="18">
        <f t="shared" ref="BQ185" si="2655">BQ184+BQ181+BQ178</f>
        <v>-1.6391277313232422E-7</v>
      </c>
      <c r="BR185" s="18">
        <f t="shared" ref="BR185" si="2656">BR184+BR181+BR178</f>
        <v>-1.6391277313232422E-7</v>
      </c>
    </row>
    <row r="186" spans="1:70" s="6" customFormat="1" ht="18.75" customHeight="1" x14ac:dyDescent="0.2">
      <c r="B186" s="13" t="str">
        <f t="shared" si="2362"/>
        <v>Итого компенсации и льготы</v>
      </c>
      <c r="C186" s="156" t="str">
        <f t="shared" si="2362"/>
        <v>Total Compencation &amp; Benefits</v>
      </c>
      <c r="D186" s="157">
        <f>D171+D185+D175</f>
        <v>981143815.23907638</v>
      </c>
      <c r="E186" s="11">
        <f>E171+E185+E175</f>
        <v>1109223061.0729194</v>
      </c>
      <c r="F186" s="11">
        <f>F171+F185+F175</f>
        <v>-11643567.80307664</v>
      </c>
      <c r="G186" s="11">
        <f t="shared" ref="G186:P186" si="2657">G171+G185+G175</f>
        <v>-11643567.80307664</v>
      </c>
      <c r="H186" s="11">
        <f t="shared" si="2657"/>
        <v>-11643567.80307664</v>
      </c>
      <c r="I186" s="11">
        <f t="shared" si="2657"/>
        <v>-11643567.80307664</v>
      </c>
      <c r="J186" s="11">
        <f t="shared" si="2657"/>
        <v>-11643567.80307664</v>
      </c>
      <c r="K186" s="11">
        <f t="shared" si="2657"/>
        <v>-11643567.80307664</v>
      </c>
      <c r="L186" s="11">
        <f t="shared" si="2657"/>
        <v>-11643567.80307664</v>
      </c>
      <c r="M186" s="11">
        <f t="shared" si="2657"/>
        <v>-11643567.80307664</v>
      </c>
      <c r="N186" s="11">
        <f t="shared" si="2657"/>
        <v>-11643567.80307664</v>
      </c>
      <c r="O186" s="11">
        <f t="shared" si="2657"/>
        <v>-11643567.80307664</v>
      </c>
      <c r="P186" s="181">
        <f t="shared" si="2657"/>
        <v>-11643567.80307664</v>
      </c>
      <c r="Q186" s="196">
        <f>Q171+Q185+Q175</f>
        <v>981143815.23907638</v>
      </c>
      <c r="R186" s="11">
        <f>R171+R185+R175</f>
        <v>1109223061.0729194</v>
      </c>
      <c r="S186" s="11">
        <f>S171+S185+S175</f>
        <v>-11643567.80307664</v>
      </c>
      <c r="T186" s="11">
        <f t="shared" ref="T186" si="2658">T171+T185+T175</f>
        <v>-11643567.80307664</v>
      </c>
      <c r="U186" s="11">
        <f t="shared" ref="U186" si="2659">U171+U185+U175</f>
        <v>-11643567.80307664</v>
      </c>
      <c r="V186" s="11">
        <f t="shared" ref="V186" si="2660">V171+V185+V175</f>
        <v>-11643567.80307664</v>
      </c>
      <c r="W186" s="11">
        <f t="shared" ref="W186" si="2661">W171+W185+W175</f>
        <v>-11643567.80307664</v>
      </c>
      <c r="X186" s="11">
        <f t="shared" ref="X186" si="2662">X171+X185+X175</f>
        <v>-11643567.80307664</v>
      </c>
      <c r="Y186" s="11">
        <f t="shared" ref="Y186" si="2663">Y171+Y185+Y175</f>
        <v>-11643567.80307664</v>
      </c>
      <c r="Z186" s="11">
        <f t="shared" ref="Z186" si="2664">Z171+Z185+Z175</f>
        <v>-11643567.80307664</v>
      </c>
      <c r="AA186" s="11">
        <f t="shared" ref="AA186" si="2665">AA171+AA185+AA175</f>
        <v>-11643567.80307664</v>
      </c>
      <c r="AB186" s="11">
        <f t="shared" ref="AB186" si="2666">AB171+AB185+AB175</f>
        <v>-11643567.80307664</v>
      </c>
      <c r="AC186" s="181">
        <f t="shared" ref="AC186" si="2667">AC171+AC185+AC175</f>
        <v>-11643567.80307664</v>
      </c>
      <c r="AD186" s="196">
        <f>AD171+AD185+AD175</f>
        <v>981143815.23907638</v>
      </c>
      <c r="AE186" s="11">
        <f>AE171+AE185+AE175</f>
        <v>1109223061.0729194</v>
      </c>
      <c r="AF186" s="11">
        <f>AF171+AF185+AF175</f>
        <v>-11643567.80307664</v>
      </c>
      <c r="AG186" s="11">
        <f t="shared" ref="AG186" si="2668">AG171+AG185+AG175</f>
        <v>-11643567.80307664</v>
      </c>
      <c r="AH186" s="11">
        <f t="shared" ref="AH186" si="2669">AH171+AH185+AH175</f>
        <v>-11643567.80307664</v>
      </c>
      <c r="AI186" s="11">
        <f t="shared" ref="AI186" si="2670">AI171+AI185+AI175</f>
        <v>-11643567.80307664</v>
      </c>
      <c r="AJ186" s="11">
        <f t="shared" ref="AJ186" si="2671">AJ171+AJ185+AJ175</f>
        <v>-11643567.80307664</v>
      </c>
      <c r="AK186" s="11">
        <f t="shared" ref="AK186" si="2672">AK171+AK185+AK175</f>
        <v>-11643567.80307664</v>
      </c>
      <c r="AL186" s="11">
        <f t="shared" ref="AL186" si="2673">AL171+AL185+AL175</f>
        <v>-11643567.80307664</v>
      </c>
      <c r="AM186" s="11">
        <f t="shared" ref="AM186" si="2674">AM171+AM185+AM175</f>
        <v>-11643567.80307664</v>
      </c>
      <c r="AN186" s="11">
        <f t="shared" ref="AN186" si="2675">AN171+AN185+AN175</f>
        <v>-11643567.80307664</v>
      </c>
      <c r="AO186" s="11">
        <f t="shared" ref="AO186" si="2676">AO171+AO185+AO175</f>
        <v>-11643567.80307664</v>
      </c>
      <c r="AP186" s="11">
        <f t="shared" ref="AP186" si="2677">AP171+AP185+AP175</f>
        <v>-11643567.80307664</v>
      </c>
      <c r="AQ186" s="157">
        <f>AQ171+AQ185+AQ175</f>
        <v>0</v>
      </c>
      <c r="AR186" s="11"/>
      <c r="AS186" s="11">
        <f>AS171+AS185+AS175</f>
        <v>1109223061.0729194</v>
      </c>
      <c r="AT186" s="11">
        <f>AT171+AT185+AT175</f>
        <v>-11643567.80307664</v>
      </c>
      <c r="AU186" s="11">
        <f t="shared" ref="AU186" si="2678">AU171+AU185+AU175</f>
        <v>-11643567.80307664</v>
      </c>
      <c r="AV186" s="11">
        <f t="shared" ref="AV186" si="2679">AV171+AV185+AV175</f>
        <v>-11643567.80307664</v>
      </c>
      <c r="AW186" s="11">
        <f t="shared" ref="AW186" si="2680">AW171+AW185+AW175</f>
        <v>-11643567.80307664</v>
      </c>
      <c r="AX186" s="11">
        <f t="shared" ref="AX186" si="2681">AX171+AX185+AX175</f>
        <v>-11643567.80307664</v>
      </c>
      <c r="AY186" s="11">
        <f t="shared" ref="AY186" si="2682">AY171+AY185+AY175</f>
        <v>-11643567.80307664</v>
      </c>
      <c r="AZ186" s="11">
        <f t="shared" ref="AZ186" si="2683">AZ171+AZ185+AZ175</f>
        <v>-11643567.80307664</v>
      </c>
      <c r="BA186" s="11">
        <f t="shared" ref="BA186" si="2684">BA171+BA185+BA175</f>
        <v>-11643567.80307664</v>
      </c>
      <c r="BB186" s="11">
        <f t="shared" ref="BB186" si="2685">BB171+BB185+BB175</f>
        <v>-11643567.80307664</v>
      </c>
      <c r="BC186" s="11">
        <f t="shared" ref="BC186" si="2686">BC171+BC185+BC175</f>
        <v>-11643567.80307664</v>
      </c>
      <c r="BD186" s="181">
        <f t="shared" ref="BD186" si="2687">BD171+BD185+BD175</f>
        <v>-11643567.80307664</v>
      </c>
      <c r="BE186" s="196">
        <f t="shared" si="1567"/>
        <v>0</v>
      </c>
      <c r="BF186" s="11"/>
      <c r="BG186" s="11">
        <f>BG171+BG185+BG175</f>
        <v>1109223061.0729194</v>
      </c>
      <c r="BH186" s="11">
        <f>BH171+BH185+BH175</f>
        <v>-11643567.80307664</v>
      </c>
      <c r="BI186" s="11">
        <f t="shared" ref="BI186" si="2688">BI171+BI185+BI175</f>
        <v>-11643567.80307664</v>
      </c>
      <c r="BJ186" s="11">
        <f t="shared" ref="BJ186" si="2689">BJ171+BJ185+BJ175</f>
        <v>-11643567.80307664</v>
      </c>
      <c r="BK186" s="11">
        <f t="shared" ref="BK186" si="2690">BK171+BK185+BK175</f>
        <v>-11643567.80307664</v>
      </c>
      <c r="BL186" s="11">
        <f t="shared" ref="BL186" si="2691">BL171+BL185+BL175</f>
        <v>-11643567.80307664</v>
      </c>
      <c r="BM186" s="11">
        <f t="shared" ref="BM186" si="2692">BM171+BM185+BM175</f>
        <v>-11643567.80307664</v>
      </c>
      <c r="BN186" s="11">
        <f t="shared" ref="BN186" si="2693">BN171+BN185+BN175</f>
        <v>-11643567.80307664</v>
      </c>
      <c r="BO186" s="11">
        <f t="shared" ref="BO186" si="2694">BO171+BO185+BO175</f>
        <v>-11643567.80307664</v>
      </c>
      <c r="BP186" s="11">
        <f t="shared" ref="BP186" si="2695">BP171+BP185+BP175</f>
        <v>-11643567.80307664</v>
      </c>
      <c r="BQ186" s="11">
        <f t="shared" ref="BQ186" si="2696">BQ171+BQ185+BQ175</f>
        <v>-11643567.80307664</v>
      </c>
      <c r="BR186" s="11">
        <f t="shared" ref="BR186" si="2697">BR171+BR185+BR175</f>
        <v>-11643567.80307664</v>
      </c>
    </row>
    <row r="187" spans="1:70" x14ac:dyDescent="0.2">
      <c r="O187" s="3"/>
      <c r="AB187" s="3"/>
      <c r="AO187" s="3"/>
      <c r="BC187" s="3"/>
      <c r="BQ187" s="3"/>
    </row>
    <row r="188" spans="1:70" x14ac:dyDescent="0.2">
      <c r="O188" s="3"/>
      <c r="AB188" s="3"/>
      <c r="AO188" s="3"/>
      <c r="BC188" s="3"/>
      <c r="BQ188" s="3"/>
    </row>
    <row r="189" spans="1:70" x14ac:dyDescent="0.2">
      <c r="A189" s="5">
        <v>1</v>
      </c>
      <c r="B189" s="219" t="s">
        <v>169</v>
      </c>
      <c r="O189" s="3"/>
      <c r="AB189" s="3"/>
      <c r="AO189" s="3"/>
      <c r="BC189" s="3"/>
      <c r="BQ189" s="3"/>
    </row>
    <row r="190" spans="1:70" x14ac:dyDescent="0.2">
      <c r="A190" s="5">
        <v>2</v>
      </c>
      <c r="B190" s="219" t="s">
        <v>170</v>
      </c>
      <c r="O190" s="3"/>
      <c r="AB190" s="3"/>
      <c r="AO190" s="3"/>
      <c r="BC190" s="3"/>
      <c r="BQ190" s="3"/>
    </row>
    <row r="191" spans="1:70" x14ac:dyDescent="0.2">
      <c r="A191" s="5">
        <v>3</v>
      </c>
      <c r="B191" s="219"/>
      <c r="O191" s="3"/>
      <c r="AB191" s="3"/>
      <c r="AO191" s="3"/>
      <c r="BC191" s="3"/>
      <c r="BQ191" s="3"/>
    </row>
    <row r="192" spans="1:70" x14ac:dyDescent="0.2">
      <c r="A192" s="5">
        <v>4</v>
      </c>
      <c r="B192" s="219"/>
      <c r="O192" s="3"/>
      <c r="AB192" s="3"/>
      <c r="AO192" s="3"/>
      <c r="BC192" s="3"/>
      <c r="BQ192" s="3"/>
    </row>
    <row r="193" spans="1:69" x14ac:dyDescent="0.2">
      <c r="A193" s="5">
        <v>5</v>
      </c>
      <c r="B193" s="219"/>
      <c r="O193" s="3"/>
      <c r="AB193" s="3"/>
      <c r="AO193" s="3"/>
      <c r="BC193" s="3"/>
      <c r="BQ193" s="3"/>
    </row>
    <row r="194" spans="1:69" x14ac:dyDescent="0.2">
      <c r="A194" s="5">
        <v>6</v>
      </c>
      <c r="B194" s="219"/>
      <c r="O194" s="3"/>
      <c r="AB194" s="3"/>
      <c r="AO194" s="3"/>
      <c r="BC194" s="3"/>
      <c r="BQ194" s="3"/>
    </row>
    <row r="195" spans="1:69" x14ac:dyDescent="0.2">
      <c r="A195" s="5">
        <v>7</v>
      </c>
      <c r="B195" s="219"/>
      <c r="O195" s="3"/>
      <c r="AB195" s="3"/>
      <c r="AO195" s="3"/>
      <c r="BC195" s="3"/>
      <c r="BQ195" s="3"/>
    </row>
    <row r="196" spans="1:69" x14ac:dyDescent="0.2">
      <c r="A196" s="4"/>
      <c r="B196" s="219"/>
      <c r="O196" s="3"/>
      <c r="AB196" s="3"/>
      <c r="AO196" s="3"/>
      <c r="BC196" s="3"/>
      <c r="BQ196" s="3"/>
    </row>
    <row r="197" spans="1:69" x14ac:dyDescent="0.2">
      <c r="O197" s="3"/>
      <c r="AB197" s="3"/>
      <c r="AO197" s="3"/>
      <c r="BC197" s="3"/>
      <c r="BQ197" s="3"/>
    </row>
    <row r="198" spans="1:69" x14ac:dyDescent="0.2">
      <c r="O198" s="3"/>
      <c r="AB198" s="3"/>
      <c r="AO198" s="3"/>
      <c r="BC198" s="3"/>
      <c r="BQ198" s="3"/>
    </row>
    <row r="199" spans="1:69" x14ac:dyDescent="0.2">
      <c r="O199" s="3"/>
      <c r="AB199" s="3"/>
      <c r="AO199" s="3"/>
      <c r="BC199" s="3"/>
      <c r="BQ199" s="3"/>
    </row>
    <row r="200" spans="1:69" x14ac:dyDescent="0.2">
      <c r="O200" s="3"/>
      <c r="AB200" s="3"/>
      <c r="AO200" s="3"/>
      <c r="BC200" s="3"/>
      <c r="BQ200" s="3"/>
    </row>
    <row r="201" spans="1:69" x14ac:dyDescent="0.2">
      <c r="O201" s="3"/>
      <c r="AB201" s="3"/>
      <c r="AO201" s="3"/>
      <c r="BC201" s="3"/>
      <c r="BQ201" s="3"/>
    </row>
    <row r="202" spans="1:69" x14ac:dyDescent="0.2">
      <c r="O202" s="3"/>
      <c r="AB202" s="3"/>
      <c r="AO202" s="3"/>
      <c r="BC202" s="3"/>
      <c r="BQ202" s="3"/>
    </row>
    <row r="203" spans="1:69" x14ac:dyDescent="0.2">
      <c r="O203" s="3"/>
      <c r="AB203" s="3"/>
      <c r="AO203" s="3"/>
      <c r="BC203" s="3"/>
      <c r="BQ203" s="3"/>
    </row>
    <row r="204" spans="1:69" x14ac:dyDescent="0.2">
      <c r="O204" s="3"/>
      <c r="AB204" s="3"/>
      <c r="AO204" s="3"/>
      <c r="BC204" s="3"/>
      <c r="BQ204" s="3"/>
    </row>
    <row r="205" spans="1:69" x14ac:dyDescent="0.2">
      <c r="O205" s="3"/>
      <c r="AB205" s="3"/>
      <c r="AO205" s="3"/>
      <c r="BC205" s="3"/>
      <c r="BQ205" s="3"/>
    </row>
    <row r="206" spans="1:69" x14ac:dyDescent="0.2">
      <c r="O206" s="3"/>
      <c r="AB206" s="3"/>
      <c r="AO206" s="3"/>
      <c r="BC206" s="3"/>
      <c r="BQ206" s="3"/>
    </row>
    <row r="207" spans="1:69" x14ac:dyDescent="0.2">
      <c r="O207" s="3"/>
      <c r="AB207" s="3"/>
      <c r="AO207" s="3"/>
      <c r="BC207" s="3"/>
      <c r="BQ207" s="3"/>
    </row>
    <row r="208" spans="1:69" x14ac:dyDescent="0.2">
      <c r="O208" s="3"/>
      <c r="AB208" s="3"/>
      <c r="AO208" s="3"/>
      <c r="BC208" s="3"/>
      <c r="BQ208" s="3"/>
    </row>
    <row r="209" spans="15:69" x14ac:dyDescent="0.2">
      <c r="O209" s="3"/>
      <c r="AB209" s="3"/>
      <c r="AO209" s="3"/>
      <c r="BC209" s="3"/>
      <c r="BQ209" s="3"/>
    </row>
    <row r="210" spans="15:69" x14ac:dyDescent="0.2">
      <c r="O210" s="3"/>
      <c r="AB210" s="3"/>
      <c r="AO210" s="3"/>
      <c r="BC210" s="3"/>
      <c r="BQ210" s="3"/>
    </row>
    <row r="211" spans="15:69" x14ac:dyDescent="0.2">
      <c r="O211" s="3"/>
      <c r="AB211" s="3"/>
      <c r="AO211" s="3"/>
      <c r="BC211" s="3"/>
      <c r="BQ211" s="3"/>
    </row>
    <row r="212" spans="15:69" x14ac:dyDescent="0.2">
      <c r="O212" s="3"/>
      <c r="AB212" s="3"/>
      <c r="AO212" s="3"/>
      <c r="BC212" s="3"/>
      <c r="BQ212" s="3"/>
    </row>
    <row r="213" spans="15:69" x14ac:dyDescent="0.2">
      <c r="O213" s="3"/>
      <c r="AB213" s="3"/>
      <c r="AO213" s="3"/>
      <c r="BC213" s="3"/>
      <c r="BQ213" s="3"/>
    </row>
    <row r="214" spans="15:69" x14ac:dyDescent="0.2">
      <c r="O214" s="3"/>
      <c r="AB214" s="3"/>
      <c r="AO214" s="3"/>
      <c r="BC214" s="3"/>
      <c r="BQ214" s="3"/>
    </row>
    <row r="215" spans="15:69" x14ac:dyDescent="0.2">
      <c r="O215" s="3"/>
      <c r="AB215" s="3"/>
      <c r="AO215" s="3"/>
      <c r="BC215" s="3"/>
      <c r="BQ215" s="3"/>
    </row>
    <row r="216" spans="15:69" x14ac:dyDescent="0.2">
      <c r="O216" s="3"/>
      <c r="AB216" s="3"/>
      <c r="AO216" s="3"/>
      <c r="BC216" s="3"/>
      <c r="BQ216" s="3"/>
    </row>
    <row r="217" spans="15:69" x14ac:dyDescent="0.2">
      <c r="O217" s="3"/>
      <c r="AB217" s="3"/>
      <c r="AO217" s="3"/>
      <c r="BC217" s="3"/>
      <c r="BQ217" s="3"/>
    </row>
    <row r="218" spans="15:69" x14ac:dyDescent="0.2">
      <c r="O218" s="3"/>
      <c r="AB218" s="3"/>
      <c r="AO218" s="3"/>
      <c r="BC218" s="3"/>
      <c r="BQ218" s="3"/>
    </row>
    <row r="219" spans="15:69" x14ac:dyDescent="0.2">
      <c r="O219" s="3"/>
      <c r="AB219" s="3"/>
      <c r="AO219" s="3"/>
      <c r="BC219" s="3"/>
      <c r="BQ219" s="3"/>
    </row>
    <row r="220" spans="15:69" x14ac:dyDescent="0.2">
      <c r="O220" s="3"/>
      <c r="AB220" s="3"/>
      <c r="AO220" s="3"/>
      <c r="BC220" s="3"/>
      <c r="BQ220" s="3"/>
    </row>
    <row r="221" spans="15:69" x14ac:dyDescent="0.2">
      <c r="O221" s="3"/>
      <c r="AB221" s="3"/>
      <c r="AO221" s="3"/>
      <c r="BC221" s="3"/>
      <c r="BQ221" s="3"/>
    </row>
    <row r="222" spans="15:69" x14ac:dyDescent="0.2">
      <c r="O222" s="3"/>
      <c r="AB222" s="3"/>
      <c r="AO222" s="3"/>
      <c r="BC222" s="3"/>
      <c r="BQ222" s="3"/>
    </row>
    <row r="223" spans="15:69" x14ac:dyDescent="0.2">
      <c r="O223" s="3"/>
      <c r="AB223" s="3"/>
      <c r="AO223" s="3"/>
      <c r="BC223" s="3"/>
      <c r="BQ223" s="3"/>
    </row>
    <row r="224" spans="15:69" x14ac:dyDescent="0.2">
      <c r="O224" s="3"/>
      <c r="AB224" s="3"/>
      <c r="AO224" s="3"/>
      <c r="BC224" s="3"/>
      <c r="BQ224" s="3"/>
    </row>
    <row r="225" spans="15:69" x14ac:dyDescent="0.2">
      <c r="O225" s="3"/>
      <c r="AB225" s="3"/>
      <c r="AO225" s="3"/>
      <c r="BC225" s="3"/>
      <c r="BQ225" s="3"/>
    </row>
    <row r="226" spans="15:69" x14ac:dyDescent="0.2">
      <c r="O226" s="3"/>
      <c r="AB226" s="3"/>
      <c r="AO226" s="3"/>
      <c r="BC226" s="3"/>
      <c r="BQ226" s="3"/>
    </row>
    <row r="227" spans="15:69" x14ac:dyDescent="0.2">
      <c r="O227" s="3"/>
      <c r="AB227" s="3"/>
      <c r="AO227" s="3"/>
      <c r="BC227" s="3"/>
      <c r="BQ227" s="3"/>
    </row>
    <row r="228" spans="15:69" x14ac:dyDescent="0.2">
      <c r="O228" s="3"/>
      <c r="AB228" s="3"/>
      <c r="AO228" s="3"/>
      <c r="BC228" s="3"/>
      <c r="BQ228" s="3"/>
    </row>
    <row r="229" spans="15:69" x14ac:dyDescent="0.2">
      <c r="O229" s="3"/>
      <c r="AB229" s="3"/>
      <c r="AO229" s="3"/>
      <c r="BC229" s="3"/>
      <c r="BQ229" s="3"/>
    </row>
    <row r="230" spans="15:69" x14ac:dyDescent="0.2">
      <c r="O230" s="3"/>
      <c r="AB230" s="3"/>
      <c r="AO230" s="3"/>
      <c r="BC230" s="3"/>
      <c r="BQ230" s="3"/>
    </row>
    <row r="231" spans="15:69" x14ac:dyDescent="0.2">
      <c r="O231" s="3"/>
      <c r="AB231" s="3"/>
      <c r="AO231" s="3"/>
      <c r="BC231" s="3"/>
      <c r="BQ231" s="3"/>
    </row>
    <row r="232" spans="15:69" x14ac:dyDescent="0.2">
      <c r="O232" s="3"/>
      <c r="AB232" s="3"/>
      <c r="AO232" s="3"/>
      <c r="BC232" s="3"/>
      <c r="BQ232" s="3"/>
    </row>
    <row r="233" spans="15:69" x14ac:dyDescent="0.2">
      <c r="O233" s="3"/>
      <c r="AB233" s="3"/>
      <c r="AO233" s="3"/>
      <c r="BC233" s="3"/>
      <c r="BQ233" s="3"/>
    </row>
    <row r="234" spans="15:69" x14ac:dyDescent="0.2">
      <c r="O234" s="3"/>
      <c r="AB234" s="3"/>
      <c r="AO234" s="3"/>
      <c r="BC234" s="3"/>
      <c r="BQ234" s="3"/>
    </row>
    <row r="235" spans="15:69" x14ac:dyDescent="0.2">
      <c r="O235" s="3"/>
      <c r="AB235" s="3"/>
      <c r="AO235" s="3"/>
      <c r="BC235" s="3"/>
      <c r="BQ235" s="3"/>
    </row>
    <row r="236" spans="15:69" x14ac:dyDescent="0.2">
      <c r="O236" s="3"/>
      <c r="AB236" s="3"/>
      <c r="AO236" s="3"/>
      <c r="BC236" s="3"/>
      <c r="BQ236" s="3"/>
    </row>
    <row r="237" spans="15:69" x14ac:dyDescent="0.2">
      <c r="O237" s="3"/>
      <c r="AB237" s="3"/>
      <c r="AO237" s="3"/>
      <c r="BC237" s="3"/>
      <c r="BQ237" s="3"/>
    </row>
    <row r="238" spans="15:69" x14ac:dyDescent="0.2">
      <c r="O238" s="3"/>
      <c r="AB238" s="3"/>
      <c r="AO238" s="3"/>
      <c r="BC238" s="3"/>
      <c r="BQ238" s="3"/>
    </row>
    <row r="239" spans="15:69" x14ac:dyDescent="0.2">
      <c r="O239" s="3"/>
      <c r="AB239" s="3"/>
      <c r="AO239" s="3"/>
      <c r="BC239" s="3"/>
      <c r="BQ239" s="3"/>
    </row>
    <row r="240" spans="15:69" x14ac:dyDescent="0.2">
      <c r="O240" s="3"/>
      <c r="AB240" s="3"/>
      <c r="AO240" s="3"/>
      <c r="BC240" s="3"/>
      <c r="BQ240" s="3"/>
    </row>
    <row r="241" spans="15:69" x14ac:dyDescent="0.2">
      <c r="O241" s="3"/>
      <c r="AB241" s="3"/>
      <c r="AO241" s="3"/>
      <c r="BC241" s="3"/>
      <c r="BQ241" s="3"/>
    </row>
    <row r="242" spans="15:69" x14ac:dyDescent="0.2">
      <c r="O242" s="3"/>
      <c r="AB242" s="3"/>
      <c r="AO242" s="3"/>
      <c r="BC242" s="3"/>
      <c r="BQ242" s="3"/>
    </row>
    <row r="243" spans="15:69" x14ac:dyDescent="0.2">
      <c r="O243" s="3"/>
      <c r="AB243" s="3"/>
      <c r="AO243" s="3"/>
      <c r="BC243" s="3"/>
      <c r="BQ243" s="3"/>
    </row>
    <row r="244" spans="15:69" x14ac:dyDescent="0.2">
      <c r="O244" s="3"/>
      <c r="AB244" s="3"/>
      <c r="AO244" s="3"/>
      <c r="BC244" s="3"/>
      <c r="BQ244" s="3"/>
    </row>
    <row r="245" spans="15:69" x14ac:dyDescent="0.2">
      <c r="O245" s="3"/>
      <c r="AB245" s="3"/>
      <c r="AO245" s="3"/>
      <c r="BC245" s="3"/>
      <c r="BQ245" s="3"/>
    </row>
    <row r="246" spans="15:69" x14ac:dyDescent="0.2">
      <c r="O246" s="3"/>
      <c r="AB246" s="3"/>
      <c r="AO246" s="3"/>
      <c r="BC246" s="3"/>
      <c r="BQ246" s="3"/>
    </row>
    <row r="247" spans="15:69" x14ac:dyDescent="0.2">
      <c r="O247" s="3"/>
      <c r="AB247" s="3"/>
      <c r="AO247" s="3"/>
      <c r="BC247" s="3"/>
      <c r="BQ247" s="3"/>
    </row>
    <row r="248" spans="15:69" x14ac:dyDescent="0.2">
      <c r="O248" s="3"/>
      <c r="AB248" s="3"/>
      <c r="AO248" s="3"/>
      <c r="BC248" s="3"/>
      <c r="BQ248" s="3"/>
    </row>
    <row r="249" spans="15:69" x14ac:dyDescent="0.2">
      <c r="O249" s="3"/>
      <c r="AB249" s="3"/>
      <c r="AO249" s="3"/>
      <c r="BC249" s="3"/>
      <c r="BQ249" s="3"/>
    </row>
    <row r="250" spans="15:69" x14ac:dyDescent="0.2">
      <c r="O250" s="3"/>
      <c r="AB250" s="3"/>
      <c r="AO250" s="3"/>
      <c r="BC250" s="3"/>
      <c r="BQ250" s="3"/>
    </row>
    <row r="251" spans="15:69" x14ac:dyDescent="0.2">
      <c r="O251" s="3"/>
      <c r="AB251" s="3"/>
      <c r="AO251" s="3"/>
      <c r="BC251" s="3"/>
      <c r="BQ251" s="3"/>
    </row>
    <row r="252" spans="15:69" x14ac:dyDescent="0.2">
      <c r="O252" s="3"/>
      <c r="AB252" s="3"/>
      <c r="AO252" s="3"/>
      <c r="BC252" s="3"/>
      <c r="BQ252" s="3"/>
    </row>
    <row r="253" spans="15:69" x14ac:dyDescent="0.2">
      <c r="O253" s="3"/>
      <c r="AB253" s="3"/>
      <c r="AO253" s="3"/>
      <c r="BC253" s="3"/>
      <c r="BQ253" s="3"/>
    </row>
    <row r="254" spans="15:69" x14ac:dyDescent="0.2">
      <c r="O254" s="3"/>
      <c r="AB254" s="3"/>
      <c r="AO254" s="3"/>
      <c r="BC254" s="3"/>
      <c r="BQ254" s="3"/>
    </row>
    <row r="255" spans="15:69" x14ac:dyDescent="0.2">
      <c r="O255" s="3"/>
      <c r="AB255" s="3"/>
      <c r="AO255" s="3"/>
      <c r="BC255" s="3"/>
      <c r="BQ255" s="3"/>
    </row>
    <row r="256" spans="15:69" x14ac:dyDescent="0.2">
      <c r="O256" s="3"/>
      <c r="AB256" s="3"/>
      <c r="AO256" s="3"/>
      <c r="BC256" s="3"/>
      <c r="BQ256" s="3"/>
    </row>
    <row r="257" spans="15:69" x14ac:dyDescent="0.2">
      <c r="O257" s="3"/>
      <c r="AB257" s="3"/>
      <c r="AO257" s="3"/>
      <c r="BC257" s="3"/>
      <c r="BQ257" s="3"/>
    </row>
    <row r="258" spans="15:69" x14ac:dyDescent="0.2">
      <c r="O258" s="3"/>
      <c r="AB258" s="3"/>
      <c r="AO258" s="3"/>
      <c r="BC258" s="3"/>
      <c r="BQ258" s="3"/>
    </row>
    <row r="259" spans="15:69" x14ac:dyDescent="0.2">
      <c r="O259" s="3"/>
      <c r="AB259" s="3"/>
      <c r="AO259" s="3"/>
      <c r="BC259" s="3"/>
      <c r="BQ259" s="3"/>
    </row>
    <row r="260" spans="15:69" x14ac:dyDescent="0.2">
      <c r="O260" s="3"/>
      <c r="AB260" s="3"/>
      <c r="AO260" s="3"/>
      <c r="BC260" s="3"/>
      <c r="BQ260" s="3"/>
    </row>
    <row r="261" spans="15:69" x14ac:dyDescent="0.2">
      <c r="O261" s="3"/>
      <c r="AB261" s="3"/>
      <c r="AO261" s="3"/>
      <c r="BC261" s="3"/>
      <c r="BQ261" s="3"/>
    </row>
    <row r="262" spans="15:69" x14ac:dyDescent="0.2">
      <c r="O262" s="3"/>
      <c r="AB262" s="3"/>
      <c r="AO262" s="3"/>
      <c r="BC262" s="3"/>
      <c r="BQ262" s="3"/>
    </row>
    <row r="263" spans="15:69" x14ac:dyDescent="0.2">
      <c r="O263" s="3"/>
      <c r="AB263" s="3"/>
      <c r="AO263" s="3"/>
      <c r="BC263" s="3"/>
      <c r="BQ263" s="3"/>
    </row>
    <row r="264" spans="15:69" x14ac:dyDescent="0.2">
      <c r="O264" s="3"/>
      <c r="AB264" s="3"/>
      <c r="AO264" s="3"/>
      <c r="BC264" s="3"/>
      <c r="BQ264" s="3"/>
    </row>
    <row r="265" spans="15:69" x14ac:dyDescent="0.2">
      <c r="O265" s="3"/>
      <c r="AB265" s="3"/>
      <c r="AO265" s="3"/>
      <c r="BC265" s="3"/>
      <c r="BQ265" s="3"/>
    </row>
    <row r="266" spans="15:69" x14ac:dyDescent="0.2">
      <c r="O266" s="3"/>
      <c r="AB266" s="3"/>
      <c r="AO266" s="3"/>
      <c r="BC266" s="3"/>
      <c r="BQ266" s="3"/>
    </row>
    <row r="267" spans="15:69" x14ac:dyDescent="0.2">
      <c r="O267" s="3"/>
      <c r="AB267" s="3"/>
      <c r="AO267" s="3"/>
      <c r="BC267" s="3"/>
      <c r="BQ267" s="3"/>
    </row>
    <row r="268" spans="15:69" x14ac:dyDescent="0.2">
      <c r="O268" s="3"/>
      <c r="AB268" s="3"/>
      <c r="AO268" s="3"/>
      <c r="BC268" s="3"/>
      <c r="BQ268" s="3"/>
    </row>
    <row r="269" spans="15:69" x14ac:dyDescent="0.2">
      <c r="O269" s="3"/>
      <c r="AB269" s="3"/>
      <c r="AO269" s="3"/>
      <c r="BC269" s="3"/>
      <c r="BQ269" s="3"/>
    </row>
    <row r="270" spans="15:69" x14ac:dyDescent="0.2">
      <c r="O270" s="3"/>
      <c r="AB270" s="3"/>
      <c r="AO270" s="3"/>
      <c r="BC270" s="3"/>
      <c r="BQ270" s="3"/>
    </row>
    <row r="271" spans="15:69" x14ac:dyDescent="0.2">
      <c r="O271" s="3"/>
      <c r="AB271" s="3"/>
      <c r="AO271" s="3"/>
      <c r="BC271" s="3"/>
      <c r="BQ271" s="3"/>
    </row>
    <row r="272" spans="15:69" x14ac:dyDescent="0.2">
      <c r="O272" s="3"/>
      <c r="AB272" s="3"/>
      <c r="AO272" s="3"/>
      <c r="BC272" s="3"/>
      <c r="BQ272" s="3"/>
    </row>
    <row r="273" spans="15:69" x14ac:dyDescent="0.2">
      <c r="O273" s="3"/>
      <c r="AB273" s="3"/>
      <c r="AO273" s="3"/>
      <c r="BC273" s="3"/>
      <c r="BQ273" s="3"/>
    </row>
    <row r="274" spans="15:69" x14ac:dyDescent="0.2">
      <c r="O274" s="3"/>
      <c r="AB274" s="3"/>
      <c r="AO274" s="3"/>
      <c r="BC274" s="3"/>
      <c r="BQ274" s="3"/>
    </row>
    <row r="275" spans="15:69" x14ac:dyDescent="0.2">
      <c r="O275" s="3"/>
      <c r="AB275" s="3"/>
      <c r="AO275" s="3"/>
      <c r="BC275" s="3"/>
      <c r="BQ275" s="3"/>
    </row>
    <row r="276" spans="15:69" x14ac:dyDescent="0.2">
      <c r="O276" s="3"/>
      <c r="AB276" s="3"/>
      <c r="AO276" s="3"/>
      <c r="BC276" s="3"/>
      <c r="BQ276" s="3"/>
    </row>
    <row r="277" spans="15:69" x14ac:dyDescent="0.2">
      <c r="O277" s="3"/>
      <c r="AB277" s="3"/>
      <c r="AO277" s="3"/>
      <c r="BC277" s="3"/>
      <c r="BQ277" s="3"/>
    </row>
    <row r="278" spans="15:69" x14ac:dyDescent="0.2">
      <c r="O278" s="3"/>
      <c r="AB278" s="3"/>
      <c r="AO278" s="3"/>
      <c r="BC278" s="3"/>
      <c r="BQ278" s="3"/>
    </row>
    <row r="279" spans="15:69" x14ac:dyDescent="0.2">
      <c r="O279" s="3"/>
      <c r="AB279" s="3"/>
      <c r="AO279" s="3"/>
      <c r="BC279" s="3"/>
      <c r="BQ279" s="3"/>
    </row>
    <row r="280" spans="15:69" x14ac:dyDescent="0.2">
      <c r="O280" s="3"/>
      <c r="AB280" s="3"/>
      <c r="AO280" s="3"/>
      <c r="BC280" s="3"/>
      <c r="BQ280" s="3"/>
    </row>
    <row r="281" spans="15:69" x14ac:dyDescent="0.2">
      <c r="O281" s="3"/>
      <c r="AB281" s="3"/>
      <c r="AO281" s="3"/>
      <c r="BC281" s="3"/>
      <c r="BQ281" s="3"/>
    </row>
    <row r="282" spans="15:69" x14ac:dyDescent="0.2">
      <c r="O282" s="3"/>
      <c r="AB282" s="3"/>
      <c r="AO282" s="3"/>
      <c r="BC282" s="3"/>
      <c r="BQ282" s="3"/>
    </row>
    <row r="283" spans="15:69" x14ac:dyDescent="0.2">
      <c r="O283" s="3"/>
      <c r="AB283" s="3"/>
      <c r="AO283" s="3"/>
      <c r="BC283" s="3"/>
      <c r="BQ283" s="3"/>
    </row>
    <row r="284" spans="15:69" x14ac:dyDescent="0.2">
      <c r="O284" s="3"/>
      <c r="AB284" s="3"/>
      <c r="AO284" s="3"/>
      <c r="BC284" s="3"/>
      <c r="BQ284" s="3"/>
    </row>
    <row r="285" spans="15:69" x14ac:dyDescent="0.2">
      <c r="O285" s="3"/>
      <c r="AB285" s="3"/>
      <c r="AO285" s="3"/>
      <c r="BC285" s="3"/>
      <c r="BQ285" s="3"/>
    </row>
    <row r="286" spans="15:69" x14ac:dyDescent="0.2">
      <c r="O286" s="3"/>
      <c r="AB286" s="3"/>
      <c r="AO286" s="3"/>
      <c r="BC286" s="3"/>
      <c r="BQ286" s="3"/>
    </row>
    <row r="287" spans="15:69" x14ac:dyDescent="0.2">
      <c r="O287" s="3"/>
      <c r="AB287" s="3"/>
      <c r="AO287" s="3"/>
      <c r="BC287" s="3"/>
      <c r="BQ287" s="3"/>
    </row>
    <row r="288" spans="15:69" x14ac:dyDescent="0.2">
      <c r="O288" s="3"/>
      <c r="AB288" s="3"/>
      <c r="AO288" s="3"/>
      <c r="BC288" s="3"/>
      <c r="BQ288" s="3"/>
    </row>
    <row r="289" spans="15:69" x14ac:dyDescent="0.2">
      <c r="O289" s="3"/>
      <c r="AB289" s="3"/>
      <c r="AO289" s="3"/>
      <c r="BC289" s="3"/>
      <c r="BQ289" s="3"/>
    </row>
    <row r="290" spans="15:69" x14ac:dyDescent="0.2">
      <c r="O290" s="3"/>
      <c r="AB290" s="3"/>
      <c r="AO290" s="3"/>
      <c r="BC290" s="3"/>
      <c r="BQ290" s="3"/>
    </row>
    <row r="291" spans="15:69" x14ac:dyDescent="0.2">
      <c r="O291" s="3"/>
      <c r="AB291" s="3"/>
      <c r="AO291" s="3"/>
      <c r="BC291" s="3"/>
      <c r="BQ291" s="3"/>
    </row>
    <row r="292" spans="15:69" x14ac:dyDescent="0.2">
      <c r="O292" s="3"/>
      <c r="AB292" s="3"/>
      <c r="AO292" s="3"/>
      <c r="BC292" s="3"/>
      <c r="BQ292" s="3"/>
    </row>
    <row r="293" spans="15:69" x14ac:dyDescent="0.2">
      <c r="O293" s="3"/>
      <c r="AB293" s="3"/>
      <c r="AO293" s="3"/>
      <c r="BC293" s="3"/>
      <c r="BQ293" s="3"/>
    </row>
    <row r="294" spans="15:69" x14ac:dyDescent="0.2">
      <c r="O294" s="3"/>
      <c r="AB294" s="3"/>
      <c r="AO294" s="3"/>
      <c r="BC294" s="3"/>
      <c r="BQ294" s="3"/>
    </row>
    <row r="295" spans="15:69" x14ac:dyDescent="0.2">
      <c r="O295" s="3"/>
      <c r="AB295" s="3"/>
      <c r="AO295" s="3"/>
      <c r="BC295" s="3"/>
      <c r="BQ295" s="3"/>
    </row>
    <row r="296" spans="15:69" x14ac:dyDescent="0.2">
      <c r="O296" s="3"/>
      <c r="AB296" s="3"/>
      <c r="AO296" s="3"/>
      <c r="BC296" s="3"/>
      <c r="BQ296" s="3"/>
    </row>
    <row r="297" spans="15:69" x14ac:dyDescent="0.2">
      <c r="O297" s="3"/>
      <c r="AB297" s="3"/>
      <c r="AO297" s="3"/>
      <c r="BC297" s="3"/>
      <c r="BQ297" s="3"/>
    </row>
    <row r="298" spans="15:69" x14ac:dyDescent="0.2">
      <c r="O298" s="3"/>
      <c r="AB298" s="3"/>
      <c r="AO298" s="3"/>
      <c r="BC298" s="3"/>
      <c r="BQ298" s="3"/>
    </row>
    <row r="299" spans="15:69" x14ac:dyDescent="0.2">
      <c r="O299" s="3"/>
      <c r="AB299" s="3"/>
      <c r="AO299" s="3"/>
      <c r="BC299" s="3"/>
      <c r="BQ299" s="3"/>
    </row>
    <row r="300" spans="15:69" x14ac:dyDescent="0.2">
      <c r="O300" s="3"/>
      <c r="AB300" s="3"/>
      <c r="AO300" s="3"/>
      <c r="BC300" s="3"/>
      <c r="BQ300" s="3"/>
    </row>
    <row r="301" spans="15:69" x14ac:dyDescent="0.2">
      <c r="O301" s="3"/>
      <c r="AB301" s="3"/>
      <c r="AO301" s="3"/>
      <c r="BC301" s="3"/>
      <c r="BQ301" s="3"/>
    </row>
    <row r="302" spans="15:69" x14ac:dyDescent="0.2">
      <c r="O302" s="3"/>
      <c r="AB302" s="3"/>
      <c r="AO302" s="3"/>
      <c r="BC302" s="3"/>
      <c r="BQ302" s="3"/>
    </row>
    <row r="303" spans="15:69" x14ac:dyDescent="0.2">
      <c r="O303" s="3"/>
      <c r="AB303" s="3"/>
      <c r="AO303" s="3"/>
      <c r="BC303" s="3"/>
      <c r="BQ303" s="3"/>
    </row>
    <row r="304" spans="15:69" x14ac:dyDescent="0.2">
      <c r="O304" s="3"/>
      <c r="AB304" s="3"/>
      <c r="AO304" s="3"/>
      <c r="BC304" s="3"/>
      <c r="BQ304" s="3"/>
    </row>
    <row r="305" spans="15:69" x14ac:dyDescent="0.2">
      <c r="O305" s="3"/>
      <c r="AB305" s="3"/>
      <c r="AO305" s="3"/>
      <c r="BC305" s="3"/>
      <c r="BQ305" s="3"/>
    </row>
    <row r="306" spans="15:69" x14ac:dyDescent="0.2">
      <c r="O306" s="3"/>
      <c r="AB306" s="3"/>
      <c r="AO306" s="3"/>
      <c r="BC306" s="3"/>
      <c r="BQ306" s="3"/>
    </row>
    <row r="307" spans="15:69" x14ac:dyDescent="0.2">
      <c r="O307" s="3"/>
      <c r="AB307" s="3"/>
      <c r="AO307" s="3"/>
      <c r="BC307" s="3"/>
      <c r="BQ307" s="3"/>
    </row>
    <row r="308" spans="15:69" x14ac:dyDescent="0.2">
      <c r="O308" s="3"/>
      <c r="AB308" s="3"/>
      <c r="AO308" s="3"/>
      <c r="BC308" s="3"/>
      <c r="BQ308" s="3"/>
    </row>
    <row r="309" spans="15:69" x14ac:dyDescent="0.2">
      <c r="O309" s="3"/>
      <c r="AB309" s="3"/>
      <c r="AO309" s="3"/>
      <c r="BC309" s="3"/>
      <c r="BQ309" s="3"/>
    </row>
    <row r="310" spans="15:69" x14ac:dyDescent="0.2">
      <c r="O310" s="3"/>
      <c r="AB310" s="3"/>
      <c r="AO310" s="3"/>
      <c r="BC310" s="3"/>
      <c r="BQ310" s="3"/>
    </row>
    <row r="311" spans="15:69" x14ac:dyDescent="0.2">
      <c r="O311" s="3"/>
      <c r="AB311" s="3"/>
      <c r="AO311" s="3"/>
      <c r="BC311" s="3"/>
      <c r="BQ311" s="3"/>
    </row>
    <row r="312" spans="15:69" x14ac:dyDescent="0.2">
      <c r="O312" s="3"/>
      <c r="AB312" s="3"/>
      <c r="AO312" s="3"/>
      <c r="BC312" s="3"/>
      <c r="BQ312" s="3"/>
    </row>
    <row r="313" spans="15:69" x14ac:dyDescent="0.2">
      <c r="O313" s="3"/>
      <c r="AB313" s="3"/>
      <c r="AO313" s="3"/>
      <c r="BC313" s="3"/>
      <c r="BQ313" s="3"/>
    </row>
    <row r="314" spans="15:69" x14ac:dyDescent="0.2">
      <c r="O314" s="3"/>
      <c r="AB314" s="3"/>
      <c r="AO314" s="3"/>
      <c r="BC314" s="3"/>
      <c r="BQ314" s="3"/>
    </row>
    <row r="315" spans="15:69" x14ac:dyDescent="0.2">
      <c r="O315" s="3"/>
      <c r="AB315" s="3"/>
      <c r="AO315" s="3"/>
      <c r="BC315" s="3"/>
      <c r="BQ315" s="3"/>
    </row>
    <row r="316" spans="15:69" x14ac:dyDescent="0.2">
      <c r="O316" s="3"/>
      <c r="AB316" s="3"/>
      <c r="AO316" s="3"/>
      <c r="BC316" s="3"/>
      <c r="BQ316" s="3"/>
    </row>
    <row r="317" spans="15:69" x14ac:dyDescent="0.2">
      <c r="O317" s="3"/>
      <c r="AB317" s="3"/>
      <c r="AO317" s="3"/>
      <c r="BC317" s="3"/>
      <c r="BQ317" s="3"/>
    </row>
    <row r="318" spans="15:69" x14ac:dyDescent="0.2">
      <c r="O318" s="3"/>
      <c r="AB318" s="3"/>
      <c r="AO318" s="3"/>
      <c r="BC318" s="3"/>
      <c r="BQ318" s="3"/>
    </row>
    <row r="319" spans="15:69" x14ac:dyDescent="0.2">
      <c r="O319" s="3"/>
      <c r="AB319" s="3"/>
      <c r="AO319" s="3"/>
      <c r="BC319" s="3"/>
      <c r="BQ319" s="3"/>
    </row>
    <row r="320" spans="15:69" x14ac:dyDescent="0.2">
      <c r="O320" s="3"/>
      <c r="AB320" s="3"/>
      <c r="AO320" s="3"/>
      <c r="BC320" s="3"/>
      <c r="BQ320" s="3"/>
    </row>
    <row r="321" spans="15:69" x14ac:dyDescent="0.2">
      <c r="O321" s="3"/>
      <c r="AB321" s="3"/>
      <c r="AO321" s="3"/>
      <c r="BC321" s="3"/>
      <c r="BQ321" s="3"/>
    </row>
    <row r="322" spans="15:69" x14ac:dyDescent="0.2">
      <c r="O322" s="3"/>
      <c r="AB322" s="3"/>
      <c r="AO322" s="3"/>
      <c r="BC322" s="3"/>
      <c r="BQ322" s="3"/>
    </row>
    <row r="323" spans="15:69" x14ac:dyDescent="0.2">
      <c r="O323" s="3"/>
      <c r="AB323" s="3"/>
      <c r="AO323" s="3"/>
      <c r="BC323" s="3"/>
      <c r="BQ323" s="3"/>
    </row>
    <row r="324" spans="15:69" x14ac:dyDescent="0.2">
      <c r="O324" s="3"/>
      <c r="AB324" s="3"/>
      <c r="AO324" s="3"/>
      <c r="BC324" s="3"/>
      <c r="BQ324" s="3"/>
    </row>
    <row r="325" spans="15:69" x14ac:dyDescent="0.2">
      <c r="O325" s="3"/>
      <c r="AB325" s="3"/>
      <c r="AO325" s="3"/>
      <c r="BC325" s="3"/>
      <c r="BQ325" s="3"/>
    </row>
    <row r="326" spans="15:69" x14ac:dyDescent="0.2">
      <c r="O326" s="3"/>
      <c r="AB326" s="3"/>
      <c r="AO326" s="3"/>
      <c r="BC326" s="3"/>
      <c r="BQ326" s="3"/>
    </row>
    <row r="327" spans="15:69" x14ac:dyDescent="0.2">
      <c r="O327" s="3"/>
      <c r="AB327" s="3"/>
      <c r="AO327" s="3"/>
      <c r="BC327" s="3"/>
      <c r="BQ327" s="3"/>
    </row>
    <row r="328" spans="15:69" x14ac:dyDescent="0.2">
      <c r="O328" s="3"/>
      <c r="AB328" s="3"/>
      <c r="AO328" s="3"/>
      <c r="BC328" s="3"/>
      <c r="BQ328" s="3"/>
    </row>
    <row r="329" spans="15:69" x14ac:dyDescent="0.2">
      <c r="O329" s="3"/>
      <c r="AB329" s="3"/>
      <c r="AO329" s="3"/>
      <c r="BC329" s="3"/>
      <c r="BQ329" s="3"/>
    </row>
    <row r="330" spans="15:69" x14ac:dyDescent="0.2">
      <c r="O330" s="3"/>
      <c r="AB330" s="3"/>
      <c r="AO330" s="3"/>
      <c r="BC330" s="3"/>
      <c r="BQ330" s="3"/>
    </row>
    <row r="331" spans="15:69" x14ac:dyDescent="0.2">
      <c r="O331" s="3"/>
      <c r="AB331" s="3"/>
      <c r="AO331" s="3"/>
      <c r="BC331" s="3"/>
      <c r="BQ331" s="3"/>
    </row>
    <row r="332" spans="15:69" x14ac:dyDescent="0.2">
      <c r="O332" s="3"/>
      <c r="AB332" s="3"/>
      <c r="AO332" s="3"/>
      <c r="BC332" s="3"/>
      <c r="BQ332" s="3"/>
    </row>
    <row r="333" spans="15:69" x14ac:dyDescent="0.2">
      <c r="O333" s="3"/>
      <c r="AB333" s="3"/>
      <c r="AO333" s="3"/>
      <c r="BC333" s="3"/>
      <c r="BQ333" s="3"/>
    </row>
    <row r="334" spans="15:69" x14ac:dyDescent="0.2">
      <c r="O334" s="3"/>
      <c r="AB334" s="3"/>
      <c r="AO334" s="3"/>
      <c r="BC334" s="3"/>
      <c r="BQ334" s="3"/>
    </row>
    <row r="335" spans="15:69" x14ac:dyDescent="0.2">
      <c r="O335" s="3"/>
      <c r="AB335" s="3"/>
      <c r="AO335" s="3"/>
      <c r="BC335" s="3"/>
      <c r="BQ335" s="3"/>
    </row>
    <row r="336" spans="15:69" x14ac:dyDescent="0.2">
      <c r="O336" s="3"/>
      <c r="AB336" s="3"/>
      <c r="AO336" s="3"/>
      <c r="BC336" s="3"/>
      <c r="BQ336" s="3"/>
    </row>
    <row r="337" spans="15:69" x14ac:dyDescent="0.2">
      <c r="O337" s="3"/>
      <c r="AB337" s="3"/>
      <c r="AO337" s="3"/>
      <c r="BC337" s="3"/>
      <c r="BQ337" s="3"/>
    </row>
    <row r="338" spans="15:69" x14ac:dyDescent="0.2">
      <c r="O338" s="3"/>
      <c r="AB338" s="3"/>
      <c r="AO338" s="3"/>
      <c r="BC338" s="3"/>
      <c r="BQ338" s="3"/>
    </row>
    <row r="339" spans="15:69" x14ac:dyDescent="0.2">
      <c r="O339" s="3"/>
      <c r="AB339" s="3"/>
      <c r="AO339" s="3"/>
      <c r="BC339" s="3"/>
      <c r="BQ339" s="3"/>
    </row>
    <row r="340" spans="15:69" x14ac:dyDescent="0.2">
      <c r="O340" s="3"/>
      <c r="AB340" s="3"/>
      <c r="AO340" s="3"/>
      <c r="BC340" s="3"/>
      <c r="BQ340" s="3"/>
    </row>
    <row r="341" spans="15:69" x14ac:dyDescent="0.2">
      <c r="O341" s="3"/>
      <c r="AB341" s="3"/>
      <c r="AO341" s="3"/>
      <c r="BC341" s="3"/>
      <c r="BQ341" s="3"/>
    </row>
    <row r="342" spans="15:69" x14ac:dyDescent="0.2">
      <c r="O342" s="3"/>
      <c r="AB342" s="3"/>
      <c r="AO342" s="3"/>
      <c r="BC342" s="3"/>
      <c r="BQ342" s="3"/>
    </row>
    <row r="343" spans="15:69" x14ac:dyDescent="0.2">
      <c r="O343" s="3"/>
      <c r="AB343" s="3"/>
      <c r="AO343" s="3"/>
      <c r="BC343" s="3"/>
      <c r="BQ343" s="3"/>
    </row>
    <row r="344" spans="15:69" x14ac:dyDescent="0.2">
      <c r="O344" s="3"/>
      <c r="AB344" s="3"/>
      <c r="AO344" s="3"/>
      <c r="BC344" s="3"/>
      <c r="BQ344" s="3"/>
    </row>
    <row r="345" spans="15:69" x14ac:dyDescent="0.2">
      <c r="O345" s="3"/>
      <c r="AB345" s="3"/>
      <c r="AO345" s="3"/>
      <c r="BC345" s="3"/>
      <c r="BQ345" s="3"/>
    </row>
    <row r="346" spans="15:69" x14ac:dyDescent="0.2">
      <c r="O346" s="3"/>
      <c r="AB346" s="3"/>
      <c r="AO346" s="3"/>
      <c r="BC346" s="3"/>
      <c r="BQ346" s="3"/>
    </row>
    <row r="347" spans="15:69" x14ac:dyDescent="0.2">
      <c r="O347" s="3"/>
      <c r="AB347" s="3"/>
      <c r="AO347" s="3"/>
      <c r="BC347" s="3"/>
      <c r="BQ347" s="3"/>
    </row>
    <row r="348" spans="15:69" x14ac:dyDescent="0.2">
      <c r="O348" s="3"/>
      <c r="AB348" s="3"/>
      <c r="AO348" s="3"/>
      <c r="BC348" s="3"/>
      <c r="BQ348" s="3"/>
    </row>
    <row r="349" spans="15:69" x14ac:dyDescent="0.2">
      <c r="O349" s="3"/>
      <c r="AB349" s="3"/>
      <c r="AO349" s="3"/>
      <c r="BC349" s="3"/>
      <c r="BQ349" s="3"/>
    </row>
    <row r="350" spans="15:69" x14ac:dyDescent="0.2">
      <c r="O350" s="3"/>
      <c r="AB350" s="3"/>
      <c r="AO350" s="3"/>
      <c r="BC350" s="3"/>
      <c r="BQ350" s="3"/>
    </row>
    <row r="351" spans="15:69" x14ac:dyDescent="0.2">
      <c r="O351" s="3"/>
      <c r="AB351" s="3"/>
      <c r="AO351" s="3"/>
      <c r="BC351" s="3"/>
      <c r="BQ351" s="3"/>
    </row>
    <row r="352" spans="15:69" x14ac:dyDescent="0.2">
      <c r="O352" s="3"/>
      <c r="AB352" s="3"/>
      <c r="AO352" s="3"/>
      <c r="BC352" s="3"/>
      <c r="BQ352" s="3"/>
    </row>
    <row r="353" spans="15:69" x14ac:dyDescent="0.2">
      <c r="O353" s="3"/>
      <c r="AB353" s="3"/>
      <c r="AO353" s="3"/>
      <c r="BC353" s="3"/>
      <c r="BQ353" s="3"/>
    </row>
    <row r="354" spans="15:69" x14ac:dyDescent="0.2">
      <c r="O354" s="3"/>
      <c r="AB354" s="3"/>
      <c r="AO354" s="3"/>
      <c r="BC354" s="3"/>
      <c r="BQ354" s="3"/>
    </row>
    <row r="355" spans="15:69" x14ac:dyDescent="0.2">
      <c r="O355" s="3"/>
      <c r="AB355" s="3"/>
      <c r="AO355" s="3"/>
      <c r="BC355" s="3"/>
      <c r="BQ355" s="3"/>
    </row>
    <row r="356" spans="15:69" x14ac:dyDescent="0.2">
      <c r="O356" s="3"/>
      <c r="AB356" s="3"/>
      <c r="AO356" s="3"/>
      <c r="BC356" s="3"/>
      <c r="BQ356" s="3"/>
    </row>
    <row r="357" spans="15:69" x14ac:dyDescent="0.2">
      <c r="O357" s="3"/>
      <c r="AB357" s="3"/>
      <c r="AO357" s="3"/>
      <c r="BC357" s="3"/>
      <c r="BQ357" s="3"/>
    </row>
    <row r="358" spans="15:69" x14ac:dyDescent="0.2">
      <c r="O358" s="3"/>
      <c r="AB358" s="3"/>
      <c r="AO358" s="3"/>
      <c r="BC358" s="3"/>
      <c r="BQ358" s="3"/>
    </row>
    <row r="359" spans="15:69" x14ac:dyDescent="0.2">
      <c r="O359" s="3"/>
      <c r="AB359" s="3"/>
      <c r="AO359" s="3"/>
      <c r="BC359" s="3"/>
      <c r="BQ359" s="3"/>
    </row>
    <row r="360" spans="15:69" x14ac:dyDescent="0.2">
      <c r="O360" s="3"/>
      <c r="AB360" s="3"/>
      <c r="AO360" s="3"/>
      <c r="BC360" s="3"/>
      <c r="BQ360" s="3"/>
    </row>
    <row r="361" spans="15:69" x14ac:dyDescent="0.2">
      <c r="O361" s="3"/>
      <c r="AB361" s="3"/>
      <c r="AO361" s="3"/>
      <c r="BC361" s="3"/>
      <c r="BQ361" s="3"/>
    </row>
    <row r="362" spans="15:69" x14ac:dyDescent="0.2">
      <c r="O362" s="3"/>
      <c r="AB362" s="3"/>
      <c r="AO362" s="3"/>
      <c r="BC362" s="3"/>
      <c r="BQ362" s="3"/>
    </row>
    <row r="363" spans="15:69" x14ac:dyDescent="0.2">
      <c r="O363" s="3"/>
      <c r="AB363" s="3"/>
      <c r="AO363" s="3"/>
      <c r="BC363" s="3"/>
      <c r="BQ363" s="3"/>
    </row>
    <row r="364" spans="15:69" x14ac:dyDescent="0.2">
      <c r="O364" s="3"/>
      <c r="AB364" s="3"/>
      <c r="AO364" s="3"/>
      <c r="BC364" s="3"/>
      <c r="BQ364" s="3"/>
    </row>
    <row r="365" spans="15:69" x14ac:dyDescent="0.2">
      <c r="O365" s="3"/>
      <c r="AB365" s="3"/>
      <c r="AO365" s="3"/>
      <c r="BC365" s="3"/>
      <c r="BQ365" s="3"/>
    </row>
    <row r="366" spans="15:69" x14ac:dyDescent="0.2">
      <c r="O366" s="3"/>
      <c r="AB366" s="3"/>
      <c r="AO366" s="3"/>
      <c r="BC366" s="3"/>
      <c r="BQ366" s="3"/>
    </row>
  </sheetData>
  <mergeCells count="5">
    <mergeCell ref="D9:P9"/>
    <mergeCell ref="Q9:AC9"/>
    <mergeCell ref="AD9:AP9"/>
    <mergeCell ref="AQ9:BD9"/>
    <mergeCell ref="BE9:BR9"/>
  </mergeCells>
  <pageMargins left="0.23622047244094491" right="0.23622047244094491" top="0.74803149606299213" bottom="0.74803149606299213" header="0.31496062992125984" footer="0.31496062992125984"/>
  <pageSetup paperSize="8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Regular_PL_by LE</vt:lpstr>
      <vt:lpstr>Regular_PL_by BU</vt:lpstr>
      <vt:lpstr>Regular_PL_by GD</vt:lpstr>
      <vt:lpstr>Regular_PL_Monthly_BU</vt:lpstr>
      <vt:lpstr>Regular_PL_Details</vt:lpstr>
      <vt:lpstr>Regular_PL_Monthly_GD</vt:lpstr>
      <vt:lpstr>PL_BUD</vt:lpstr>
      <vt:lpstr>PL_FC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Rudkovsky, Yuri [TMP] [MNCAP]</dc:creator>
  <cp:lastModifiedBy>Obycheva, Anna</cp:lastModifiedBy>
  <dcterms:created xsi:type="dcterms:W3CDTF">2026-09-10T08:43:09Z</dcterms:created>
  <dcterms:modified xsi:type="dcterms:W3CDTF">2026-09-17T10:25:32Z</dcterms:modified>
</cp:coreProperties>
</file>