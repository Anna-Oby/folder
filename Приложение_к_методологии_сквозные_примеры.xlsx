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Обложка" sheetId="1" state="visible" r:id="rId1"/>
    <sheet xmlns:r="http://schemas.openxmlformats.org/officeDocument/2006/relationships" name="Пример 1 · Год к году" sheetId="2" state="visible" r:id="rId2"/>
    <sheet xmlns:r="http://schemas.openxmlformats.org/officeDocument/2006/relationships" name="Пример 2 · Бюджет vs Форкаст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+#,##0;\-#,##0;0"/>
  </numFmts>
  <fonts count="1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22B49"/>
      <sz val="18"/>
    </font>
    <font>
      <name val="Cambria"/>
      <charset val="1"/>
      <family val="0"/>
      <color rgb="FF595959"/>
      <sz val="11"/>
    </font>
    <font>
      <name val="Cambria"/>
      <charset val="1"/>
      <family val="0"/>
      <b val="1"/>
      <color rgb="FF122B49"/>
      <sz val="12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color rgb="FF000000"/>
      <sz val="10"/>
    </font>
    <font>
      <name val="Cambria"/>
      <charset val="1"/>
      <family val="0"/>
      <color rgb="FF2E7D32"/>
      <sz val="10"/>
    </font>
    <font>
      <name val="Cambria"/>
      <charset val="1"/>
      <family val="0"/>
      <b val="1"/>
      <sz val="10"/>
    </font>
    <font>
      <name val="Cambria"/>
      <charset val="1"/>
      <family val="0"/>
      <i val="1"/>
      <color rgb="FF595959"/>
      <sz val="9"/>
    </font>
    <font>
      <name val="Cambria"/>
      <charset val="1"/>
      <family val="0"/>
      <b val="1"/>
      <color rgb="FF122B49"/>
      <sz val="16"/>
    </font>
    <font>
      <name val="Cambria"/>
      <charset val="1"/>
      <family val="0"/>
      <color rgb="FF0066CC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2F6FB"/>
        <bgColor rgb="FFF9F9F9"/>
      </patternFill>
    </fill>
    <fill>
      <patternFill patternType="solid">
        <fgColor rgb="FFD9E2F3"/>
        <bgColor rgb="FFD9D9D9"/>
      </patternFill>
    </fill>
  </fills>
  <borders count="5">
    <border>
      <left/>
      <right/>
      <top/>
      <bottom/>
      <diagonal/>
    </border>
    <border>
      <left style="thin">
        <color rgb="FFC9D4E3"/>
      </left>
      <right style="thin">
        <color rgb="FFC9D4E3"/>
      </right>
      <top style="thin">
        <color rgb="FFC9D4E3"/>
      </top>
      <bottom style="thin">
        <color rgb="FFC9D4E3"/>
      </bottom>
      <diagonal/>
    </border>
    <border>
      <left/>
      <right/>
      <top style="thin">
        <color rgb="FFC9D4E3"/>
      </top>
      <bottom/>
      <diagonal/>
    </border>
    <border>
      <left/>
      <right style="thin">
        <color rgb="FFC9D4E3"/>
      </right>
      <top style="thin">
        <color rgb="FFC9D4E3"/>
      </top>
      <bottom/>
      <diagonal/>
    </border>
    <border>
      <left/>
      <right style="thin">
        <color rgb="FFC9D4E3"/>
      </right>
      <top style="thin">
        <color rgb="FFC9D4E3"/>
      </top>
      <bottom style="thin">
        <color rgb="FFC9D4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13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center" vertical="center"/>
    </xf>
    <xf numFmtId="3" fontId="13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3" fontId="13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center" vertical="center"/>
    </xf>
    <xf numFmtId="3" fontId="13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993366"/>
      <rgbColor rgb="FFF9F9F9"/>
      <rgbColor rgb="FFF2F6FB"/>
      <rgbColor rgb="FF660066"/>
      <rgbColor rgb="FFFF8080"/>
      <rgbColor rgb="FF0066CC"/>
      <rgbColor rgb="FFC9D4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A44B"/>
      <rgbColor rgb="FF122B49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Годовой эффект факторов, руб (пример 1)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'Пример 1 · Год к году'!H22</f>
              <strCache>
                <ptCount val="1"/>
                <pt idx="0">
                  <v>Годовой эффект, руб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'Пример 1 · Год к году'!$B$23:$B$28</f>
              <strCache>
                <ptCount val="6"/>
                <pt idx="0">
                  <v>F03 · Hire PY (найм март PY)</v>
                </pt>
                <pt idx="1">
                  <v>F07.2 · Salary increase PY (+10 сен PY)</v>
                </pt>
                <pt idx="2">
                  <v>F04 · Leaver PY (увольнение дек PY)</v>
                </pt>
                <pt idx="3">
                  <v>F01 · Hire CY (повторный найм фев CY)</v>
                </pt>
                <pt idx="4">
                  <v>F07.1 · Salary increase CY (+15 апр CY)</v>
                </pt>
                <pt idx="5">
                  <v>F05 · LTL-out CY (декрет с авг CY)</v>
                </pt>
              </strCache>
            </strRef>
          </cat>
          <val>
            <numRef>
              <f>'Пример 1 · Год к году'!$H$23:$H$28</f>
              <numCache>
                <formatCode>General</formatCode>
                <ptCount val="6"/>
                <pt idx="0">
                  <v>200</v>
                </pt>
                <pt idx="1">
                  <v>80</v>
                </pt>
                <pt idx="2">
                  <v>-1210</v>
                </pt>
                <pt idx="3">
                  <v>1430</v>
                </pt>
                <pt idx="4">
                  <v>135</v>
                </pt>
                <pt idx="5">
                  <v>-725</v>
                </pt>
              </numCache>
            </numRef>
          </val>
        </ser>
        <gapWidth val="150"/>
        <overlap val="0"/>
        <axId val="75163260"/>
        <axId val="11911220"/>
      </barChart>
      <catAx>
        <axId val="751632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911220"/>
        <crosses val="autoZero"/>
        <auto val="1"/>
        <lblAlgn val="ctr"/>
        <lblOffset val="100"/>
        <noMultiLvlLbl val="0"/>
      </catAx>
      <valAx>
        <axId val="119112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+#,##0;\-#,##0;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1632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Оклад по месяцам: факт PY vs прогноз CY, руб/мес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'Пример 1 · Год к году'!B7</f>
              <strCache>
                <ptCount val="1"/>
                <pt idx="0">
                  <v>Факт PY: оклад, руб/мес</v>
                </pt>
              </strCache>
            </strRef>
          </tx>
          <spPr>
            <a:solidFill xmlns:a="http://schemas.openxmlformats.org/drawingml/2006/main">
              <a:srgbClr val="87a44b"/>
            </a:solidFill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'Пример 1 · Год к году'!$C$6:$N$6</f>
              <strCache>
                <ptCount val="12"/>
                <pt idx="0">
                  <v>Янв</v>
                </pt>
                <pt idx="1">
                  <v>Фев</v>
                </pt>
                <pt idx="2">
                  <v>Мар</v>
                </pt>
                <pt idx="3">
                  <v>Апр</v>
                </pt>
                <pt idx="4">
                  <v>Май</v>
                </pt>
                <pt idx="5">
                  <v>Июн</v>
                </pt>
                <pt idx="6">
                  <v>Июл</v>
                </pt>
                <pt idx="7">
                  <v>Авг</v>
                </pt>
                <pt idx="8">
                  <v>Сен</v>
                </pt>
                <pt idx="9">
                  <v>Окт</v>
                </pt>
                <pt idx="10">
                  <v>Ноя</v>
                </pt>
                <pt idx="11">
                  <v>Дек</v>
                </pt>
              </strCache>
            </strRef>
          </cat>
          <val>
            <numRef>
              <f>'Пример 1 · Год к году'!$C$7:$N$7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110</v>
                </pt>
                <pt idx="9">
                  <v>110</v>
                </pt>
                <pt idx="10">
                  <v>110</v>
                </pt>
                <pt idx="11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'Пример 1 · Год к году'!B8</f>
              <strCache>
                <ptCount val="1"/>
                <pt idx="0">
                  <v>Прогноз CY: оклад, руб/мес</v>
                </pt>
              </strCache>
            </strRef>
          </tx>
          <spPr>
            <a:solidFill xmlns:a="http://schemas.openxmlformats.org/drawingml/2006/main">
              <a:srgbClr val="b3c992"/>
            </a:solidFill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'Пример 1 · Год к году'!$C$6:$N$6</f>
              <strCache>
                <ptCount val="12"/>
                <pt idx="0">
                  <v>Янв</v>
                </pt>
                <pt idx="1">
                  <v>Фев</v>
                </pt>
                <pt idx="2">
                  <v>Мар</v>
                </pt>
                <pt idx="3">
                  <v>Апр</v>
                </pt>
                <pt idx="4">
                  <v>Май</v>
                </pt>
                <pt idx="5">
                  <v>Июн</v>
                </pt>
                <pt idx="6">
                  <v>Июл</v>
                </pt>
                <pt idx="7">
                  <v>Авг</v>
                </pt>
                <pt idx="8">
                  <v>Сен</v>
                </pt>
                <pt idx="9">
                  <v>Окт</v>
                </pt>
                <pt idx="10">
                  <v>Ноя</v>
                </pt>
                <pt idx="11">
                  <v>Дек</v>
                </pt>
              </strCache>
            </strRef>
          </cat>
          <val>
            <numRef>
              <f>'Пример 1 · Год к году'!$C$8:$N$8</f>
              <numCache>
                <formatCode>General</formatCode>
                <ptCount val="12"/>
                <pt idx="0">
                  <v>0</v>
                </pt>
                <pt idx="1">
                  <v>130</v>
                </pt>
                <pt idx="2">
                  <v>130</v>
                </pt>
                <pt idx="3">
                  <v>145</v>
                </pt>
                <pt idx="4">
                  <v>145</v>
                </pt>
                <pt idx="5">
                  <v>145</v>
                </pt>
                <pt idx="6">
                  <v>145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5177826"/>
        <axId val="84030507"/>
      </lineChart>
      <catAx>
        <axId val="2517782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4030507"/>
        <crosses val="autoZero"/>
        <auto val="1"/>
        <lblAlgn val="ctr"/>
        <lblOffset val="100"/>
        <noMultiLvlLbl val="0"/>
      </catAx>
      <valAx>
        <axId val="8403050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517782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Эффект факторов «сторно/реализация», руб (пример 2)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'Пример 2 · Бюджет vs Форкаст'!H13</f>
              <strCache>
                <ptCount val="1"/>
                <pt idx="0">
                  <v>Годовой эффект, руб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'Пример 2 · Бюджет vs Форкаст'!$B$14:$B$16</f>
              <strCache>
                <ptCount val="3"/>
                <pt idx="0">
                  <v>F05 · Вакансия B — СТОРНО (отмена запланированного найма)</v>
                </pt>
                <pt idx="1">
                  <v>F01 · Hire — найм C в форкасте (апрель)</v>
                </pt>
                <pt idx="2">
                  <v>F02 · Leaver — увольнение C в форкасте (ноябрь)</v>
                </pt>
              </strCache>
            </strRef>
          </cat>
          <val>
            <numRef>
              <f>'Пример 2 · Бюджет vs Форкаст'!$H$14:$H$16</f>
              <numCache>
                <formatCode>General</formatCode>
                <ptCount val="3"/>
                <pt idx="0">
                  <v>-2200</v>
                </pt>
                <pt idx="1">
                  <v>2250</v>
                </pt>
                <pt idx="2">
                  <v>-500</v>
                </pt>
              </numCache>
            </numRef>
          </val>
        </ser>
        <gapWidth val="150"/>
        <overlap val="0"/>
        <axId val="11859946"/>
        <axId val="9913322"/>
      </barChart>
      <catAx>
        <axId val="1185994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913322"/>
        <crosses val="autoZero"/>
        <auto val="1"/>
        <lblAlgn val="ctr"/>
        <lblOffset val="100"/>
        <noMultiLvlLbl val="0"/>
      </catAx>
      <valAx>
        <axId val="99133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+#,##0;\-#,##0;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85994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Оклад по месяцам: бюджет vs форкаст, руб/мес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'Пример 2 · Бюджет vs Форкаст'!B7</f>
              <strCache>
                <ptCount val="1"/>
                <pt idx="0">
                  <v>Бюджет CY: вакансия B, руб/мес</v>
                </pt>
              </strCache>
            </strRef>
          </tx>
          <spPr>
            <a:solidFill xmlns:a="http://schemas.openxmlformats.org/drawingml/2006/main">
              <a:srgbClr val="87a44b"/>
            </a:solidFill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'Пример 2 · Бюджет vs Форкаст'!$C$6:$N$6</f>
              <strCache>
                <ptCount val="12"/>
                <pt idx="0">
                  <v>Янв</v>
                </pt>
                <pt idx="1">
                  <v>Фев</v>
                </pt>
                <pt idx="2">
                  <v>Мар</v>
                </pt>
                <pt idx="3">
                  <v>Апр</v>
                </pt>
                <pt idx="4">
                  <v>Май</v>
                </pt>
                <pt idx="5">
                  <v>Июн</v>
                </pt>
                <pt idx="6">
                  <v>Июл</v>
                </pt>
                <pt idx="7">
                  <v>Авг</v>
                </pt>
                <pt idx="8">
                  <v>Сен</v>
                </pt>
                <pt idx="9">
                  <v>Окт</v>
                </pt>
                <pt idx="10">
                  <v>Ноя</v>
                </pt>
                <pt idx="11">
                  <v>Дек</v>
                </pt>
              </strCache>
            </strRef>
          </cat>
          <val>
            <numRef>
              <f>'Пример 2 · Бюджет vs Форкаст'!$C$7:$N$7</f>
              <numCache>
                <formatCode>General</formatCode>
                <ptCount val="12"/>
                <pt idx="0">
                  <v>0</v>
                </pt>
                <pt idx="1">
                  <v>200</v>
                </pt>
                <pt idx="2">
                  <v>200</v>
                </pt>
                <pt idx="3">
                  <v>200</v>
                </pt>
                <pt idx="4">
                  <v>200</v>
                </pt>
                <pt idx="5">
                  <v>200</v>
                </pt>
                <pt idx="6">
                  <v>200</v>
                </pt>
                <pt idx="7">
                  <v>200</v>
                </pt>
                <pt idx="8">
                  <v>200</v>
                </pt>
                <pt idx="9">
                  <v>200</v>
                </pt>
                <pt idx="10">
                  <v>200</v>
                </pt>
                <pt idx="11">
                  <v>200</v>
                </pt>
              </numCache>
            </numRef>
          </val>
          <smooth val="1"/>
        </ser>
        <ser>
          <idx val="1"/>
          <order val="1"/>
          <tx>
            <strRef>
              <f>'Пример 2 · Бюджет vs Форкаст'!B8</f>
              <strCache>
                <ptCount val="1"/>
                <pt idx="0">
                  <v>Форкаст CY: сотрудник C, руб/мес</v>
                </pt>
              </strCache>
            </strRef>
          </tx>
          <spPr>
            <a:solidFill xmlns:a="http://schemas.openxmlformats.org/drawingml/2006/main">
              <a:srgbClr val="b3c992"/>
            </a:solidFill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'Пример 2 · Бюджет vs Форкаст'!$C$6:$N$6</f>
              <strCache>
                <ptCount val="12"/>
                <pt idx="0">
                  <v>Янв</v>
                </pt>
                <pt idx="1">
                  <v>Фев</v>
                </pt>
                <pt idx="2">
                  <v>Мар</v>
                </pt>
                <pt idx="3">
                  <v>Апр</v>
                </pt>
                <pt idx="4">
                  <v>Май</v>
                </pt>
                <pt idx="5">
                  <v>Июн</v>
                </pt>
                <pt idx="6">
                  <v>Июл</v>
                </pt>
                <pt idx="7">
                  <v>Авг</v>
                </pt>
                <pt idx="8">
                  <v>Сен</v>
                </pt>
                <pt idx="9">
                  <v>Окт</v>
                </pt>
                <pt idx="10">
                  <v>Ноя</v>
                </pt>
                <pt idx="11">
                  <v>Дек</v>
                </pt>
              </strCache>
            </strRef>
          </cat>
          <val>
            <numRef>
              <f>'Пример 2 · Бюджет vs Форкаст'!$C$8:$N$8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250</v>
                </pt>
                <pt idx="4">
                  <v>250</v>
                </pt>
                <pt idx="5">
                  <v>250</v>
                </pt>
                <pt idx="6">
                  <v>250</v>
                </pt>
                <pt idx="7">
                  <v>250</v>
                </pt>
                <pt idx="8">
                  <v>250</v>
                </pt>
                <pt idx="9">
                  <v>250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9593692"/>
        <axId val="72196655"/>
      </lineChart>
      <catAx>
        <axId val="795936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196655"/>
        <crosses val="autoZero"/>
        <auto val="1"/>
        <lblAlgn val="ctr"/>
        <lblOffset val="100"/>
        <noMultiLvlLbl val="0"/>
      </catAx>
      <valAx>
        <axId val="7219665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95936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46</row>
      <rowOff>0</rowOff>
    </from>
    <to>
      <col>5</col>
      <colOff>262080</colOff>
      <row>61</row>
      <rowOff>21960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46</row>
      <rowOff>0</rowOff>
    </from>
    <to>
      <col>19</col>
      <colOff>212400</colOff>
      <row>61</row>
      <rowOff>21960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38</row>
      <rowOff>0</rowOff>
    </from>
    <to>
      <col>4</col>
      <colOff>473400</colOff>
      <row>53</row>
      <rowOff>22320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38</row>
      <rowOff>0</rowOff>
    </from>
    <to>
      <col>19</col>
      <colOff>212400</colOff>
      <row>53</row>
      <rowOff>22320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H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4" min="2" max="2"/>
    <col width="26" customWidth="1" style="44" min="3" max="3"/>
    <col width="30" customWidth="1" style="44" min="4" max="4"/>
  </cols>
  <sheetData>
    <row r="2" ht="33.75" customHeight="1" s="45">
      <c r="B2" s="46" t="inlineStr">
        <is>
          <t>Факторный анализ затрат на персонал — сквозные числовые примеры</t>
        </is>
      </c>
    </row>
    <row r="3" ht="15" customHeight="1" s="45">
      <c r="B3" s="47" t="inlineStr">
        <is>
          <t>Приложение к документу «Методология факторного анализа», v2.0 · август 2026 · проект «Бюджетная система по затратам на персонал»</t>
        </is>
      </c>
    </row>
    <row r="5" ht="15" customHeight="1" s="45">
      <c r="B5" s="48" t="inlineStr">
        <is>
          <t>Ключевые результаты моделирования</t>
        </is>
      </c>
    </row>
    <row r="6" ht="15" customHeight="1" s="45">
      <c r="B6" s="49" t="inlineStr">
        <is>
          <t>Показатель</t>
        </is>
      </c>
      <c r="C6" s="49" t="inlineStr">
        <is>
          <t>Пример 1 · Год к году</t>
        </is>
      </c>
      <c r="D6" s="49" t="inlineStr">
        <is>
          <t>Пример 2 · Бюджет vs Форкаст</t>
        </is>
      </c>
    </row>
    <row r="7" ht="15" customHeight="1" s="45">
      <c r="B7" s="50" t="inlineStr">
        <is>
          <t>База сравнения (факт PY / бюджет), руб/год</t>
        </is>
      </c>
      <c r="C7" s="51">
        <f>'Пример 1 · Год к году'!O7</f>
        <v/>
      </c>
      <c r="D7" s="51">
        <f>'Пример 2 · Бюджет vs Форкаст'!O7</f>
        <v/>
      </c>
    </row>
    <row r="8" ht="15" customHeight="1" s="45">
      <c r="B8" s="52" t="inlineStr">
        <is>
          <t>Анализируемая версия (прогноз CY / форкаст), руб/год</t>
        </is>
      </c>
      <c r="C8" s="53">
        <f>'Пример 1 · Год к году'!O8</f>
        <v/>
      </c>
      <c r="D8" s="53">
        <f>'Пример 2 · Бюджет vs Форкаст'!O8</f>
        <v/>
      </c>
    </row>
    <row r="9" ht="15" customHeight="1" s="45">
      <c r="B9" s="50" t="inlineStr">
        <is>
          <t>Отклонение, руб/год</t>
        </is>
      </c>
      <c r="C9" s="54">
        <f>'Пример 1 · Год к году'!O9</f>
        <v/>
      </c>
      <c r="D9" s="54">
        <f>'Пример 2 · Бюджет vs Форкаст'!O9</f>
        <v/>
      </c>
    </row>
    <row r="10" ht="15" customHeight="1" s="45">
      <c r="B10" s="52" t="inlineStr">
        <is>
          <t>Сумма факторов (контроль), руб/год</t>
        </is>
      </c>
      <c r="C10" s="55">
        <f>'Пример 1 · Год к году'!O40</f>
        <v/>
      </c>
      <c r="D10" s="55">
        <f>'Пример 2 · Бюджет vs Форкаст'!O25</f>
        <v/>
      </c>
    </row>
    <row r="13" ht="15" customHeight="1" s="45">
      <c r="B13" s="48" t="inlineStr">
        <is>
          <t>Состав файла</t>
        </is>
      </c>
    </row>
    <row r="14" ht="15" customHeight="1" s="45">
      <c r="B14" s="56" t="inlineStr">
        <is>
          <t>Лист</t>
        </is>
      </c>
      <c r="C14" s="56" t="inlineStr">
        <is>
          <t>Содержание</t>
        </is>
      </c>
    </row>
    <row r="15" ht="15" customHeight="1" s="45">
      <c r="B15" s="57" t="inlineStr">
        <is>
          <t>Пример 1 · Год к году</t>
        </is>
      </c>
      <c r="C15" s="50" t="inlineStr">
        <is>
          <t>Сотрудник А: найм/повышение/увольнение в PY, повторный найм/повышение/декрет в CY. Оконная логика: CY-факторы — «с месяца события до конца года», PY-факторы — reverse YTD</t>
        </is>
      </c>
      <c r="D15" s="58" t="n"/>
    </row>
    <row r="16" ht="15" customHeight="1" s="45">
      <c r="B16" s="57" t="inlineStr">
        <is>
          <t>Пример 2 · Бюджет vs Форкаст</t>
        </is>
      </c>
      <c r="C16" s="50" t="inlineStr">
        <is>
          <t>Вакансия B (бюджет) vs найм и увольнение сотрудника C (форкаст). Логика «сторно/реализация», агрегированный водопад с drill-down</t>
        </is>
      </c>
      <c r="D16" s="58" t="n"/>
    </row>
    <row r="19" ht="15" customHeight="1" s="45">
      <c r="B19" s="48" t="inlineStr">
        <is>
          <t>Условные обозначения и допущения</t>
        </is>
      </c>
    </row>
    <row r="20" ht="15" customHeight="1" s="45">
      <c r="B20" s="59" t="inlineStr">
        <is>
          <t>• Синий шрифт — входные данные; чёрный — формулы; зелёный — ссылки на другие листы.</t>
        </is>
      </c>
    </row>
    <row r="21" ht="15" customHeight="1" s="45">
      <c r="B21" s="59" t="inlineStr">
        <is>
          <t>• Конвенция месяца события: увольнение фиксируется в первом месяце отсутствия Person ID в срезе; уход в декрет — в месяце смены статуса Active → LTL (запись сохраняется, оклад = 0).</t>
        </is>
      </c>
    </row>
    <row r="22" ht="15" customHeight="1" s="45">
      <c r="B22" s="59" t="inlineStr">
        <is>
          <t>• Все факторы считаются только по окладной части номинала (HR-5); соцвзносы и прочие статьи FIX до появления поименного факта 1С анализируются «статья к статье».</t>
        </is>
      </c>
    </row>
    <row r="23" ht="15" customHeight="1" s="45">
      <c r="B23" s="59" t="inlineStr">
        <is>
          <t>• Сумма факторов обязана сходиться с прямой дельтой версий помесячно и за год — контрольные строки «Проверка сходимости» на каждом листе.</t>
        </is>
      </c>
    </row>
  </sheetData>
  <mergeCells count="8">
    <mergeCell ref="B21:F21"/>
    <mergeCell ref="C16:D16"/>
    <mergeCell ref="B20:F20"/>
    <mergeCell ref="C15:D15"/>
    <mergeCell ref="B2:H2"/>
    <mergeCell ref="B23:F23"/>
    <mergeCell ref="B22:F22"/>
    <mergeCell ref="B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O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44" min="2" max="2"/>
    <col width="26" customWidth="1" style="44" min="3" max="3"/>
    <col width="7" customWidth="1" style="44" min="4" max="14"/>
    <col width="9" customWidth="1" style="44" min="15" max="15"/>
  </cols>
  <sheetData>
    <row r="2" ht="25.5" customHeight="1" s="45">
      <c r="B2" s="60" t="inlineStr">
        <is>
          <t>Пример 1 · Сравнение «год к году»: прогноз CY против факта PY (сотрудник А)</t>
        </is>
      </c>
    </row>
    <row r="3" ht="15" customHeight="1" s="45">
      <c r="B3" s="59" t="inlineStr">
        <is>
          <t>События: найм март PY (100) → повышение сент PY (+10) → увольнение дек PY → повторный найм фев CY (130) → повышение апр CY (+15) → декрет авг CY (статус LTL)</t>
        </is>
      </c>
    </row>
    <row r="5" ht="15" customHeight="1" s="45">
      <c r="B5" s="48" t="inlineStr">
        <is>
          <t>1. Помесячные оклады (входные данные, руб/мес)</t>
        </is>
      </c>
    </row>
    <row r="6" ht="15" customHeight="1" s="45">
      <c r="B6" s="56" t="inlineStr">
        <is>
          <t>Показатель</t>
        </is>
      </c>
      <c r="C6" s="49" t="inlineStr">
        <is>
          <t>Янв</t>
        </is>
      </c>
      <c r="D6" s="49" t="inlineStr">
        <is>
          <t>Фев</t>
        </is>
      </c>
      <c r="E6" s="49" t="inlineStr">
        <is>
          <t>Мар</t>
        </is>
      </c>
      <c r="F6" s="49" t="inlineStr">
        <is>
          <t>Апр</t>
        </is>
      </c>
      <c r="G6" s="49" t="inlineStr">
        <is>
          <t>Май</t>
        </is>
      </c>
      <c r="H6" s="49" t="inlineStr">
        <is>
          <t>Июн</t>
        </is>
      </c>
      <c r="I6" s="49" t="inlineStr">
        <is>
          <t>Июл</t>
        </is>
      </c>
      <c r="J6" s="49" t="inlineStr">
        <is>
          <t>Авг</t>
        </is>
      </c>
      <c r="K6" s="49" t="inlineStr">
        <is>
          <t>Сен</t>
        </is>
      </c>
      <c r="L6" s="49" t="inlineStr">
        <is>
          <t>Окт</t>
        </is>
      </c>
      <c r="M6" s="49" t="inlineStr">
        <is>
          <t>Ноя</t>
        </is>
      </c>
      <c r="N6" s="49" t="inlineStr">
        <is>
          <t>Дек</t>
        </is>
      </c>
      <c r="O6" s="49" t="inlineStr">
        <is>
          <t>Год</t>
        </is>
      </c>
    </row>
    <row r="7" ht="15" customHeight="1" s="45">
      <c r="B7" s="50" t="inlineStr">
        <is>
          <t>Факт PY: оклад, руб/мес</t>
        </is>
      </c>
      <c r="C7" s="61" t="n">
        <v>0</v>
      </c>
      <c r="D7" s="61" t="n">
        <v>0</v>
      </c>
      <c r="E7" s="61" t="n">
        <v>100</v>
      </c>
      <c r="F7" s="61" t="n">
        <v>100</v>
      </c>
      <c r="G7" s="61" t="n">
        <v>100</v>
      </c>
      <c r="H7" s="61" t="n">
        <v>100</v>
      </c>
      <c r="I7" s="61" t="n">
        <v>100</v>
      </c>
      <c r="J7" s="61" t="n">
        <v>100</v>
      </c>
      <c r="K7" s="61" t="n">
        <v>110</v>
      </c>
      <c r="L7" s="61" t="n">
        <v>110</v>
      </c>
      <c r="M7" s="61" t="n">
        <v>110</v>
      </c>
      <c r="N7" s="61" t="n">
        <v>0</v>
      </c>
      <c r="O7" s="62">
        <f>SUM(C7:N7)</f>
        <v/>
      </c>
    </row>
    <row r="8" ht="15" customHeight="1" s="45">
      <c r="B8" s="50" t="inlineStr">
        <is>
          <t>Прогноз CY: оклад, руб/мес</t>
        </is>
      </c>
      <c r="C8" s="61" t="n">
        <v>0</v>
      </c>
      <c r="D8" s="61" t="n">
        <v>130</v>
      </c>
      <c r="E8" s="61" t="n">
        <v>130</v>
      </c>
      <c r="F8" s="61" t="n">
        <v>145</v>
      </c>
      <c r="G8" s="61" t="n">
        <v>145</v>
      </c>
      <c r="H8" s="61" t="n">
        <v>145</v>
      </c>
      <c r="I8" s="61" t="n">
        <v>145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>
        <f>SUM(C8:N8)</f>
        <v/>
      </c>
    </row>
    <row r="9" ht="15" customHeight="1" s="45">
      <c r="B9" s="57" t="inlineStr">
        <is>
          <t>Отклонение CY − PY, руб/мес</t>
        </is>
      </c>
      <c r="C9" s="63">
        <f>C8-C7</f>
        <v/>
      </c>
      <c r="D9" s="63">
        <f>D8-D7</f>
        <v/>
      </c>
      <c r="E9" s="63">
        <f>E8-E7</f>
        <v/>
      </c>
      <c r="F9" s="63">
        <f>F8-F7</f>
        <v/>
      </c>
      <c r="G9" s="63">
        <f>G8-G7</f>
        <v/>
      </c>
      <c r="H9" s="63">
        <f>H8-H7</f>
        <v/>
      </c>
      <c r="I9" s="63">
        <f>I8-I7</f>
        <v/>
      </c>
      <c r="J9" s="63">
        <f>J8-J7</f>
        <v/>
      </c>
      <c r="K9" s="63">
        <f>K8-K7</f>
        <v/>
      </c>
      <c r="L9" s="63">
        <f>L8-L7</f>
        <v/>
      </c>
      <c r="M9" s="63">
        <f>M8-M7</f>
        <v/>
      </c>
      <c r="N9" s="63">
        <f>N8-N7</f>
        <v/>
      </c>
      <c r="O9" s="64">
        <f>SUM(C9:N9)</f>
        <v/>
      </c>
    </row>
    <row r="10" ht="15" customHeight="1" s="45">
      <c r="B10" s="59" t="inlineStr">
        <is>
          <t>Конвенция: «уволен в декабре» = на конец декабря Person ID отсутствует в срезе (декабрь — первый месяц без выплат). «Ушёл в декрет в августе» = в августе статус Active → Long-Term Leave, запись сохраняется, оклад = 0.</t>
        </is>
      </c>
    </row>
    <row r="12" ht="15" customHeight="1" s="45">
      <c r="B12" s="48" t="inlineStr">
        <is>
          <t>2. Реестр событий (идентификация по наличию Person ID и смене статуса/оклада)</t>
        </is>
      </c>
    </row>
    <row r="13" ht="15" customHeight="1" s="45">
      <c r="B13" s="49" t="inlineStr">
        <is>
          <t>Событие</t>
        </is>
      </c>
      <c r="C13" s="49" t="inlineStr">
        <is>
          <t>Месяц</t>
        </is>
      </c>
      <c r="D13" s="49" t="inlineStr">
        <is>
          <t>Год</t>
        </is>
      </c>
      <c r="E13" s="49" t="inlineStr">
        <is>
          <t>Оклад до</t>
        </is>
      </c>
      <c r="F13" s="49" t="inlineStr">
        <is>
          <t>Оклад после</t>
        </is>
      </c>
      <c r="G13" s="49" t="inlineStr">
        <is>
          <t>Дельта оклада</t>
        </is>
      </c>
    </row>
    <row r="14" ht="15" customHeight="1" s="45">
      <c r="B14" s="65" t="inlineStr">
        <is>
          <t>Hire — первый найм</t>
        </is>
      </c>
      <c r="C14" s="66" t="inlineStr">
        <is>
          <t>Мар</t>
        </is>
      </c>
      <c r="D14" s="66" t="inlineStr">
        <is>
          <t>PY</t>
        </is>
      </c>
      <c r="E14" s="61" t="n">
        <v>0</v>
      </c>
      <c r="F14" s="61" t="n">
        <v>100</v>
      </c>
      <c r="G14" s="63">
        <f>F14-E14</f>
        <v/>
      </c>
    </row>
    <row r="15" ht="15" customHeight="1" s="45">
      <c r="B15" s="67" t="inlineStr">
        <is>
          <t>Salary increase</t>
        </is>
      </c>
      <c r="C15" s="68" t="inlineStr">
        <is>
          <t>Сен</t>
        </is>
      </c>
      <c r="D15" s="68" t="inlineStr">
        <is>
          <t>PY</t>
        </is>
      </c>
      <c r="E15" s="69" t="n">
        <v>100</v>
      </c>
      <c r="F15" s="69" t="n">
        <v>110</v>
      </c>
      <c r="G15" s="70">
        <f>F15-E15</f>
        <v/>
      </c>
    </row>
    <row r="16" ht="15" customHeight="1" s="45">
      <c r="B16" s="65" t="inlineStr">
        <is>
          <t>Leaver — увольнение</t>
        </is>
      </c>
      <c r="C16" s="66" t="inlineStr">
        <is>
          <t>Дек</t>
        </is>
      </c>
      <c r="D16" s="66" t="inlineStr">
        <is>
          <t>PY</t>
        </is>
      </c>
      <c r="E16" s="61" t="n">
        <v>110</v>
      </c>
      <c r="F16" s="61" t="n">
        <v>0</v>
      </c>
      <c r="G16" s="63">
        <f>F16-E16</f>
        <v/>
      </c>
    </row>
    <row r="17" ht="15" customHeight="1" s="45">
      <c r="B17" s="67" t="inlineStr">
        <is>
          <t>Hire — повторный найм</t>
        </is>
      </c>
      <c r="C17" s="68" t="inlineStr">
        <is>
          <t>Фев</t>
        </is>
      </c>
      <c r="D17" s="68" t="inlineStr">
        <is>
          <t>CY</t>
        </is>
      </c>
      <c r="E17" s="69" t="n">
        <v>0</v>
      </c>
      <c r="F17" s="69" t="n">
        <v>130</v>
      </c>
      <c r="G17" s="70">
        <f>F17-E17</f>
        <v/>
      </c>
    </row>
    <row r="18" ht="15" customHeight="1" s="45">
      <c r="B18" s="65" t="inlineStr">
        <is>
          <t>Salary increase</t>
        </is>
      </c>
      <c r="C18" s="66" t="inlineStr">
        <is>
          <t>Апр</t>
        </is>
      </c>
      <c r="D18" s="66" t="inlineStr">
        <is>
          <t>CY</t>
        </is>
      </c>
      <c r="E18" s="61" t="n">
        <v>130</v>
      </c>
      <c r="F18" s="61" t="n">
        <v>145</v>
      </c>
      <c r="G18" s="63">
        <f>F18-E18</f>
        <v/>
      </c>
    </row>
    <row r="19" ht="15" customHeight="1" s="45">
      <c r="B19" s="67" t="inlineStr">
        <is>
          <t>LTL-out — уход в декрет</t>
        </is>
      </c>
      <c r="C19" s="68" t="inlineStr">
        <is>
          <t>Авг</t>
        </is>
      </c>
      <c r="D19" s="68" t="inlineStr">
        <is>
          <t>CY</t>
        </is>
      </c>
      <c r="E19" s="69" t="n">
        <v>145</v>
      </c>
      <c r="F19" s="69" t="n">
        <v>0</v>
      </c>
      <c r="G19" s="70">
        <f>F19-E19</f>
        <v/>
      </c>
    </row>
    <row r="21" ht="15" customHeight="1" s="45">
      <c r="B21" s="48" t="inlineStr">
        <is>
          <t>3. Факторы: окна действия и годовой эффект (год-к-году: CY-факторы = «сумма с месяца события до конца года», PY-факторы = reverse YTD — только месяцы до месяца события)</t>
        </is>
      </c>
    </row>
    <row r="22" ht="15" customHeight="1" s="45">
      <c r="B22" s="49" t="inlineStr">
        <is>
          <t>Фактор</t>
        </is>
      </c>
      <c r="C22" s="49" t="inlineStr">
        <is>
          <t>Событие-драйвер</t>
        </is>
      </c>
      <c r="D22" s="49" t="inlineStr">
        <is>
          <t>Окно: с мес.</t>
        </is>
      </c>
      <c r="E22" s="49" t="inlineStr">
        <is>
          <t>Окно: по мес.</t>
        </is>
      </c>
      <c r="F22" s="49" t="inlineStr">
        <is>
          <t>Ставка, руб/мес</t>
        </is>
      </c>
      <c r="G22" s="49" t="inlineStr">
        <is>
          <t>Месяцев</t>
        </is>
      </c>
      <c r="H22" s="49" t="inlineStr">
        <is>
          <t>Годовой эффект, руб</t>
        </is>
      </c>
    </row>
    <row r="23" ht="15" customHeight="1" s="45">
      <c r="B23" s="50" t="inlineStr">
        <is>
          <t>F03 · Hire PY (найм март PY)</t>
        </is>
      </c>
      <c r="C23" s="50" t="inlineStr">
        <is>
          <t>Найм март PY @100</t>
        </is>
      </c>
      <c r="D23" s="66" t="n">
        <v>1</v>
      </c>
      <c r="E23" s="66" t="n">
        <v>2</v>
      </c>
      <c r="F23" s="71" t="n">
        <v>100</v>
      </c>
      <c r="G23" s="72">
        <f>E23-D23+1</f>
        <v/>
      </c>
      <c r="H23" s="64">
        <f>F23*G23</f>
        <v/>
      </c>
    </row>
    <row r="24" ht="15" customHeight="1" s="45">
      <c r="B24" s="52" t="inlineStr">
        <is>
          <t>F07.2 · Salary increase PY (+10 сен PY)</t>
        </is>
      </c>
      <c r="C24" s="52" t="inlineStr">
        <is>
          <t>Повышение сент PY</t>
        </is>
      </c>
      <c r="D24" s="68" t="n">
        <v>1</v>
      </c>
      <c r="E24" s="68" t="n">
        <v>8</v>
      </c>
      <c r="F24" s="73" t="n">
        <v>10</v>
      </c>
      <c r="G24" s="74">
        <f>E24-D24+1</f>
        <v/>
      </c>
      <c r="H24" s="75">
        <f>F24*G24</f>
        <v/>
      </c>
    </row>
    <row r="25" ht="15" customHeight="1" s="45">
      <c r="B25" s="50" t="inlineStr">
        <is>
          <t>F04 · Leaver PY (увольнение дек PY)</t>
        </is>
      </c>
      <c r="C25" s="50" t="inlineStr">
        <is>
          <t>Увольнение дек PY @110</t>
        </is>
      </c>
      <c r="D25" s="66" t="n">
        <v>1</v>
      </c>
      <c r="E25" s="66" t="n">
        <v>11</v>
      </c>
      <c r="F25" s="71" t="n">
        <v>-110</v>
      </c>
      <c r="G25" s="72">
        <f>E25-D25+1</f>
        <v/>
      </c>
      <c r="H25" s="64">
        <f>F25*G25</f>
        <v/>
      </c>
    </row>
    <row r="26" ht="15" customHeight="1" s="45">
      <c r="B26" s="52" t="inlineStr">
        <is>
          <t>F01 · Hire CY (повторный найм фев CY)</t>
        </is>
      </c>
      <c r="C26" s="52" t="inlineStr">
        <is>
          <t>Найм фев CY @130</t>
        </is>
      </c>
      <c r="D26" s="68" t="n">
        <v>2</v>
      </c>
      <c r="E26" s="68" t="n">
        <v>12</v>
      </c>
      <c r="F26" s="73" t="n">
        <v>130</v>
      </c>
      <c r="G26" s="74">
        <f>E26-D26+1</f>
        <v/>
      </c>
      <c r="H26" s="75">
        <f>F26*G26</f>
        <v/>
      </c>
    </row>
    <row r="27" ht="15" customHeight="1" s="45">
      <c r="B27" s="50" t="inlineStr">
        <is>
          <t>F07.1 · Salary increase CY (+15 апр CY)</t>
        </is>
      </c>
      <c r="C27" s="50" t="inlineStr">
        <is>
          <t>Повышение апр CY</t>
        </is>
      </c>
      <c r="D27" s="66" t="n">
        <v>4</v>
      </c>
      <c r="E27" s="66" t="n">
        <v>12</v>
      </c>
      <c r="F27" s="71" t="n">
        <v>15</v>
      </c>
      <c r="G27" s="72">
        <f>E27-D27+1</f>
        <v/>
      </c>
      <c r="H27" s="64">
        <f>F27*G27</f>
        <v/>
      </c>
    </row>
    <row r="28" ht="15" customHeight="1" s="45">
      <c r="B28" s="52" t="inlineStr">
        <is>
          <t>F11_1 · LTL start CY (уход в декрет с авг CY)</t>
        </is>
      </c>
      <c r="C28" s="52" t="inlineStr">
        <is>
          <t>Уход в декрет авг CY @145</t>
        </is>
      </c>
      <c r="D28" s="68" t="n">
        <v>8</v>
      </c>
      <c r="E28" s="68" t="n">
        <v>12</v>
      </c>
      <c r="F28" s="73" t="n">
        <v>-145</v>
      </c>
      <c r="G28" s="74">
        <f>E28-D28+1</f>
        <v/>
      </c>
      <c r="H28" s="75">
        <f>F28*G28</f>
        <v/>
      </c>
    </row>
    <row r="29" ht="15" customHeight="1" s="45">
      <c r="B29" s="76" t="inlineStr">
        <is>
          <t>ИТОГО сумма факторов</t>
        </is>
      </c>
      <c r="C29" s="77" t="n"/>
      <c r="D29" s="77" t="n"/>
      <c r="E29" s="77" t="n"/>
      <c r="F29" s="77" t="n"/>
      <c r="G29" s="77" t="n"/>
      <c r="H29" s="78">
        <f>SUM(H23:H28)</f>
        <v/>
      </c>
    </row>
    <row r="31" ht="15" customHeight="1" s="45">
      <c r="B31" s="48" t="inlineStr">
        <is>
          <t>4. Помесячная атрибуция факторов и контрольная сверка (руб/мес)</t>
        </is>
      </c>
    </row>
    <row r="32" ht="15" customHeight="1" s="45">
      <c r="B32" s="56" t="inlineStr">
        <is>
          <t>Фактор \ Месяц</t>
        </is>
      </c>
      <c r="C32" s="79" t="n">
        <v>1</v>
      </c>
      <c r="D32" s="79" t="n">
        <v>2</v>
      </c>
      <c r="E32" s="79" t="n">
        <v>3</v>
      </c>
      <c r="F32" s="79" t="n">
        <v>4</v>
      </c>
      <c r="G32" s="79" t="n">
        <v>5</v>
      </c>
      <c r="H32" s="79" t="n">
        <v>6</v>
      </c>
      <c r="I32" s="79" t="n">
        <v>7</v>
      </c>
      <c r="J32" s="79" t="n">
        <v>8</v>
      </c>
      <c r="K32" s="79" t="n">
        <v>9</v>
      </c>
      <c r="L32" s="79" t="n">
        <v>10</v>
      </c>
      <c r="M32" s="79" t="n">
        <v>11</v>
      </c>
      <c r="N32" s="79" t="n">
        <v>12</v>
      </c>
      <c r="O32" s="49" t="inlineStr">
        <is>
          <t>Год</t>
        </is>
      </c>
    </row>
    <row r="33" ht="15" customHeight="1" s="45">
      <c r="B33" s="59" t="inlineStr">
        <is>
          <t>← номера месяцев (служебная строка для формул окна)</t>
        </is>
      </c>
    </row>
    <row r="34" ht="15" customHeight="1" s="45">
      <c r="B34" s="50" t="inlineStr">
        <is>
          <t>F03 · Hire PY (найм март PY)</t>
        </is>
      </c>
      <c r="C34" s="63">
        <f>IF(AND(C$32&gt;=$D23,C$32&lt;=$E23),$F23,0)</f>
        <v/>
      </c>
      <c r="D34" s="63">
        <f>IF(AND(D$32&gt;=$D23,D$32&lt;=$E23),$F23,0)</f>
        <v/>
      </c>
      <c r="E34" s="63">
        <f>IF(AND(E$32&gt;=$D23,E$32&lt;=$E23),$F23,0)</f>
        <v/>
      </c>
      <c r="F34" s="63">
        <f>IF(AND(F$32&gt;=$D23,F$32&lt;=$E23),$F23,0)</f>
        <v/>
      </c>
      <c r="G34" s="63">
        <f>IF(AND(G$32&gt;=$D23,G$32&lt;=$E23),$F23,0)</f>
        <v/>
      </c>
      <c r="H34" s="63">
        <f>IF(AND(H$32&gt;=$D23,H$32&lt;=$E23),$F23,0)</f>
        <v/>
      </c>
      <c r="I34" s="63">
        <f>IF(AND(I$32&gt;=$D23,I$32&lt;=$E23),$F23,0)</f>
        <v/>
      </c>
      <c r="J34" s="63">
        <f>IF(AND(J$32&gt;=$D23,J$32&lt;=$E23),$F23,0)</f>
        <v/>
      </c>
      <c r="K34" s="63">
        <f>IF(AND(K$32&gt;=$D23,K$32&lt;=$E23),$F23,0)</f>
        <v/>
      </c>
      <c r="L34" s="63">
        <f>IF(AND(L$32&gt;=$D23,L$32&lt;=$E23),$F23,0)</f>
        <v/>
      </c>
      <c r="M34" s="63">
        <f>IF(AND(M$32&gt;=$D23,M$32&lt;=$E23),$F23,0)</f>
        <v/>
      </c>
      <c r="N34" s="63">
        <f>IF(AND(N$32&gt;=$D23,N$32&lt;=$E23),$F23,0)</f>
        <v/>
      </c>
      <c r="O34" s="64">
        <f>SUM(C34:N34)</f>
        <v/>
      </c>
    </row>
    <row r="35" ht="15" customHeight="1" s="45">
      <c r="B35" s="52" t="inlineStr">
        <is>
          <t>F07.2 · Salary increase PY (+10 сен PY)</t>
        </is>
      </c>
      <c r="C35" s="70">
        <f>IF(AND(C$32&gt;=$D24,C$32&lt;=$E24),$F24,0)</f>
        <v/>
      </c>
      <c r="D35" s="70">
        <f>IF(AND(D$32&gt;=$D24,D$32&lt;=$E24),$F24,0)</f>
        <v/>
      </c>
      <c r="E35" s="70">
        <f>IF(AND(E$32&gt;=$D24,E$32&lt;=$E24),$F24,0)</f>
        <v/>
      </c>
      <c r="F35" s="70">
        <f>IF(AND(F$32&gt;=$D24,F$32&lt;=$E24),$F24,0)</f>
        <v/>
      </c>
      <c r="G35" s="70">
        <f>IF(AND(G$32&gt;=$D24,G$32&lt;=$E24),$F24,0)</f>
        <v/>
      </c>
      <c r="H35" s="70">
        <f>IF(AND(H$32&gt;=$D24,H$32&lt;=$E24),$F24,0)</f>
        <v/>
      </c>
      <c r="I35" s="70">
        <f>IF(AND(I$32&gt;=$D24,I$32&lt;=$E24),$F24,0)</f>
        <v/>
      </c>
      <c r="J35" s="70">
        <f>IF(AND(J$32&gt;=$D24,J$32&lt;=$E24),$F24,0)</f>
        <v/>
      </c>
      <c r="K35" s="70">
        <f>IF(AND(K$32&gt;=$D24,K$32&lt;=$E24),$F24,0)</f>
        <v/>
      </c>
      <c r="L35" s="70">
        <f>IF(AND(L$32&gt;=$D24,L$32&lt;=$E24),$F24,0)</f>
        <v/>
      </c>
      <c r="M35" s="70">
        <f>IF(AND(M$32&gt;=$D24,M$32&lt;=$E24),$F24,0)</f>
        <v/>
      </c>
      <c r="N35" s="70">
        <f>IF(AND(N$32&gt;=$D24,N$32&lt;=$E24),$F24,0)</f>
        <v/>
      </c>
      <c r="O35" s="75">
        <f>SUM(C35:N35)</f>
        <v/>
      </c>
    </row>
    <row r="36" ht="15" customHeight="1" s="45">
      <c r="B36" s="50" t="inlineStr">
        <is>
          <t>F04 · Leaver PY (увольнение дек PY)</t>
        </is>
      </c>
      <c r="C36" s="63">
        <f>IF(AND(C$32&gt;=$D25,C$32&lt;=$E25),$F25,0)</f>
        <v/>
      </c>
      <c r="D36" s="63">
        <f>IF(AND(D$32&gt;=$D25,D$32&lt;=$E25),$F25,0)</f>
        <v/>
      </c>
      <c r="E36" s="63">
        <f>IF(AND(E$32&gt;=$D25,E$32&lt;=$E25),$F25,0)</f>
        <v/>
      </c>
      <c r="F36" s="63">
        <f>IF(AND(F$32&gt;=$D25,F$32&lt;=$E25),$F25,0)</f>
        <v/>
      </c>
      <c r="G36" s="63">
        <f>IF(AND(G$32&gt;=$D25,G$32&lt;=$E25),$F25,0)</f>
        <v/>
      </c>
      <c r="H36" s="63">
        <f>IF(AND(H$32&gt;=$D25,H$32&lt;=$E25),$F25,0)</f>
        <v/>
      </c>
      <c r="I36" s="63">
        <f>IF(AND(I$32&gt;=$D25,I$32&lt;=$E25),$F25,0)</f>
        <v/>
      </c>
      <c r="J36" s="63">
        <f>IF(AND(J$32&gt;=$D25,J$32&lt;=$E25),$F25,0)</f>
        <v/>
      </c>
      <c r="K36" s="63">
        <f>IF(AND(K$32&gt;=$D25,K$32&lt;=$E25),$F25,0)</f>
        <v/>
      </c>
      <c r="L36" s="63">
        <f>IF(AND(L$32&gt;=$D25,L$32&lt;=$E25),$F25,0)</f>
        <v/>
      </c>
      <c r="M36" s="63">
        <f>IF(AND(M$32&gt;=$D25,M$32&lt;=$E25),$F25,0)</f>
        <v/>
      </c>
      <c r="N36" s="63">
        <f>IF(AND(N$32&gt;=$D25,N$32&lt;=$E25),$F25,0)</f>
        <v/>
      </c>
      <c r="O36" s="64">
        <f>SUM(C36:N36)</f>
        <v/>
      </c>
    </row>
    <row r="37" ht="15" customHeight="1" s="45">
      <c r="B37" s="52" t="inlineStr">
        <is>
          <t>F01 · Hire CY (повторный найм фев CY)</t>
        </is>
      </c>
      <c r="C37" s="70">
        <f>IF(AND(C$32&gt;=$D26,C$32&lt;=$E26),$F26,0)</f>
        <v/>
      </c>
      <c r="D37" s="70">
        <f>IF(AND(D$32&gt;=$D26,D$32&lt;=$E26),$F26,0)</f>
        <v/>
      </c>
      <c r="E37" s="70">
        <f>IF(AND(E$32&gt;=$D26,E$32&lt;=$E26),$F26,0)</f>
        <v/>
      </c>
      <c r="F37" s="70">
        <f>IF(AND(F$32&gt;=$D26,F$32&lt;=$E26),$F26,0)</f>
        <v/>
      </c>
      <c r="G37" s="70">
        <f>IF(AND(G$32&gt;=$D26,G$32&lt;=$E26),$F26,0)</f>
        <v/>
      </c>
      <c r="H37" s="70">
        <f>IF(AND(H$32&gt;=$D26,H$32&lt;=$E26),$F26,0)</f>
        <v/>
      </c>
      <c r="I37" s="70">
        <f>IF(AND(I$32&gt;=$D26,I$32&lt;=$E26),$F26,0)</f>
        <v/>
      </c>
      <c r="J37" s="70">
        <f>IF(AND(J$32&gt;=$D26,J$32&lt;=$E26),$F26,0)</f>
        <v/>
      </c>
      <c r="K37" s="70">
        <f>IF(AND(K$32&gt;=$D26,K$32&lt;=$E26),$F26,0)</f>
        <v/>
      </c>
      <c r="L37" s="70">
        <f>IF(AND(L$32&gt;=$D26,L$32&lt;=$E26),$F26,0)</f>
        <v/>
      </c>
      <c r="M37" s="70">
        <f>IF(AND(M$32&gt;=$D26,M$32&lt;=$E26),$F26,0)</f>
        <v/>
      </c>
      <c r="N37" s="70">
        <f>IF(AND(N$32&gt;=$D26,N$32&lt;=$E26),$F26,0)</f>
        <v/>
      </c>
      <c r="O37" s="75">
        <f>SUM(C37:N37)</f>
        <v/>
      </c>
    </row>
    <row r="38" ht="15" customHeight="1" s="45">
      <c r="B38" s="50" t="inlineStr">
        <is>
          <t>F07.1 · Salary increase CY (+15 апр CY)</t>
        </is>
      </c>
      <c r="C38" s="63">
        <f>IF(AND(C$32&gt;=$D27,C$32&lt;=$E27),$F27,0)</f>
        <v/>
      </c>
      <c r="D38" s="63">
        <f>IF(AND(D$32&gt;=$D27,D$32&lt;=$E27),$F27,0)</f>
        <v/>
      </c>
      <c r="E38" s="63">
        <f>IF(AND(E$32&gt;=$D27,E$32&lt;=$E27),$F27,0)</f>
        <v/>
      </c>
      <c r="F38" s="63">
        <f>IF(AND(F$32&gt;=$D27,F$32&lt;=$E27),$F27,0)</f>
        <v/>
      </c>
      <c r="G38" s="63">
        <f>IF(AND(G$32&gt;=$D27,G$32&lt;=$E27),$F27,0)</f>
        <v/>
      </c>
      <c r="H38" s="63">
        <f>IF(AND(H$32&gt;=$D27,H$32&lt;=$E27),$F27,0)</f>
        <v/>
      </c>
      <c r="I38" s="63">
        <f>IF(AND(I$32&gt;=$D27,I$32&lt;=$E27),$F27,0)</f>
        <v/>
      </c>
      <c r="J38" s="63">
        <f>IF(AND(J$32&gt;=$D27,J$32&lt;=$E27),$F27,0)</f>
        <v/>
      </c>
      <c r="K38" s="63">
        <f>IF(AND(K$32&gt;=$D27,K$32&lt;=$E27),$F27,0)</f>
        <v/>
      </c>
      <c r="L38" s="63">
        <f>IF(AND(L$32&gt;=$D27,L$32&lt;=$E27),$F27,0)</f>
        <v/>
      </c>
      <c r="M38" s="63">
        <f>IF(AND(M$32&gt;=$D27,M$32&lt;=$E27),$F27,0)</f>
        <v/>
      </c>
      <c r="N38" s="63">
        <f>IF(AND(N$32&gt;=$D27,N$32&lt;=$E27),$F27,0)</f>
        <v/>
      </c>
      <c r="O38" s="64">
        <f>SUM(C38:N38)</f>
        <v/>
      </c>
    </row>
    <row r="39" ht="15" customHeight="1" s="45">
      <c r="B39" s="52" t="inlineStr">
        <is>
          <t>F11_1 · LTL start CY (декрет с авг CY)</t>
        </is>
      </c>
      <c r="C39" s="70">
        <f>IF(AND(C$32&gt;=$D28,C$32&lt;=$E28),$F28,0)</f>
        <v/>
      </c>
      <c r="D39" s="70">
        <f>IF(AND(D$32&gt;=$D28,D$32&lt;=$E28),$F28,0)</f>
        <v/>
      </c>
      <c r="E39" s="70">
        <f>IF(AND(E$32&gt;=$D28,E$32&lt;=$E28),$F28,0)</f>
        <v/>
      </c>
      <c r="F39" s="70">
        <f>IF(AND(F$32&gt;=$D28,F$32&lt;=$E28),$F28,0)</f>
        <v/>
      </c>
      <c r="G39" s="70">
        <f>IF(AND(G$32&gt;=$D28,G$32&lt;=$E28),$F28,0)</f>
        <v/>
      </c>
      <c r="H39" s="70">
        <f>IF(AND(H$32&gt;=$D28,H$32&lt;=$E28),$F28,0)</f>
        <v/>
      </c>
      <c r="I39" s="70">
        <f>IF(AND(I$32&gt;=$D28,I$32&lt;=$E28),$F28,0)</f>
        <v/>
      </c>
      <c r="J39" s="70">
        <f>IF(AND(J$32&gt;=$D28,J$32&lt;=$E28),$F28,0)</f>
        <v/>
      </c>
      <c r="K39" s="70">
        <f>IF(AND(K$32&gt;=$D28,K$32&lt;=$E28),$F28,0)</f>
        <v/>
      </c>
      <c r="L39" s="70">
        <f>IF(AND(L$32&gt;=$D28,L$32&lt;=$E28),$F28,0)</f>
        <v/>
      </c>
      <c r="M39" s="70">
        <f>IF(AND(M$32&gt;=$D28,M$32&lt;=$E28),$F28,0)</f>
        <v/>
      </c>
      <c r="N39" s="70">
        <f>IF(AND(N$32&gt;=$D28,N$32&lt;=$E28),$F28,0)</f>
        <v/>
      </c>
      <c r="O39" s="75">
        <f>SUM(C39:N39)</f>
        <v/>
      </c>
    </row>
    <row r="40" ht="15" customHeight="1" s="45">
      <c r="B40" s="80" t="inlineStr">
        <is>
          <t>Сумма факторов</t>
        </is>
      </c>
      <c r="C40" s="78">
        <f>SUM(C34:C39)</f>
        <v/>
      </c>
      <c r="D40" s="78">
        <f>SUM(D34:D39)</f>
        <v/>
      </c>
      <c r="E40" s="78">
        <f>SUM(E34:E39)</f>
        <v/>
      </c>
      <c r="F40" s="78">
        <f>SUM(F34:F39)</f>
        <v/>
      </c>
      <c r="G40" s="78">
        <f>SUM(G34:G39)</f>
        <v/>
      </c>
      <c r="H40" s="78">
        <f>SUM(H34:H39)</f>
        <v/>
      </c>
      <c r="I40" s="78">
        <f>SUM(I34:I39)</f>
        <v/>
      </c>
      <c r="J40" s="78">
        <f>SUM(J34:J39)</f>
        <v/>
      </c>
      <c r="K40" s="78">
        <f>SUM(K34:K39)</f>
        <v/>
      </c>
      <c r="L40" s="78">
        <f>SUM(L34:L39)</f>
        <v/>
      </c>
      <c r="M40" s="78">
        <f>SUM(M34:M39)</f>
        <v/>
      </c>
      <c r="N40" s="78">
        <f>SUM(N34:N39)</f>
        <v/>
      </c>
      <c r="O40" s="78">
        <f>SUM(O34:O39)</f>
        <v/>
      </c>
    </row>
    <row r="41" ht="15" customHeight="1" s="45">
      <c r="B41" s="50" t="inlineStr">
        <is>
          <t>Контроль: прямая дельта CY − PY</t>
        </is>
      </c>
      <c r="C41" s="63">
        <f>C9</f>
        <v/>
      </c>
      <c r="D41" s="63">
        <f>D9</f>
        <v/>
      </c>
      <c r="E41" s="63">
        <f>E9</f>
        <v/>
      </c>
      <c r="F41" s="63">
        <f>F9</f>
        <v/>
      </c>
      <c r="G41" s="63">
        <f>G9</f>
        <v/>
      </c>
      <c r="H41" s="63">
        <f>H9</f>
        <v/>
      </c>
      <c r="I41" s="63">
        <f>I9</f>
        <v/>
      </c>
      <c r="J41" s="63">
        <f>J9</f>
        <v/>
      </c>
      <c r="K41" s="63">
        <f>K9</f>
        <v/>
      </c>
      <c r="L41" s="63">
        <f>L9</f>
        <v/>
      </c>
      <c r="M41" s="63">
        <f>M9</f>
        <v/>
      </c>
      <c r="N41" s="63">
        <f>N9</f>
        <v/>
      </c>
      <c r="O41" s="63">
        <f>O9</f>
        <v/>
      </c>
    </row>
    <row r="42" ht="15" customHeight="1" s="45">
      <c r="B42" s="57" t="inlineStr">
        <is>
          <t>Проверка сходимости</t>
        </is>
      </c>
      <c r="C42" s="81">
        <f>IF(C40=C41,"OK","ОШИБКА")</f>
        <v/>
      </c>
      <c r="D42" s="81">
        <f>IF(D40=D41,"OK","ОШИБКА")</f>
        <v/>
      </c>
      <c r="E42" s="81">
        <f>IF(E40=E41,"OK","ОШИБКА")</f>
        <v/>
      </c>
      <c r="F42" s="81">
        <f>IF(F40=F41,"OK","ОШИБКА")</f>
        <v/>
      </c>
      <c r="G42" s="81">
        <f>IF(G40=G41,"OK","ОШИБКА")</f>
        <v/>
      </c>
      <c r="H42" s="81">
        <f>IF(H40=H41,"OK","ОШИБКА")</f>
        <v/>
      </c>
      <c r="I42" s="81">
        <f>IF(I40=I41,"OK","ОШИБКА")</f>
        <v/>
      </c>
      <c r="J42" s="81">
        <f>IF(J40=J41,"OK","ОШИБКА")</f>
        <v/>
      </c>
      <c r="K42" s="81">
        <f>IF(K40=K41,"OK","ОШИБКА")</f>
        <v/>
      </c>
      <c r="L42" s="81">
        <f>IF(L40=L41,"OK","ОШИБКА")</f>
        <v/>
      </c>
      <c r="M42" s="81">
        <f>IF(M40=M41,"OK","ОШИБКА")</f>
        <v/>
      </c>
      <c r="N42" s="81">
        <f>IF(N40=N41,"OK","ОШИБКА")</f>
        <v/>
      </c>
      <c r="O42" s="81">
        <f>IF(O40=O41,"OK","ОШИБКА")</f>
        <v/>
      </c>
    </row>
    <row r="44" ht="15" customHeight="1" s="45">
      <c r="B44" s="59" t="inlineStr">
        <is>
          <t>Читаемость: повторный найм даёт зеркальные факторы Leaver PY (−1 210) и Hire CY (+1 430). Они НЕ неттируются: сотрудник легитимно присутствует в двух факторах, сумма факторов (−90) точно равна прямой дельте версий (840 − 930).</t>
        </is>
      </c>
    </row>
    <row r="45" ht="15" customHeight="1" s="45">
      <c r="B45" s="59" t="inlineStr">
        <is>
          <t>Нюанс: премия повторного найма (+20 к прежнему окладу 110) не выделяется отдельным фактором — она «сидит» в нетто-паре Hire CY / Leaver PY (+220 = 20 × 11 мес). Зафиксировано как известное ограничение.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O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44" min="2" max="2"/>
    <col width="24" customWidth="1" style="44" min="3" max="3"/>
    <col width="7" customWidth="1" style="44" min="4" max="14"/>
    <col width="9" customWidth="1" style="44" min="15" max="15"/>
  </cols>
  <sheetData>
    <row r="2" ht="25.5" customHeight="1" s="45">
      <c r="B2" s="60" t="inlineStr">
        <is>
          <t>Пример 2 · Сравнение версий внутри года: бюджет CY против форкаста CY (логика «сторно / реализация»)</t>
        </is>
      </c>
    </row>
    <row r="3" ht="15" customHeight="1" s="45">
      <c r="B3" s="59" t="inlineStr">
        <is>
          <t>Бюджет: вакансия B с февраля, 200 руб/мес. Форкаст: вакансия B отсторнирована; сотрудник C нанят в апреле на 250 руб/мес, увольняется в ноябре (ноябрь — первый месяц отсутствия)</t>
        </is>
      </c>
    </row>
    <row r="5" ht="15" customHeight="1" s="45">
      <c r="B5" s="48" t="inlineStr">
        <is>
          <t>1. Помесячные оклады версий (входные данные, руб/мес)</t>
        </is>
      </c>
    </row>
    <row r="6" ht="15" customHeight="1" s="45">
      <c r="B6" s="56" t="inlineStr">
        <is>
          <t>Показатель</t>
        </is>
      </c>
      <c r="C6" s="49" t="inlineStr">
        <is>
          <t>Янв</t>
        </is>
      </c>
      <c r="D6" s="49" t="inlineStr">
        <is>
          <t>Фев</t>
        </is>
      </c>
      <c r="E6" s="49" t="inlineStr">
        <is>
          <t>Мар</t>
        </is>
      </c>
      <c r="F6" s="49" t="inlineStr">
        <is>
          <t>Апр</t>
        </is>
      </c>
      <c r="G6" s="49" t="inlineStr">
        <is>
          <t>Май</t>
        </is>
      </c>
      <c r="H6" s="49" t="inlineStr">
        <is>
          <t>Июн</t>
        </is>
      </c>
      <c r="I6" s="49" t="inlineStr">
        <is>
          <t>Июл</t>
        </is>
      </c>
      <c r="J6" s="49" t="inlineStr">
        <is>
          <t>Авг</t>
        </is>
      </c>
      <c r="K6" s="49" t="inlineStr">
        <is>
          <t>Сен</t>
        </is>
      </c>
      <c r="L6" s="49" t="inlineStr">
        <is>
          <t>Окт</t>
        </is>
      </c>
      <c r="M6" s="49" t="inlineStr">
        <is>
          <t>Ноя</t>
        </is>
      </c>
      <c r="N6" s="49" t="inlineStr">
        <is>
          <t>Дек</t>
        </is>
      </c>
      <c r="O6" s="49" t="inlineStr">
        <is>
          <t>Год</t>
        </is>
      </c>
    </row>
    <row r="7" ht="15" customHeight="1" s="45">
      <c r="B7" s="50" t="inlineStr">
        <is>
          <t>Бюджет CY: вакансия B, руб/мес</t>
        </is>
      </c>
      <c r="C7" s="61" t="n">
        <v>0</v>
      </c>
      <c r="D7" s="61" t="n">
        <v>200</v>
      </c>
      <c r="E7" s="61" t="n">
        <v>200</v>
      </c>
      <c r="F7" s="61" t="n">
        <v>200</v>
      </c>
      <c r="G7" s="61" t="n">
        <v>200</v>
      </c>
      <c r="H7" s="61" t="n">
        <v>200</v>
      </c>
      <c r="I7" s="61" t="n">
        <v>200</v>
      </c>
      <c r="J7" s="61" t="n">
        <v>200</v>
      </c>
      <c r="K7" s="61" t="n">
        <v>200</v>
      </c>
      <c r="L7" s="61" t="n">
        <v>200</v>
      </c>
      <c r="M7" s="61" t="n">
        <v>200</v>
      </c>
      <c r="N7" s="61" t="n">
        <v>200</v>
      </c>
      <c r="O7" s="62">
        <f>SUM(C7:N7)</f>
        <v/>
      </c>
    </row>
    <row r="8" ht="15" customHeight="1" s="45">
      <c r="B8" s="50" t="inlineStr">
        <is>
          <t>Форкаст CY: сотрудник C, руб/мес</t>
        </is>
      </c>
      <c r="C8" s="61" t="n">
        <v>0</v>
      </c>
      <c r="D8" s="61" t="n">
        <v>0</v>
      </c>
      <c r="E8" s="61" t="n">
        <v>0</v>
      </c>
      <c r="F8" s="61" t="n">
        <v>250</v>
      </c>
      <c r="G8" s="61" t="n">
        <v>250</v>
      </c>
      <c r="H8" s="61" t="n">
        <v>250</v>
      </c>
      <c r="I8" s="61" t="n">
        <v>250</v>
      </c>
      <c r="J8" s="61" t="n">
        <v>250</v>
      </c>
      <c r="K8" s="61" t="n">
        <v>250</v>
      </c>
      <c r="L8" s="61" t="n">
        <v>250</v>
      </c>
      <c r="M8" s="61" t="n">
        <v>0</v>
      </c>
      <c r="N8" s="61" t="n">
        <v>0</v>
      </c>
      <c r="O8" s="62">
        <f>SUM(C8:N8)</f>
        <v/>
      </c>
    </row>
    <row r="9" ht="15" customHeight="1" s="45">
      <c r="B9" s="57" t="inlineStr">
        <is>
          <t>Отклонение Форкаст − Бюджет, руб/мес</t>
        </is>
      </c>
      <c r="C9" s="63">
        <f>C8-C7</f>
        <v/>
      </c>
      <c r="D9" s="63">
        <f>D8-D7</f>
        <v/>
      </c>
      <c r="E9" s="63">
        <f>E8-E7</f>
        <v/>
      </c>
      <c r="F9" s="63">
        <f>F8-F7</f>
        <v/>
      </c>
      <c r="G9" s="63">
        <f>G8-G7</f>
        <v/>
      </c>
      <c r="H9" s="63">
        <f>H8-H7</f>
        <v/>
      </c>
      <c r="I9" s="63">
        <f>I8-I7</f>
        <v/>
      </c>
      <c r="J9" s="63">
        <f>J8-J7</f>
        <v/>
      </c>
      <c r="K9" s="63">
        <f>K8-K7</f>
        <v/>
      </c>
      <c r="L9" s="63">
        <f>L8-L7</f>
        <v/>
      </c>
      <c r="M9" s="63">
        <f>M8-M7</f>
        <v/>
      </c>
      <c r="N9" s="63">
        <f>N8-N7</f>
        <v/>
      </c>
      <c r="O9" s="64">
        <f>SUM(C9:N9)</f>
        <v/>
      </c>
    </row>
    <row r="10" ht="15" customHeight="1" s="45">
      <c r="B10" s="59" t="inlineStr">
        <is>
          <t>Допущение: связки Vacancy ID ↔ Person ID нет — нельзя утверждать, что C «закрыл» вакансию B. Сторно вакансии и найм C показываются раздельно.</t>
        </is>
      </c>
    </row>
    <row r="12" ht="15" customHeight="1" s="45">
      <c r="B12" s="48" t="inlineStr">
        <is>
          <t>2. Факторы: бюджетные — сторно (откат запланированного), форкастные — реализация («сумма с месяца события до конца года»)</t>
        </is>
      </c>
    </row>
    <row r="13" ht="15" customHeight="1" s="45">
      <c r="B13" s="49" t="inlineStr">
        <is>
          <t>Фактор</t>
        </is>
      </c>
      <c r="C13" s="49" t="inlineStr">
        <is>
          <t>Версия / знак</t>
        </is>
      </c>
      <c r="D13" s="49" t="inlineStr">
        <is>
          <t>Окно: с мес.</t>
        </is>
      </c>
      <c r="E13" s="49" t="inlineStr">
        <is>
          <t>Окно: по мес.</t>
        </is>
      </c>
      <c r="F13" s="49" t="inlineStr">
        <is>
          <t>Ставка, руб/мес</t>
        </is>
      </c>
      <c r="G13" s="49" t="inlineStr">
        <is>
          <t>Месяцев</t>
        </is>
      </c>
      <c r="H13" s="49" t="inlineStr">
        <is>
          <t>Годовой эффект, руб</t>
        </is>
      </c>
    </row>
    <row r="14" ht="15" customHeight="1" s="45">
      <c r="B14" s="50" t="inlineStr">
        <is>
          <t>F05_4 · Вакансия B — СТОРНО (закрытие вакансии ТГ)</t>
        </is>
      </c>
      <c r="C14" s="50" t="inlineStr">
        <is>
          <t>Бюджет / минус</t>
        </is>
      </c>
      <c r="D14" s="66" t="n">
        <v>2</v>
      </c>
      <c r="E14" s="66" t="n">
        <v>12</v>
      </c>
      <c r="F14" s="71" t="n">
        <v>-200</v>
      </c>
      <c r="G14" s="72">
        <f>E14-D14+1</f>
        <v/>
      </c>
      <c r="H14" s="64">
        <f>F14*G14</f>
        <v/>
      </c>
    </row>
    <row r="15" ht="15" customHeight="1" s="45">
      <c r="B15" s="52" t="inlineStr">
        <is>
          <t>F01 · Hire — найм C в форкасте (апрель)</t>
        </is>
      </c>
      <c r="C15" s="52" t="inlineStr">
        <is>
          <t>Форкаст / плюс</t>
        </is>
      </c>
      <c r="D15" s="68" t="n">
        <v>4</v>
      </c>
      <c r="E15" s="68" t="n">
        <v>12</v>
      </c>
      <c r="F15" s="73" t="n">
        <v>250</v>
      </c>
      <c r="G15" s="74">
        <f>E15-D15+1</f>
        <v/>
      </c>
      <c r="H15" s="75">
        <f>F15*G15</f>
        <v/>
      </c>
    </row>
    <row r="16" ht="15" customHeight="1" s="45">
      <c r="B16" s="50" t="inlineStr">
        <is>
          <t>F02 · Leaver — увольнение C в форкасте (ноябрь)</t>
        </is>
      </c>
      <c r="C16" s="50" t="inlineStr">
        <is>
          <t>Форкаст / минус</t>
        </is>
      </c>
      <c r="D16" s="66" t="n">
        <v>11</v>
      </c>
      <c r="E16" s="66" t="n">
        <v>12</v>
      </c>
      <c r="F16" s="71" t="n">
        <v>-250</v>
      </c>
      <c r="G16" s="72">
        <f>E16-D16+1</f>
        <v/>
      </c>
      <c r="H16" s="64">
        <f>F16*G16</f>
        <v/>
      </c>
    </row>
    <row r="17" ht="15" customHeight="1" s="45">
      <c r="B17" s="76" t="inlineStr">
        <is>
          <t>ИТОГО сумма факторов</t>
        </is>
      </c>
      <c r="C17" s="77" t="n"/>
      <c r="D17" s="77" t="n"/>
      <c r="E17" s="77" t="n"/>
      <c r="F17" s="77" t="n"/>
      <c r="G17" s="77" t="n"/>
      <c r="H17" s="78">
        <f>SUM(H14:H16)</f>
        <v/>
      </c>
    </row>
    <row r="19" ht="15" customHeight="1" s="45">
      <c r="B19" s="48" t="inlineStr">
        <is>
          <t>3. Помесячная атрибуция факторов и контрольная сверка (руб/мес)</t>
        </is>
      </c>
    </row>
    <row r="20" ht="15" customHeight="1" s="45">
      <c r="B20" s="56" t="inlineStr">
        <is>
          <t>Фактор \ Месяц</t>
        </is>
      </c>
      <c r="C20" s="79" t="n">
        <v>1</v>
      </c>
      <c r="D20" s="79" t="n">
        <v>2</v>
      </c>
      <c r="E20" s="79" t="n">
        <v>3</v>
      </c>
      <c r="F20" s="79" t="n">
        <v>4</v>
      </c>
      <c r="G20" s="79" t="n">
        <v>5</v>
      </c>
      <c r="H20" s="79" t="n">
        <v>6</v>
      </c>
      <c r="I20" s="79" t="n">
        <v>7</v>
      </c>
      <c r="J20" s="79" t="n">
        <v>8</v>
      </c>
      <c r="K20" s="79" t="n">
        <v>9</v>
      </c>
      <c r="L20" s="79" t="n">
        <v>10</v>
      </c>
      <c r="M20" s="79" t="n">
        <v>11</v>
      </c>
      <c r="N20" s="79" t="n">
        <v>12</v>
      </c>
      <c r="O20" s="49" t="inlineStr">
        <is>
          <t>Год</t>
        </is>
      </c>
    </row>
    <row r="21" ht="15" customHeight="1" s="45">
      <c r="B21" s="59" t="inlineStr">
        <is>
          <t>← номера месяцев (служебная строка для формул окна)</t>
        </is>
      </c>
    </row>
    <row r="22" ht="15" customHeight="1" s="45">
      <c r="B22" s="50" t="inlineStr">
        <is>
          <t>F05_4 · Сторно вакансии B</t>
        </is>
      </c>
      <c r="C22" s="63">
        <f>IF(AND(C$20&gt;=$D14,C$20&lt;=$E14),$F14,0)</f>
        <v/>
      </c>
      <c r="D22" s="63">
        <f>IF(AND(D$20&gt;=$D14,D$20&lt;=$E14),$F14,0)</f>
        <v/>
      </c>
      <c r="E22" s="63">
        <f>IF(AND(E$20&gt;=$D14,E$20&lt;=$E14),$F14,0)</f>
        <v/>
      </c>
      <c r="F22" s="63">
        <f>IF(AND(F$20&gt;=$D14,F$20&lt;=$E14),$F14,0)</f>
        <v/>
      </c>
      <c r="G22" s="63">
        <f>IF(AND(G$20&gt;=$D14,G$20&lt;=$E14),$F14,0)</f>
        <v/>
      </c>
      <c r="H22" s="63">
        <f>IF(AND(H$20&gt;=$D14,H$20&lt;=$E14),$F14,0)</f>
        <v/>
      </c>
      <c r="I22" s="63">
        <f>IF(AND(I$20&gt;=$D14,I$20&lt;=$E14),$F14,0)</f>
        <v/>
      </c>
      <c r="J22" s="63">
        <f>IF(AND(J$20&gt;=$D14,J$20&lt;=$E14),$F14,0)</f>
        <v/>
      </c>
      <c r="K22" s="63">
        <f>IF(AND(K$20&gt;=$D14,K$20&lt;=$E14),$F14,0)</f>
        <v/>
      </c>
      <c r="L22" s="63">
        <f>IF(AND(L$20&gt;=$D14,L$20&lt;=$E14),$F14,0)</f>
        <v/>
      </c>
      <c r="M22" s="63">
        <f>IF(AND(M$20&gt;=$D14,M$20&lt;=$E14),$F14,0)</f>
        <v/>
      </c>
      <c r="N22" s="63">
        <f>IF(AND(N$20&gt;=$D14,N$20&lt;=$E14),$F14,0)</f>
        <v/>
      </c>
      <c r="O22" s="64">
        <f>SUM(C22:N22)</f>
        <v/>
      </c>
    </row>
    <row r="23" ht="15" customHeight="1" s="45">
      <c r="B23" s="52" t="inlineStr">
        <is>
          <t>F01 · Hire C (форкаст)</t>
        </is>
      </c>
      <c r="C23" s="70">
        <f>IF(AND(C$20&gt;=$D15,C$20&lt;=$E15),$F15,0)</f>
        <v/>
      </c>
      <c r="D23" s="70">
        <f>IF(AND(D$20&gt;=$D15,D$20&lt;=$E15),$F15,0)</f>
        <v/>
      </c>
      <c r="E23" s="70">
        <f>IF(AND(E$20&gt;=$D15,E$20&lt;=$E15),$F15,0)</f>
        <v/>
      </c>
      <c r="F23" s="70">
        <f>IF(AND(F$20&gt;=$D15,F$20&lt;=$E15),$F15,0)</f>
        <v/>
      </c>
      <c r="G23" s="70">
        <f>IF(AND(G$20&gt;=$D15,G$20&lt;=$E15),$F15,0)</f>
        <v/>
      </c>
      <c r="H23" s="70">
        <f>IF(AND(H$20&gt;=$D15,H$20&lt;=$E15),$F15,0)</f>
        <v/>
      </c>
      <c r="I23" s="70">
        <f>IF(AND(I$20&gt;=$D15,I$20&lt;=$E15),$F15,0)</f>
        <v/>
      </c>
      <c r="J23" s="70">
        <f>IF(AND(J$20&gt;=$D15,J$20&lt;=$E15),$F15,0)</f>
        <v/>
      </c>
      <c r="K23" s="70">
        <f>IF(AND(K$20&gt;=$D15,K$20&lt;=$E15),$F15,0)</f>
        <v/>
      </c>
      <c r="L23" s="70">
        <f>IF(AND(L$20&gt;=$D15,L$20&lt;=$E15),$F15,0)</f>
        <v/>
      </c>
      <c r="M23" s="70">
        <f>IF(AND(M$20&gt;=$D15,M$20&lt;=$E15),$F15,0)</f>
        <v/>
      </c>
      <c r="N23" s="70">
        <f>IF(AND(N$20&gt;=$D15,N$20&lt;=$E15),$F15,0)</f>
        <v/>
      </c>
      <c r="O23" s="75">
        <f>SUM(C23:N23)</f>
        <v/>
      </c>
    </row>
    <row r="24" ht="15" customHeight="1" s="45">
      <c r="B24" s="50" t="inlineStr">
        <is>
          <t>F02 · Leaver C (форкаст)</t>
        </is>
      </c>
      <c r="C24" s="63">
        <f>IF(AND(C$20&gt;=$D16,C$20&lt;=$E16),$F16,0)</f>
        <v/>
      </c>
      <c r="D24" s="63">
        <f>IF(AND(D$20&gt;=$D16,D$20&lt;=$E16),$F16,0)</f>
        <v/>
      </c>
      <c r="E24" s="63">
        <f>IF(AND(E$20&gt;=$D16,E$20&lt;=$E16),$F16,0)</f>
        <v/>
      </c>
      <c r="F24" s="63">
        <f>IF(AND(F$20&gt;=$D16,F$20&lt;=$E16),$F16,0)</f>
        <v/>
      </c>
      <c r="G24" s="63">
        <f>IF(AND(G$20&gt;=$D16,G$20&lt;=$E16),$F16,0)</f>
        <v/>
      </c>
      <c r="H24" s="63">
        <f>IF(AND(H$20&gt;=$D16,H$20&lt;=$E16),$F16,0)</f>
        <v/>
      </c>
      <c r="I24" s="63">
        <f>IF(AND(I$20&gt;=$D16,I$20&lt;=$E16),$F16,0)</f>
        <v/>
      </c>
      <c r="J24" s="63">
        <f>IF(AND(J$20&gt;=$D16,J$20&lt;=$E16),$F16,0)</f>
        <v/>
      </c>
      <c r="K24" s="63">
        <f>IF(AND(K$20&gt;=$D16,K$20&lt;=$E16),$F16,0)</f>
        <v/>
      </c>
      <c r="L24" s="63">
        <f>IF(AND(L$20&gt;=$D16,L$20&lt;=$E16),$F16,0)</f>
        <v/>
      </c>
      <c r="M24" s="63">
        <f>IF(AND(M$20&gt;=$D16,M$20&lt;=$E16),$F16,0)</f>
        <v/>
      </c>
      <c r="N24" s="63">
        <f>IF(AND(N$20&gt;=$D16,N$20&lt;=$E16),$F16,0)</f>
        <v/>
      </c>
      <c r="O24" s="64">
        <f>SUM(C24:N24)</f>
        <v/>
      </c>
    </row>
    <row r="25" ht="15" customHeight="1" s="45">
      <c r="B25" s="80" t="inlineStr">
        <is>
          <t>Сумма факторов</t>
        </is>
      </c>
      <c r="C25" s="78">
        <f>SUM(C22:C24)</f>
        <v/>
      </c>
      <c r="D25" s="78">
        <f>SUM(D22:D24)</f>
        <v/>
      </c>
      <c r="E25" s="78">
        <f>SUM(E22:E24)</f>
        <v/>
      </c>
      <c r="F25" s="78">
        <f>SUM(F22:F24)</f>
        <v/>
      </c>
      <c r="G25" s="78">
        <f>SUM(G22:G24)</f>
        <v/>
      </c>
      <c r="H25" s="78">
        <f>SUM(H22:H24)</f>
        <v/>
      </c>
      <c r="I25" s="78">
        <f>SUM(I22:I24)</f>
        <v/>
      </c>
      <c r="J25" s="78">
        <f>SUM(J22:J24)</f>
        <v/>
      </c>
      <c r="K25" s="78">
        <f>SUM(K22:K24)</f>
        <v/>
      </c>
      <c r="L25" s="78">
        <f>SUM(L22:L24)</f>
        <v/>
      </c>
      <c r="M25" s="78">
        <f>SUM(M22:M24)</f>
        <v/>
      </c>
      <c r="N25" s="78">
        <f>SUM(N22:N24)</f>
        <v/>
      </c>
      <c r="O25" s="78">
        <f>SUM(O22:O24)</f>
        <v/>
      </c>
    </row>
    <row r="26" ht="15" customHeight="1" s="45">
      <c r="B26" s="50" t="inlineStr">
        <is>
          <t>Контроль: прямая дельта Форкаст − Бюджет</t>
        </is>
      </c>
      <c r="C26" s="63">
        <f>C9</f>
        <v/>
      </c>
      <c r="D26" s="63">
        <f>D9</f>
        <v/>
      </c>
      <c r="E26" s="63">
        <f>E9</f>
        <v/>
      </c>
      <c r="F26" s="63">
        <f>F9</f>
        <v/>
      </c>
      <c r="G26" s="63">
        <f>G9</f>
        <v/>
      </c>
      <c r="H26" s="63">
        <f>H9</f>
        <v/>
      </c>
      <c r="I26" s="63">
        <f>I9</f>
        <v/>
      </c>
      <c r="J26" s="63">
        <f>J9</f>
        <v/>
      </c>
      <c r="K26" s="63">
        <f>K9</f>
        <v/>
      </c>
      <c r="L26" s="63">
        <f>L9</f>
        <v/>
      </c>
      <c r="M26" s="63">
        <f>M9</f>
        <v/>
      </c>
      <c r="N26" s="63">
        <f>N9</f>
        <v/>
      </c>
      <c r="O26" s="63">
        <f>O9</f>
        <v/>
      </c>
    </row>
    <row r="27" ht="15" customHeight="1" s="45">
      <c r="B27" s="57" t="inlineStr">
        <is>
          <t>Проверка сходимости</t>
        </is>
      </c>
      <c r="C27" s="81">
        <f>IF(C25=C26,"OK","ОШИБКА")</f>
        <v/>
      </c>
      <c r="D27" s="81">
        <f>IF(D25=D26,"OK","ОШИБКА")</f>
        <v/>
      </c>
      <c r="E27" s="81">
        <f>IF(E25=E26,"OK","ОШИБКА")</f>
        <v/>
      </c>
      <c r="F27" s="81">
        <f>IF(F25=F26,"OK","ОШИБКА")</f>
        <v/>
      </c>
      <c r="G27" s="81">
        <f>IF(G25=G26,"OK","ОШИБКА")</f>
        <v/>
      </c>
      <c r="H27" s="81">
        <f>IF(H25=H26,"OK","ОШИБКА")</f>
        <v/>
      </c>
      <c r="I27" s="81">
        <f>IF(I25=I26,"OK","ОШИБКА")</f>
        <v/>
      </c>
      <c r="J27" s="81">
        <f>IF(J25=J26,"OK","ОШИБКА")</f>
        <v/>
      </c>
      <c r="K27" s="81">
        <f>IF(K25=K26,"OK","ОШИБКА")</f>
        <v/>
      </c>
      <c r="L27" s="81">
        <f>IF(L25=L26,"OK","ОШИБКА")</f>
        <v/>
      </c>
      <c r="M27" s="81">
        <f>IF(M25=M26,"OK","ОШИБКА")</f>
        <v/>
      </c>
      <c r="N27" s="81">
        <f>IF(N25=N26,"OK","ОШИБКА")</f>
        <v/>
      </c>
      <c r="O27" s="81">
        <f>IF(O25=O26,"OK","ОШИБКА")</f>
        <v/>
      </c>
    </row>
    <row r="29" ht="15" customHeight="1" s="45">
      <c r="B29" s="48" t="inlineStr">
        <is>
          <t>4. Агрегированное представление для водопада (верхний уровень) с drill-down до компонентов</t>
        </is>
      </c>
    </row>
    <row r="30" ht="15" customHeight="1" s="45">
      <c r="B30" s="49" t="inlineStr">
        <is>
          <t>Уровень</t>
        </is>
      </c>
      <c r="C30" s="49" t="inlineStr">
        <is>
          <t>Фактор (агрегат)</t>
        </is>
      </c>
      <c r="D30" s="49" t="inlineStr">
        <is>
          <t>Эффект, руб</t>
        </is>
      </c>
      <c r="E30" s="49" t="inlineStr">
        <is>
          <t>Drill-down: компонент</t>
        </is>
      </c>
      <c r="F30" s="49" t="inlineStr">
        <is>
          <t>Эффект, руб</t>
        </is>
      </c>
    </row>
    <row r="31" ht="15" customHeight="1" s="45">
      <c r="B31" s="50" t="inlineStr">
        <is>
          <t>Агрегат</t>
        </is>
      </c>
      <c r="C31" s="57" t="inlineStr">
        <is>
          <t>Наймы (Hires)</t>
        </is>
      </c>
      <c r="D31" s="82">
        <f>H14+H15</f>
        <v/>
      </c>
      <c r="E31" s="50" t="inlineStr">
        <is>
          <t>Сторно вакансии B (не состоялась)</t>
        </is>
      </c>
      <c r="F31" s="83">
        <f>H14</f>
        <v/>
      </c>
    </row>
    <row r="32" ht="15" customHeight="1" s="45">
      <c r="B32" s="52" t="n"/>
      <c r="C32" s="52" t="n"/>
      <c r="D32" s="84" t="n"/>
      <c r="E32" s="52" t="inlineStr">
        <is>
          <t>Hire C (фактический найм в форкасте)</t>
        </is>
      </c>
      <c r="F32" s="85">
        <f>H15</f>
        <v/>
      </c>
    </row>
    <row r="33" ht="15" customHeight="1" s="45">
      <c r="B33" s="50" t="inlineStr">
        <is>
          <t>Агрегат</t>
        </is>
      </c>
      <c r="C33" s="57" t="inlineStr">
        <is>
          <t>Увольнения (Leavers)</t>
        </is>
      </c>
      <c r="D33" s="82">
        <f>H16</f>
        <v/>
      </c>
      <c r="E33" s="50" t="inlineStr">
        <is>
          <t>Leaver C (не планировался в бюджете)</t>
        </is>
      </c>
      <c r="F33" s="83">
        <f>H16</f>
        <v/>
      </c>
    </row>
    <row r="34" ht="15" customHeight="1" s="45">
      <c r="B34" s="86" t="inlineStr">
        <is>
          <t>ИТОГО</t>
        </is>
      </c>
      <c r="C34" s="76" t="inlineStr">
        <is>
          <t>Отклонение форкаста от бюджета</t>
        </is>
      </c>
      <c r="D34" s="87">
        <f>D31+D33</f>
        <v/>
      </c>
      <c r="E34" s="86" t="n"/>
      <c r="F34" s="88">
        <f>F31+F33</f>
        <v/>
      </c>
    </row>
    <row r="36" ht="15" customHeight="1" s="45">
      <c r="B36" s="59" t="inlineStr">
        <is>
          <t>Читаемость: найм C (+2 250) дороже вакансии B (−2 200 сторно) и смещён по срокам (апрель вместо февраля); увольнение C в ноябре — незапланированное, отдельный фактор −500. Итог −450 = 1 750 − 2 200.</t>
        </is>
      </c>
    </row>
    <row r="37" ht="15" customHeight="1" s="45">
      <c r="B37" s="59" t="inlineStr">
        <is>
          <t>Если вакансия B в форкасте остаётся открытой в будущих месяцах, сторно применяется только к месяцам, по которым вакансия снята; открытые месяцы дельты не дают и фактором не являются.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2026-08-27T14:37:43Z</dcterms:created>
  <dcterms:modified xmlns:dcterms="http://purl.org/dc/terms/" xmlns:xsi="http://www.w3.org/2001/XMLSchema-instance" xsi:type="dcterms:W3CDTF">2026-08-27T14:51:07Z</dcterms:modified>
  <cp:revision>1</cp:revision>
</cp:coreProperties>
</file>